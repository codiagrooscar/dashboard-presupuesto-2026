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Gastos/"/>
    </mc:Choice>
  </mc:AlternateContent>
  <xr:revisionPtr revIDLastSave="0" documentId="14_{E9DABC68-3C7B-4F6A-918A-30248E123BA2}" xr6:coauthVersionLast="47" xr6:coauthVersionMax="47" xr10:uidLastSave="{00000000-0000-0000-0000-000000000000}"/>
  <bookViews>
    <workbookView xWindow="-25710" yWindow="-110" windowWidth="25820" windowHeight="13900" xr2:uid="{00000000-000D-0000-FFFF-FFFF00000000}"/>
  </bookViews>
  <sheets>
    <sheet name="Resumen mensual" sheetId="1" r:id="rId1"/>
    <sheet name="Resumen anual" sheetId="2" r:id="rId2"/>
    <sheet name="Supuestos" sheetId="3" r:id="rId3"/>
    <sheet name="Importes" sheetId="4" r:id="rId4"/>
    <sheet name="Unidades" sheetId="5" r:id="rId5"/>
    <sheet name="Precios" sheetId="6" r:id="rId6"/>
    <sheet name="Orige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3" i="6" l="1"/>
  <c r="H136" i="6"/>
  <c r="H134" i="6"/>
  <c r="H120" i="6"/>
  <c r="H115" i="6"/>
  <c r="H113" i="6"/>
  <c r="H101" i="6"/>
  <c r="H100" i="6"/>
  <c r="H99" i="6"/>
  <c r="H94" i="6"/>
  <c r="H93" i="6"/>
  <c r="D93" i="4" s="1"/>
  <c r="H86" i="6"/>
  <c r="H85" i="6"/>
  <c r="H82" i="6"/>
  <c r="H80" i="6"/>
  <c r="H79" i="6"/>
  <c r="H72" i="6"/>
  <c r="H71" i="6"/>
  <c r="H68" i="6"/>
  <c r="H66" i="6"/>
  <c r="H65" i="6"/>
  <c r="H58" i="6"/>
  <c r="H57" i="6"/>
  <c r="H54" i="6"/>
  <c r="H52" i="6"/>
  <c r="H51" i="6"/>
  <c r="H44" i="6"/>
  <c r="H43" i="6"/>
  <c r="H40" i="6"/>
  <c r="H38" i="6"/>
  <c r="H37" i="6"/>
  <c r="H30" i="6"/>
  <c r="H29" i="6"/>
  <c r="H26" i="6"/>
  <c r="H24" i="6"/>
  <c r="H22" i="6"/>
  <c r="H19" i="6"/>
  <c r="H17" i="6"/>
  <c r="H16" i="6"/>
  <c r="H15" i="6"/>
  <c r="H12" i="6"/>
  <c r="H11" i="6"/>
  <c r="H8" i="6"/>
  <c r="C4" i="6"/>
  <c r="S149" i="5"/>
  <c r="R149" i="5"/>
  <c r="S148" i="5"/>
  <c r="R148" i="5"/>
  <c r="S147" i="5"/>
  <c r="R147" i="5"/>
  <c r="S146" i="5"/>
  <c r="R146" i="5"/>
  <c r="S145" i="5"/>
  <c r="R145" i="5"/>
  <c r="S144" i="5"/>
  <c r="R144" i="5"/>
  <c r="S143" i="5"/>
  <c r="R143" i="5"/>
  <c r="S142" i="5"/>
  <c r="R142" i="5"/>
  <c r="S141" i="5"/>
  <c r="R141" i="5"/>
  <c r="S140" i="5"/>
  <c r="R140" i="5"/>
  <c r="S139" i="5"/>
  <c r="R139" i="5"/>
  <c r="S138" i="5"/>
  <c r="R138" i="5"/>
  <c r="S137" i="5"/>
  <c r="R137" i="5"/>
  <c r="S136" i="5"/>
  <c r="R136" i="5"/>
  <c r="S135" i="5"/>
  <c r="R135" i="5"/>
  <c r="S134" i="5"/>
  <c r="R134" i="5"/>
  <c r="S133" i="5"/>
  <c r="R133" i="5"/>
  <c r="S132" i="5"/>
  <c r="R132" i="5"/>
  <c r="S131" i="5"/>
  <c r="R131" i="5"/>
  <c r="S130" i="5"/>
  <c r="R130" i="5"/>
  <c r="S129" i="5"/>
  <c r="R129" i="5"/>
  <c r="S128" i="5"/>
  <c r="R128" i="5"/>
  <c r="S127" i="5"/>
  <c r="R127" i="5"/>
  <c r="S126" i="5"/>
  <c r="R126" i="5"/>
  <c r="S125" i="5"/>
  <c r="R125" i="5"/>
  <c r="S124" i="5"/>
  <c r="R124" i="5"/>
  <c r="S123" i="5"/>
  <c r="R123" i="5"/>
  <c r="S122" i="5"/>
  <c r="R122" i="5"/>
  <c r="S121" i="5"/>
  <c r="R121" i="5"/>
  <c r="S120" i="5"/>
  <c r="R120" i="5"/>
  <c r="S119" i="5"/>
  <c r="R119" i="5"/>
  <c r="S118" i="5"/>
  <c r="R118" i="5"/>
  <c r="S117" i="5"/>
  <c r="R117" i="5"/>
  <c r="S116" i="5"/>
  <c r="R116" i="5"/>
  <c r="S115" i="5"/>
  <c r="R115" i="5"/>
  <c r="T114" i="5"/>
  <c r="S114" i="5"/>
  <c r="R114" i="5"/>
  <c r="S113" i="5"/>
  <c r="R113" i="5"/>
  <c r="S112" i="5"/>
  <c r="R112" i="5"/>
  <c r="T111" i="5"/>
  <c r="S111" i="5"/>
  <c r="R111" i="5"/>
  <c r="S110" i="5"/>
  <c r="R110" i="5"/>
  <c r="U109" i="5"/>
  <c r="T109" i="5"/>
  <c r="S109" i="5"/>
  <c r="R109" i="5"/>
  <c r="S108" i="5"/>
  <c r="R108" i="5"/>
  <c r="S107" i="5"/>
  <c r="R107" i="5"/>
  <c r="U106" i="5"/>
  <c r="T106" i="5"/>
  <c r="V106" i="5" s="1"/>
  <c r="S106" i="5"/>
  <c r="R106" i="5"/>
  <c r="S105" i="5"/>
  <c r="R105" i="5"/>
  <c r="S104" i="5"/>
  <c r="R104" i="5"/>
  <c r="S103" i="5"/>
  <c r="R103" i="5"/>
  <c r="S102" i="5"/>
  <c r="R102" i="5"/>
  <c r="S101" i="5"/>
  <c r="R101" i="5"/>
  <c r="T100" i="5"/>
  <c r="S100" i="5"/>
  <c r="R100" i="5"/>
  <c r="S99" i="5"/>
  <c r="R99" i="5"/>
  <c r="S98" i="5"/>
  <c r="R98" i="5"/>
  <c r="T97" i="5"/>
  <c r="U97" i="5" s="1"/>
  <c r="S97" i="5"/>
  <c r="R97" i="5"/>
  <c r="S96" i="5"/>
  <c r="R96" i="5"/>
  <c r="U95" i="5"/>
  <c r="T95" i="5"/>
  <c r="S95" i="5"/>
  <c r="R95" i="5"/>
  <c r="T94" i="5"/>
  <c r="S94" i="5"/>
  <c r="R94" i="5"/>
  <c r="S93" i="5"/>
  <c r="R93" i="5"/>
  <c r="U92" i="5"/>
  <c r="G92" i="4" s="1"/>
  <c r="T92" i="5"/>
  <c r="S92" i="5"/>
  <c r="R92" i="5"/>
  <c r="S91" i="5"/>
  <c r="R91" i="5"/>
  <c r="S90" i="5"/>
  <c r="R90" i="5"/>
  <c r="S89" i="5"/>
  <c r="R89" i="5"/>
  <c r="S88" i="5"/>
  <c r="R88" i="5"/>
  <c r="S87" i="5"/>
  <c r="R87" i="5"/>
  <c r="T86" i="5"/>
  <c r="S86" i="5"/>
  <c r="R86" i="5"/>
  <c r="S85" i="5"/>
  <c r="R85" i="5"/>
  <c r="S84" i="5"/>
  <c r="R84" i="5"/>
  <c r="S83" i="5"/>
  <c r="R83" i="5"/>
  <c r="S82" i="5"/>
  <c r="R82" i="5"/>
  <c r="S81" i="5"/>
  <c r="R81" i="5"/>
  <c r="S80" i="5"/>
  <c r="R80" i="5"/>
  <c r="S79" i="5"/>
  <c r="R79" i="5"/>
  <c r="S78" i="5"/>
  <c r="R78" i="5"/>
  <c r="S77" i="5"/>
  <c r="R77" i="5"/>
  <c r="S76" i="5"/>
  <c r="R76" i="5"/>
  <c r="S75" i="5"/>
  <c r="R75" i="5"/>
  <c r="S74" i="5"/>
  <c r="R74" i="5"/>
  <c r="S73" i="5"/>
  <c r="R73" i="5"/>
  <c r="S72" i="5"/>
  <c r="R72" i="5"/>
  <c r="S71" i="5"/>
  <c r="R71" i="5"/>
  <c r="S70" i="5"/>
  <c r="R70" i="5"/>
  <c r="S69" i="5"/>
  <c r="R69" i="5"/>
  <c r="S68" i="5"/>
  <c r="R68" i="5"/>
  <c r="T67" i="5"/>
  <c r="S67" i="5"/>
  <c r="R67" i="5"/>
  <c r="T66" i="5"/>
  <c r="S66" i="5"/>
  <c r="R66" i="5"/>
  <c r="T65" i="5"/>
  <c r="S65" i="5"/>
  <c r="R65" i="5"/>
  <c r="S64" i="5"/>
  <c r="R64" i="5"/>
  <c r="S63" i="5"/>
  <c r="R63" i="5"/>
  <c r="T62" i="5"/>
  <c r="S62" i="5"/>
  <c r="R62" i="5"/>
  <c r="T61" i="5"/>
  <c r="S61" i="5"/>
  <c r="R61" i="5"/>
  <c r="S60" i="5"/>
  <c r="R60" i="5"/>
  <c r="T59" i="5"/>
  <c r="S59" i="5"/>
  <c r="R59" i="5"/>
  <c r="S58" i="5"/>
  <c r="R58" i="5"/>
  <c r="T57" i="5"/>
  <c r="S57" i="5"/>
  <c r="R57" i="5"/>
  <c r="S56" i="5"/>
  <c r="R56" i="5"/>
  <c r="U55" i="5"/>
  <c r="T55" i="5"/>
  <c r="S55" i="5"/>
  <c r="R55" i="5"/>
  <c r="U54" i="5"/>
  <c r="T54" i="5"/>
  <c r="S54" i="5"/>
  <c r="R54" i="5"/>
  <c r="U53" i="5"/>
  <c r="T53" i="5"/>
  <c r="S53" i="5"/>
  <c r="R53" i="5"/>
  <c r="T52" i="5"/>
  <c r="S52" i="5"/>
  <c r="R52" i="5"/>
  <c r="T51" i="5"/>
  <c r="S51" i="5"/>
  <c r="R51" i="5"/>
  <c r="T50" i="5"/>
  <c r="S50" i="5"/>
  <c r="R50" i="5"/>
  <c r="S49" i="5"/>
  <c r="R49" i="5"/>
  <c r="S48" i="5"/>
  <c r="R48" i="5"/>
  <c r="S47" i="5"/>
  <c r="R47" i="5"/>
  <c r="T46" i="5"/>
  <c r="S46" i="5"/>
  <c r="R46" i="5"/>
  <c r="T45" i="5"/>
  <c r="S45" i="5"/>
  <c r="R45" i="5"/>
  <c r="T44" i="5"/>
  <c r="S44" i="5"/>
  <c r="R44" i="5"/>
  <c r="S43" i="5"/>
  <c r="R43" i="5"/>
  <c r="S42" i="5"/>
  <c r="R42" i="5"/>
  <c r="S41" i="5"/>
  <c r="R41" i="5"/>
  <c r="U40" i="5"/>
  <c r="T40" i="5"/>
  <c r="S40" i="5"/>
  <c r="R40" i="5"/>
  <c r="U39" i="5"/>
  <c r="T39" i="5"/>
  <c r="S39" i="5"/>
  <c r="R39" i="5"/>
  <c r="T38" i="5"/>
  <c r="S38" i="5"/>
  <c r="R38" i="5"/>
  <c r="T37" i="5"/>
  <c r="S37" i="5"/>
  <c r="R37" i="5"/>
  <c r="T36" i="5"/>
  <c r="S36" i="5"/>
  <c r="R36" i="5"/>
  <c r="S35" i="5"/>
  <c r="R35" i="5"/>
  <c r="S34" i="5"/>
  <c r="R34" i="5"/>
  <c r="T33" i="5"/>
  <c r="S33" i="5"/>
  <c r="R33" i="5"/>
  <c r="S32" i="5"/>
  <c r="R32" i="5"/>
  <c r="S31" i="5"/>
  <c r="R31" i="5"/>
  <c r="S30" i="5"/>
  <c r="R30" i="5"/>
  <c r="S29" i="5"/>
  <c r="R29" i="5"/>
  <c r="T28" i="5"/>
  <c r="S28" i="5"/>
  <c r="R28" i="5"/>
  <c r="S27" i="5"/>
  <c r="R27" i="5"/>
  <c r="T26" i="5"/>
  <c r="S26" i="5"/>
  <c r="R26" i="5"/>
  <c r="S25" i="5"/>
  <c r="R25" i="5"/>
  <c r="T24" i="5"/>
  <c r="S24" i="5"/>
  <c r="R24" i="5"/>
  <c r="T23" i="5"/>
  <c r="S23" i="5"/>
  <c r="R23" i="5"/>
  <c r="S22" i="5"/>
  <c r="R22" i="5"/>
  <c r="S21" i="5"/>
  <c r="R21" i="5"/>
  <c r="S20" i="5"/>
  <c r="R20" i="5"/>
  <c r="T19" i="5"/>
  <c r="S19" i="5"/>
  <c r="R19" i="5"/>
  <c r="S18" i="5"/>
  <c r="R18" i="5"/>
  <c r="T17" i="5"/>
  <c r="S17" i="5"/>
  <c r="R17" i="5"/>
  <c r="S16" i="5"/>
  <c r="R16" i="5"/>
  <c r="U15" i="5"/>
  <c r="T15" i="5"/>
  <c r="S15" i="5"/>
  <c r="R15" i="5"/>
  <c r="T14" i="5"/>
  <c r="S14" i="5"/>
  <c r="R14" i="5"/>
  <c r="S13" i="5"/>
  <c r="R13" i="5"/>
  <c r="T12" i="5"/>
  <c r="S12" i="5"/>
  <c r="R12" i="5"/>
  <c r="T11" i="5"/>
  <c r="S11" i="5"/>
  <c r="U11" i="5" s="1"/>
  <c r="R11" i="5"/>
  <c r="T10" i="5"/>
  <c r="S10" i="5"/>
  <c r="U10" i="5" s="1"/>
  <c r="R10" i="5"/>
  <c r="T9" i="5"/>
  <c r="S9" i="5"/>
  <c r="U9" i="5" s="1"/>
  <c r="R9" i="5"/>
  <c r="W8" i="5"/>
  <c r="V8" i="5"/>
  <c r="T8" i="5"/>
  <c r="S8" i="5"/>
  <c r="U8" i="5" s="1"/>
  <c r="R8" i="5"/>
  <c r="E147" i="4"/>
  <c r="E146" i="4"/>
  <c r="E145" i="4"/>
  <c r="E143" i="4"/>
  <c r="D143" i="4"/>
  <c r="E136" i="4"/>
  <c r="D136" i="4"/>
  <c r="E135" i="4"/>
  <c r="E134" i="4"/>
  <c r="D134" i="4"/>
  <c r="E129" i="4"/>
  <c r="E128" i="4"/>
  <c r="E126" i="4"/>
  <c r="E125" i="4"/>
  <c r="E123" i="4"/>
  <c r="D120" i="4"/>
  <c r="E120" i="4" s="1"/>
  <c r="E116" i="4"/>
  <c r="D115" i="4"/>
  <c r="E115" i="4" s="1"/>
  <c r="E113" i="4"/>
  <c r="D113" i="4"/>
  <c r="E112" i="4"/>
  <c r="E110" i="4"/>
  <c r="E107" i="4"/>
  <c r="E106" i="4"/>
  <c r="E104" i="4"/>
  <c r="E103" i="4"/>
  <c r="D101" i="4"/>
  <c r="E101" i="4" s="1"/>
  <c r="D100" i="4"/>
  <c r="D99" i="4"/>
  <c r="E99" i="4" s="1"/>
  <c r="E96" i="4"/>
  <c r="E95" i="4"/>
  <c r="D94" i="4"/>
  <c r="E93" i="4"/>
  <c r="F92" i="4"/>
  <c r="E92" i="4"/>
  <c r="E90" i="4"/>
  <c r="E89" i="4"/>
  <c r="E88" i="4"/>
  <c r="F86" i="4"/>
  <c r="E86" i="4"/>
  <c r="D86" i="4"/>
  <c r="E85" i="4"/>
  <c r="D85" i="4"/>
  <c r="D82" i="4"/>
  <c r="E82" i="4" s="1"/>
  <c r="D80" i="4"/>
  <c r="E80" i="4" s="1"/>
  <c r="D79" i="4"/>
  <c r="E79" i="4" s="1"/>
  <c r="E78" i="4"/>
  <c r="E75" i="4"/>
  <c r="E74" i="4"/>
  <c r="E73" i="4"/>
  <c r="E72" i="4"/>
  <c r="D72" i="4"/>
  <c r="E71" i="4"/>
  <c r="D71" i="4"/>
  <c r="E68" i="4"/>
  <c r="D68" i="4"/>
  <c r="E66" i="4"/>
  <c r="D66" i="4"/>
  <c r="F66" i="4" s="1"/>
  <c r="E65" i="4"/>
  <c r="D65" i="4"/>
  <c r="F65" i="4" s="1"/>
  <c r="E64" i="4"/>
  <c r="F62" i="4"/>
  <c r="E62" i="4"/>
  <c r="E60" i="4"/>
  <c r="F59" i="4"/>
  <c r="E59" i="4"/>
  <c r="E58" i="4"/>
  <c r="D58" i="4"/>
  <c r="F57" i="4"/>
  <c r="E57" i="4"/>
  <c r="D57" i="4"/>
  <c r="E56" i="4"/>
  <c r="G55" i="4"/>
  <c r="F55" i="4"/>
  <c r="E55" i="4"/>
  <c r="G54" i="4"/>
  <c r="F54" i="4"/>
  <c r="E54" i="4"/>
  <c r="D54" i="4"/>
  <c r="F52" i="4"/>
  <c r="E52" i="4"/>
  <c r="D52" i="4"/>
  <c r="F51" i="4"/>
  <c r="E51" i="4"/>
  <c r="D51" i="4"/>
  <c r="F50" i="4"/>
  <c r="E50" i="4"/>
  <c r="E49" i="4"/>
  <c r="E47" i="4"/>
  <c r="F44" i="4"/>
  <c r="E44" i="4"/>
  <c r="D44" i="4"/>
  <c r="E43" i="4"/>
  <c r="D43" i="4"/>
  <c r="G40" i="4"/>
  <c r="F40" i="4"/>
  <c r="E40" i="4"/>
  <c r="D40" i="4"/>
  <c r="G39" i="4"/>
  <c r="F39" i="4"/>
  <c r="E39" i="4"/>
  <c r="F38" i="4"/>
  <c r="E38" i="4"/>
  <c r="D38" i="4"/>
  <c r="F37" i="4"/>
  <c r="E37" i="4"/>
  <c r="D37" i="4"/>
  <c r="F36" i="4"/>
  <c r="E36" i="4"/>
  <c r="E31" i="4"/>
  <c r="E30" i="4"/>
  <c r="D30" i="4"/>
  <c r="E29" i="4"/>
  <c r="D29" i="4"/>
  <c r="E27" i="4"/>
  <c r="F26" i="4"/>
  <c r="E26" i="4"/>
  <c r="D26" i="4"/>
  <c r="F24" i="4"/>
  <c r="E24" i="4"/>
  <c r="D24" i="4"/>
  <c r="F23" i="4"/>
  <c r="E23" i="4"/>
  <c r="E22" i="4"/>
  <c r="D22" i="4"/>
  <c r="E20" i="4"/>
  <c r="F19" i="4"/>
  <c r="E19" i="4"/>
  <c r="D19" i="4"/>
  <c r="E18" i="4"/>
  <c r="E17" i="4"/>
  <c r="D17" i="4"/>
  <c r="F17" i="4" s="1"/>
  <c r="E16" i="4"/>
  <c r="D16" i="4"/>
  <c r="G15" i="4"/>
  <c r="E15" i="4"/>
  <c r="D15" i="4"/>
  <c r="F15" i="4" s="1"/>
  <c r="E13" i="4"/>
  <c r="E12" i="4"/>
  <c r="D12" i="4"/>
  <c r="F12" i="4" s="1"/>
  <c r="G11" i="4"/>
  <c r="F11" i="4"/>
  <c r="E11" i="4"/>
  <c r="D11" i="4"/>
  <c r="G10" i="4"/>
  <c r="F10" i="4"/>
  <c r="E10" i="4"/>
  <c r="I8" i="4"/>
  <c r="H8" i="4"/>
  <c r="G8" i="4"/>
  <c r="F8" i="4"/>
  <c r="E8" i="4"/>
  <c r="D8" i="4"/>
  <c r="V9" i="5" l="1"/>
  <c r="F100" i="4"/>
  <c r="E100" i="4"/>
  <c r="W11" i="5"/>
  <c r="I11" i="4" s="1"/>
  <c r="V11" i="5"/>
  <c r="H11" i="4" s="1"/>
  <c r="F94" i="4"/>
  <c r="E94" i="4"/>
  <c r="U21" i="5"/>
  <c r="G21" i="4" s="1"/>
  <c r="T21" i="5"/>
  <c r="T32" i="5"/>
  <c r="U32" i="5"/>
  <c r="U28" i="5"/>
  <c r="V41" i="5"/>
  <c r="T41" i="5"/>
  <c r="U41" i="5"/>
  <c r="T121" i="5"/>
  <c r="X8" i="5"/>
  <c r="V15" i="5"/>
  <c r="T31" i="5"/>
  <c r="T47" i="5"/>
  <c r="U23" i="5"/>
  <c r="T27" i="5"/>
  <c r="T35" i="5"/>
  <c r="U14" i="5"/>
  <c r="V23" i="5"/>
  <c r="H23" i="4" s="1"/>
  <c r="V10" i="5"/>
  <c r="W36" i="5"/>
  <c r="I36" i="4" s="1"/>
  <c r="V36" i="5"/>
  <c r="U36" i="5"/>
  <c r="G36" i="4" s="1"/>
  <c r="T58" i="5"/>
  <c r="T149" i="5"/>
  <c r="V13" i="5"/>
  <c r="H13" i="4" s="1"/>
  <c r="U13" i="5"/>
  <c r="G13" i="4" s="1"/>
  <c r="T13" i="5"/>
  <c r="T16" i="5"/>
  <c r="U33" i="5"/>
  <c r="T49" i="5"/>
  <c r="T81" i="5"/>
  <c r="T22" i="5"/>
  <c r="T30" i="5"/>
  <c r="T63" i="5"/>
  <c r="X95" i="5"/>
  <c r="W95" i="5"/>
  <c r="T18" i="5"/>
  <c r="T20" i="5"/>
  <c r="U24" i="5"/>
  <c r="U50" i="5"/>
  <c r="V44" i="5"/>
  <c r="T148" i="5"/>
  <c r="U44" i="5"/>
  <c r="V52" i="5"/>
  <c r="U61" i="5"/>
  <c r="T79" i="5"/>
  <c r="T113" i="5"/>
  <c r="U19" i="5"/>
  <c r="U38" i="5"/>
  <c r="V46" i="5"/>
  <c r="H46" i="4" s="1"/>
  <c r="U52" i="5"/>
  <c r="G52" i="4" s="1"/>
  <c r="V92" i="5"/>
  <c r="T117" i="5"/>
  <c r="T139" i="5"/>
  <c r="X43" i="5"/>
  <c r="J43" i="4" s="1"/>
  <c r="W43" i="5"/>
  <c r="I43" i="4" s="1"/>
  <c r="V43" i="5"/>
  <c r="H43" i="4" s="1"/>
  <c r="T64" i="5"/>
  <c r="U64" i="5" s="1"/>
  <c r="G64" i="4" s="1"/>
  <c r="U117" i="5"/>
  <c r="G117" i="4" s="1"/>
  <c r="U17" i="5"/>
  <c r="T29" i="5"/>
  <c r="V40" i="5"/>
  <c r="T43" i="5"/>
  <c r="U46" i="5"/>
  <c r="T140" i="5"/>
  <c r="V28" i="5"/>
  <c r="U29" i="5"/>
  <c r="G29" i="4" s="1"/>
  <c r="V37" i="5"/>
  <c r="H37" i="4" s="1"/>
  <c r="U43" i="5"/>
  <c r="G43" i="4" s="1"/>
  <c r="V51" i="5"/>
  <c r="H51" i="4" s="1"/>
  <c r="U62" i="5"/>
  <c r="U86" i="5"/>
  <c r="U74" i="5"/>
  <c r="G74" i="4" s="1"/>
  <c r="T74" i="5"/>
  <c r="V90" i="5"/>
  <c r="H90" i="4" s="1"/>
  <c r="U90" i="5"/>
  <c r="U100" i="5"/>
  <c r="T34" i="5"/>
  <c r="U37" i="5"/>
  <c r="V45" i="5"/>
  <c r="T48" i="5"/>
  <c r="U51" i="5"/>
  <c r="T90" i="5"/>
  <c r="U34" i="5"/>
  <c r="T69" i="5"/>
  <c r="U69" i="5" s="1"/>
  <c r="U12" i="5"/>
  <c r="T25" i="5"/>
  <c r="U26" i="5"/>
  <c r="W39" i="5"/>
  <c r="I39" i="4" s="1"/>
  <c r="V39" i="5"/>
  <c r="T42" i="5"/>
  <c r="U45" i="5"/>
  <c r="V53" i="5"/>
  <c r="U60" i="5"/>
  <c r="T60" i="5"/>
  <c r="T72" i="5"/>
  <c r="T105" i="5"/>
  <c r="T132" i="5"/>
  <c r="U132" i="5"/>
  <c r="G132" i="4" s="1"/>
  <c r="T107" i="5"/>
  <c r="V109" i="5"/>
  <c r="U59" i="5"/>
  <c r="T68" i="5"/>
  <c r="U68" i="5" s="1"/>
  <c r="G68" i="4" s="1"/>
  <c r="T71" i="5"/>
  <c r="T76" i="5"/>
  <c r="T83" i="5"/>
  <c r="T93" i="5"/>
  <c r="V95" i="5"/>
  <c r="U57" i="5"/>
  <c r="T78" i="5"/>
  <c r="T85" i="5"/>
  <c r="F85" i="4" s="1"/>
  <c r="V91" i="5"/>
  <c r="H91" i="4" s="1"/>
  <c r="X97" i="5"/>
  <c r="T99" i="5"/>
  <c r="U103" i="5"/>
  <c r="T103" i="5"/>
  <c r="F103" i="4" s="1"/>
  <c r="T146" i="5"/>
  <c r="T56" i="5"/>
  <c r="W67" i="5"/>
  <c r="X67" i="5" s="1"/>
  <c r="U67" i="5"/>
  <c r="T91" i="5"/>
  <c r="V97" i="5"/>
  <c r="U108" i="5"/>
  <c r="X108" i="5" s="1"/>
  <c r="J108" i="4" s="1"/>
  <c r="T118" i="5"/>
  <c r="T125" i="5"/>
  <c r="V133" i="5"/>
  <c r="T133" i="5"/>
  <c r="T73" i="5"/>
  <c r="T80" i="5"/>
  <c r="U91" i="5"/>
  <c r="W97" i="5"/>
  <c r="T108" i="5"/>
  <c r="U133" i="5"/>
  <c r="G133" i="4" s="1"/>
  <c r="V54" i="5"/>
  <c r="V55" i="5"/>
  <c r="V67" i="5"/>
  <c r="U70" i="5"/>
  <c r="T70" i="5"/>
  <c r="T89" i="5"/>
  <c r="Y97" i="5"/>
  <c r="K97" i="4" s="1"/>
  <c r="V108" i="5"/>
  <c r="U66" i="5"/>
  <c r="T75" i="5"/>
  <c r="U82" i="5"/>
  <c r="G82" i="4" s="1"/>
  <c r="T82" i="5"/>
  <c r="U94" i="5"/>
  <c r="W108" i="5"/>
  <c r="U114" i="5"/>
  <c r="T126" i="5"/>
  <c r="V126" i="5" s="1"/>
  <c r="U65" i="5"/>
  <c r="V66" i="5"/>
  <c r="H66" i="4" s="1"/>
  <c r="V77" i="5"/>
  <c r="H77" i="4" s="1"/>
  <c r="U77" i="5"/>
  <c r="T77" i="5"/>
  <c r="T84" i="5"/>
  <c r="T104" i="5"/>
  <c r="U126" i="5"/>
  <c r="G126" i="4" s="1"/>
  <c r="T122" i="5"/>
  <c r="T129" i="5"/>
  <c r="T136" i="5"/>
  <c r="T143" i="5"/>
  <c r="W92" i="5"/>
  <c r="I92" i="4" s="1"/>
  <c r="W106" i="5"/>
  <c r="V116" i="5"/>
  <c r="H116" i="4" s="1"/>
  <c r="T116" i="5"/>
  <c r="T128" i="5"/>
  <c r="V135" i="5"/>
  <c r="H135" i="4" s="1"/>
  <c r="T135" i="5"/>
  <c r="T142" i="5"/>
  <c r="T145" i="5"/>
  <c r="T88" i="5"/>
  <c r="X92" i="5"/>
  <c r="J92" i="4" s="1"/>
  <c r="T102" i="5"/>
  <c r="U102" i="5" s="1"/>
  <c r="X106" i="5"/>
  <c r="U116" i="5"/>
  <c r="G116" i="4" s="1"/>
  <c r="U135" i="5"/>
  <c r="G135" i="4" s="1"/>
  <c r="U142" i="5"/>
  <c r="U145" i="5"/>
  <c r="G145" i="4" s="1"/>
  <c r="T87" i="5"/>
  <c r="U88" i="5"/>
  <c r="G88" i="4" s="1"/>
  <c r="T101" i="5"/>
  <c r="Y106" i="5"/>
  <c r="T115" i="5"/>
  <c r="T120" i="5"/>
  <c r="T124" i="5"/>
  <c r="T131" i="5"/>
  <c r="T138" i="5"/>
  <c r="H149" i="6"/>
  <c r="D149" i="4" s="1"/>
  <c r="E149" i="4" s="1"/>
  <c r="H142" i="6"/>
  <c r="D142" i="4" s="1"/>
  <c r="E142" i="4" s="1"/>
  <c r="H135" i="6"/>
  <c r="D135" i="4" s="1"/>
  <c r="H128" i="6"/>
  <c r="D128" i="4" s="1"/>
  <c r="H121" i="6"/>
  <c r="D121" i="4" s="1"/>
  <c r="E121" i="4" s="1"/>
  <c r="H114" i="6"/>
  <c r="D114" i="4" s="1"/>
  <c r="H107" i="6"/>
  <c r="D107" i="4" s="1"/>
  <c r="H147" i="6"/>
  <c r="D147" i="4" s="1"/>
  <c r="H140" i="6"/>
  <c r="D140" i="4" s="1"/>
  <c r="E140" i="4" s="1"/>
  <c r="H133" i="6"/>
  <c r="D133" i="4" s="1"/>
  <c r="E133" i="4" s="1"/>
  <c r="H126" i="6"/>
  <c r="D126" i="4" s="1"/>
  <c r="H119" i="6"/>
  <c r="D119" i="4" s="1"/>
  <c r="E119" i="4" s="1"/>
  <c r="H112" i="6"/>
  <c r="D112" i="4" s="1"/>
  <c r="H105" i="6"/>
  <c r="D105" i="4" s="1"/>
  <c r="E105" i="4" s="1"/>
  <c r="H98" i="6"/>
  <c r="D98" i="4" s="1"/>
  <c r="E98" i="4" s="1"/>
  <c r="H91" i="6"/>
  <c r="D91" i="4" s="1"/>
  <c r="E91" i="4" s="1"/>
  <c r="H84" i="6"/>
  <c r="D84" i="4" s="1"/>
  <c r="E84" i="4" s="1"/>
  <c r="H77" i="6"/>
  <c r="D77" i="4" s="1"/>
  <c r="E77" i="4" s="1"/>
  <c r="H70" i="6"/>
  <c r="D70" i="4" s="1"/>
  <c r="E70" i="4" s="1"/>
  <c r="H63" i="6"/>
  <c r="D63" i="4" s="1"/>
  <c r="E63" i="4" s="1"/>
  <c r="H56" i="6"/>
  <c r="D56" i="4" s="1"/>
  <c r="H49" i="6"/>
  <c r="D49" i="4" s="1"/>
  <c r="H42" i="6"/>
  <c r="D42" i="4" s="1"/>
  <c r="E42" i="4" s="1"/>
  <c r="H35" i="6"/>
  <c r="D35" i="4" s="1"/>
  <c r="E35" i="4" s="1"/>
  <c r="H28" i="6"/>
  <c r="D28" i="4" s="1"/>
  <c r="H21" i="6"/>
  <c r="D21" i="4" s="1"/>
  <c r="E21" i="4" s="1"/>
  <c r="H14" i="6"/>
  <c r="D14" i="4" s="1"/>
  <c r="H146" i="6"/>
  <c r="D146" i="4" s="1"/>
  <c r="H139" i="6"/>
  <c r="D139" i="4" s="1"/>
  <c r="E139" i="4" s="1"/>
  <c r="H132" i="6"/>
  <c r="D132" i="4" s="1"/>
  <c r="E132" i="4" s="1"/>
  <c r="H125" i="6"/>
  <c r="D125" i="4" s="1"/>
  <c r="H118" i="6"/>
  <c r="D118" i="4" s="1"/>
  <c r="E118" i="4" s="1"/>
  <c r="H111" i="6"/>
  <c r="D111" i="4" s="1"/>
  <c r="H104" i="6"/>
  <c r="D104" i="4" s="1"/>
  <c r="H97" i="6"/>
  <c r="D97" i="4" s="1"/>
  <c r="H90" i="6"/>
  <c r="D90" i="4" s="1"/>
  <c r="H83" i="6"/>
  <c r="D83" i="4" s="1"/>
  <c r="E83" i="4" s="1"/>
  <c r="H76" i="6"/>
  <c r="D76" i="4" s="1"/>
  <c r="E76" i="4" s="1"/>
  <c r="H69" i="6"/>
  <c r="D69" i="4" s="1"/>
  <c r="E69" i="4" s="1"/>
  <c r="H62" i="6"/>
  <c r="D62" i="4" s="1"/>
  <c r="H55" i="6"/>
  <c r="D55" i="4" s="1"/>
  <c r="H48" i="6"/>
  <c r="D48" i="4" s="1"/>
  <c r="E48" i="4" s="1"/>
  <c r="H41" i="6"/>
  <c r="D41" i="4" s="1"/>
  <c r="E41" i="4" s="1"/>
  <c r="H34" i="6"/>
  <c r="D34" i="4" s="1"/>
  <c r="E34" i="4" s="1"/>
  <c r="H27" i="6"/>
  <c r="D27" i="4" s="1"/>
  <c r="H20" i="6"/>
  <c r="D20" i="4" s="1"/>
  <c r="H13" i="6"/>
  <c r="D13" i="4" s="1"/>
  <c r="H145" i="6"/>
  <c r="D145" i="4" s="1"/>
  <c r="H138" i="6"/>
  <c r="D138" i="4" s="1"/>
  <c r="E138" i="4" s="1"/>
  <c r="H131" i="6"/>
  <c r="D131" i="4" s="1"/>
  <c r="E131" i="4" s="1"/>
  <c r="H124" i="6"/>
  <c r="D124" i="4" s="1"/>
  <c r="E124" i="4" s="1"/>
  <c r="H117" i="6"/>
  <c r="D117" i="4" s="1"/>
  <c r="E117" i="4" s="1"/>
  <c r="H110" i="6"/>
  <c r="D110" i="4" s="1"/>
  <c r="H103" i="6"/>
  <c r="D103" i="4" s="1"/>
  <c r="H96" i="6"/>
  <c r="D96" i="4" s="1"/>
  <c r="H144" i="6"/>
  <c r="D144" i="4" s="1"/>
  <c r="E144" i="4" s="1"/>
  <c r="H137" i="6"/>
  <c r="D137" i="4" s="1"/>
  <c r="E137" i="4" s="1"/>
  <c r="H130" i="6"/>
  <c r="D130" i="4" s="1"/>
  <c r="E130" i="4" s="1"/>
  <c r="H123" i="6"/>
  <c r="D123" i="4" s="1"/>
  <c r="H116" i="6"/>
  <c r="D116" i="4" s="1"/>
  <c r="H109" i="6"/>
  <c r="D109" i="4" s="1"/>
  <c r="H102" i="6"/>
  <c r="D102" i="4" s="1"/>
  <c r="E102" i="4" s="1"/>
  <c r="H95" i="6"/>
  <c r="D95" i="4" s="1"/>
  <c r="H88" i="6"/>
  <c r="D88" i="4" s="1"/>
  <c r="H81" i="6"/>
  <c r="D81" i="4" s="1"/>
  <c r="E81" i="4" s="1"/>
  <c r="H74" i="6"/>
  <c r="D74" i="4" s="1"/>
  <c r="H67" i="6"/>
  <c r="D67" i="4" s="1"/>
  <c r="H60" i="6"/>
  <c r="D60" i="4" s="1"/>
  <c r="H53" i="6"/>
  <c r="D53" i="4" s="1"/>
  <c r="H46" i="6"/>
  <c r="D46" i="4" s="1"/>
  <c r="H39" i="6"/>
  <c r="D39" i="4" s="1"/>
  <c r="H32" i="6"/>
  <c r="D32" i="4" s="1"/>
  <c r="E32" i="4" s="1"/>
  <c r="H25" i="6"/>
  <c r="D25" i="4" s="1"/>
  <c r="E25" i="4" s="1"/>
  <c r="H18" i="6"/>
  <c r="D18" i="4" s="1"/>
  <c r="H31" i="6"/>
  <c r="D31" i="4" s="1"/>
  <c r="H45" i="6"/>
  <c r="D45" i="4" s="1"/>
  <c r="H59" i="6"/>
  <c r="D59" i="4" s="1"/>
  <c r="H73" i="6"/>
  <c r="D73" i="4" s="1"/>
  <c r="H87" i="6"/>
  <c r="D87" i="4" s="1"/>
  <c r="E87" i="4" s="1"/>
  <c r="H122" i="6"/>
  <c r="D122" i="4" s="1"/>
  <c r="E122" i="4" s="1"/>
  <c r="H141" i="6"/>
  <c r="D141" i="4" s="1"/>
  <c r="E141" i="4" s="1"/>
  <c r="V127" i="5"/>
  <c r="H127" i="4" s="1"/>
  <c r="T127" i="5"/>
  <c r="T134" i="5"/>
  <c r="T141" i="5"/>
  <c r="T147" i="5"/>
  <c r="H9" i="6"/>
  <c r="D9" i="4" s="1"/>
  <c r="H33" i="6"/>
  <c r="D33" i="4" s="1"/>
  <c r="H47" i="6"/>
  <c r="D47" i="4" s="1"/>
  <c r="H61" i="6"/>
  <c r="D61" i="4" s="1"/>
  <c r="H75" i="6"/>
  <c r="D75" i="4" s="1"/>
  <c r="H89" i="6"/>
  <c r="D89" i="4" s="1"/>
  <c r="T98" i="5"/>
  <c r="U98" i="5" s="1"/>
  <c r="T112" i="5"/>
  <c r="T119" i="5"/>
  <c r="U127" i="5"/>
  <c r="T144" i="5"/>
  <c r="U147" i="5"/>
  <c r="G147" i="4" s="1"/>
  <c r="H10" i="6"/>
  <c r="D10" i="4" s="1"/>
  <c r="H106" i="6"/>
  <c r="D106" i="4" s="1"/>
  <c r="U112" i="5"/>
  <c r="G112" i="4" s="1"/>
  <c r="T123" i="5"/>
  <c r="W127" i="5"/>
  <c r="I127" i="4" s="1"/>
  <c r="T130" i="5"/>
  <c r="T137" i="5"/>
  <c r="U144" i="5"/>
  <c r="G144" i="4" s="1"/>
  <c r="H108" i="6"/>
  <c r="D108" i="4" s="1"/>
  <c r="E108" i="4" s="1"/>
  <c r="H127" i="6"/>
  <c r="D127" i="4" s="1"/>
  <c r="E127" i="4" s="1"/>
  <c r="T96" i="5"/>
  <c r="T110" i="5"/>
  <c r="U111" i="5"/>
  <c r="V112" i="5"/>
  <c r="H112" i="4" s="1"/>
  <c r="H23" i="6"/>
  <c r="D23" i="4" s="1"/>
  <c r="H36" i="6"/>
  <c r="D36" i="4" s="1"/>
  <c r="H50" i="6"/>
  <c r="D50" i="4" s="1"/>
  <c r="H64" i="6"/>
  <c r="D64" i="4" s="1"/>
  <c r="H78" i="6"/>
  <c r="D78" i="4" s="1"/>
  <c r="H92" i="6"/>
  <c r="D92" i="4" s="1"/>
  <c r="H129" i="6"/>
  <c r="D129" i="4" s="1"/>
  <c r="H148" i="6"/>
  <c r="D148" i="4" s="1"/>
  <c r="E148" i="4" s="1"/>
  <c r="G69" i="4" l="1"/>
  <c r="G98" i="4"/>
  <c r="J67" i="4"/>
  <c r="Y67" i="5"/>
  <c r="K67" i="4" s="1"/>
  <c r="Z67" i="5"/>
  <c r="L67" i="4" s="1"/>
  <c r="G102" i="4"/>
  <c r="V149" i="5"/>
  <c r="V138" i="5"/>
  <c r="H138" i="4" s="1"/>
  <c r="H126" i="4"/>
  <c r="Y108" i="5"/>
  <c r="G100" i="4"/>
  <c r="V100" i="5"/>
  <c r="H100" i="4" s="1"/>
  <c r="J8" i="4"/>
  <c r="Y8" i="5"/>
  <c r="H41" i="4"/>
  <c r="W110" i="5"/>
  <c r="I110" i="4" s="1"/>
  <c r="X110" i="5"/>
  <c r="V110" i="5"/>
  <c r="H110" i="4" s="1"/>
  <c r="U110" i="5"/>
  <c r="G110" i="4" s="1"/>
  <c r="F110" i="4"/>
  <c r="F123" i="4"/>
  <c r="F61" i="4"/>
  <c r="E61" i="4"/>
  <c r="F146" i="4"/>
  <c r="V146" i="5"/>
  <c r="H146" i="4" s="1"/>
  <c r="W68" i="5"/>
  <c r="F132" i="4"/>
  <c r="H39" i="4"/>
  <c r="Z39" i="5"/>
  <c r="Y39" i="5"/>
  <c r="K39" i="4" s="1"/>
  <c r="X39" i="5"/>
  <c r="F48" i="4"/>
  <c r="U48" i="5"/>
  <c r="G90" i="4"/>
  <c r="W41" i="5"/>
  <c r="U143" i="5"/>
  <c r="F143" i="4"/>
  <c r="W91" i="5"/>
  <c r="I91" i="4" s="1"/>
  <c r="V103" i="5"/>
  <c r="H45" i="4"/>
  <c r="H52" i="4"/>
  <c r="W22" i="5"/>
  <c r="F22" i="4"/>
  <c r="U22" i="5"/>
  <c r="G22" i="4" s="1"/>
  <c r="G33" i="4"/>
  <c r="V33" i="5"/>
  <c r="H33" i="4" s="1"/>
  <c r="F47" i="4"/>
  <c r="U47" i="5"/>
  <c r="G47" i="4" s="1"/>
  <c r="V47" i="5"/>
  <c r="H47" i="4" s="1"/>
  <c r="G32" i="4"/>
  <c r="F111" i="4"/>
  <c r="E111" i="4"/>
  <c r="C7" i="1" s="1"/>
  <c r="F72" i="4"/>
  <c r="U72" i="5"/>
  <c r="V88" i="5"/>
  <c r="F88" i="4"/>
  <c r="U93" i="5"/>
  <c r="G93" i="4" s="1"/>
  <c r="F93" i="4"/>
  <c r="G51" i="4"/>
  <c r="W51" i="5"/>
  <c r="I51" i="4" s="1"/>
  <c r="G91" i="4"/>
  <c r="G59" i="4"/>
  <c r="F140" i="4"/>
  <c r="V140" i="5"/>
  <c r="H133" i="4"/>
  <c r="F105" i="4"/>
  <c r="U105" i="5"/>
  <c r="G105" i="4" s="1"/>
  <c r="G142" i="4"/>
  <c r="F144" i="4"/>
  <c r="F53" i="4"/>
  <c r="E53" i="4"/>
  <c r="G53" i="4"/>
  <c r="F14" i="4"/>
  <c r="E14" i="4"/>
  <c r="U120" i="5"/>
  <c r="F120" i="4"/>
  <c r="F145" i="4"/>
  <c r="F129" i="4"/>
  <c r="U129" i="5"/>
  <c r="F84" i="4"/>
  <c r="X103" i="5"/>
  <c r="J103" i="4" s="1"/>
  <c r="V26" i="5"/>
  <c r="G26" i="4"/>
  <c r="G86" i="4"/>
  <c r="V86" i="5"/>
  <c r="F117" i="4"/>
  <c r="G50" i="4"/>
  <c r="V22" i="5"/>
  <c r="H22" i="4" s="1"/>
  <c r="G106" i="4"/>
  <c r="F106" i="4"/>
  <c r="H106" i="4"/>
  <c r="V111" i="5"/>
  <c r="W111" i="5"/>
  <c r="I111" i="4" s="1"/>
  <c r="G111" i="4"/>
  <c r="F126" i="4"/>
  <c r="W126" i="5"/>
  <c r="F69" i="4"/>
  <c r="G70" i="4"/>
  <c r="V70" i="5"/>
  <c r="E33" i="4"/>
  <c r="F33" i="4"/>
  <c r="W69" i="5"/>
  <c r="V59" i="5"/>
  <c r="H59" i="4" s="1"/>
  <c r="H44" i="4"/>
  <c r="X44" i="5"/>
  <c r="J44" i="4" s="1"/>
  <c r="W44" i="5"/>
  <c r="F137" i="4"/>
  <c r="W137" i="5"/>
  <c r="I137" i="4" s="1"/>
  <c r="V137" i="5"/>
  <c r="V98" i="5"/>
  <c r="H98" i="4" s="1"/>
  <c r="V144" i="5"/>
  <c r="V145" i="5"/>
  <c r="V129" i="5"/>
  <c r="H129" i="4" s="1"/>
  <c r="U84" i="5"/>
  <c r="U104" i="5"/>
  <c r="F80" i="4"/>
  <c r="G60" i="4"/>
  <c r="U25" i="5"/>
  <c r="G25" i="4" s="1"/>
  <c r="F25" i="4"/>
  <c r="G34" i="4"/>
  <c r="W34" i="5"/>
  <c r="I34" i="4" s="1"/>
  <c r="V117" i="5"/>
  <c r="F113" i="4"/>
  <c r="U113" i="5"/>
  <c r="G113" i="4" s="1"/>
  <c r="W32" i="5"/>
  <c r="W77" i="5"/>
  <c r="I77" i="4" s="1"/>
  <c r="V132" i="5"/>
  <c r="F139" i="4"/>
  <c r="U139" i="5"/>
  <c r="V139" i="5" s="1"/>
  <c r="F128" i="4"/>
  <c r="W37" i="5"/>
  <c r="G38" i="4"/>
  <c r="V38" i="5"/>
  <c r="H38" i="4" s="1"/>
  <c r="W145" i="5"/>
  <c r="I145" i="4" s="1"/>
  <c r="V134" i="5"/>
  <c r="H134" i="4" s="1"/>
  <c r="U130" i="5"/>
  <c r="G130" i="4" s="1"/>
  <c r="F67" i="4"/>
  <c r="E67" i="4"/>
  <c r="F28" i="4"/>
  <c r="E28" i="4"/>
  <c r="W116" i="5"/>
  <c r="V84" i="5"/>
  <c r="H84" i="4" s="1"/>
  <c r="G66" i="4"/>
  <c r="U80" i="5"/>
  <c r="F91" i="4"/>
  <c r="H92" i="4"/>
  <c r="Y92" i="5"/>
  <c r="K92" i="4" s="1"/>
  <c r="Z92" i="5"/>
  <c r="L92" i="4" s="1"/>
  <c r="V113" i="5"/>
  <c r="W38" i="5"/>
  <c r="I38" i="4" s="1"/>
  <c r="W13" i="5"/>
  <c r="V69" i="5"/>
  <c r="H69" i="4" s="1"/>
  <c r="W90" i="5"/>
  <c r="I90" i="4" s="1"/>
  <c r="F46" i="4"/>
  <c r="E46" i="4"/>
  <c r="X138" i="5"/>
  <c r="J138" i="4" s="1"/>
  <c r="W138" i="5"/>
  <c r="I138" i="4" s="1"/>
  <c r="U138" i="5"/>
  <c r="F138" i="4"/>
  <c r="X127" i="5"/>
  <c r="J127" i="4" s="1"/>
  <c r="W147" i="5"/>
  <c r="I147" i="4" s="1"/>
  <c r="F147" i="4"/>
  <c r="F115" i="4"/>
  <c r="U115" i="5"/>
  <c r="U128" i="5"/>
  <c r="F82" i="4"/>
  <c r="V82" i="5"/>
  <c r="W82" i="5" s="1"/>
  <c r="I82" i="4" s="1"/>
  <c r="W66" i="5"/>
  <c r="H55" i="4"/>
  <c r="W55" i="5"/>
  <c r="F74" i="4"/>
  <c r="G46" i="4"/>
  <c r="W46" i="5"/>
  <c r="I46" i="4" s="1"/>
  <c r="I95" i="4"/>
  <c r="F81" i="4"/>
  <c r="U81" i="5"/>
  <c r="F124" i="4"/>
  <c r="U124" i="5"/>
  <c r="U137" i="5"/>
  <c r="F134" i="4"/>
  <c r="V142" i="5"/>
  <c r="W142" i="5" s="1"/>
  <c r="U122" i="5"/>
  <c r="F122" i="4"/>
  <c r="H54" i="4"/>
  <c r="W54" i="5"/>
  <c r="I54" i="4" s="1"/>
  <c r="F73" i="4"/>
  <c r="V73" i="5"/>
  <c r="W73" i="5" s="1"/>
  <c r="I73" i="4" s="1"/>
  <c r="U73" i="5"/>
  <c r="F125" i="4"/>
  <c r="U125" i="5"/>
  <c r="I67" i="4"/>
  <c r="F99" i="4"/>
  <c r="V99" i="5"/>
  <c r="U99" i="5"/>
  <c r="F78" i="4"/>
  <c r="U78" i="5"/>
  <c r="Y64" i="5"/>
  <c r="K64" i="4" s="1"/>
  <c r="V50" i="5"/>
  <c r="J95" i="4"/>
  <c r="G109" i="4"/>
  <c r="F109" i="4"/>
  <c r="E109" i="4"/>
  <c r="V68" i="5"/>
  <c r="H68" i="4" s="1"/>
  <c r="F68" i="4"/>
  <c r="F49" i="4"/>
  <c r="X49" i="5"/>
  <c r="J49" i="4" s="1"/>
  <c r="W49" i="5"/>
  <c r="V49" i="5"/>
  <c r="H49" i="4" s="1"/>
  <c r="U49" i="5"/>
  <c r="G49" i="4" s="1"/>
  <c r="G17" i="4"/>
  <c r="V17" i="5"/>
  <c r="F9" i="4"/>
  <c r="E9" i="4"/>
  <c r="G9" i="4"/>
  <c r="F130" i="4"/>
  <c r="X98" i="5"/>
  <c r="F98" i="4"/>
  <c r="W98" i="5"/>
  <c r="I98" i="4" s="1"/>
  <c r="K106" i="4"/>
  <c r="V122" i="5"/>
  <c r="H122" i="4" s="1"/>
  <c r="V125" i="5"/>
  <c r="H125" i="4" s="1"/>
  <c r="U56" i="5"/>
  <c r="F56" i="4"/>
  <c r="J97" i="4"/>
  <c r="V57" i="5"/>
  <c r="G57" i="4"/>
  <c r="F76" i="4"/>
  <c r="V76" i="5"/>
  <c r="V74" i="5"/>
  <c r="H74" i="4" s="1"/>
  <c r="G62" i="4"/>
  <c r="V62" i="5"/>
  <c r="U140" i="5"/>
  <c r="H40" i="4"/>
  <c r="X40" i="5"/>
  <c r="J40" i="4" s="1"/>
  <c r="W40" i="5"/>
  <c r="Y43" i="5"/>
  <c r="Y95" i="5"/>
  <c r="G94" i="4"/>
  <c r="W94" i="5"/>
  <c r="I94" i="4" s="1"/>
  <c r="V94" i="5"/>
  <c r="H94" i="4" s="1"/>
  <c r="F104" i="4"/>
  <c r="F149" i="4"/>
  <c r="U149" i="5"/>
  <c r="G103" i="4"/>
  <c r="W103" i="5"/>
  <c r="I103" i="4" s="1"/>
  <c r="X112" i="5"/>
  <c r="J112" i="4" s="1"/>
  <c r="W112" i="5"/>
  <c r="I112" i="4" s="1"/>
  <c r="F112" i="4"/>
  <c r="U134" i="5"/>
  <c r="W134" i="5" s="1"/>
  <c r="I134" i="4" s="1"/>
  <c r="V147" i="5"/>
  <c r="W135" i="5"/>
  <c r="I135" i="4" s="1"/>
  <c r="U123" i="5"/>
  <c r="V130" i="5"/>
  <c r="G127" i="4"/>
  <c r="G95" i="4"/>
  <c r="F95" i="4"/>
  <c r="G97" i="4"/>
  <c r="F97" i="4"/>
  <c r="E97" i="4"/>
  <c r="I108" i="4"/>
  <c r="W146" i="5"/>
  <c r="U146" i="5"/>
  <c r="U76" i="5"/>
  <c r="W74" i="5"/>
  <c r="I74" i="4" s="1"/>
  <c r="W29" i="5"/>
  <c r="F29" i="4"/>
  <c r="V29" i="5"/>
  <c r="H29" i="4" s="1"/>
  <c r="F79" i="4"/>
  <c r="V79" i="5"/>
  <c r="H79" i="4" s="1"/>
  <c r="U79" i="5"/>
  <c r="F13" i="4"/>
  <c r="Y41" i="5"/>
  <c r="K41" i="4" s="1"/>
  <c r="V21" i="5"/>
  <c r="X41" i="5"/>
  <c r="J41" i="4" s="1"/>
  <c r="U141" i="5"/>
  <c r="F141" i="4"/>
  <c r="F45" i="4"/>
  <c r="E45" i="4"/>
  <c r="F114" i="4"/>
  <c r="E114" i="4"/>
  <c r="F131" i="4"/>
  <c r="U131" i="5"/>
  <c r="U101" i="5"/>
  <c r="F101" i="4"/>
  <c r="V102" i="5"/>
  <c r="H102" i="4" s="1"/>
  <c r="F102" i="4"/>
  <c r="F135" i="4"/>
  <c r="G77" i="4"/>
  <c r="Z97" i="5"/>
  <c r="W133" i="5"/>
  <c r="F71" i="4"/>
  <c r="V71" i="5"/>
  <c r="W71" i="5" s="1"/>
  <c r="I71" i="4" s="1"/>
  <c r="U71" i="5"/>
  <c r="U42" i="5"/>
  <c r="F42" i="4"/>
  <c r="V42" i="5"/>
  <c r="F30" i="4"/>
  <c r="U30" i="5"/>
  <c r="H36" i="4"/>
  <c r="Y36" i="5"/>
  <c r="X36" i="5"/>
  <c r="J36" i="4" s="1"/>
  <c r="H15" i="4"/>
  <c r="W15" i="5"/>
  <c r="F148" i="4"/>
  <c r="F58" i="4"/>
  <c r="G23" i="4"/>
  <c r="F32" i="4"/>
  <c r="F21" i="4"/>
  <c r="V65" i="5"/>
  <c r="G65" i="4"/>
  <c r="G114" i="4"/>
  <c r="F75" i="4"/>
  <c r="F89" i="4"/>
  <c r="H53" i="4"/>
  <c r="W45" i="5"/>
  <c r="H28" i="4"/>
  <c r="G19" i="4"/>
  <c r="U148" i="5"/>
  <c r="G14" i="4"/>
  <c r="W21" i="5"/>
  <c r="I21" i="4" s="1"/>
  <c r="X11" i="5"/>
  <c r="W136" i="5"/>
  <c r="I136" i="4" s="1"/>
  <c r="U136" i="5"/>
  <c r="F136" i="4"/>
  <c r="V114" i="5"/>
  <c r="U75" i="5"/>
  <c r="U89" i="5"/>
  <c r="W109" i="5"/>
  <c r="H109" i="4"/>
  <c r="W53" i="5"/>
  <c r="F90" i="4"/>
  <c r="W64" i="5"/>
  <c r="I64" i="4" s="1"/>
  <c r="F43" i="4"/>
  <c r="G61" i="4"/>
  <c r="U18" i="5"/>
  <c r="F18" i="4"/>
  <c r="F63" i="4"/>
  <c r="V14" i="5"/>
  <c r="F121" i="4"/>
  <c r="Y11" i="5"/>
  <c r="K11" i="4" s="1"/>
  <c r="J106" i="4"/>
  <c r="F142" i="4"/>
  <c r="X116" i="5"/>
  <c r="J116" i="4" s="1"/>
  <c r="F116" i="4"/>
  <c r="V136" i="5"/>
  <c r="H136" i="4" s="1"/>
  <c r="W114" i="5"/>
  <c r="F70" i="4"/>
  <c r="U118" i="5"/>
  <c r="F133" i="4"/>
  <c r="H97" i="4"/>
  <c r="X53" i="5"/>
  <c r="J53" i="4" s="1"/>
  <c r="V12" i="5"/>
  <c r="G12" i="4"/>
  <c r="Y44" i="5"/>
  <c r="V18" i="5"/>
  <c r="V121" i="5"/>
  <c r="H121" i="4" s="1"/>
  <c r="F16" i="4"/>
  <c r="U58" i="5"/>
  <c r="G41" i="4"/>
  <c r="H9" i="4"/>
  <c r="U96" i="5"/>
  <c r="F96" i="4"/>
  <c r="U119" i="5"/>
  <c r="F119" i="4"/>
  <c r="F127" i="4"/>
  <c r="U87" i="5"/>
  <c r="F87" i="4"/>
  <c r="I106" i="4"/>
  <c r="Z106" i="5"/>
  <c r="X77" i="5"/>
  <c r="F77" i="4"/>
  <c r="F108" i="4"/>
  <c r="V60" i="5"/>
  <c r="F60" i="4"/>
  <c r="X90" i="5"/>
  <c r="Z64" i="5"/>
  <c r="L64" i="4" s="1"/>
  <c r="V34" i="5"/>
  <c r="W52" i="5"/>
  <c r="U16" i="5"/>
  <c r="V19" i="5"/>
  <c r="W23" i="5"/>
  <c r="I23" i="4" s="1"/>
  <c r="F41" i="4"/>
  <c r="W9" i="5"/>
  <c r="F118" i="4"/>
  <c r="U107" i="5"/>
  <c r="F107" i="4"/>
  <c r="X64" i="5"/>
  <c r="J64" i="4" s="1"/>
  <c r="F64" i="4"/>
  <c r="V24" i="5"/>
  <c r="G24" i="4"/>
  <c r="F35" i="4"/>
  <c r="Z41" i="5"/>
  <c r="G28" i="4"/>
  <c r="V32" i="5"/>
  <c r="H32" i="4" s="1"/>
  <c r="H95" i="4"/>
  <c r="F83" i="4"/>
  <c r="G37" i="4"/>
  <c r="U35" i="5"/>
  <c r="F27" i="4"/>
  <c r="W28" i="5"/>
  <c r="H108" i="4"/>
  <c r="H67" i="4"/>
  <c r="I97" i="4"/>
  <c r="G108" i="4"/>
  <c r="AA67" i="5"/>
  <c r="G67" i="4"/>
  <c r="U85" i="5"/>
  <c r="Z95" i="5"/>
  <c r="L95" i="4" s="1"/>
  <c r="U83" i="5"/>
  <c r="G45" i="4"/>
  <c r="F34" i="4"/>
  <c r="V64" i="5"/>
  <c r="H64" i="4" s="1"/>
  <c r="V61" i="5"/>
  <c r="G44" i="4"/>
  <c r="U20" i="5"/>
  <c r="F20" i="4"/>
  <c r="U63" i="5"/>
  <c r="W10" i="5"/>
  <c r="H10" i="4"/>
  <c r="U27" i="5"/>
  <c r="U31" i="5"/>
  <c r="F31" i="4"/>
  <c r="U121" i="5"/>
  <c r="I142" i="4" l="1"/>
  <c r="X142" i="5"/>
  <c r="J142" i="4" s="1"/>
  <c r="H24" i="4"/>
  <c r="W24" i="5"/>
  <c r="K44" i="4"/>
  <c r="Z44" i="5"/>
  <c r="L44" i="4" s="1"/>
  <c r="I45" i="4"/>
  <c r="X45" i="5"/>
  <c r="J45" i="4" s="1"/>
  <c r="I37" i="4"/>
  <c r="X37" i="5"/>
  <c r="J37" i="4" s="1"/>
  <c r="H117" i="4"/>
  <c r="G104" i="4"/>
  <c r="H88" i="4"/>
  <c r="X88" i="5"/>
  <c r="J88" i="4" s="1"/>
  <c r="W88" i="5"/>
  <c r="Y88" i="5" s="1"/>
  <c r="G143" i="4"/>
  <c r="V143" i="5"/>
  <c r="H143" i="4" s="1"/>
  <c r="W143" i="5"/>
  <c r="I68" i="4"/>
  <c r="X68" i="5"/>
  <c r="J110" i="4"/>
  <c r="J98" i="4"/>
  <c r="Z98" i="5"/>
  <c r="L98" i="4" s="1"/>
  <c r="AA98" i="5"/>
  <c r="M98" i="4" s="1"/>
  <c r="Y98" i="5"/>
  <c r="I49" i="4"/>
  <c r="Y49" i="5"/>
  <c r="K49" i="4" s="1"/>
  <c r="W84" i="5"/>
  <c r="I69" i="4"/>
  <c r="H86" i="4"/>
  <c r="W86" i="5"/>
  <c r="AA92" i="5"/>
  <c r="H140" i="4"/>
  <c r="Y110" i="5"/>
  <c r="K110" i="4" s="1"/>
  <c r="G96" i="4"/>
  <c r="V96" i="5"/>
  <c r="H96" i="4" s="1"/>
  <c r="M67" i="4"/>
  <c r="AB67" i="5"/>
  <c r="N67" i="4" s="1"/>
  <c r="I66" i="4"/>
  <c r="Y66" i="5"/>
  <c r="X66" i="5"/>
  <c r="J66" i="4" s="1"/>
  <c r="H149" i="4"/>
  <c r="W149" i="5"/>
  <c r="I149" i="4" s="1"/>
  <c r="Y149" i="5"/>
  <c r="K149" i="4" s="1"/>
  <c r="X149" i="5"/>
  <c r="J149" i="4" s="1"/>
  <c r="H139" i="4"/>
  <c r="X136" i="5"/>
  <c r="Y136" i="5" s="1"/>
  <c r="K136" i="4" s="1"/>
  <c r="H130" i="4"/>
  <c r="I13" i="4"/>
  <c r="X13" i="5"/>
  <c r="I22" i="4"/>
  <c r="G30" i="4"/>
  <c r="V30" i="5"/>
  <c r="H30" i="4" s="1"/>
  <c r="AC67" i="5"/>
  <c r="O67" i="4" s="1"/>
  <c r="AC64" i="5"/>
  <c r="G123" i="4"/>
  <c r="W130" i="5"/>
  <c r="X21" i="5"/>
  <c r="W79" i="5"/>
  <c r="AA64" i="5"/>
  <c r="M64" i="4" s="1"/>
  <c r="H76" i="4"/>
  <c r="W76" i="5"/>
  <c r="W104" i="5"/>
  <c r="I104" i="4" s="1"/>
  <c r="X134" i="5"/>
  <c r="H137" i="4"/>
  <c r="X137" i="5"/>
  <c r="G120" i="4"/>
  <c r="V120" i="5"/>
  <c r="I114" i="4"/>
  <c r="H62" i="4"/>
  <c r="W62" i="5"/>
  <c r="I62" i="4" s="1"/>
  <c r="H61" i="4"/>
  <c r="W61" i="5"/>
  <c r="I61" i="4" s="1"/>
  <c r="G27" i="4"/>
  <c r="W27" i="5"/>
  <c r="I27" i="4" s="1"/>
  <c r="V27" i="5"/>
  <c r="H27" i="4" s="1"/>
  <c r="X27" i="5"/>
  <c r="J90" i="4"/>
  <c r="I9" i="4"/>
  <c r="X9" i="5"/>
  <c r="I15" i="4"/>
  <c r="X15" i="5"/>
  <c r="I133" i="4"/>
  <c r="X133" i="5"/>
  <c r="J133" i="4" s="1"/>
  <c r="X79" i="5"/>
  <c r="I146" i="4"/>
  <c r="H147" i="4"/>
  <c r="X147" i="5"/>
  <c r="Y147" i="5" s="1"/>
  <c r="X146" i="5"/>
  <c r="B7" i="1"/>
  <c r="E150" i="4"/>
  <c r="G124" i="4"/>
  <c r="V124" i="5"/>
  <c r="X124" i="5"/>
  <c r="J124" i="4" s="1"/>
  <c r="V104" i="5"/>
  <c r="H104" i="4" s="1"/>
  <c r="H132" i="4"/>
  <c r="V123" i="5"/>
  <c r="H123" i="4" s="1"/>
  <c r="H18" i="4"/>
  <c r="H71" i="4"/>
  <c r="H73" i="4"/>
  <c r="Y73" i="5"/>
  <c r="K73" i="4" s="1"/>
  <c r="I32" i="4"/>
  <c r="W120" i="5"/>
  <c r="I120" i="4" s="1"/>
  <c r="L39" i="4"/>
  <c r="K36" i="4"/>
  <c r="Z36" i="5"/>
  <c r="L36" i="4" s="1"/>
  <c r="G87" i="4"/>
  <c r="V87" i="5"/>
  <c r="H87" i="4" s="1"/>
  <c r="G107" i="4"/>
  <c r="C9" i="1" s="1"/>
  <c r="W107" i="5"/>
  <c r="I107" i="4" s="1"/>
  <c r="V107" i="5"/>
  <c r="I10" i="4"/>
  <c r="Y10" i="5"/>
  <c r="K10" i="4" s="1"/>
  <c r="X10" i="5"/>
  <c r="J10" i="4" s="1"/>
  <c r="H99" i="4"/>
  <c r="W99" i="5"/>
  <c r="G118" i="4"/>
  <c r="V118" i="5"/>
  <c r="H42" i="4"/>
  <c r="X42" i="5"/>
  <c r="J42" i="4" s="1"/>
  <c r="I109" i="4"/>
  <c r="Y109" i="5"/>
  <c r="K109" i="4" s="1"/>
  <c r="X109" i="5"/>
  <c r="G148" i="4"/>
  <c r="V148" i="5"/>
  <c r="W148" i="5"/>
  <c r="I148" i="4" s="1"/>
  <c r="W42" i="5"/>
  <c r="L97" i="4"/>
  <c r="AA97" i="5"/>
  <c r="G131" i="4"/>
  <c r="V131" i="5"/>
  <c r="H21" i="4"/>
  <c r="H17" i="4"/>
  <c r="W17" i="5"/>
  <c r="W124" i="5"/>
  <c r="I124" i="4" s="1"/>
  <c r="I126" i="4"/>
  <c r="X126" i="5"/>
  <c r="Y126" i="5" s="1"/>
  <c r="I53" i="4"/>
  <c r="Y53" i="5"/>
  <c r="K53" i="4" s="1"/>
  <c r="C8" i="1"/>
  <c r="W117" i="5"/>
  <c r="Z49" i="5"/>
  <c r="L49" i="4" s="1"/>
  <c r="X69" i="5"/>
  <c r="H12" i="4"/>
  <c r="W12" i="5"/>
  <c r="I12" i="4" s="1"/>
  <c r="X76" i="5"/>
  <c r="J76" i="4" s="1"/>
  <c r="G72" i="4"/>
  <c r="V72" i="5"/>
  <c r="H72" i="4" s="1"/>
  <c r="B8" i="1"/>
  <c r="D8" i="1" s="1"/>
  <c r="F150" i="4"/>
  <c r="H113" i="4"/>
  <c r="W113" i="5"/>
  <c r="I113" i="4" s="1"/>
  <c r="L41" i="4"/>
  <c r="AA41" i="5"/>
  <c r="AB41" i="5"/>
  <c r="N41" i="4" s="1"/>
  <c r="G35" i="4"/>
  <c r="V35" i="5"/>
  <c r="W35" i="5"/>
  <c r="I35" i="4" s="1"/>
  <c r="X35" i="5"/>
  <c r="J35" i="4" s="1"/>
  <c r="J77" i="4"/>
  <c r="Z77" i="5"/>
  <c r="L77" i="4" s="1"/>
  <c r="G119" i="4"/>
  <c r="V119" i="5"/>
  <c r="W119" i="5"/>
  <c r="I119" i="4" s="1"/>
  <c r="X119" i="5"/>
  <c r="J119" i="4" s="1"/>
  <c r="Y77" i="5"/>
  <c r="K77" i="4" s="1"/>
  <c r="G89" i="4"/>
  <c r="V89" i="5"/>
  <c r="I29" i="4"/>
  <c r="X29" i="5"/>
  <c r="W132" i="5"/>
  <c r="I132" i="4" s="1"/>
  <c r="K108" i="4"/>
  <c r="Z108" i="5"/>
  <c r="I52" i="4"/>
  <c r="G18" i="4"/>
  <c r="W18" i="5"/>
  <c r="I18" i="4" s="1"/>
  <c r="X74" i="5"/>
  <c r="G79" i="4"/>
  <c r="G146" i="4"/>
  <c r="AA36" i="5"/>
  <c r="M36" i="4" s="1"/>
  <c r="G140" i="4"/>
  <c r="W140" i="5"/>
  <c r="H50" i="4"/>
  <c r="Y74" i="5"/>
  <c r="K74" i="4" s="1"/>
  <c r="W70" i="5"/>
  <c r="X91" i="5"/>
  <c r="X46" i="5"/>
  <c r="W102" i="5"/>
  <c r="G48" i="4"/>
  <c r="V48" i="5"/>
  <c r="H34" i="4"/>
  <c r="J11" i="4"/>
  <c r="Z11" i="5"/>
  <c r="AA11" i="5" s="1"/>
  <c r="AB64" i="5"/>
  <c r="N64" i="4" s="1"/>
  <c r="G71" i="4"/>
  <c r="G134" i="4"/>
  <c r="K95" i="4"/>
  <c r="AA95" i="5"/>
  <c r="G99" i="4"/>
  <c r="G73" i="4"/>
  <c r="X73" i="5"/>
  <c r="J73" i="4" s="1"/>
  <c r="Y134" i="5"/>
  <c r="K134" i="4" s="1"/>
  <c r="Z74" i="5"/>
  <c r="L74" i="4" s="1"/>
  <c r="G128" i="4"/>
  <c r="Y138" i="5"/>
  <c r="W60" i="5"/>
  <c r="X32" i="5"/>
  <c r="G129" i="4"/>
  <c r="X52" i="5"/>
  <c r="X102" i="5"/>
  <c r="J102" i="4" s="1"/>
  <c r="G84" i="4"/>
  <c r="K43" i="4"/>
  <c r="H82" i="4"/>
  <c r="X34" i="5"/>
  <c r="Z34" i="5" s="1"/>
  <c r="L34" i="4" s="1"/>
  <c r="H26" i="4"/>
  <c r="W129" i="5"/>
  <c r="K8" i="4"/>
  <c r="H70" i="4"/>
  <c r="G75" i="4"/>
  <c r="G78" i="4"/>
  <c r="G115" i="4"/>
  <c r="V115" i="5"/>
  <c r="G80" i="4"/>
  <c r="G63" i="4"/>
  <c r="V63" i="5"/>
  <c r="I28" i="4"/>
  <c r="X28" i="5"/>
  <c r="Y127" i="5"/>
  <c r="H14" i="4"/>
  <c r="W14" i="5"/>
  <c r="X71" i="5"/>
  <c r="G141" i="4"/>
  <c r="V141" i="5"/>
  <c r="W141" i="5" s="1"/>
  <c r="G149" i="4"/>
  <c r="W122" i="5"/>
  <c r="X122" i="5" s="1"/>
  <c r="G137" i="4"/>
  <c r="X38" i="5"/>
  <c r="X22" i="5"/>
  <c r="V105" i="5"/>
  <c r="H145" i="4"/>
  <c r="H111" i="4"/>
  <c r="W26" i="5"/>
  <c r="Y145" i="5"/>
  <c r="K145" i="4" s="1"/>
  <c r="V93" i="5"/>
  <c r="W47" i="5"/>
  <c r="Y90" i="5"/>
  <c r="K90" i="4" s="1"/>
  <c r="Z8" i="5"/>
  <c r="V78" i="5"/>
  <c r="I116" i="4"/>
  <c r="Y116" i="5"/>
  <c r="Z116" i="5" s="1"/>
  <c r="Y103" i="5"/>
  <c r="W50" i="5"/>
  <c r="Y26" i="5"/>
  <c r="X84" i="5"/>
  <c r="J84" i="4" s="1"/>
  <c r="X47" i="5"/>
  <c r="J47" i="4" s="1"/>
  <c r="I41" i="4"/>
  <c r="G83" i="4"/>
  <c r="W83" i="5"/>
  <c r="I83" i="4" s="1"/>
  <c r="V83" i="5"/>
  <c r="H60" i="4"/>
  <c r="H114" i="4"/>
  <c r="X114" i="5"/>
  <c r="J114" i="4" s="1"/>
  <c r="G42" i="4"/>
  <c r="Y42" i="5"/>
  <c r="K42" i="4" s="1"/>
  <c r="G121" i="4"/>
  <c r="W121" i="5"/>
  <c r="I121" i="4" s="1"/>
  <c r="Y34" i="5"/>
  <c r="K34" i="4" s="1"/>
  <c r="H19" i="4"/>
  <c r="W19" i="5"/>
  <c r="L106" i="4"/>
  <c r="AA106" i="5"/>
  <c r="X23" i="5"/>
  <c r="Z43" i="5"/>
  <c r="L43" i="4" s="1"/>
  <c r="Z42" i="5"/>
  <c r="L42" i="4" s="1"/>
  <c r="G101" i="4"/>
  <c r="V101" i="5"/>
  <c r="Y142" i="5"/>
  <c r="K142" i="4" s="1"/>
  <c r="I40" i="4"/>
  <c r="H57" i="4"/>
  <c r="W57" i="5"/>
  <c r="Y68" i="5"/>
  <c r="K68" i="4" s="1"/>
  <c r="X54" i="5"/>
  <c r="G122" i="4"/>
  <c r="G81" i="4"/>
  <c r="V81" i="5"/>
  <c r="V128" i="5"/>
  <c r="H144" i="4"/>
  <c r="W144" i="5"/>
  <c r="I44" i="4"/>
  <c r="AA44" i="5"/>
  <c r="M44" i="4" s="1"/>
  <c r="X26" i="5"/>
  <c r="J26" i="4" s="1"/>
  <c r="Y84" i="5"/>
  <c r="K84" i="4" s="1"/>
  <c r="X51" i="5"/>
  <c r="Y47" i="5"/>
  <c r="K47" i="4" s="1"/>
  <c r="H103" i="4"/>
  <c r="Z110" i="5"/>
  <c r="L110" i="4" s="1"/>
  <c r="W100" i="5"/>
  <c r="AB44" i="5"/>
  <c r="N44" i="4" s="1"/>
  <c r="Y52" i="5"/>
  <c r="G58" i="4"/>
  <c r="V58" i="5"/>
  <c r="H65" i="4"/>
  <c r="W65" i="5"/>
  <c r="W78" i="5"/>
  <c r="I78" i="4" s="1"/>
  <c r="G125" i="4"/>
  <c r="I55" i="4"/>
  <c r="X55" i="5"/>
  <c r="Y29" i="5"/>
  <c r="K29" i="4" s="1"/>
  <c r="G139" i="4"/>
  <c r="X145" i="5"/>
  <c r="Y51" i="5"/>
  <c r="K51" i="4" s="1"/>
  <c r="AA49" i="5"/>
  <c r="M49" i="4" s="1"/>
  <c r="Y135" i="5"/>
  <c r="K135" i="4" s="1"/>
  <c r="Y91" i="5"/>
  <c r="K91" i="4" s="1"/>
  <c r="G85" i="4"/>
  <c r="V85" i="5"/>
  <c r="G16" i="4"/>
  <c r="V16" i="5"/>
  <c r="G31" i="4"/>
  <c r="V31" i="5"/>
  <c r="H31" i="4" s="1"/>
  <c r="W31" i="5"/>
  <c r="G20" i="4"/>
  <c r="V20" i="5"/>
  <c r="Y112" i="5"/>
  <c r="X94" i="5"/>
  <c r="Y94" i="5" s="1"/>
  <c r="Y40" i="5"/>
  <c r="G56" i="4"/>
  <c r="X78" i="5"/>
  <c r="J78" i="4" s="1"/>
  <c r="W125" i="5"/>
  <c r="Y55" i="5"/>
  <c r="G138" i="4"/>
  <c r="Z138" i="5"/>
  <c r="L138" i="4" s="1"/>
  <c r="W139" i="5"/>
  <c r="I139" i="4" s="1"/>
  <c r="V25" i="5"/>
  <c r="V80" i="5"/>
  <c r="X111" i="5"/>
  <c r="Z26" i="5"/>
  <c r="L26" i="4" s="1"/>
  <c r="Y46" i="5"/>
  <c r="K46" i="4" s="1"/>
  <c r="J39" i="4"/>
  <c r="AA39" i="5"/>
  <c r="M39" i="4" s="1"/>
  <c r="W59" i="5"/>
  <c r="V75" i="5"/>
  <c r="G136" i="4"/>
  <c r="X135" i="5"/>
  <c r="G76" i="4"/>
  <c r="H142" i="4"/>
  <c r="X82" i="5"/>
  <c r="W80" i="5"/>
  <c r="I80" i="4" s="1"/>
  <c r="W33" i="5"/>
  <c r="V56" i="5"/>
  <c r="I31" i="4" l="1"/>
  <c r="Y31" i="5"/>
  <c r="K31" i="4" s="1"/>
  <c r="X31" i="5"/>
  <c r="J31" i="4" s="1"/>
  <c r="K52" i="4"/>
  <c r="AA52" i="5"/>
  <c r="M52" i="4" s="1"/>
  <c r="K126" i="4"/>
  <c r="K147" i="4"/>
  <c r="L116" i="4"/>
  <c r="AA116" i="5"/>
  <c r="M116" i="4" s="1"/>
  <c r="I144" i="4"/>
  <c r="X144" i="5"/>
  <c r="J144" i="4" s="1"/>
  <c r="I143" i="4"/>
  <c r="X143" i="5"/>
  <c r="J143" i="4" s="1"/>
  <c r="Y143" i="5"/>
  <c r="K143" i="4" s="1"/>
  <c r="L108" i="4"/>
  <c r="AA108" i="5"/>
  <c r="M108" i="4" s="1"/>
  <c r="G150" i="4"/>
  <c r="B9" i="1"/>
  <c r="D9" i="1" s="1"/>
  <c r="J28" i="4"/>
  <c r="Z28" i="5"/>
  <c r="L28" i="4" s="1"/>
  <c r="Y28" i="5"/>
  <c r="K28" i="4" s="1"/>
  <c r="I59" i="4"/>
  <c r="X59" i="5"/>
  <c r="J59" i="4" s="1"/>
  <c r="I141" i="4"/>
  <c r="X141" i="5"/>
  <c r="J141" i="4" s="1"/>
  <c r="O64" i="4"/>
  <c r="AD64" i="5"/>
  <c r="P64" i="4" s="1"/>
  <c r="K55" i="4"/>
  <c r="J79" i="4"/>
  <c r="Y79" i="5"/>
  <c r="J21" i="4"/>
  <c r="Y21" i="5"/>
  <c r="K21" i="4" s="1"/>
  <c r="M11" i="4"/>
  <c r="K88" i="4"/>
  <c r="I24" i="4"/>
  <c r="X24" i="5"/>
  <c r="J24" i="4" s="1"/>
  <c r="Y24" i="5"/>
  <c r="K24" i="4" s="1"/>
  <c r="J136" i="4"/>
  <c r="Z136" i="5"/>
  <c r="L136" i="4" s="1"/>
  <c r="AA136" i="5"/>
  <c r="M136" i="4" s="1"/>
  <c r="K66" i="4"/>
  <c r="Z66" i="5"/>
  <c r="L66" i="4" s="1"/>
  <c r="I33" i="4"/>
  <c r="Y33" i="5"/>
  <c r="K33" i="4" s="1"/>
  <c r="X33" i="5"/>
  <c r="J33" i="4" s="1"/>
  <c r="J82" i="4"/>
  <c r="Y82" i="5"/>
  <c r="K82" i="4" s="1"/>
  <c r="J137" i="4"/>
  <c r="AA137" i="5"/>
  <c r="M137" i="4" s="1"/>
  <c r="Z137" i="5"/>
  <c r="L137" i="4" s="1"/>
  <c r="Y137" i="5"/>
  <c r="K137" i="4" s="1"/>
  <c r="H115" i="4"/>
  <c r="W115" i="5"/>
  <c r="I115" i="4" s="1"/>
  <c r="J27" i="4"/>
  <c r="Z27" i="5"/>
  <c r="L27" i="4" s="1"/>
  <c r="Y27" i="5"/>
  <c r="K27" i="4" s="1"/>
  <c r="AC95" i="5"/>
  <c r="O95" i="4" s="1"/>
  <c r="J122" i="4"/>
  <c r="K94" i="4"/>
  <c r="Z94" i="5"/>
  <c r="L94" i="4" s="1"/>
  <c r="J71" i="4"/>
  <c r="Y71" i="5"/>
  <c r="K71" i="4" s="1"/>
  <c r="Z71" i="5"/>
  <c r="L71" i="4" s="1"/>
  <c r="I65" i="4"/>
  <c r="X65" i="5"/>
  <c r="J65" i="4" s="1"/>
  <c r="K26" i="4"/>
  <c r="Z147" i="5"/>
  <c r="L147" i="4" s="1"/>
  <c r="L8" i="4"/>
  <c r="J111" i="4"/>
  <c r="H85" i="4"/>
  <c r="X85" i="5"/>
  <c r="J85" i="4" s="1"/>
  <c r="J54" i="4"/>
  <c r="AB106" i="5"/>
  <c r="N106" i="4" s="1"/>
  <c r="X18" i="5"/>
  <c r="W85" i="5"/>
  <c r="J51" i="4"/>
  <c r="X113" i="5"/>
  <c r="Y113" i="5" s="1"/>
  <c r="Y78" i="5"/>
  <c r="AC106" i="5"/>
  <c r="O106" i="4" s="1"/>
  <c r="K103" i="4"/>
  <c r="I47" i="4"/>
  <c r="Z47" i="5"/>
  <c r="L47" i="4" s="1"/>
  <c r="H105" i="4"/>
  <c r="W105" i="5"/>
  <c r="I129" i="4"/>
  <c r="X129" i="5"/>
  <c r="Z73" i="5"/>
  <c r="I70" i="4"/>
  <c r="M41" i="4"/>
  <c r="AA53" i="5"/>
  <c r="M53" i="4" s="1"/>
  <c r="H148" i="4"/>
  <c r="AB11" i="5"/>
  <c r="N11" i="4" s="1"/>
  <c r="J9" i="4"/>
  <c r="I130" i="4"/>
  <c r="X139" i="5"/>
  <c r="X104" i="5"/>
  <c r="AA77" i="5"/>
  <c r="M77" i="4" s="1"/>
  <c r="J13" i="4"/>
  <c r="Y13" i="5"/>
  <c r="K13" i="4" s="1"/>
  <c r="J135" i="4"/>
  <c r="Z135" i="5"/>
  <c r="L135" i="4" s="1"/>
  <c r="I125" i="4"/>
  <c r="X25" i="5"/>
  <c r="J25" i="4" s="1"/>
  <c r="H101" i="4"/>
  <c r="W101" i="5"/>
  <c r="Y111" i="5"/>
  <c r="AC77" i="5"/>
  <c r="O77" i="4" s="1"/>
  <c r="H131" i="4"/>
  <c r="I99" i="4"/>
  <c r="X99" i="5"/>
  <c r="I86" i="4"/>
  <c r="Y69" i="5"/>
  <c r="K69" i="4" s="1"/>
  <c r="Z84" i="5"/>
  <c r="AA42" i="5"/>
  <c r="H80" i="4"/>
  <c r="AB49" i="5"/>
  <c r="AA135" i="5"/>
  <c r="M135" i="4" s="1"/>
  <c r="H93" i="4"/>
  <c r="J22" i="4"/>
  <c r="Y22" i="5"/>
  <c r="X80" i="5"/>
  <c r="J80" i="4" s="1"/>
  <c r="Z53" i="5"/>
  <c r="M97" i="4"/>
  <c r="AB97" i="5"/>
  <c r="Y132" i="5"/>
  <c r="K132" i="4" s="1"/>
  <c r="H124" i="4"/>
  <c r="Z124" i="5"/>
  <c r="L124" i="4" s="1"/>
  <c r="Y133" i="5"/>
  <c r="Z13" i="5"/>
  <c r="L13" i="4" s="1"/>
  <c r="Y45" i="5"/>
  <c r="H63" i="4"/>
  <c r="W63" i="5"/>
  <c r="I63" i="4" s="1"/>
  <c r="X56" i="5"/>
  <c r="J56" i="4" s="1"/>
  <c r="J145" i="4"/>
  <c r="Z145" i="5"/>
  <c r="J55" i="4"/>
  <c r="Z55" i="5"/>
  <c r="L55" i="4" s="1"/>
  <c r="I57" i="4"/>
  <c r="J34" i="4"/>
  <c r="AA34" i="5"/>
  <c r="M34" i="4" s="1"/>
  <c r="Z90" i="5"/>
  <c r="L90" i="4" s="1"/>
  <c r="Y35" i="5"/>
  <c r="K35" i="4" s="1"/>
  <c r="Z10" i="5"/>
  <c r="AA133" i="5"/>
  <c r="M133" i="4" s="1"/>
  <c r="Y9" i="5"/>
  <c r="W123" i="5"/>
  <c r="I84" i="4"/>
  <c r="AA110" i="5"/>
  <c r="Y37" i="5"/>
  <c r="I100" i="4"/>
  <c r="J69" i="4"/>
  <c r="I19" i="4"/>
  <c r="K116" i="4"/>
  <c r="AC116" i="5"/>
  <c r="O116" i="4" s="1"/>
  <c r="I14" i="4"/>
  <c r="X14" i="5"/>
  <c r="J32" i="4"/>
  <c r="H118" i="4"/>
  <c r="D7" i="1"/>
  <c r="AB133" i="5"/>
  <c r="N133" i="4" s="1"/>
  <c r="X48" i="5"/>
  <c r="J48" i="4" s="1"/>
  <c r="I117" i="4"/>
  <c r="X132" i="5"/>
  <c r="J132" i="4" s="1"/>
  <c r="AA26" i="5"/>
  <c r="M26" i="4" s="1"/>
  <c r="W128" i="5"/>
  <c r="I128" i="4" s="1"/>
  <c r="X50" i="5"/>
  <c r="X57" i="5"/>
  <c r="W75" i="5"/>
  <c r="J52" i="4"/>
  <c r="Z52" i="5"/>
  <c r="L52" i="4" s="1"/>
  <c r="I60" i="4"/>
  <c r="X60" i="5"/>
  <c r="I102" i="4"/>
  <c r="Y102" i="5"/>
  <c r="K102" i="4" s="1"/>
  <c r="Z102" i="5"/>
  <c r="L102" i="4" s="1"/>
  <c r="Y139" i="5"/>
  <c r="K139" i="4" s="1"/>
  <c r="X17" i="5"/>
  <c r="Y17" i="5" s="1"/>
  <c r="K17" i="4" s="1"/>
  <c r="J109" i="4"/>
  <c r="Z109" i="5"/>
  <c r="W118" i="5"/>
  <c r="J146" i="4"/>
  <c r="Y146" i="5"/>
  <c r="Y120" i="5"/>
  <c r="K120" i="4" s="1"/>
  <c r="W30" i="5"/>
  <c r="Z149" i="5"/>
  <c r="M92" i="4"/>
  <c r="AB92" i="5"/>
  <c r="X121" i="5"/>
  <c r="AC41" i="5"/>
  <c r="O41" i="4" s="1"/>
  <c r="Y32" i="5"/>
  <c r="K32" i="4" s="1"/>
  <c r="K40" i="4"/>
  <c r="Z40" i="5"/>
  <c r="X125" i="5"/>
  <c r="Z111" i="5"/>
  <c r="L111" i="4" s="1"/>
  <c r="Y114" i="5"/>
  <c r="I26" i="4"/>
  <c r="J38" i="4"/>
  <c r="Y38" i="5"/>
  <c r="AE64" i="5"/>
  <c r="Y54" i="5"/>
  <c r="K54" i="4" s="1"/>
  <c r="I140" i="4"/>
  <c r="X140" i="5"/>
  <c r="Z103" i="5"/>
  <c r="Y124" i="5"/>
  <c r="I42" i="4"/>
  <c r="AA10" i="5"/>
  <c r="M10" i="4" s="1"/>
  <c r="J15" i="4"/>
  <c r="Y15" i="5"/>
  <c r="X120" i="5"/>
  <c r="I76" i="4"/>
  <c r="Y76" i="5"/>
  <c r="X130" i="5"/>
  <c r="Y86" i="5"/>
  <c r="K86" i="4" s="1"/>
  <c r="AC44" i="5"/>
  <c r="Z142" i="5"/>
  <c r="AB36" i="5"/>
  <c r="H25" i="4"/>
  <c r="W25" i="5"/>
  <c r="I25" i="4" s="1"/>
  <c r="H48" i="4"/>
  <c r="H56" i="4"/>
  <c r="W56" i="5"/>
  <c r="I56" i="4" s="1"/>
  <c r="J94" i="4"/>
  <c r="AA94" i="5"/>
  <c r="M94" i="4" s="1"/>
  <c r="AB94" i="5"/>
  <c r="N94" i="4" s="1"/>
  <c r="J46" i="4"/>
  <c r="Z46" i="5"/>
  <c r="L46" i="4" s="1"/>
  <c r="AA46" i="5"/>
  <c r="M46" i="4" s="1"/>
  <c r="W89" i="5"/>
  <c r="I89" i="4" s="1"/>
  <c r="H119" i="4"/>
  <c r="Y119" i="5"/>
  <c r="K119" i="4" s="1"/>
  <c r="I17" i="4"/>
  <c r="J147" i="4"/>
  <c r="AA147" i="5"/>
  <c r="M147" i="4" s="1"/>
  <c r="X86" i="5"/>
  <c r="J68" i="4"/>
  <c r="X117" i="5"/>
  <c r="M106" i="4"/>
  <c r="H128" i="4"/>
  <c r="W48" i="5"/>
  <c r="J134" i="4"/>
  <c r="Z134" i="5"/>
  <c r="L134" i="4" s="1"/>
  <c r="AD67" i="5"/>
  <c r="P67" i="4" s="1"/>
  <c r="AB111" i="5"/>
  <c r="N111" i="4" s="1"/>
  <c r="H16" i="4"/>
  <c r="W16" i="5"/>
  <c r="X16" i="5" s="1"/>
  <c r="H58" i="4"/>
  <c r="H81" i="4"/>
  <c r="Y81" i="5"/>
  <c r="K81" i="4" s="1"/>
  <c r="Z81" i="5"/>
  <c r="L81" i="4" s="1"/>
  <c r="X81" i="5"/>
  <c r="J81" i="4" s="1"/>
  <c r="W81" i="5"/>
  <c r="I81" i="4" s="1"/>
  <c r="Y121" i="5"/>
  <c r="K121" i="4" s="1"/>
  <c r="K112" i="4"/>
  <c r="Z112" i="5"/>
  <c r="W58" i="5"/>
  <c r="I58" i="4" s="1"/>
  <c r="AA40" i="5"/>
  <c r="M40" i="4" s="1"/>
  <c r="H83" i="4"/>
  <c r="X83" i="5"/>
  <c r="Y83" i="5"/>
  <c r="K83" i="4" s="1"/>
  <c r="W93" i="5"/>
  <c r="H78" i="4"/>
  <c r="Z78" i="5"/>
  <c r="L78" i="4" s="1"/>
  <c r="AA78" i="5"/>
  <c r="M78" i="4" s="1"/>
  <c r="AA43" i="5"/>
  <c r="K138" i="4"/>
  <c r="AB138" i="5"/>
  <c r="N138" i="4" s="1"/>
  <c r="J91" i="4"/>
  <c r="Z91" i="5"/>
  <c r="H35" i="4"/>
  <c r="Z35" i="5"/>
  <c r="L35" i="4" s="1"/>
  <c r="X12" i="5"/>
  <c r="Y12" i="5" s="1"/>
  <c r="K12" i="4" s="1"/>
  <c r="AB39" i="5"/>
  <c r="N39" i="4" s="1"/>
  <c r="H107" i="4"/>
  <c r="X107" i="5"/>
  <c r="H120" i="4"/>
  <c r="Z68" i="5"/>
  <c r="L68" i="4" s="1"/>
  <c r="X62" i="5"/>
  <c r="W96" i="5"/>
  <c r="I50" i="4"/>
  <c r="J74" i="4"/>
  <c r="H20" i="4"/>
  <c r="W20" i="5"/>
  <c r="AA111" i="5"/>
  <c r="M111" i="4" s="1"/>
  <c r="AA8" i="5"/>
  <c r="Z51" i="5"/>
  <c r="L51" i="4" s="1"/>
  <c r="X100" i="5"/>
  <c r="X58" i="5"/>
  <c r="J58" i="4" s="1"/>
  <c r="X19" i="5"/>
  <c r="J19" i="4" s="1"/>
  <c r="AB116" i="5"/>
  <c r="N116" i="4" s="1"/>
  <c r="H141" i="4"/>
  <c r="Y141" i="5"/>
  <c r="K141" i="4" s="1"/>
  <c r="K127" i="4"/>
  <c r="Z127" i="5"/>
  <c r="L11" i="4"/>
  <c r="AC11" i="5"/>
  <c r="O11" i="4" s="1"/>
  <c r="W72" i="5"/>
  <c r="AD44" i="5"/>
  <c r="P44" i="4" s="1"/>
  <c r="W131" i="5"/>
  <c r="X148" i="5"/>
  <c r="X118" i="5"/>
  <c r="J118" i="4" s="1"/>
  <c r="Y107" i="5"/>
  <c r="K107" i="4" s="1"/>
  <c r="W87" i="5"/>
  <c r="Z15" i="5"/>
  <c r="L15" i="4" s="1"/>
  <c r="K98" i="4"/>
  <c r="AB98" i="5"/>
  <c r="N98" i="4" s="1"/>
  <c r="I88" i="4"/>
  <c r="Z88" i="5"/>
  <c r="L88" i="4" s="1"/>
  <c r="AC49" i="5"/>
  <c r="O49" i="4" s="1"/>
  <c r="Y99" i="5"/>
  <c r="K99" i="4" s="1"/>
  <c r="H89" i="4"/>
  <c r="AA138" i="5"/>
  <c r="H75" i="4"/>
  <c r="X75" i="5"/>
  <c r="J75" i="4" s="1"/>
  <c r="Z29" i="5"/>
  <c r="J23" i="4"/>
  <c r="Y23" i="5"/>
  <c r="AA74" i="5"/>
  <c r="M74" i="4" s="1"/>
  <c r="I122" i="4"/>
  <c r="Y122" i="5"/>
  <c r="M95" i="4"/>
  <c r="AB95" i="5"/>
  <c r="J29" i="4"/>
  <c r="AB77" i="5"/>
  <c r="N77" i="4" s="1"/>
  <c r="J126" i="4"/>
  <c r="AA126" i="5"/>
  <c r="M126" i="4" s="1"/>
  <c r="Z126" i="5"/>
  <c r="L126" i="4" s="1"/>
  <c r="Z133" i="5"/>
  <c r="L133" i="4" s="1"/>
  <c r="X61" i="5"/>
  <c r="X70" i="5"/>
  <c r="I79" i="4"/>
  <c r="AB127" i="5" l="1"/>
  <c r="N127" i="4" s="1"/>
  <c r="AE8" i="5"/>
  <c r="K113" i="4"/>
  <c r="Z113" i="5"/>
  <c r="AB109" i="5"/>
  <c r="N109" i="4" s="1"/>
  <c r="J16" i="4"/>
  <c r="Y16" i="5"/>
  <c r="K16" i="4" s="1"/>
  <c r="H150" i="4"/>
  <c r="B10" i="1"/>
  <c r="K122" i="4"/>
  <c r="M42" i="4"/>
  <c r="AB42" i="5"/>
  <c r="N42" i="4" s="1"/>
  <c r="AB88" i="5"/>
  <c r="N88" i="4" s="1"/>
  <c r="AC98" i="5"/>
  <c r="Z114" i="5"/>
  <c r="J83" i="4"/>
  <c r="Z83" i="5"/>
  <c r="Y25" i="5"/>
  <c r="I30" i="4"/>
  <c r="X30" i="5"/>
  <c r="I118" i="4"/>
  <c r="Y118" i="5"/>
  <c r="Z121" i="5"/>
  <c r="AE116" i="5"/>
  <c r="K133" i="4"/>
  <c r="AD133" i="5"/>
  <c r="P133" i="4" s="1"/>
  <c r="L84" i="4"/>
  <c r="L73" i="4"/>
  <c r="AA73" i="5"/>
  <c r="AB26" i="5"/>
  <c r="AB34" i="5"/>
  <c r="M8" i="4"/>
  <c r="K9" i="4"/>
  <c r="Z9" i="5"/>
  <c r="L9" i="4" s="1"/>
  <c r="AC133" i="5"/>
  <c r="O133" i="4" s="1"/>
  <c r="J130" i="4"/>
  <c r="Z130" i="5"/>
  <c r="L130" i="4" s="1"/>
  <c r="L109" i="4"/>
  <c r="AD116" i="5"/>
  <c r="P116" i="4" s="1"/>
  <c r="AB135" i="5"/>
  <c r="N135" i="4" s="1"/>
  <c r="J148" i="4"/>
  <c r="Y148" i="5"/>
  <c r="J62" i="4"/>
  <c r="M43" i="4"/>
  <c r="AA134" i="5"/>
  <c r="AB147" i="5"/>
  <c r="N147" i="4" s="1"/>
  <c r="K76" i="4"/>
  <c r="Z76" i="5"/>
  <c r="Z32" i="5"/>
  <c r="L32" i="4" s="1"/>
  <c r="J121" i="4"/>
  <c r="AD41" i="5"/>
  <c r="P41" i="4" s="1"/>
  <c r="C11" i="1"/>
  <c r="AA55" i="5"/>
  <c r="AB78" i="5"/>
  <c r="AD8" i="5"/>
  <c r="K111" i="4"/>
  <c r="J104" i="4"/>
  <c r="Y104" i="5"/>
  <c r="I85" i="4"/>
  <c r="Y85" i="5"/>
  <c r="AD11" i="5"/>
  <c r="P11" i="4" s="1"/>
  <c r="K79" i="4"/>
  <c r="J117" i="4"/>
  <c r="Y117" i="5"/>
  <c r="Z117" i="5"/>
  <c r="L117" i="4" s="1"/>
  <c r="L127" i="4"/>
  <c r="AC127" i="5"/>
  <c r="O127" i="4" s="1"/>
  <c r="M138" i="4"/>
  <c r="AC138" i="5"/>
  <c r="O138" i="4" s="1"/>
  <c r="Y58" i="5"/>
  <c r="I48" i="4"/>
  <c r="J120" i="4"/>
  <c r="Z120" i="5"/>
  <c r="K124" i="4"/>
  <c r="I64" i="6"/>
  <c r="Q64" i="4"/>
  <c r="J60" i="4"/>
  <c r="J50" i="4"/>
  <c r="X63" i="5"/>
  <c r="Y19" i="5"/>
  <c r="AD138" i="5"/>
  <c r="P138" i="4" s="1"/>
  <c r="J139" i="4"/>
  <c r="Z139" i="5"/>
  <c r="J129" i="4"/>
  <c r="Y129" i="5"/>
  <c r="AA142" i="5"/>
  <c r="AA82" i="5"/>
  <c r="M82" i="4" s="1"/>
  <c r="AD106" i="5"/>
  <c r="AA21" i="5"/>
  <c r="M21" i="4" s="1"/>
  <c r="Y59" i="5"/>
  <c r="I87" i="4"/>
  <c r="L149" i="4"/>
  <c r="AC94" i="5"/>
  <c r="O94" i="4" s="1"/>
  <c r="I20" i="4"/>
  <c r="I150" i="4" s="1"/>
  <c r="AA47" i="5"/>
  <c r="M47" i="4" s="1"/>
  <c r="J18" i="4"/>
  <c r="Y18" i="5"/>
  <c r="K18" i="4" s="1"/>
  <c r="Z143" i="5"/>
  <c r="L143" i="4" s="1"/>
  <c r="J70" i="4"/>
  <c r="Z70" i="5"/>
  <c r="L70" i="4" s="1"/>
  <c r="Y70" i="5"/>
  <c r="AA70" i="5"/>
  <c r="M70" i="4" s="1"/>
  <c r="AA127" i="5"/>
  <c r="M127" i="4" s="1"/>
  <c r="X87" i="5"/>
  <c r="J87" i="4" s="1"/>
  <c r="K23" i="4"/>
  <c r="Z23" i="5"/>
  <c r="Z69" i="5"/>
  <c r="Z86" i="5"/>
  <c r="AB86" i="5" s="1"/>
  <c r="N86" i="4" s="1"/>
  <c r="J107" i="4"/>
  <c r="Z107" i="5"/>
  <c r="AD111" i="5"/>
  <c r="P111" i="4" s="1"/>
  <c r="AA81" i="5"/>
  <c r="M81" i="4" s="1"/>
  <c r="AE67" i="5"/>
  <c r="J86" i="4"/>
  <c r="AA86" i="5"/>
  <c r="M86" i="4" s="1"/>
  <c r="Z132" i="5"/>
  <c r="L132" i="4" s="1"/>
  <c r="AB46" i="5"/>
  <c r="N46" i="4" s="1"/>
  <c r="Y62" i="5"/>
  <c r="K38" i="4"/>
  <c r="J125" i="4"/>
  <c r="Y125" i="5"/>
  <c r="AA35" i="5"/>
  <c r="Y60" i="5"/>
  <c r="K60" i="4" s="1"/>
  <c r="AB32" i="5"/>
  <c r="N32" i="4" s="1"/>
  <c r="M110" i="4"/>
  <c r="AB110" i="5"/>
  <c r="N110" i="4" s="1"/>
  <c r="Z148" i="5"/>
  <c r="L148" i="4" s="1"/>
  <c r="K22" i="4"/>
  <c r="AC111" i="5"/>
  <c r="O111" i="4" s="1"/>
  <c r="AA88" i="5"/>
  <c r="Z82" i="5"/>
  <c r="L82" i="4" s="1"/>
  <c r="AA143" i="5"/>
  <c r="M143" i="4" s="1"/>
  <c r="L29" i="4"/>
  <c r="J12" i="4"/>
  <c r="Z12" i="5"/>
  <c r="L12" i="4" s="1"/>
  <c r="I96" i="4"/>
  <c r="AA90" i="5"/>
  <c r="AC39" i="5"/>
  <c r="O39" i="4" s="1"/>
  <c r="I131" i="4"/>
  <c r="Y131" i="5"/>
  <c r="K131" i="4" s="1"/>
  <c r="X131" i="5"/>
  <c r="J131" i="4" s="1"/>
  <c r="L10" i="4"/>
  <c r="AB10" i="5"/>
  <c r="N10" i="4" s="1"/>
  <c r="X20" i="5"/>
  <c r="J61" i="4"/>
  <c r="Y61" i="5"/>
  <c r="I72" i="4"/>
  <c r="X72" i="5"/>
  <c r="AB74" i="5"/>
  <c r="N74" i="4" s="1"/>
  <c r="X96" i="5"/>
  <c r="Y96" i="5" s="1"/>
  <c r="L91" i="4"/>
  <c r="AA149" i="5"/>
  <c r="M149" i="4" s="1"/>
  <c r="AC46" i="5"/>
  <c r="O46" i="4" s="1"/>
  <c r="N36" i="4"/>
  <c r="AC36" i="5"/>
  <c r="O36" i="4" s="1"/>
  <c r="Y50" i="5"/>
  <c r="AA32" i="5"/>
  <c r="M32" i="4" s="1"/>
  <c r="AC84" i="5"/>
  <c r="O84" i="4" s="1"/>
  <c r="Z119" i="5"/>
  <c r="L119" i="4" s="1"/>
  <c r="AA121" i="5"/>
  <c r="M121" i="4" s="1"/>
  <c r="K45" i="4"/>
  <c r="Z45" i="5"/>
  <c r="L45" i="4" s="1"/>
  <c r="N97" i="4"/>
  <c r="AC97" i="5"/>
  <c r="Z22" i="5"/>
  <c r="N49" i="4"/>
  <c r="AD49" i="5"/>
  <c r="P49" i="4" s="1"/>
  <c r="Z99" i="5"/>
  <c r="I101" i="4"/>
  <c r="X101" i="5"/>
  <c r="Y65" i="5"/>
  <c r="AB137" i="5"/>
  <c r="N137" i="4" s="1"/>
  <c r="AB66" i="5"/>
  <c r="N66" i="4" s="1"/>
  <c r="Z21" i="5"/>
  <c r="L21" i="4" s="1"/>
  <c r="AA68" i="5"/>
  <c r="Z31" i="5"/>
  <c r="J100" i="4"/>
  <c r="Y130" i="5"/>
  <c r="K130" i="4" s="1"/>
  <c r="N95" i="4"/>
  <c r="AD95" i="5"/>
  <c r="AA23" i="5"/>
  <c r="M23" i="4" s="1"/>
  <c r="AB35" i="5"/>
  <c r="N35" i="4" s="1"/>
  <c r="AD74" i="5"/>
  <c r="AB91" i="5"/>
  <c r="N91" i="4" s="1"/>
  <c r="L142" i="4"/>
  <c r="K15" i="4"/>
  <c r="AA15" i="5"/>
  <c r="Z38" i="5"/>
  <c r="X89" i="5"/>
  <c r="AA18" i="5"/>
  <c r="M18" i="4" s="1"/>
  <c r="AA84" i="5"/>
  <c r="M84" i="4" s="1"/>
  <c r="J99" i="4"/>
  <c r="AA114" i="5"/>
  <c r="M114" i="4" s="1"/>
  <c r="Z65" i="5"/>
  <c r="AA71" i="5"/>
  <c r="AA66" i="5"/>
  <c r="AB8" i="5"/>
  <c r="Y56" i="5"/>
  <c r="K56" i="4" s="1"/>
  <c r="K114" i="4"/>
  <c r="J57" i="4"/>
  <c r="Y57" i="5"/>
  <c r="X115" i="5"/>
  <c r="AB29" i="5"/>
  <c r="N29" i="4" s="1"/>
  <c r="AA124" i="5"/>
  <c r="AE11" i="5"/>
  <c r="Z141" i="5"/>
  <c r="AC74" i="5"/>
  <c r="O74" i="4" s="1"/>
  <c r="AA109" i="5"/>
  <c r="AC109" i="5" s="1"/>
  <c r="O109" i="4" s="1"/>
  <c r="AA91" i="5"/>
  <c r="Z16" i="5"/>
  <c r="L16" i="4" s="1"/>
  <c r="X128" i="5"/>
  <c r="Z118" i="5"/>
  <c r="O44" i="4"/>
  <c r="AE44" i="5"/>
  <c r="L103" i="4"/>
  <c r="AA103" i="5"/>
  <c r="K146" i="4"/>
  <c r="Z146" i="5"/>
  <c r="AA146" i="5"/>
  <c r="M146" i="4" s="1"/>
  <c r="AB52" i="5"/>
  <c r="AB84" i="5"/>
  <c r="N84" i="4" s="1"/>
  <c r="L145" i="4"/>
  <c r="AA145" i="5"/>
  <c r="AB145" i="5" s="1"/>
  <c r="N145" i="4" s="1"/>
  <c r="L53" i="4"/>
  <c r="AB53" i="5"/>
  <c r="N53" i="4" s="1"/>
  <c r="X93" i="5"/>
  <c r="AB121" i="5"/>
  <c r="N121" i="4" s="1"/>
  <c r="AB108" i="5"/>
  <c r="Y144" i="5"/>
  <c r="I16" i="4"/>
  <c r="B11" i="1" s="1"/>
  <c r="D11" i="1" s="1"/>
  <c r="Y48" i="5"/>
  <c r="K48" i="4" s="1"/>
  <c r="Y140" i="5"/>
  <c r="AC40" i="5"/>
  <c r="O40" i="4" s="1"/>
  <c r="N92" i="4"/>
  <c r="AC92" i="5"/>
  <c r="O92" i="4" s="1"/>
  <c r="AD92" i="5"/>
  <c r="P92" i="4" s="1"/>
  <c r="AE92" i="5"/>
  <c r="Z18" i="5"/>
  <c r="L18" i="4" s="1"/>
  <c r="J14" i="4"/>
  <c r="I123" i="4"/>
  <c r="X123" i="5"/>
  <c r="AA51" i="5"/>
  <c r="AB51" i="5" s="1"/>
  <c r="N51" i="4" s="1"/>
  <c r="AA9" i="5"/>
  <c r="I105" i="4"/>
  <c r="X105" i="5"/>
  <c r="Y105" i="5" s="1"/>
  <c r="Z54" i="5"/>
  <c r="AA29" i="5"/>
  <c r="M29" i="4" s="1"/>
  <c r="AA28" i="5"/>
  <c r="AC126" i="5"/>
  <c r="O126" i="4" s="1"/>
  <c r="Z79" i="5"/>
  <c r="L79" i="4" s="1"/>
  <c r="Z131" i="5"/>
  <c r="L131" i="4" s="1"/>
  <c r="J17" i="4"/>
  <c r="Z17" i="5"/>
  <c r="L17" i="4" s="1"/>
  <c r="AA17" i="5"/>
  <c r="M17" i="4" s="1"/>
  <c r="K37" i="4"/>
  <c r="AA37" i="5"/>
  <c r="M37" i="4" s="1"/>
  <c r="Z37" i="5"/>
  <c r="L37" i="4" s="1"/>
  <c r="AA131" i="5"/>
  <c r="M131" i="4" s="1"/>
  <c r="AB126" i="5"/>
  <c r="N126" i="4" s="1"/>
  <c r="AB18" i="5"/>
  <c r="N18" i="4" s="1"/>
  <c r="AA120" i="5"/>
  <c r="M120" i="4" s="1"/>
  <c r="I93" i="4"/>
  <c r="L112" i="4"/>
  <c r="AA112" i="5"/>
  <c r="AB43" i="5"/>
  <c r="L40" i="4"/>
  <c r="AB40" i="5"/>
  <c r="N40" i="4" s="1"/>
  <c r="Y14" i="5"/>
  <c r="Y100" i="5"/>
  <c r="Z85" i="5"/>
  <c r="Y80" i="5"/>
  <c r="AD77" i="5"/>
  <c r="K78" i="4"/>
  <c r="AC78" i="5"/>
  <c r="O78" i="4" s="1"/>
  <c r="Z33" i="5"/>
  <c r="AC136" i="5"/>
  <c r="O136" i="4" s="1"/>
  <c r="Z24" i="5"/>
  <c r="L24" i="4" s="1"/>
  <c r="AB17" i="5"/>
  <c r="N17" i="4" s="1"/>
  <c r="AD126" i="5"/>
  <c r="P126" i="4" s="1"/>
  <c r="AA13" i="5"/>
  <c r="Z25" i="5"/>
  <c r="L25" i="4" s="1"/>
  <c r="AC8" i="5"/>
  <c r="J140" i="4"/>
  <c r="Y75" i="5"/>
  <c r="AA102" i="5"/>
  <c r="I75" i="4"/>
  <c r="Z75" i="5"/>
  <c r="L75" i="4" s="1"/>
  <c r="AA27" i="5"/>
  <c r="AB27" i="5" s="1"/>
  <c r="AE133" i="5"/>
  <c r="AA132" i="5"/>
  <c r="M132" i="4" s="1"/>
  <c r="C10" i="1"/>
  <c r="J113" i="4"/>
  <c r="Z122" i="5"/>
  <c r="AB136" i="5"/>
  <c r="N136" i="4" s="1"/>
  <c r="K96" i="4" l="1"/>
  <c r="Z96" i="5"/>
  <c r="L96" i="4" s="1"/>
  <c r="AD88" i="5"/>
  <c r="AC112" i="5"/>
  <c r="O112" i="4" s="1"/>
  <c r="AD52" i="5"/>
  <c r="P52" i="4" s="1"/>
  <c r="K105" i="4"/>
  <c r="N27" i="4"/>
  <c r="AC27" i="5"/>
  <c r="O27" i="4" s="1"/>
  <c r="AD43" i="5"/>
  <c r="P43" i="4" s="1"/>
  <c r="J101" i="4"/>
  <c r="L139" i="4"/>
  <c r="I116" i="6"/>
  <c r="Q116" i="4"/>
  <c r="AB132" i="5"/>
  <c r="AA12" i="5"/>
  <c r="M12" i="4" s="1"/>
  <c r="AD135" i="5"/>
  <c r="Z60" i="5"/>
  <c r="Z48" i="5"/>
  <c r="AB47" i="5"/>
  <c r="AB118" i="5"/>
  <c r="N118" i="4" s="1"/>
  <c r="AC147" i="5"/>
  <c r="I8" i="6"/>
  <c r="P77" i="4"/>
  <c r="AE77" i="5"/>
  <c r="AD53" i="5"/>
  <c r="P53" i="4" s="1"/>
  <c r="M102" i="4"/>
  <c r="AC17" i="5"/>
  <c r="AB37" i="5"/>
  <c r="K144" i="4"/>
  <c r="Z144" i="5"/>
  <c r="AC53" i="5"/>
  <c r="O53" i="4" s="1"/>
  <c r="Y101" i="5"/>
  <c r="K101" i="4" s="1"/>
  <c r="AB15" i="5"/>
  <c r="L99" i="4"/>
  <c r="AA99" i="5"/>
  <c r="AA56" i="5"/>
  <c r="K61" i="4"/>
  <c r="Z61" i="5"/>
  <c r="AA61" i="5"/>
  <c r="M61" i="4" s="1"/>
  <c r="AD39" i="5"/>
  <c r="M35" i="4"/>
  <c r="AC35" i="5"/>
  <c r="O35" i="4" s="1"/>
  <c r="I67" i="6"/>
  <c r="Q67" i="4"/>
  <c r="P106" i="4"/>
  <c r="AE106" i="5"/>
  <c r="AC135" i="5"/>
  <c r="O135" i="4" s="1"/>
  <c r="M134" i="4"/>
  <c r="AB134" i="5"/>
  <c r="AE136" i="5"/>
  <c r="L121" i="4"/>
  <c r="N108" i="4"/>
  <c r="AC108" i="5"/>
  <c r="L118" i="4"/>
  <c r="AA118" i="5"/>
  <c r="M118" i="4" s="1"/>
  <c r="L31" i="4"/>
  <c r="AA31" i="5"/>
  <c r="M31" i="4" s="1"/>
  <c r="AB31" i="5"/>
  <c r="N31" i="4" s="1"/>
  <c r="J128" i="4"/>
  <c r="Z128" i="5"/>
  <c r="Y128" i="5"/>
  <c r="K128" i="4" s="1"/>
  <c r="M142" i="4"/>
  <c r="K140" i="4"/>
  <c r="Z140" i="5"/>
  <c r="AB21" i="5"/>
  <c r="L146" i="4"/>
  <c r="AC146" i="5"/>
  <c r="O146" i="4" s="1"/>
  <c r="K57" i="4"/>
  <c r="Z57" i="5"/>
  <c r="L22" i="4"/>
  <c r="AA22" i="5"/>
  <c r="AB22" i="5"/>
  <c r="N22" i="4" s="1"/>
  <c r="K125" i="4"/>
  <c r="AB107" i="5"/>
  <c r="N107" i="4" s="1"/>
  <c r="K70" i="4"/>
  <c r="AD94" i="5"/>
  <c r="P94" i="4" s="1"/>
  <c r="Z56" i="5"/>
  <c r="L83" i="4"/>
  <c r="AA83" i="5"/>
  <c r="J93" i="4"/>
  <c r="L38" i="4"/>
  <c r="AA38" i="5"/>
  <c r="M38" i="4" s="1"/>
  <c r="K104" i="4"/>
  <c r="Z104" i="5"/>
  <c r="L104" i="4" s="1"/>
  <c r="AA104" i="5"/>
  <c r="M104" i="4" s="1"/>
  <c r="Y93" i="5"/>
  <c r="L33" i="4"/>
  <c r="AA33" i="5"/>
  <c r="M33" i="4" s="1"/>
  <c r="AB33" i="5"/>
  <c r="N33" i="4" s="1"/>
  <c r="Y123" i="5"/>
  <c r="M66" i="4"/>
  <c r="AC66" i="5"/>
  <c r="O66" i="4" s="1"/>
  <c r="AD66" i="5"/>
  <c r="P66" i="4" s="1"/>
  <c r="AB24" i="5"/>
  <c r="N24" i="4" s="1"/>
  <c r="J20" i="4"/>
  <c r="B12" i="1" s="1"/>
  <c r="Z20" i="5"/>
  <c r="L20" i="4" s="1"/>
  <c r="AB70" i="5"/>
  <c r="N70" i="4" s="1"/>
  <c r="AB149" i="5"/>
  <c r="AE138" i="5"/>
  <c r="AD109" i="5"/>
  <c r="P109" i="4" s="1"/>
  <c r="AA122" i="5"/>
  <c r="M51" i="4"/>
  <c r="K80" i="4"/>
  <c r="Z80" i="5"/>
  <c r="L80" i="4" s="1"/>
  <c r="AA80" i="5"/>
  <c r="M80" i="4" s="1"/>
  <c r="AB80" i="5"/>
  <c r="N80" i="4" s="1"/>
  <c r="K58" i="4"/>
  <c r="J115" i="4"/>
  <c r="M68" i="4"/>
  <c r="AB68" i="5"/>
  <c r="N68" i="4" s="1"/>
  <c r="AC68" i="5"/>
  <c r="O68" i="4" s="1"/>
  <c r="AC29" i="5"/>
  <c r="O29" i="4" s="1"/>
  <c r="AB104" i="5"/>
  <c r="N104" i="4" s="1"/>
  <c r="L54" i="4"/>
  <c r="J123" i="4"/>
  <c r="Z123" i="5"/>
  <c r="L123" i="4" s="1"/>
  <c r="AB146" i="5"/>
  <c r="N146" i="4" s="1"/>
  <c r="M91" i="4"/>
  <c r="AB142" i="5"/>
  <c r="N142" i="4" s="1"/>
  <c r="O97" i="4"/>
  <c r="AD97" i="5"/>
  <c r="AA119" i="5"/>
  <c r="M119" i="4" s="1"/>
  <c r="AB81" i="5"/>
  <c r="AC121" i="5"/>
  <c r="O121" i="4" s="1"/>
  <c r="AA24" i="5"/>
  <c r="M24" i="4" s="1"/>
  <c r="Z129" i="5"/>
  <c r="L129" i="4" s="1"/>
  <c r="AE111" i="5"/>
  <c r="J30" i="4"/>
  <c r="Z30" i="5"/>
  <c r="L30" i="4" s="1"/>
  <c r="P74" i="4"/>
  <c r="AE74" i="5"/>
  <c r="M73" i="4"/>
  <c r="AB73" i="5"/>
  <c r="N73" i="4" s="1"/>
  <c r="M15" i="4"/>
  <c r="M90" i="4"/>
  <c r="AB90" i="5"/>
  <c r="K118" i="4"/>
  <c r="L85" i="4"/>
  <c r="AA85" i="5"/>
  <c r="M85" i="4" s="1"/>
  <c r="I133" i="6"/>
  <c r="Q133" i="4"/>
  <c r="AA16" i="5"/>
  <c r="AB16" i="5" s="1"/>
  <c r="M109" i="4"/>
  <c r="AE109" i="5"/>
  <c r="AC82" i="5"/>
  <c r="AC91" i="5"/>
  <c r="K19" i="4"/>
  <c r="Z19" i="5"/>
  <c r="L19" i="4" s="1"/>
  <c r="AB82" i="5"/>
  <c r="N82" i="4" s="1"/>
  <c r="AD84" i="5"/>
  <c r="P84" i="4" s="1"/>
  <c r="Y30" i="5"/>
  <c r="L114" i="4"/>
  <c r="AB114" i="5"/>
  <c r="Z125" i="5"/>
  <c r="L125" i="4" s="1"/>
  <c r="M124" i="4"/>
  <c r="AB124" i="5"/>
  <c r="N124" i="4" s="1"/>
  <c r="D10" i="1"/>
  <c r="O8" i="4"/>
  <c r="L141" i="4"/>
  <c r="AA141" i="5"/>
  <c r="AB141" i="5" s="1"/>
  <c r="N141" i="4" s="1"/>
  <c r="Z58" i="5"/>
  <c r="M71" i="4"/>
  <c r="AB71" i="5"/>
  <c r="N71" i="4" s="1"/>
  <c r="AD46" i="5"/>
  <c r="P46" i="4" s="1"/>
  <c r="AB38" i="5"/>
  <c r="N38" i="4" s="1"/>
  <c r="J96" i="4"/>
  <c r="AA96" i="5"/>
  <c r="AB12" i="5"/>
  <c r="N12" i="4" s="1"/>
  <c r="K62" i="4"/>
  <c r="Z62" i="5"/>
  <c r="AA62" i="5" s="1"/>
  <c r="AC120" i="5"/>
  <c r="O120" i="4" s="1"/>
  <c r="N78" i="4"/>
  <c r="AD78" i="5"/>
  <c r="AB130" i="5"/>
  <c r="N130" i="4" s="1"/>
  <c r="O98" i="4"/>
  <c r="AD98" i="5"/>
  <c r="I44" i="6"/>
  <c r="Q44" i="4"/>
  <c r="N52" i="4"/>
  <c r="AC52" i="5"/>
  <c r="O52" i="4" s="1"/>
  <c r="AE126" i="5"/>
  <c r="AC32" i="5"/>
  <c r="K50" i="4"/>
  <c r="Z50" i="5"/>
  <c r="L50" i="4" s="1"/>
  <c r="AA50" i="5"/>
  <c r="M88" i="4"/>
  <c r="AC88" i="5"/>
  <c r="O88" i="4" s="1"/>
  <c r="K129" i="4"/>
  <c r="P8" i="4"/>
  <c r="L76" i="4"/>
  <c r="AA76" i="5"/>
  <c r="M76" i="4" s="1"/>
  <c r="AD136" i="5"/>
  <c r="P136" i="4" s="1"/>
  <c r="L113" i="4"/>
  <c r="AA113" i="5"/>
  <c r="K100" i="4"/>
  <c r="Z100" i="5"/>
  <c r="AC81" i="5"/>
  <c r="O81" i="4" s="1"/>
  <c r="AD127" i="5"/>
  <c r="P127" i="4" s="1"/>
  <c r="AC131" i="5"/>
  <c r="AE41" i="5"/>
  <c r="M103" i="4"/>
  <c r="AC103" i="5"/>
  <c r="AC137" i="5"/>
  <c r="O137" i="4" s="1"/>
  <c r="K14" i="4"/>
  <c r="Z14" i="5"/>
  <c r="I11" i="6"/>
  <c r="Q11" i="4"/>
  <c r="L65" i="4"/>
  <c r="AA65" i="5"/>
  <c r="Y87" i="5"/>
  <c r="Z87" i="5" s="1"/>
  <c r="K65" i="4"/>
  <c r="AD35" i="5"/>
  <c r="P35" i="4" s="1"/>
  <c r="AC110" i="5"/>
  <c r="L86" i="4"/>
  <c r="L120" i="4"/>
  <c r="N34" i="4"/>
  <c r="AC34" i="5"/>
  <c r="M28" i="4"/>
  <c r="AB28" i="5"/>
  <c r="N28" i="4" s="1"/>
  <c r="AC28" i="5"/>
  <c r="O28" i="4" s="1"/>
  <c r="N43" i="4"/>
  <c r="AC43" i="5"/>
  <c r="O43" i="4" s="1"/>
  <c r="AE53" i="5"/>
  <c r="J105" i="4"/>
  <c r="C12" i="1" s="1"/>
  <c r="L107" i="4"/>
  <c r="AA107" i="5"/>
  <c r="M107" i="4" s="1"/>
  <c r="Y115" i="5"/>
  <c r="K115" i="4" s="1"/>
  <c r="AB103" i="5"/>
  <c r="N103" i="4" s="1"/>
  <c r="AB25" i="5"/>
  <c r="N25" i="4" s="1"/>
  <c r="J89" i="4"/>
  <c r="Y89" i="5"/>
  <c r="AA130" i="5"/>
  <c r="AC51" i="5"/>
  <c r="O51" i="4" s="1"/>
  <c r="AA45" i="5"/>
  <c r="AD12" i="5"/>
  <c r="P12" i="4" s="1"/>
  <c r="L69" i="4"/>
  <c r="AA69" i="5"/>
  <c r="AC18" i="5"/>
  <c r="AB120" i="5"/>
  <c r="N120" i="4" s="1"/>
  <c r="M55" i="4"/>
  <c r="AC55" i="5"/>
  <c r="O55" i="4" s="1"/>
  <c r="AB55" i="5"/>
  <c r="N26" i="4"/>
  <c r="AC26" i="5"/>
  <c r="O26" i="4" s="1"/>
  <c r="AD34" i="5"/>
  <c r="P34" i="4" s="1"/>
  <c r="AB143" i="5"/>
  <c r="AD40" i="5"/>
  <c r="I92" i="6"/>
  <c r="Q92" i="4"/>
  <c r="K75" i="4"/>
  <c r="AA75" i="5"/>
  <c r="M75" i="4" s="1"/>
  <c r="M112" i="4"/>
  <c r="AB112" i="5"/>
  <c r="N112" i="4" s="1"/>
  <c r="M145" i="4"/>
  <c r="AD145" i="5"/>
  <c r="P145" i="4" s="1"/>
  <c r="AC145" i="5"/>
  <c r="O145" i="4" s="1"/>
  <c r="P95" i="4"/>
  <c r="AE95" i="5"/>
  <c r="J63" i="4"/>
  <c r="Y63" i="5"/>
  <c r="K63" i="4" s="1"/>
  <c r="Z63" i="5"/>
  <c r="L63" i="4" s="1"/>
  <c r="AE127" i="5"/>
  <c r="M27" i="4"/>
  <c r="AC42" i="5"/>
  <c r="O42" i="4" s="1"/>
  <c r="Z101" i="5"/>
  <c r="L101" i="4" s="1"/>
  <c r="L122" i="4"/>
  <c r="AD27" i="5"/>
  <c r="P27" i="4" s="1"/>
  <c r="M13" i="4"/>
  <c r="AB13" i="5"/>
  <c r="AB102" i="5"/>
  <c r="AC102" i="5" s="1"/>
  <c r="O102" i="4" s="1"/>
  <c r="M9" i="4"/>
  <c r="AB9" i="5"/>
  <c r="AE49" i="5"/>
  <c r="N8" i="4"/>
  <c r="Z105" i="5"/>
  <c r="L105" i="4" s="1"/>
  <c r="Y20" i="5"/>
  <c r="AD36" i="5"/>
  <c r="J72" i="4"/>
  <c r="Y72" i="5"/>
  <c r="AB131" i="5"/>
  <c r="N131" i="4" s="1"/>
  <c r="AC12" i="5"/>
  <c r="O12" i="4" s="1"/>
  <c r="AC86" i="5"/>
  <c r="O86" i="4" s="1"/>
  <c r="L23" i="4"/>
  <c r="AB23" i="5"/>
  <c r="K59" i="4"/>
  <c r="Z59" i="5"/>
  <c r="AA139" i="5"/>
  <c r="K117" i="4"/>
  <c r="AA117" i="5"/>
  <c r="K85" i="4"/>
  <c r="AA25" i="5"/>
  <c r="K148" i="4"/>
  <c r="AA148" i="5"/>
  <c r="M148" i="4" s="1"/>
  <c r="AA54" i="5"/>
  <c r="K25" i="4"/>
  <c r="AA79" i="5"/>
  <c r="AC10" i="5"/>
  <c r="O10" i="4" s="1"/>
  <c r="L87" i="4" l="1"/>
  <c r="AA87" i="5"/>
  <c r="M87" i="4" s="1"/>
  <c r="M62" i="4"/>
  <c r="AB62" i="5"/>
  <c r="N16" i="4"/>
  <c r="AC16" i="5"/>
  <c r="O16" i="4" s="1"/>
  <c r="AD33" i="5"/>
  <c r="P33" i="4" s="1"/>
  <c r="N37" i="4"/>
  <c r="AC37" i="5"/>
  <c r="N47" i="4"/>
  <c r="AC47" i="5"/>
  <c r="AC104" i="5"/>
  <c r="O104" i="4" s="1"/>
  <c r="I126" i="6"/>
  <c r="Q126" i="4"/>
  <c r="AC71" i="5"/>
  <c r="O71" i="4" s="1"/>
  <c r="AD71" i="5"/>
  <c r="AD10" i="5"/>
  <c r="AE84" i="5"/>
  <c r="AE68" i="5"/>
  <c r="AD51" i="5"/>
  <c r="P51" i="4" s="1"/>
  <c r="AC33" i="5"/>
  <c r="AA125" i="5"/>
  <c r="L140" i="4"/>
  <c r="AA140" i="5"/>
  <c r="M56" i="4"/>
  <c r="AB56" i="5"/>
  <c r="O17" i="4"/>
  <c r="AD17" i="5"/>
  <c r="AB101" i="5"/>
  <c r="N101" i="4" s="1"/>
  <c r="AA123" i="5"/>
  <c r="M123" i="4" s="1"/>
  <c r="M139" i="4"/>
  <c r="AB139" i="5"/>
  <c r="N139" i="4" s="1"/>
  <c r="M50" i="4"/>
  <c r="AB50" i="5"/>
  <c r="N50" i="4" s="1"/>
  <c r="M69" i="4"/>
  <c r="AB69" i="5"/>
  <c r="O32" i="4"/>
  <c r="AD32" i="5"/>
  <c r="AA63" i="5"/>
  <c r="O110" i="4"/>
  <c r="AD110" i="5"/>
  <c r="N114" i="4"/>
  <c r="AC114" i="5"/>
  <c r="O91" i="4"/>
  <c r="AD91" i="5"/>
  <c r="AC70" i="5"/>
  <c r="O70" i="4" s="1"/>
  <c r="I111" i="6"/>
  <c r="Q111" i="4"/>
  <c r="AE51" i="5"/>
  <c r="M99" i="4"/>
  <c r="AB99" i="5"/>
  <c r="L48" i="4"/>
  <c r="AA48" i="5"/>
  <c r="AA101" i="5"/>
  <c r="M101" i="4" s="1"/>
  <c r="AA30" i="5"/>
  <c r="O103" i="4"/>
  <c r="AD103" i="5"/>
  <c r="L144" i="4"/>
  <c r="AA144" i="5"/>
  <c r="M144" i="4" s="1"/>
  <c r="O18" i="4"/>
  <c r="AD18" i="5"/>
  <c r="N21" i="4"/>
  <c r="AC21" i="5"/>
  <c r="M25" i="4"/>
  <c r="AC25" i="5"/>
  <c r="N55" i="4"/>
  <c r="AD86" i="5"/>
  <c r="AE12" i="5"/>
  <c r="O82" i="4"/>
  <c r="AD82" i="5"/>
  <c r="N90" i="4"/>
  <c r="AC90" i="5"/>
  <c r="AE145" i="5"/>
  <c r="AE66" i="5"/>
  <c r="L60" i="4"/>
  <c r="AA60" i="5"/>
  <c r="AC118" i="5"/>
  <c r="K72" i="4"/>
  <c r="Z72" i="5"/>
  <c r="L72" i="4" s="1"/>
  <c r="N102" i="4"/>
  <c r="AD102" i="5"/>
  <c r="I41" i="6"/>
  <c r="Q41" i="4"/>
  <c r="M54" i="4"/>
  <c r="AD112" i="5"/>
  <c r="K20" i="4"/>
  <c r="B13" i="1" s="1"/>
  <c r="D13" i="1" s="1"/>
  <c r="AA20" i="5"/>
  <c r="AB61" i="5"/>
  <c r="N61" i="4" s="1"/>
  <c r="AD29" i="5"/>
  <c r="L62" i="4"/>
  <c r="L58" i="4"/>
  <c r="AA58" i="5"/>
  <c r="I109" i="6"/>
  <c r="Q109" i="4"/>
  <c r="M122" i="4"/>
  <c r="M83" i="4"/>
  <c r="I106" i="6"/>
  <c r="Q106" i="4"/>
  <c r="N15" i="4"/>
  <c r="AC15" i="5"/>
  <c r="O15" i="4" s="1"/>
  <c r="P135" i="4"/>
  <c r="AE135" i="5"/>
  <c r="AC124" i="5"/>
  <c r="P88" i="4"/>
  <c r="AE88" i="5"/>
  <c r="N13" i="4"/>
  <c r="AC13" i="5"/>
  <c r="AD26" i="5"/>
  <c r="O131" i="4"/>
  <c r="AD131" i="5"/>
  <c r="K30" i="4"/>
  <c r="K93" i="4"/>
  <c r="Z93" i="5"/>
  <c r="N23" i="4"/>
  <c r="AC23" i="5"/>
  <c r="I95" i="6"/>
  <c r="Q95" i="4"/>
  <c r="AB75" i="5"/>
  <c r="AD55" i="5"/>
  <c r="P55" i="4" s="1"/>
  <c r="M45" i="4"/>
  <c r="O34" i="4"/>
  <c r="AE34" i="5"/>
  <c r="AB45" i="5"/>
  <c r="M141" i="4"/>
  <c r="AD141" i="5"/>
  <c r="AC141" i="5"/>
  <c r="O141" i="4" s="1"/>
  <c r="AD15" i="5"/>
  <c r="AD107" i="5"/>
  <c r="P107" i="4" s="1"/>
  <c r="Z115" i="5"/>
  <c r="L115" i="4" s="1"/>
  <c r="AB83" i="5"/>
  <c r="N83" i="4" s="1"/>
  <c r="AD104" i="5"/>
  <c r="P104" i="4" s="1"/>
  <c r="AE94" i="5"/>
  <c r="AC73" i="5"/>
  <c r="M79" i="4"/>
  <c r="AB79" i="5"/>
  <c r="K89" i="4"/>
  <c r="Z89" i="5"/>
  <c r="L89" i="4" s="1"/>
  <c r="P78" i="4"/>
  <c r="AE78" i="5"/>
  <c r="M16" i="4"/>
  <c r="AD16" i="5"/>
  <c r="AC22" i="5"/>
  <c r="O22" i="4" s="1"/>
  <c r="AC142" i="5"/>
  <c r="AE46" i="5"/>
  <c r="I77" i="6"/>
  <c r="Q77" i="4"/>
  <c r="N132" i="4"/>
  <c r="AC132" i="5"/>
  <c r="L128" i="4"/>
  <c r="AA128" i="5"/>
  <c r="M128" i="4" s="1"/>
  <c r="L59" i="4"/>
  <c r="AA59" i="5"/>
  <c r="P36" i="4"/>
  <c r="AE36" i="5"/>
  <c r="L14" i="4"/>
  <c r="AA14" i="5"/>
  <c r="AC130" i="5"/>
  <c r="O130" i="4" s="1"/>
  <c r="C13" i="1"/>
  <c r="P98" i="4"/>
  <c r="AE98" i="5"/>
  <c r="AA105" i="5"/>
  <c r="AD146" i="5"/>
  <c r="AE104" i="5"/>
  <c r="AD121" i="5"/>
  <c r="P121" i="4" s="1"/>
  <c r="M22" i="4"/>
  <c r="AD22" i="5"/>
  <c r="P22" i="4" s="1"/>
  <c r="O108" i="4"/>
  <c r="AD108" i="5"/>
  <c r="AC80" i="5"/>
  <c r="O80" i="4" s="1"/>
  <c r="AB122" i="5"/>
  <c r="O147" i="4"/>
  <c r="AD147" i="5"/>
  <c r="AD28" i="5"/>
  <c r="P28" i="4" s="1"/>
  <c r="I136" i="6"/>
  <c r="Q136" i="4"/>
  <c r="L61" i="4"/>
  <c r="AC61" i="5"/>
  <c r="O61" i="4" s="1"/>
  <c r="AD61" i="5"/>
  <c r="P61" i="4" s="1"/>
  <c r="AE61" i="5"/>
  <c r="L100" i="4"/>
  <c r="AA100" i="5"/>
  <c r="M100" i="4" s="1"/>
  <c r="M130" i="4"/>
  <c r="AD130" i="5"/>
  <c r="M117" i="4"/>
  <c r="AB117" i="5"/>
  <c r="N117" i="4" s="1"/>
  <c r="AA93" i="5"/>
  <c r="M93" i="4" s="1"/>
  <c r="AE43" i="5"/>
  <c r="AB148" i="5"/>
  <c r="K87" i="4"/>
  <c r="AB87" i="5"/>
  <c r="M113" i="4"/>
  <c r="AB113" i="5"/>
  <c r="N113" i="4" s="1"/>
  <c r="AC50" i="5"/>
  <c r="O50" i="4" s="1"/>
  <c r="N81" i="4"/>
  <c r="AD81" i="5"/>
  <c r="AB54" i="5"/>
  <c r="N54" i="4" s="1"/>
  <c r="I138" i="6"/>
  <c r="Q138" i="4"/>
  <c r="AC24" i="5"/>
  <c r="AE35" i="5"/>
  <c r="Q8" i="4"/>
  <c r="AB76" i="5"/>
  <c r="J150" i="4"/>
  <c r="AC31" i="5"/>
  <c r="I127" i="6"/>
  <c r="Q127" i="4"/>
  <c r="P39" i="4"/>
  <c r="AE39" i="5"/>
  <c r="AD70" i="5"/>
  <c r="P70" i="4" s="1"/>
  <c r="AB144" i="5"/>
  <c r="N144" i="4" s="1"/>
  <c r="N134" i="4"/>
  <c r="AC134" i="5"/>
  <c r="O134" i="4" s="1"/>
  <c r="AD134" i="5"/>
  <c r="I53" i="6"/>
  <c r="Q53" i="4"/>
  <c r="AE27" i="5"/>
  <c r="P40" i="4"/>
  <c r="AE40" i="5"/>
  <c r="AA89" i="5"/>
  <c r="AE52" i="5"/>
  <c r="AD50" i="5"/>
  <c r="P50" i="4" s="1"/>
  <c r="M96" i="4"/>
  <c r="AB96" i="5"/>
  <c r="AA129" i="5"/>
  <c r="K123" i="4"/>
  <c r="L56" i="4"/>
  <c r="AC56" i="5"/>
  <c r="O56" i="4" s="1"/>
  <c r="L57" i="4"/>
  <c r="AA57" i="5"/>
  <c r="AD42" i="5"/>
  <c r="AD68" i="5"/>
  <c r="P68" i="4" s="1"/>
  <c r="AA19" i="5"/>
  <c r="D12" i="1"/>
  <c r="AB85" i="5"/>
  <c r="N85" i="4" s="1"/>
  <c r="I49" i="6"/>
  <c r="Q49" i="4"/>
  <c r="AC38" i="5"/>
  <c r="AA72" i="5"/>
  <c r="N9" i="4"/>
  <c r="AC9" i="5"/>
  <c r="AD9" i="5"/>
  <c r="N143" i="4"/>
  <c r="AC143" i="5"/>
  <c r="AD120" i="5"/>
  <c r="M65" i="4"/>
  <c r="AB65" i="5"/>
  <c r="I74" i="6"/>
  <c r="Q74" i="4"/>
  <c r="P97" i="4"/>
  <c r="AE97" i="5"/>
  <c r="AD137" i="5"/>
  <c r="N149" i="4"/>
  <c r="AC149" i="5"/>
  <c r="AB128" i="5"/>
  <c r="AE121" i="5"/>
  <c r="AB119" i="5"/>
  <c r="AC107" i="5"/>
  <c r="O13" i="4" l="1"/>
  <c r="AD13" i="5"/>
  <c r="O21" i="4"/>
  <c r="AD21" i="5"/>
  <c r="M105" i="4"/>
  <c r="AB105" i="5"/>
  <c r="AC117" i="5"/>
  <c r="O23" i="4"/>
  <c r="AD23" i="5"/>
  <c r="P23" i="4" s="1"/>
  <c r="P18" i="4"/>
  <c r="AE18" i="5"/>
  <c r="N99" i="4"/>
  <c r="AC99" i="5"/>
  <c r="P141" i="4"/>
  <c r="AE141" i="5"/>
  <c r="O124" i="4"/>
  <c r="AD124" i="5"/>
  <c r="P82" i="4"/>
  <c r="AE82" i="5"/>
  <c r="M63" i="4"/>
  <c r="AB63" i="5"/>
  <c r="N56" i="4"/>
  <c r="AD56" i="5"/>
  <c r="I97" i="6"/>
  <c r="Q97" i="4"/>
  <c r="I52" i="6"/>
  <c r="Q52" i="4"/>
  <c r="M72" i="4"/>
  <c r="AB72" i="5"/>
  <c r="AA115" i="5"/>
  <c r="P17" i="4"/>
  <c r="AE17" i="5"/>
  <c r="O107" i="4"/>
  <c r="AE107" i="5"/>
  <c r="N119" i="4"/>
  <c r="AC119" i="5"/>
  <c r="AE50" i="5"/>
  <c r="I27" i="6"/>
  <c r="Q27" i="4"/>
  <c r="AC113" i="5"/>
  <c r="P130" i="4"/>
  <c r="AE130" i="5"/>
  <c r="N122" i="4"/>
  <c r="AC122" i="5"/>
  <c r="O132" i="4"/>
  <c r="AD132" i="5"/>
  <c r="AC85" i="5"/>
  <c r="I135" i="6"/>
  <c r="Q135" i="4"/>
  <c r="M58" i="4"/>
  <c r="AB58" i="5"/>
  <c r="N58" i="4" s="1"/>
  <c r="P32" i="4"/>
  <c r="AE32" i="5"/>
  <c r="I104" i="6"/>
  <c r="Q104" i="4"/>
  <c r="M89" i="4"/>
  <c r="AB89" i="5"/>
  <c r="I98" i="6"/>
  <c r="Q98" i="4"/>
  <c r="P110" i="4"/>
  <c r="AE110" i="5"/>
  <c r="I40" i="6"/>
  <c r="Q40" i="4"/>
  <c r="N76" i="4"/>
  <c r="AC76" i="5"/>
  <c r="N79" i="4"/>
  <c r="AC79" i="5"/>
  <c r="L93" i="4"/>
  <c r="AB93" i="5"/>
  <c r="P102" i="4"/>
  <c r="AE102" i="5"/>
  <c r="AB100" i="5"/>
  <c r="AC144" i="5"/>
  <c r="I51" i="6"/>
  <c r="Q51" i="4"/>
  <c r="I66" i="6"/>
  <c r="Q66" i="4"/>
  <c r="O90" i="4"/>
  <c r="AD90" i="5"/>
  <c r="O31" i="4"/>
  <c r="AD31" i="5"/>
  <c r="P108" i="4"/>
  <c r="AE108" i="5"/>
  <c r="N45" i="4"/>
  <c r="AD45" i="5"/>
  <c r="P45" i="4" s="1"/>
  <c r="AC45" i="5"/>
  <c r="O45" i="4" s="1"/>
  <c r="I12" i="6"/>
  <c r="Q12" i="4"/>
  <c r="N69" i="4"/>
  <c r="AC69" i="5"/>
  <c r="M140" i="4"/>
  <c r="AB140" i="5"/>
  <c r="AC83" i="5"/>
  <c r="P137" i="4"/>
  <c r="AE137" i="5"/>
  <c r="P16" i="4"/>
  <c r="AE16" i="5"/>
  <c r="P81" i="4"/>
  <c r="AE81" i="5"/>
  <c r="N75" i="4"/>
  <c r="AC75" i="5"/>
  <c r="M59" i="4"/>
  <c r="AB59" i="5"/>
  <c r="I145" i="6"/>
  <c r="Q145" i="4"/>
  <c r="P42" i="4"/>
  <c r="AE42" i="5"/>
  <c r="C14" i="1"/>
  <c r="I34" i="6"/>
  <c r="Q34" i="4"/>
  <c r="AE70" i="5"/>
  <c r="P86" i="4"/>
  <c r="AE86" i="5"/>
  <c r="P103" i="4"/>
  <c r="AE103" i="5"/>
  <c r="K150" i="4"/>
  <c r="N62" i="4"/>
  <c r="AC62" i="5"/>
  <c r="N65" i="4"/>
  <c r="AC65" i="5"/>
  <c r="M19" i="4"/>
  <c r="AB19" i="5"/>
  <c r="N19" i="4" s="1"/>
  <c r="AC19" i="5"/>
  <c r="I35" i="6"/>
  <c r="Q35" i="4"/>
  <c r="P134" i="4"/>
  <c r="AE134" i="5"/>
  <c r="O24" i="4"/>
  <c r="AD24" i="5"/>
  <c r="N87" i="4"/>
  <c r="AC87" i="5"/>
  <c r="I61" i="6"/>
  <c r="Q61" i="4"/>
  <c r="M14" i="4"/>
  <c r="AB14" i="5"/>
  <c r="I46" i="6"/>
  <c r="Q46" i="4"/>
  <c r="O73" i="4"/>
  <c r="AD73" i="5"/>
  <c r="P29" i="4"/>
  <c r="AE29" i="5"/>
  <c r="AE55" i="5"/>
  <c r="O47" i="4"/>
  <c r="AD47" i="5"/>
  <c r="P112" i="4"/>
  <c r="AE112" i="5"/>
  <c r="AE28" i="5"/>
  <c r="AB123" i="5"/>
  <c r="M129" i="4"/>
  <c r="AB129" i="5"/>
  <c r="N129" i="4" s="1"/>
  <c r="AC129" i="5"/>
  <c r="AE22" i="5"/>
  <c r="O142" i="4"/>
  <c r="AD142" i="5"/>
  <c r="I94" i="6"/>
  <c r="Q94" i="4"/>
  <c r="P131" i="4"/>
  <c r="AE131" i="5"/>
  <c r="M30" i="4"/>
  <c r="AB30" i="5"/>
  <c r="P91" i="4"/>
  <c r="AE91" i="5"/>
  <c r="M125" i="4"/>
  <c r="AB125" i="5"/>
  <c r="I68" i="6"/>
  <c r="Q68" i="4"/>
  <c r="P146" i="4"/>
  <c r="AE146" i="5"/>
  <c r="I88" i="6"/>
  <c r="Q88" i="4"/>
  <c r="AC101" i="5"/>
  <c r="O101" i="4" s="1"/>
  <c r="P15" i="4"/>
  <c r="AE15" i="5"/>
  <c r="AC54" i="5"/>
  <c r="O38" i="4"/>
  <c r="AD38" i="5"/>
  <c r="I121" i="6"/>
  <c r="Q121" i="4"/>
  <c r="O149" i="4"/>
  <c r="AD149" i="5"/>
  <c r="O143" i="4"/>
  <c r="AD143" i="5"/>
  <c r="N96" i="4"/>
  <c r="AC96" i="5"/>
  <c r="L150" i="4"/>
  <c r="B14" i="1"/>
  <c r="D14" i="1" s="1"/>
  <c r="AE45" i="5"/>
  <c r="O118" i="4"/>
  <c r="AD118" i="5"/>
  <c r="O33" i="4"/>
  <c r="AE33" i="5"/>
  <c r="O37" i="4"/>
  <c r="AD37" i="5"/>
  <c r="AC139" i="5"/>
  <c r="P9" i="4"/>
  <c r="AE9" i="5"/>
  <c r="I43" i="6"/>
  <c r="Q43" i="4"/>
  <c r="M48" i="4"/>
  <c r="AB48" i="5"/>
  <c r="O9" i="4"/>
  <c r="I39" i="6"/>
  <c r="Q39" i="4"/>
  <c r="I84" i="6"/>
  <c r="Q84" i="4"/>
  <c r="I78" i="6"/>
  <c r="Q78" i="4"/>
  <c r="P10" i="4"/>
  <c r="AE10" i="5"/>
  <c r="P147" i="4"/>
  <c r="AE147" i="5"/>
  <c r="P71" i="4"/>
  <c r="AE71" i="5"/>
  <c r="M57" i="4"/>
  <c r="AB57" i="5"/>
  <c r="N57" i="4" s="1"/>
  <c r="N128" i="4"/>
  <c r="AC128" i="5"/>
  <c r="P120" i="4"/>
  <c r="AE120" i="5"/>
  <c r="AD80" i="5"/>
  <c r="AC58" i="5"/>
  <c r="N148" i="4"/>
  <c r="AC148" i="5"/>
  <c r="I36" i="6"/>
  <c r="Q36" i="4"/>
  <c r="P26" i="4"/>
  <c r="AE26" i="5"/>
  <c r="M20" i="4"/>
  <c r="AB20" i="5"/>
  <c r="M60" i="4"/>
  <c r="AB60" i="5"/>
  <c r="O25" i="4"/>
  <c r="AD25" i="5"/>
  <c r="O114" i="4"/>
  <c r="AD114" i="5"/>
  <c r="I32" i="6" l="1"/>
  <c r="Q32" i="4"/>
  <c r="O62" i="4"/>
  <c r="AD62" i="5"/>
  <c r="P80" i="4"/>
  <c r="AE80" i="5"/>
  <c r="I9" i="6"/>
  <c r="Q9" i="4"/>
  <c r="P143" i="4"/>
  <c r="AE143" i="5"/>
  <c r="P24" i="4"/>
  <c r="AE24" i="5"/>
  <c r="O69" i="4"/>
  <c r="AD69" i="5"/>
  <c r="O76" i="4"/>
  <c r="AD76" i="5"/>
  <c r="I50" i="6"/>
  <c r="Q50" i="4"/>
  <c r="P56" i="4"/>
  <c r="AE56" i="5"/>
  <c r="AE23" i="5"/>
  <c r="O119" i="4"/>
  <c r="AD119" i="5"/>
  <c r="O139" i="4"/>
  <c r="AD139" i="5"/>
  <c r="P149" i="4"/>
  <c r="AE149" i="5"/>
  <c r="I146" i="6"/>
  <c r="Q146" i="4"/>
  <c r="P142" i="4"/>
  <c r="AE142" i="5"/>
  <c r="I29" i="6"/>
  <c r="Q29" i="4"/>
  <c r="I134" i="6"/>
  <c r="Q134" i="4"/>
  <c r="AD101" i="5"/>
  <c r="N63" i="4"/>
  <c r="AC63" i="5"/>
  <c r="I55" i="6"/>
  <c r="Q55" i="4"/>
  <c r="N20" i="4"/>
  <c r="AC20" i="5"/>
  <c r="O117" i="4"/>
  <c r="AD117" i="5"/>
  <c r="P73" i="4"/>
  <c r="AE73" i="5"/>
  <c r="O144" i="4"/>
  <c r="AD144" i="5"/>
  <c r="I110" i="6"/>
  <c r="Q110" i="4"/>
  <c r="O85" i="4"/>
  <c r="AD85" i="5"/>
  <c r="I82" i="6"/>
  <c r="Q82" i="4"/>
  <c r="N105" i="4"/>
  <c r="AC105" i="5"/>
  <c r="I131" i="6"/>
  <c r="Q131" i="4"/>
  <c r="P90" i="4"/>
  <c r="AE90" i="5"/>
  <c r="N60" i="4"/>
  <c r="AC60" i="5"/>
  <c r="O128" i="4"/>
  <c r="AD128" i="5"/>
  <c r="O75" i="4"/>
  <c r="AD75" i="5"/>
  <c r="I22" i="6"/>
  <c r="Q22" i="4"/>
  <c r="I86" i="6"/>
  <c r="Q86" i="4"/>
  <c r="I81" i="6"/>
  <c r="Q81" i="4"/>
  <c r="N100" i="4"/>
  <c r="AC100" i="5"/>
  <c r="P132" i="4"/>
  <c r="AE132" i="5"/>
  <c r="I17" i="6"/>
  <c r="Q17" i="4"/>
  <c r="P47" i="4"/>
  <c r="AE47" i="5"/>
  <c r="I26" i="6"/>
  <c r="Q26" i="4"/>
  <c r="N125" i="4"/>
  <c r="AC125" i="5"/>
  <c r="O129" i="4"/>
  <c r="AD129" i="5"/>
  <c r="O19" i="4"/>
  <c r="AD19" i="5"/>
  <c r="I102" i="6"/>
  <c r="Q102" i="4"/>
  <c r="P124" i="4"/>
  <c r="AE124" i="5"/>
  <c r="P21" i="4"/>
  <c r="AE21" i="5"/>
  <c r="P118" i="4"/>
  <c r="AE118" i="5"/>
  <c r="I70" i="6"/>
  <c r="Q70" i="4"/>
  <c r="I16" i="6"/>
  <c r="Q16" i="4"/>
  <c r="I108" i="6"/>
  <c r="Q108" i="4"/>
  <c r="O122" i="4"/>
  <c r="AD122" i="5"/>
  <c r="M115" i="4"/>
  <c r="C15" i="1" s="1"/>
  <c r="AB115" i="5"/>
  <c r="I18" i="6"/>
  <c r="Q18" i="4"/>
  <c r="I10" i="6"/>
  <c r="Q10" i="4"/>
  <c r="P37" i="4"/>
  <c r="AE37" i="5"/>
  <c r="I103" i="6"/>
  <c r="Q103" i="4"/>
  <c r="I107" i="6"/>
  <c r="Q107" i="4"/>
  <c r="I33" i="6"/>
  <c r="Q33" i="4"/>
  <c r="AC57" i="5"/>
  <c r="P38" i="4"/>
  <c r="AE38" i="5"/>
  <c r="I91" i="6"/>
  <c r="Q91" i="4"/>
  <c r="N14" i="4"/>
  <c r="AC14" i="5"/>
  <c r="N93" i="4"/>
  <c r="AC93" i="5"/>
  <c r="N89" i="4"/>
  <c r="AC89" i="5"/>
  <c r="N72" i="4"/>
  <c r="AC72" i="5"/>
  <c r="I141" i="6"/>
  <c r="Q141" i="4"/>
  <c r="P13" i="4"/>
  <c r="AE13" i="5"/>
  <c r="O87" i="4"/>
  <c r="AD87" i="5"/>
  <c r="O58" i="4"/>
  <c r="AD58" i="5"/>
  <c r="I120" i="6"/>
  <c r="Q120" i="4"/>
  <c r="N59" i="4"/>
  <c r="AC59" i="5"/>
  <c r="P114" i="4"/>
  <c r="AE114" i="5"/>
  <c r="I71" i="6"/>
  <c r="Q71" i="4"/>
  <c r="N48" i="4"/>
  <c r="AC48" i="5"/>
  <c r="I45" i="6"/>
  <c r="Q45" i="4"/>
  <c r="N123" i="4"/>
  <c r="AC123" i="5"/>
  <c r="B15" i="1"/>
  <c r="I137" i="6"/>
  <c r="Q137" i="4"/>
  <c r="I130" i="6"/>
  <c r="Q130" i="4"/>
  <c r="O96" i="4"/>
  <c r="AD96" i="5"/>
  <c r="O148" i="4"/>
  <c r="AD148" i="5"/>
  <c r="P31" i="4"/>
  <c r="AE31" i="5"/>
  <c r="O99" i="4"/>
  <c r="AD99" i="5"/>
  <c r="N140" i="4"/>
  <c r="AC140" i="5"/>
  <c r="O54" i="4"/>
  <c r="AD54" i="5"/>
  <c r="N30" i="4"/>
  <c r="AC30" i="5"/>
  <c r="O30" i="4" s="1"/>
  <c r="AD30" i="5"/>
  <c r="I28" i="6"/>
  <c r="Q28" i="4"/>
  <c r="P25" i="4"/>
  <c r="AE25" i="5"/>
  <c r="I147" i="6"/>
  <c r="Q147" i="4"/>
  <c r="I15" i="6"/>
  <c r="Q15" i="4"/>
  <c r="I112" i="6"/>
  <c r="Q112" i="4"/>
  <c r="O65" i="4"/>
  <c r="AD65" i="5"/>
  <c r="I42" i="6"/>
  <c r="Q42" i="4"/>
  <c r="O83" i="4"/>
  <c r="AD83" i="5"/>
  <c r="O79" i="4"/>
  <c r="AD79" i="5"/>
  <c r="O113" i="4"/>
  <c r="AD113" i="5"/>
  <c r="O105" i="4" l="1"/>
  <c r="AD105" i="5"/>
  <c r="P148" i="4"/>
  <c r="AE148" i="5"/>
  <c r="I38" i="6"/>
  <c r="Q38" i="4"/>
  <c r="I118" i="6"/>
  <c r="Q118" i="4"/>
  <c r="I24" i="6"/>
  <c r="Q24" i="4"/>
  <c r="O20" i="4"/>
  <c r="AD20" i="5"/>
  <c r="I149" i="6"/>
  <c r="Q149" i="4"/>
  <c r="O48" i="4"/>
  <c r="AD48" i="5"/>
  <c r="P30" i="4"/>
  <c r="AE30" i="5"/>
  <c r="P139" i="4"/>
  <c r="AE139" i="5"/>
  <c r="P87" i="4"/>
  <c r="AE87" i="5"/>
  <c r="I13" i="6"/>
  <c r="Q13" i="4"/>
  <c r="P96" i="4"/>
  <c r="AE96" i="5"/>
  <c r="I21" i="6"/>
  <c r="Q21" i="4"/>
  <c r="I47" i="6"/>
  <c r="Q47" i="4"/>
  <c r="P75" i="4"/>
  <c r="AE75" i="5"/>
  <c r="P85" i="4"/>
  <c r="AE85" i="5"/>
  <c r="O63" i="4"/>
  <c r="AD63" i="5"/>
  <c r="I143" i="6"/>
  <c r="Q143" i="4"/>
  <c r="I31" i="6"/>
  <c r="Q31" i="4"/>
  <c r="N115" i="4"/>
  <c r="N150" i="4" s="1"/>
  <c r="AC115" i="5"/>
  <c r="P119" i="4"/>
  <c r="AE119" i="5"/>
  <c r="P69" i="4"/>
  <c r="AE69" i="5"/>
  <c r="P54" i="4"/>
  <c r="AE54" i="5"/>
  <c r="O72" i="4"/>
  <c r="AD72" i="5"/>
  <c r="P128" i="4"/>
  <c r="AE128" i="5"/>
  <c r="P122" i="4"/>
  <c r="AE122" i="5"/>
  <c r="O59" i="4"/>
  <c r="AD59" i="5"/>
  <c r="O89" i="4"/>
  <c r="AD89" i="5"/>
  <c r="I132" i="6"/>
  <c r="Q132" i="4"/>
  <c r="O60" i="4"/>
  <c r="AD60" i="5"/>
  <c r="P144" i="4"/>
  <c r="AE144" i="5"/>
  <c r="I56" i="6"/>
  <c r="Q56" i="4"/>
  <c r="I80" i="6"/>
  <c r="Q80" i="4"/>
  <c r="P83" i="4"/>
  <c r="AE83" i="5"/>
  <c r="P65" i="4"/>
  <c r="AE65" i="5"/>
  <c r="I114" i="6"/>
  <c r="Q114" i="4"/>
  <c r="I124" i="6"/>
  <c r="Q124" i="4"/>
  <c r="I23" i="6"/>
  <c r="Q23" i="4"/>
  <c r="O140" i="4"/>
  <c r="AD140" i="5"/>
  <c r="M150" i="4"/>
  <c r="O93" i="4"/>
  <c r="AD93" i="5"/>
  <c r="P19" i="4"/>
  <c r="AE19" i="5"/>
  <c r="O100" i="4"/>
  <c r="AD100" i="5"/>
  <c r="I90" i="6"/>
  <c r="Q90" i="4"/>
  <c r="I73" i="6"/>
  <c r="Q73" i="4"/>
  <c r="P62" i="4"/>
  <c r="AE62" i="5"/>
  <c r="O125" i="4"/>
  <c r="AD125" i="5"/>
  <c r="O57" i="4"/>
  <c r="AD57" i="5"/>
  <c r="I142" i="6"/>
  <c r="Q142" i="4"/>
  <c r="D15" i="1"/>
  <c r="P58" i="4"/>
  <c r="AE58" i="5"/>
  <c r="P129" i="4"/>
  <c r="AE129" i="5"/>
  <c r="P117" i="4"/>
  <c r="AE117" i="5"/>
  <c r="P76" i="4"/>
  <c r="AE76" i="5"/>
  <c r="P101" i="4"/>
  <c r="AE101" i="5"/>
  <c r="P113" i="4"/>
  <c r="AE113" i="5"/>
  <c r="P99" i="4"/>
  <c r="AE99" i="5"/>
  <c r="O123" i="4"/>
  <c r="AD123" i="5"/>
  <c r="O14" i="4"/>
  <c r="AD14" i="5"/>
  <c r="P79" i="4"/>
  <c r="AE79" i="5"/>
  <c r="I25" i="6"/>
  <c r="Q25" i="4"/>
  <c r="B16" i="1"/>
  <c r="I37" i="6"/>
  <c r="Q37" i="4"/>
  <c r="I76" i="6" l="1"/>
  <c r="Q76" i="4"/>
  <c r="I96" i="6"/>
  <c r="Q96" i="4"/>
  <c r="I79" i="6"/>
  <c r="Q79" i="4"/>
  <c r="I117" i="6"/>
  <c r="Q117" i="4"/>
  <c r="I62" i="6"/>
  <c r="Q62" i="4"/>
  <c r="P125" i="4"/>
  <c r="AE125" i="5"/>
  <c r="P140" i="4"/>
  <c r="AE140" i="5"/>
  <c r="I122" i="6"/>
  <c r="Q122" i="4"/>
  <c r="P20" i="4"/>
  <c r="AE20" i="5"/>
  <c r="I128" i="6"/>
  <c r="Q128" i="4"/>
  <c r="P14" i="4"/>
  <c r="AE14" i="5"/>
  <c r="I129" i="6"/>
  <c r="Q129" i="4"/>
  <c r="B17" i="1"/>
  <c r="D17" i="1" s="1"/>
  <c r="O150" i="4"/>
  <c r="P63" i="4"/>
  <c r="AE63" i="5"/>
  <c r="I54" i="6"/>
  <c r="Q54" i="4"/>
  <c r="I85" i="6"/>
  <c r="Q85" i="4"/>
  <c r="I139" i="6"/>
  <c r="Q139" i="4"/>
  <c r="I87" i="6"/>
  <c r="Q87" i="4"/>
  <c r="P123" i="4"/>
  <c r="AE123" i="5"/>
  <c r="I58" i="6"/>
  <c r="Q58" i="4"/>
  <c r="P60" i="4"/>
  <c r="AE60" i="5"/>
  <c r="I99" i="6"/>
  <c r="Q99" i="4"/>
  <c r="P100" i="4"/>
  <c r="AE100" i="5"/>
  <c r="C17" i="1"/>
  <c r="I75" i="6"/>
  <c r="Q75" i="4"/>
  <c r="I113" i="6"/>
  <c r="Q113" i="4"/>
  <c r="I19" i="6"/>
  <c r="Q19" i="4"/>
  <c r="I144" i="6"/>
  <c r="Q144" i="4"/>
  <c r="C16" i="1"/>
  <c r="D16" i="1" s="1"/>
  <c r="I65" i="6"/>
  <c r="Q65" i="4"/>
  <c r="P89" i="4"/>
  <c r="AE89" i="5"/>
  <c r="I119" i="6"/>
  <c r="Q119" i="4"/>
  <c r="P48" i="4"/>
  <c r="AE48" i="5"/>
  <c r="P105" i="4"/>
  <c r="AE105" i="5"/>
  <c r="P72" i="4"/>
  <c r="AE72" i="5"/>
  <c r="I69" i="6"/>
  <c r="Q69" i="4"/>
  <c r="I30" i="6"/>
  <c r="Q30" i="4"/>
  <c r="I148" i="6"/>
  <c r="Q148" i="4"/>
  <c r="P93" i="4"/>
  <c r="AE93" i="5"/>
  <c r="I101" i="6"/>
  <c r="Q101" i="4"/>
  <c r="P57" i="4"/>
  <c r="AE57" i="5"/>
  <c r="I83" i="6"/>
  <c r="Q83" i="4"/>
  <c r="P59" i="4"/>
  <c r="AE59" i="5"/>
  <c r="O115" i="4"/>
  <c r="AD115" i="5"/>
  <c r="I60" i="6" l="1"/>
  <c r="Q60" i="4"/>
  <c r="I123" i="6"/>
  <c r="Q123" i="4"/>
  <c r="I140" i="6"/>
  <c r="Q140" i="4"/>
  <c r="I72" i="6"/>
  <c r="Q72" i="4"/>
  <c r="I63" i="6"/>
  <c r="Q63" i="4"/>
  <c r="I48" i="6"/>
  <c r="Q48" i="4"/>
  <c r="I125" i="6"/>
  <c r="Q125" i="4"/>
  <c r="I57" i="6"/>
  <c r="Q57" i="4"/>
  <c r="I105" i="6"/>
  <c r="Q105" i="4"/>
  <c r="B18" i="1"/>
  <c r="P150" i="4"/>
  <c r="I93" i="6"/>
  <c r="Q93" i="4"/>
  <c r="I20" i="6"/>
  <c r="Q20" i="4"/>
  <c r="C18" i="1"/>
  <c r="C19" i="1" s="1"/>
  <c r="I14" i="6"/>
  <c r="Q14" i="4"/>
  <c r="I89" i="6"/>
  <c r="Q89" i="4"/>
  <c r="I100" i="6"/>
  <c r="Q100" i="4"/>
  <c r="P115" i="4"/>
  <c r="AE115" i="5"/>
  <c r="I59" i="6"/>
  <c r="Q59" i="4"/>
  <c r="B13" i="2" l="1"/>
  <c r="I115" i="6"/>
  <c r="Q115" i="4"/>
  <c r="Q150" i="4" s="1"/>
  <c r="D18" i="1"/>
  <c r="D19" i="1" s="1"/>
  <c r="B5" i="2" s="1"/>
  <c r="B19" i="1"/>
  <c r="B14" i="2"/>
  <c r="E8" i="1"/>
  <c r="E9" i="1"/>
  <c r="E12" i="1"/>
  <c r="E7" i="1"/>
  <c r="E10" i="1"/>
  <c r="E11" i="1"/>
  <c r="E16" i="1"/>
  <c r="E15" i="1"/>
  <c r="E13" i="1"/>
  <c r="E14" i="1"/>
  <c r="C13" i="2"/>
  <c r="E19" i="1"/>
  <c r="E17" i="1"/>
  <c r="E18" i="1"/>
  <c r="C14" i="2"/>
  <c r="F10" i="1" l="1"/>
  <c r="F16" i="1"/>
  <c r="H16" i="1" s="1"/>
  <c r="G16" i="1"/>
  <c r="F9" i="1"/>
  <c r="F12" i="1"/>
  <c r="H12" i="1" s="1"/>
  <c r="G12" i="1"/>
  <c r="G17" i="1"/>
  <c r="H17" i="1" s="1"/>
  <c r="F17" i="1"/>
  <c r="F8" i="1"/>
  <c r="H8" i="1" s="1"/>
  <c r="G8" i="1"/>
  <c r="F19" i="1"/>
  <c r="B6" i="2"/>
  <c r="C15" i="2"/>
  <c r="G7" i="1"/>
  <c r="F7" i="1"/>
  <c r="H7" i="1" s="1"/>
  <c r="F14" i="1"/>
  <c r="H14" i="1" s="1"/>
  <c r="G14" i="1"/>
  <c r="F13" i="1"/>
  <c r="G13" i="1" s="1"/>
  <c r="H13" i="1" s="1"/>
  <c r="F11" i="1"/>
  <c r="G11" i="1" s="1"/>
  <c r="F18" i="1"/>
  <c r="H18" i="1" s="1"/>
  <c r="G18" i="1"/>
  <c r="F15" i="1"/>
  <c r="B15" i="2"/>
  <c r="B7" i="2" l="1"/>
  <c r="G15" i="1"/>
  <c r="H15" i="1" s="1"/>
  <c r="H11" i="1"/>
  <c r="G9" i="1"/>
  <c r="H9" i="1" s="1"/>
  <c r="G10" i="1"/>
  <c r="H10" i="1" s="1"/>
  <c r="H19" i="1" l="1"/>
  <c r="G19" i="1"/>
  <c r="B8" i="2" s="1"/>
  <c r="B9" i="2" s="1"/>
</calcChain>
</file>

<file path=xl/sharedStrings.xml><?xml version="1.0" encoding="utf-8"?>
<sst xmlns="http://schemas.openxmlformats.org/spreadsheetml/2006/main" count="2776" uniqueCount="461">
  <si>
    <t>Presupuesto de compras · resumen mensual 2027</t>
  </si>
  <si>
    <t>Compras netas tras aplicar el stock; FILM incorpora las necesidades mensuales de FILMPR.</t>
  </si>
  <si>
    <t>Mes</t>
  </si>
  <si>
    <t>Formulados</t>
  </si>
  <si>
    <t>Envasados</t>
  </si>
  <si>
    <t>Compras calculadas</t>
  </si>
  <si>
    <t>Líneas sin precio</t>
  </si>
  <si>
    <t>Total sin reserva</t>
  </si>
  <si>
    <t>Reserva 3 %</t>
  </si>
  <si>
    <t>Presupuesto con reserva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</si>
  <si>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</si>
  <si>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</si>
  <si>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</si>
  <si>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</si>
  <si>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</si>
  <si>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</si>
  <si>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</si>
  <si>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</si>
  <si>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</si>
  <si>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</si>
  <si>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</si>
  <si>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</si>
  <si>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2027</t>
  </si>
  <si>
    <t>Stock al 31/12 del archivo aportado. LAM1 se toma exclusivamente de envasados.</t>
  </si>
  <si>
    <t>ROJ, VER, CONVER y JAU omitidos. FILMPR se suma a FILM, sin línea ni precio propios.</t>
  </si>
  <si>
    <t>La reserva es una previsión monetaria por pedidos mínimos desconocidos; no equivale a unidades compradas.</t>
  </si>
  <si>
    <t>Presupuesto de compras · resumen anual 2027</t>
  </si>
  <si>
    <t>Resultado</t>
  </si>
  <si>
    <t>Importe / líneas</t>
  </si>
  <si>
    <t>Reserva pedidos mínimos</t>
  </si>
  <si>
    <t>Grupo</t>
  </si>
  <si>
    <t>TOTAL</t>
  </si>
  <si>
    <t>Las unidades de kg, g y ud no se suman entre artículos; consulta Unidades para cantidades por referencia.</t>
  </si>
  <si>
    <t>La reserva del 3 % es presupuestaria y no representa gasto consumido ni compra asignada a artículos.</t>
  </si>
  <si>
    <t>Supuestos del presupuesto de compras 2027</t>
  </si>
  <si>
    <t>Parámetro</t>
  </si>
  <si>
    <t>Valor</t>
  </si>
  <si>
    <t>Incremento precios 2027</t>
  </si>
  <si>
    <t>Reserva por mínimos de pedido</t>
  </si>
  <si>
    <t>Fuente</t>
  </si>
  <si>
    <t>3º MP PARA FORMULADOS y 4º MP PARA ENVASADOS del archivo NECESIDADES ENE_DIC_2027(3).xlsx.</t>
  </si>
  <si>
    <t>Stock inicial 2027</t>
  </si>
  <si>
    <t>Se toma la columna STOCK AL 31/12 de cada hoja; el usuario indica que recoge la previsión y compras realizadas.</t>
  </si>
  <si>
    <t>Compras mensuales</t>
  </si>
  <si>
    <t>Necesidad acumulada menos stock al 31/12 y compras anteriores; se asignan al primer mes con déficit.</t>
  </si>
  <si>
    <t>LAM1</t>
  </si>
  <si>
    <t>Solo se usa envasados: stock al 31/12 724,81 kg y sus necesidades mensuales. La fila de formulados queda excluida.</t>
  </si>
  <si>
    <t>FILMPR</t>
  </si>
  <si>
    <t>Las necesidades de FILMPR (kg) se suman mes a mes a FILM (kg), con precio de FILM. Ambos stocks al 31/12 son cero; FILMPR no se valora por separado.</t>
  </si>
  <si>
    <t>Lotes mínimos</t>
  </si>
  <si>
    <t>CMG 500 kg, HGA-FE 1.200 kg, HGA-MGL 1.250 kg, sólo cuando hay déficit.</t>
  </si>
  <si>
    <t>Exclusiones confirmadas</t>
  </si>
  <si>
    <t>ROJ, VER, CONVER y JAU omitidos por indicación del usuario.</t>
  </si>
  <si>
    <t>Exclusiones anteriores</t>
  </si>
  <si>
    <t>BAG, CMC500, CTRE0020 y LFIX excluidos según comentarios anteriores. LOT es actividad de loteado.</t>
  </si>
  <si>
    <t>Precios</t>
  </si>
  <si>
    <t>Precio neto del último mes disponible por código, más 4,5 % de inflación y 5,5 % de variación del combustible (10 % en conjunto). Se mantienen los precios manuales indicados.</t>
  </si>
  <si>
    <t>Códigos corregidos</t>
  </si>
  <si>
    <t>EPA220 usa KIA220; EPP220 usa KIA220P; KIA250 es correcto. Se respetan las equivalencias ya aplicadas.</t>
  </si>
  <si>
    <t>Reserva de compra</t>
  </si>
  <si>
    <t>3 % provisional sobre las compras calculadas de cada mes y el total anual, por posibles formatos y pedidos mínimos desconocidos. No se imputa a unidades ni a artículos.</t>
  </si>
  <si>
    <t>Interpretación</t>
  </si>
  <si>
    <t>El presupuesto con reserva es una previsión de fondos para compras. Los materiales adquiridos y no consumidos quedarán en stock; la reserva no es gasto contable automático.</t>
  </si>
  <si>
    <t>Revisión futura</t>
  </si>
  <si>
    <t>Cuando se conozcan mínimos y múltiplos de pedido, sustituir la reserva por cantidades de compra y arrastrar el sobrante como stock.</t>
  </si>
  <si>
    <t>Alcance</t>
  </si>
  <si>
    <t>Totales mensuales y anuales ligados a las hojas Unidades, Precios e Importes; todos los artículos con compra deben tener precio.</t>
  </si>
  <si>
    <t>Las partidas anuales genéricas del presupuesto previo (FILM, CUP, CANT) no se duplican: aquí se valoran los códigos concretos de necesidades.</t>
  </si>
  <si>
    <t>Coste de compras netas por artículo · 2027</t>
  </si>
  <si>
    <t>Celdas vacías: compras sin precio confirmado. El subtotal valorado no incluye esas partidas.</t>
  </si>
  <si>
    <t>Artículo</t>
  </si>
  <si>
    <t>Descripción</t>
  </si>
  <si>
    <t>Precio 2027</t>
  </si>
  <si>
    <t>Total año</t>
  </si>
  <si>
    <t>ACE</t>
  </si>
  <si>
    <t>ACETAMIDA</t>
  </si>
  <si>
    <t>ACIT</t>
  </si>
  <si>
    <t>ACIDO CÍTRICO MONOHIDRATADO</t>
  </si>
  <si>
    <t>ADI</t>
  </si>
  <si>
    <t>ACIDO ADIPICO</t>
  </si>
  <si>
    <t>AMARILLO</t>
  </si>
  <si>
    <t>COLOR AMARILLO</t>
  </si>
  <si>
    <t>AMO</t>
  </si>
  <si>
    <t>AMONÍACO</t>
  </si>
  <si>
    <t>ANTI</t>
  </si>
  <si>
    <t>ANTIESPUMANTE ANTISCHIUMA GEN</t>
  </si>
  <si>
    <t>AR</t>
  </si>
  <si>
    <t>FINDET AR-52</t>
  </si>
  <si>
    <t>ATC</t>
  </si>
  <si>
    <t>AATC</t>
  </si>
  <si>
    <t>AV24</t>
  </si>
  <si>
    <t>BET</t>
  </si>
  <si>
    <t>BETAÍNA DE REMOLACHA</t>
  </si>
  <si>
    <t>BICAR</t>
  </si>
  <si>
    <t>BICARBONATO SÓDICO ALIM.</t>
  </si>
  <si>
    <t>BOCAL</t>
  </si>
  <si>
    <t>BRETAX-CL</t>
  </si>
  <si>
    <t>BOR</t>
  </si>
  <si>
    <t>ACIDO BORICO</t>
  </si>
  <si>
    <t>BORL</t>
  </si>
  <si>
    <t>BORO LÍQUIDO(BORO ETANOLAMINA)</t>
  </si>
  <si>
    <t>BP</t>
  </si>
  <si>
    <t>BORAX PENTA</t>
  </si>
  <si>
    <t>CAMN</t>
  </si>
  <si>
    <t>CARBONATO DE MANGANESO</t>
  </si>
  <si>
    <t>CCA2</t>
  </si>
  <si>
    <t>CALPREC PA</t>
  </si>
  <si>
    <t>CCB</t>
  </si>
  <si>
    <t>CARBONATO CÁLCICO LR-A</t>
  </si>
  <si>
    <t>CCB2</t>
  </si>
  <si>
    <t>CARBONATO CÁLCICO 2 MC</t>
  </si>
  <si>
    <t>CLCAL</t>
  </si>
  <si>
    <t>CLORURO CÁLCICO LIQ. 36%</t>
  </si>
  <si>
    <t>CLORPO</t>
  </si>
  <si>
    <t>CLORURO POTASICO</t>
  </si>
  <si>
    <t>CMG</t>
  </si>
  <si>
    <t>CARBONATO DE MAGNESIO - MAGNESITA</t>
  </si>
  <si>
    <t>CMN</t>
  </si>
  <si>
    <t>CLORURO DE MANGANESO</t>
  </si>
  <si>
    <t>CZN</t>
  </si>
  <si>
    <t>CLORURO DE ZINC</t>
  </si>
  <si>
    <t>D55</t>
  </si>
  <si>
    <t>DADMEL 55</t>
  </si>
  <si>
    <t>DECL</t>
  </si>
  <si>
    <t>DESHCOFIX -108-(LÍQUIDO)</t>
  </si>
  <si>
    <t>EBRO</t>
  </si>
  <si>
    <t>EBROSIL</t>
  </si>
  <si>
    <t>EDT</t>
  </si>
  <si>
    <t>EDTA</t>
  </si>
  <si>
    <t>EDTACU</t>
  </si>
  <si>
    <t>DISSOLVINE - EDTA- CU-15</t>
  </si>
  <si>
    <t>EDTAFE</t>
  </si>
  <si>
    <t>DISSOLVINE - EDTA-FE 13</t>
  </si>
  <si>
    <t>EDTAMN</t>
  </si>
  <si>
    <t>DISSOLVINE - EDTA MN 13</t>
  </si>
  <si>
    <t>EDTAZN</t>
  </si>
  <si>
    <t>DISSOLVINE - EDTA ZN 15</t>
  </si>
  <si>
    <t>FMA</t>
  </si>
  <si>
    <t>FOSFATO MONOAMONICO</t>
  </si>
  <si>
    <t>FMP</t>
  </si>
  <si>
    <t>FOSFATO MONOPOTASICO</t>
  </si>
  <si>
    <t>FOCA</t>
  </si>
  <si>
    <t>FORMIATO CÁLCICO</t>
  </si>
  <si>
    <t>FOF</t>
  </si>
  <si>
    <t>ACIDO FOSFOROSO</t>
  </si>
  <si>
    <t>FOI</t>
  </si>
  <si>
    <t>ACIDO FOSFORICO</t>
  </si>
  <si>
    <t>FOP</t>
  </si>
  <si>
    <t>FORMIATO POTÁSICO LÍQUIDO 75%</t>
  </si>
  <si>
    <t>FORTE</t>
  </si>
  <si>
    <t>FORTEHUM</t>
  </si>
  <si>
    <t>GLBE</t>
  </si>
  <si>
    <t>GLICINA BETAINA</t>
  </si>
  <si>
    <t>GLI</t>
  </si>
  <si>
    <t>GLICINA</t>
  </si>
  <si>
    <t>GLINA</t>
  </si>
  <si>
    <t>GLICERINA USP</t>
  </si>
  <si>
    <t>GLUCONIC</t>
  </si>
  <si>
    <t>ACIDO GLUCONICO</t>
  </si>
  <si>
    <t>GLUMO</t>
  </si>
  <si>
    <t>GLUTAMATO MONOSÓDICO</t>
  </si>
  <si>
    <t>GLUSO</t>
  </si>
  <si>
    <t>GLUCONATO SÓDICO</t>
  </si>
  <si>
    <t>HCA</t>
  </si>
  <si>
    <t>HIDROXIDO DE CAL</t>
  </si>
  <si>
    <t>HGA-FE</t>
  </si>
  <si>
    <t>HEPTAGLUCONATO DE HIERRO</t>
  </si>
  <si>
    <t>HGA-FEL</t>
  </si>
  <si>
    <t>HEPTAGLUCONATO DE HIERRO LÍQUIDO</t>
  </si>
  <si>
    <t>HGA-MGL</t>
  </si>
  <si>
    <t>HEPTAGLUCONATO DE MAGNESIO LÍQUIDO</t>
  </si>
  <si>
    <t>HPO</t>
  </si>
  <si>
    <t>HIDROXIDO POTASICO</t>
  </si>
  <si>
    <t>HPOL</t>
  </si>
  <si>
    <t>HIDROXIDO POTASICO LIQUIDO</t>
  </si>
  <si>
    <t>JB</t>
  </si>
  <si>
    <t>JABÓN POTÁSICO</t>
  </si>
  <si>
    <t>KF78</t>
  </si>
  <si>
    <t>BIOPOL KF78</t>
  </si>
  <si>
    <t>KIN</t>
  </si>
  <si>
    <t>kinetina</t>
  </si>
  <si>
    <t>LIGNOAM</t>
  </si>
  <si>
    <t>LIGNOSULFONATO AMÓNICO LÍQUIDO</t>
  </si>
  <si>
    <t>MAL</t>
  </si>
  <si>
    <t>ACIDO MALICO</t>
  </si>
  <si>
    <t>MAN</t>
  </si>
  <si>
    <t>MANITOL</t>
  </si>
  <si>
    <t>MEA</t>
  </si>
  <si>
    <t>MONOETANOLAMINA</t>
  </si>
  <si>
    <t>MGO</t>
  </si>
  <si>
    <t>OXIDO DE MAGNESIO</t>
  </si>
  <si>
    <t>MOSO</t>
  </si>
  <si>
    <t>MOLIBDATO SODICO</t>
  </si>
  <si>
    <t>NAM</t>
  </si>
  <si>
    <t>NITRATO AMONICO</t>
  </si>
  <si>
    <t>NCA</t>
  </si>
  <si>
    <t>NITRATO CALCICO SOLUBLE "CALCINIT"</t>
  </si>
  <si>
    <t>NCAL</t>
  </si>
  <si>
    <t>NITRATO CÁLCICO LÍQUIDO 18 % P/P</t>
  </si>
  <si>
    <t>NMGL</t>
  </si>
  <si>
    <t>NITRATO DE MAGNESIO LÍQUIDO, 9'5% MgO</t>
  </si>
  <si>
    <t>NPO</t>
  </si>
  <si>
    <t>NITRATO POTASICO</t>
  </si>
  <si>
    <t>OZN</t>
  </si>
  <si>
    <t>OXIDO DE ZINC</t>
  </si>
  <si>
    <t>PEG400</t>
  </si>
  <si>
    <t>POLIETILENGLICOL 400</t>
  </si>
  <si>
    <t>POI</t>
  </si>
  <si>
    <t>POIZ-CD</t>
  </si>
  <si>
    <t>PRO</t>
  </si>
  <si>
    <t>PROPIONATO CALCICO</t>
  </si>
  <si>
    <t>PROLIN</t>
  </si>
  <si>
    <t>PROLINA</t>
  </si>
  <si>
    <t>PROS</t>
  </si>
  <si>
    <t>PROPIONATO SÓDICO</t>
  </si>
  <si>
    <t>RAD</t>
  </si>
  <si>
    <t>ACIDO DICARBOXILICO. LDA</t>
  </si>
  <si>
    <t>ROL</t>
  </si>
  <si>
    <t>ROLPOL 24/230</t>
  </si>
  <si>
    <t>SAC</t>
  </si>
  <si>
    <t>SACAROSA</t>
  </si>
  <si>
    <t>SAL</t>
  </si>
  <si>
    <t>SULFATO DE ALUMINIO</t>
  </si>
  <si>
    <t>SALI</t>
  </si>
  <si>
    <t>ÁCIDO SALICÍLICO</t>
  </si>
  <si>
    <t>SBT70</t>
  </si>
  <si>
    <t>SORBITOL 70%</t>
  </si>
  <si>
    <t>SCU</t>
  </si>
  <si>
    <t>SULFATO DE COBRE    (polvo)</t>
  </si>
  <si>
    <t>SFEL</t>
  </si>
  <si>
    <t>SULFATO FÉRRICO LÍQUIDO</t>
  </si>
  <si>
    <t>SILCA</t>
  </si>
  <si>
    <t>SILICATO CÁLCICO</t>
  </si>
  <si>
    <t>SILK</t>
  </si>
  <si>
    <t>SILICATO POTÁSICO LÍQUIDO</t>
  </si>
  <si>
    <t>SMN</t>
  </si>
  <si>
    <t>SULFATO DE MANGANESO</t>
  </si>
  <si>
    <t>SPR</t>
  </si>
  <si>
    <t>SPRINTENE MAT. PRIMA</t>
  </si>
  <si>
    <t>SZMO</t>
  </si>
  <si>
    <t>SULFATO DE ZINC MONOHIDRATADO</t>
  </si>
  <si>
    <t>TCG50</t>
  </si>
  <si>
    <t>TRITÓN CG50 SURFACTANTE</t>
  </si>
  <si>
    <t>TIB</t>
  </si>
  <si>
    <t>ANTIESPUMANTE/ TIBP</t>
  </si>
  <si>
    <t>TR8</t>
  </si>
  <si>
    <t>ROLFOR TR8/90</t>
  </si>
  <si>
    <t>TRP</t>
  </si>
  <si>
    <t>TRIPTÓFANO</t>
  </si>
  <si>
    <t>URE</t>
  </si>
  <si>
    <t>UREA "PERLAS"</t>
  </si>
  <si>
    <t>UREL</t>
  </si>
  <si>
    <t>UREA LÍQUIDA 43,5 % P/P</t>
  </si>
  <si>
    <t>XT</t>
  </si>
  <si>
    <t>EXTRACTO ALGAS POLVO XT</t>
  </si>
  <si>
    <t>XT48</t>
  </si>
  <si>
    <t>EXTRACTO DE ALGAS LÍQUIDO 48%</t>
  </si>
  <si>
    <t>B200</t>
  </si>
  <si>
    <t>BIDON 200 LITROS</t>
  </si>
  <si>
    <t>B200GRIF</t>
  </si>
  <si>
    <t>GRIFO BIDÓN 200 L</t>
  </si>
  <si>
    <t>B200TP</t>
  </si>
  <si>
    <t>TAPÓN 2" PARA GRIFO DE BIDÓN 200 L</t>
  </si>
  <si>
    <t>B20L</t>
  </si>
  <si>
    <t>BOLSA  20 L METALIZADA CON TAPÓN</t>
  </si>
  <si>
    <t>B5ALC</t>
  </si>
  <si>
    <t>BOLSA ALCAPLANT 5 KG</t>
  </si>
  <si>
    <t>C1000</t>
  </si>
  <si>
    <t>CONTENEDOR 1000</t>
  </si>
  <si>
    <t>C1000R</t>
  </si>
  <si>
    <t>CONTENEDOR 1000 RECICLADO</t>
  </si>
  <si>
    <t>C1000R3P</t>
  </si>
  <si>
    <t>CONTENEDOR RECICLADO BOCA 3" ALCAPLANT</t>
  </si>
  <si>
    <t>C1L</t>
  </si>
  <si>
    <t>CAJA 1  LITRO</t>
  </si>
  <si>
    <t>CAG</t>
  </si>
  <si>
    <t>CAJAS "CODIAGRO NUEVA CALIDAD"</t>
  </si>
  <si>
    <t>CANT1</t>
  </si>
  <si>
    <t>Cantonera Blanca 35x35x2,5x1280</t>
  </si>
  <si>
    <t>CANT2</t>
  </si>
  <si>
    <t>Cantonera Blanca 80x80x3,8x700</t>
  </si>
  <si>
    <t>CAP</t>
  </si>
  <si>
    <t>CAJAS ALCAPLANT</t>
  </si>
  <si>
    <t>CAP2</t>
  </si>
  <si>
    <t>CAJA DE ALCAPLANT (SIN ETIQUETA)</t>
  </si>
  <si>
    <t>CAPSU</t>
  </si>
  <si>
    <t>CAPSULA METALICA ROJA</t>
  </si>
  <si>
    <t>CUP</t>
  </si>
  <si>
    <t>CUBREPALETS</t>
  </si>
  <si>
    <t>CWH</t>
  </si>
  <si>
    <t>CAJA AGROWHITE</t>
  </si>
  <si>
    <t>ENV1C</t>
  </si>
  <si>
    <t>ENVASES 1 LITRO COEX</t>
  </si>
  <si>
    <t>ENV1D</t>
  </si>
  <si>
    <t>ENVASE 1 L HPDE 0,12 K BLANCO REBAJE</t>
  </si>
  <si>
    <t>ENV20</t>
  </si>
  <si>
    <t>ENVASE 20 LITROS BLANCO 1,2 K</t>
  </si>
  <si>
    <t>ENV20N</t>
  </si>
  <si>
    <t>ENVASE 20 L NEGRO</t>
  </si>
  <si>
    <t>ENV5220G</t>
  </si>
  <si>
    <t>ENVASE 5 L, 220 GR</t>
  </si>
  <si>
    <t>ETALC</t>
  </si>
  <si>
    <t>ETIQUETA ALCAPLANT MANZANA NUEVA PAPEL</t>
  </si>
  <si>
    <t>ETCODICEG</t>
  </si>
  <si>
    <t>ETIQUETA IMPRESA CODICOBRE EGIPTO PP</t>
  </si>
  <si>
    <t>ETN220PAP</t>
  </si>
  <si>
    <t>ETIQUETA NARANJA ALCAPLANT MÉXICO PAPEL</t>
  </si>
  <si>
    <t>ETQBAYCA</t>
  </si>
  <si>
    <t>ETIQUETA BAYFOLAN CALCIO IMPRESA</t>
  </si>
  <si>
    <t>ETQEG</t>
  </si>
  <si>
    <t>ETIQUETA EGIPTO</t>
  </si>
  <si>
    <t>ETQEGSAL</t>
  </si>
  <si>
    <t>ETIQUETA SALWAX EGIPTO</t>
  </si>
  <si>
    <t>ETQVP165</t>
  </si>
  <si>
    <t>ETIQUETA VP700 100_165 MM</t>
  </si>
  <si>
    <t>ETQW33</t>
  </si>
  <si>
    <t>ETIQUETA WALLSUN 33 CHILE</t>
  </si>
  <si>
    <t>FILM</t>
  </si>
  <si>
    <t>FILM ESTIRABLE  35 MM</t>
  </si>
  <si>
    <t>KIA220</t>
  </si>
  <si>
    <t>ETIQUETA KIARO 220 MM PP INY.</t>
  </si>
  <si>
    <t>KIA220P</t>
  </si>
  <si>
    <t>ETIQUETA 220 PAPEL INJECK</t>
  </si>
  <si>
    <t>KIA250</t>
  </si>
  <si>
    <t>ETIQUETA KIARO 250 MM PP INY.</t>
  </si>
  <si>
    <t>LAMINA 480 MM G 600, BOLSAS 1 KG</t>
  </si>
  <si>
    <t>LAM2</t>
  </si>
  <si>
    <t>LAMINA 640 MM, 5 KG</t>
  </si>
  <si>
    <t>LAM3</t>
  </si>
  <si>
    <t>LAMINA 1000 MM G 600, BOLSAS 20 KG</t>
  </si>
  <si>
    <t>PAL</t>
  </si>
  <si>
    <t>PALETS</t>
  </si>
  <si>
    <t>RIB</t>
  </si>
  <si>
    <t>RIBBON 155X450 RESINA IN</t>
  </si>
  <si>
    <t>RIB2</t>
  </si>
  <si>
    <t>RIBBON 160X300 OUT</t>
  </si>
  <si>
    <t>RPT</t>
  </si>
  <si>
    <t>ROLLOS PRECINTOS TRASPARENTES 990 M -72 mm</t>
  </si>
  <si>
    <t>SEP</t>
  </si>
  <si>
    <t>LAMINA SEPARADORA CARTÓN PARA PALET</t>
  </si>
  <si>
    <t>TPD40I</t>
  </si>
  <si>
    <t>TAPÓN INDUCCIÓN D40 VERDE</t>
  </si>
  <si>
    <t>TPD40IV</t>
  </si>
  <si>
    <t>TAPÓN INDUCCIÓN D40 VÁLVULA</t>
  </si>
  <si>
    <t>TPD61I</t>
  </si>
  <si>
    <t>TAPÓN D61 INDUCCIÓN, NEGRO</t>
  </si>
  <si>
    <t>TPD61IV</t>
  </si>
  <si>
    <t>TAPÓN INDUCCIÓN 61 VÁLVULA VERDE</t>
  </si>
  <si>
    <t>TPD61VS</t>
  </si>
  <si>
    <t>TAPÓN D61, VÁLVULA SETA NEGRO</t>
  </si>
  <si>
    <t>TPD63I</t>
  </si>
  <si>
    <t>TAPÓN D63 INDUCCIÓN, BLANCO</t>
  </si>
  <si>
    <t>TPD63IV</t>
  </si>
  <si>
    <t>TAPÓN 63 INDUCCIÓN VÁLVULA BLANCO</t>
  </si>
  <si>
    <t>TPD63VS</t>
  </si>
  <si>
    <t>TAPÓN D63 VALVULA SETA, BLANCO</t>
  </si>
  <si>
    <t>SUBTOTAL VALORADO</t>
  </si>
  <si>
    <t>Compras netas después del stock · 2027</t>
  </si>
  <si>
    <t>El stock al 31/12 se consume cronológicamente. Las compras surgen cuando la necesidad acumulada lo supera.</t>
  </si>
  <si>
    <t>Para CMG y HGA se aplican los lotes mínimos confirmados cuando aparece la primera necesidad de compra.</t>
  </si>
  <si>
    <t>Unidad</t>
  </si>
  <si>
    <t>Stock 31/12</t>
  </si>
  <si>
    <t>Nec. Ene</t>
  </si>
  <si>
    <t>Nec. Feb</t>
  </si>
  <si>
    <t>Nec. Mar</t>
  </si>
  <si>
    <t>Nec. Abr</t>
  </si>
  <si>
    <t>Nec. May</t>
  </si>
  <si>
    <t>Nec. Jun</t>
  </si>
  <si>
    <t>Nec. Jul</t>
  </si>
  <si>
    <t>Nec. Ago</t>
  </si>
  <si>
    <t>Nec. Sep</t>
  </si>
  <si>
    <t>Nec. Oct</t>
  </si>
  <si>
    <t>Nec. Nov</t>
  </si>
  <si>
    <t>Nec. Dic</t>
  </si>
  <si>
    <t>Necesidad año</t>
  </si>
  <si>
    <t>Compra Ene</t>
  </si>
  <si>
    <t>Compra Feb</t>
  </si>
  <si>
    <t>Compra Mar</t>
  </si>
  <si>
    <t>Compra Abr</t>
  </si>
  <si>
    <t>Compra May</t>
  </si>
  <si>
    <t>Compra Jun</t>
  </si>
  <si>
    <t>Compra Jul</t>
  </si>
  <si>
    <t>Compra Ago</t>
  </si>
  <si>
    <t>Compra Sep</t>
  </si>
  <si>
    <t>Compra Oct</t>
  </si>
  <si>
    <t>Compra Nov</t>
  </si>
  <si>
    <t>Compra Dic</t>
  </si>
  <si>
    <t>Compra año</t>
  </si>
  <si>
    <t>Lote mín.</t>
  </si>
  <si>
    <t>Criterio</t>
  </si>
  <si>
    <t>kg</t>
  </si>
  <si>
    <t>Lote mínimo indicado por el usuario.</t>
  </si>
  <si>
    <t>L</t>
  </si>
  <si>
    <t>ud</t>
  </si>
  <si>
    <t>sin unidad</t>
  </si>
  <si>
    <t>Incluye la necesidad mensual de FILMPR; ambos stocks al 31/12 son cero.</t>
  </si>
  <si>
    <t>Solo necesidades y stock al 31/12 de envasados; se ignora la fila de formulados.</t>
  </si>
  <si>
    <t>Precios de compra aplicados en 2027</t>
  </si>
  <si>
    <t>Incremento previsto</t>
  </si>
  <si>
    <t>Precio manual (amarillo): base antes del 10 %. Los artículos sin precio quedan pendientes.</t>
  </si>
  <si>
    <t>Código histórico</t>
  </si>
  <si>
    <t>Mes base</t>
  </si>
  <si>
    <t>Precio base</t>
  </si>
  <si>
    <t>Precio manual</t>
  </si>
  <si>
    <t>Estado</t>
  </si>
  <si>
    <t>07/2026</t>
  </si>
  <si>
    <t>Presupuesto anterior</t>
  </si>
  <si>
    <t>06/2026</t>
  </si>
  <si>
    <t>05/2026</t>
  </si>
  <si>
    <t>Sin precio histórico</t>
  </si>
  <si>
    <t>03/2024</t>
  </si>
  <si>
    <t>03/2026</t>
  </si>
  <si>
    <t>Último mes de histórico</t>
  </si>
  <si>
    <t>01/2026</t>
  </si>
  <si>
    <t>06/2025</t>
  </si>
  <si>
    <t>04/2025</t>
  </si>
  <si>
    <t>04/2024</t>
  </si>
  <si>
    <t>04/2026</t>
  </si>
  <si>
    <t>Precio comunicado ayer</t>
  </si>
  <si>
    <t>02/2026</t>
  </si>
  <si>
    <t>12/2025</t>
  </si>
  <si>
    <t>10/2025</t>
  </si>
  <si>
    <t>05/2025</t>
  </si>
  <si>
    <t>01/2025</t>
  </si>
  <si>
    <t>02/2024</t>
  </si>
  <si>
    <t>11/2025</t>
  </si>
  <si>
    <t>07/2025</t>
  </si>
  <si>
    <t>08/2024</t>
  </si>
  <si>
    <t>Necesidades y stock del archivo actualizado</t>
  </si>
  <si>
    <t>Los valores originales se conservan; para LAM1 solo se usa la fila de envasados en Unidades.</t>
  </si>
  <si>
    <t>Pestaña origen</t>
  </si>
  <si>
    <t>Fila</t>
  </si>
  <si>
    <t>Stock 30/09</t>
  </si>
  <si>
    <t>Consumo oct–dic</t>
  </si>
  <si>
    <t>Necesidad 2027</t>
  </si>
  <si>
    <t>Tratamiento</t>
  </si>
  <si>
    <t>Incluido</t>
  </si>
  <si>
    <t>CMC500</t>
  </si>
  <si>
    <t>CARBOCELL 500</t>
  </si>
  <si>
    <t>Excluido por criterio previo</t>
  </si>
  <si>
    <t>CTRE0020</t>
  </si>
  <si>
    <t>CODISTRENE EXTRA 20 KG</t>
  </si>
  <si>
    <t>LAM1 omitido: solo envasados</t>
  </si>
  <si>
    <t>LFIX</t>
  </si>
  <si>
    <t>Lamfix PX 02</t>
  </si>
  <si>
    <t>LOT</t>
  </si>
  <si>
    <t>LOTEADO BOLSAS SÓLIDO</t>
  </si>
  <si>
    <t>ROJ</t>
  </si>
  <si>
    <t>COLOR ROJO PUNCEAU 82%</t>
  </si>
  <si>
    <t>GR</t>
  </si>
  <si>
    <t>Omitido por usuario</t>
  </si>
  <si>
    <t>VER</t>
  </si>
  <si>
    <t>COLOR VERDE</t>
  </si>
  <si>
    <t>BAG</t>
  </si>
  <si>
    <t>BOLSA INTERNA CONVERT KIT</t>
  </si>
  <si>
    <t>CONVER</t>
  </si>
  <si>
    <t>CONVERT KIT</t>
  </si>
  <si>
    <t>FILM PRESTIRADO 12 MC</t>
  </si>
  <si>
    <t>Sumado a FILM</t>
  </si>
  <si>
    <t>JAU</t>
  </si>
  <si>
    <t>JAULAS CONTENEDORES PARA CONVERT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</si>
</sst>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>
    <font>
      <sz val="11"/>
      <name val="Carlito"/>
    </font>
    <font>
      <sz val="10"/>
      <color rgb="FF253246"/>
      <name val="Arial"/>
    </font>
    <font>
      <b/>
      <sz val="15"/>
      <color rgb="FF173B63"/>
      <name val="Arial"/>
    </font>
    <font>
      <b/>
      <sz val="10"/>
      <color rgb="FFFFFFFF"/>
      <name val="Arial"/>
    </font>
    <font>
      <b/>
      <sz val="10"/>
      <color rgb="FF173B63"/>
      <name val="Arial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E5EDF5"/>
      </patternFill>
    </fill>
    <fill>
      <patternFill patternType="solid">
        <fgColor rgb="FFFFF2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4" fontId="1" fillId="0" borderId="0" xfId="0" applyNumberFormat="1" applyFont="1"/>
    <xf numFmtId="4" fontId="4" fillId="3" borderId="0" xfId="0" applyNumberFormat="1" applyFont="1" applyFill="1"/>
    <xf numFmtId="1" fontId="1" fillId="0" borderId="0" xfId="0" applyNumberFormat="1" applyFont="1"/>
    <xf numFmtId="1" fontId="4" fillId="3" borderId="0" xfId="0" applyNumberFormat="1" applyFont="1" applyFill="1"/>
    <xf numFmtId="9" fontId="1" fillId="0" borderId="0" xfId="0" applyNumberFormat="1" applyFont="1"/>
    <xf numFmtId="164" fontId="1" fillId="0" borderId="0" xfId="0" applyNumberFormat="1" applyFont="1"/>
    <xf numFmtId="164" fontId="1" fillId="4" borderId="0" xfId="0" applyNumberFormat="1" applyFont="1" applyFill="1"/>
    <xf numFmtId="9" fontId="1" fillId="4" borderId="0" xfId="0" applyNumberFormat="1" applyFont="1" applyFill="1"/>
    <xf numFmtId="0" fontId="1" fillId="0" borderId="0" xfId="0" applyFont="1" applyAlignment="1">
      <alignment wrapText="1"/>
    </xf>
  </cellXfs>
  <cellStyles count="1">
    <cellStyle name="Normal" xfId="0" builtinId="0"/>
  </cellStyles>
  <dxfs count="3">
    <dxf>
      <font>
        <b/>
        <color rgb="FFA82020"/>
      </font>
      <fill>
        <patternFill patternType="solid">
          <bgColor rgb="FFFDE8E7"/>
        </patternFill>
      </fill>
    </dxf>
    <dxf>
      <font>
        <b/>
        <color rgb="FFA82020"/>
      </font>
      <fill>
        <patternFill patternType="solid">
          <bgColor rgb="FFFDE8E7"/>
        </patternFill>
      </fill>
    </dxf>
    <dxf>
      <font>
        <b/>
        <color rgb="FFA82020"/>
      </font>
      <fill>
        <patternFill patternType="solid">
          <bgColor rgb="FFFDE8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B63"/>
  </sheetPr>
  <dimension ref="A2:H24"/>
  <sheetViews>
    <sheetView showGridLines="0" tabSelected="1" workbookViewId="0">
      <selection activeCell="H19" sqref="H19"/>
    </sheetView>
  </sheetViews>
  <sheetFormatPr baseColWidth="10" defaultColWidth="8.6640625" defaultRowHeight="14"/>
  <cols>
    <col min="1" max="1" width="18" customWidth="1"/>
    <col min="2" max="4" width="21" customWidth="1"/>
    <col min="5" max="8" width="23" customWidth="1"/>
  </cols>
  <sheetData>
    <row r="2" spans="1:8" ht="28" customHeight="1">
      <c r="A2" s="2" t="s">
        <v>0</v>
      </c>
      <c r="B2" s="1"/>
      <c r="C2" s="1"/>
      <c r="D2" s="1"/>
      <c r="E2" s="1"/>
      <c r="F2" s="1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" t="s">
        <v>1</v>
      </c>
      <c r="B4" s="1"/>
      <c r="C4" s="1"/>
      <c r="D4" s="1"/>
      <c r="E4" s="1"/>
      <c r="F4" s="1"/>
      <c r="G4" s="1"/>
      <c r="H4" s="1"/>
    </row>
    <row r="5" spans="1:8">
      <c r="A5" s="1"/>
      <c r="B5" s="1"/>
      <c r="C5" s="1"/>
      <c r="D5" s="1"/>
      <c r="E5" s="1"/>
      <c r="F5" s="1"/>
      <c r="G5" s="1"/>
      <c r="H5" s="1"/>
    </row>
    <row r="6" spans="1:8" ht="26" customHeight="1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</row>
    <row r="7" spans="1:8">
      <c r="A7" s="1" t="s">
        <v>10</v>
      </c>
      <c r="B7" s="5">
        <f>SUMIF(Importes!$C$8:$C$149,"Formulados",Importes!E8:E149)</f>
        <v>265351.08667540958</v>
      </c>
      <c r="C7" s="5">
        <f>SUMIF(Importes!$C$8:$C$149,"Envasados",Importes!E8:E149)</f>
        <v>44591.896591961704</v>
      </c>
      <c r="D7" s="5">
        <f t="shared" ref="D7:D18" si="0">SUM(B7:C7)</f>
        <v>309942.98326737131</v>
      </c>
      <c r="E7" s="7">
        <f>COUNTIFS(Unidades!S8:S149,"&gt;0",Precios!$I$8:$I$149,"FALTA PRECIO")</f>
        <v>0</v>
      </c>
      <c r="F7" s="5">
        <f t="shared" ref="F7:F19" si="1">IF(E7=0,D7,"")</f>
        <v>309942.98326737131</v>
      </c>
      <c r="G7" s="5">
        <f>IF(E7=0,F7*Supuestos!$B$6,"")</f>
        <v>9298.2894980211386</v>
      </c>
      <c r="H7" s="5">
        <f t="shared" ref="H7:H18" si="2">IF(E7=0,F7+G7,"")</f>
        <v>319241.27276539244</v>
      </c>
    </row>
    <row r="8" spans="1:8">
      <c r="A8" s="1" t="s">
        <v>11</v>
      </c>
      <c r="B8" s="5">
        <f>SUMIF(Importes!$C$8:$C$149,"Formulados",Importes!F8:F149)</f>
        <v>486359.41360409168</v>
      </c>
      <c r="C8" s="5">
        <f>SUMIF(Importes!$C$8:$C$149,"Envasados",Importes!F8:F149)</f>
        <v>114627.58830772107</v>
      </c>
      <c r="D8" s="5">
        <f t="shared" si="0"/>
        <v>600987.00191181269</v>
      </c>
      <c r="E8" s="7">
        <f>COUNTIFS(Unidades!T8:T149,"&gt;0",Precios!$I$8:$I$149,"FALTA PRECIO")</f>
        <v>0</v>
      </c>
      <c r="F8" s="5">
        <f t="shared" si="1"/>
        <v>600987.00191181269</v>
      </c>
      <c r="G8" s="5">
        <f>IF(E8=0,F8*Supuestos!$B$6,"")</f>
        <v>18029.610057354381</v>
      </c>
      <c r="H8" s="5">
        <f t="shared" si="2"/>
        <v>619016.61196916713</v>
      </c>
    </row>
    <row r="9" spans="1:8">
      <c r="A9" s="1" t="s">
        <v>12</v>
      </c>
      <c r="B9" s="5">
        <f>SUMIF(Importes!$C$8:$C$149,"Formulados",Importes!G8:G149)</f>
        <v>505792.0024424555</v>
      </c>
      <c r="C9" s="5">
        <f>SUMIF(Importes!$C$8:$C$149,"Envasados",Importes!G8:G149)</f>
        <v>127059.64655507851</v>
      </c>
      <c r="D9" s="5">
        <f t="shared" si="0"/>
        <v>632851.64899753407</v>
      </c>
      <c r="E9" s="7">
        <f>COUNTIFS(Unidades!U8:U149,"&gt;0",Precios!$I$8:$I$149,"FALTA PRECIO")</f>
        <v>0</v>
      </c>
      <c r="F9" s="5">
        <f t="shared" si="1"/>
        <v>632851.64899753407</v>
      </c>
      <c r="G9" s="5">
        <f>IF(E9=0,F9*Supuestos!$B$6,"")</f>
        <v>18985.54946992602</v>
      </c>
      <c r="H9" s="5">
        <f t="shared" si="2"/>
        <v>651837.19846746011</v>
      </c>
    </row>
    <row r="10" spans="1:8">
      <c r="A10" s="1" t="s">
        <v>13</v>
      </c>
      <c r="B10" s="5">
        <f>SUMIF(Importes!$C$8:$C$149,"Formulados",Importes!H8:H149)</f>
        <v>394529.5490963317</v>
      </c>
      <c r="C10" s="5">
        <f>SUMIF(Importes!$C$8:$C$149,"Envasados",Importes!H8:H149)</f>
        <v>95397.618112368553</v>
      </c>
      <c r="D10" s="5">
        <f t="shared" si="0"/>
        <v>489927.16720870027</v>
      </c>
      <c r="E10" s="7">
        <f>COUNTIFS(Unidades!V8:V149,"&gt;0",Precios!$I$8:$I$149,"FALTA PRECIO")</f>
        <v>0</v>
      </c>
      <c r="F10" s="5">
        <f t="shared" si="1"/>
        <v>489927.16720870027</v>
      </c>
      <c r="G10" s="5">
        <f>IF(E10=0,F10*Supuestos!$B$6,"")</f>
        <v>14697.815016261007</v>
      </c>
      <c r="H10" s="5">
        <f t="shared" si="2"/>
        <v>504624.98222496128</v>
      </c>
    </row>
    <row r="11" spans="1:8">
      <c r="A11" s="1" t="s">
        <v>14</v>
      </c>
      <c r="B11" s="5">
        <f>SUMIF(Importes!$C$8:$C$149,"Formulados",Importes!I8:I149)</f>
        <v>630729.55370306061</v>
      </c>
      <c r="C11" s="5">
        <f>SUMIF(Importes!$C$8:$C$149,"Envasados",Importes!I8:I149)</f>
        <v>170158.83229181028</v>
      </c>
      <c r="D11" s="5">
        <f t="shared" si="0"/>
        <v>800888.38599487091</v>
      </c>
      <c r="E11" s="7">
        <f>COUNTIFS(Unidades!W8:W149,"&gt;0",Precios!$I$8:$I$149,"FALTA PRECIO")</f>
        <v>0</v>
      </c>
      <c r="F11" s="5">
        <f t="shared" si="1"/>
        <v>800888.38599487091</v>
      </c>
      <c r="G11" s="5">
        <f>IF(E11=0,F11*Supuestos!$B$6,"")</f>
        <v>24026.651579846126</v>
      </c>
      <c r="H11" s="5">
        <f t="shared" si="2"/>
        <v>824915.03757471708</v>
      </c>
    </row>
    <row r="12" spans="1:8">
      <c r="A12" s="1" t="s">
        <v>15</v>
      </c>
      <c r="B12" s="5">
        <f>SUMIF(Importes!$C$8:$C$149,"Formulados",Importes!J8:J149)</f>
        <v>655001.9219298932</v>
      </c>
      <c r="C12" s="5">
        <f>SUMIF(Importes!$C$8:$C$149,"Envasados",Importes!J8:J149)</f>
        <v>171790.12082090389</v>
      </c>
      <c r="D12" s="5">
        <f t="shared" si="0"/>
        <v>826792.04275079712</v>
      </c>
      <c r="E12" s="7">
        <f>COUNTIFS(Unidades!X8:X149,"&gt;0",Precios!$I$8:$I$149,"FALTA PRECIO")</f>
        <v>0</v>
      </c>
      <c r="F12" s="5">
        <f t="shared" si="1"/>
        <v>826792.04275079712</v>
      </c>
      <c r="G12" s="5">
        <f>IF(E12=0,F12*Supuestos!$B$6,"")</f>
        <v>24803.761282523912</v>
      </c>
      <c r="H12" s="5">
        <f t="shared" si="2"/>
        <v>851595.80403332098</v>
      </c>
    </row>
    <row r="13" spans="1:8">
      <c r="A13" s="1" t="s">
        <v>16</v>
      </c>
      <c r="B13" s="5">
        <f>SUMIF(Importes!$C$8:$C$149,"Formulados",Importes!K8:K149)</f>
        <v>422019.33184400055</v>
      </c>
      <c r="C13" s="5">
        <f>SUMIF(Importes!$C$8:$C$149,"Envasados",Importes!K8:K149)</f>
        <v>110862.2623006089</v>
      </c>
      <c r="D13" s="5">
        <f t="shared" si="0"/>
        <v>532881.59414460941</v>
      </c>
      <c r="E13" s="7">
        <f>COUNTIFS(Unidades!Y8:Y149,"&gt;0",Precios!$I$8:$I$149,"FALTA PRECIO")</f>
        <v>0</v>
      </c>
      <c r="F13" s="5">
        <f t="shared" si="1"/>
        <v>532881.59414460941</v>
      </c>
      <c r="G13" s="5">
        <f>IF(E13=0,F13*Supuestos!$B$6,"")</f>
        <v>15986.447824338282</v>
      </c>
      <c r="H13" s="5">
        <f t="shared" si="2"/>
        <v>548868.04196894774</v>
      </c>
    </row>
    <row r="14" spans="1:8">
      <c r="A14" s="1" t="s">
        <v>17</v>
      </c>
      <c r="B14" s="5">
        <f>SUMIF(Importes!$C$8:$C$149,"Formulados",Importes!L8:L149)</f>
        <v>254773.20022965927</v>
      </c>
      <c r="C14" s="5">
        <f>SUMIF(Importes!$C$8:$C$149,"Envasados",Importes!L8:L149)</f>
        <v>64852.990137030676</v>
      </c>
      <c r="D14" s="5">
        <f t="shared" si="0"/>
        <v>319626.19036668993</v>
      </c>
      <c r="E14" s="7">
        <f>COUNTIFS(Unidades!Z8:Z149,"&gt;0",Precios!$I$8:$I$149,"FALTA PRECIO")</f>
        <v>0</v>
      </c>
      <c r="F14" s="5">
        <f t="shared" si="1"/>
        <v>319626.19036668993</v>
      </c>
      <c r="G14" s="5">
        <f>IF(E14=0,F14*Supuestos!$B$6,"")</f>
        <v>9588.7857110006971</v>
      </c>
      <c r="H14" s="5">
        <f t="shared" si="2"/>
        <v>329214.9760776906</v>
      </c>
    </row>
    <row r="15" spans="1:8">
      <c r="A15" s="1" t="s">
        <v>18</v>
      </c>
      <c r="B15" s="5">
        <f>SUMIF(Importes!$C$8:$C$149,"Formulados",Importes!M8:M149)</f>
        <v>157733.48758027147</v>
      </c>
      <c r="C15" s="5">
        <f>SUMIF(Importes!$C$8:$C$149,"Envasados",Importes!M8:M149)</f>
        <v>35732.124780305559</v>
      </c>
      <c r="D15" s="5">
        <f t="shared" si="0"/>
        <v>193465.61236057704</v>
      </c>
      <c r="E15" s="7">
        <f>COUNTIFS(Unidades!AA8:AA149,"&gt;0",Precios!$I$8:$I$149,"FALTA PRECIO")</f>
        <v>0</v>
      </c>
      <c r="F15" s="5">
        <f t="shared" si="1"/>
        <v>193465.61236057704</v>
      </c>
      <c r="G15" s="5">
        <f>IF(E15=0,F15*Supuestos!$B$6,"")</f>
        <v>5803.9683708173106</v>
      </c>
      <c r="H15" s="5">
        <f t="shared" si="2"/>
        <v>199269.58073139435</v>
      </c>
    </row>
    <row r="16" spans="1:8">
      <c r="A16" s="1" t="s">
        <v>19</v>
      </c>
      <c r="B16" s="5">
        <f>SUMIF(Importes!$C$8:$C$149,"Formulados",Importes!N8:N149)</f>
        <v>259565.29388120325</v>
      </c>
      <c r="C16" s="5">
        <f>SUMIF(Importes!$C$8:$C$149,"Envasados",Importes!N8:N149)</f>
        <v>62617.724874097556</v>
      </c>
      <c r="D16" s="5">
        <f t="shared" si="0"/>
        <v>322183.01875530079</v>
      </c>
      <c r="E16" s="7">
        <f>COUNTIFS(Unidades!AB8:AB149,"&gt;0",Precios!$I$8:$I$149,"FALTA PRECIO")</f>
        <v>0</v>
      </c>
      <c r="F16" s="5">
        <f t="shared" si="1"/>
        <v>322183.01875530079</v>
      </c>
      <c r="G16" s="5">
        <f>IF(E16=0,F16*Supuestos!$B$6,"")</f>
        <v>9665.4905626590225</v>
      </c>
      <c r="H16" s="5">
        <f t="shared" si="2"/>
        <v>331848.50931795983</v>
      </c>
    </row>
    <row r="17" spans="1:8">
      <c r="A17" s="1" t="s">
        <v>20</v>
      </c>
      <c r="B17" s="5">
        <f>SUMIF(Importes!$C$8:$C$149,"Formulados",Importes!O8:O149)</f>
        <v>406765.11502945272</v>
      </c>
      <c r="C17" s="5">
        <f>SUMIF(Importes!$C$8:$C$149,"Envasados",Importes!O8:O149)</f>
        <v>107338.48713633369</v>
      </c>
      <c r="D17" s="5">
        <f t="shared" si="0"/>
        <v>514103.60216578643</v>
      </c>
      <c r="E17" s="7">
        <f>COUNTIFS(Unidades!AC8:AC149,"&gt;0",Precios!$I$8:$I$149,"FALTA PRECIO")</f>
        <v>0</v>
      </c>
      <c r="F17" s="5">
        <f t="shared" si="1"/>
        <v>514103.60216578643</v>
      </c>
      <c r="G17" s="5">
        <f>IF(E17=0,F17*Supuestos!$B$6,"")</f>
        <v>15423.108064973592</v>
      </c>
      <c r="H17" s="5">
        <f t="shared" si="2"/>
        <v>529526.71023076004</v>
      </c>
    </row>
    <row r="18" spans="1:8">
      <c r="A18" s="1" t="s">
        <v>21</v>
      </c>
      <c r="B18" s="5">
        <f>SUMIF(Importes!$C$8:$C$149,"Formulados",Importes!P8:P149)</f>
        <v>411940.97192876675</v>
      </c>
      <c r="C18" s="5">
        <f>SUMIF(Importes!$C$8:$C$149,"Envasados",Importes!P8:P149)</f>
        <v>116379.26944366259</v>
      </c>
      <c r="D18" s="5">
        <f t="shared" si="0"/>
        <v>528320.2413724293</v>
      </c>
      <c r="E18" s="7">
        <f>COUNTIFS(Unidades!AD8:AD149,"&gt;0",Precios!$I$8:$I$149,"FALTA PRECIO")</f>
        <v>0</v>
      </c>
      <c r="F18" s="5">
        <f t="shared" si="1"/>
        <v>528320.2413724293</v>
      </c>
      <c r="G18" s="5">
        <f>IF(E18=0,F18*Supuestos!$B$6,"")</f>
        <v>15849.607241172878</v>
      </c>
      <c r="H18" s="5">
        <f t="shared" si="2"/>
        <v>544169.84861360223</v>
      </c>
    </row>
    <row r="19" spans="1:8" ht="25" customHeight="1">
      <c r="A19" s="4" t="s">
        <v>22</v>
      </c>
      <c r="B19" s="6">
        <f>SUM(B7:B18)</f>
        <v>4850560.9279445959</v>
      </c>
      <c r="C19" s="6">
        <f>SUM(C7:C18)</f>
        <v>1221408.561351883</v>
      </c>
      <c r="D19" s="6">
        <f>SUM(D7:D18)</f>
        <v>6071969.4892964792</v>
      </c>
      <c r="E19" s="8">
        <f>COUNTIF(Precios!I8:I149,"FALTA PRECIO")</f>
        <v>0</v>
      </c>
      <c r="F19" s="6">
        <f t="shared" si="1"/>
        <v>6071969.4892964792</v>
      </c>
      <c r="G19" s="6">
        <f>SUM(G7:G18)</f>
        <v>182159.08467889435</v>
      </c>
      <c r="H19" s="6">
        <f>SUM(H7:H18)</f>
        <v>6254128.573975374</v>
      </c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 t="s">
        <v>23</v>
      </c>
      <c r="B22" s="1"/>
      <c r="C22" s="1"/>
      <c r="D22" s="1"/>
      <c r="E22" s="1"/>
      <c r="F22" s="1"/>
      <c r="G22" s="1"/>
      <c r="H22" s="1"/>
    </row>
    <row r="23" spans="1:8">
      <c r="A23" s="1" t="s">
        <v>24</v>
      </c>
      <c r="B23" s="1"/>
      <c r="C23" s="1"/>
      <c r="D23" s="1"/>
      <c r="E23" s="1"/>
      <c r="F23" s="1"/>
      <c r="G23" s="1"/>
      <c r="H23" s="1"/>
    </row>
    <row r="24" spans="1:8">
      <c r="A24" s="1" t="s">
        <v>25</v>
      </c>
      <c r="B24" s="1"/>
      <c r="C24" s="1"/>
      <c r="D24" s="1"/>
      <c r="E24" s="1"/>
      <c r="F24" s="1"/>
      <c r="G24" s="1"/>
      <c r="H24" s="1"/>
    </row>
  </sheetData>
  <conditionalFormatting sqref="E7:E19">
    <cfRule type="cellIs" dxfId="2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B63"/>
  </sheetPr>
  <dimension ref="A2:D19"/>
  <sheetViews>
    <sheetView showGridLines="0" workbookViewId="0"/>
  </sheetViews>
  <sheetFormatPr baseColWidth="10" defaultColWidth="8.6640625" defaultRowHeight="14"/>
  <cols>
    <col min="1" max="1" width="25" customWidth="1"/>
    <col min="2" max="4" width="24" customWidth="1"/>
  </cols>
  <sheetData>
    <row r="2" spans="1:4" ht="28" customHeight="1">
      <c r="A2" s="2" t="s">
        <v>26</v>
      </c>
      <c r="B2" s="1"/>
      <c r="C2" s="1"/>
      <c r="D2" s="1"/>
    </row>
    <row r="3" spans="1:4">
      <c r="A3" s="1"/>
      <c r="B3" s="1"/>
      <c r="C3" s="1"/>
      <c r="D3" s="1"/>
    </row>
    <row r="4" spans="1:4" ht="26" customHeight="1">
      <c r="A4" s="3" t="s">
        <v>27</v>
      </c>
      <c r="B4" s="3" t="s">
        <v>28</v>
      </c>
      <c r="C4" s="1"/>
      <c r="D4" s="1"/>
    </row>
    <row r="5" spans="1:4">
      <c r="A5" s="1" t="s">
        <v>5</v>
      </c>
      <c r="B5" s="5">
        <f>'Resumen mensual'!D19</f>
        <v>6071969.4892964792</v>
      </c>
      <c r="C5" s="1"/>
      <c r="D5" s="1"/>
    </row>
    <row r="6" spans="1:4">
      <c r="A6" s="1" t="s">
        <v>6</v>
      </c>
      <c r="B6" s="7">
        <f>'Resumen mensual'!E19</f>
        <v>0</v>
      </c>
      <c r="C6" s="1"/>
      <c r="D6" s="1"/>
    </row>
    <row r="7" spans="1:4">
      <c r="A7" s="1" t="s">
        <v>7</v>
      </c>
      <c r="B7" s="5">
        <f>IF(B6=0,B5,"")</f>
        <v>6071969.4892964792</v>
      </c>
      <c r="C7" s="1"/>
      <c r="D7" s="1"/>
    </row>
    <row r="8" spans="1:4">
      <c r="A8" s="1" t="s">
        <v>29</v>
      </c>
      <c r="B8" s="5">
        <f>'Resumen mensual'!G19</f>
        <v>182159.08467889435</v>
      </c>
      <c r="C8" s="1"/>
      <c r="D8" s="1"/>
    </row>
    <row r="9" spans="1:4" ht="25" customHeight="1">
      <c r="A9" s="4" t="s">
        <v>9</v>
      </c>
      <c r="B9" s="6">
        <f>IF(B6=0,B7+B8,"")</f>
        <v>6254128.5739753731</v>
      </c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 ht="26" customHeight="1">
      <c r="A12" s="3" t="s">
        <v>30</v>
      </c>
      <c r="B12" s="3" t="s">
        <v>5</v>
      </c>
      <c r="C12" s="3" t="s">
        <v>6</v>
      </c>
      <c r="D12" s="1"/>
    </row>
    <row r="13" spans="1:4">
      <c r="A13" s="1" t="s">
        <v>3</v>
      </c>
      <c r="B13" s="5">
        <f>SUMIF(Importes!$C$8:$C$149,A13,Importes!Q8:Q149)</f>
        <v>4850560.927944595</v>
      </c>
      <c r="C13" s="7">
        <f>COUNTIFS(Unidades!$C$8:$C$149,A13,Precios!$I$8:$I$149,"FALTA PRECIO")</f>
        <v>0</v>
      </c>
      <c r="D13" s="1"/>
    </row>
    <row r="14" spans="1:4">
      <c r="A14" s="1" t="s">
        <v>4</v>
      </c>
      <c r="B14" s="5">
        <f>SUMIF(Importes!$C$8:$C$149,A14,Importes!Q8:Q149)</f>
        <v>1221408.5613518825</v>
      </c>
      <c r="C14" s="7">
        <f>COUNTIFS(Unidades!$C$8:$C$149,A14,Precios!$I$8:$I$149,"FALTA PRECIO")</f>
        <v>0</v>
      </c>
      <c r="D14" s="1"/>
    </row>
    <row r="15" spans="1:4" ht="25" customHeight="1">
      <c r="A15" s="4" t="s">
        <v>31</v>
      </c>
      <c r="B15" s="6">
        <f>SUM(B13:B14)</f>
        <v>6071969.4892964773</v>
      </c>
      <c r="C15" s="8">
        <f>SUM(C13:C14)</f>
        <v>0</v>
      </c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 t="s">
        <v>32</v>
      </c>
      <c r="B18" s="1"/>
      <c r="C18" s="1"/>
      <c r="D18" s="1"/>
    </row>
    <row r="19" spans="1:4">
      <c r="A19" s="1" t="s">
        <v>33</v>
      </c>
      <c r="B19" s="1"/>
      <c r="C19" s="1"/>
      <c r="D19" s="1"/>
    </row>
  </sheetData>
  <conditionalFormatting sqref="B6">
    <cfRule type="cellIs" dxfId="1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23"/>
  <sheetViews>
    <sheetView showGridLines="0" topLeftCell="A15" workbookViewId="0"/>
  </sheetViews>
  <sheetFormatPr baseColWidth="10" defaultColWidth="8.6640625" defaultRowHeight="14"/>
  <cols>
    <col min="1" max="1" width="29" customWidth="1"/>
    <col min="2" max="2" width="115" customWidth="1"/>
  </cols>
  <sheetData>
    <row r="2" spans="1:2" ht="28" customHeight="1">
      <c r="A2" s="2" t="s">
        <v>34</v>
      </c>
      <c r="B2" s="1"/>
    </row>
    <row r="3" spans="1:2">
      <c r="A3" s="1"/>
      <c r="B3" s="1"/>
    </row>
    <row r="4" spans="1:2" ht="26" customHeight="1">
      <c r="A4" s="3" t="s">
        <v>35</v>
      </c>
      <c r="B4" s="3" t="s">
        <v>36</v>
      </c>
    </row>
    <row r="5" spans="1:2">
      <c r="A5" s="1" t="s">
        <v>37</v>
      </c>
      <c r="B5" s="12">
        <v>0.1</v>
      </c>
    </row>
    <row r="6" spans="1:2">
      <c r="A6" s="1" t="s">
        <v>38</v>
      </c>
      <c r="B6" s="12">
        <v>0.03</v>
      </c>
    </row>
    <row r="7" spans="1:2">
      <c r="A7" s="1"/>
      <c r="B7" s="1"/>
    </row>
    <row r="8" spans="1:2" ht="38" customHeight="1">
      <c r="A8" s="1" t="s">
        <v>39</v>
      </c>
      <c r="B8" s="13" t="s">
        <v>40</v>
      </c>
    </row>
    <row r="9" spans="1:2" ht="38" customHeight="1">
      <c r="A9" s="1" t="s">
        <v>41</v>
      </c>
      <c r="B9" s="13" t="s">
        <v>42</v>
      </c>
    </row>
    <row r="10" spans="1:2" ht="38" customHeight="1">
      <c r="A10" s="1" t="s">
        <v>43</v>
      </c>
      <c r="B10" s="13" t="s">
        <v>44</v>
      </c>
    </row>
    <row r="11" spans="1:2" ht="38" customHeight="1">
      <c r="A11" s="1" t="s">
        <v>45</v>
      </c>
      <c r="B11" s="13" t="s">
        <v>46</v>
      </c>
    </row>
    <row r="12" spans="1:2" ht="38" customHeight="1">
      <c r="A12" s="1" t="s">
        <v>47</v>
      </c>
      <c r="B12" s="13" t="s">
        <v>48</v>
      </c>
    </row>
    <row r="13" spans="1:2" ht="38" customHeight="1">
      <c r="A13" s="1" t="s">
        <v>49</v>
      </c>
      <c r="B13" s="13" t="s">
        <v>50</v>
      </c>
    </row>
    <row r="14" spans="1:2" ht="38" customHeight="1">
      <c r="A14" s="1" t="s">
        <v>51</v>
      </c>
      <c r="B14" s="13" t="s">
        <v>52</v>
      </c>
    </row>
    <row r="15" spans="1:2" ht="38" customHeight="1">
      <c r="A15" s="1" t="s">
        <v>53</v>
      </c>
      <c r="B15" s="13" t="s">
        <v>54</v>
      </c>
    </row>
    <row r="16" spans="1:2" ht="38" customHeight="1">
      <c r="A16" s="1" t="s">
        <v>55</v>
      </c>
      <c r="B16" s="13" t="s">
        <v>56</v>
      </c>
    </row>
    <row r="17" spans="1:2" ht="38" customHeight="1">
      <c r="A17" s="1" t="s">
        <v>57</v>
      </c>
      <c r="B17" s="13" t="s">
        <v>58</v>
      </c>
    </row>
    <row r="18" spans="1:2" ht="38" customHeight="1">
      <c r="A18" s="1" t="s">
        <v>59</v>
      </c>
      <c r="B18" s="13" t="s">
        <v>60</v>
      </c>
    </row>
    <row r="19" spans="1:2" ht="38" customHeight="1">
      <c r="A19" s="1" t="s">
        <v>61</v>
      </c>
      <c r="B19" s="13" t="s">
        <v>62</v>
      </c>
    </row>
    <row r="20" spans="1:2" ht="38" customHeight="1">
      <c r="A20" s="1" t="s">
        <v>63</v>
      </c>
      <c r="B20" s="13" t="s">
        <v>64</v>
      </c>
    </row>
    <row r="21" spans="1:2" ht="38" customHeight="1">
      <c r="A21" s="1" t="s">
        <v>65</v>
      </c>
      <c r="B21" s="13" t="s">
        <v>66</v>
      </c>
    </row>
    <row r="22" spans="1:2">
      <c r="A22" s="1"/>
      <c r="B22" s="1"/>
    </row>
    <row r="23" spans="1:2">
      <c r="A23" s="1" t="s">
        <v>67</v>
      </c>
      <c r="B2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B5E88"/>
  </sheetPr>
  <dimension ref="A2:Q150"/>
  <sheetViews>
    <sheetView showGridLines="0" workbookViewId="0">
      <pane ySplit="7" topLeftCell="A8" activePane="bottomLeft" state="frozen"/>
      <selection pane="bottomLeft"/>
    </sheetView>
  </sheetViews>
  <sheetFormatPr baseColWidth="10" defaultColWidth="8.6640625" defaultRowHeight="14"/>
  <cols>
    <col min="1" max="1" width="17" customWidth="1"/>
    <col min="2" max="2" width="45" customWidth="1"/>
    <col min="3" max="17" width="15" customWidth="1"/>
  </cols>
  <sheetData>
    <row r="2" spans="1:17" ht="28" customHeight="1">
      <c r="A2" s="2" t="s">
        <v>68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1" t="s">
        <v>69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26" customHeight="1">
      <c r="A7" s="3" t="s">
        <v>70</v>
      </c>
      <c r="B7" s="3" t="s">
        <v>71</v>
      </c>
      <c r="C7" s="3" t="s">
        <v>30</v>
      </c>
      <c r="D7" s="3" t="s">
        <v>72</v>
      </c>
      <c r="E7" s="3" t="s">
        <v>10</v>
      </c>
      <c r="F7" s="3" t="s">
        <v>11</v>
      </c>
      <c r="G7" s="3" t="s">
        <v>12</v>
      </c>
      <c r="H7" s="3" t="s">
        <v>13</v>
      </c>
      <c r="I7" s="3" t="s">
        <v>14</v>
      </c>
      <c r="J7" s="3" t="s">
        <v>15</v>
      </c>
      <c r="K7" s="3" t="s">
        <v>16</v>
      </c>
      <c r="L7" s="3" t="s">
        <v>17</v>
      </c>
      <c r="M7" s="3" t="s">
        <v>18</v>
      </c>
      <c r="N7" s="3" t="s">
        <v>19</v>
      </c>
      <c r="O7" s="3" t="s">
        <v>20</v>
      </c>
      <c r="P7" s="3" t="s">
        <v>21</v>
      </c>
      <c r="Q7" s="3" t="s">
        <v>73</v>
      </c>
    </row>
    <row r="8" spans="1:17">
      <c r="A8" s="1" t="s">
        <v>74</v>
      </c>
      <c r="B8" s="1" t="s">
        <v>75</v>
      </c>
      <c r="C8" s="1" t="s">
        <v>3</v>
      </c>
      <c r="D8" s="5">
        <f>IF(ISNUMBER(Precios!H8),Precios!H8,"")</f>
        <v>40.920000000000009</v>
      </c>
      <c r="E8" s="5">
        <f>IF(Unidades!S8=0,0,IF(ISNUMBER($D8),Unidades!S8*$D8,""))</f>
        <v>0</v>
      </c>
      <c r="F8" s="5">
        <f>IF(Unidades!T8=0,0,IF(ISNUMBER($D8),Unidades!T8*$D8,""))</f>
        <v>0</v>
      </c>
      <c r="G8" s="5">
        <f>IF(Unidades!U8=0,0,IF(ISNUMBER($D8),Unidades!U8*$D8,""))</f>
        <v>0</v>
      </c>
      <c r="H8" s="5">
        <f>IF(Unidades!V8=0,0,IF(ISNUMBER($D8),Unidades!V8*$D8,""))</f>
        <v>0</v>
      </c>
      <c r="I8" s="5">
        <f>IF(Unidades!W8=0,0,IF(ISNUMBER($D8),Unidades!W8*$D8,""))</f>
        <v>0</v>
      </c>
      <c r="J8" s="5">
        <f>IF(Unidades!X8=0,0,IF(ISNUMBER($D8),Unidades!X8*$D8,""))</f>
        <v>0</v>
      </c>
      <c r="K8" s="5">
        <f>IF(Unidades!Y8=0,0,IF(ISNUMBER($D8),Unidades!Y8*$D8,""))</f>
        <v>1071.8313725772864</v>
      </c>
      <c r="L8" s="5">
        <f>IF(Unidades!Z8=0,0,IF(ISNUMBER($D8),Unidades!Z8*$D8,""))</f>
        <v>573.87026400000047</v>
      </c>
      <c r="M8" s="5">
        <f>IF(Unidades!AA8=0,0,IF(ISNUMBER($D8),Unidades!AA8*$D8,""))</f>
        <v>414.31500000000011</v>
      </c>
      <c r="N8" s="5">
        <f>IF(Unidades!AB8=0,0,IF(ISNUMBER($D8),Unidades!AB8*$D8,""))</f>
        <v>1379.6505360000003</v>
      </c>
      <c r="O8" s="5">
        <f>IF(Unidades!AC8=0,0,IF(ISNUMBER($D8),Unidades!AC8*$D8,""))</f>
        <v>854.9947559999996</v>
      </c>
      <c r="P8" s="5">
        <f>IF(Unidades!AD8=0,0,IF(ISNUMBER($D8),Unidades!AD8*$D8,""))</f>
        <v>4244.467920000001</v>
      </c>
      <c r="Q8" s="5">
        <f>IF(AND(Unidades!AE8&gt;0,NOT(ISNUMBER(D8))),"",SUM(E8:P8))</f>
        <v>8539.1298485772877</v>
      </c>
    </row>
    <row r="9" spans="1:17">
      <c r="A9" s="1" t="s">
        <v>76</v>
      </c>
      <c r="B9" s="1" t="s">
        <v>77</v>
      </c>
      <c r="C9" s="1" t="s">
        <v>3</v>
      </c>
      <c r="D9" s="5">
        <f>IF(ISNUMBER(Precios!H9),Precios!H9,"")</f>
        <v>1.4300000000000002</v>
      </c>
      <c r="E9" s="5">
        <f>IF(Unidades!S9=0,0,IF(ISNUMBER($D9),Unidades!S9*$D9,""))</f>
        <v>1891.2465000000004</v>
      </c>
      <c r="F9" s="5">
        <f>IF(Unidades!T9=0,0,IF(ISNUMBER($D9),Unidades!T9*$D9,""))</f>
        <v>4199.6061250000012</v>
      </c>
      <c r="G9" s="5">
        <f>IF(Unidades!U9=0,0,IF(ISNUMBER($D9),Unidades!U9*$D9,""))</f>
        <v>1278.3663749999996</v>
      </c>
      <c r="H9" s="5">
        <f>IF(Unidades!V9=0,0,IF(ISNUMBER($D9),Unidades!V9*$D9,""))</f>
        <v>2032.1193750000002</v>
      </c>
      <c r="I9" s="5">
        <f>IF(Unidades!W9=0,0,IF(ISNUMBER($D9),Unidades!W9*$D9,""))</f>
        <v>1082.5457499999995</v>
      </c>
      <c r="J9" s="5">
        <f>IF(Unidades!X9=0,0,IF(ISNUMBER($D9),Unidades!X9*$D9,""))</f>
        <v>4079.1429250000001</v>
      </c>
      <c r="K9" s="5">
        <f>IF(Unidades!Y9=0,0,IF(ISNUMBER($D9),Unidades!Y9*$D9,""))</f>
        <v>703.27399999999909</v>
      </c>
      <c r="L9" s="5">
        <f>IF(Unidades!Z9=0,0,IF(ISNUMBER($D9),Unidades!Z9*$D9,""))</f>
        <v>2552.9968750000003</v>
      </c>
      <c r="M9" s="5">
        <f>IF(Unidades!AA9=0,0,IF(ISNUMBER($D9),Unidades!AA9*$D9,""))</f>
        <v>3333.9734999999987</v>
      </c>
      <c r="N9" s="5">
        <f>IF(Unidades!AB9=0,0,IF(ISNUMBER($D9),Unidades!AB9*$D9,""))</f>
        <v>2113.5221249999991</v>
      </c>
      <c r="O9" s="5">
        <f>IF(Unidades!AC9=0,0,IF(ISNUMBER($D9),Unidades!AC9*$D9,""))</f>
        <v>2902.1206499999976</v>
      </c>
      <c r="P9" s="5">
        <f>IF(Unidades!AD9=0,0,IF(ISNUMBER($D9),Unidades!AD9*$D9,""))</f>
        <v>5873.01</v>
      </c>
      <c r="Q9" s="5">
        <f>IF(AND(Unidades!AE9&gt;0,NOT(ISNUMBER(D9))),"",SUM(E9:P9))</f>
        <v>32041.924199999994</v>
      </c>
    </row>
    <row r="10" spans="1:17">
      <c r="A10" s="1" t="s">
        <v>78</v>
      </c>
      <c r="B10" s="1" t="s">
        <v>79</v>
      </c>
      <c r="C10" s="1" t="s">
        <v>3</v>
      </c>
      <c r="D10" s="5">
        <f>IF(ISNUMBER(Precios!H10),Precios!H10,"")</f>
        <v>2.706</v>
      </c>
      <c r="E10" s="5">
        <f>IF(Unidades!S10=0,0,IF(ISNUMBER($D10),Unidades!S10*$D10,""))</f>
        <v>0</v>
      </c>
      <c r="F10" s="5">
        <f>IF(Unidades!T10=0,0,IF(ISNUMBER($D10),Unidades!T10*$D10,""))</f>
        <v>0</v>
      </c>
      <c r="G10" s="5">
        <f>IF(Unidades!U10=0,0,IF(ISNUMBER($D10),Unidades!U10*$D10,""))</f>
        <v>0</v>
      </c>
      <c r="H10" s="5">
        <f>IF(Unidades!V10=0,0,IF(ISNUMBER($D10),Unidades!V10*$D10,""))</f>
        <v>0</v>
      </c>
      <c r="I10" s="5">
        <f>IF(Unidades!W10=0,0,IF(ISNUMBER($D10),Unidades!W10*$D10,""))</f>
        <v>0</v>
      </c>
      <c r="J10" s="5">
        <f>IF(Unidades!X10=0,0,IF(ISNUMBER($D10),Unidades!X10*$D10,""))</f>
        <v>0</v>
      </c>
      <c r="K10" s="5">
        <f>IF(Unidades!Y10=0,0,IF(ISNUMBER($D10),Unidades!Y10*$D10,""))</f>
        <v>975.40063067351343</v>
      </c>
      <c r="L10" s="5">
        <f>IF(Unidades!Z10=0,0,IF(ISNUMBER($D10),Unidades!Z10*$D10,""))</f>
        <v>1396.296</v>
      </c>
      <c r="M10" s="5">
        <f>IF(Unidades!AA10=0,0,IF(ISNUMBER($D10),Unidades!AA10*$D10,""))</f>
        <v>892.98</v>
      </c>
      <c r="N10" s="5">
        <f>IF(Unidades!AB10=0,0,IF(ISNUMBER($D10),Unidades!AB10*$D10,""))</f>
        <v>1251.7685400000005</v>
      </c>
      <c r="O10" s="5">
        <f>IF(Unidades!AC10=0,0,IF(ISNUMBER($D10),Unidades!AC10*$D10,""))</f>
        <v>1775.136</v>
      </c>
      <c r="P10" s="5">
        <f>IF(Unidades!AD10=0,0,IF(ISNUMBER($D10),Unidades!AD10*$D10,""))</f>
        <v>4188.8879999999972</v>
      </c>
      <c r="Q10" s="5">
        <f>IF(AND(Unidades!AE10&gt;0,NOT(ISNUMBER(D10))),"",SUM(E10:P10))</f>
        <v>10480.469170673512</v>
      </c>
    </row>
    <row r="11" spans="1:17">
      <c r="A11" s="1" t="s">
        <v>80</v>
      </c>
      <c r="B11" s="1" t="s">
        <v>81</v>
      </c>
      <c r="C11" s="1" t="s">
        <v>3</v>
      </c>
      <c r="D11" s="5" t="str">
        <f>IF(ISNUMBER(Precios!H11),Precios!H11,"")</f>
        <v/>
      </c>
      <c r="E11" s="5">
        <f>IF(Unidades!S11=0,0,IF(ISNUMBER($D11),Unidades!S11*$D11,""))</f>
        <v>0</v>
      </c>
      <c r="F11" s="5">
        <f>IF(Unidades!T11=0,0,IF(ISNUMBER($D11),Unidades!T11*$D11,""))</f>
        <v>0</v>
      </c>
      <c r="G11" s="5">
        <f>IF(Unidades!U11=0,0,IF(ISNUMBER($D11),Unidades!U11*$D11,""))</f>
        <v>0</v>
      </c>
      <c r="H11" s="5">
        <f>IF(Unidades!V11=0,0,IF(ISNUMBER($D11),Unidades!V11*$D11,""))</f>
        <v>0</v>
      </c>
      <c r="I11" s="5">
        <f>IF(Unidades!W11=0,0,IF(ISNUMBER($D11),Unidades!W11*$D11,""))</f>
        <v>0</v>
      </c>
      <c r="J11" s="5">
        <f>IF(Unidades!X11=0,0,IF(ISNUMBER($D11),Unidades!X11*$D11,""))</f>
        <v>0</v>
      </c>
      <c r="K11" s="5">
        <f>IF(Unidades!Y11=0,0,IF(ISNUMBER($D11),Unidades!Y11*$D11,""))</f>
        <v>0</v>
      </c>
      <c r="L11" s="5">
        <f>IF(Unidades!Z11=0,0,IF(ISNUMBER($D11),Unidades!Z11*$D11,""))</f>
        <v>0</v>
      </c>
      <c r="M11" s="5">
        <f>IF(Unidades!AA11=0,0,IF(ISNUMBER($D11),Unidades!AA11*$D11,""))</f>
        <v>0</v>
      </c>
      <c r="N11" s="5">
        <f>IF(Unidades!AB11=0,0,IF(ISNUMBER($D11),Unidades!AB11*$D11,""))</f>
        <v>0</v>
      </c>
      <c r="O11" s="5">
        <f>IF(Unidades!AC11=0,0,IF(ISNUMBER($D11),Unidades!AC11*$D11,""))</f>
        <v>0</v>
      </c>
      <c r="P11" s="5">
        <f>IF(Unidades!AD11=0,0,IF(ISNUMBER($D11),Unidades!AD11*$D11,""))</f>
        <v>0</v>
      </c>
      <c r="Q11" s="5">
        <f>IF(AND(Unidades!AE11&gt;0,NOT(ISNUMBER(D11))),"",SUM(E11:P11))</f>
        <v>0</v>
      </c>
    </row>
    <row r="12" spans="1:17">
      <c r="A12" s="1" t="s">
        <v>82</v>
      </c>
      <c r="B12" s="1" t="s">
        <v>83</v>
      </c>
      <c r="C12" s="1" t="s">
        <v>3</v>
      </c>
      <c r="D12" s="5">
        <f>IF(ISNUMBER(Precios!H12),Precios!H12,"")</f>
        <v>0.41800000000000004</v>
      </c>
      <c r="E12" s="5">
        <f>IF(Unidades!S12=0,0,IF(ISNUMBER($D12),Unidades!S12*$D12,""))</f>
        <v>91.834602908461648</v>
      </c>
      <c r="F12" s="5">
        <f>IF(Unidades!T12=0,0,IF(ISNUMBER($D12),Unidades!T12*$D12,""))</f>
        <v>688.13607098814464</v>
      </c>
      <c r="G12" s="5">
        <f>IF(Unidades!U12=0,0,IF(ISNUMBER($D12),Unidades!U12*$D12,""))</f>
        <v>1439.8256620000004</v>
      </c>
      <c r="H12" s="5">
        <f>IF(Unidades!V12=0,0,IF(ISNUMBER($D12),Unidades!V12*$D12,""))</f>
        <v>723.77368799999988</v>
      </c>
      <c r="I12" s="5">
        <f>IF(Unidades!W12=0,0,IF(ISNUMBER($D12),Unidades!W12*$D12,""))</f>
        <v>1342.6703268974693</v>
      </c>
      <c r="J12" s="5">
        <f>IF(Unidades!X12=0,0,IF(ISNUMBER($D12),Unidades!X12*$D12,""))</f>
        <v>1020.2178250000007</v>
      </c>
      <c r="K12" s="5">
        <f>IF(Unidades!Y12=0,0,IF(ISNUMBER($D12),Unidades!Y12*$D12,""))</f>
        <v>413.326132999999</v>
      </c>
      <c r="L12" s="5">
        <f>IF(Unidades!Z12=0,0,IF(ISNUMBER($D12),Unidades!Z12*$D12,""))</f>
        <v>550.21967000000097</v>
      </c>
      <c r="M12" s="5">
        <f>IF(Unidades!AA12=0,0,IF(ISNUMBER($D12),Unidades!AA12*$D12,""))</f>
        <v>315.12016799999861</v>
      </c>
      <c r="N12" s="5">
        <f>IF(Unidades!AB12=0,0,IF(ISNUMBER($D12),Unidades!AB12*$D12,""))</f>
        <v>455.38090399999999</v>
      </c>
      <c r="O12" s="5">
        <f>IF(Unidades!AC12=0,0,IF(ISNUMBER($D12),Unidades!AC12*$D12,""))</f>
        <v>562.70324000000016</v>
      </c>
      <c r="P12" s="5">
        <f>IF(Unidades!AD12=0,0,IF(ISNUMBER($D12),Unidades!AD12*$D12,""))</f>
        <v>364.5515940000007</v>
      </c>
      <c r="Q12" s="5">
        <f>IF(AND(Unidades!AE12&gt;0,NOT(ISNUMBER(D12))),"",SUM(E12:P12))</f>
        <v>7967.7598847940753</v>
      </c>
    </row>
    <row r="13" spans="1:17">
      <c r="A13" s="1" t="s">
        <v>84</v>
      </c>
      <c r="B13" s="1" t="s">
        <v>85</v>
      </c>
      <c r="C13" s="1" t="s">
        <v>3</v>
      </c>
      <c r="D13" s="5">
        <f>IF(ISNUMBER(Precios!H13),Precios!H13,"")</f>
        <v>8.5250000000000004</v>
      </c>
      <c r="E13" s="5">
        <f>IF(Unidades!S13=0,0,IF(ISNUMBER($D13),Unidades!S13*$D13,""))</f>
        <v>0</v>
      </c>
      <c r="F13" s="5">
        <f>IF(Unidades!T13=0,0,IF(ISNUMBER($D13),Unidades!T13*$D13,""))</f>
        <v>0</v>
      </c>
      <c r="G13" s="5">
        <f>IF(Unidades!U13=0,0,IF(ISNUMBER($D13),Unidades!U13*$D13,""))</f>
        <v>0</v>
      </c>
      <c r="H13" s="5">
        <f>IF(Unidades!V13=0,0,IF(ISNUMBER($D13),Unidades!V13*$D13,""))</f>
        <v>0</v>
      </c>
      <c r="I13" s="5">
        <f>IF(Unidades!W13=0,0,IF(ISNUMBER($D13),Unidades!W13*$D13,""))</f>
        <v>0</v>
      </c>
      <c r="J13" s="5">
        <f>IF(Unidades!X13=0,0,IF(ISNUMBER($D13),Unidades!X13*$D13,""))</f>
        <v>0</v>
      </c>
      <c r="K13" s="5">
        <f>IF(Unidades!Y13=0,0,IF(ISNUMBER($D13),Unidades!Y13*$D13,""))</f>
        <v>0</v>
      </c>
      <c r="L13" s="5">
        <f>IF(Unidades!Z13=0,0,IF(ISNUMBER($D13),Unidades!Z13*$D13,""))</f>
        <v>0</v>
      </c>
      <c r="M13" s="5">
        <f>IF(Unidades!AA13=0,0,IF(ISNUMBER($D13),Unidades!AA13*$D13,""))</f>
        <v>0</v>
      </c>
      <c r="N13" s="5">
        <f>IF(Unidades!AB13=0,0,IF(ISNUMBER($D13),Unidades!AB13*$D13,""))</f>
        <v>0</v>
      </c>
      <c r="O13" s="5">
        <f>IF(Unidades!AC13=0,0,IF(ISNUMBER($D13),Unidades!AC13*$D13,""))</f>
        <v>0</v>
      </c>
      <c r="P13" s="5">
        <f>IF(Unidades!AD13=0,0,IF(ISNUMBER($D13),Unidades!AD13*$D13,""))</f>
        <v>0</v>
      </c>
      <c r="Q13" s="5">
        <f>IF(AND(Unidades!AE13&gt;0,NOT(ISNUMBER(D13))),"",SUM(E13:P13))</f>
        <v>0</v>
      </c>
    </row>
    <row r="14" spans="1:17">
      <c r="A14" s="1" t="s">
        <v>86</v>
      </c>
      <c r="B14" s="1" t="s">
        <v>87</v>
      </c>
      <c r="C14" s="1" t="s">
        <v>3</v>
      </c>
      <c r="D14" s="5">
        <f>IF(ISNUMBER(Precios!H14),Precios!H14,"")</f>
        <v>3.19</v>
      </c>
      <c r="E14" s="5">
        <f>IF(Unidades!S14=0,0,IF(ISNUMBER($D14),Unidades!S14*$D14,""))</f>
        <v>1518.8375691107633</v>
      </c>
      <c r="F14" s="5">
        <f>IF(Unidades!T14=0,0,IF(ISNUMBER($D14),Unidades!T14*$D14,""))</f>
        <v>2072.3145645929926</v>
      </c>
      <c r="G14" s="5">
        <f>IF(Unidades!U14=0,0,IF(ISNUMBER($D14),Unidades!U14*$D14,""))</f>
        <v>5943.0668600987528</v>
      </c>
      <c r="H14" s="5">
        <f>IF(Unidades!V14=0,0,IF(ISNUMBER($D14),Unidades!V14*$D14,""))</f>
        <v>2962.3015211341267</v>
      </c>
      <c r="I14" s="5">
        <f>IF(Unidades!W14=0,0,IF(ISNUMBER($D14),Unidades!W14*$D14,""))</f>
        <v>9088.3896080123031</v>
      </c>
      <c r="J14" s="5">
        <f>IF(Unidades!X14=0,0,IF(ISNUMBER($D14),Unidades!X14*$D14,""))</f>
        <v>6570.4403112248074</v>
      </c>
      <c r="K14" s="5">
        <f>IF(Unidades!Y14=0,0,IF(ISNUMBER($D14),Unidades!Y14*$D14,""))</f>
        <v>4652.5875061103079</v>
      </c>
      <c r="L14" s="5">
        <f>IF(Unidades!Z14=0,0,IF(ISNUMBER($D14),Unidades!Z14*$D14,""))</f>
        <v>1649.3379996804106</v>
      </c>
      <c r="M14" s="5">
        <f>IF(Unidades!AA14=0,0,IF(ISNUMBER($D14),Unidades!AA14*$D14,""))</f>
        <v>1260.4190262868976</v>
      </c>
      <c r="N14" s="5">
        <f>IF(Unidades!AB14=0,0,IF(ISNUMBER($D14),Unidades!AB14*$D14,""))</f>
        <v>1386.9325320472242</v>
      </c>
      <c r="O14" s="5">
        <f>IF(Unidades!AC14=0,0,IF(ISNUMBER($D14),Unidades!AC14*$D14,""))</f>
        <v>2345.0891985150342</v>
      </c>
      <c r="P14" s="5">
        <f>IF(Unidades!AD14=0,0,IF(ISNUMBER($D14),Unidades!AD14*$D14,""))</f>
        <v>5215.0594534725024</v>
      </c>
      <c r="Q14" s="5">
        <f>IF(AND(Unidades!AE14&gt;0,NOT(ISNUMBER(D14))),"",SUM(E14:P14))</f>
        <v>44664.776150286132</v>
      </c>
    </row>
    <row r="15" spans="1:17">
      <c r="A15" s="1" t="s">
        <v>88</v>
      </c>
      <c r="B15" s="1" t="s">
        <v>89</v>
      </c>
      <c r="C15" s="1" t="s">
        <v>3</v>
      </c>
      <c r="D15" s="5">
        <f>IF(ISNUMBER(Precios!H15),Precios!H15,"")</f>
        <v>35.090000000000003</v>
      </c>
      <c r="E15" s="5">
        <f>IF(Unidades!S15=0,0,IF(ISNUMBER($D15),Unidades!S15*$D15,""))</f>
        <v>275.24596000000003</v>
      </c>
      <c r="F15" s="5">
        <f>IF(Unidades!T15=0,0,IF(ISNUMBER($D15),Unidades!T15*$D15,""))</f>
        <v>533.43817999999999</v>
      </c>
      <c r="G15" s="5">
        <f>IF(Unidades!U15=0,0,IF(ISNUMBER($D15),Unidades!U15*$D15,""))</f>
        <v>89.304050000000075</v>
      </c>
      <c r="H15" s="5">
        <f>IF(Unidades!V15=0,0,IF(ISNUMBER($D15),Unidades!V15*$D15,""))</f>
        <v>504.45383999999996</v>
      </c>
      <c r="I15" s="5">
        <f>IF(Unidades!W15=0,0,IF(ISNUMBER($D15),Unidades!W15*$D15,""))</f>
        <v>153.86964999999995</v>
      </c>
      <c r="J15" s="5">
        <f>IF(Unidades!X15=0,0,IF(ISNUMBER($D15),Unidades!X15*$D15,""))</f>
        <v>294.93145000000004</v>
      </c>
      <c r="K15" s="5">
        <f>IF(Unidades!Y15=0,0,IF(ISNUMBER($D15),Unidades!Y15*$D15,""))</f>
        <v>111.69147000000001</v>
      </c>
      <c r="L15" s="5">
        <f>IF(Unidades!Z15=0,0,IF(ISNUMBER($D15),Unidades!Z15*$D15,""))</f>
        <v>330.61797999999993</v>
      </c>
      <c r="M15" s="5">
        <f>IF(Unidades!AA15=0,0,IF(ISNUMBER($D15),Unidades!AA15*$D15,""))</f>
        <v>246.43706999999989</v>
      </c>
      <c r="N15" s="5">
        <f>IF(Unidades!AB15=0,0,IF(ISNUMBER($D15),Unidades!AB15*$D15,""))</f>
        <v>55.091299999999769</v>
      </c>
      <c r="O15" s="5">
        <f>IF(Unidades!AC15=0,0,IF(ISNUMBER($D15),Unidades!AC15*$D15,""))</f>
        <v>112.63889999999979</v>
      </c>
      <c r="P15" s="5">
        <f>IF(Unidades!AD15=0,0,IF(ISNUMBER($D15),Unidades!AD15*$D15,""))</f>
        <v>397.42934000000031</v>
      </c>
      <c r="Q15" s="5">
        <f>IF(AND(Unidades!AE15&gt;0,NOT(ISNUMBER(D15))),"",SUM(E15:P15))</f>
        <v>3105.1491899999996</v>
      </c>
    </row>
    <row r="16" spans="1:17">
      <c r="A16" s="1" t="s">
        <v>90</v>
      </c>
      <c r="B16" s="1" t="s">
        <v>90</v>
      </c>
      <c r="C16" s="1" t="s">
        <v>3</v>
      </c>
      <c r="D16" s="5">
        <f>IF(ISNUMBER(Precios!H16),Precios!H16,"")</f>
        <v>1.7050000000000003</v>
      </c>
      <c r="E16" s="5">
        <f>IF(Unidades!S16=0,0,IF(ISNUMBER($D16),Unidades!S16*$D16,""))</f>
        <v>0</v>
      </c>
      <c r="F16" s="5">
        <f>IF(Unidades!T16=0,0,IF(ISNUMBER($D16),Unidades!T16*$D16,""))</f>
        <v>8696.5451650000014</v>
      </c>
      <c r="G16" s="5">
        <f>IF(Unidades!U16=0,0,IF(ISNUMBER($D16),Unidades!U16*$D16,""))</f>
        <v>0</v>
      </c>
      <c r="H16" s="5">
        <f>IF(Unidades!V16=0,0,IF(ISNUMBER($D16),Unidades!V16*$D16,""))</f>
        <v>19.692750000000313</v>
      </c>
      <c r="I16" s="5">
        <f>IF(Unidades!W16=0,0,IF(ISNUMBER($D16),Unidades!W16*$D16,""))</f>
        <v>0</v>
      </c>
      <c r="J16" s="5">
        <f>IF(Unidades!X16=0,0,IF(ISNUMBER($D16),Unidades!X16*$D16,""))</f>
        <v>366.31925000000069</v>
      </c>
      <c r="K16" s="5">
        <f>IF(Unidades!Y16=0,0,IF(ISNUMBER($D16),Unidades!Y16*$D16,""))</f>
        <v>0</v>
      </c>
      <c r="L16" s="5">
        <f>IF(Unidades!Z16=0,0,IF(ISNUMBER($D16),Unidades!Z16*$D16,""))</f>
        <v>262.27162499999974</v>
      </c>
      <c r="M16" s="5">
        <f>IF(Unidades!AA16=0,0,IF(ISNUMBER($D16),Unidades!AA16*$D16,""))</f>
        <v>0</v>
      </c>
      <c r="N16" s="5">
        <f>IF(Unidades!AB16=0,0,IF(ISNUMBER($D16),Unidades!AB16*$D16,""))</f>
        <v>0</v>
      </c>
      <c r="O16" s="5">
        <f>IF(Unidades!AC16=0,0,IF(ISNUMBER($D16),Unidades!AC16*$D16,""))</f>
        <v>370.58175000000068</v>
      </c>
      <c r="P16" s="5">
        <f>IF(Unidades!AD16=0,0,IF(ISNUMBER($D16),Unidades!AD16*$D16,""))</f>
        <v>5263.924930000002</v>
      </c>
      <c r="Q16" s="5">
        <f>IF(AND(Unidades!AE16&gt;0,NOT(ISNUMBER(D16))),"",SUM(E16:P16))</f>
        <v>14979.335470000005</v>
      </c>
    </row>
    <row r="17" spans="1:17">
      <c r="A17" s="1" t="s">
        <v>91</v>
      </c>
      <c r="B17" s="1" t="s">
        <v>92</v>
      </c>
      <c r="C17" s="1" t="s">
        <v>3</v>
      </c>
      <c r="D17" s="5">
        <f>IF(ISNUMBER(Precios!H17),Precios!H17,"")</f>
        <v>5.6650000000000009</v>
      </c>
      <c r="E17" s="5">
        <f>IF(Unidades!S17=0,0,IF(ISNUMBER($D17),Unidades!S17*$D17,""))</f>
        <v>3376.2493600000003</v>
      </c>
      <c r="F17" s="5">
        <f>IF(Unidades!T17=0,0,IF(ISNUMBER($D17),Unidades!T17*$D17,""))</f>
        <v>5225.9953220066</v>
      </c>
      <c r="G17" s="5">
        <f>IF(Unidades!U17=0,0,IF(ISNUMBER($D17),Unidades!U17*$D17,""))</f>
        <v>5762.0414500000006</v>
      </c>
      <c r="H17" s="5">
        <f>IF(Unidades!V17=0,0,IF(ISNUMBER($D17),Unidades!V17*$D17,""))</f>
        <v>9392.5105175000044</v>
      </c>
      <c r="I17" s="5">
        <f>IF(Unidades!W17=0,0,IF(ISNUMBER($D17),Unidades!W17*$D17,""))</f>
        <v>9817.133425</v>
      </c>
      <c r="J17" s="5">
        <f>IF(Unidades!X17=0,0,IF(ISNUMBER($D17),Unidades!X17*$D17,""))</f>
        <v>20005.429152500001</v>
      </c>
      <c r="K17" s="5">
        <f>IF(Unidades!Y17=0,0,IF(ISNUMBER($D17),Unidades!Y17*$D17,""))</f>
        <v>7763.7238799999996</v>
      </c>
      <c r="L17" s="5">
        <f>IF(Unidades!Z17=0,0,IF(ISNUMBER($D17),Unidades!Z17*$D17,""))</f>
        <v>2620.4363900000044</v>
      </c>
      <c r="M17" s="5">
        <f>IF(Unidades!AA17=0,0,IF(ISNUMBER($D17),Unidades!AA17*$D17,""))</f>
        <v>986.67871500000172</v>
      </c>
      <c r="N17" s="5">
        <f>IF(Unidades!AB17=0,0,IF(ISNUMBER($D17),Unidades!AB17*$D17,""))</f>
        <v>4954.4673750000047</v>
      </c>
      <c r="O17" s="5">
        <f>IF(Unidades!AC17=0,0,IF(ISNUMBER($D17),Unidades!AC17*$D17,""))</f>
        <v>6225.075890000001</v>
      </c>
      <c r="P17" s="5">
        <f>IF(Unidades!AD17=0,0,IF(ISNUMBER($D17),Unidades!AD17*$D17,""))</f>
        <v>2341.9081674999979</v>
      </c>
      <c r="Q17" s="5">
        <f>IF(AND(Unidades!AE17&gt;0,NOT(ISNUMBER(D17))),"",SUM(E17:P17))</f>
        <v>78471.64964450663</v>
      </c>
    </row>
    <row r="18" spans="1:17">
      <c r="A18" s="1" t="s">
        <v>93</v>
      </c>
      <c r="B18" s="1" t="s">
        <v>94</v>
      </c>
      <c r="C18" s="1" t="s">
        <v>3</v>
      </c>
      <c r="D18" s="5">
        <f>IF(ISNUMBER(Precios!H18),Precios!H18,"")</f>
        <v>0.51700000000000002</v>
      </c>
      <c r="E18" s="5">
        <f>IF(Unidades!S18=0,0,IF(ISNUMBER($D18),Unidades!S18*$D18,""))</f>
        <v>0</v>
      </c>
      <c r="F18" s="5">
        <f>IF(Unidades!T18=0,0,IF(ISNUMBER($D18),Unidades!T18*$D18,""))</f>
        <v>0</v>
      </c>
      <c r="G18" s="5">
        <f>IF(Unidades!U18=0,0,IF(ISNUMBER($D18),Unidades!U18*$D18,""))</f>
        <v>0</v>
      </c>
      <c r="H18" s="5">
        <f>IF(Unidades!V18=0,0,IF(ISNUMBER($D18),Unidades!V18*$D18,""))</f>
        <v>0</v>
      </c>
      <c r="I18" s="5">
        <f>IF(Unidades!W18=0,0,IF(ISNUMBER($D18),Unidades!W18*$D18,""))</f>
        <v>0</v>
      </c>
      <c r="J18" s="5">
        <f>IF(Unidades!X18=0,0,IF(ISNUMBER($D18),Unidades!X18*$D18,""))</f>
        <v>0</v>
      </c>
      <c r="K18" s="5">
        <f>IF(Unidades!Y18=0,0,IF(ISNUMBER($D18),Unidades!Y18*$D18,""))</f>
        <v>0</v>
      </c>
      <c r="L18" s="5">
        <f>IF(Unidades!Z18=0,0,IF(ISNUMBER($D18),Unidades!Z18*$D18,""))</f>
        <v>0</v>
      </c>
      <c r="M18" s="5">
        <f>IF(Unidades!AA18=0,0,IF(ISNUMBER($D18),Unidades!AA18*$D18,""))</f>
        <v>0</v>
      </c>
      <c r="N18" s="5">
        <f>IF(Unidades!AB18=0,0,IF(ISNUMBER($D18),Unidades!AB18*$D18,""))</f>
        <v>0</v>
      </c>
      <c r="O18" s="5">
        <f>IF(Unidades!AC18=0,0,IF(ISNUMBER($D18),Unidades!AC18*$D18,""))</f>
        <v>0</v>
      </c>
      <c r="P18" s="5">
        <f>IF(Unidades!AD18=0,0,IF(ISNUMBER($D18),Unidades!AD18*$D18,""))</f>
        <v>0</v>
      </c>
      <c r="Q18" s="5">
        <f>IF(AND(Unidades!AE18&gt;0,NOT(ISNUMBER(D18))),"",SUM(E18:P18))</f>
        <v>0</v>
      </c>
    </row>
    <row r="19" spans="1:17">
      <c r="A19" s="1" t="s">
        <v>95</v>
      </c>
      <c r="B19" s="1" t="s">
        <v>96</v>
      </c>
      <c r="C19" s="1" t="s">
        <v>3</v>
      </c>
      <c r="D19" s="5">
        <f>IF(ISNUMBER(Precios!H19),Precios!H19,"")</f>
        <v>0.44000000000000006</v>
      </c>
      <c r="E19" s="5">
        <f>IF(Unidades!S19=0,0,IF(ISNUMBER($D19),Unidades!S19*$D19,""))</f>
        <v>0</v>
      </c>
      <c r="F19" s="5">
        <f>IF(Unidades!T19=0,0,IF(ISNUMBER($D19),Unidades!T19*$D19,""))</f>
        <v>0</v>
      </c>
      <c r="G19" s="5">
        <f>IF(Unidades!U19=0,0,IF(ISNUMBER($D19),Unidades!U19*$D19,""))</f>
        <v>0</v>
      </c>
      <c r="H19" s="5">
        <f>IF(Unidades!V19=0,0,IF(ISNUMBER($D19),Unidades!V19*$D19,""))</f>
        <v>0</v>
      </c>
      <c r="I19" s="5">
        <f>IF(Unidades!W19=0,0,IF(ISNUMBER($D19),Unidades!W19*$D19,""))</f>
        <v>0</v>
      </c>
      <c r="J19" s="5">
        <f>IF(Unidades!X19=0,0,IF(ISNUMBER($D19),Unidades!X19*$D19,""))</f>
        <v>0</v>
      </c>
      <c r="K19" s="5">
        <f>IF(Unidades!Y19=0,0,IF(ISNUMBER($D19),Unidades!Y19*$D19,""))</f>
        <v>0</v>
      </c>
      <c r="L19" s="5">
        <f>IF(Unidades!Z19=0,0,IF(ISNUMBER($D19),Unidades!Z19*$D19,""))</f>
        <v>0</v>
      </c>
      <c r="M19" s="5">
        <f>IF(Unidades!AA19=0,0,IF(ISNUMBER($D19),Unidades!AA19*$D19,""))</f>
        <v>0</v>
      </c>
      <c r="N19" s="5">
        <f>IF(Unidades!AB19=0,0,IF(ISNUMBER($D19),Unidades!AB19*$D19,""))</f>
        <v>0</v>
      </c>
      <c r="O19" s="5">
        <f>IF(Unidades!AC19=0,0,IF(ISNUMBER($D19),Unidades!AC19*$D19,""))</f>
        <v>0</v>
      </c>
      <c r="P19" s="5">
        <f>IF(Unidades!AD19=0,0,IF(ISNUMBER($D19),Unidades!AD19*$D19,""))</f>
        <v>0</v>
      </c>
      <c r="Q19" s="5">
        <f>IF(AND(Unidades!AE19&gt;0,NOT(ISNUMBER(D19))),"",SUM(E19:P19))</f>
        <v>0</v>
      </c>
    </row>
    <row r="20" spans="1:17">
      <c r="A20" s="1" t="s">
        <v>97</v>
      </c>
      <c r="B20" s="1" t="s">
        <v>98</v>
      </c>
      <c r="C20" s="1" t="s">
        <v>3</v>
      </c>
      <c r="D20" s="5">
        <f>IF(ISNUMBER(Precios!H20),Precios!H20,"")</f>
        <v>1.1770000000000003</v>
      </c>
      <c r="E20" s="5">
        <f>IF(Unidades!S20=0,0,IF(ISNUMBER($D20),Unidades!S20*$D20,""))</f>
        <v>0</v>
      </c>
      <c r="F20" s="5">
        <f>IF(Unidades!T20=0,0,IF(ISNUMBER($D20),Unidades!T20*$D20,""))</f>
        <v>0</v>
      </c>
      <c r="G20" s="5">
        <f>IF(Unidades!U20=0,0,IF(ISNUMBER($D20),Unidades!U20*$D20,""))</f>
        <v>0</v>
      </c>
      <c r="H20" s="5">
        <f>IF(Unidades!V20=0,0,IF(ISNUMBER($D20),Unidades!V20*$D20,""))</f>
        <v>0</v>
      </c>
      <c r="I20" s="5">
        <f>IF(Unidades!W20=0,0,IF(ISNUMBER($D20),Unidades!W20*$D20,""))</f>
        <v>0</v>
      </c>
      <c r="J20" s="5">
        <f>IF(Unidades!X20=0,0,IF(ISNUMBER($D20),Unidades!X20*$D20,""))</f>
        <v>293.64243359735116</v>
      </c>
      <c r="K20" s="5">
        <f>IF(Unidades!Y20=0,0,IF(ISNUMBER($D20),Unidades!Y20*$D20,""))</f>
        <v>305.49976600000008</v>
      </c>
      <c r="L20" s="5">
        <f>IF(Unidades!Z20=0,0,IF(ISNUMBER($D20),Unidades!Z20*$D20,""))</f>
        <v>138.78124700000009</v>
      </c>
      <c r="M20" s="5">
        <f>IF(Unidades!AA20=0,0,IF(ISNUMBER($D20),Unidades!AA20*$D20,""))</f>
        <v>111.9703640000001</v>
      </c>
      <c r="N20" s="5">
        <f>IF(Unidades!AB20=0,0,IF(ISNUMBER($D20),Unidades!AB20*$D20,""))</f>
        <v>394.91881000000035</v>
      </c>
      <c r="O20" s="5">
        <f>IF(Unidades!AC20=0,0,IF(ISNUMBER($D20),Unidades!AC20*$D20,""))</f>
        <v>442.61320399999971</v>
      </c>
      <c r="P20" s="5">
        <f>IF(Unidades!AD20=0,0,IF(ISNUMBER($D20),Unidades!AD20*$D20,""))</f>
        <v>382.57678799999991</v>
      </c>
      <c r="Q20" s="5">
        <f>IF(AND(Unidades!AE20&gt;0,NOT(ISNUMBER(D20))),"",SUM(E20:P20))</f>
        <v>2070.0026125973513</v>
      </c>
    </row>
    <row r="21" spans="1:17">
      <c r="A21" s="1" t="s">
        <v>99</v>
      </c>
      <c r="B21" s="1" t="s">
        <v>100</v>
      </c>
      <c r="C21" s="1" t="s">
        <v>3</v>
      </c>
      <c r="D21" s="5">
        <f>IF(ISNUMBER(Precios!H21),Precios!H21,"")</f>
        <v>1.1489500000000001</v>
      </c>
      <c r="E21" s="5">
        <f>IF(Unidades!S21=0,0,IF(ISNUMBER($D21),Unidades!S21*$D21,""))</f>
        <v>1218.1365310528665</v>
      </c>
      <c r="F21" s="5">
        <f>IF(Unidades!T21=0,0,IF(ISNUMBER($D21),Unidades!T21*$D21,""))</f>
        <v>4755.6944402902864</v>
      </c>
      <c r="G21" s="5">
        <f>IF(Unidades!U21=0,0,IF(ISNUMBER($D21),Unidades!U21*$D21,""))</f>
        <v>7241.8466933584941</v>
      </c>
      <c r="H21" s="5">
        <f>IF(Unidades!V21=0,0,IF(ISNUMBER($D21),Unidades!V21*$D21,""))</f>
        <v>3019.5416386629995</v>
      </c>
      <c r="I21" s="5">
        <f>IF(Unidades!W21=0,0,IF(ISNUMBER($D21),Unidades!W21*$D21,""))</f>
        <v>7171.8173991584999</v>
      </c>
      <c r="J21" s="5">
        <f>IF(Unidades!X21=0,0,IF(ISNUMBER($D21),Unidades!X21*$D21,""))</f>
        <v>4967.6348148845027</v>
      </c>
      <c r="K21" s="5">
        <f>IF(Unidades!Y21=0,0,IF(ISNUMBER($D21),Unidades!Y21*$D21,""))</f>
        <v>6452.5695748415001</v>
      </c>
      <c r="L21" s="5">
        <f>IF(Unidades!Z21=0,0,IF(ISNUMBER($D21),Unidades!Z21*$D21,""))</f>
        <v>2883.4786848879003</v>
      </c>
      <c r="M21" s="5">
        <f>IF(Unidades!AA21=0,0,IF(ISNUMBER($D21),Unidades!AA21*$D21,""))</f>
        <v>2637.5169585710009</v>
      </c>
      <c r="N21" s="5">
        <f>IF(Unidades!AB21=0,0,IF(ISNUMBER($D21),Unidades!AB21*$D21,""))</f>
        <v>2228.5174371900039</v>
      </c>
      <c r="O21" s="5">
        <f>IF(Unidades!AC21=0,0,IF(ISNUMBER($D21),Unidades!AC21*$D21,""))</f>
        <v>4181.7000413958049</v>
      </c>
      <c r="P21" s="5">
        <f>IF(Unidades!AD21=0,0,IF(ISNUMBER($D21),Unidades!AD21*$D21,""))</f>
        <v>9249.5921023000028</v>
      </c>
      <c r="Q21" s="5">
        <f>IF(AND(Unidades!AE21&gt;0,NOT(ISNUMBER(D21))),"",SUM(E21:P21))</f>
        <v>56008.046316593864</v>
      </c>
    </row>
    <row r="22" spans="1:17">
      <c r="A22" s="1" t="s">
        <v>101</v>
      </c>
      <c r="B22" s="1" t="s">
        <v>102</v>
      </c>
      <c r="C22" s="1" t="s">
        <v>3</v>
      </c>
      <c r="D22" s="5" t="str">
        <f>IF(ISNUMBER(Precios!H22),Precios!H22,"")</f>
        <v/>
      </c>
      <c r="E22" s="5">
        <f>IF(Unidades!S22=0,0,IF(ISNUMBER($D22),Unidades!S22*$D22,""))</f>
        <v>0</v>
      </c>
      <c r="F22" s="5">
        <f>IF(Unidades!T22=0,0,IF(ISNUMBER($D22),Unidades!T22*$D22,""))</f>
        <v>0</v>
      </c>
      <c r="G22" s="5">
        <f>IF(Unidades!U22=0,0,IF(ISNUMBER($D22),Unidades!U22*$D22,""))</f>
        <v>0</v>
      </c>
      <c r="H22" s="5">
        <f>IF(Unidades!V22=0,0,IF(ISNUMBER($D22),Unidades!V22*$D22,""))</f>
        <v>0</v>
      </c>
      <c r="I22" s="5">
        <f>IF(Unidades!W22=0,0,IF(ISNUMBER($D22),Unidades!W22*$D22,""))</f>
        <v>0</v>
      </c>
      <c r="J22" s="5">
        <f>IF(Unidades!X22=0,0,IF(ISNUMBER($D22),Unidades!X22*$D22,""))</f>
        <v>0</v>
      </c>
      <c r="K22" s="5">
        <f>IF(Unidades!Y22=0,0,IF(ISNUMBER($D22),Unidades!Y22*$D22,""))</f>
        <v>0</v>
      </c>
      <c r="L22" s="5">
        <f>IF(Unidades!Z22=0,0,IF(ISNUMBER($D22),Unidades!Z22*$D22,""))</f>
        <v>0</v>
      </c>
      <c r="M22" s="5">
        <f>IF(Unidades!AA22=0,0,IF(ISNUMBER($D22),Unidades!AA22*$D22,""))</f>
        <v>0</v>
      </c>
      <c r="N22" s="5">
        <f>IF(Unidades!AB22=0,0,IF(ISNUMBER($D22),Unidades!AB22*$D22,""))</f>
        <v>0</v>
      </c>
      <c r="O22" s="5">
        <f>IF(Unidades!AC22=0,0,IF(ISNUMBER($D22),Unidades!AC22*$D22,""))</f>
        <v>0</v>
      </c>
      <c r="P22" s="5">
        <f>IF(Unidades!AD22=0,0,IF(ISNUMBER($D22),Unidades!AD22*$D22,""))</f>
        <v>0</v>
      </c>
      <c r="Q22" s="5">
        <f>IF(AND(Unidades!AE22&gt;0,NOT(ISNUMBER(D22))),"",SUM(E22:P22))</f>
        <v>0</v>
      </c>
    </row>
    <row r="23" spans="1:17">
      <c r="A23" s="1" t="s">
        <v>103</v>
      </c>
      <c r="B23" s="1" t="s">
        <v>104</v>
      </c>
      <c r="C23" s="1" t="s">
        <v>3</v>
      </c>
      <c r="D23" s="5">
        <f>IF(ISNUMBER(Precios!H23),Precios!H23,"")</f>
        <v>1.32</v>
      </c>
      <c r="E23" s="5">
        <f>IF(Unidades!S23=0,0,IF(ISNUMBER($D23),Unidades!S23*$D23,""))</f>
        <v>0</v>
      </c>
      <c r="F23" s="5">
        <f>IF(Unidades!T23=0,0,IF(ISNUMBER($D23),Unidades!T23*$D23,""))</f>
        <v>0</v>
      </c>
      <c r="G23" s="5">
        <f>IF(Unidades!U23=0,0,IF(ISNUMBER($D23),Unidades!U23*$D23,""))</f>
        <v>0</v>
      </c>
      <c r="H23" s="5">
        <f>IF(Unidades!V23=0,0,IF(ISNUMBER($D23),Unidades!V23*$D23,""))</f>
        <v>0</v>
      </c>
      <c r="I23" s="5">
        <f>IF(Unidades!W23=0,0,IF(ISNUMBER($D23),Unidades!W23*$D23,""))</f>
        <v>0</v>
      </c>
      <c r="J23" s="5">
        <f>IF(Unidades!X23=0,0,IF(ISNUMBER($D23),Unidades!X23*$D23,""))</f>
        <v>0</v>
      </c>
      <c r="K23" s="5">
        <f>IF(Unidades!Y23=0,0,IF(ISNUMBER($D23),Unidades!Y23*$D23,""))</f>
        <v>0</v>
      </c>
      <c r="L23" s="5">
        <f>IF(Unidades!Z23=0,0,IF(ISNUMBER($D23),Unidades!Z23*$D23,""))</f>
        <v>0</v>
      </c>
      <c r="M23" s="5">
        <f>IF(Unidades!AA23=0,0,IF(ISNUMBER($D23),Unidades!AA23*$D23,""))</f>
        <v>0</v>
      </c>
      <c r="N23" s="5">
        <f>IF(Unidades!AB23=0,0,IF(ISNUMBER($D23),Unidades!AB23*$D23,""))</f>
        <v>0</v>
      </c>
      <c r="O23" s="5">
        <f>IF(Unidades!AC23=0,0,IF(ISNUMBER($D23),Unidades!AC23*$D23,""))</f>
        <v>0</v>
      </c>
      <c r="P23" s="5">
        <f>IF(Unidades!AD23=0,0,IF(ISNUMBER($D23),Unidades!AD23*$D23,""))</f>
        <v>25.41</v>
      </c>
      <c r="Q23" s="5">
        <f>IF(AND(Unidades!AE23&gt;0,NOT(ISNUMBER(D23))),"",SUM(E23:P23))</f>
        <v>25.41</v>
      </c>
    </row>
    <row r="24" spans="1:17">
      <c r="A24" s="1" t="s">
        <v>105</v>
      </c>
      <c r="B24" s="1" t="s">
        <v>106</v>
      </c>
      <c r="C24" s="1" t="s">
        <v>3</v>
      </c>
      <c r="D24" s="5">
        <f>IF(ISNUMBER(Precios!H24),Precios!H24,"")</f>
        <v>0.66299269841269837</v>
      </c>
      <c r="E24" s="5">
        <f>IF(Unidades!S24=0,0,IF(ISNUMBER($D24),Unidades!S24*$D24,""))</f>
        <v>0</v>
      </c>
      <c r="F24" s="5">
        <f>IF(Unidades!T24=0,0,IF(ISNUMBER($D24),Unidades!T24*$D24,""))</f>
        <v>0</v>
      </c>
      <c r="G24" s="5">
        <f>IF(Unidades!U24=0,0,IF(ISNUMBER($D24),Unidades!U24*$D24,""))</f>
        <v>0</v>
      </c>
      <c r="H24" s="5">
        <f>IF(Unidades!V24=0,0,IF(ISNUMBER($D24),Unidades!V24*$D24,""))</f>
        <v>0</v>
      </c>
      <c r="I24" s="5">
        <f>IF(Unidades!W24=0,0,IF(ISNUMBER($D24),Unidades!W24*$D24,""))</f>
        <v>972.22176382253724</v>
      </c>
      <c r="J24" s="5">
        <f>IF(Unidades!X24=0,0,IF(ISNUMBER($D24),Unidades!X24*$D24,""))</f>
        <v>302.3114106222219</v>
      </c>
      <c r="K24" s="5">
        <f>IF(Unidades!Y24=0,0,IF(ISNUMBER($D24),Unidades!Y24*$D24,""))</f>
        <v>117.18395944444444</v>
      </c>
      <c r="L24" s="5">
        <f>IF(Unidades!Z24=0,0,IF(ISNUMBER($D24),Unidades!Z24*$D24,""))</f>
        <v>161.83220822999996</v>
      </c>
      <c r="M24" s="5">
        <f>IF(Unidades!AA24=0,0,IF(ISNUMBER($D24),Unidades!AA24*$D24,""))</f>
        <v>1075.5747121166664</v>
      </c>
      <c r="N24" s="5">
        <f>IF(Unidades!AB24=0,0,IF(ISNUMBER($D24),Unidades!AB24*$D24,""))</f>
        <v>76.57565666666666</v>
      </c>
      <c r="O24" s="5">
        <f>IF(Unidades!AC24=0,0,IF(ISNUMBER($D24),Unidades!AC24*$D24,""))</f>
        <v>144.18500007999947</v>
      </c>
      <c r="P24" s="5">
        <f>IF(Unidades!AD24=0,0,IF(ISNUMBER($D24),Unidades!AD24*$D24,""))</f>
        <v>1074.9597863888889</v>
      </c>
      <c r="Q24" s="5">
        <f>IF(AND(Unidades!AE24&gt;0,NOT(ISNUMBER(D24))),"",SUM(E24:P24))</f>
        <v>3924.8444973714254</v>
      </c>
    </row>
    <row r="25" spans="1:17">
      <c r="A25" s="1" t="s">
        <v>107</v>
      </c>
      <c r="B25" s="1" t="s">
        <v>108</v>
      </c>
      <c r="C25" s="1" t="s">
        <v>3</v>
      </c>
      <c r="D25" s="5">
        <f>IF(ISNUMBER(Precios!H25),Precios!H25,"")</f>
        <v>0.13640000000000002</v>
      </c>
      <c r="E25" s="5">
        <f>IF(Unidades!S25=0,0,IF(ISNUMBER($D25),Unidades!S25*$D25,""))</f>
        <v>3464.2141402958991</v>
      </c>
      <c r="F25" s="5">
        <f>IF(Unidades!T25=0,0,IF(ISNUMBER($D25),Unidades!T25*$D25,""))</f>
        <v>3001.760851074067</v>
      </c>
      <c r="G25" s="5">
        <f>IF(Unidades!U25=0,0,IF(ISNUMBER($D25),Unidades!U25*$D25,""))</f>
        <v>1448.3199703474552</v>
      </c>
      <c r="H25" s="5">
        <f>IF(Unidades!V25=0,0,IF(ISNUMBER($D25),Unidades!V25*$D25,""))</f>
        <v>2638.0121460000005</v>
      </c>
      <c r="I25" s="5">
        <f>IF(Unidades!W25=0,0,IF(ISNUMBER($D25),Unidades!W25*$D25,""))</f>
        <v>2343.9177300148417</v>
      </c>
      <c r="J25" s="5">
        <f>IF(Unidades!X25=0,0,IF(ISNUMBER($D25),Unidades!X25*$D25,""))</f>
        <v>3653.7487096</v>
      </c>
      <c r="K25" s="5">
        <f>IF(Unidades!Y25=0,0,IF(ISNUMBER($D25),Unidades!Y25*$D25,""))</f>
        <v>2151.6779460000021</v>
      </c>
      <c r="L25" s="5">
        <f>IF(Unidades!Z25=0,0,IF(ISNUMBER($D25),Unidades!Z25*$D25,""))</f>
        <v>1777.3915720000018</v>
      </c>
      <c r="M25" s="5">
        <f>IF(Unidades!AA25=0,0,IF(ISNUMBER($D25),Unidades!AA25*$D25,""))</f>
        <v>815.35555199999919</v>
      </c>
      <c r="N25" s="5">
        <f>IF(Unidades!AB25=0,0,IF(ISNUMBER($D25),Unidades!AB25*$D25,""))</f>
        <v>1110.4907792000022</v>
      </c>
      <c r="O25" s="5">
        <f>IF(Unidades!AC25=0,0,IF(ISNUMBER($D25),Unidades!AC25*$D25,""))</f>
        <v>2010.4185595999998</v>
      </c>
      <c r="P25" s="5">
        <f>IF(Unidades!AD25=0,0,IF(ISNUMBER($D25),Unidades!AD25*$D25,""))</f>
        <v>170.3132683999992</v>
      </c>
      <c r="Q25" s="5">
        <f>IF(AND(Unidades!AE25&gt;0,NOT(ISNUMBER(D25))),"",SUM(E25:P25))</f>
        <v>24585.621224532268</v>
      </c>
    </row>
    <row r="26" spans="1:17">
      <c r="A26" s="1" t="s">
        <v>109</v>
      </c>
      <c r="B26" s="1" t="s">
        <v>110</v>
      </c>
      <c r="C26" s="1" t="s">
        <v>3</v>
      </c>
      <c r="D26" s="5">
        <f>IF(ISNUMBER(Precios!H26),Precios!H26,"")</f>
        <v>0.14080000000000001</v>
      </c>
      <c r="E26" s="5">
        <f>IF(Unidades!S26=0,0,IF(ISNUMBER($D26),Unidades!S26*$D26,""))</f>
        <v>447.86367999999999</v>
      </c>
      <c r="F26" s="5">
        <f>IF(Unidades!T26=0,0,IF(ISNUMBER($D26),Unidades!T26*$D26,""))</f>
        <v>0</v>
      </c>
      <c r="G26" s="5">
        <f>IF(Unidades!U26=0,0,IF(ISNUMBER($D26),Unidades!U26*$D26,""))</f>
        <v>0</v>
      </c>
      <c r="H26" s="5">
        <f>IF(Unidades!V26=0,0,IF(ISNUMBER($D26),Unidades!V26*$D26,""))</f>
        <v>0</v>
      </c>
      <c r="I26" s="5">
        <f>IF(Unidades!W26=0,0,IF(ISNUMBER($D26),Unidades!W26*$D26,""))</f>
        <v>447.68768</v>
      </c>
      <c r="J26" s="5">
        <f>IF(Unidades!X26=0,0,IF(ISNUMBER($D26),Unidades!X26*$D26,""))</f>
        <v>241.41567999999992</v>
      </c>
      <c r="K26" s="5">
        <f>IF(Unidades!Y26=0,0,IF(ISNUMBER($D26),Unidades!Y26*$D26,""))</f>
        <v>21.12</v>
      </c>
      <c r="L26" s="5">
        <f>IF(Unidades!Z26=0,0,IF(ISNUMBER($D26),Unidades!Z26*$D26,""))</f>
        <v>232.32000000000002</v>
      </c>
      <c r="M26" s="5">
        <f>IF(Unidades!AA26=0,0,IF(ISNUMBER($D26),Unidades!AA26*$D26,""))</f>
        <v>423.45600000000002</v>
      </c>
      <c r="N26" s="5">
        <f>IF(Unidades!AB26=0,0,IF(ISNUMBER($D26),Unidades!AB26*$D26,""))</f>
        <v>217.07136000000011</v>
      </c>
      <c r="O26" s="5">
        <f>IF(Unidades!AC26=0,0,IF(ISNUMBER($D26),Unidades!AC26*$D26,""))</f>
        <v>428.79936000000015</v>
      </c>
      <c r="P26" s="5">
        <f>IF(Unidades!AD26=0,0,IF(ISNUMBER($D26),Unidades!AD26*$D26,""))</f>
        <v>2417.1206400000001</v>
      </c>
      <c r="Q26" s="5">
        <f>IF(AND(Unidades!AE26&gt;0,NOT(ISNUMBER(D26))),"",SUM(E26:P26))</f>
        <v>4876.8544000000002</v>
      </c>
    </row>
    <row r="27" spans="1:17">
      <c r="A27" s="1" t="s">
        <v>111</v>
      </c>
      <c r="B27" s="1" t="s">
        <v>112</v>
      </c>
      <c r="C27" s="1" t="s">
        <v>3</v>
      </c>
      <c r="D27" s="5">
        <f>IF(ISNUMBER(Precios!H27),Precios!H27,"")</f>
        <v>0.28152482269503554</v>
      </c>
      <c r="E27" s="5">
        <f>IF(Unidades!S27=0,0,IF(ISNUMBER($D27),Unidades!S27*$D27,""))</f>
        <v>0</v>
      </c>
      <c r="F27" s="5">
        <f>IF(Unidades!T27=0,0,IF(ISNUMBER($D27),Unidades!T27*$D27,""))</f>
        <v>0</v>
      </c>
      <c r="G27" s="5">
        <f>IF(Unidades!U27=0,0,IF(ISNUMBER($D27),Unidades!U27*$D27,""))</f>
        <v>40485.521702127669</v>
      </c>
      <c r="H27" s="5">
        <f>IF(Unidades!V27=0,0,IF(ISNUMBER($D27),Unidades!V27*$D27,""))</f>
        <v>26984.04164539008</v>
      </c>
      <c r="I27" s="5">
        <f>IF(Unidades!W27=0,0,IF(ISNUMBER($D27),Unidades!W27*$D27,""))</f>
        <v>6741.2807943262442</v>
      </c>
      <c r="J27" s="5">
        <f>IF(Unidades!X27=0,0,IF(ISNUMBER($D27),Unidades!X27*$D27,""))</f>
        <v>0</v>
      </c>
      <c r="K27" s="5">
        <f>IF(Unidades!Y27=0,0,IF(ISNUMBER($D27),Unidades!Y27*$D27,""))</f>
        <v>0</v>
      </c>
      <c r="L27" s="5">
        <f>IF(Unidades!Z27=0,0,IF(ISNUMBER($D27),Unidades!Z27*$D27,""))</f>
        <v>0</v>
      </c>
      <c r="M27" s="5">
        <f>IF(Unidades!AA27=0,0,IF(ISNUMBER($D27),Unidades!AA27*$D27,""))</f>
        <v>0</v>
      </c>
      <c r="N27" s="5">
        <f>IF(Unidades!AB27=0,0,IF(ISNUMBER($D27),Unidades!AB27*$D27,""))</f>
        <v>0</v>
      </c>
      <c r="O27" s="5">
        <f>IF(Unidades!AC27=0,0,IF(ISNUMBER($D27),Unidades!AC27*$D27,""))</f>
        <v>0</v>
      </c>
      <c r="P27" s="5">
        <f>IF(Unidades!AD27=0,0,IF(ISNUMBER($D27),Unidades!AD27*$D27,""))</f>
        <v>0</v>
      </c>
      <c r="Q27" s="5">
        <f>IF(AND(Unidades!AE27&gt;0,NOT(ISNUMBER(D27))),"",SUM(E27:P27))</f>
        <v>74210.844141843991</v>
      </c>
    </row>
    <row r="28" spans="1:17">
      <c r="A28" s="1" t="s">
        <v>113</v>
      </c>
      <c r="B28" s="1" t="s">
        <v>114</v>
      </c>
      <c r="C28" s="1" t="s">
        <v>3</v>
      </c>
      <c r="D28" s="5">
        <f>IF(ISNUMBER(Precios!H28),Precios!H28,"")</f>
        <v>0.57200000000000006</v>
      </c>
      <c r="E28" s="5">
        <f>IF(Unidades!S28=0,0,IF(ISNUMBER($D28),Unidades!S28*$D28,""))</f>
        <v>430.76735081320271</v>
      </c>
      <c r="F28" s="5">
        <f>IF(Unidades!T28=0,0,IF(ISNUMBER($D28),Unidades!T28*$D28,""))</f>
        <v>141.35096430787027</v>
      </c>
      <c r="G28" s="5">
        <f>IF(Unidades!U28=0,0,IF(ISNUMBER($D28),Unidades!U28*$D28,""))</f>
        <v>690.43260000000021</v>
      </c>
      <c r="H28" s="5">
        <f>IF(Unidades!V28=0,0,IF(ISNUMBER($D28),Unidades!V28*$D28,""))</f>
        <v>19.631040000000095</v>
      </c>
      <c r="I28" s="5">
        <f>IF(Unidades!W28=0,0,IF(ISNUMBER($D28),Unidades!W28*$D28,""))</f>
        <v>203.67204000000012</v>
      </c>
      <c r="J28" s="5">
        <f>IF(Unidades!X28=0,0,IF(ISNUMBER($D28),Unidades!X28*$D28,""))</f>
        <v>693.73418399999991</v>
      </c>
      <c r="K28" s="5">
        <f>IF(Unidades!Y28=0,0,IF(ISNUMBER($D28),Unidades!Y28*$D28,""))</f>
        <v>96.816720000000132</v>
      </c>
      <c r="L28" s="5">
        <f>IF(Unidades!Z28=0,0,IF(ISNUMBER($D28),Unidades!Z28*$D28,""))</f>
        <v>256.98815999999988</v>
      </c>
      <c r="M28" s="5">
        <f>IF(Unidades!AA28=0,0,IF(ISNUMBER($D28),Unidades!AA28*$D28,""))</f>
        <v>0</v>
      </c>
      <c r="N28" s="5">
        <f>IF(Unidades!AB28=0,0,IF(ISNUMBER($D28),Unidades!AB28*$D28,""))</f>
        <v>423.58430400000015</v>
      </c>
      <c r="O28" s="5">
        <f>IF(Unidades!AC28=0,0,IF(ISNUMBER($D28),Unidades!AC28*$D28,""))</f>
        <v>534.32121599999994</v>
      </c>
      <c r="P28" s="5">
        <f>IF(Unidades!AD28=0,0,IF(ISNUMBER($D28),Unidades!AD28*$D28,""))</f>
        <v>73.527167999999932</v>
      </c>
      <c r="Q28" s="5">
        <f>IF(AND(Unidades!AE28&gt;0,NOT(ISNUMBER(D28))),"",SUM(E28:P28))</f>
        <v>3564.8257471210732</v>
      </c>
    </row>
    <row r="29" spans="1:17">
      <c r="A29" s="1" t="s">
        <v>115</v>
      </c>
      <c r="B29" s="1" t="s">
        <v>116</v>
      </c>
      <c r="C29" s="1" t="s">
        <v>3</v>
      </c>
      <c r="D29" s="5">
        <f>IF(ISNUMBER(Precios!H29),Precios!H29,"")</f>
        <v>0.28600000000000003</v>
      </c>
      <c r="E29" s="5">
        <f>IF(Unidades!S29=0,0,IF(ISNUMBER($D29),Unidades!S29*$D29,""))</f>
        <v>0</v>
      </c>
      <c r="F29" s="5">
        <f>IF(Unidades!T29=0,0,IF(ISNUMBER($D29),Unidades!T29*$D29,""))</f>
        <v>0</v>
      </c>
      <c r="G29" s="5">
        <f>IF(Unidades!U29=0,0,IF(ISNUMBER($D29),Unidades!U29*$D29,""))</f>
        <v>143.00000000000003</v>
      </c>
      <c r="H29" s="5">
        <f>IF(Unidades!V29=0,0,IF(ISNUMBER($D29),Unidades!V29*$D29,""))</f>
        <v>0</v>
      </c>
      <c r="I29" s="5">
        <f>IF(Unidades!W29=0,0,IF(ISNUMBER($D29),Unidades!W29*$D29,""))</f>
        <v>0</v>
      </c>
      <c r="J29" s="5">
        <f>IF(Unidades!X29=0,0,IF(ISNUMBER($D29),Unidades!X29*$D29,""))</f>
        <v>0</v>
      </c>
      <c r="K29" s="5">
        <f>IF(Unidades!Y29=0,0,IF(ISNUMBER($D29),Unidades!Y29*$D29,""))</f>
        <v>0</v>
      </c>
      <c r="L29" s="5">
        <f>IF(Unidades!Z29=0,0,IF(ISNUMBER($D29),Unidades!Z29*$D29,""))</f>
        <v>0</v>
      </c>
      <c r="M29" s="5">
        <f>IF(Unidades!AA29=0,0,IF(ISNUMBER($D29),Unidades!AA29*$D29,""))</f>
        <v>0</v>
      </c>
      <c r="N29" s="5">
        <f>IF(Unidades!AB29=0,0,IF(ISNUMBER($D29),Unidades!AB29*$D29,""))</f>
        <v>0</v>
      </c>
      <c r="O29" s="5">
        <f>IF(Unidades!AC29=0,0,IF(ISNUMBER($D29),Unidades!AC29*$D29,""))</f>
        <v>0</v>
      </c>
      <c r="P29" s="5">
        <f>IF(Unidades!AD29=0,0,IF(ISNUMBER($D29),Unidades!AD29*$D29,""))</f>
        <v>0</v>
      </c>
      <c r="Q29" s="5">
        <f>IF(AND(Unidades!AE29&gt;0,NOT(ISNUMBER(D29))),"",SUM(E29:P29))</f>
        <v>143.00000000000003</v>
      </c>
    </row>
    <row r="30" spans="1:17">
      <c r="A30" s="1" t="s">
        <v>117</v>
      </c>
      <c r="B30" s="1" t="s">
        <v>118</v>
      </c>
      <c r="C30" s="1" t="s">
        <v>3</v>
      </c>
      <c r="D30" s="5">
        <f>IF(ISNUMBER(Precios!H30),Precios!H30,"")</f>
        <v>6.5450000000000008</v>
      </c>
      <c r="E30" s="5">
        <f>IF(Unidades!S30=0,0,IF(ISNUMBER($D30),Unidades!S30*$D30,""))</f>
        <v>0</v>
      </c>
      <c r="F30" s="5">
        <f>IF(Unidades!T30=0,0,IF(ISNUMBER($D30),Unidades!T30*$D30,""))</f>
        <v>0</v>
      </c>
      <c r="G30" s="5">
        <f>IF(Unidades!U30=0,0,IF(ISNUMBER($D30),Unidades!U30*$D30,""))</f>
        <v>204.04218160789816</v>
      </c>
      <c r="H30" s="5">
        <f>IF(Unidades!V30=0,0,IF(ISNUMBER($D30),Unidades!V30*$D30,""))</f>
        <v>0</v>
      </c>
      <c r="I30" s="5">
        <f>IF(Unidades!W30=0,0,IF(ISNUMBER($D30),Unidades!W30*$D30,""))</f>
        <v>704.97504000000015</v>
      </c>
      <c r="J30" s="5">
        <f>IF(Unidades!X30=0,0,IF(ISNUMBER($D30),Unidades!X30*$D30,""))</f>
        <v>823.62280000000055</v>
      </c>
      <c r="K30" s="5">
        <f>IF(Unidades!Y30=0,0,IF(ISNUMBER($D30),Unidades!Y30*$D30,""))</f>
        <v>287.98</v>
      </c>
      <c r="L30" s="5">
        <f>IF(Unidades!Z30=0,0,IF(ISNUMBER($D30),Unidades!Z30*$D30,""))</f>
        <v>0</v>
      </c>
      <c r="M30" s="5">
        <f>IF(Unidades!AA30=0,0,IF(ISNUMBER($D30),Unidades!AA30*$D30,""))</f>
        <v>0</v>
      </c>
      <c r="N30" s="5">
        <f>IF(Unidades!AB30=0,0,IF(ISNUMBER($D30),Unidades!AB30*$D30,""))</f>
        <v>118.07179999999978</v>
      </c>
      <c r="O30" s="5">
        <f>IF(Unidades!AC30=0,0,IF(ISNUMBER($D30),Unidades!AC30*$D30,""))</f>
        <v>871.13950000000023</v>
      </c>
      <c r="P30" s="5">
        <f>IF(Unidades!AD30=0,0,IF(ISNUMBER($D30),Unidades!AD30*$D30,""))</f>
        <v>0</v>
      </c>
      <c r="Q30" s="5">
        <f>IF(AND(Unidades!AE30&gt;0,NOT(ISNUMBER(D30))),"",SUM(E30:P30))</f>
        <v>3009.8313216078991</v>
      </c>
    </row>
    <row r="31" spans="1:17">
      <c r="A31" s="1" t="s">
        <v>119</v>
      </c>
      <c r="B31" s="1" t="s">
        <v>120</v>
      </c>
      <c r="C31" s="1" t="s">
        <v>3</v>
      </c>
      <c r="D31" s="5">
        <f>IF(ISNUMBER(Precios!H31),Precios!H31,"")</f>
        <v>2.915</v>
      </c>
      <c r="E31" s="5">
        <f>IF(Unidades!S31=0,0,IF(ISNUMBER($D31),Unidades!S31*$D31,""))</f>
        <v>0</v>
      </c>
      <c r="F31" s="5">
        <f>IF(Unidades!T31=0,0,IF(ISNUMBER($D31),Unidades!T31*$D31,""))</f>
        <v>0</v>
      </c>
      <c r="G31" s="5">
        <f>IF(Unidades!U31=0,0,IF(ISNUMBER($D31),Unidades!U31*$D31,""))</f>
        <v>0</v>
      </c>
      <c r="H31" s="5">
        <f>IF(Unidades!V31=0,0,IF(ISNUMBER($D31),Unidades!V31*$D31,""))</f>
        <v>0</v>
      </c>
      <c r="I31" s="5">
        <f>IF(Unidades!W31=0,0,IF(ISNUMBER($D31),Unidades!W31*$D31,""))</f>
        <v>67.910832959450772</v>
      </c>
      <c r="J31" s="5">
        <f>IF(Unidades!X31=0,0,IF(ISNUMBER($D31),Unidades!X31*$D31,""))</f>
        <v>216.75940000000006</v>
      </c>
      <c r="K31" s="5">
        <f>IF(Unidades!Y31=0,0,IF(ISNUMBER($D31),Unidades!Y31*$D31,""))</f>
        <v>75.790000000000006</v>
      </c>
      <c r="L31" s="5">
        <f>IF(Unidades!Z31=0,0,IF(ISNUMBER($D31),Unidades!Z31*$D31,""))</f>
        <v>0</v>
      </c>
      <c r="M31" s="5">
        <f>IF(Unidades!AA31=0,0,IF(ISNUMBER($D31),Unidades!AA31*$D31,""))</f>
        <v>0</v>
      </c>
      <c r="N31" s="5">
        <f>IF(Unidades!AB31=0,0,IF(ISNUMBER($D31),Unidades!AB31*$D31,""))</f>
        <v>31.073900000000073</v>
      </c>
      <c r="O31" s="5">
        <f>IF(Unidades!AC31=0,0,IF(ISNUMBER($D31),Unidades!AC31*$D31,""))</f>
        <v>229.26475000000011</v>
      </c>
      <c r="P31" s="5">
        <f>IF(Unidades!AD31=0,0,IF(ISNUMBER($D31),Unidades!AD31*$D31,""))</f>
        <v>0</v>
      </c>
      <c r="Q31" s="5">
        <f>IF(AND(Unidades!AE31&gt;0,NOT(ISNUMBER(D31))),"",SUM(E31:P31))</f>
        <v>620.79888295945102</v>
      </c>
    </row>
    <row r="32" spans="1:17">
      <c r="A32" s="1" t="s">
        <v>121</v>
      </c>
      <c r="B32" s="1" t="s">
        <v>122</v>
      </c>
      <c r="C32" s="1" t="s">
        <v>3</v>
      </c>
      <c r="D32" s="5">
        <f>IF(ISNUMBER(Precios!H32),Precios!H32,"")</f>
        <v>0.627</v>
      </c>
      <c r="E32" s="5">
        <f>IF(Unidades!S32=0,0,IF(ISNUMBER($D32),Unidades!S32*$D32,""))</f>
        <v>706.00199999999995</v>
      </c>
      <c r="F32" s="5">
        <f>IF(Unidades!T32=0,0,IF(ISNUMBER($D32),Unidades!T32*$D32,""))</f>
        <v>886.09993077765807</v>
      </c>
      <c r="G32" s="5">
        <f>IF(Unidades!U32=0,0,IF(ISNUMBER($D32),Unidades!U32*$D32,""))</f>
        <v>989.7253682686212</v>
      </c>
      <c r="H32" s="5">
        <f>IF(Unidades!V32=0,0,IF(ISNUMBER($D32),Unidades!V32*$D32,""))</f>
        <v>1184.5033199999998</v>
      </c>
      <c r="I32" s="5">
        <f>IF(Unidades!W32=0,0,IF(ISNUMBER($D32),Unidades!W32*$D32,""))</f>
        <v>1073.52432</v>
      </c>
      <c r="J32" s="5">
        <f>IF(Unidades!X32=0,0,IF(ISNUMBER($D32),Unidades!X32*$D32,""))</f>
        <v>1327.3589999999999</v>
      </c>
      <c r="K32" s="5">
        <f>IF(Unidades!Y32=0,0,IF(ISNUMBER($D32),Unidades!Y32*$D32,""))</f>
        <v>1012.5611100000002</v>
      </c>
      <c r="L32" s="5">
        <f>IF(Unidades!Z32=0,0,IF(ISNUMBER($D32),Unidades!Z32*$D32,""))</f>
        <v>638.91300000000001</v>
      </c>
      <c r="M32" s="5">
        <f>IF(Unidades!AA32=0,0,IF(ISNUMBER($D32),Unidades!AA32*$D32,""))</f>
        <v>390.7965600000004</v>
      </c>
      <c r="N32" s="5">
        <f>IF(Unidades!AB32=0,0,IF(ISNUMBER($D32),Unidades!AB32*$D32,""))</f>
        <v>1569.9829199999995</v>
      </c>
      <c r="O32" s="5">
        <f>IF(Unidades!AC32=0,0,IF(ISNUMBER($D32),Unidades!AC32*$D32,""))</f>
        <v>1751.2611599999989</v>
      </c>
      <c r="P32" s="5">
        <f>IF(Unidades!AD32=0,0,IF(ISNUMBER($D32),Unidades!AD32*$D32,""))</f>
        <v>580.40136000000018</v>
      </c>
      <c r="Q32" s="5">
        <f>IF(AND(Unidades!AE32&gt;0,NOT(ISNUMBER(D32))),"",SUM(E32:P32))</f>
        <v>12111.130049046278</v>
      </c>
    </row>
    <row r="33" spans="1:17">
      <c r="A33" s="1" t="s">
        <v>123</v>
      </c>
      <c r="B33" s="1" t="s">
        <v>124</v>
      </c>
      <c r="C33" s="1" t="s">
        <v>3</v>
      </c>
      <c r="D33" s="5">
        <f>IF(ISNUMBER(Precios!H33),Precios!H33,"")</f>
        <v>0.98450000000000015</v>
      </c>
      <c r="E33" s="5">
        <f>IF(Unidades!S33=0,0,IF(ISNUMBER($D33),Unidades!S33*$D33,""))</f>
        <v>16015.443850149273</v>
      </c>
      <c r="F33" s="5">
        <f>IF(Unidades!T33=0,0,IF(ISNUMBER($D33),Unidades!T33*$D33,""))</f>
        <v>21851.60429532755</v>
      </c>
      <c r="G33" s="5">
        <f>IF(Unidades!U33=0,0,IF(ISNUMBER($D33),Unidades!U33*$D33,""))</f>
        <v>62666.907595207987</v>
      </c>
      <c r="H33" s="5">
        <f>IF(Unidades!V33=0,0,IF(ISNUMBER($D33),Unidades!V33*$D33,""))</f>
        <v>31236.107562648514</v>
      </c>
      <c r="I33" s="5">
        <f>IF(Unidades!W33=0,0,IF(ISNUMBER($D33),Unidades!W33*$D33,""))</f>
        <v>95832.88984655503</v>
      </c>
      <c r="J33" s="5">
        <f>IF(Unidades!X33=0,0,IF(ISNUMBER($D33),Unidades!X33*$D33,""))</f>
        <v>69282.272189768482</v>
      </c>
      <c r="K33" s="5">
        <f>IF(Unidades!Y33=0,0,IF(ISNUMBER($D33),Unidades!Y33*$D33,""))</f>
        <v>49059.396131240726</v>
      </c>
      <c r="L33" s="5">
        <f>IF(Unidades!Z33=0,0,IF(ISNUMBER($D33),Unidades!Z33*$D33,""))</f>
        <v>17391.510890308247</v>
      </c>
      <c r="M33" s="5">
        <f>IF(Unidades!AA33=0,0,IF(ISNUMBER($D33),Unidades!AA33*$D33,""))</f>
        <v>13290.539129194733</v>
      </c>
      <c r="N33" s="5">
        <f>IF(Unidades!AB33=0,0,IF(ISNUMBER($D33),Unidades!AB33*$D33,""))</f>
        <v>14624.565880308299</v>
      </c>
      <c r="O33" s="5">
        <f>IF(Unidades!AC33=0,0,IF(ISNUMBER($D33),Unidades!AC33*$D33,""))</f>
        <v>24727.887396410722</v>
      </c>
      <c r="P33" s="5">
        <f>IF(Unidades!AD33=0,0,IF(ISNUMBER($D33),Unidades!AD33*$D33,""))</f>
        <v>54990.404208383188</v>
      </c>
      <c r="Q33" s="5">
        <f>IF(AND(Unidades!AE33&gt;0,NOT(ISNUMBER(D33))),"",SUM(E33:P33))</f>
        <v>470969.52897550276</v>
      </c>
    </row>
    <row r="34" spans="1:17">
      <c r="A34" s="1" t="s">
        <v>125</v>
      </c>
      <c r="B34" s="1" t="s">
        <v>126</v>
      </c>
      <c r="C34" s="1" t="s">
        <v>3</v>
      </c>
      <c r="D34" s="5">
        <f>IF(ISNUMBER(Precios!H34),Precios!H34,"")</f>
        <v>1.9250000000000003</v>
      </c>
      <c r="E34" s="5">
        <f>IF(Unidades!S34=0,0,IF(ISNUMBER($D34),Unidades!S34*$D34,""))</f>
        <v>131.95875000000001</v>
      </c>
      <c r="F34" s="5">
        <f>IF(Unidades!T34=0,0,IF(ISNUMBER($D34),Unidades!T34*$D34,""))</f>
        <v>119.92750000000001</v>
      </c>
      <c r="G34" s="5">
        <f>IF(Unidades!U34=0,0,IF(ISNUMBER($D34),Unidades!U34*$D34,""))</f>
        <v>82.589807883506779</v>
      </c>
      <c r="H34" s="5">
        <f>IF(Unidades!V34=0,0,IF(ISNUMBER($D34),Unidades!V34*$D34,""))</f>
        <v>215.58075000000005</v>
      </c>
      <c r="I34" s="5">
        <f>IF(Unidades!W34=0,0,IF(ISNUMBER($D34),Unidades!W34*$D34,""))</f>
        <v>492.78075000000018</v>
      </c>
      <c r="J34" s="5">
        <f>IF(Unidades!X34=0,0,IF(ISNUMBER($D34),Unidades!X34*$D34,""))</f>
        <v>97.21250000000002</v>
      </c>
      <c r="K34" s="5">
        <f>IF(Unidades!Y34=0,0,IF(ISNUMBER($D34),Unidades!Y34*$D34,""))</f>
        <v>87.799250000000043</v>
      </c>
      <c r="L34" s="5">
        <f>IF(Unidades!Z34=0,0,IF(ISNUMBER($D34),Unidades!Z34*$D34,""))</f>
        <v>72.668750000000017</v>
      </c>
      <c r="M34" s="5">
        <f>IF(Unidades!AA34=0,0,IF(ISNUMBER($D34),Unidades!AA34*$D34,""))</f>
        <v>359.07024999999999</v>
      </c>
      <c r="N34" s="5">
        <f>IF(Unidades!AB34=0,0,IF(ISNUMBER($D34),Unidades!AB34*$D34,""))</f>
        <v>16.9785000000001</v>
      </c>
      <c r="O34" s="5">
        <f>IF(Unidades!AC34=0,0,IF(ISNUMBER($D34),Unidades!AC34*$D34,""))</f>
        <v>105.89425</v>
      </c>
      <c r="P34" s="5">
        <f>IF(Unidades!AD34=0,0,IF(ISNUMBER($D34),Unidades!AD34*$D34,""))</f>
        <v>690.61300000000006</v>
      </c>
      <c r="Q34" s="5">
        <f>IF(AND(Unidades!AE34&gt;0,NOT(ISNUMBER(D34))),"",SUM(E34:P34))</f>
        <v>2473.0740578835075</v>
      </c>
    </row>
    <row r="35" spans="1:17">
      <c r="A35" s="1" t="s">
        <v>127</v>
      </c>
      <c r="B35" s="1" t="s">
        <v>128</v>
      </c>
      <c r="C35" s="1" t="s">
        <v>3</v>
      </c>
      <c r="D35" s="5">
        <f>IF(ISNUMBER(Precios!H35),Precios!H35,"")</f>
        <v>1.2100000000000002</v>
      </c>
      <c r="E35" s="5">
        <f>IF(Unidades!S35=0,0,IF(ISNUMBER($D35),Unidades!S35*$D35,""))</f>
        <v>423.53456333673307</v>
      </c>
      <c r="F35" s="5">
        <f>IF(Unidades!T35=0,0,IF(ISNUMBER($D35),Unidades!T35*$D35,""))</f>
        <v>880.80882182054575</v>
      </c>
      <c r="G35" s="5">
        <f>IF(Unidades!U35=0,0,IF(ISNUMBER($D35),Unidades!U35*$D35,""))</f>
        <v>567.30191402470143</v>
      </c>
      <c r="H35" s="5">
        <f>IF(Unidades!V35=0,0,IF(ISNUMBER($D35),Unidades!V35*$D35,""))</f>
        <v>743.51172500000018</v>
      </c>
      <c r="I35" s="5">
        <f>IF(Unidades!W35=0,0,IF(ISNUMBER($D35),Unidades!W35*$D35,""))</f>
        <v>684.91176379999979</v>
      </c>
      <c r="J35" s="5">
        <f>IF(Unidades!X35=0,0,IF(ISNUMBER($D35),Unidades!X35*$D35,""))</f>
        <v>1282.2747278000004</v>
      </c>
      <c r="K35" s="5">
        <f>IF(Unidades!Y35=0,0,IF(ISNUMBER($D35),Unidades!Y35*$D35,""))</f>
        <v>736.31391899999971</v>
      </c>
      <c r="L35" s="5">
        <f>IF(Unidades!Z35=0,0,IF(ISNUMBER($D35),Unidades!Z35*$D35,""))</f>
        <v>484.82280000000043</v>
      </c>
      <c r="M35" s="5">
        <f>IF(Unidades!AA35=0,0,IF(ISNUMBER($D35),Unidades!AA35*$D35,""))</f>
        <v>396.74460100000022</v>
      </c>
      <c r="N35" s="5">
        <f>IF(Unidades!AB35=0,0,IF(ISNUMBER($D35),Unidades!AB35*$D35,""))</f>
        <v>574.1850509999997</v>
      </c>
      <c r="O35" s="5">
        <f>IF(Unidades!AC35=0,0,IF(ISNUMBER($D35),Unidades!AC35*$D35,""))</f>
        <v>567.3237460000006</v>
      </c>
      <c r="P35" s="5">
        <f>IF(Unidades!AD35=0,0,IF(ISNUMBER($D35),Unidades!AD35*$D35,""))</f>
        <v>1645.3996239999999</v>
      </c>
      <c r="Q35" s="5">
        <f>IF(AND(Unidades!AE35&gt;0,NOT(ISNUMBER(D35))),"",SUM(E35:P35))</f>
        <v>8987.1332567819827</v>
      </c>
    </row>
    <row r="36" spans="1:17">
      <c r="A36" s="1" t="s">
        <v>129</v>
      </c>
      <c r="B36" s="1" t="s">
        <v>130</v>
      </c>
      <c r="C36" s="1" t="s">
        <v>3</v>
      </c>
      <c r="D36" s="5">
        <f>IF(ISNUMBER(Precios!H36),Precios!H36,"")</f>
        <v>4.3450000000000006</v>
      </c>
      <c r="E36" s="5">
        <f>IF(Unidades!S36=0,0,IF(ISNUMBER($D36),Unidades!S36*$D36,""))</f>
        <v>0</v>
      </c>
      <c r="F36" s="5">
        <f>IF(Unidades!T36=0,0,IF(ISNUMBER($D36),Unidades!T36*$D36,""))</f>
        <v>0</v>
      </c>
      <c r="G36" s="5">
        <f>IF(Unidades!U36=0,0,IF(ISNUMBER($D36),Unidades!U36*$D36,""))</f>
        <v>0</v>
      </c>
      <c r="H36" s="5">
        <f>IF(Unidades!V36=0,0,IF(ISNUMBER($D36),Unidades!V36*$D36,""))</f>
        <v>0</v>
      </c>
      <c r="I36" s="5">
        <f>IF(Unidades!W36=0,0,IF(ISNUMBER($D36),Unidades!W36*$D36,""))</f>
        <v>67.353097398405382</v>
      </c>
      <c r="J36" s="5">
        <f>IF(Unidades!X36=0,0,IF(ISNUMBER($D36),Unidades!X36*$D36,""))</f>
        <v>0</v>
      </c>
      <c r="K36" s="5">
        <f>IF(Unidades!Y36=0,0,IF(ISNUMBER($D36),Unidades!Y36*$D36,""))</f>
        <v>10.593110000000012</v>
      </c>
      <c r="L36" s="5">
        <f>IF(Unidades!Z36=0,0,IF(ISNUMBER($D36),Unidades!Z36*$D36,""))</f>
        <v>10.593110000000012</v>
      </c>
      <c r="M36" s="5">
        <f>IF(Unidades!AA36=0,0,IF(ISNUMBER($D36),Unidades!AA36*$D36,""))</f>
        <v>0</v>
      </c>
      <c r="N36" s="5">
        <f>IF(Unidades!AB36=0,0,IF(ISNUMBER($D36),Unidades!AB36*$D36,""))</f>
        <v>347.6</v>
      </c>
      <c r="O36" s="5">
        <f>IF(Unidades!AC36=0,0,IF(ISNUMBER($D36),Unidades!AC36*$D36,""))</f>
        <v>1306.0461700000003</v>
      </c>
      <c r="P36" s="5">
        <f>IF(Unidades!AD36=0,0,IF(ISNUMBER($D36),Unidades!AD36*$D36,""))</f>
        <v>347.6</v>
      </c>
      <c r="Q36" s="5">
        <f>IF(AND(Unidades!AE36&gt;0,NOT(ISNUMBER(D36))),"",SUM(E36:P36))</f>
        <v>2089.7854873984056</v>
      </c>
    </row>
    <row r="37" spans="1:17">
      <c r="A37" s="1" t="s">
        <v>131</v>
      </c>
      <c r="B37" s="1" t="s">
        <v>132</v>
      </c>
      <c r="C37" s="1" t="s">
        <v>3</v>
      </c>
      <c r="D37" s="5" t="str">
        <f>IF(ISNUMBER(Precios!H37),Precios!H37,"")</f>
        <v/>
      </c>
      <c r="E37" s="5">
        <f>IF(Unidades!S37=0,0,IF(ISNUMBER($D37),Unidades!S37*$D37,""))</f>
        <v>0</v>
      </c>
      <c r="F37" s="5">
        <f>IF(Unidades!T37=0,0,IF(ISNUMBER($D37),Unidades!T37*$D37,""))</f>
        <v>0</v>
      </c>
      <c r="G37" s="5">
        <f>IF(Unidades!U37=0,0,IF(ISNUMBER($D37),Unidades!U37*$D37,""))</f>
        <v>0</v>
      </c>
      <c r="H37" s="5">
        <f>IF(Unidades!V37=0,0,IF(ISNUMBER($D37),Unidades!V37*$D37,""))</f>
        <v>0</v>
      </c>
      <c r="I37" s="5">
        <f>IF(Unidades!W37=0,0,IF(ISNUMBER($D37),Unidades!W37*$D37,""))</f>
        <v>0</v>
      </c>
      <c r="J37" s="5">
        <f>IF(Unidades!X37=0,0,IF(ISNUMBER($D37),Unidades!X37*$D37,""))</f>
        <v>0</v>
      </c>
      <c r="K37" s="5">
        <f>IF(Unidades!Y37=0,0,IF(ISNUMBER($D37),Unidades!Y37*$D37,""))</f>
        <v>0</v>
      </c>
      <c r="L37" s="5">
        <f>IF(Unidades!Z37=0,0,IF(ISNUMBER($D37),Unidades!Z37*$D37,""))</f>
        <v>0</v>
      </c>
      <c r="M37" s="5">
        <f>IF(Unidades!AA37=0,0,IF(ISNUMBER($D37),Unidades!AA37*$D37,""))</f>
        <v>0</v>
      </c>
      <c r="N37" s="5">
        <f>IF(Unidades!AB37=0,0,IF(ISNUMBER($D37),Unidades!AB37*$D37,""))</f>
        <v>0</v>
      </c>
      <c r="O37" s="5">
        <f>IF(Unidades!AC37=0,0,IF(ISNUMBER($D37),Unidades!AC37*$D37,""))</f>
        <v>0</v>
      </c>
      <c r="P37" s="5">
        <f>IF(Unidades!AD37=0,0,IF(ISNUMBER($D37),Unidades!AD37*$D37,""))</f>
        <v>0</v>
      </c>
      <c r="Q37" s="5">
        <f>IF(AND(Unidades!AE37&gt;0,NOT(ISNUMBER(D37))),"",SUM(E37:P37))</f>
        <v>0</v>
      </c>
    </row>
    <row r="38" spans="1:17">
      <c r="A38" s="1" t="s">
        <v>133</v>
      </c>
      <c r="B38" s="1" t="s">
        <v>134</v>
      </c>
      <c r="C38" s="1" t="s">
        <v>3</v>
      </c>
      <c r="D38" s="5" t="str">
        <f>IF(ISNUMBER(Precios!H38),Precios!H38,"")</f>
        <v/>
      </c>
      <c r="E38" s="5">
        <f>IF(Unidades!S38=0,0,IF(ISNUMBER($D38),Unidades!S38*$D38,""))</f>
        <v>0</v>
      </c>
      <c r="F38" s="5">
        <f>IF(Unidades!T38=0,0,IF(ISNUMBER($D38),Unidades!T38*$D38,""))</f>
        <v>0</v>
      </c>
      <c r="G38" s="5">
        <f>IF(Unidades!U38=0,0,IF(ISNUMBER($D38),Unidades!U38*$D38,""))</f>
        <v>0</v>
      </c>
      <c r="H38" s="5">
        <f>IF(Unidades!V38=0,0,IF(ISNUMBER($D38),Unidades!V38*$D38,""))</f>
        <v>0</v>
      </c>
      <c r="I38" s="5">
        <f>IF(Unidades!W38=0,0,IF(ISNUMBER($D38),Unidades!W38*$D38,""))</f>
        <v>0</v>
      </c>
      <c r="J38" s="5">
        <f>IF(Unidades!X38=0,0,IF(ISNUMBER($D38),Unidades!X38*$D38,""))</f>
        <v>0</v>
      </c>
      <c r="K38" s="5">
        <f>IF(Unidades!Y38=0,0,IF(ISNUMBER($D38),Unidades!Y38*$D38,""))</f>
        <v>0</v>
      </c>
      <c r="L38" s="5">
        <f>IF(Unidades!Z38=0,0,IF(ISNUMBER($D38),Unidades!Z38*$D38,""))</f>
        <v>0</v>
      </c>
      <c r="M38" s="5">
        <f>IF(Unidades!AA38=0,0,IF(ISNUMBER($D38),Unidades!AA38*$D38,""))</f>
        <v>0</v>
      </c>
      <c r="N38" s="5">
        <f>IF(Unidades!AB38=0,0,IF(ISNUMBER($D38),Unidades!AB38*$D38,""))</f>
        <v>0</v>
      </c>
      <c r="O38" s="5">
        <f>IF(Unidades!AC38=0,0,IF(ISNUMBER($D38),Unidades!AC38*$D38,""))</f>
        <v>0</v>
      </c>
      <c r="P38" s="5">
        <f>IF(Unidades!AD38=0,0,IF(ISNUMBER($D38),Unidades!AD38*$D38,""))</f>
        <v>0</v>
      </c>
      <c r="Q38" s="5">
        <f>IF(AND(Unidades!AE38&gt;0,NOT(ISNUMBER(D38))),"",SUM(E38:P38))</f>
        <v>0</v>
      </c>
    </row>
    <row r="39" spans="1:17">
      <c r="A39" s="1" t="s">
        <v>135</v>
      </c>
      <c r="B39" s="1" t="s">
        <v>136</v>
      </c>
      <c r="C39" s="1" t="s">
        <v>3</v>
      </c>
      <c r="D39" s="5">
        <f>IF(ISNUMBER(Precios!H39),Precios!H39,"")</f>
        <v>5.8849999999999998</v>
      </c>
      <c r="E39" s="5">
        <f>IF(Unidades!S39=0,0,IF(ISNUMBER($D39),Unidades!S39*$D39,""))</f>
        <v>0</v>
      </c>
      <c r="F39" s="5">
        <f>IF(Unidades!T39=0,0,IF(ISNUMBER($D39),Unidades!T39*$D39,""))</f>
        <v>0</v>
      </c>
      <c r="G39" s="5">
        <f>IF(Unidades!U39=0,0,IF(ISNUMBER($D39),Unidades!U39*$D39,""))</f>
        <v>0</v>
      </c>
      <c r="H39" s="5">
        <f>IF(Unidades!V39=0,0,IF(ISNUMBER($D39),Unidades!V39*$D39,""))</f>
        <v>0</v>
      </c>
      <c r="I39" s="5">
        <f>IF(Unidades!W39=0,0,IF(ISNUMBER($D39),Unidades!W39*$D39,""))</f>
        <v>470.79999999999995</v>
      </c>
      <c r="J39" s="5">
        <f>IF(Unidades!X39=0,0,IF(ISNUMBER($D39),Unidades!X39*$D39,""))</f>
        <v>0</v>
      </c>
      <c r="K39" s="5">
        <f>IF(Unidades!Y39=0,0,IF(ISNUMBER($D39),Unidades!Y39*$D39,""))</f>
        <v>8.1095300000000012</v>
      </c>
      <c r="L39" s="5">
        <f>IF(Unidades!Z39=0,0,IF(ISNUMBER($D39),Unidades!Z39*$D39,""))</f>
        <v>8.1095300000000012</v>
      </c>
      <c r="M39" s="5">
        <f>IF(Unidades!AA39=0,0,IF(ISNUMBER($D39),Unidades!AA39*$D39,""))</f>
        <v>0</v>
      </c>
      <c r="N39" s="5">
        <f>IF(Unidades!AB39=0,0,IF(ISNUMBER($D39),Unidades!AB39*$D39,""))</f>
        <v>470.79999999999995</v>
      </c>
      <c r="O39" s="5">
        <f>IF(Unidades!AC39=0,0,IF(ISNUMBER($D39),Unidades!AC39*$D39,""))</f>
        <v>1762.9459100000001</v>
      </c>
      <c r="P39" s="5">
        <f>IF(Unidades!AD39=0,0,IF(ISNUMBER($D39),Unidades!AD39*$D39,""))</f>
        <v>470.79999999999995</v>
      </c>
      <c r="Q39" s="5">
        <f>IF(AND(Unidades!AE39&gt;0,NOT(ISNUMBER(D39))),"",SUM(E39:P39))</f>
        <v>3191.5649700000004</v>
      </c>
    </row>
    <row r="40" spans="1:17">
      <c r="A40" s="1" t="s">
        <v>137</v>
      </c>
      <c r="B40" s="1" t="s">
        <v>138</v>
      </c>
      <c r="C40" s="1" t="s">
        <v>3</v>
      </c>
      <c r="D40" s="5">
        <f>IF(ISNUMBER(Precios!H40),Precios!H40,"")</f>
        <v>1.375</v>
      </c>
      <c r="E40" s="5">
        <f>IF(Unidades!S40=0,0,IF(ISNUMBER($D40),Unidades!S40*$D40,""))</f>
        <v>0</v>
      </c>
      <c r="F40" s="5">
        <f>IF(Unidades!T40=0,0,IF(ISNUMBER($D40),Unidades!T40*$D40,""))</f>
        <v>1481.0712185440821</v>
      </c>
      <c r="G40" s="5">
        <f>IF(Unidades!U40=0,0,IF(ISNUMBER($D40),Unidades!U40*$D40,""))</f>
        <v>305.17291771879695</v>
      </c>
      <c r="H40" s="5">
        <f>IF(Unidades!V40=0,0,IF(ISNUMBER($D40),Unidades!V40*$D40,""))</f>
        <v>1269.7506250000001</v>
      </c>
      <c r="I40" s="5">
        <f>IF(Unidades!W40=0,0,IF(ISNUMBER($D40),Unidades!W40*$D40,""))</f>
        <v>1825.4238750000002</v>
      </c>
      <c r="J40" s="5">
        <f>IF(Unidades!X40=0,0,IF(ISNUMBER($D40),Unidades!X40*$D40,""))</f>
        <v>1527.0406249999992</v>
      </c>
      <c r="K40" s="5">
        <f>IF(Unidades!Y40=0,0,IF(ISNUMBER($D40),Unidades!Y40*$D40,""))</f>
        <v>891.6531250000005</v>
      </c>
      <c r="L40" s="5">
        <f>IF(Unidades!Z40=0,0,IF(ISNUMBER($D40),Unidades!Z40*$D40,""))</f>
        <v>1608.1601249999999</v>
      </c>
      <c r="M40" s="5">
        <f>IF(Unidades!AA40=0,0,IF(ISNUMBER($D40),Unidades!AA40*$D40,""))</f>
        <v>475.1656249999985</v>
      </c>
      <c r="N40" s="5">
        <f>IF(Unidades!AB40=0,0,IF(ISNUMBER($D40),Unidades!AB40*$D40,""))</f>
        <v>613.765625</v>
      </c>
      <c r="O40" s="5">
        <f>IF(Unidades!AC40=0,0,IF(ISNUMBER($D40),Unidades!AC40*$D40,""))</f>
        <v>1696.4777500000021</v>
      </c>
      <c r="P40" s="5">
        <f>IF(Unidades!AD40=0,0,IF(ISNUMBER($D40),Unidades!AD40*$D40,""))</f>
        <v>1213.9874999999995</v>
      </c>
      <c r="Q40" s="5">
        <f>IF(AND(Unidades!AE40&gt;0,NOT(ISNUMBER(D40))),"",SUM(E40:P40))</f>
        <v>12907.669011262878</v>
      </c>
    </row>
    <row r="41" spans="1:17">
      <c r="A41" s="1" t="s">
        <v>139</v>
      </c>
      <c r="B41" s="1" t="s">
        <v>140</v>
      </c>
      <c r="C41" s="1" t="s">
        <v>3</v>
      </c>
      <c r="D41" s="5">
        <f>IF(ISNUMBER(Precios!H41),Precios!H41,"")</f>
        <v>1.9580000000000002</v>
      </c>
      <c r="E41" s="5">
        <f>IF(Unidades!S41=0,0,IF(ISNUMBER($D41),Unidades!S41*$D41,""))</f>
        <v>5289.9932335112462</v>
      </c>
      <c r="F41" s="5">
        <f>IF(Unidades!T41=0,0,IF(ISNUMBER($D41),Unidades!T41*$D41,""))</f>
        <v>16874.795146464916</v>
      </c>
      <c r="G41" s="5">
        <f>IF(Unidades!U41=0,0,IF(ISNUMBER($D41),Unidades!U41*$D41,""))</f>
        <v>6837.6101199999994</v>
      </c>
      <c r="H41" s="5">
        <f>IF(Unidades!V41=0,0,IF(ISNUMBER($D41),Unidades!V41*$D41,""))</f>
        <v>7830.4140199999983</v>
      </c>
      <c r="I41" s="5">
        <f>IF(Unidades!W41=0,0,IF(ISNUMBER($D41),Unidades!W41*$D41,""))</f>
        <v>20380.068170000006</v>
      </c>
      <c r="J41" s="5">
        <f>IF(Unidades!X41=0,0,IF(ISNUMBER($D41),Unidades!X41*$D41,""))</f>
        <v>17816.605620000002</v>
      </c>
      <c r="K41" s="5">
        <f>IF(Unidades!Y41=0,0,IF(ISNUMBER($D41),Unidades!Y41*$D41,""))</f>
        <v>7779.5941300000022</v>
      </c>
      <c r="L41" s="5">
        <f>IF(Unidades!Z41=0,0,IF(ISNUMBER($D41),Unidades!Z41*$D41,""))</f>
        <v>11616.739595999999</v>
      </c>
      <c r="M41" s="5">
        <f>IF(Unidades!AA41=0,0,IF(ISNUMBER($D41),Unidades!AA41*$D41,""))</f>
        <v>2222.1831500000058</v>
      </c>
      <c r="N41" s="5">
        <f>IF(Unidades!AB41=0,0,IF(ISNUMBER($D41),Unidades!AB41*$D41,""))</f>
        <v>6133.5426900000011</v>
      </c>
      <c r="O41" s="5">
        <f>IF(Unidades!AC41=0,0,IF(ISNUMBER($D41),Unidades!AC41*$D41,""))</f>
        <v>6187.1683939999994</v>
      </c>
      <c r="P41" s="5">
        <f>IF(Unidades!AD41=0,0,IF(ISNUMBER($D41),Unidades!AD41*$D41,""))</f>
        <v>28072.531299999999</v>
      </c>
      <c r="Q41" s="5">
        <f>IF(AND(Unidades!AE41&gt;0,NOT(ISNUMBER(D41))),"",SUM(E41:P41))</f>
        <v>137041.24556997616</v>
      </c>
    </row>
    <row r="42" spans="1:17">
      <c r="A42" s="1" t="s">
        <v>141</v>
      </c>
      <c r="B42" s="1" t="s">
        <v>142</v>
      </c>
      <c r="C42" s="1" t="s">
        <v>3</v>
      </c>
      <c r="D42" s="5">
        <f>IF(ISNUMBER(Precios!H42),Precios!H42,"")</f>
        <v>0.76449999999999996</v>
      </c>
      <c r="E42" s="5">
        <f>IF(Unidades!S42=0,0,IF(ISNUMBER($D42),Unidades!S42*$D42,""))</f>
        <v>465.01845304132343</v>
      </c>
      <c r="F42" s="5">
        <f>IF(Unidades!T42=0,0,IF(ISNUMBER($D42),Unidades!T42*$D42,""))</f>
        <v>477.65543876282294</v>
      </c>
      <c r="G42" s="5">
        <f>IF(Unidades!U42=0,0,IF(ISNUMBER($D42),Unidades!U42*$D42,""))</f>
        <v>745.33016249999991</v>
      </c>
      <c r="H42" s="5">
        <f>IF(Unidades!V42=0,0,IF(ISNUMBER($D42),Unidades!V42*$D42,""))</f>
        <v>21.191939999999846</v>
      </c>
      <c r="I42" s="5">
        <f>IF(Unidades!W42=0,0,IF(ISNUMBER($D42),Unidades!W42*$D42,""))</f>
        <v>458.33605821451118</v>
      </c>
      <c r="J42" s="5">
        <f>IF(Unidades!X42=0,0,IF(ISNUMBER($D42),Unidades!X42*$D42,""))</f>
        <v>976.10366150000016</v>
      </c>
      <c r="K42" s="5">
        <f>IF(Unidades!Y42=0,0,IF(ISNUMBER($D42),Unidades!Y42*$D42,""))</f>
        <v>335.01154500000001</v>
      </c>
      <c r="L42" s="5">
        <f>IF(Unidades!Z42=0,0,IF(ISNUMBER($D42),Unidades!Z42*$D42,""))</f>
        <v>376.04226000000006</v>
      </c>
      <c r="M42" s="5">
        <f>IF(Unidades!AA42=0,0,IF(ISNUMBER($D42),Unidades!AA42*$D42,""))</f>
        <v>63.071249999999999</v>
      </c>
      <c r="N42" s="5">
        <f>IF(Unidades!AB42=0,0,IF(ISNUMBER($D42),Unidades!AB42*$D42,""))</f>
        <v>531.03851900000018</v>
      </c>
      <c r="O42" s="5">
        <f>IF(Unidades!AC42=0,0,IF(ISNUMBER($D42),Unidades!AC42*$D42,""))</f>
        <v>702.18407600000023</v>
      </c>
      <c r="P42" s="5">
        <f>IF(Unidades!AD42=0,0,IF(ISNUMBER($D42),Unidades!AD42*$D42,""))</f>
        <v>7541.0463479999989</v>
      </c>
      <c r="Q42" s="5">
        <f>IF(AND(Unidades!AE42&gt;0,NOT(ISNUMBER(D42))),"",SUM(E42:P42))</f>
        <v>12692.029712018657</v>
      </c>
    </row>
    <row r="43" spans="1:17">
      <c r="A43" s="1" t="s">
        <v>143</v>
      </c>
      <c r="B43" s="1" t="s">
        <v>144</v>
      </c>
      <c r="C43" s="1" t="s">
        <v>3</v>
      </c>
      <c r="D43" s="5">
        <f>IF(ISNUMBER(Precios!H43),Precios!H43,"")</f>
        <v>3.5640000000000005</v>
      </c>
      <c r="E43" s="5">
        <f>IF(Unidades!S43=0,0,IF(ISNUMBER($D43),Unidades!S43*$D43,""))</f>
        <v>0</v>
      </c>
      <c r="F43" s="5">
        <f>IF(Unidades!T43=0,0,IF(ISNUMBER($D43),Unidades!T43*$D43,""))</f>
        <v>13047.244095600005</v>
      </c>
      <c r="G43" s="5">
        <f>IF(Unidades!U43=0,0,IF(ISNUMBER($D43),Unidades!U43*$D43,""))</f>
        <v>3771.4247999999998</v>
      </c>
      <c r="H43" s="5">
        <f>IF(Unidades!V43=0,0,IF(ISNUMBER($D43),Unidades!V43*$D43,""))</f>
        <v>0</v>
      </c>
      <c r="I43" s="5">
        <f>IF(Unidades!W43=0,0,IF(ISNUMBER($D43),Unidades!W43*$D43,""))</f>
        <v>3771.4247999999998</v>
      </c>
      <c r="J43" s="5">
        <f>IF(Unidades!X43=0,0,IF(ISNUMBER($D43),Unidades!X43*$D43,""))</f>
        <v>1885.7124000000015</v>
      </c>
      <c r="K43" s="5">
        <f>IF(Unidades!Y43=0,0,IF(ISNUMBER($D43),Unidades!Y43*$D43,""))</f>
        <v>1754.9948164319997</v>
      </c>
      <c r="L43" s="5">
        <f>IF(Unidades!Z43=0,0,IF(ISNUMBER($D43),Unidades!Z43*$D43,""))</f>
        <v>2952.4221904320007</v>
      </c>
      <c r="M43" s="5">
        <f>IF(Unidades!AA43=0,0,IF(ISNUMBER($D43),Unidades!AA43*$D43,""))</f>
        <v>3771.424800000003</v>
      </c>
      <c r="N43" s="5">
        <f>IF(Unidades!AB43=0,0,IF(ISNUMBER($D43),Unidades!AB43*$D43,""))</f>
        <v>0</v>
      </c>
      <c r="O43" s="5">
        <f>IF(Unidades!AC43=0,0,IF(ISNUMBER($D43),Unidades!AC43*$D43,""))</f>
        <v>9322.1323921440035</v>
      </c>
      <c r="P43" s="5">
        <f>IF(Unidades!AD43=0,0,IF(ISNUMBER($D43),Unidades!AD43*$D43,""))</f>
        <v>1885.7124000000015</v>
      </c>
      <c r="Q43" s="5">
        <f>IF(AND(Unidades!AE43&gt;0,NOT(ISNUMBER(D43))),"",SUM(E43:P43))</f>
        <v>42162.492694608016</v>
      </c>
    </row>
    <row r="44" spans="1:17">
      <c r="A44" s="1" t="s">
        <v>145</v>
      </c>
      <c r="B44" s="1" t="s">
        <v>146</v>
      </c>
      <c r="C44" s="1" t="s">
        <v>3</v>
      </c>
      <c r="D44" s="5">
        <f>IF(ISNUMBER(Precios!H44),Precios!H44,"")</f>
        <v>1.6610000000000003</v>
      </c>
      <c r="E44" s="5">
        <f>IF(Unidades!S44=0,0,IF(ISNUMBER($D44),Unidades!S44*$D44,""))</f>
        <v>2115.3997700000004</v>
      </c>
      <c r="F44" s="5">
        <f>IF(Unidades!T44=0,0,IF(ISNUMBER($D44),Unidades!T44*$D44,""))</f>
        <v>8717.8249400000004</v>
      </c>
      <c r="G44" s="5">
        <f>IF(Unidades!U44=0,0,IF(ISNUMBER($D44),Unidades!U44*$D44,""))</f>
        <v>2758.7591658103279</v>
      </c>
      <c r="H44" s="5">
        <f>IF(Unidades!V44=0,0,IF(ISNUMBER($D44),Unidades!V44*$D44,""))</f>
        <v>3012.2534198289336</v>
      </c>
      <c r="I44" s="5">
        <f>IF(Unidades!W44=0,0,IF(ISNUMBER($D44),Unidades!W44*$D44,""))</f>
        <v>6236.2942620000003</v>
      </c>
      <c r="J44" s="5">
        <f>IF(Unidades!X44=0,0,IF(ISNUMBER($D44),Unidades!X44*$D44,""))</f>
        <v>9097.105985000002</v>
      </c>
      <c r="K44" s="5">
        <f>IF(Unidades!Y44=0,0,IF(ISNUMBER($D44),Unidades!Y44*$D44,""))</f>
        <v>2214.5282500000003</v>
      </c>
      <c r="L44" s="5">
        <f>IF(Unidades!Z44=0,0,IF(ISNUMBER($D44),Unidades!Z44*$D44,""))</f>
        <v>1416.5871719999984</v>
      </c>
      <c r="M44" s="5">
        <f>IF(Unidades!AA44=0,0,IF(ISNUMBER($D44),Unidades!AA44*$D44,""))</f>
        <v>387.34520000000128</v>
      </c>
      <c r="N44" s="5">
        <f>IF(Unidades!AB44=0,0,IF(ISNUMBER($D44),Unidades!AB44*$D44,""))</f>
        <v>3001.7592000000018</v>
      </c>
      <c r="O44" s="5">
        <f>IF(Unidades!AC44=0,0,IF(ISNUMBER($D44),Unidades!AC44*$D44,""))</f>
        <v>4741.6633440000032</v>
      </c>
      <c r="P44" s="5">
        <f>IF(Unidades!AD44=0,0,IF(ISNUMBER($D44),Unidades!AD44*$D44,""))</f>
        <v>8710.3670500000007</v>
      </c>
      <c r="Q44" s="5">
        <f>IF(AND(Unidades!AE44&gt;0,NOT(ISNUMBER(D44))),"",SUM(E44:P44))</f>
        <v>52409.88775863927</v>
      </c>
    </row>
    <row r="45" spans="1:17">
      <c r="A45" s="1" t="s">
        <v>147</v>
      </c>
      <c r="B45" s="1" t="s">
        <v>148</v>
      </c>
      <c r="C45" s="1" t="s">
        <v>3</v>
      </c>
      <c r="D45" s="5">
        <f>IF(ISNUMBER(Precios!H45),Precios!H45,"")</f>
        <v>1.167913043478261</v>
      </c>
      <c r="E45" s="5">
        <f>IF(Unidades!S45=0,0,IF(ISNUMBER($D45),Unidades!S45*$D45,""))</f>
        <v>37840.808896956529</v>
      </c>
      <c r="F45" s="5">
        <f>IF(Unidades!T45=0,0,IF(ISNUMBER($D45),Unidades!T45*$D45,""))</f>
        <v>41377.952196580263</v>
      </c>
      <c r="G45" s="5">
        <f>IF(Unidades!U45=0,0,IF(ISNUMBER($D45),Unidades!U45*$D45,""))</f>
        <v>43618.982765217399</v>
      </c>
      <c r="H45" s="5">
        <f>IF(Unidades!V45=0,0,IF(ISNUMBER($D45),Unidades!V45*$D45,""))</f>
        <v>46182.680366086948</v>
      </c>
      <c r="I45" s="5">
        <f>IF(Unidades!W45=0,0,IF(ISNUMBER($D45),Unidades!W45*$D45,""))</f>
        <v>50872.51110652175</v>
      </c>
      <c r="J45" s="5">
        <f>IF(Unidades!X45=0,0,IF(ISNUMBER($D45),Unidades!X45*$D45,""))</f>
        <v>102170.56884913048</v>
      </c>
      <c r="K45" s="5">
        <f>IF(Unidades!Y45=0,0,IF(ISNUMBER($D45),Unidades!Y45*$D45,""))</f>
        <v>64111.827378260845</v>
      </c>
      <c r="L45" s="5">
        <f>IF(Unidades!Z45=0,0,IF(ISNUMBER($D45),Unidades!Z45*$D45,""))</f>
        <v>25466.624212173905</v>
      </c>
      <c r="M45" s="5">
        <f>IF(Unidades!AA45=0,0,IF(ISNUMBER($D45),Unidades!AA45*$D45,""))</f>
        <v>12943.810913478241</v>
      </c>
      <c r="N45" s="5">
        <f>IF(Unidades!AB45=0,0,IF(ISNUMBER($D45),Unidades!AB45*$D45,""))</f>
        <v>42783.603763043509</v>
      </c>
      <c r="O45" s="5">
        <f>IF(Unidades!AC45=0,0,IF(ISNUMBER($D45),Unidades!AC45*$D45,""))</f>
        <v>51626.901178695691</v>
      </c>
      <c r="P45" s="5">
        <f>IF(Unidades!AD45=0,0,IF(ISNUMBER($D45),Unidades!AD45*$D45,""))</f>
        <v>28048.844913913072</v>
      </c>
      <c r="Q45" s="5">
        <f>IF(AND(Unidades!AE45&gt;0,NOT(ISNUMBER(D45))),"",SUM(E45:P45))</f>
        <v>547045.11654005863</v>
      </c>
    </row>
    <row r="46" spans="1:17">
      <c r="A46" s="1" t="s">
        <v>149</v>
      </c>
      <c r="B46" s="1" t="s">
        <v>150</v>
      </c>
      <c r="C46" s="1" t="s">
        <v>3</v>
      </c>
      <c r="D46" s="5">
        <f>IF(ISNUMBER(Precios!H46),Precios!H46,"")</f>
        <v>2.3804000000000003</v>
      </c>
      <c r="E46" s="5">
        <f>IF(Unidades!S46=0,0,IF(ISNUMBER($D46),Unidades!S46*$D46,""))</f>
        <v>1755.5741598192769</v>
      </c>
      <c r="F46" s="5">
        <f>IF(Unidades!T46=0,0,IF(ISNUMBER($D46),Unidades!T46*$D46,""))</f>
        <v>14794.483550000003</v>
      </c>
      <c r="G46" s="5">
        <f>IF(Unidades!U46=0,0,IF(ISNUMBER($D46),Unidades!U46*$D46,""))</f>
        <v>4509.3702500000009</v>
      </c>
      <c r="H46" s="5">
        <f>IF(Unidades!V46=0,0,IF(ISNUMBER($D46),Unidades!V46*$D46,""))</f>
        <v>7175.4182500000006</v>
      </c>
      <c r="I46" s="5">
        <f>IF(Unidades!W46=0,0,IF(ISNUMBER($D46),Unidades!W46*$D46,""))</f>
        <v>3714.9712599999998</v>
      </c>
      <c r="J46" s="5">
        <f>IF(Unidades!X46=0,0,IF(ISNUMBER($D46),Unidades!X46*$D46,""))</f>
        <v>14297.932110000005</v>
      </c>
      <c r="K46" s="5">
        <f>IF(Unidades!Y46=0,0,IF(ISNUMBER($D46),Unidades!Y46*$D46,""))</f>
        <v>2416.1060000000002</v>
      </c>
      <c r="L46" s="5">
        <f>IF(Unidades!Z46=0,0,IF(ISNUMBER($D46),Unidades!Z46*$D46,""))</f>
        <v>9013.3250899999985</v>
      </c>
      <c r="M46" s="5">
        <f>IF(Unidades!AA46=0,0,IF(ISNUMBER($D46),Unidades!AA46*$D46,""))</f>
        <v>11772.268200000002</v>
      </c>
      <c r="N46" s="5">
        <f>IF(Unidades!AB46=0,0,IF(ISNUMBER($D46),Unidades!AB46*$D46,""))</f>
        <v>7462.8515499999839</v>
      </c>
      <c r="O46" s="5">
        <f>IF(Unidades!AC46=0,0,IF(ISNUMBER($D46),Unidades!AC46*$D46,""))</f>
        <v>10198.466739999998</v>
      </c>
      <c r="P46" s="5">
        <f>IF(Unidades!AD46=0,0,IF(ISNUMBER($D46),Unidades!AD46*$D46,""))</f>
        <v>20528.569600000003</v>
      </c>
      <c r="Q46" s="5">
        <f>IF(AND(Unidades!AE46&gt;0,NOT(ISNUMBER(D46))),"",SUM(E46:P46))</f>
        <v>107639.33675981927</v>
      </c>
    </row>
    <row r="47" spans="1:17">
      <c r="A47" s="1" t="s">
        <v>151</v>
      </c>
      <c r="B47" s="1" t="s">
        <v>152</v>
      </c>
      <c r="C47" s="1" t="s">
        <v>3</v>
      </c>
      <c r="D47" s="5">
        <f>IF(ISNUMBER(Precios!H47),Precios!H47,"")</f>
        <v>3.6630000000000003</v>
      </c>
      <c r="E47" s="5">
        <f>IF(Unidades!S47=0,0,IF(ISNUMBER($D47),Unidades!S47*$D47,""))</f>
        <v>0</v>
      </c>
      <c r="F47" s="5">
        <f>IF(Unidades!T47=0,0,IF(ISNUMBER($D47),Unidades!T47*$D47,""))</f>
        <v>0</v>
      </c>
      <c r="G47" s="5">
        <f>IF(Unidades!U47=0,0,IF(ISNUMBER($D47),Unidades!U47*$D47,""))</f>
        <v>0</v>
      </c>
      <c r="H47" s="5">
        <f>IF(Unidades!V47=0,0,IF(ISNUMBER($D47),Unidades!V47*$D47,""))</f>
        <v>2169.4555911230959</v>
      </c>
      <c r="I47" s="5">
        <f>IF(Unidades!W47=0,0,IF(ISNUMBER($D47),Unidades!W47*$D47,""))</f>
        <v>2863.8960075310001</v>
      </c>
      <c r="J47" s="5">
        <f>IF(Unidades!X47=0,0,IF(ISNUMBER($D47),Unidades!X47*$D47,""))</f>
        <v>778.68786600000044</v>
      </c>
      <c r="K47" s="5">
        <f>IF(Unidades!Y47=0,0,IF(ISNUMBER($D47),Unidades!Y47*$D47,""))</f>
        <v>3513.9287205000028</v>
      </c>
      <c r="L47" s="5">
        <f>IF(Unidades!Z47=0,0,IF(ISNUMBER($D47),Unidades!Z47*$D47,""))</f>
        <v>2579.3930250000008</v>
      </c>
      <c r="M47" s="5">
        <f>IF(Unidades!AA47=0,0,IF(ISNUMBER($D47),Unidades!AA47*$D47,""))</f>
        <v>438.08014800000007</v>
      </c>
      <c r="N47" s="5">
        <f>IF(Unidades!AB47=0,0,IF(ISNUMBER($D47),Unidades!AB47*$D47,""))</f>
        <v>1371.1488120000004</v>
      </c>
      <c r="O47" s="5">
        <f>IF(Unidades!AC47=0,0,IF(ISNUMBER($D47),Unidades!AC47*$D47,""))</f>
        <v>6424.0778250000021</v>
      </c>
      <c r="P47" s="5">
        <f>IF(Unidades!AD47=0,0,IF(ISNUMBER($D47),Unidades!AD47*$D47,""))</f>
        <v>816.48086850000163</v>
      </c>
      <c r="Q47" s="5">
        <f>IF(AND(Unidades!AE47&gt;0,NOT(ISNUMBER(D47))),"",SUM(E47:P47))</f>
        <v>20955.148863654103</v>
      </c>
    </row>
    <row r="48" spans="1:17">
      <c r="A48" s="1" t="s">
        <v>153</v>
      </c>
      <c r="B48" s="1" t="s">
        <v>154</v>
      </c>
      <c r="C48" s="1" t="s">
        <v>3</v>
      </c>
      <c r="D48" s="5">
        <f>IF(ISNUMBER(Precios!H48),Precios!H48,"")</f>
        <v>1.7742702702702704</v>
      </c>
      <c r="E48" s="5">
        <f>IF(Unidades!S48=0,0,IF(ISNUMBER($D48),Unidades!S48*$D48,""))</f>
        <v>14622.313592369192</v>
      </c>
      <c r="F48" s="5">
        <f>IF(Unidades!T48=0,0,IF(ISNUMBER($D48),Unidades!T48*$D48,""))</f>
        <v>16904.425307253347</v>
      </c>
      <c r="G48" s="5">
        <f>IF(Unidades!U48=0,0,IF(ISNUMBER($D48),Unidades!U48*$D48,""))</f>
        <v>10149.037255507399</v>
      </c>
      <c r="H48" s="5">
        <f>IF(Unidades!V48=0,0,IF(ISNUMBER($D48),Unidades!V48*$D48,""))</f>
        <v>12971.214441513514</v>
      </c>
      <c r="I48" s="5">
        <f>IF(Unidades!W48=0,0,IF(ISNUMBER($D48),Unidades!W48*$D48,""))</f>
        <v>20950.256885621628</v>
      </c>
      <c r="J48" s="5">
        <f>IF(Unidades!X48=0,0,IF(ISNUMBER($D48),Unidades!X48*$D48,""))</f>
        <v>29163.446228756762</v>
      </c>
      <c r="K48" s="5">
        <f>IF(Unidades!Y48=0,0,IF(ISNUMBER($D48),Unidades!Y48*$D48,""))</f>
        <v>5704.5876419459446</v>
      </c>
      <c r="L48" s="5">
        <f>IF(Unidades!Z48=0,0,IF(ISNUMBER($D48),Unidades!Z48*$D48,""))</f>
        <v>13842.090163891891</v>
      </c>
      <c r="M48" s="5">
        <f>IF(Unidades!AA48=0,0,IF(ISNUMBER($D48),Unidades!AA48*$D48,""))</f>
        <v>2815.7438534053945</v>
      </c>
      <c r="N48" s="5">
        <f>IF(Unidades!AB48=0,0,IF(ISNUMBER($D48),Unidades!AB48*$D48,""))</f>
        <v>5528.3724415135202</v>
      </c>
      <c r="O48" s="5">
        <f>IF(Unidades!AC48=0,0,IF(ISNUMBER($D48),Unidades!AC48*$D48,""))</f>
        <v>12247.885260540528</v>
      </c>
      <c r="P48" s="5">
        <f>IF(Unidades!AD48=0,0,IF(ISNUMBER($D48),Unidades!AD48*$D48,""))</f>
        <v>12606.931915243253</v>
      </c>
      <c r="Q48" s="5">
        <f>IF(AND(Unidades!AE48&gt;0,NOT(ISNUMBER(D48))),"",SUM(E48:P48))</f>
        <v>157506.30498756233</v>
      </c>
    </row>
    <row r="49" spans="1:17">
      <c r="A49" s="1" t="s">
        <v>155</v>
      </c>
      <c r="B49" s="1" t="s">
        <v>156</v>
      </c>
      <c r="C49" s="1" t="s">
        <v>3</v>
      </c>
      <c r="D49" s="5">
        <f>IF(ISNUMBER(Precios!H49),Precios!H49,"")</f>
        <v>1.8920000000000003</v>
      </c>
      <c r="E49" s="5">
        <f>IF(Unidades!S49=0,0,IF(ISNUMBER($D49),Unidades!S49*$D49,""))</f>
        <v>0</v>
      </c>
      <c r="F49" s="5">
        <f>IF(Unidades!T49=0,0,IF(ISNUMBER($D49),Unidades!T49*$D49,""))</f>
        <v>0</v>
      </c>
      <c r="G49" s="5">
        <f>IF(Unidades!U49=0,0,IF(ISNUMBER($D49),Unidades!U49*$D49,""))</f>
        <v>3725.3474416757799</v>
      </c>
      <c r="H49" s="5">
        <f>IF(Unidades!V49=0,0,IF(ISNUMBER($D49),Unidades!V49*$D49,""))</f>
        <v>2594.8839017370483</v>
      </c>
      <c r="I49" s="5">
        <f>IF(Unidades!W49=0,0,IF(ISNUMBER($D49),Unidades!W49*$D49,""))</f>
        <v>1130.7065000000002</v>
      </c>
      <c r="J49" s="5">
        <f>IF(Unidades!X49=0,0,IF(ISNUMBER($D49),Unidades!X49*$D49,""))</f>
        <v>913.90789600000107</v>
      </c>
      <c r="K49" s="5">
        <f>IF(Unidades!Y49=0,0,IF(ISNUMBER($D49),Unidades!Y49*$D49,""))</f>
        <v>17.794259999999522</v>
      </c>
      <c r="L49" s="5">
        <f>IF(Unidades!Z49=0,0,IF(ISNUMBER($D49),Unidades!Z49*$D49,""))</f>
        <v>512.31008400000019</v>
      </c>
      <c r="M49" s="5">
        <f>IF(Unidades!AA49=0,0,IF(ISNUMBER($D49),Unidades!AA49*$D49,""))</f>
        <v>39.542799999999318</v>
      </c>
      <c r="N49" s="5">
        <f>IF(Unidades!AB49=0,0,IF(ISNUMBER($D49),Unidades!AB49*$D49,""))</f>
        <v>514.05639999999971</v>
      </c>
      <c r="O49" s="5">
        <f>IF(Unidades!AC49=0,0,IF(ISNUMBER($D49),Unidades!AC49*$D49,""))</f>
        <v>116.45260000000036</v>
      </c>
      <c r="P49" s="5">
        <f>IF(Unidades!AD49=0,0,IF(ISNUMBER($D49),Unidades!AD49*$D49,""))</f>
        <v>653.97925999999961</v>
      </c>
      <c r="Q49" s="5">
        <f>IF(AND(Unidades!AE49&gt;0,NOT(ISNUMBER(D49))),"",SUM(E49:P49))</f>
        <v>10218.981143412828</v>
      </c>
    </row>
    <row r="50" spans="1:17">
      <c r="A50" s="1" t="s">
        <v>157</v>
      </c>
      <c r="B50" s="1" t="s">
        <v>158</v>
      </c>
      <c r="C50" s="1" t="s">
        <v>3</v>
      </c>
      <c r="D50" s="5">
        <f>IF(ISNUMBER(Precios!H50),Precios!H50,"")</f>
        <v>1.2649999999999999</v>
      </c>
      <c r="E50" s="5">
        <f>IF(Unidades!S50=0,0,IF(ISNUMBER($D50),Unidades!S50*$D50,""))</f>
        <v>0</v>
      </c>
      <c r="F50" s="5">
        <f>IF(Unidades!T50=0,0,IF(ISNUMBER($D50),Unidades!T50*$D50,""))</f>
        <v>0</v>
      </c>
      <c r="G50" s="5">
        <f>IF(Unidades!U50=0,0,IF(ISNUMBER($D50),Unidades!U50*$D50,""))</f>
        <v>4015.0163899999998</v>
      </c>
      <c r="H50" s="5">
        <f>IF(Unidades!V50=0,0,IF(ISNUMBER($D50),Unidades!V50*$D50,""))</f>
        <v>0</v>
      </c>
      <c r="I50" s="5">
        <f>IF(Unidades!W50=0,0,IF(ISNUMBER($D50),Unidades!W50*$D50,""))</f>
        <v>126.49999999999999</v>
      </c>
      <c r="J50" s="5">
        <f>IF(Unidades!X50=0,0,IF(ISNUMBER($D50),Unidades!X50*$D50,""))</f>
        <v>4015.0163899999998</v>
      </c>
      <c r="K50" s="5">
        <f>IF(Unidades!Y50=0,0,IF(ISNUMBER($D50),Unidades!Y50*$D50,""))</f>
        <v>0</v>
      </c>
      <c r="L50" s="5">
        <f>IF(Unidades!Z50=0,0,IF(ISNUMBER($D50),Unidades!Z50*$D50,""))</f>
        <v>0</v>
      </c>
      <c r="M50" s="5">
        <f>IF(Unidades!AA50=0,0,IF(ISNUMBER($D50),Unidades!AA50*$D50,""))</f>
        <v>0</v>
      </c>
      <c r="N50" s="5">
        <f>IF(Unidades!AB50=0,0,IF(ISNUMBER($D50),Unidades!AB50*$D50,""))</f>
        <v>126.49999999999999</v>
      </c>
      <c r="O50" s="5">
        <f>IF(Unidades!AC50=0,0,IF(ISNUMBER($D50),Unidades!AC50*$D50,""))</f>
        <v>5280.6514199999983</v>
      </c>
      <c r="P50" s="5">
        <f>IF(Unidades!AD50=0,0,IF(ISNUMBER($D50),Unidades!AD50*$D50,""))</f>
        <v>126.49999999999999</v>
      </c>
      <c r="Q50" s="5">
        <f>IF(AND(Unidades!AE50&gt;0,NOT(ISNUMBER(D50))),"",SUM(E50:P50))</f>
        <v>13690.184199999998</v>
      </c>
    </row>
    <row r="51" spans="1:17">
      <c r="A51" s="1" t="s">
        <v>159</v>
      </c>
      <c r="B51" s="1" t="s">
        <v>160</v>
      </c>
      <c r="C51" s="1" t="s">
        <v>3</v>
      </c>
      <c r="D51" s="5">
        <f>IF(ISNUMBER(Precios!H51),Precios!H51,"")</f>
        <v>1.7600000000000002</v>
      </c>
      <c r="E51" s="5">
        <f>IF(Unidades!S51=0,0,IF(ISNUMBER($D51),Unidades!S51*$D51,""))</f>
        <v>95.195652003459443</v>
      </c>
      <c r="F51" s="5">
        <f>IF(Unidades!T51=0,0,IF(ISNUMBER($D51),Unidades!T51*$D51,""))</f>
        <v>1318.9862400000002</v>
      </c>
      <c r="G51" s="5">
        <f>IF(Unidades!U51=0,0,IF(ISNUMBER($D51),Unidades!U51*$D51,""))</f>
        <v>461.90474418502333</v>
      </c>
      <c r="H51" s="5">
        <f>IF(Unidades!V51=0,0,IF(ISNUMBER($D51),Unidades!V51*$D51,""))</f>
        <v>698.17440000000022</v>
      </c>
      <c r="I51" s="5">
        <f>IF(Unidades!W51=0,0,IF(ISNUMBER($D51),Unidades!W51*$D51,""))</f>
        <v>986.25823999999977</v>
      </c>
      <c r="J51" s="5">
        <f>IF(Unidades!X51=0,0,IF(ISNUMBER($D51),Unidades!X51*$D51,""))</f>
        <v>1327.0769599999996</v>
      </c>
      <c r="K51" s="5">
        <f>IF(Unidades!Y51=0,0,IF(ISNUMBER($D51),Unidades!Y51*$D51,""))</f>
        <v>563.64351999999997</v>
      </c>
      <c r="L51" s="5">
        <f>IF(Unidades!Z51=0,0,IF(ISNUMBER($D51),Unidades!Z51*$D51,""))</f>
        <v>623.61376000000007</v>
      </c>
      <c r="M51" s="5">
        <f>IF(Unidades!AA51=0,0,IF(ISNUMBER($D51),Unidades!AA51*$D51,""))</f>
        <v>164.84159999999977</v>
      </c>
      <c r="N51" s="5">
        <f>IF(Unidades!AB51=0,0,IF(ISNUMBER($D51),Unidades!AB51*$D51,""))</f>
        <v>362.51072000000039</v>
      </c>
      <c r="O51" s="5">
        <f>IF(Unidades!AC51=0,0,IF(ISNUMBER($D51),Unidades!AC51*$D51,""))</f>
        <v>275.59488000000039</v>
      </c>
      <c r="P51" s="5">
        <f>IF(Unidades!AD51=0,0,IF(ISNUMBER($D51),Unidades!AD51*$D51,""))</f>
        <v>2588.5798400000003</v>
      </c>
      <c r="Q51" s="5">
        <f>IF(AND(Unidades!AE51&gt;0,NOT(ISNUMBER(D51))),"",SUM(E51:P51))</f>
        <v>9466.3805561884838</v>
      </c>
    </row>
    <row r="52" spans="1:17">
      <c r="A52" s="1" t="s">
        <v>161</v>
      </c>
      <c r="B52" s="1" t="s">
        <v>162</v>
      </c>
      <c r="C52" s="1" t="s">
        <v>3</v>
      </c>
      <c r="D52" s="5">
        <f>IF(ISNUMBER(Precios!H52),Precios!H52,"")</f>
        <v>0.97350000000000014</v>
      </c>
      <c r="E52" s="5">
        <f>IF(Unidades!S52=0,0,IF(ISNUMBER($D52),Unidades!S52*$D52,""))</f>
        <v>1742.1551113992839</v>
      </c>
      <c r="F52" s="5">
        <f>IF(Unidades!T52=0,0,IF(ISNUMBER($D52),Unidades!T52*$D52,""))</f>
        <v>2383.1444346608323</v>
      </c>
      <c r="G52" s="5">
        <f>IF(Unidades!U52=0,0,IF(ISNUMBER($D52),Unidades!U52*$D52,""))</f>
        <v>5306.8961043805339</v>
      </c>
      <c r="H52" s="5">
        <f>IF(Unidades!V52=0,0,IF(ISNUMBER($D52),Unidades!V52*$D52,""))</f>
        <v>1445.2094249999996</v>
      </c>
      <c r="I52" s="5">
        <f>IF(Unidades!W52=0,0,IF(ISNUMBER($D52),Unidades!W52*$D52,""))</f>
        <v>4150.5659250000017</v>
      </c>
      <c r="J52" s="5">
        <f>IF(Unidades!X52=0,0,IF(ISNUMBER($D52),Unidades!X52*$D52,""))</f>
        <v>4017.8752660199993</v>
      </c>
      <c r="K52" s="5">
        <f>IF(Unidades!Y52=0,0,IF(ISNUMBER($D52),Unidades!Y52*$D52,""))</f>
        <v>2197.9170452250019</v>
      </c>
      <c r="L52" s="5">
        <f>IF(Unidades!Z52=0,0,IF(ISNUMBER($D52),Unidades!Z52*$D52,""))</f>
        <v>1767.5625330000003</v>
      </c>
      <c r="M52" s="5">
        <f>IF(Unidades!AA52=0,0,IF(ISNUMBER($D52),Unidades!AA52*$D52,""))</f>
        <v>1106.0907000000009</v>
      </c>
      <c r="N52" s="5">
        <f>IF(Unidades!AB52=0,0,IF(ISNUMBER($D52),Unidades!AB52*$D52,""))</f>
        <v>1812.4898500500012</v>
      </c>
      <c r="O52" s="5">
        <f>IF(Unidades!AC52=0,0,IF(ISNUMBER($D52),Unidades!AC52*$D52,""))</f>
        <v>1487.7529228650001</v>
      </c>
      <c r="P52" s="5">
        <f>IF(Unidades!AD52=0,0,IF(ISNUMBER($D52),Unidades!AD52*$D52,""))</f>
        <v>4966.5371241749999</v>
      </c>
      <c r="Q52" s="5">
        <f>IF(AND(Unidades!AE52&gt;0,NOT(ISNUMBER(D52))),"",SUM(E52:P52))</f>
        <v>32384.196441775657</v>
      </c>
    </row>
    <row r="53" spans="1:17">
      <c r="A53" s="1" t="s">
        <v>163</v>
      </c>
      <c r="B53" s="1" t="s">
        <v>164</v>
      </c>
      <c r="C53" s="1" t="s">
        <v>3</v>
      </c>
      <c r="D53" s="5">
        <f>IF(ISNUMBER(Precios!H53),Precios!H53,"")</f>
        <v>0.18149999999999999</v>
      </c>
      <c r="E53" s="5">
        <f>IF(Unidades!S53=0,0,IF(ISNUMBER($D53),Unidades!S53*$D53,""))</f>
        <v>8036.1035112619147</v>
      </c>
      <c r="F53" s="5">
        <f>IF(Unidades!T53=0,0,IF(ISNUMBER($D53),Unidades!T53*$D53,""))</f>
        <v>11582.222332732279</v>
      </c>
      <c r="G53" s="5">
        <f>IF(Unidades!U53=0,0,IF(ISNUMBER($D53),Unidades!U53*$D53,""))</f>
        <v>34483.660187007881</v>
      </c>
      <c r="H53" s="5">
        <f>IF(Unidades!V53=0,0,IF(ISNUMBER($D53),Unidades!V53*$D53,""))</f>
        <v>16611.409697084877</v>
      </c>
      <c r="I53" s="5">
        <f>IF(Unidades!W53=0,0,IF(ISNUMBER($D53),Unidades!W53*$D53,""))</f>
        <v>50111.364285833413</v>
      </c>
      <c r="J53" s="5">
        <f>IF(Unidades!X53=0,0,IF(ISNUMBER($D53),Unidades!X53*$D53,""))</f>
        <v>37449.520567392465</v>
      </c>
      <c r="K53" s="5">
        <f>IF(Unidades!Y53=0,0,IF(ISNUMBER($D53),Unidades!Y53*$D53,""))</f>
        <v>26655.663728043932</v>
      </c>
      <c r="L53" s="5">
        <f>IF(Unidades!Z53=0,0,IF(ISNUMBER($D53),Unidades!Z53*$D53,""))</f>
        <v>9140.1044137521731</v>
      </c>
      <c r="M53" s="5">
        <f>IF(Unidades!AA53=0,0,IF(ISNUMBER($D53),Unidades!AA53*$D53,""))</f>
        <v>5824.118377606288</v>
      </c>
      <c r="N53" s="5">
        <f>IF(Unidades!AB53=0,0,IF(ISNUMBER($D53),Unidades!AB53*$D53,""))</f>
        <v>7843.963386366132</v>
      </c>
      <c r="O53" s="5">
        <f>IF(Unidades!AC53=0,0,IF(ISNUMBER($D53),Unidades!AC53*$D53,""))</f>
        <v>13223.996186764411</v>
      </c>
      <c r="P53" s="5">
        <f>IF(Unidades!AD53=0,0,IF(ISNUMBER($D53),Unidades!AD53*$D53,""))</f>
        <v>26146.837815177172</v>
      </c>
      <c r="Q53" s="5">
        <f>IF(AND(Unidades!AE53&gt;0,NOT(ISNUMBER(D53))),"",SUM(E53:P53))</f>
        <v>247108.96448902297</v>
      </c>
    </row>
    <row r="54" spans="1:17">
      <c r="A54" s="1" t="s">
        <v>165</v>
      </c>
      <c r="B54" s="1" t="s">
        <v>166</v>
      </c>
      <c r="C54" s="1" t="s">
        <v>3</v>
      </c>
      <c r="D54" s="5">
        <f>IF(ISNUMBER(Precios!H54),Precios!H54,"")</f>
        <v>4.0590000000000002</v>
      </c>
      <c r="E54" s="5">
        <f>IF(Unidades!S54=0,0,IF(ISNUMBER($D54),Unidades!S54*$D54,""))</f>
        <v>0</v>
      </c>
      <c r="F54" s="5">
        <f>IF(Unidades!T54=0,0,IF(ISNUMBER($D54),Unidades!T54*$D54,""))</f>
        <v>0</v>
      </c>
      <c r="G54" s="5">
        <f>IF(Unidades!U54=0,0,IF(ISNUMBER($D54),Unidades!U54*$D54,""))</f>
        <v>4870.8</v>
      </c>
      <c r="H54" s="5">
        <f>IF(Unidades!V54=0,0,IF(ISNUMBER($D54),Unidades!V54*$D54,""))</f>
        <v>0</v>
      </c>
      <c r="I54" s="5">
        <f>IF(Unidades!W54=0,0,IF(ISNUMBER($D54),Unidades!W54*$D54,""))</f>
        <v>0</v>
      </c>
      <c r="J54" s="5">
        <f>IF(Unidades!X54=0,0,IF(ISNUMBER($D54),Unidades!X54*$D54,""))</f>
        <v>0</v>
      </c>
      <c r="K54" s="5">
        <f>IF(Unidades!Y54=0,0,IF(ISNUMBER($D54),Unidades!Y54*$D54,""))</f>
        <v>0</v>
      </c>
      <c r="L54" s="5">
        <f>IF(Unidades!Z54=0,0,IF(ISNUMBER($D54),Unidades!Z54*$D54,""))</f>
        <v>0</v>
      </c>
      <c r="M54" s="5">
        <f>IF(Unidades!AA54=0,0,IF(ISNUMBER($D54),Unidades!AA54*$D54,""))</f>
        <v>0</v>
      </c>
      <c r="N54" s="5">
        <f>IF(Unidades!AB54=0,0,IF(ISNUMBER($D54),Unidades!AB54*$D54,""))</f>
        <v>0</v>
      </c>
      <c r="O54" s="5">
        <f>IF(Unidades!AC54=0,0,IF(ISNUMBER($D54),Unidades!AC54*$D54,""))</f>
        <v>0</v>
      </c>
      <c r="P54" s="5">
        <f>IF(Unidades!AD54=0,0,IF(ISNUMBER($D54),Unidades!AD54*$D54,""))</f>
        <v>0</v>
      </c>
      <c r="Q54" s="5">
        <f>IF(AND(Unidades!AE54&gt;0,NOT(ISNUMBER(D54))),"",SUM(E54:P54))</f>
        <v>4870.8</v>
      </c>
    </row>
    <row r="55" spans="1:17">
      <c r="A55" s="1" t="s">
        <v>167</v>
      </c>
      <c r="B55" s="1" t="s">
        <v>168</v>
      </c>
      <c r="C55" s="1" t="s">
        <v>3</v>
      </c>
      <c r="D55" s="5">
        <f>IF(ISNUMBER(Precios!H55),Precios!H55,"")</f>
        <v>1.2649999999999999</v>
      </c>
      <c r="E55" s="5">
        <f>IF(Unidades!S55=0,0,IF(ISNUMBER($D55),Unidades!S55*$D55,""))</f>
        <v>0</v>
      </c>
      <c r="F55" s="5">
        <f>IF(Unidades!T55=0,0,IF(ISNUMBER($D55),Unidades!T55*$D55,""))</f>
        <v>0</v>
      </c>
      <c r="G55" s="5">
        <f>IF(Unidades!U55=0,0,IF(ISNUMBER($D55),Unidades!U55*$D55,""))</f>
        <v>0</v>
      </c>
      <c r="H55" s="5">
        <f>IF(Unidades!V55=0,0,IF(ISNUMBER($D55),Unidades!V55*$D55,""))</f>
        <v>0</v>
      </c>
      <c r="I55" s="5">
        <f>IF(Unidades!W55=0,0,IF(ISNUMBER($D55),Unidades!W55*$D55,""))</f>
        <v>18.599204152372458</v>
      </c>
      <c r="J55" s="5">
        <f>IF(Unidades!X55=0,0,IF(ISNUMBER($D55),Unidades!X55*$D55,""))</f>
        <v>98.037499999999994</v>
      </c>
      <c r="K55" s="5">
        <f>IF(Unidades!Y55=0,0,IF(ISNUMBER($D55),Unidades!Y55*$D55,""))</f>
        <v>974.05</v>
      </c>
      <c r="L55" s="5">
        <f>IF(Unidades!Z55=0,0,IF(ISNUMBER($D55),Unidades!Z55*$D55,""))</f>
        <v>44.274999999999999</v>
      </c>
      <c r="M55" s="5">
        <f>IF(Unidades!AA55=0,0,IF(ISNUMBER($D55),Unidades!AA55*$D55,""))</f>
        <v>0</v>
      </c>
      <c r="N55" s="5">
        <f>IF(Unidades!AB55=0,0,IF(ISNUMBER($D55),Unidades!AB55*$D55,""))</f>
        <v>0</v>
      </c>
      <c r="O55" s="5">
        <f>IF(Unidades!AC55=0,0,IF(ISNUMBER($D55),Unidades!AC55*$D55,""))</f>
        <v>649.22330000000011</v>
      </c>
      <c r="P55" s="5">
        <f>IF(Unidades!AD55=0,0,IF(ISNUMBER($D55),Unidades!AD55*$D55,""))</f>
        <v>0</v>
      </c>
      <c r="Q55" s="5">
        <f>IF(AND(Unidades!AE55&gt;0,NOT(ISNUMBER(D55))),"",SUM(E55:P55))</f>
        <v>1784.1850041523726</v>
      </c>
    </row>
    <row r="56" spans="1:17">
      <c r="A56" s="1" t="s">
        <v>169</v>
      </c>
      <c r="B56" s="1" t="s">
        <v>170</v>
      </c>
      <c r="C56" s="1" t="s">
        <v>3</v>
      </c>
      <c r="D56" s="5">
        <f>IF(ISNUMBER(Precios!H56),Precios!H56,"")</f>
        <v>1.573</v>
      </c>
      <c r="E56" s="5">
        <f>IF(Unidades!S56=0,0,IF(ISNUMBER($D56),Unidades!S56*$D56,""))</f>
        <v>0</v>
      </c>
      <c r="F56" s="5">
        <f>IF(Unidades!T56=0,0,IF(ISNUMBER($D56),Unidades!T56*$D56,""))</f>
        <v>0</v>
      </c>
      <c r="G56" s="5">
        <f>IF(Unidades!U56=0,0,IF(ISNUMBER($D56),Unidades!U56*$D56,""))</f>
        <v>0</v>
      </c>
      <c r="H56" s="5">
        <f>IF(Unidades!V56=0,0,IF(ISNUMBER($D56),Unidades!V56*$D56,""))</f>
        <v>0</v>
      </c>
      <c r="I56" s="5">
        <f>IF(Unidades!W56=0,0,IF(ISNUMBER($D56),Unidades!W56*$D56,""))</f>
        <v>1966.25</v>
      </c>
      <c r="J56" s="5">
        <f>IF(Unidades!X56=0,0,IF(ISNUMBER($D56),Unidades!X56*$D56,""))</f>
        <v>0</v>
      </c>
      <c r="K56" s="5">
        <f>IF(Unidades!Y56=0,0,IF(ISNUMBER($D56),Unidades!Y56*$D56,""))</f>
        <v>0</v>
      </c>
      <c r="L56" s="5">
        <f>IF(Unidades!Z56=0,0,IF(ISNUMBER($D56),Unidades!Z56*$D56,""))</f>
        <v>0</v>
      </c>
      <c r="M56" s="5">
        <f>IF(Unidades!AA56=0,0,IF(ISNUMBER($D56),Unidades!AA56*$D56,""))</f>
        <v>0</v>
      </c>
      <c r="N56" s="5">
        <f>IF(Unidades!AB56=0,0,IF(ISNUMBER($D56),Unidades!AB56*$D56,""))</f>
        <v>0</v>
      </c>
      <c r="O56" s="5">
        <f>IF(Unidades!AC56=0,0,IF(ISNUMBER($D56),Unidades!AC56*$D56,""))</f>
        <v>0</v>
      </c>
      <c r="P56" s="5">
        <f>IF(Unidades!AD56=0,0,IF(ISNUMBER($D56),Unidades!AD56*$D56,""))</f>
        <v>0</v>
      </c>
      <c r="Q56" s="5">
        <f>IF(AND(Unidades!AE56&gt;0,NOT(ISNUMBER(D56))),"",SUM(E56:P56))</f>
        <v>1966.25</v>
      </c>
    </row>
    <row r="57" spans="1:17">
      <c r="A57" s="1" t="s">
        <v>171</v>
      </c>
      <c r="B57" s="1" t="s">
        <v>172</v>
      </c>
      <c r="C57" s="1" t="s">
        <v>3</v>
      </c>
      <c r="D57" s="5">
        <f>IF(ISNUMBER(Precios!H57),Precios!H57,"")</f>
        <v>1.8480000000000001</v>
      </c>
      <c r="E57" s="5">
        <f>IF(Unidades!S57=0,0,IF(ISNUMBER($D57),Unidades!S57*$D57,""))</f>
        <v>0</v>
      </c>
      <c r="F57" s="5">
        <f>IF(Unidades!T57=0,0,IF(ISNUMBER($D57),Unidades!T57*$D57,""))</f>
        <v>0</v>
      </c>
      <c r="G57" s="5">
        <f>IF(Unidades!U57=0,0,IF(ISNUMBER($D57),Unidades!U57*$D57,""))</f>
        <v>850.08</v>
      </c>
      <c r="H57" s="5">
        <f>IF(Unidades!V57=0,0,IF(ISNUMBER($D57),Unidades!V57*$D57,""))</f>
        <v>443.52000000000004</v>
      </c>
      <c r="I57" s="5">
        <f>IF(Unidades!W57=0,0,IF(ISNUMBER($D57),Unidades!W57*$D57,""))</f>
        <v>0</v>
      </c>
      <c r="J57" s="5">
        <f>IF(Unidades!X57=0,0,IF(ISNUMBER($D57),Unidades!X57*$D57,""))</f>
        <v>0</v>
      </c>
      <c r="K57" s="5">
        <f>IF(Unidades!Y57=0,0,IF(ISNUMBER($D57),Unidades!Y57*$D57,""))</f>
        <v>874.10400000000004</v>
      </c>
      <c r="L57" s="5">
        <f>IF(Unidades!Z57=0,0,IF(ISNUMBER($D57),Unidades!Z57*$D57,""))</f>
        <v>0</v>
      </c>
      <c r="M57" s="5">
        <f>IF(Unidades!AA57=0,0,IF(ISNUMBER($D57),Unidades!AA57*$D57,""))</f>
        <v>0</v>
      </c>
      <c r="N57" s="5">
        <f>IF(Unidades!AB57=0,0,IF(ISNUMBER($D57),Unidades!AB57*$D57,""))</f>
        <v>0</v>
      </c>
      <c r="O57" s="5">
        <f>IF(Unidades!AC57=0,0,IF(ISNUMBER($D57),Unidades!AC57*$D57,""))</f>
        <v>3030.7200000000003</v>
      </c>
      <c r="P57" s="5">
        <f>IF(Unidades!AD57=0,0,IF(ISNUMBER($D57),Unidades!AD57*$D57,""))</f>
        <v>369.6</v>
      </c>
      <c r="Q57" s="5">
        <f>IF(AND(Unidades!AE57&gt;0,NOT(ISNUMBER(D57))),"",SUM(E57:P57))</f>
        <v>5568.0240000000013</v>
      </c>
    </row>
    <row r="58" spans="1:17">
      <c r="A58" s="1" t="s">
        <v>173</v>
      </c>
      <c r="B58" s="1" t="s">
        <v>174</v>
      </c>
      <c r="C58" s="1" t="s">
        <v>3</v>
      </c>
      <c r="D58" s="5">
        <f>IF(ISNUMBER(Precios!H58),Precios!H58,"")</f>
        <v>0.45685660847880299</v>
      </c>
      <c r="E58" s="5">
        <f>IF(Unidades!S58=0,0,IF(ISNUMBER($D58),Unidades!S58*$D58,""))</f>
        <v>5837.0392008336603</v>
      </c>
      <c r="F58" s="5">
        <f>IF(Unidades!T58=0,0,IF(ISNUMBER($D58),Unidades!T58*$D58,""))</f>
        <v>9990.4792539133068</v>
      </c>
      <c r="G58" s="5">
        <f>IF(Unidades!U58=0,0,IF(ISNUMBER($D58),Unidades!U58*$D58,""))</f>
        <v>7109.9961445099343</v>
      </c>
      <c r="H58" s="5">
        <f>IF(Unidades!V58=0,0,IF(ISNUMBER($D58),Unidades!V58*$D58,""))</f>
        <v>7007.5864604738144</v>
      </c>
      <c r="I58" s="5">
        <f>IF(Unidades!W58=0,0,IF(ISNUMBER($D58),Unidades!W58*$D58,""))</f>
        <v>8223.120625253121</v>
      </c>
      <c r="J58" s="5">
        <f>IF(Unidades!X58=0,0,IF(ISNUMBER($D58),Unidades!X58*$D58,""))</f>
        <v>15660.314938649628</v>
      </c>
      <c r="K58" s="5">
        <f>IF(Unidades!Y58=0,0,IF(ISNUMBER($D58),Unidades!Y58*$D58,""))</f>
        <v>9535.3430820347112</v>
      </c>
      <c r="L58" s="5">
        <f>IF(Unidades!Z58=0,0,IF(ISNUMBER($D58),Unidades!Z58*$D58,""))</f>
        <v>5097.4685966643838</v>
      </c>
      <c r="M58" s="5">
        <f>IF(Unidades!AA58=0,0,IF(ISNUMBER($D58),Unidades!AA58*$D58,""))</f>
        <v>4020.0983048940175</v>
      </c>
      <c r="N58" s="5">
        <f>IF(Unidades!AB58=0,0,IF(ISNUMBER($D58),Unidades!AB58*$D58,""))</f>
        <v>7012.239545031176</v>
      </c>
      <c r="O58" s="5">
        <f>IF(Unidades!AC58=0,0,IF(ISNUMBER($D58),Unidades!AC58*$D58,""))</f>
        <v>9347.7045622098212</v>
      </c>
      <c r="P58" s="5">
        <f>IF(Unidades!AD58=0,0,IF(ISNUMBER($D58),Unidades!AD58*$D58,""))</f>
        <v>9256.3246881583527</v>
      </c>
      <c r="Q58" s="5">
        <f>IF(AND(Unidades!AE58&gt;0,NOT(ISNUMBER(D58))),"",SUM(E58:P58))</f>
        <v>98097.715402625923</v>
      </c>
    </row>
    <row r="59" spans="1:17">
      <c r="A59" s="1" t="s">
        <v>175</v>
      </c>
      <c r="B59" s="1" t="s">
        <v>176</v>
      </c>
      <c r="C59" s="1" t="s">
        <v>3</v>
      </c>
      <c r="D59" s="5">
        <f>IF(ISNUMBER(Precios!H59),Precios!H59,"")</f>
        <v>1.3860000000000001</v>
      </c>
      <c r="E59" s="5">
        <f>IF(Unidades!S59=0,0,IF(ISNUMBER($D59),Unidades!S59*$D59,""))</f>
        <v>0</v>
      </c>
      <c r="F59" s="5">
        <f>IF(Unidades!T59=0,0,IF(ISNUMBER($D59),Unidades!T59*$D59,""))</f>
        <v>0</v>
      </c>
      <c r="G59" s="5">
        <f>IF(Unidades!U59=0,0,IF(ISNUMBER($D59),Unidades!U59*$D59,""))</f>
        <v>0</v>
      </c>
      <c r="H59" s="5">
        <f>IF(Unidades!V59=0,0,IF(ISNUMBER($D59),Unidades!V59*$D59,""))</f>
        <v>0</v>
      </c>
      <c r="I59" s="5">
        <f>IF(Unidades!W59=0,0,IF(ISNUMBER($D59),Unidades!W59*$D59,""))</f>
        <v>0</v>
      </c>
      <c r="J59" s="5">
        <f>IF(Unidades!X59=0,0,IF(ISNUMBER($D59),Unidades!X59*$D59,""))</f>
        <v>0</v>
      </c>
      <c r="K59" s="5">
        <f>IF(Unidades!Y59=0,0,IF(ISNUMBER($D59),Unidades!Y59*$D59,""))</f>
        <v>0</v>
      </c>
      <c r="L59" s="5">
        <f>IF(Unidades!Z59=0,0,IF(ISNUMBER($D59),Unidades!Z59*$D59,""))</f>
        <v>55.440000000000005</v>
      </c>
      <c r="M59" s="5">
        <f>IF(Unidades!AA59=0,0,IF(ISNUMBER($D59),Unidades!AA59*$D59,""))</f>
        <v>0</v>
      </c>
      <c r="N59" s="5">
        <f>IF(Unidades!AB59=0,0,IF(ISNUMBER($D59),Unidades!AB59*$D59,""))</f>
        <v>0</v>
      </c>
      <c r="O59" s="5">
        <f>IF(Unidades!AC59=0,0,IF(ISNUMBER($D59),Unidades!AC59*$D59,""))</f>
        <v>3521.8260000000005</v>
      </c>
      <c r="P59" s="5">
        <f>IF(Unidades!AD59=0,0,IF(ISNUMBER($D59),Unidades!AD59*$D59,""))</f>
        <v>0</v>
      </c>
      <c r="Q59" s="5">
        <f>IF(AND(Unidades!AE59&gt;0,NOT(ISNUMBER(D59))),"",SUM(E59:P59))</f>
        <v>3577.2660000000005</v>
      </c>
    </row>
    <row r="60" spans="1:17">
      <c r="A60" s="1" t="s">
        <v>177</v>
      </c>
      <c r="B60" s="1" t="s">
        <v>178</v>
      </c>
      <c r="C60" s="1" t="s">
        <v>3</v>
      </c>
      <c r="D60" s="5">
        <f>IF(ISNUMBER(Precios!H60),Precios!H60,"")</f>
        <v>5.3680000000000003</v>
      </c>
      <c r="E60" s="5">
        <f>IF(Unidades!S60=0,0,IF(ISNUMBER($D60),Unidades!S60*$D60,""))</f>
        <v>0</v>
      </c>
      <c r="F60" s="5">
        <f>IF(Unidades!T60=0,0,IF(ISNUMBER($D60),Unidades!T60*$D60,""))</f>
        <v>1805.1141667851145</v>
      </c>
      <c r="G60" s="5">
        <f>IF(Unidades!U60=0,0,IF(ISNUMBER($D60),Unidades!U60*$D60,""))</f>
        <v>1808.2033507199119</v>
      </c>
      <c r="H60" s="5">
        <f>IF(Unidades!V60=0,0,IF(ISNUMBER($D60),Unidades!V60*$D60,""))</f>
        <v>1870.5762240000006</v>
      </c>
      <c r="I60" s="5">
        <f>IF(Unidades!W60=0,0,IF(ISNUMBER($D60),Unidades!W60*$D60,""))</f>
        <v>1308.4717157507539</v>
      </c>
      <c r="J60" s="5">
        <f>IF(Unidades!X60=0,0,IF(ISNUMBER($D60),Unidades!X60*$D60,""))</f>
        <v>2485.9127480000006</v>
      </c>
      <c r="K60" s="5">
        <f>IF(Unidades!Y60=0,0,IF(ISNUMBER($D60),Unidades!Y60*$D60,""))</f>
        <v>1144.8736200000008</v>
      </c>
      <c r="L60" s="5">
        <f>IF(Unidades!Z60=0,0,IF(ISNUMBER($D60),Unidades!Z60*$D60,""))</f>
        <v>1374.2023636000008</v>
      </c>
      <c r="M60" s="5">
        <f>IF(Unidades!AA60=0,0,IF(ISNUMBER($D60),Unidades!AA60*$D60,""))</f>
        <v>1038.8717239999992</v>
      </c>
      <c r="N60" s="5">
        <f>IF(Unidades!AB60=0,0,IF(ISNUMBER($D60),Unidades!AB60*$D60,""))</f>
        <v>1338.6745240000012</v>
      </c>
      <c r="O60" s="5">
        <f>IF(Unidades!AC60=0,0,IF(ISNUMBER($D60),Unidades!AC60*$D60,""))</f>
        <v>1505.7210476000014</v>
      </c>
      <c r="P60" s="5">
        <f>IF(Unidades!AD60=0,0,IF(ISNUMBER($D60),Unidades!AD60*$D60,""))</f>
        <v>2017.2970840000016</v>
      </c>
      <c r="Q60" s="5">
        <f>IF(AND(Unidades!AE60&gt;0,NOT(ISNUMBER(D60))),"",SUM(E60:P60))</f>
        <v>17697.918568455789</v>
      </c>
    </row>
    <row r="61" spans="1:17">
      <c r="A61" s="1" t="s">
        <v>179</v>
      </c>
      <c r="B61" s="1" t="s">
        <v>180</v>
      </c>
      <c r="C61" s="1" t="s">
        <v>3</v>
      </c>
      <c r="D61" s="5">
        <f>IF(ISNUMBER(Precios!H61),Precios!H61,"")</f>
        <v>159.5</v>
      </c>
      <c r="E61" s="5">
        <f>IF(Unidades!S61=0,0,IF(ISNUMBER($D61),Unidades!S61*$D61,""))</f>
        <v>173.86974922528154</v>
      </c>
      <c r="F61" s="5">
        <f>IF(Unidades!T61=0,0,IF(ISNUMBER($D61),Unidades!T61*$D61,""))</f>
        <v>953.88974999999994</v>
      </c>
      <c r="G61" s="5">
        <f>IF(Unidades!U61=0,0,IF(ISNUMBER($D61),Unidades!U61*$D61,""))</f>
        <v>585.36500000000001</v>
      </c>
      <c r="H61" s="5">
        <f>IF(Unidades!V61=0,0,IF(ISNUMBER($D61),Unidades!V61*$D61,""))</f>
        <v>563.03499999999985</v>
      </c>
      <c r="I61" s="5">
        <f>IF(Unidades!W61=0,0,IF(ISNUMBER($D61),Unidades!W61*$D61,""))</f>
        <v>887.21875</v>
      </c>
      <c r="J61" s="5">
        <f>IF(Unidades!X61=0,0,IF(ISNUMBER($D61),Unidades!X61*$D61,""))</f>
        <v>865.28750000000014</v>
      </c>
      <c r="K61" s="5">
        <f>IF(Unidades!Y61=0,0,IF(ISNUMBER($D61),Unidades!Y61*$D61,""))</f>
        <v>947.66925000000026</v>
      </c>
      <c r="L61" s="5">
        <f>IF(Unidades!Z61=0,0,IF(ISNUMBER($D61),Unidades!Z61*$D61,""))</f>
        <v>319.79750000000041</v>
      </c>
      <c r="M61" s="5">
        <f>IF(Unidades!AA61=0,0,IF(ISNUMBER($D61),Unidades!AA61*$D61,""))</f>
        <v>306.6387499999999</v>
      </c>
      <c r="N61" s="5">
        <f>IF(Unidades!AB61=0,0,IF(ISNUMBER($D61),Unidades!AB61*$D61,""))</f>
        <v>604.74424999999985</v>
      </c>
      <c r="O61" s="5">
        <f>IF(Unidades!AC61=0,0,IF(ISNUMBER($D61),Unidades!AC61*$D61,""))</f>
        <v>215.56425000000024</v>
      </c>
      <c r="P61" s="5">
        <f>IF(Unidades!AD61=0,0,IF(ISNUMBER($D61),Unidades!AD61*$D61,""))</f>
        <v>2951.5475000000006</v>
      </c>
      <c r="Q61" s="5">
        <f>IF(AND(Unidades!AE61&gt;0,NOT(ISNUMBER(D61))),"",SUM(E61:P61))</f>
        <v>9374.6272492252829</v>
      </c>
    </row>
    <row r="62" spans="1:17">
      <c r="A62" s="1" t="s">
        <v>181</v>
      </c>
      <c r="B62" s="1" t="s">
        <v>182</v>
      </c>
      <c r="C62" s="1" t="s">
        <v>3</v>
      </c>
      <c r="D62" s="5">
        <f>IF(ISNUMBER(Precios!H62),Precios!H62,"")</f>
        <v>0.8085</v>
      </c>
      <c r="E62" s="5">
        <f>IF(Unidades!S62=0,0,IF(ISNUMBER($D62),Unidades!S62*$D62,""))</f>
        <v>0</v>
      </c>
      <c r="F62" s="5">
        <f>IF(Unidades!T62=0,0,IF(ISNUMBER($D62),Unidades!T62*$D62,""))</f>
        <v>0</v>
      </c>
      <c r="G62" s="5">
        <f>IF(Unidades!U62=0,0,IF(ISNUMBER($D62),Unidades!U62*$D62,""))</f>
        <v>0</v>
      </c>
      <c r="H62" s="5">
        <f>IF(Unidades!V62=0,0,IF(ISNUMBER($D62),Unidades!V62*$D62,""))</f>
        <v>264.81084497937758</v>
      </c>
      <c r="I62" s="5">
        <f>IF(Unidades!W62=0,0,IF(ISNUMBER($D62),Unidades!W62*$D62,""))</f>
        <v>210.98696850000002</v>
      </c>
      <c r="J62" s="5">
        <f>IF(Unidades!X62=0,0,IF(ISNUMBER($D62),Unidades!X62*$D62,""))</f>
        <v>389.15530499999994</v>
      </c>
      <c r="K62" s="5">
        <f>IF(Unidades!Y62=0,0,IF(ISNUMBER($D62),Unidades!Y62*$D62,""))</f>
        <v>9.1198799999999771</v>
      </c>
      <c r="L62" s="5">
        <f>IF(Unidades!Z62=0,0,IF(ISNUMBER($D62),Unidades!Z62*$D62,""))</f>
        <v>351.48243900000011</v>
      </c>
      <c r="M62" s="5">
        <f>IF(Unidades!AA62=0,0,IF(ISNUMBER($D62),Unidades!AA62*$D62,""))</f>
        <v>585.30548999999985</v>
      </c>
      <c r="N62" s="5">
        <f>IF(Unidades!AB62=0,0,IF(ISNUMBER($D62),Unidades!AB62*$D62,""))</f>
        <v>378.84692999999993</v>
      </c>
      <c r="O62" s="5">
        <f>IF(Unidades!AC62=0,0,IF(ISNUMBER($D62),Unidades!AC62*$D62,""))</f>
        <v>519.37393200000054</v>
      </c>
      <c r="P62" s="5">
        <f>IF(Unidades!AD62=0,0,IF(ISNUMBER($D62),Unidades!AD62*$D62,""))</f>
        <v>385.50896999999975</v>
      </c>
      <c r="Q62" s="5">
        <f>IF(AND(Unidades!AE62&gt;0,NOT(ISNUMBER(D62))),"",SUM(E62:P62))</f>
        <v>3094.590759479378</v>
      </c>
    </row>
    <row r="63" spans="1:17">
      <c r="A63" s="1" t="s">
        <v>183</v>
      </c>
      <c r="B63" s="1" t="s">
        <v>184</v>
      </c>
      <c r="C63" s="1" t="s">
        <v>3</v>
      </c>
      <c r="D63" s="5">
        <f>IF(ISNUMBER(Precios!H63),Precios!H63,"")</f>
        <v>2.5119370434782615</v>
      </c>
      <c r="E63" s="5">
        <f>IF(Unidades!S63=0,0,IF(ISNUMBER($D63),Unidades!S63*$D63,""))</f>
        <v>78122.504953830678</v>
      </c>
      <c r="F63" s="5">
        <f>IF(Unidades!T63=0,0,IF(ISNUMBER($D63),Unidades!T63*$D63,""))</f>
        <v>67661.48750304147</v>
      </c>
      <c r="G63" s="5">
        <f>IF(Unidades!U63=0,0,IF(ISNUMBER($D63),Unidades!U63*$D63,""))</f>
        <v>50466.446169791787</v>
      </c>
      <c r="H63" s="5">
        <f>IF(Unidades!V63=0,0,IF(ISNUMBER($D63),Unidades!V63*$D63,""))</f>
        <v>68312.55492668871</v>
      </c>
      <c r="I63" s="5">
        <f>IF(Unidades!W63=0,0,IF(ISNUMBER($D63),Unidades!W63*$D63,""))</f>
        <v>68228.907557809915</v>
      </c>
      <c r="J63" s="5">
        <f>IF(Unidades!X63=0,0,IF(ISNUMBER($D63),Unidades!X63*$D63,""))</f>
        <v>90197.272179222622</v>
      </c>
      <c r="K63" s="5">
        <f>IF(Unidades!Y63=0,0,IF(ISNUMBER($D63),Unidades!Y63*$D63,""))</f>
        <v>59598.651225914698</v>
      </c>
      <c r="L63" s="5">
        <f>IF(Unidades!Z63=0,0,IF(ISNUMBER($D63),Unidades!Z63*$D63,""))</f>
        <v>43631.670734152707</v>
      </c>
      <c r="M63" s="5">
        <f>IF(Unidades!AA63=0,0,IF(ISNUMBER($D63),Unidades!AA63*$D63,""))</f>
        <v>22334.423513733924</v>
      </c>
      <c r="N63" s="5">
        <f>IF(Unidades!AB63=0,0,IF(ISNUMBER($D63),Unidades!AB63*$D63,""))</f>
        <v>33091.076242016235</v>
      </c>
      <c r="O63" s="5">
        <f>IF(Unidades!AC63=0,0,IF(ISNUMBER($D63),Unidades!AC63*$D63,""))</f>
        <v>51760.59940939943</v>
      </c>
      <c r="P63" s="5">
        <f>IF(Unidades!AD63=0,0,IF(ISNUMBER($D63),Unidades!AD63*$D63,""))</f>
        <v>18965.079588990924</v>
      </c>
      <c r="Q63" s="5">
        <f>IF(AND(Unidades!AE63&gt;0,NOT(ISNUMBER(D63))),"",SUM(E63:P63))</f>
        <v>652370.67400459305</v>
      </c>
    </row>
    <row r="64" spans="1:17">
      <c r="A64" s="1" t="s">
        <v>185</v>
      </c>
      <c r="B64" s="1" t="s">
        <v>186</v>
      </c>
      <c r="C64" s="1" t="s">
        <v>3</v>
      </c>
      <c r="D64" s="5">
        <f>IF(ISNUMBER(Precios!H64),Precios!H64,"")</f>
        <v>7.0400000000000009</v>
      </c>
      <c r="E64" s="5">
        <f>IF(Unidades!S64=0,0,IF(ISNUMBER($D64),Unidades!S64*$D64,""))</f>
        <v>0</v>
      </c>
      <c r="F64" s="5">
        <f>IF(Unidades!T64=0,0,IF(ISNUMBER($D64),Unidades!T64*$D64,""))</f>
        <v>0</v>
      </c>
      <c r="G64" s="5">
        <f>IF(Unidades!U64=0,0,IF(ISNUMBER($D64),Unidades!U64*$D64,""))</f>
        <v>0</v>
      </c>
      <c r="H64" s="5">
        <f>IF(Unidades!V64=0,0,IF(ISNUMBER($D64),Unidades!V64*$D64,""))</f>
        <v>0</v>
      </c>
      <c r="I64" s="5">
        <f>IF(Unidades!W64=0,0,IF(ISNUMBER($D64),Unidades!W64*$D64,""))</f>
        <v>0</v>
      </c>
      <c r="J64" s="5">
        <f>IF(Unidades!X64=0,0,IF(ISNUMBER($D64),Unidades!X64*$D64,""))</f>
        <v>0</v>
      </c>
      <c r="K64" s="5">
        <f>IF(Unidades!Y64=0,0,IF(ISNUMBER($D64),Unidades!Y64*$D64,""))</f>
        <v>0</v>
      </c>
      <c r="L64" s="5">
        <f>IF(Unidades!Z64=0,0,IF(ISNUMBER($D64),Unidades!Z64*$D64,""))</f>
        <v>0</v>
      </c>
      <c r="M64" s="5">
        <f>IF(Unidades!AA64=0,0,IF(ISNUMBER($D64),Unidades!AA64*$D64,""))</f>
        <v>0</v>
      </c>
      <c r="N64" s="5">
        <f>IF(Unidades!AB64=0,0,IF(ISNUMBER($D64),Unidades!AB64*$D64,""))</f>
        <v>0</v>
      </c>
      <c r="O64" s="5">
        <f>IF(Unidades!AC64=0,0,IF(ISNUMBER($D64),Unidades!AC64*$D64,""))</f>
        <v>0</v>
      </c>
      <c r="P64" s="5">
        <f>IF(Unidades!AD64=0,0,IF(ISNUMBER($D64),Unidades!AD64*$D64,""))</f>
        <v>96.271048723123187</v>
      </c>
      <c r="Q64" s="5">
        <f>IF(AND(Unidades!AE64&gt;0,NOT(ISNUMBER(D64))),"",SUM(E64:P64))</f>
        <v>96.271048723123187</v>
      </c>
    </row>
    <row r="65" spans="1:17">
      <c r="A65" s="1" t="s">
        <v>187</v>
      </c>
      <c r="B65" s="1" t="s">
        <v>188</v>
      </c>
      <c r="C65" s="1" t="s">
        <v>3</v>
      </c>
      <c r="D65" s="5">
        <f>IF(ISNUMBER(Precios!H65),Precios!H65,"")</f>
        <v>2.5520000000000005</v>
      </c>
      <c r="E65" s="5">
        <f>IF(Unidades!S65=0,0,IF(ISNUMBER($D65),Unidades!S65*$D65,""))</f>
        <v>1160.2285200000001</v>
      </c>
      <c r="F65" s="5">
        <f>IF(Unidades!T65=0,0,IF(ISNUMBER($D65),Unidades!T65*$D65,""))</f>
        <v>4506.7127930476991</v>
      </c>
      <c r="G65" s="5">
        <f>IF(Unidades!U65=0,0,IF(ISNUMBER($D65),Unidades!U65*$D65,""))</f>
        <v>2806.5891763668392</v>
      </c>
      <c r="H65" s="5">
        <f>IF(Unidades!V65=0,0,IF(ISNUMBER($D65),Unidades!V65*$D65,""))</f>
        <v>2120.5440498277198</v>
      </c>
      <c r="I65" s="5">
        <f>IF(Unidades!W65=0,0,IF(ISNUMBER($D65),Unidades!W65*$D65,""))</f>
        <v>2324.4432640000014</v>
      </c>
      <c r="J65" s="5">
        <f>IF(Unidades!X65=0,0,IF(ISNUMBER($D65),Unidades!X65*$D65,""))</f>
        <v>5463.0740560000022</v>
      </c>
      <c r="K65" s="5">
        <f>IF(Unidades!Y65=0,0,IF(ISNUMBER($D65),Unidades!Y65*$D65,""))</f>
        <v>1630.4779040000005</v>
      </c>
      <c r="L65" s="5">
        <f>IF(Unidades!Z65=0,0,IF(ISNUMBER($D65),Unidades!Z65*$D65,""))</f>
        <v>1500.948592000002</v>
      </c>
      <c r="M65" s="5">
        <f>IF(Unidades!AA65=0,0,IF(ISNUMBER($D65),Unidades!AA65*$D65,""))</f>
        <v>89.672176000002139</v>
      </c>
      <c r="N65" s="5">
        <f>IF(Unidades!AB65=0,0,IF(ISNUMBER($D65),Unidades!AB65*$D65,""))</f>
        <v>2200.1940400000017</v>
      </c>
      <c r="O65" s="5">
        <f>IF(Unidades!AC65=0,0,IF(ISNUMBER($D65),Unidades!AC65*$D65,""))</f>
        <v>4647.0669519999983</v>
      </c>
      <c r="P65" s="5">
        <f>IF(Unidades!AD65=0,0,IF(ISNUMBER($D65),Unidades!AD65*$D65,""))</f>
        <v>1131.1637919999982</v>
      </c>
      <c r="Q65" s="5">
        <f>IF(AND(Unidades!AE65&gt;0,NOT(ISNUMBER(D65))),"",SUM(E65:P65))</f>
        <v>29581.115315242263</v>
      </c>
    </row>
    <row r="66" spans="1:17">
      <c r="A66" s="1" t="s">
        <v>189</v>
      </c>
      <c r="B66" s="1" t="s">
        <v>190</v>
      </c>
      <c r="C66" s="1" t="s">
        <v>3</v>
      </c>
      <c r="D66" s="5">
        <f>IF(ISNUMBER(Precios!H66),Precios!H66,"")</f>
        <v>1.903</v>
      </c>
      <c r="E66" s="5">
        <f>IF(Unidades!S66=0,0,IF(ISNUMBER($D66),Unidades!S66*$D66,""))</f>
        <v>0</v>
      </c>
      <c r="F66" s="5">
        <f>IF(Unidades!T66=0,0,IF(ISNUMBER($D66),Unidades!T66*$D66,""))</f>
        <v>137.46729004482273</v>
      </c>
      <c r="G66" s="5">
        <f>IF(Unidades!U66=0,0,IF(ISNUMBER($D66),Unidades!U66*$D66,""))</f>
        <v>296.51137835846731</v>
      </c>
      <c r="H66" s="5">
        <f>IF(Unidades!V66=0,0,IF(ISNUMBER($D66),Unidades!V66*$D66,""))</f>
        <v>502.92959749999994</v>
      </c>
      <c r="I66" s="5">
        <f>IF(Unidades!W66=0,0,IF(ISNUMBER($D66),Unidades!W66*$D66,""))</f>
        <v>1271.1087207216492</v>
      </c>
      <c r="J66" s="5">
        <f>IF(Unidades!X66=0,0,IF(ISNUMBER($D66),Unidades!X66*$D66,""))</f>
        <v>774.58337833684197</v>
      </c>
      <c r="K66" s="5">
        <f>IF(Unidades!Y66=0,0,IF(ISNUMBER($D66),Unidades!Y66*$D66,""))</f>
        <v>2028.3824101315788</v>
      </c>
      <c r="L66" s="5">
        <f>IF(Unidades!Z66=0,0,IF(ISNUMBER($D66),Unidades!Z66*$D66,""))</f>
        <v>135.43477226052605</v>
      </c>
      <c r="M66" s="5">
        <f>IF(Unidades!AA66=0,0,IF(ISNUMBER($D66),Unidades!AA66*$D66,""))</f>
        <v>183.54216155000043</v>
      </c>
      <c r="N66" s="5">
        <f>IF(Unidades!AB66=0,0,IF(ISNUMBER($D66),Unidades!AB66*$D66,""))</f>
        <v>239.18921179999981</v>
      </c>
      <c r="O66" s="5">
        <f>IF(Unidades!AC66=0,0,IF(ISNUMBER($D66),Unidades!AC66*$D66,""))</f>
        <v>421.34344033157885</v>
      </c>
      <c r="P66" s="5">
        <f>IF(Unidades!AD66=0,0,IF(ISNUMBER($D66),Unidades!AD66*$D66,""))</f>
        <v>3071.7693159999999</v>
      </c>
      <c r="Q66" s="5">
        <f>IF(AND(Unidades!AE66&gt;0,NOT(ISNUMBER(D66))),"",SUM(E66:P66))</f>
        <v>9062.2616770354653</v>
      </c>
    </row>
    <row r="67" spans="1:17">
      <c r="A67" s="1" t="s">
        <v>191</v>
      </c>
      <c r="B67" s="1" t="s">
        <v>192</v>
      </c>
      <c r="C67" s="1" t="s">
        <v>3</v>
      </c>
      <c r="D67" s="5">
        <f>IF(ISNUMBER(Precios!H67),Precios!H67,"")</f>
        <v>31.35</v>
      </c>
      <c r="E67" s="5">
        <f>IF(Unidades!S67=0,0,IF(ISNUMBER($D67),Unidades!S67*$D67,""))</f>
        <v>1808.4731535011604</v>
      </c>
      <c r="F67" s="5">
        <f>IF(Unidades!T67=0,0,IF(ISNUMBER($D67),Unidades!T67*$D67,""))</f>
        <v>10317.864975</v>
      </c>
      <c r="G67" s="5">
        <f>IF(Unidades!U67=0,0,IF(ISNUMBER($D67),Unidades!U67*$D67,""))</f>
        <v>19548.134870744962</v>
      </c>
      <c r="H67" s="5">
        <f>IF(Unidades!V67=0,0,IF(ISNUMBER($D67),Unidades!V67*$D67,""))</f>
        <v>7867.7213999999985</v>
      </c>
      <c r="I67" s="5">
        <f>IF(Unidades!W67=0,0,IF(ISNUMBER($D67),Unidades!W67*$D67,""))</f>
        <v>4386.5703750000039</v>
      </c>
      <c r="J67" s="5">
        <f>IF(Unidades!X67=0,0,IF(ISNUMBER($D67),Unidades!X67*$D67,""))</f>
        <v>7327.9057499999972</v>
      </c>
      <c r="K67" s="5">
        <f>IF(Unidades!Y67=0,0,IF(ISNUMBER($D67),Unidades!Y67*$D67,""))</f>
        <v>11334.840165000001</v>
      </c>
      <c r="L67" s="5">
        <f>IF(Unidades!Z67=0,0,IF(ISNUMBER($D67),Unidades!Z67*$D67,""))</f>
        <v>11886.208290000004</v>
      </c>
      <c r="M67" s="5">
        <f>IF(Unidades!AA67=0,0,IF(ISNUMBER($D67),Unidades!AA67*$D67,""))</f>
        <v>4393.9062750000021</v>
      </c>
      <c r="N67" s="5">
        <f>IF(Unidades!AB67=0,0,IF(ISNUMBER($D67),Unidades!AB67*$D67,""))</f>
        <v>4094.4824250000038</v>
      </c>
      <c r="O67" s="5">
        <f>IF(Unidades!AC67=0,0,IF(ISNUMBER($D67),Unidades!AC67*$D67,""))</f>
        <v>1531.3315050000049</v>
      </c>
      <c r="P67" s="5">
        <f>IF(Unidades!AD67=0,0,IF(ISNUMBER($D67),Unidades!AD67*$D67,""))</f>
        <v>13476.581250000001</v>
      </c>
      <c r="Q67" s="5">
        <f>IF(AND(Unidades!AE67&gt;0,NOT(ISNUMBER(D67))),"",SUM(E67:P67))</f>
        <v>97974.020434246151</v>
      </c>
    </row>
    <row r="68" spans="1:17">
      <c r="A68" s="1" t="s">
        <v>193</v>
      </c>
      <c r="B68" s="1" t="s">
        <v>194</v>
      </c>
      <c r="C68" s="1" t="s">
        <v>3</v>
      </c>
      <c r="D68" s="5">
        <f>IF(ISNUMBER(Precios!H68),Precios!H68,"")</f>
        <v>0.58300000000000007</v>
      </c>
      <c r="E68" s="5">
        <f>IF(Unidades!S68=0,0,IF(ISNUMBER($D68),Unidades!S68*$D68,""))</f>
        <v>0</v>
      </c>
      <c r="F68" s="5">
        <f>IF(Unidades!T68=0,0,IF(ISNUMBER($D68),Unidades!T68*$D68,""))</f>
        <v>30.316000000000003</v>
      </c>
      <c r="G68" s="5">
        <f>IF(Unidades!U68=0,0,IF(ISNUMBER($D68),Unidades!U68*$D68,""))</f>
        <v>38.478000000000002</v>
      </c>
      <c r="H68" s="5">
        <f>IF(Unidades!V68=0,0,IF(ISNUMBER($D68),Unidades!V68*$D68,""))</f>
        <v>18.656000000000002</v>
      </c>
      <c r="I68" s="5">
        <f>IF(Unidades!W68=0,0,IF(ISNUMBER($D68),Unidades!W68*$D68,""))</f>
        <v>37.895000000000003</v>
      </c>
      <c r="J68" s="5">
        <f>IF(Unidades!X68=0,0,IF(ISNUMBER($D68),Unidades!X68*$D68,""))</f>
        <v>5.830000000000001</v>
      </c>
      <c r="K68" s="5">
        <f>IF(Unidades!Y68=0,0,IF(ISNUMBER($D68),Unidades!Y68*$D68,""))</f>
        <v>0</v>
      </c>
      <c r="L68" s="5">
        <f>IF(Unidades!Z68=0,0,IF(ISNUMBER($D68),Unidades!Z68*$D68,""))</f>
        <v>118.93200000000002</v>
      </c>
      <c r="M68" s="5">
        <f>IF(Unidades!AA68=0,0,IF(ISNUMBER($D68),Unidades!AA68*$D68,""))</f>
        <v>269.34600000000006</v>
      </c>
      <c r="N68" s="5">
        <f>IF(Unidades!AB68=0,0,IF(ISNUMBER($D68),Unidades!AB68*$D68,""))</f>
        <v>153.91200000000001</v>
      </c>
      <c r="O68" s="5">
        <f>IF(Unidades!AC68=0,0,IF(ISNUMBER($D68),Unidades!AC68*$D68,""))</f>
        <v>230.86800000000002</v>
      </c>
      <c r="P68" s="5">
        <f>IF(Unidades!AD68=0,0,IF(ISNUMBER($D68),Unidades!AD68*$D68,""))</f>
        <v>115.43400000000001</v>
      </c>
      <c r="Q68" s="5">
        <f>IF(AND(Unidades!AE68&gt;0,NOT(ISNUMBER(D68))),"",SUM(E68:P68))</f>
        <v>1019.6670000000001</v>
      </c>
    </row>
    <row r="69" spans="1:17">
      <c r="A69" s="1" t="s">
        <v>195</v>
      </c>
      <c r="B69" s="1" t="s">
        <v>196</v>
      </c>
      <c r="C69" s="1" t="s">
        <v>3</v>
      </c>
      <c r="D69" s="5">
        <f>IF(ISNUMBER(Precios!H69),Precios!H69,"")</f>
        <v>0.60500000000000009</v>
      </c>
      <c r="E69" s="5">
        <f>IF(Unidades!S69=0,0,IF(ISNUMBER($D69),Unidades!S69*$D69,""))</f>
        <v>1791.7655800000002</v>
      </c>
      <c r="F69" s="5">
        <f>IF(Unidades!T69=0,0,IF(ISNUMBER($D69),Unidades!T69*$D69,""))</f>
        <v>2257.1066729131303</v>
      </c>
      <c r="G69" s="5">
        <f>IF(Unidades!U69=0,0,IF(ISNUMBER($D69),Unidades!U69*$D69,""))</f>
        <v>2259.0866327840777</v>
      </c>
      <c r="H69" s="5">
        <f>IF(Unidades!V69=0,0,IF(ISNUMBER($D69),Unidades!V69*$D69,""))</f>
        <v>2077.8906500000007</v>
      </c>
      <c r="I69" s="5">
        <f>IF(Unidades!W69=0,0,IF(ISNUMBER($D69),Unidades!W69*$D69,""))</f>
        <v>2505.4187400000005</v>
      </c>
      <c r="J69" s="5">
        <f>IF(Unidades!X69=0,0,IF(ISNUMBER($D69),Unidades!X69*$D69,""))</f>
        <v>3209.75974</v>
      </c>
      <c r="K69" s="5">
        <f>IF(Unidades!Y69=0,0,IF(ISNUMBER($D69),Unidades!Y69*$D69,""))</f>
        <v>2464.4929100000013</v>
      </c>
      <c r="L69" s="5">
        <f>IF(Unidades!Z69=0,0,IF(ISNUMBER($D69),Unidades!Z69*$D69,""))</f>
        <v>1281.3089300000013</v>
      </c>
      <c r="M69" s="5">
        <f>IF(Unidades!AA69=0,0,IF(ISNUMBER($D69),Unidades!AA69*$D69,""))</f>
        <v>794.25125999999898</v>
      </c>
      <c r="N69" s="5">
        <f>IF(Unidades!AB69=0,0,IF(ISNUMBER($D69),Unidades!AB69*$D69,""))</f>
        <v>3421.8134500000001</v>
      </c>
      <c r="O69" s="5">
        <f>IF(Unidades!AC69=0,0,IF(ISNUMBER($D69),Unidades!AC69*$D69,""))</f>
        <v>3418.4399699999994</v>
      </c>
      <c r="P69" s="5">
        <f>IF(Unidades!AD69=0,0,IF(ISNUMBER($D69),Unidades!AD69*$D69,""))</f>
        <v>1575.6886200000022</v>
      </c>
      <c r="Q69" s="5">
        <f>IF(AND(Unidades!AE69&gt;0,NOT(ISNUMBER(D69))),"",SUM(E69:P69))</f>
        <v>27057.023155697214</v>
      </c>
    </row>
    <row r="70" spans="1:17">
      <c r="A70" s="1" t="s">
        <v>197</v>
      </c>
      <c r="B70" s="1" t="s">
        <v>198</v>
      </c>
      <c r="C70" s="1" t="s">
        <v>3</v>
      </c>
      <c r="D70" s="5">
        <f>IF(ISNUMBER(Precios!H70),Precios!H70,"")</f>
        <v>0.36410000000000003</v>
      </c>
      <c r="E70" s="5">
        <f>IF(Unidades!S70=0,0,IF(ISNUMBER($D70),Unidades!S70*$D70,""))</f>
        <v>3823.2372250558806</v>
      </c>
      <c r="F70" s="5">
        <f>IF(Unidades!T70=0,0,IF(ISNUMBER($D70),Unidades!T70*$D70,""))</f>
        <v>9226.5065760148609</v>
      </c>
      <c r="G70" s="5">
        <f>IF(Unidades!U70=0,0,IF(ISNUMBER($D70),Unidades!U70*$D70,""))</f>
        <v>7146.490799356684</v>
      </c>
      <c r="H70" s="5">
        <f>IF(Unidades!V70=0,0,IF(ISNUMBER($D70),Unidades!V70*$D70,""))</f>
        <v>7877.9515980000006</v>
      </c>
      <c r="I70" s="5">
        <f>IF(Unidades!W70=0,0,IF(ISNUMBER($D70),Unidades!W70*$D70,""))</f>
        <v>7316.5990850192766</v>
      </c>
      <c r="J70" s="5">
        <f>IF(Unidades!X70=0,0,IF(ISNUMBER($D70),Unidades!X70*$D70,""))</f>
        <v>10515.452675200004</v>
      </c>
      <c r="K70" s="5">
        <f>IF(Unidades!Y70=0,0,IF(ISNUMBER($D70),Unidades!Y70*$D70,""))</f>
        <v>6315.114609100001</v>
      </c>
      <c r="L70" s="5">
        <f>IF(Unidades!Z70=0,0,IF(ISNUMBER($D70),Unidades!Z70*$D70,""))</f>
        <v>10301.766026200003</v>
      </c>
      <c r="M70" s="5">
        <f>IF(Unidades!AA70=0,0,IF(ISNUMBER($D70),Unidades!AA70*$D70,""))</f>
        <v>2883.0690504000045</v>
      </c>
      <c r="N70" s="5">
        <f>IF(Unidades!AB70=0,0,IF(ISNUMBER($D70),Unidades!AB70*$D70,""))</f>
        <v>8286.6392839999971</v>
      </c>
      <c r="O70" s="5">
        <f>IF(Unidades!AC70=0,0,IF(ISNUMBER($D70),Unidades!AC70*$D70,""))</f>
        <v>8169.2621824000016</v>
      </c>
      <c r="P70" s="5">
        <f>IF(Unidades!AD70=0,0,IF(ISNUMBER($D70),Unidades!AD70*$D70,""))</f>
        <v>850.39487280000276</v>
      </c>
      <c r="Q70" s="5">
        <f>IF(AND(Unidades!AE70&gt;0,NOT(ISNUMBER(D70))),"",SUM(E70:P70))</f>
        <v>82712.483983546714</v>
      </c>
    </row>
    <row r="71" spans="1:17">
      <c r="A71" s="1" t="s">
        <v>199</v>
      </c>
      <c r="B71" s="1" t="s">
        <v>200</v>
      </c>
      <c r="C71" s="1" t="s">
        <v>3</v>
      </c>
      <c r="D71" s="5">
        <f>IF(ISNUMBER(Precios!H71),Precios!H71,"")</f>
        <v>0.36630000000000001</v>
      </c>
      <c r="E71" s="5">
        <f>IF(Unidades!S71=0,0,IF(ISNUMBER($D71),Unidades!S71*$D71,""))</f>
        <v>0</v>
      </c>
      <c r="F71" s="5">
        <f>IF(Unidades!T71=0,0,IF(ISNUMBER($D71),Unidades!T71*$D71,""))</f>
        <v>684.03309917969648</v>
      </c>
      <c r="G71" s="5">
        <f>IF(Unidades!U71=0,0,IF(ISNUMBER($D71),Unidades!U71*$D71,""))</f>
        <v>953.6114684068865</v>
      </c>
      <c r="H71" s="5">
        <f>IF(Unidades!V71=0,0,IF(ISNUMBER($D71),Unidades!V71*$D71,""))</f>
        <v>1123.0007085</v>
      </c>
      <c r="I71" s="5">
        <f>IF(Unidades!W71=0,0,IF(ISNUMBER($D71),Unidades!W71*$D71,""))</f>
        <v>1261.4054706464997</v>
      </c>
      <c r="J71" s="5">
        <f>IF(Unidades!X71=0,0,IF(ISNUMBER($D71),Unidades!X71*$D71,""))</f>
        <v>1817.5600872</v>
      </c>
      <c r="K71" s="5">
        <f>IF(Unidades!Y71=0,0,IF(ISNUMBER($D71),Unidades!Y71*$D71,""))</f>
        <v>924.72782985000003</v>
      </c>
      <c r="L71" s="5">
        <f>IF(Unidades!Z71=0,0,IF(ISNUMBER($D71),Unidades!Z71*$D71,""))</f>
        <v>1550.4211601999996</v>
      </c>
      <c r="M71" s="5">
        <f>IF(Unidades!AA71=0,0,IF(ISNUMBER($D71),Unidades!AA71*$D71,""))</f>
        <v>407.63988540000008</v>
      </c>
      <c r="N71" s="5">
        <f>IF(Unidades!AB71=0,0,IF(ISNUMBER($D71),Unidades!AB71*$D71,""))</f>
        <v>1090.4146604999996</v>
      </c>
      <c r="O71" s="5">
        <f>IF(Unidades!AC71=0,0,IF(ISNUMBER($D71),Unidades!AC71*$D71,""))</f>
        <v>1302.9421036499994</v>
      </c>
      <c r="P71" s="5">
        <f>IF(Unidades!AD71=0,0,IF(ISNUMBER($D71),Unidades!AD71*$D71,""))</f>
        <v>241.64298180000057</v>
      </c>
      <c r="Q71" s="5">
        <f>IF(AND(Unidades!AE71&gt;0,NOT(ISNUMBER(D71))),"",SUM(E71:P71))</f>
        <v>11357.399455333081</v>
      </c>
    </row>
    <row r="72" spans="1:17">
      <c r="A72" s="1" t="s">
        <v>201</v>
      </c>
      <c r="B72" s="1" t="s">
        <v>202</v>
      </c>
      <c r="C72" s="1" t="s">
        <v>3</v>
      </c>
      <c r="D72" s="5">
        <f>IF(ISNUMBER(Precios!H72),Precios!H72,"")</f>
        <v>1.0780000000000001</v>
      </c>
      <c r="E72" s="5">
        <f>IF(Unidades!S72=0,0,IF(ISNUMBER($D72),Unidades!S72*$D72,""))</f>
        <v>37967.843727806045</v>
      </c>
      <c r="F72" s="5">
        <f>IF(Unidades!T72=0,0,IF(ISNUMBER($D72),Unidades!T72*$D72,""))</f>
        <v>32036.227895175816</v>
      </c>
      <c r="G72" s="5">
        <f>IF(Unidades!U72=0,0,IF(ISNUMBER($D72),Unidades!U72*$D72,""))</f>
        <v>15146.789349999997</v>
      </c>
      <c r="H72" s="5">
        <f>IF(Unidades!V72=0,0,IF(ISNUMBER($D72),Unidades!V72*$D72,""))</f>
        <v>28853.24134</v>
      </c>
      <c r="I72" s="5">
        <f>IF(Unidades!W72=0,0,IF(ISNUMBER($D72),Unidades!W72*$D72,""))</f>
        <v>26293.503389999991</v>
      </c>
      <c r="J72" s="5">
        <f>IF(Unidades!X72=0,0,IF(ISNUMBER($D72),Unidades!X72*$D72,""))</f>
        <v>40599.574553999999</v>
      </c>
      <c r="K72" s="5">
        <f>IF(Unidades!Y72=0,0,IF(ISNUMBER($D72),Unidades!Y72*$D72,""))</f>
        <v>21802.161920000017</v>
      </c>
      <c r="L72" s="5">
        <f>IF(Unidades!Z72=0,0,IF(ISNUMBER($D72),Unidades!Z72*$D72,""))</f>
        <v>20325.873260000015</v>
      </c>
      <c r="M72" s="5">
        <f>IF(Unidades!AA72=0,0,IF(ISNUMBER($D72),Unidades!AA72*$D72,""))</f>
        <v>8459.227699999994</v>
      </c>
      <c r="N72" s="5">
        <f>IF(Unidades!AB72=0,0,IF(ISNUMBER($D72),Unidades!AB72*$D72,""))</f>
        <v>11381.209224000015</v>
      </c>
      <c r="O72" s="5">
        <f>IF(Unidades!AC72=0,0,IF(ISNUMBER($D72),Unidades!AC72*$D72,""))</f>
        <v>21190.021775999987</v>
      </c>
      <c r="P72" s="5">
        <f>IF(Unidades!AD72=0,0,IF(ISNUMBER($D72),Unidades!AD72*$D72,""))</f>
        <v>2467.0957080000112</v>
      </c>
      <c r="Q72" s="5">
        <f>IF(AND(Unidades!AE72&gt;0,NOT(ISNUMBER(D72))),"",SUM(E72:P72))</f>
        <v>266522.7698449819</v>
      </c>
    </row>
    <row r="73" spans="1:17">
      <c r="A73" s="1" t="s">
        <v>203</v>
      </c>
      <c r="B73" s="1" t="s">
        <v>204</v>
      </c>
      <c r="C73" s="1" t="s">
        <v>3</v>
      </c>
      <c r="D73" s="5">
        <f>IF(ISNUMBER(Precios!H73),Precios!H73,"")</f>
        <v>3.5420000000000007</v>
      </c>
      <c r="E73" s="5">
        <f>IF(Unidades!S73=0,0,IF(ISNUMBER($D73),Unidades!S73*$D73,""))</f>
        <v>0</v>
      </c>
      <c r="F73" s="5">
        <f>IF(Unidades!T73=0,0,IF(ISNUMBER($D73),Unidades!T73*$D73,""))</f>
        <v>2673.5016000000005</v>
      </c>
      <c r="G73" s="5">
        <f>IF(Unidades!U73=0,0,IF(ISNUMBER($D73),Unidades!U73*$D73,""))</f>
        <v>11724.042749923816</v>
      </c>
      <c r="H73" s="5">
        <f>IF(Unidades!V73=0,0,IF(ISNUMBER($D73),Unidades!V73*$D73,""))</f>
        <v>583.36739999999952</v>
      </c>
      <c r="I73" s="5">
        <f>IF(Unidades!W73=0,0,IF(ISNUMBER($D73),Unidades!W73*$D73,""))</f>
        <v>9016.5151999999998</v>
      </c>
      <c r="J73" s="5">
        <f>IF(Unidades!X73=0,0,IF(ISNUMBER($D73),Unidades!X73*$D73,""))</f>
        <v>927.14683599999955</v>
      </c>
      <c r="K73" s="5">
        <f>IF(Unidades!Y73=0,0,IF(ISNUMBER($D73),Unidades!Y73*$D73,""))</f>
        <v>0</v>
      </c>
      <c r="L73" s="5">
        <f>IF(Unidades!Z73=0,0,IF(ISNUMBER($D73),Unidades!Z73*$D73,""))</f>
        <v>418.02684000000164</v>
      </c>
      <c r="M73" s="5">
        <f>IF(Unidades!AA73=0,0,IF(ISNUMBER($D73),Unidades!AA73*$D73,""))</f>
        <v>2617.5734200000011</v>
      </c>
      <c r="N73" s="5">
        <f>IF(Unidades!AB73=0,0,IF(ISNUMBER($D73),Unidades!AB73*$D73,""))</f>
        <v>4093.4185600000019</v>
      </c>
      <c r="O73" s="5">
        <f>IF(Unidades!AC73=0,0,IF(ISNUMBER($D73),Unidades!AC73*$D73,""))</f>
        <v>934.20958400000166</v>
      </c>
      <c r="P73" s="5">
        <f>IF(Unidades!AD73=0,0,IF(ISNUMBER($D73),Unidades!AD73*$D73,""))</f>
        <v>7153.2106800000047</v>
      </c>
      <c r="Q73" s="5">
        <f>IF(AND(Unidades!AE73&gt;0,NOT(ISNUMBER(D73))),"",SUM(E73:P73))</f>
        <v>40141.012869923827</v>
      </c>
    </row>
    <row r="74" spans="1:17">
      <c r="A74" s="1" t="s">
        <v>205</v>
      </c>
      <c r="B74" s="1" t="s">
        <v>206</v>
      </c>
      <c r="C74" s="1" t="s">
        <v>3</v>
      </c>
      <c r="D74" s="5">
        <f>IF(ISNUMBER(Precios!H74),Precios!H74,"")</f>
        <v>1.4960000000000002</v>
      </c>
      <c r="E74" s="5">
        <f>IF(Unidades!S74=0,0,IF(ISNUMBER($D74),Unidades!S74*$D74,""))</f>
        <v>0</v>
      </c>
      <c r="F74" s="5">
        <f>IF(Unidades!T74=0,0,IF(ISNUMBER($D74),Unidades!T74*$D74,""))</f>
        <v>0</v>
      </c>
      <c r="G74" s="5">
        <f>IF(Unidades!U74=0,0,IF(ISNUMBER($D74),Unidades!U74*$D74,""))</f>
        <v>0</v>
      </c>
      <c r="H74" s="5">
        <f>IF(Unidades!V74=0,0,IF(ISNUMBER($D74),Unidades!V74*$D74,""))</f>
        <v>0</v>
      </c>
      <c r="I74" s="5">
        <f>IF(Unidades!W74=0,0,IF(ISNUMBER($D74),Unidades!W74*$D74,""))</f>
        <v>0</v>
      </c>
      <c r="J74" s="5">
        <f>IF(Unidades!X74=0,0,IF(ISNUMBER($D74),Unidades!X74*$D74,""))</f>
        <v>0</v>
      </c>
      <c r="K74" s="5">
        <f>IF(Unidades!Y74=0,0,IF(ISNUMBER($D74),Unidades!Y74*$D74,""))</f>
        <v>0</v>
      </c>
      <c r="L74" s="5">
        <f>IF(Unidades!Z74=0,0,IF(ISNUMBER($D74),Unidades!Z74*$D74,""))</f>
        <v>0</v>
      </c>
      <c r="M74" s="5">
        <f>IF(Unidades!AA74=0,0,IF(ISNUMBER($D74),Unidades!AA74*$D74,""))</f>
        <v>0</v>
      </c>
      <c r="N74" s="5">
        <f>IF(Unidades!AB74=0,0,IF(ISNUMBER($D74),Unidades!AB74*$D74,""))</f>
        <v>0</v>
      </c>
      <c r="O74" s="5">
        <f>IF(Unidades!AC74=0,0,IF(ISNUMBER($D74),Unidades!AC74*$D74,""))</f>
        <v>0</v>
      </c>
      <c r="P74" s="5">
        <f>IF(Unidades!AD74=0,0,IF(ISNUMBER($D74),Unidades!AD74*$D74,""))</f>
        <v>0</v>
      </c>
      <c r="Q74" s="5">
        <f>IF(AND(Unidades!AE74&gt;0,NOT(ISNUMBER(D74))),"",SUM(E74:P74))</f>
        <v>0</v>
      </c>
    </row>
    <row r="75" spans="1:17">
      <c r="A75" s="1" t="s">
        <v>207</v>
      </c>
      <c r="B75" s="1" t="s">
        <v>208</v>
      </c>
      <c r="C75" s="1" t="s">
        <v>3</v>
      </c>
      <c r="D75" s="5">
        <f>IF(ISNUMBER(Precios!H75),Precios!H75,"")</f>
        <v>3.1019999999999999</v>
      </c>
      <c r="E75" s="5">
        <f>IF(Unidades!S75=0,0,IF(ISNUMBER($D75),Unidades!S75*$D75,""))</f>
        <v>0</v>
      </c>
      <c r="F75" s="5">
        <f>IF(Unidades!T75=0,0,IF(ISNUMBER($D75),Unidades!T75*$D75,""))</f>
        <v>0</v>
      </c>
      <c r="G75" s="5">
        <f>IF(Unidades!U75=0,0,IF(ISNUMBER($D75),Unidades!U75*$D75,""))</f>
        <v>0</v>
      </c>
      <c r="H75" s="5">
        <f>IF(Unidades!V75=0,0,IF(ISNUMBER($D75),Unidades!V75*$D75,""))</f>
        <v>0</v>
      </c>
      <c r="I75" s="5">
        <f>IF(Unidades!W75=0,0,IF(ISNUMBER($D75),Unidades!W75*$D75,""))</f>
        <v>7742.8686637945757</v>
      </c>
      <c r="J75" s="5">
        <f>IF(Unidades!X75=0,0,IF(ISNUMBER($D75),Unidades!X75*$D75,""))</f>
        <v>8873.8705352748857</v>
      </c>
      <c r="K75" s="5">
        <f>IF(Unidades!Y75=0,0,IF(ISNUMBER($D75),Unidades!Y75*$D75,""))</f>
        <v>6283.6670341144936</v>
      </c>
      <c r="L75" s="5">
        <f>IF(Unidades!Z75=0,0,IF(ISNUMBER($D75),Unidades!Z75*$D75,""))</f>
        <v>2227.5541949706731</v>
      </c>
      <c r="M75" s="5">
        <f>IF(Unidades!AA75=0,0,IF(ISNUMBER($D75),Unidades!AA75*$D75,""))</f>
        <v>1702.2900642380514</v>
      </c>
      <c r="N75" s="5">
        <f>IF(Unidades!AB75=0,0,IF(ISNUMBER($D75),Unidades!AB75*$D75,""))</f>
        <v>1873.1560059258409</v>
      </c>
      <c r="O75" s="5">
        <f>IF(Unidades!AC75=0,0,IF(ISNUMBER($D75),Unidades!AC75*$D75,""))</f>
        <v>3167.218170408245</v>
      </c>
      <c r="P75" s="5">
        <f>IF(Unidades!AD75=0,0,IF(ISNUMBER($D75),Unidades!AD75*$D75,""))</f>
        <v>7043.3274227933243</v>
      </c>
      <c r="Q75" s="5">
        <f>IF(AND(Unidades!AE75&gt;0,NOT(ISNUMBER(D75))),"",SUM(E75:P75))</f>
        <v>38913.952091520085</v>
      </c>
    </row>
    <row r="76" spans="1:17">
      <c r="A76" s="1" t="s">
        <v>209</v>
      </c>
      <c r="B76" s="1" t="s">
        <v>210</v>
      </c>
      <c r="C76" s="1" t="s">
        <v>3</v>
      </c>
      <c r="D76" s="5">
        <f>IF(ISNUMBER(Precios!H76),Precios!H76,"")</f>
        <v>2.4200000000000004</v>
      </c>
      <c r="E76" s="5">
        <f>IF(Unidades!S76=0,0,IF(ISNUMBER($D76),Unidades!S76*$D76,""))</f>
        <v>1304.6869578947369</v>
      </c>
      <c r="F76" s="5">
        <f>IF(Unidades!T76=0,0,IF(ISNUMBER($D76),Unidades!T76*$D76,""))</f>
        <v>874.44280000000026</v>
      </c>
      <c r="G76" s="5">
        <f>IF(Unidades!U76=0,0,IF(ISNUMBER($D76),Unidades!U76*$D76,""))</f>
        <v>38.710150035036236</v>
      </c>
      <c r="H76" s="5">
        <f>IF(Unidades!V76=0,0,IF(ISNUMBER($D76),Unidades!V76*$D76,""))</f>
        <v>1340.4380000000003</v>
      </c>
      <c r="I76" s="5">
        <f>IF(Unidades!W76=0,0,IF(ISNUMBER($D76),Unidades!W76*$D76,""))</f>
        <v>3627.0463263157903</v>
      </c>
      <c r="J76" s="5">
        <f>IF(Unidades!X76=0,0,IF(ISNUMBER($D76),Unidades!X76*$D76,""))</f>
        <v>818.82610526315864</v>
      </c>
      <c r="K76" s="5">
        <f>IF(Unidades!Y76=0,0,IF(ISNUMBER($D76),Unidades!Y76*$D76,""))</f>
        <v>944.72214736842182</v>
      </c>
      <c r="L76" s="5">
        <f>IF(Unidades!Z76=0,0,IF(ISNUMBER($D76),Unidades!Z76*$D76,""))</f>
        <v>432.31771578947377</v>
      </c>
      <c r="M76" s="5">
        <f>IF(Unidades!AA76=0,0,IF(ISNUMBER($D76),Unidades!AA76*$D76,""))</f>
        <v>2598.7654000000011</v>
      </c>
      <c r="N76" s="5">
        <f>IF(Unidades!AB76=0,0,IF(ISNUMBER($D76),Unidades!AB76*$D76,""))</f>
        <v>214.72659999999897</v>
      </c>
      <c r="O76" s="5">
        <f>IF(Unidades!AC76=0,0,IF(ISNUMBER($D76),Unidades!AC76*$D76,""))</f>
        <v>316.61114736842131</v>
      </c>
      <c r="P76" s="5">
        <f>IF(Unidades!AD76=0,0,IF(ISNUMBER($D76),Unidades!AD76*$D76,""))</f>
        <v>2765.0678000000007</v>
      </c>
      <c r="Q76" s="5">
        <f>IF(AND(Unidades!AE76&gt;0,NOT(ISNUMBER(D76))),"",SUM(E76:P76))</f>
        <v>15276.361150035038</v>
      </c>
    </row>
    <row r="77" spans="1:17">
      <c r="A77" s="1" t="s">
        <v>211</v>
      </c>
      <c r="B77" s="1" t="s">
        <v>212</v>
      </c>
      <c r="C77" s="1" t="s">
        <v>3</v>
      </c>
      <c r="D77" s="5">
        <f>IF(ISNUMBER(Precios!H77),Precios!H77,"")</f>
        <v>15.268000000000001</v>
      </c>
      <c r="E77" s="5">
        <f>IF(Unidades!S77=0,0,IF(ISNUMBER($D77),Unidades!S77*$D77,""))</f>
        <v>26.932751999999997</v>
      </c>
      <c r="F77" s="5">
        <f>IF(Unidades!T77=0,0,IF(ISNUMBER($D77),Unidades!T77*$D77,""))</f>
        <v>4625.0741680000001</v>
      </c>
      <c r="G77" s="5">
        <f>IF(Unidades!U77=0,0,IF(ISNUMBER($D77),Unidades!U77*$D77,""))</f>
        <v>469.4280558050786</v>
      </c>
      <c r="H77" s="5">
        <f>IF(Unidades!V77=0,0,IF(ISNUMBER($D77),Unidades!V77*$D77,""))</f>
        <v>797.14227999999969</v>
      </c>
      <c r="I77" s="5">
        <f>IF(Unidades!W77=0,0,IF(ISNUMBER($D77),Unidades!W77*$D77,""))</f>
        <v>685.99124000000018</v>
      </c>
      <c r="J77" s="5">
        <f>IF(Unidades!X77=0,0,IF(ISNUMBER($D77),Unidades!X77*$D77,""))</f>
        <v>377.73032000000018</v>
      </c>
      <c r="K77" s="5">
        <f>IF(Unidades!Y77=0,0,IF(ISNUMBER($D77),Unidades!Y77*$D77,""))</f>
        <v>542.51784400000031</v>
      </c>
      <c r="L77" s="5">
        <f>IF(Unidades!Z77=0,0,IF(ISNUMBER($D77),Unidades!Z77*$D77,""))</f>
        <v>606.93353599999932</v>
      </c>
      <c r="M77" s="5">
        <f>IF(Unidades!AA77=0,0,IF(ISNUMBER($D77),Unidades!AA77*$D77,""))</f>
        <v>21.069839999999932</v>
      </c>
      <c r="N77" s="5">
        <f>IF(Unidades!AB77=0,0,IF(ISNUMBER($D77),Unidades!AB77*$D77,""))</f>
        <v>366.12664000000029</v>
      </c>
      <c r="O77" s="5">
        <f>IF(Unidades!AC77=0,0,IF(ISNUMBER($D77),Unidades!AC77*$D77,""))</f>
        <v>991.01534400000025</v>
      </c>
      <c r="P77" s="5">
        <f>IF(Unidades!AD77=0,0,IF(ISNUMBER($D77),Unidades!AD77*$D77,""))</f>
        <v>4754.9590440000002</v>
      </c>
      <c r="Q77" s="5">
        <f>IF(AND(Unidades!AE77&gt;0,NOT(ISNUMBER(D77))),"",SUM(E77:P77))</f>
        <v>14264.921063805079</v>
      </c>
    </row>
    <row r="78" spans="1:17">
      <c r="A78" s="1" t="s">
        <v>213</v>
      </c>
      <c r="B78" s="1" t="s">
        <v>214</v>
      </c>
      <c r="C78" s="1" t="s">
        <v>3</v>
      </c>
      <c r="D78" s="5">
        <f>IF(ISNUMBER(Precios!H78),Precios!H78,"")</f>
        <v>3.2450000000000006</v>
      </c>
      <c r="E78" s="5">
        <f>IF(Unidades!S78=0,0,IF(ISNUMBER($D78),Unidades!S78*$D78,""))</f>
        <v>0</v>
      </c>
      <c r="F78" s="5">
        <f>IF(Unidades!T78=0,0,IF(ISNUMBER($D78),Unidades!T78*$D78,""))</f>
        <v>0</v>
      </c>
      <c r="G78" s="5">
        <f>IF(Unidades!U78=0,0,IF(ISNUMBER($D78),Unidades!U78*$D78,""))</f>
        <v>0</v>
      </c>
      <c r="H78" s="5">
        <f>IF(Unidades!V78=0,0,IF(ISNUMBER($D78),Unidades!V78*$D78,""))</f>
        <v>0</v>
      </c>
      <c r="I78" s="5">
        <f>IF(Unidades!W78=0,0,IF(ISNUMBER($D78),Unidades!W78*$D78,""))</f>
        <v>0</v>
      </c>
      <c r="J78" s="5">
        <f>IF(Unidades!X78=0,0,IF(ISNUMBER($D78),Unidades!X78*$D78,""))</f>
        <v>0</v>
      </c>
      <c r="K78" s="5">
        <f>IF(Unidades!Y78=0,0,IF(ISNUMBER($D78),Unidades!Y78*$D78,""))</f>
        <v>0</v>
      </c>
      <c r="L78" s="5">
        <f>IF(Unidades!Z78=0,0,IF(ISNUMBER($D78),Unidades!Z78*$D78,""))</f>
        <v>0</v>
      </c>
      <c r="M78" s="5">
        <f>IF(Unidades!AA78=0,0,IF(ISNUMBER($D78),Unidades!AA78*$D78,""))</f>
        <v>0</v>
      </c>
      <c r="N78" s="5">
        <f>IF(Unidades!AB78=0,0,IF(ISNUMBER($D78),Unidades!AB78*$D78,""))</f>
        <v>0</v>
      </c>
      <c r="O78" s="5">
        <f>IF(Unidades!AC78=0,0,IF(ISNUMBER($D78),Unidades!AC78*$D78,""))</f>
        <v>0</v>
      </c>
      <c r="P78" s="5">
        <f>IF(Unidades!AD78=0,0,IF(ISNUMBER($D78),Unidades!AD78*$D78,""))</f>
        <v>0</v>
      </c>
      <c r="Q78" s="5">
        <f>IF(AND(Unidades!AE78&gt;0,NOT(ISNUMBER(D78))),"",SUM(E78:P78))</f>
        <v>0</v>
      </c>
    </row>
    <row r="79" spans="1:17">
      <c r="A79" s="1" t="s">
        <v>215</v>
      </c>
      <c r="B79" s="1" t="s">
        <v>216</v>
      </c>
      <c r="C79" s="1" t="s">
        <v>3</v>
      </c>
      <c r="D79" s="5">
        <f>IF(ISNUMBER(Precios!H79),Precios!H79,"")</f>
        <v>2.0625</v>
      </c>
      <c r="E79" s="5">
        <f>IF(Unidades!S79=0,0,IF(ISNUMBER($D79),Unidades!S79*$D79,""))</f>
        <v>12903.838579056672</v>
      </c>
      <c r="F79" s="5">
        <f>IF(Unidades!T79=0,0,IF(ISNUMBER($D79),Unidades!T79*$D79,""))</f>
        <v>14317.190544040901</v>
      </c>
      <c r="G79" s="5">
        <f>IF(Unidades!U79=0,0,IF(ISNUMBER($D79),Unidades!U79*$D79,""))</f>
        <v>10879.893750000001</v>
      </c>
      <c r="H79" s="5">
        <f>IF(Unidades!V79=0,0,IF(ISNUMBER($D79),Unidades!V79*$D79,""))</f>
        <v>12230.460000000005</v>
      </c>
      <c r="I79" s="5">
        <f>IF(Unidades!W79=0,0,IF(ISNUMBER($D79),Unidades!W79*$D79,""))</f>
        <v>12589.217549139217</v>
      </c>
      <c r="J79" s="5">
        <f>IF(Unidades!X79=0,0,IF(ISNUMBER($D79),Unidades!X79*$D79,""))</f>
        <v>29992.105171874999</v>
      </c>
      <c r="K79" s="5">
        <f>IF(Unidades!Y79=0,0,IF(ISNUMBER($D79),Unidades!Y79*$D79,""))</f>
        <v>17597.025703125</v>
      </c>
      <c r="L79" s="5">
        <f>IF(Unidades!Z79=0,0,IF(ISNUMBER($D79),Unidades!Z79*$D79,""))</f>
        <v>8997.9573750000018</v>
      </c>
      <c r="M79" s="5">
        <f>IF(Unidades!AA79=0,0,IF(ISNUMBER($D79),Unidades!AA79*$D79,""))</f>
        <v>3745.396874999994</v>
      </c>
      <c r="N79" s="5">
        <f>IF(Unidades!AB79=0,0,IF(ISNUMBER($D79),Unidades!AB79*$D79,""))</f>
        <v>13523.193750000009</v>
      </c>
      <c r="O79" s="5">
        <f>IF(Unidades!AC79=0,0,IF(ISNUMBER($D79),Unidades!AC79*$D79,""))</f>
        <v>12934.927499999991</v>
      </c>
      <c r="P79" s="5">
        <f>IF(Unidades!AD79=0,0,IF(ISNUMBER($D79),Unidades!AD79*$D79,""))</f>
        <v>5668.832812499988</v>
      </c>
      <c r="Q79" s="5">
        <f>IF(AND(Unidades!AE79&gt;0,NOT(ISNUMBER(D79))),"",SUM(E79:P79))</f>
        <v>155380.03960973679</v>
      </c>
    </row>
    <row r="80" spans="1:17">
      <c r="A80" s="1" t="s">
        <v>217</v>
      </c>
      <c r="B80" s="1" t="s">
        <v>218</v>
      </c>
      <c r="C80" s="1" t="s">
        <v>3</v>
      </c>
      <c r="D80" s="5">
        <f>IF(ISNUMBER(Precios!H80),Precios!H80,"")</f>
        <v>1.1880000000000002</v>
      </c>
      <c r="E80" s="5">
        <f>IF(Unidades!S80=0,0,IF(ISNUMBER($D80),Unidades!S80*$D80,""))</f>
        <v>1169.2372335335906</v>
      </c>
      <c r="F80" s="5">
        <f>IF(Unidades!T80=0,0,IF(ISNUMBER($D80),Unidades!T80*$D80,""))</f>
        <v>42.728083200000029</v>
      </c>
      <c r="G80" s="5">
        <f>IF(Unidades!U80=0,0,IF(ISNUMBER($D80),Unidades!U80*$D80,""))</f>
        <v>21.801285789937289</v>
      </c>
      <c r="H80" s="5">
        <f>IF(Unidades!V80=0,0,IF(ISNUMBER($D80),Unidades!V80*$D80,""))</f>
        <v>815.87088000000006</v>
      </c>
      <c r="I80" s="5">
        <f>IF(Unidades!W80=0,0,IF(ISNUMBER($D80),Unidades!W80*$D80,""))</f>
        <v>1015.7171903999999</v>
      </c>
      <c r="J80" s="5">
        <f>IF(Unidades!X80=0,0,IF(ISNUMBER($D80),Unidades!X80*$D80,""))</f>
        <v>450.49530240000001</v>
      </c>
      <c r="K80" s="5">
        <f>IF(Unidades!Y80=0,0,IF(ISNUMBER($D80),Unidades!Y80*$D80,""))</f>
        <v>1243.1517120000001</v>
      </c>
      <c r="L80" s="5">
        <f>IF(Unidades!Z80=0,0,IF(ISNUMBER($D80),Unidades!Z80*$D80,""))</f>
        <v>0</v>
      </c>
      <c r="M80" s="5">
        <f>IF(Unidades!AA80=0,0,IF(ISNUMBER($D80),Unidades!AA80*$D80,""))</f>
        <v>35.32636799999986</v>
      </c>
      <c r="N80" s="5">
        <f>IF(Unidades!AB80=0,0,IF(ISNUMBER($D80),Unidades!AB80*$D80,""))</f>
        <v>472.70044800000028</v>
      </c>
      <c r="O80" s="5">
        <f>IF(Unidades!AC80=0,0,IF(ISNUMBER($D80),Unidades!AC80*$D80,""))</f>
        <v>868.01932800000009</v>
      </c>
      <c r="P80" s="5">
        <f>IF(Unidades!AD80=0,0,IF(ISNUMBER($D80),Unidades!AD80*$D80,""))</f>
        <v>372.75341399999951</v>
      </c>
      <c r="Q80" s="5">
        <f>IF(AND(Unidades!AE80&gt;0,NOT(ISNUMBER(D80))),"",SUM(E80:P80))</f>
        <v>6507.8012453235287</v>
      </c>
    </row>
    <row r="81" spans="1:17">
      <c r="A81" s="1" t="s">
        <v>219</v>
      </c>
      <c r="B81" s="1" t="s">
        <v>220</v>
      </c>
      <c r="C81" s="1" t="s">
        <v>3</v>
      </c>
      <c r="D81" s="5">
        <f>IF(ISNUMBER(Precios!H81),Precios!H81,"")</f>
        <v>0.74250000000000016</v>
      </c>
      <c r="E81" s="5">
        <f>IF(Unidades!S81=0,0,IF(ISNUMBER($D81),Unidades!S81*$D81,""))</f>
        <v>1645.5723075000003</v>
      </c>
      <c r="F81" s="5">
        <f>IF(Unidades!T81=0,0,IF(ISNUMBER($D81),Unidades!T81*$D81,""))</f>
        <v>3200.6683881374606</v>
      </c>
      <c r="G81" s="5">
        <f>IF(Unidades!U81=0,0,IF(ISNUMBER($D81),Unidades!U81*$D81,""))</f>
        <v>1312.3330146532005</v>
      </c>
      <c r="H81" s="5">
        <f>IF(Unidades!V81=0,0,IF(ISNUMBER($D81),Unidades!V81*$D81,""))</f>
        <v>1855.6857000000002</v>
      </c>
      <c r="I81" s="5">
        <f>IF(Unidades!W81=0,0,IF(ISNUMBER($D81),Unidades!W81*$D81,""))</f>
        <v>1262.3056875000009</v>
      </c>
      <c r="J81" s="5">
        <f>IF(Unidades!X81=0,0,IF(ISNUMBER($D81),Unidades!X81*$D81,""))</f>
        <v>3381.0665625000006</v>
      </c>
      <c r="K81" s="5">
        <f>IF(Unidades!Y81=0,0,IF(ISNUMBER($D81),Unidades!Y81*$D81,""))</f>
        <v>818.91958499999919</v>
      </c>
      <c r="L81" s="5">
        <f>IF(Unidades!Z81=0,0,IF(ISNUMBER($D81),Unidades!Z81*$D81,""))</f>
        <v>1956.7592550000018</v>
      </c>
      <c r="M81" s="5">
        <f>IF(Unidades!AA81=0,0,IF(ISNUMBER($D81),Unidades!AA81*$D81,""))</f>
        <v>2098.8945449999992</v>
      </c>
      <c r="N81" s="5">
        <f>IF(Unidades!AB81=0,0,IF(ISNUMBER($D81),Unidades!AB81*$D81,""))</f>
        <v>1851.2010000000009</v>
      </c>
      <c r="O81" s="5">
        <f>IF(Unidades!AC81=0,0,IF(ISNUMBER($D81),Unidades!AC81*$D81,""))</f>
        <v>2227.5445500000014</v>
      </c>
      <c r="P81" s="5">
        <f>IF(Unidades!AD81=0,0,IF(ISNUMBER($D81),Unidades!AD81*$D81,""))</f>
        <v>3832.6201649999998</v>
      </c>
      <c r="Q81" s="5">
        <f>IF(AND(Unidades!AE81&gt;0,NOT(ISNUMBER(D81))),"",SUM(E81:P81))</f>
        <v>25443.570760290666</v>
      </c>
    </row>
    <row r="82" spans="1:17">
      <c r="A82" s="1" t="s">
        <v>221</v>
      </c>
      <c r="B82" s="1" t="s">
        <v>222</v>
      </c>
      <c r="C82" s="1" t="s">
        <v>3</v>
      </c>
      <c r="D82" s="5">
        <f>IF(ISNUMBER(Precios!H82),Precios!H82,"")</f>
        <v>0.49500000000000005</v>
      </c>
      <c r="E82" s="5">
        <f>IF(Unidades!S82=0,0,IF(ISNUMBER($D82),Unidades!S82*$D82,""))</f>
        <v>92.687760000000011</v>
      </c>
      <c r="F82" s="5">
        <f>IF(Unidades!T82=0,0,IF(ISNUMBER($D82),Unidades!T82*$D82,""))</f>
        <v>90.07663500000001</v>
      </c>
      <c r="G82" s="5">
        <f>IF(Unidades!U82=0,0,IF(ISNUMBER($D82),Unidades!U82*$D82,""))</f>
        <v>14.99602500000001</v>
      </c>
      <c r="H82" s="5">
        <f>IF(Unidades!V82=0,0,IF(ISNUMBER($D82),Unidades!V82*$D82,""))</f>
        <v>14.184225000000016</v>
      </c>
      <c r="I82" s="5">
        <f>IF(Unidades!W82=0,0,IF(ISNUMBER($D82),Unidades!W82*$D82,""))</f>
        <v>75.39097500000004</v>
      </c>
      <c r="J82" s="5">
        <f>IF(Unidades!X82=0,0,IF(ISNUMBER($D82),Unidades!X82*$D82,""))</f>
        <v>42.317550000000011</v>
      </c>
      <c r="K82" s="5">
        <f>IF(Unidades!Y82=0,0,IF(ISNUMBER($D82),Unidades!Y82*$D82,""))</f>
        <v>14.174324999999998</v>
      </c>
      <c r="L82" s="5">
        <f>IF(Unidades!Z82=0,0,IF(ISNUMBER($D82),Unidades!Z82*$D82,""))</f>
        <v>92.140785000000022</v>
      </c>
      <c r="M82" s="5">
        <f>IF(Unidades!AA82=0,0,IF(ISNUMBER($D82),Unidades!AA82*$D82,""))</f>
        <v>65.73599999999999</v>
      </c>
      <c r="N82" s="5">
        <f>IF(Unidades!AB82=0,0,IF(ISNUMBER($D82),Unidades!AB82*$D82,""))</f>
        <v>118.11937500000001</v>
      </c>
      <c r="O82" s="5">
        <f>IF(Unidades!AC82=0,0,IF(ISNUMBER($D82),Unidades!AC82*$D82,""))</f>
        <v>17.050274999999971</v>
      </c>
      <c r="P82" s="5">
        <f>IF(Unidades!AD82=0,0,IF(ISNUMBER($D82),Unidades!AD82*$D82,""))</f>
        <v>160.58542499999999</v>
      </c>
      <c r="Q82" s="5">
        <f>IF(AND(Unidades!AE82&gt;0,NOT(ISNUMBER(D82))),"",SUM(E82:P82))</f>
        <v>797.45935500000007</v>
      </c>
    </row>
    <row r="83" spans="1:17">
      <c r="A83" s="1" t="s">
        <v>223</v>
      </c>
      <c r="B83" s="1" t="s">
        <v>224</v>
      </c>
      <c r="C83" s="1" t="s">
        <v>3</v>
      </c>
      <c r="D83" s="5">
        <f>IF(ISNUMBER(Precios!H83),Precios!H83,"")</f>
        <v>4.4416666666666673</v>
      </c>
      <c r="E83" s="5">
        <f>IF(Unidades!S83=0,0,IF(ISNUMBER($D83),Unidades!S83*$D83,""))</f>
        <v>438.68565000000007</v>
      </c>
      <c r="F83" s="5">
        <f>IF(Unidades!T83=0,0,IF(ISNUMBER($D83),Unidades!T83*$D83,""))</f>
        <v>1262.0462833333333</v>
      </c>
      <c r="G83" s="5">
        <f>IF(Unidades!U83=0,0,IF(ISNUMBER($D83),Unidades!U83*$D83,""))</f>
        <v>480.63275000000021</v>
      </c>
      <c r="H83" s="5">
        <f>IF(Unidades!V83=0,0,IF(ISNUMBER($D83),Unidades!V83*$D83,""))</f>
        <v>746.22220833333347</v>
      </c>
      <c r="I83" s="5">
        <f>IF(Unidades!W83=0,0,IF(ISNUMBER($D83),Unidades!W83*$D83,""))</f>
        <v>441.47057500000017</v>
      </c>
      <c r="J83" s="5">
        <f>IF(Unidades!X83=0,0,IF(ISNUMBER($D83),Unidades!X83*$D83,""))</f>
        <v>1080.2932833333334</v>
      </c>
      <c r="K83" s="5">
        <f>IF(Unidades!Y83=0,0,IF(ISNUMBER($D83),Unidades!Y83*$D83,""))</f>
        <v>261.83625000000023</v>
      </c>
      <c r="L83" s="5">
        <f>IF(Unidades!Z83=0,0,IF(ISNUMBER($D83),Unidades!Z83*$D83,""))</f>
        <v>878.29516666666689</v>
      </c>
      <c r="M83" s="5">
        <f>IF(Unidades!AA83=0,0,IF(ISNUMBER($D83),Unidades!AA83*$D83,""))</f>
        <v>753.12899999999991</v>
      </c>
      <c r="N83" s="5">
        <f>IF(Unidades!AB83=0,0,IF(ISNUMBER($D83),Unidades!AB83*$D83,""))</f>
        <v>602.42325000000062</v>
      </c>
      <c r="O83" s="5">
        <f>IF(Unidades!AC83=0,0,IF(ISNUMBER($D83),Unidades!AC83*$D83,""))</f>
        <v>977.89510000000007</v>
      </c>
      <c r="P83" s="5">
        <f>IF(Unidades!AD83=0,0,IF(ISNUMBER($D83),Unidades!AD83*$D83,""))</f>
        <v>1313.3120000000006</v>
      </c>
      <c r="Q83" s="5">
        <f>IF(AND(Unidades!AE83&gt;0,NOT(ISNUMBER(D83))),"",SUM(E83:P83))</f>
        <v>9236.2415166666688</v>
      </c>
    </row>
    <row r="84" spans="1:17">
      <c r="A84" s="1" t="s">
        <v>225</v>
      </c>
      <c r="B84" s="1" t="s">
        <v>226</v>
      </c>
      <c r="C84" s="1" t="s">
        <v>3</v>
      </c>
      <c r="D84" s="5">
        <f>IF(ISNUMBER(Precios!H84),Precios!H84,"")</f>
        <v>1.3079000000000001</v>
      </c>
      <c r="E84" s="5">
        <f>IF(Unidades!S84=0,0,IF(ISNUMBER($D84),Unidades!S84*$D84,""))</f>
        <v>504.65478411839939</v>
      </c>
      <c r="F84" s="5">
        <f>IF(Unidades!T84=0,0,IF(ISNUMBER($D84),Unidades!T84*$D84,""))</f>
        <v>1874.7634785000002</v>
      </c>
      <c r="G84" s="5">
        <f>IF(Unidades!U84=0,0,IF(ISNUMBER($D84),Unidades!U84*$D84,""))</f>
        <v>5604.7438699999993</v>
      </c>
      <c r="H84" s="5">
        <f>IF(Unidades!V84=0,0,IF(ISNUMBER($D84),Unidades!V84*$D84,""))</f>
        <v>3950.3026860000004</v>
      </c>
      <c r="I84" s="5">
        <f>IF(Unidades!W84=0,0,IF(ISNUMBER($D84),Unidades!W84*$D84,""))</f>
        <v>2523.9121776000011</v>
      </c>
      <c r="J84" s="5">
        <f>IF(Unidades!X84=0,0,IF(ISNUMBER($D84),Unidades!X84*$D84,""))</f>
        <v>2475.4531746999992</v>
      </c>
      <c r="K84" s="5">
        <f>IF(Unidades!Y84=0,0,IF(ISNUMBER($D84),Unidades!Y84*$D84,""))</f>
        <v>1565.8505775000006</v>
      </c>
      <c r="L84" s="5">
        <f>IF(Unidades!Z84=0,0,IF(ISNUMBER($D84),Unidades!Z84*$D84,""))</f>
        <v>748.9349295999998</v>
      </c>
      <c r="M84" s="5">
        <f>IF(Unidades!AA84=0,0,IF(ISNUMBER($D84),Unidades!AA84*$D84,""))</f>
        <v>467.68542149999888</v>
      </c>
      <c r="N84" s="5">
        <f>IF(Unidades!AB84=0,0,IF(ISNUMBER($D84),Unidades!AB84*$D84,""))</f>
        <v>1223.4345100999999</v>
      </c>
      <c r="O84" s="5">
        <f>IF(Unidades!AC84=0,0,IF(ISNUMBER($D84),Unidades!AC84*$D84,""))</f>
        <v>496.74695949999801</v>
      </c>
      <c r="P84" s="5">
        <f>IF(Unidades!AD84=0,0,IF(ISNUMBER($D84),Unidades!AD84*$D84,""))</f>
        <v>4860.0648470000006</v>
      </c>
      <c r="Q84" s="5">
        <f>IF(AND(Unidades!AE84&gt;0,NOT(ISNUMBER(D84))),"",SUM(E84:P84))</f>
        <v>26296.547416118399</v>
      </c>
    </row>
    <row r="85" spans="1:17">
      <c r="A85" s="1" t="s">
        <v>227</v>
      </c>
      <c r="B85" s="1" t="s">
        <v>228</v>
      </c>
      <c r="C85" s="1" t="s">
        <v>3</v>
      </c>
      <c r="D85" s="5">
        <f>IF(ISNUMBER(Precios!H85),Precios!H85,"")</f>
        <v>3.9820000000000007</v>
      </c>
      <c r="E85" s="5">
        <f>IF(Unidades!S85=0,0,IF(ISNUMBER($D85),Unidades!S85*$D85,""))</f>
        <v>0</v>
      </c>
      <c r="F85" s="5">
        <f>IF(Unidades!T85=0,0,IF(ISNUMBER($D85),Unidades!T85*$D85,""))</f>
        <v>0</v>
      </c>
      <c r="G85" s="5">
        <f>IF(Unidades!U85=0,0,IF(ISNUMBER($D85),Unidades!U85*$D85,""))</f>
        <v>27964.7842582372</v>
      </c>
      <c r="H85" s="5">
        <f>IF(Unidades!V85=0,0,IF(ISNUMBER($D85),Unidades!V85*$D85,""))</f>
        <v>5423.4839999999976</v>
      </c>
      <c r="I85" s="5">
        <f>IF(Unidades!W85=0,0,IF(ISNUMBER($D85),Unidades!W85*$D85,""))</f>
        <v>16253.918736000011</v>
      </c>
      <c r="J85" s="5">
        <f>IF(Unidades!X85=0,0,IF(ISNUMBER($D85),Unidades!X85*$D85,""))</f>
        <v>19198.01839999999</v>
      </c>
      <c r="K85" s="5">
        <f>IF(Unidades!Y85=0,0,IF(ISNUMBER($D85),Unidades!Y85*$D85,""))</f>
        <v>5358.6769499999955</v>
      </c>
      <c r="L85" s="5">
        <f>IF(Unidades!Z85=0,0,IF(ISNUMBER($D85),Unidades!Z85*$D85,""))</f>
        <v>4263.9455100000023</v>
      </c>
      <c r="M85" s="5">
        <f>IF(Unidades!AA85=0,0,IF(ISNUMBER($D85),Unidades!AA85*$D85,""))</f>
        <v>4873.9680000000008</v>
      </c>
      <c r="N85" s="5">
        <f>IF(Unidades!AB85=0,0,IF(ISNUMBER($D85),Unidades!AB85*$D85,""))</f>
        <v>6902.6974499999951</v>
      </c>
      <c r="O85" s="5">
        <f>IF(Unidades!AC85=0,0,IF(ISNUMBER($D85),Unidades!AC85*$D85,""))</f>
        <v>18842.684630000003</v>
      </c>
      <c r="P85" s="5">
        <f>IF(Unidades!AD85=0,0,IF(ISNUMBER($D85),Unidades!AD85*$D85,""))</f>
        <v>4921.453349999998</v>
      </c>
      <c r="Q85" s="5">
        <f>IF(AND(Unidades!AE85&gt;0,NOT(ISNUMBER(D85))),"",SUM(E85:P85))</f>
        <v>114003.63128423718</v>
      </c>
    </row>
    <row r="86" spans="1:17">
      <c r="A86" s="1" t="s">
        <v>229</v>
      </c>
      <c r="B86" s="1" t="s">
        <v>230</v>
      </c>
      <c r="C86" s="1" t="s">
        <v>3</v>
      </c>
      <c r="D86" s="5">
        <f>IF(ISNUMBER(Precios!H86),Precios!H86,"")</f>
        <v>0.70400000000000007</v>
      </c>
      <c r="E86" s="5">
        <f>IF(Unidades!S86=0,0,IF(ISNUMBER($D86),Unidades!S86*$D86,""))</f>
        <v>0</v>
      </c>
      <c r="F86" s="5">
        <f>IF(Unidades!T86=0,0,IF(ISNUMBER($D86),Unidades!T86*$D86,""))</f>
        <v>0</v>
      </c>
      <c r="G86" s="5">
        <f>IF(Unidades!U86=0,0,IF(ISNUMBER($D86),Unidades!U86*$D86,""))</f>
        <v>0</v>
      </c>
      <c r="H86" s="5">
        <f>IF(Unidades!V86=0,0,IF(ISNUMBER($D86),Unidades!V86*$D86,""))</f>
        <v>0</v>
      </c>
      <c r="I86" s="5">
        <f>IF(Unidades!W86=0,0,IF(ISNUMBER($D86),Unidades!W86*$D86,""))</f>
        <v>313.77910280007404</v>
      </c>
      <c r="J86" s="5">
        <f>IF(Unidades!X86=0,0,IF(ISNUMBER($D86),Unidades!X86*$D86,""))</f>
        <v>609.60768000000007</v>
      </c>
      <c r="K86" s="5">
        <f>IF(Unidades!Y86=0,0,IF(ISNUMBER($D86),Unidades!Y86*$D86,""))</f>
        <v>78.510080000000002</v>
      </c>
      <c r="L86" s="5">
        <f>IF(Unidades!Z86=0,0,IF(ISNUMBER($D86),Unidades!Z86*$D86,""))</f>
        <v>383.31392000000005</v>
      </c>
      <c r="M86" s="5">
        <f>IF(Unidades!AA86=0,0,IF(ISNUMBER($D86),Unidades!AA86*$D86,""))</f>
        <v>0</v>
      </c>
      <c r="N86" s="5">
        <f>IF(Unidades!AB86=0,0,IF(ISNUMBER($D86),Unidades!AB86*$D86,""))</f>
        <v>0</v>
      </c>
      <c r="O86" s="5">
        <f>IF(Unidades!AC86=0,0,IF(ISNUMBER($D86),Unidades!AC86*$D86,""))</f>
        <v>29.715840000000028</v>
      </c>
      <c r="P86" s="5">
        <f>IF(Unidades!AD86=0,0,IF(ISNUMBER($D86),Unidades!AD86*$D86,""))</f>
        <v>24.24576000000004</v>
      </c>
      <c r="Q86" s="5">
        <f>IF(AND(Unidades!AE86&gt;0,NOT(ISNUMBER(D86))),"",SUM(E86:P86))</f>
        <v>1439.1723828000743</v>
      </c>
    </row>
    <row r="87" spans="1:17">
      <c r="A87" s="1" t="s">
        <v>231</v>
      </c>
      <c r="B87" s="1" t="s">
        <v>232</v>
      </c>
      <c r="C87" s="1" t="s">
        <v>3</v>
      </c>
      <c r="D87" s="5">
        <f>IF(ISNUMBER(Precios!H87),Precios!H87,"")</f>
        <v>0.79200000000000004</v>
      </c>
      <c r="E87" s="5">
        <f>IF(Unidades!S87=0,0,IF(ISNUMBER($D87),Unidades!S87*$D87,""))</f>
        <v>1965.3559200000002</v>
      </c>
      <c r="F87" s="5">
        <f>IF(Unidades!T87=0,0,IF(ISNUMBER($D87),Unidades!T87*$D87,""))</f>
        <v>1786.1659200000004</v>
      </c>
      <c r="G87" s="5">
        <f>IF(Unidades!U87=0,0,IF(ISNUMBER($D87),Unidades!U87*$D87,""))</f>
        <v>79.07063875495129</v>
      </c>
      <c r="H87" s="5">
        <f>IF(Unidades!V87=0,0,IF(ISNUMBER($D87),Unidades!V87*$D87,""))</f>
        <v>2738.0232000000005</v>
      </c>
      <c r="I87" s="5">
        <f>IF(Unidades!W87=0,0,IF(ISNUMBER($D87),Unidades!W87*$D87,""))</f>
        <v>6695.9719200000018</v>
      </c>
      <c r="J87" s="5">
        <f>IF(Unidades!X87=0,0,IF(ISNUMBER($D87),Unidades!X87*$D87,""))</f>
        <v>286.70400000000001</v>
      </c>
      <c r="K87" s="5">
        <f>IF(Unidades!Y87=0,0,IF(ISNUMBER($D87),Unidades!Y87*$D87,""))</f>
        <v>579.14208000000133</v>
      </c>
      <c r="L87" s="5">
        <f>IF(Unidades!Z87=0,0,IF(ISNUMBER($D87),Unidades!Z87*$D87,""))</f>
        <v>792.73656000000028</v>
      </c>
      <c r="M87" s="5">
        <f>IF(Unidades!AA87=0,0,IF(ISNUMBER($D87),Unidades!AA87*$D87,""))</f>
        <v>5308.3245600000009</v>
      </c>
      <c r="N87" s="5">
        <f>IF(Unidades!AB87=0,0,IF(ISNUMBER($D87),Unidades!AB87*$D87,""))</f>
        <v>103.21343999999978</v>
      </c>
      <c r="O87" s="5">
        <f>IF(Unidades!AC87=0,0,IF(ISNUMBER($D87),Unidades!AC87*$D87,""))</f>
        <v>206.42687999999956</v>
      </c>
      <c r="P87" s="5">
        <f>IF(Unidades!AD87=0,0,IF(ISNUMBER($D87),Unidades!AD87*$D87,""))</f>
        <v>5312.6251200000006</v>
      </c>
      <c r="Q87" s="5">
        <f>IF(AND(Unidades!AE87&gt;0,NOT(ISNUMBER(D87))),"",SUM(E87:P87))</f>
        <v>25853.760238754956</v>
      </c>
    </row>
    <row r="88" spans="1:17">
      <c r="A88" s="1" t="s">
        <v>233</v>
      </c>
      <c r="B88" s="1" t="s">
        <v>234</v>
      </c>
      <c r="C88" s="1" t="s">
        <v>3</v>
      </c>
      <c r="D88" s="5">
        <f>IF(ISNUMBER(Precios!H88),Precios!H88,"")</f>
        <v>0.93500000000000005</v>
      </c>
      <c r="E88" s="5">
        <f>IF(Unidades!S88=0,0,IF(ISNUMBER($D88),Unidades!S88*$D88,""))</f>
        <v>0</v>
      </c>
      <c r="F88" s="5">
        <f>IF(Unidades!T88=0,0,IF(ISNUMBER($D88),Unidades!T88*$D88,""))</f>
        <v>44178.75</v>
      </c>
      <c r="G88" s="5">
        <f>IF(Unidades!U88=0,0,IF(ISNUMBER($D88),Unidades!U88*$D88,""))</f>
        <v>22720.5</v>
      </c>
      <c r="H88" s="5">
        <f>IF(Unidades!V88=0,0,IF(ISNUMBER($D88),Unidades!V88*$D88,""))</f>
        <v>24714.855000000003</v>
      </c>
      <c r="I88" s="5">
        <f>IF(Unidades!W88=0,0,IF(ISNUMBER($D88),Unidades!W88*$D88,""))</f>
        <v>807.84</v>
      </c>
      <c r="J88" s="5">
        <f>IF(Unidades!X88=0,0,IF(ISNUMBER($D88),Unidades!X88*$D88,""))</f>
        <v>2726.46</v>
      </c>
      <c r="K88" s="5">
        <f>IF(Unidades!Y88=0,0,IF(ISNUMBER($D88),Unidades!Y88*$D88,""))</f>
        <v>883.57500000000005</v>
      </c>
      <c r="L88" s="5">
        <f>IF(Unidades!Z88=0,0,IF(ISNUMBER($D88),Unidades!Z88*$D88,""))</f>
        <v>0</v>
      </c>
      <c r="M88" s="5">
        <f>IF(Unidades!AA88=0,0,IF(ISNUMBER($D88),Unidades!AA88*$D88,""))</f>
        <v>0</v>
      </c>
      <c r="N88" s="5">
        <f>IF(Unidades!AB88=0,0,IF(ISNUMBER($D88),Unidades!AB88*$D88,""))</f>
        <v>0</v>
      </c>
      <c r="O88" s="5">
        <f>IF(Unidades!AC88=0,0,IF(ISNUMBER($D88),Unidades!AC88*$D88,""))</f>
        <v>0</v>
      </c>
      <c r="P88" s="5">
        <f>IF(Unidades!AD88=0,0,IF(ISNUMBER($D88),Unidades!AD88*$D88,""))</f>
        <v>0</v>
      </c>
      <c r="Q88" s="5">
        <f>IF(AND(Unidades!AE88&gt;0,NOT(ISNUMBER(D88))),"",SUM(E88:P88))</f>
        <v>96031.98000000001</v>
      </c>
    </row>
    <row r="89" spans="1:17">
      <c r="A89" s="1" t="s">
        <v>235</v>
      </c>
      <c r="B89" s="1" t="s">
        <v>236</v>
      </c>
      <c r="C89" s="1" t="s">
        <v>3</v>
      </c>
      <c r="D89" s="5">
        <f>IF(ISNUMBER(Precios!H89),Precios!H89,"")</f>
        <v>0.74250000000000016</v>
      </c>
      <c r="E89" s="5">
        <f>IF(Unidades!S89=0,0,IF(ISNUMBER($D89),Unidades!S89*$D89,""))</f>
        <v>0</v>
      </c>
      <c r="F89" s="5">
        <f>IF(Unidades!T89=0,0,IF(ISNUMBER($D89),Unidades!T89*$D89,""))</f>
        <v>649.3729655881524</v>
      </c>
      <c r="G89" s="5">
        <f>IF(Unidades!U89=0,0,IF(ISNUMBER($D89),Unidades!U89*$D89,""))</f>
        <v>415.90766250000007</v>
      </c>
      <c r="H89" s="5">
        <f>IF(Unidades!V89=0,0,IF(ISNUMBER($D89),Unidades!V89*$D89,""))</f>
        <v>238.67662499999992</v>
      </c>
      <c r="I89" s="5">
        <f>IF(Unidades!W89=0,0,IF(ISNUMBER($D89),Unidades!W89*$D89,""))</f>
        <v>203.75462249999998</v>
      </c>
      <c r="J89" s="5">
        <f>IF(Unidades!X89=0,0,IF(ISNUMBER($D89),Unidades!X89*$D89,""))</f>
        <v>137.22142499999998</v>
      </c>
      <c r="K89" s="5">
        <f>IF(Unidades!Y89=0,0,IF(ISNUMBER($D89),Unidades!Y89*$D89,""))</f>
        <v>22.28613749999991</v>
      </c>
      <c r="L89" s="5">
        <f>IF(Unidades!Z89=0,0,IF(ISNUMBER($D89),Unidades!Z89*$D89,""))</f>
        <v>140.36739750000004</v>
      </c>
      <c r="M89" s="5">
        <f>IF(Unidades!AA89=0,0,IF(ISNUMBER($D89),Unidades!AA89*$D89,""))</f>
        <v>103.35599999999988</v>
      </c>
      <c r="N89" s="5">
        <f>IF(Unidades!AB89=0,0,IF(ISNUMBER($D89),Unidades!AB89*$D89,""))</f>
        <v>185.71781250000004</v>
      </c>
      <c r="O89" s="5">
        <f>IF(Unidades!AC89=0,0,IF(ISNUMBER($D89),Unidades!AC89*$D89,""))</f>
        <v>40.737262499999844</v>
      </c>
      <c r="P89" s="5">
        <f>IF(Unidades!AD89=0,0,IF(ISNUMBER($D89),Unidades!AD89*$D89,""))</f>
        <v>2045.7218925000011</v>
      </c>
      <c r="Q89" s="5">
        <f>IF(AND(Unidades!AE89&gt;0,NOT(ISNUMBER(D89))),"",SUM(E89:P89))</f>
        <v>4183.1198030881533</v>
      </c>
    </row>
    <row r="90" spans="1:17">
      <c r="A90" s="1" t="s">
        <v>237</v>
      </c>
      <c r="B90" s="1" t="s">
        <v>238</v>
      </c>
      <c r="C90" s="1" t="s">
        <v>3</v>
      </c>
      <c r="D90" s="5">
        <f>IF(ISNUMBER(Precios!H90),Precios!H90,"")</f>
        <v>5.6650000000000009</v>
      </c>
      <c r="E90" s="5">
        <f>IF(Unidades!S90=0,0,IF(ISNUMBER($D90),Unidades!S90*$D90,""))</f>
        <v>0</v>
      </c>
      <c r="F90" s="5">
        <f>IF(Unidades!T90=0,0,IF(ISNUMBER($D90),Unidades!T90*$D90,""))</f>
        <v>51858.656223538295</v>
      </c>
      <c r="G90" s="5">
        <f>IF(Unidades!U90=0,0,IF(ISNUMBER($D90),Unidades!U90*$D90,""))</f>
        <v>49514.626590000007</v>
      </c>
      <c r="H90" s="5">
        <f>IF(Unidades!V90=0,0,IF(ISNUMBER($D90),Unidades!V90*$D90,""))</f>
        <v>2606.9366950000053</v>
      </c>
      <c r="I90" s="5">
        <f>IF(Unidades!W90=0,0,IF(ISNUMBER($D90),Unidades!W90*$D90,""))</f>
        <v>116195.88002000003</v>
      </c>
      <c r="J90" s="5">
        <f>IF(Unidades!X90=0,0,IF(ISNUMBER($D90),Unidades!X90*$D90,""))</f>
        <v>44528.259599999954</v>
      </c>
      <c r="K90" s="5">
        <f>IF(Unidades!Y90=0,0,IF(ISNUMBER($D90),Unidades!Y90*$D90,""))</f>
        <v>57375.052019999996</v>
      </c>
      <c r="L90" s="5">
        <f>IF(Unidades!Z90=0,0,IF(ISNUMBER($D90),Unidades!Z90*$D90,""))</f>
        <v>1417.6832449999831</v>
      </c>
      <c r="M90" s="5">
        <f>IF(Unidades!AA90=0,0,IF(ISNUMBER($D90),Unidades!AA90*$D90,""))</f>
        <v>3215.2273999999875</v>
      </c>
      <c r="N90" s="5">
        <f>IF(Unidades!AB90=0,0,IF(ISNUMBER($D90),Unidades!AB90*$D90,""))</f>
        <v>33328.497949999983</v>
      </c>
      <c r="O90" s="5">
        <f>IF(Unidades!AC90=0,0,IF(ISNUMBER($D90),Unidades!AC90*$D90,""))</f>
        <v>68050.744519999993</v>
      </c>
      <c r="P90" s="5">
        <f>IF(Unidades!AD90=0,0,IF(ISNUMBER($D90),Unidades!AD90*$D90,""))</f>
        <v>0</v>
      </c>
      <c r="Q90" s="5">
        <f>IF(AND(Unidades!AE90&gt;0,NOT(ISNUMBER(D90))),"",SUM(E90:P90))</f>
        <v>428091.56426353822</v>
      </c>
    </row>
    <row r="91" spans="1:17">
      <c r="A91" s="1" t="s">
        <v>239</v>
      </c>
      <c r="B91" s="1" t="s">
        <v>240</v>
      </c>
      <c r="C91" s="1" t="s">
        <v>3</v>
      </c>
      <c r="D91" s="5">
        <f>IF(ISNUMBER(Precios!H91),Precios!H91,"")</f>
        <v>1.2705000000000002</v>
      </c>
      <c r="E91" s="5">
        <f>IF(Unidades!S91=0,0,IF(ISNUMBER($D91),Unidades!S91*$D91,""))</f>
        <v>111.78367200000002</v>
      </c>
      <c r="F91" s="5">
        <f>IF(Unidades!T91=0,0,IF(ISNUMBER($D91),Unidades!T91*$D91,""))</f>
        <v>4349.9620395000002</v>
      </c>
      <c r="G91" s="5">
        <f>IF(Unidades!U91=0,0,IF(ISNUMBER($D91),Unidades!U91*$D91,""))</f>
        <v>2156.9850225</v>
      </c>
      <c r="H91" s="5">
        <f>IF(Unidades!V91=0,0,IF(ISNUMBER($D91),Unidades!V91*$D91,""))</f>
        <v>329.67569249999963</v>
      </c>
      <c r="I91" s="5">
        <f>IF(Unidades!W91=0,0,IF(ISNUMBER($D91),Unidades!W91*$D91,""))</f>
        <v>249.17427149999952</v>
      </c>
      <c r="J91" s="5">
        <f>IF(Unidades!X91=0,0,IF(ISNUMBER($D91),Unidades!X91*$D91,""))</f>
        <v>2097.6844350000001</v>
      </c>
      <c r="K91" s="5">
        <f>IF(Unidades!Y91=0,0,IF(ISNUMBER($D91),Unidades!Y91*$D91,""))</f>
        <v>17.094577499999911</v>
      </c>
      <c r="L91" s="5">
        <f>IF(Unidades!Z91=0,0,IF(ISNUMBER($D91),Unidades!Z91*$D91,""))</f>
        <v>115.99537949999998</v>
      </c>
      <c r="M91" s="5">
        <f>IF(Unidades!AA91=0,0,IF(ISNUMBER($D91),Unidades!AA91*$D91,""))</f>
        <v>79.279199999999548</v>
      </c>
      <c r="N91" s="5">
        <f>IF(Unidades!AB91=0,0,IF(ISNUMBER($D91),Unidades!AB91*$D91,""))</f>
        <v>142.45481250000003</v>
      </c>
      <c r="O91" s="5">
        <f>IF(Unidades!AC91=0,0,IF(ISNUMBER($D91),Unidades!AC91*$D91,""))</f>
        <v>56.314912499999778</v>
      </c>
      <c r="P91" s="5">
        <f>IF(Unidades!AD91=0,0,IF(ISNUMBER($D91),Unidades!AD91*$D91,""))</f>
        <v>8060.6567579999992</v>
      </c>
      <c r="Q91" s="5">
        <f>IF(AND(Unidades!AE91&gt;0,NOT(ISNUMBER(D91))),"",SUM(E91:P91))</f>
        <v>17767.060772999997</v>
      </c>
    </row>
    <row r="92" spans="1:17">
      <c r="A92" s="1" t="s">
        <v>241</v>
      </c>
      <c r="B92" s="1" t="s">
        <v>242</v>
      </c>
      <c r="C92" s="1" t="s">
        <v>3</v>
      </c>
      <c r="D92" s="5">
        <f>IF(ISNUMBER(Precios!H92),Precios!H92,"")</f>
        <v>2.3650000000000002</v>
      </c>
      <c r="E92" s="5">
        <f>IF(Unidades!S92=0,0,IF(ISNUMBER($D92),Unidades!S92*$D92,""))</f>
        <v>0</v>
      </c>
      <c r="F92" s="5">
        <f>IF(Unidades!T92=0,0,IF(ISNUMBER($D92),Unidades!T92*$D92,""))</f>
        <v>0</v>
      </c>
      <c r="G92" s="5">
        <f>IF(Unidades!U92=0,0,IF(ISNUMBER($D92),Unidades!U92*$D92,""))</f>
        <v>0</v>
      </c>
      <c r="H92" s="5">
        <f>IF(Unidades!V92=0,0,IF(ISNUMBER($D92),Unidades!V92*$D92,""))</f>
        <v>0</v>
      </c>
      <c r="I92" s="5">
        <f>IF(Unidades!W92=0,0,IF(ISNUMBER($D92),Unidades!W92*$D92,""))</f>
        <v>0</v>
      </c>
      <c r="J92" s="5">
        <f>IF(Unidades!X92=0,0,IF(ISNUMBER($D92),Unidades!X92*$D92,""))</f>
        <v>0</v>
      </c>
      <c r="K92" s="5">
        <f>IF(Unidades!Y92=0,0,IF(ISNUMBER($D92),Unidades!Y92*$D92,""))</f>
        <v>0</v>
      </c>
      <c r="L92" s="5">
        <f>IF(Unidades!Z92=0,0,IF(ISNUMBER($D92),Unidades!Z92*$D92,""))</f>
        <v>0</v>
      </c>
      <c r="M92" s="5">
        <f>IF(Unidades!AA92=0,0,IF(ISNUMBER($D92),Unidades!AA92*$D92,""))</f>
        <v>0</v>
      </c>
      <c r="N92" s="5">
        <f>IF(Unidades!AB92=0,0,IF(ISNUMBER($D92),Unidades!AB92*$D92,""))</f>
        <v>0</v>
      </c>
      <c r="O92" s="5">
        <f>IF(Unidades!AC92=0,0,IF(ISNUMBER($D92),Unidades!AC92*$D92,""))</f>
        <v>0</v>
      </c>
      <c r="P92" s="5">
        <f>IF(Unidades!AD92=0,0,IF(ISNUMBER($D92),Unidades!AD92*$D92,""))</f>
        <v>158.01925768525513</v>
      </c>
      <c r="Q92" s="5">
        <f>IF(AND(Unidades!AE92&gt;0,NOT(ISNUMBER(D92))),"",SUM(E92:P92))</f>
        <v>158.01925768525513</v>
      </c>
    </row>
    <row r="93" spans="1:17">
      <c r="A93" s="1" t="s">
        <v>243</v>
      </c>
      <c r="B93" s="1" t="s">
        <v>244</v>
      </c>
      <c r="C93" s="1" t="s">
        <v>3</v>
      </c>
      <c r="D93" s="5">
        <f>IF(ISNUMBER(Precios!H93),Precios!H93,"")</f>
        <v>4.2350000000000003</v>
      </c>
      <c r="E93" s="5">
        <f>IF(Unidades!S93=0,0,IF(ISNUMBER($D93),Unidades!S93*$D93,""))</f>
        <v>0</v>
      </c>
      <c r="F93" s="5">
        <f>IF(Unidades!T93=0,0,IF(ISNUMBER($D93),Unidades!T93*$D93,""))</f>
        <v>0</v>
      </c>
      <c r="G93" s="5">
        <f>IF(Unidades!U93=0,0,IF(ISNUMBER($D93),Unidades!U93*$D93,""))</f>
        <v>0</v>
      </c>
      <c r="H93" s="5">
        <f>IF(Unidades!V93=0,0,IF(ISNUMBER($D93),Unidades!V93*$D93,""))</f>
        <v>0</v>
      </c>
      <c r="I93" s="5">
        <f>IF(Unidades!W93=0,0,IF(ISNUMBER($D93),Unidades!W93*$D93,""))</f>
        <v>1371.7939448459131</v>
      </c>
      <c r="J93" s="5">
        <f>IF(Unidades!X93=0,0,IF(ISNUMBER($D93),Unidades!X93*$D93,""))</f>
        <v>1114.0719104064565</v>
      </c>
      <c r="K93" s="5">
        <f>IF(Unidades!Y93=0,0,IF(ISNUMBER($D93),Unidades!Y93*$D93,""))</f>
        <v>805.55185246101837</v>
      </c>
      <c r="L93" s="5">
        <f>IF(Unidades!Z93=0,0,IF(ISNUMBER($D93),Unidades!Z93*$D93,""))</f>
        <v>327.13703228359395</v>
      </c>
      <c r="M93" s="5">
        <f>IF(Unidades!AA93=0,0,IF(ISNUMBER($D93),Unidades!AA93*$D93,""))</f>
        <v>446.51021063238221</v>
      </c>
      <c r="N93" s="5">
        <f>IF(Unidades!AB93=0,0,IF(ISNUMBER($D93),Unidades!AB93*$D93,""))</f>
        <v>237.0577014446969</v>
      </c>
      <c r="O93" s="5">
        <f>IF(Unidades!AC93=0,0,IF(ISNUMBER($D93),Unidades!AC93*$D93,""))</f>
        <v>412.57121877407269</v>
      </c>
      <c r="P93" s="5">
        <f>IF(Unidades!AD93=0,0,IF(ISNUMBER($D93),Unidades!AD93*$D93,""))</f>
        <v>1135.8948432544892</v>
      </c>
      <c r="Q93" s="5">
        <f>IF(AND(Unidades!AE93&gt;0,NOT(ISNUMBER(D93))),"",SUM(E93:P93))</f>
        <v>5850.5887141026233</v>
      </c>
    </row>
    <row r="94" spans="1:17">
      <c r="A94" s="1" t="s">
        <v>245</v>
      </c>
      <c r="B94" s="1" t="s">
        <v>246</v>
      </c>
      <c r="C94" s="1" t="s">
        <v>3</v>
      </c>
      <c r="D94" s="5">
        <f>IF(ISNUMBER(Precios!H94),Precios!H94,"")</f>
        <v>2.8490000000000002</v>
      </c>
      <c r="E94" s="5">
        <f>IF(Unidades!S94=0,0,IF(ISNUMBER($D94),Unidades!S94*$D94,""))</f>
        <v>976.49475000000007</v>
      </c>
      <c r="F94" s="5">
        <f>IF(Unidades!T94=0,0,IF(ISNUMBER($D94),Unidades!T94*$D94,""))</f>
        <v>957.97625000000005</v>
      </c>
      <c r="G94" s="5">
        <f>IF(Unidades!U94=0,0,IF(ISNUMBER($D94),Unidades!U94*$D94,""))</f>
        <v>39.286555090416684</v>
      </c>
      <c r="H94" s="5">
        <f>IF(Unidades!V94=0,0,IF(ISNUMBER($D94),Unidades!V94*$D94,""))</f>
        <v>1571.5653800000005</v>
      </c>
      <c r="I94" s="5">
        <f>IF(Unidades!W94=0,0,IF(ISNUMBER($D94),Unidades!W94*$D94,""))</f>
        <v>3326.91975</v>
      </c>
      <c r="J94" s="5">
        <f>IF(Unidades!X94=0,0,IF(ISNUMBER($D94),Unidades!X94*$D94,""))</f>
        <v>145.29900000000001</v>
      </c>
      <c r="K94" s="5">
        <f>IF(Unidades!Y94=0,0,IF(ISNUMBER($D94),Unidades!Y94*$D94,""))</f>
        <v>287.74900000000002</v>
      </c>
      <c r="L94" s="5">
        <f>IF(Unidades!Z94=0,0,IF(ISNUMBER($D94),Unidades!Z94*$D94,""))</f>
        <v>916.52329999999949</v>
      </c>
      <c r="M94" s="5">
        <f>IF(Unidades!AA94=0,0,IF(ISNUMBER($D94),Unidades!AA94*$D94,""))</f>
        <v>2637.4617500000004</v>
      </c>
      <c r="N94" s="5">
        <f>IF(Unidades!AB94=0,0,IF(ISNUMBER($D94),Unidades!AB94*$D94,""))</f>
        <v>51.282000000000004</v>
      </c>
      <c r="O94" s="5">
        <f>IF(Unidades!AC94=0,0,IF(ISNUMBER($D94),Unidades!AC94*$D94,""))</f>
        <v>449.99954999999949</v>
      </c>
      <c r="P94" s="5">
        <f>IF(Unidades!AD94=0,0,IF(ISNUMBER($D94),Unidades!AD94*$D94,""))</f>
        <v>2639.5985000000014</v>
      </c>
      <c r="Q94" s="5">
        <f>IF(AND(Unidades!AE94&gt;0,NOT(ISNUMBER(D94))),"",SUM(E94:P94))</f>
        <v>14000.155785090417</v>
      </c>
    </row>
    <row r="95" spans="1:17">
      <c r="A95" s="1" t="s">
        <v>247</v>
      </c>
      <c r="B95" s="1" t="s">
        <v>248</v>
      </c>
      <c r="C95" s="1" t="s">
        <v>3</v>
      </c>
      <c r="D95" s="5">
        <f>IF(ISNUMBER(Precios!H95),Precios!H95,"")</f>
        <v>9.7350000000000012</v>
      </c>
      <c r="E95" s="5">
        <f>IF(Unidades!S95=0,0,IF(ISNUMBER($D95),Unidades!S95*$D95,""))</f>
        <v>0</v>
      </c>
      <c r="F95" s="5">
        <f>IF(Unidades!T95=0,0,IF(ISNUMBER($D95),Unidades!T95*$D95,""))</f>
        <v>1287.0025028585005</v>
      </c>
      <c r="G95" s="5">
        <f>IF(Unidades!U95=0,0,IF(ISNUMBER($D95),Unidades!U95*$D95,""))</f>
        <v>1470.7168994633657</v>
      </c>
      <c r="H95" s="5">
        <f>IF(Unidades!V95=0,0,IF(ISNUMBER($D95),Unidades!V95*$D95,""))</f>
        <v>1667.3329199999996</v>
      </c>
      <c r="I95" s="5">
        <f>IF(Unidades!W95=0,0,IF(ISNUMBER($D95),Unidades!W95*$D95,""))</f>
        <v>1201.6835324999997</v>
      </c>
      <c r="J95" s="5">
        <f>IF(Unidades!X95=0,0,IF(ISNUMBER($D95),Unidades!X95*$D95,""))</f>
        <v>965.27392499999985</v>
      </c>
      <c r="K95" s="5">
        <f>IF(Unidades!Y95=0,0,IF(ISNUMBER($D95),Unidades!Y95*$D95,""))</f>
        <v>2297.6946134999989</v>
      </c>
      <c r="L95" s="5">
        <f>IF(Unidades!Z95=0,0,IF(ISNUMBER($D95),Unidades!Z95*$D95,""))</f>
        <v>719.48464499999932</v>
      </c>
      <c r="M95" s="5">
        <f>IF(Unidades!AA95=0,0,IF(ISNUMBER($D95),Unidades!AA95*$D95,""))</f>
        <v>436.82405249999977</v>
      </c>
      <c r="N95" s="5">
        <f>IF(Unidades!AB95=0,0,IF(ISNUMBER($D95),Unidades!AB95*$D95,""))</f>
        <v>1033.6243334999992</v>
      </c>
      <c r="O95" s="5">
        <f>IF(Unidades!AC95=0,0,IF(ISNUMBER($D95),Unidades!AC95*$D95,""))</f>
        <v>615.15562350000039</v>
      </c>
      <c r="P95" s="5">
        <f>IF(Unidades!AD95=0,0,IF(ISNUMBER($D95),Unidades!AD95*$D95,""))</f>
        <v>3170.5045350000009</v>
      </c>
      <c r="Q95" s="5">
        <f>IF(AND(Unidades!AE95&gt;0,NOT(ISNUMBER(D95))),"",SUM(E95:P95))</f>
        <v>14865.297582821862</v>
      </c>
    </row>
    <row r="96" spans="1:17">
      <c r="A96" s="1" t="s">
        <v>249</v>
      </c>
      <c r="B96" s="1" t="s">
        <v>250</v>
      </c>
      <c r="C96" s="1" t="s">
        <v>3</v>
      </c>
      <c r="D96" s="5">
        <f>IF(ISNUMBER(Precios!H96),Precios!H96,"")</f>
        <v>1.1880000000000002</v>
      </c>
      <c r="E96" s="5">
        <f>IF(Unidades!S96=0,0,IF(ISNUMBER($D96),Unidades!S96*$D96,""))</f>
        <v>0</v>
      </c>
      <c r="F96" s="5">
        <f>IF(Unidades!T96=0,0,IF(ISNUMBER($D96),Unidades!T96*$D96,""))</f>
        <v>0</v>
      </c>
      <c r="G96" s="5">
        <f>IF(Unidades!U96=0,0,IF(ISNUMBER($D96),Unidades!U96*$D96,""))</f>
        <v>0</v>
      </c>
      <c r="H96" s="5">
        <f>IF(Unidades!V96=0,0,IF(ISNUMBER($D96),Unidades!V96*$D96,""))</f>
        <v>76.70202917141998</v>
      </c>
      <c r="I96" s="5">
        <f>IF(Unidades!W96=0,0,IF(ISNUMBER($D96),Unidades!W96*$D96,""))</f>
        <v>0</v>
      </c>
      <c r="J96" s="5">
        <f>IF(Unidades!X96=0,0,IF(ISNUMBER($D96),Unidades!X96*$D96,""))</f>
        <v>114.24164400000002</v>
      </c>
      <c r="K96" s="5">
        <f>IF(Unidades!Y96=0,0,IF(ISNUMBER($D96),Unidades!Y96*$D96,""))</f>
        <v>116.48339999999996</v>
      </c>
      <c r="L96" s="5">
        <f>IF(Unidades!Z96=0,0,IF(ISNUMBER($D96),Unidades!Z96*$D96,""))</f>
        <v>286.93763999999999</v>
      </c>
      <c r="M96" s="5">
        <f>IF(Unidades!AA96=0,0,IF(ISNUMBER($D96),Unidades!AA96*$D96,""))</f>
        <v>0</v>
      </c>
      <c r="N96" s="5">
        <f>IF(Unidades!AB96=0,0,IF(ISNUMBER($D96),Unidades!AB96*$D96,""))</f>
        <v>0</v>
      </c>
      <c r="O96" s="5">
        <f>IF(Unidades!AC96=0,0,IF(ISNUMBER($D96),Unidades!AC96*$D96,""))</f>
        <v>112.08780000000004</v>
      </c>
      <c r="P96" s="5">
        <f>IF(Unidades!AD96=0,0,IF(ISNUMBER($D96),Unidades!AD96*$D96,""))</f>
        <v>1554.1416000000006</v>
      </c>
      <c r="Q96" s="5">
        <f>IF(AND(Unidades!AE96&gt;0,NOT(ISNUMBER(D96))),"",SUM(E96:P96))</f>
        <v>2260.5941131714208</v>
      </c>
    </row>
    <row r="97" spans="1:17">
      <c r="A97" s="1" t="s">
        <v>251</v>
      </c>
      <c r="B97" s="1" t="s">
        <v>252</v>
      </c>
      <c r="C97" s="1" t="s">
        <v>3</v>
      </c>
      <c r="D97" s="5">
        <f>IF(ISNUMBER(Precios!H97),Precios!H97,"")</f>
        <v>0.47630000000000006</v>
      </c>
      <c r="E97" s="5">
        <f>IF(Unidades!S97=0,0,IF(ISNUMBER($D97),Unidades!S97*$D97,""))</f>
        <v>1492.2601365999717</v>
      </c>
      <c r="F97" s="5">
        <f>IF(Unidades!T97=0,0,IF(ISNUMBER($D97),Unidades!T97*$D97,""))</f>
        <v>2321.3580665331683</v>
      </c>
      <c r="G97" s="5">
        <f>IF(Unidades!U97=0,0,IF(ISNUMBER($D97),Unidades!U97*$D97,""))</f>
        <v>1109.467972357726</v>
      </c>
      <c r="H97" s="5">
        <f>IF(Unidades!V97=0,0,IF(ISNUMBER($D97),Unidades!V97*$D97,""))</f>
        <v>1468.0484780898432</v>
      </c>
      <c r="I97" s="5">
        <f>IF(Unidades!W97=0,0,IF(ISNUMBER($D97),Unidades!W97*$D97,""))</f>
        <v>2689.5141602999997</v>
      </c>
      <c r="J97" s="5">
        <f>IF(Unidades!X97=0,0,IF(ISNUMBER($D97),Unidades!X97*$D97,""))</f>
        <v>3327.4394208000003</v>
      </c>
      <c r="K97" s="5">
        <f>IF(Unidades!Y97=0,0,IF(ISNUMBER($D97),Unidades!Y97*$D97,""))</f>
        <v>1396.3272719000008</v>
      </c>
      <c r="L97" s="5">
        <f>IF(Unidades!Z97=0,0,IF(ISNUMBER($D97),Unidades!Z97*$D97,""))</f>
        <v>1336.3863458000001</v>
      </c>
      <c r="M97" s="5">
        <f>IF(Unidades!AA97=0,0,IF(ISNUMBER($D97),Unidades!AA97*$D97,""))</f>
        <v>648.42624660000081</v>
      </c>
      <c r="N97" s="5">
        <f>IF(Unidades!AB97=0,0,IF(ISNUMBER($D97),Unidades!AB97*$D97,""))</f>
        <v>2120.6281084999996</v>
      </c>
      <c r="O97" s="5">
        <f>IF(Unidades!AC97=0,0,IF(ISNUMBER($D97),Unidades!AC97*$D97,""))</f>
        <v>1840.8380572999997</v>
      </c>
      <c r="P97" s="5">
        <f>IF(Unidades!AD97=0,0,IF(ISNUMBER($D97),Unidades!AD97*$D97,""))</f>
        <v>2687.904742600002</v>
      </c>
      <c r="Q97" s="5">
        <f>IF(AND(Unidades!AE97&gt;0,NOT(ISNUMBER(D97))),"",SUM(E97:P97))</f>
        <v>22438.599007380712</v>
      </c>
    </row>
    <row r="98" spans="1:17">
      <c r="A98" s="1" t="s">
        <v>253</v>
      </c>
      <c r="B98" s="1" t="s">
        <v>254</v>
      </c>
      <c r="C98" s="1" t="s">
        <v>3</v>
      </c>
      <c r="D98" s="5">
        <f>IF(ISNUMBER(Precios!H98),Precios!H98,"")</f>
        <v>9.6800000000000015</v>
      </c>
      <c r="E98" s="5">
        <f>IF(Unidades!S98=0,0,IF(ISNUMBER($D98),Unidades!S98*$D98,""))</f>
        <v>1753.3461000634236</v>
      </c>
      <c r="F98" s="5">
        <f>IF(Unidades!T98=0,0,IF(ISNUMBER($D98),Unidades!T98*$D98,""))</f>
        <v>12108.320654568222</v>
      </c>
      <c r="G98" s="5">
        <f>IF(Unidades!U98=0,0,IF(ISNUMBER($D98),Unidades!U98*$D98,""))</f>
        <v>5749.1359200000015</v>
      </c>
      <c r="H98" s="5">
        <f>IF(Unidades!V98=0,0,IF(ISNUMBER($D98),Unidades!V98*$D98,""))</f>
        <v>5621.4615599999997</v>
      </c>
      <c r="I98" s="5">
        <f>IF(Unidades!W98=0,0,IF(ISNUMBER($D98),Unidades!W98*$D98,""))</f>
        <v>8693.7928879999999</v>
      </c>
      <c r="J98" s="5">
        <f>IF(Unidades!X98=0,0,IF(ISNUMBER($D98),Unidades!X98*$D98,""))</f>
        <v>9471.3166240000064</v>
      </c>
      <c r="K98" s="5">
        <f>IF(Unidades!Y98=0,0,IF(ISNUMBER($D98),Unidades!Y98*$D98,""))</f>
        <v>9307.4603600000028</v>
      </c>
      <c r="L98" s="5">
        <f>IF(Unidades!Z98=0,0,IF(ISNUMBER($D98),Unidades!Z98*$D98,""))</f>
        <v>4394.7780800000037</v>
      </c>
      <c r="M98" s="5">
        <f>IF(Unidades!AA98=0,0,IF(ISNUMBER($D98),Unidades!AA98*$D98,""))</f>
        <v>2991.8653600000025</v>
      </c>
      <c r="N98" s="5">
        <f>IF(Unidades!AB98=0,0,IF(ISNUMBER($D98),Unidades!AB98*$D98,""))</f>
        <v>5941.3516799999998</v>
      </c>
      <c r="O98" s="5">
        <f>IF(Unidades!AC98=0,0,IF(ISNUMBER($D98),Unidades!AC98*$D98,""))</f>
        <v>3971.0467280000021</v>
      </c>
      <c r="P98" s="5">
        <f>IF(Unidades!AD98=0,0,IF(ISNUMBER($D98),Unidades!AD98*$D98,""))</f>
        <v>28711.697959999994</v>
      </c>
      <c r="Q98" s="5">
        <f>IF(AND(Unidades!AE98&gt;0,NOT(ISNUMBER(D98))),"",SUM(E98:P98))</f>
        <v>98715.573914631663</v>
      </c>
    </row>
    <row r="99" spans="1:17">
      <c r="A99" s="1" t="s">
        <v>255</v>
      </c>
      <c r="B99" s="1" t="s">
        <v>256</v>
      </c>
      <c r="C99" s="1" t="s">
        <v>3</v>
      </c>
      <c r="D99" s="5">
        <f>IF(ISNUMBER(Precios!H99),Precios!H99,"")</f>
        <v>4.8327823770491811</v>
      </c>
      <c r="E99" s="5">
        <f>IF(Unidades!S99=0,0,IF(ISNUMBER($D99),Unidades!S99*$D99,""))</f>
        <v>8326.6907243606565</v>
      </c>
      <c r="F99" s="5">
        <f>IF(Unidades!T99=0,0,IF(ISNUMBER($D99),Unidades!T99*$D99,""))</f>
        <v>16281.063894393446</v>
      </c>
      <c r="G99" s="5">
        <f>IF(Unidades!U99=0,0,IF(ISNUMBER($D99),Unidades!U99*$D99,""))</f>
        <v>417.5523973770475</v>
      </c>
      <c r="H99" s="5">
        <f>IF(Unidades!V99=0,0,IF(ISNUMBER($D99),Unidades!V99*$D99,""))</f>
        <v>13177.257740557376</v>
      </c>
      <c r="I99" s="5">
        <f>IF(Unidades!W99=0,0,IF(ISNUMBER($D99),Unidades!W99*$D99,""))</f>
        <v>1165.6671093442617</v>
      </c>
      <c r="J99" s="5">
        <f>IF(Unidades!X99=0,0,IF(ISNUMBER($D99),Unidades!X99*$D99,""))</f>
        <v>1496.2294239344239</v>
      </c>
      <c r="K99" s="5">
        <f>IF(Unidades!Y99=0,0,IF(ISNUMBER($D99),Unidades!Y99*$D99,""))</f>
        <v>365.35834770491988</v>
      </c>
      <c r="L99" s="5">
        <f>IF(Unidades!Z99=0,0,IF(ISNUMBER($D99),Unidades!Z99*$D99,""))</f>
        <v>10435.330331114759</v>
      </c>
      <c r="M99" s="5">
        <f>IF(Unidades!AA99=0,0,IF(ISNUMBER($D99),Unidades!AA99*$D99,""))</f>
        <v>8145.7513521639376</v>
      </c>
      <c r="N99" s="5">
        <f>IF(Unidades!AB99=0,0,IF(ISNUMBER($D99),Unidades!AB99*$D99,""))</f>
        <v>0</v>
      </c>
      <c r="O99" s="5">
        <f>IF(Unidades!AC99=0,0,IF(ISNUMBER($D99),Unidades!AC99*$D99,""))</f>
        <v>0</v>
      </c>
      <c r="P99" s="5">
        <f>IF(Unidades!AD99=0,0,IF(ISNUMBER($D99),Unidades!AD99*$D99,""))</f>
        <v>12707.511293508202</v>
      </c>
      <c r="Q99" s="5">
        <f>IF(AND(Unidades!AE99&gt;0,NOT(ISNUMBER(D99))),"",SUM(E99:P99))</f>
        <v>72518.412614459026</v>
      </c>
    </row>
    <row r="100" spans="1:17">
      <c r="A100" s="1" t="s">
        <v>257</v>
      </c>
      <c r="B100" s="1" t="s">
        <v>258</v>
      </c>
      <c r="C100" s="1" t="s">
        <v>4</v>
      </c>
      <c r="D100" s="5">
        <f>IF(ISNUMBER(Precios!H100),Precios!H100,"")</f>
        <v>36.88473369565218</v>
      </c>
      <c r="E100" s="5">
        <f>IF(Unidades!S100=0,0,IF(ISNUMBER($D100),Unidades!S100*$D100,""))</f>
        <v>1217.1962119565219</v>
      </c>
      <c r="F100" s="5">
        <f>IF(Unidades!T100=0,0,IF(ISNUMBER($D100),Unidades!T100*$D100,""))</f>
        <v>331.96260326086963</v>
      </c>
      <c r="G100" s="5">
        <f>IF(Unidades!U100=0,0,IF(ISNUMBER($D100),Unidades!U100*$D100,""))</f>
        <v>1881.1214184782611</v>
      </c>
      <c r="H100" s="5">
        <f>IF(Unidades!V100=0,0,IF(ISNUMBER($D100),Unidades!V100*$D100,""))</f>
        <v>479.50153804347832</v>
      </c>
      <c r="I100" s="5">
        <f>IF(Unidades!W100=0,0,IF(ISNUMBER($D100),Unidades!W100*$D100,""))</f>
        <v>2601.9926665994653</v>
      </c>
      <c r="J100" s="5">
        <f>IF(Unidades!X100=0,0,IF(ISNUMBER($D100),Unidades!X100*$D100,""))</f>
        <v>4020.4359728260865</v>
      </c>
      <c r="K100" s="5">
        <f>IF(Unidades!Y100=0,0,IF(ISNUMBER($D100),Unidades!Y100*$D100,""))</f>
        <v>1106.5420108695655</v>
      </c>
      <c r="L100" s="5">
        <f>IF(Unidades!Z100=0,0,IF(ISNUMBER($D100),Unidades!Z100*$D100,""))</f>
        <v>1180.3114782608698</v>
      </c>
      <c r="M100" s="5">
        <f>IF(Unidades!AA100=0,0,IF(ISNUMBER($D100),Unidades!AA100*$D100,""))</f>
        <v>516.38627173913051</v>
      </c>
      <c r="N100" s="5">
        <f>IF(Unidades!AB100=0,0,IF(ISNUMBER($D100),Unidades!AB100*$D100,""))</f>
        <v>2581.9313586956528</v>
      </c>
      <c r="O100" s="5">
        <f>IF(Unidades!AC100=0,0,IF(ISNUMBER($D100),Unidades!AC100*$D100,""))</f>
        <v>1696.6977500000003</v>
      </c>
      <c r="P100" s="5">
        <f>IF(Unidades!AD100=0,0,IF(ISNUMBER($D100),Unidades!AD100*$D100,""))</f>
        <v>1549.1588152173915</v>
      </c>
      <c r="Q100" s="5">
        <f>IF(AND(Unidades!AE100&gt;0,NOT(ISNUMBER(D100))),"",SUM(E100:P100))</f>
        <v>19163.23809594729</v>
      </c>
    </row>
    <row r="101" spans="1:17">
      <c r="A101" s="1" t="s">
        <v>259</v>
      </c>
      <c r="B101" s="1" t="s">
        <v>260</v>
      </c>
      <c r="C101" s="1" t="s">
        <v>4</v>
      </c>
      <c r="D101" s="5">
        <f>IF(ISNUMBER(Precios!H101),Precios!H101,"")</f>
        <v>0.77</v>
      </c>
      <c r="E101" s="5">
        <f>IF(Unidades!S101=0,0,IF(ISNUMBER($D101),Unidades!S101*$D101,""))</f>
        <v>25.41</v>
      </c>
      <c r="F101" s="5">
        <f>IF(Unidades!T101=0,0,IF(ISNUMBER($D101),Unidades!T101*$D101,""))</f>
        <v>6.93</v>
      </c>
      <c r="G101" s="5">
        <f>IF(Unidades!U101=0,0,IF(ISNUMBER($D101),Unidades!U101*$D101,""))</f>
        <v>39.270000000000003</v>
      </c>
      <c r="H101" s="5">
        <f>IF(Unidades!V101=0,0,IF(ISNUMBER($D101),Unidades!V101*$D101,""))</f>
        <v>10.01</v>
      </c>
      <c r="I101" s="5">
        <f>IF(Unidades!W101=0,0,IF(ISNUMBER($D101),Unidades!W101*$D101,""))</f>
        <v>54.318796763273276</v>
      </c>
      <c r="J101" s="5">
        <f>IF(Unidades!X101=0,0,IF(ISNUMBER($D101),Unidades!X101*$D101,""))</f>
        <v>83.929999999999978</v>
      </c>
      <c r="K101" s="5">
        <f>IF(Unidades!Y101=0,0,IF(ISNUMBER($D101),Unidades!Y101*$D101,""))</f>
        <v>23.1</v>
      </c>
      <c r="L101" s="5">
        <f>IF(Unidades!Z101=0,0,IF(ISNUMBER($D101),Unidades!Z101*$D101,""))</f>
        <v>24.64</v>
      </c>
      <c r="M101" s="5">
        <f>IF(Unidades!AA101=0,0,IF(ISNUMBER($D101),Unidades!AA101*$D101,""))</f>
        <v>10.780000000000001</v>
      </c>
      <c r="N101" s="5">
        <f>IF(Unidades!AB101=0,0,IF(ISNUMBER($D101),Unidades!AB101*$D101,""))</f>
        <v>53.9</v>
      </c>
      <c r="O101" s="5">
        <f>IF(Unidades!AC101=0,0,IF(ISNUMBER($D101),Unidades!AC101*$D101,""))</f>
        <v>35.42</v>
      </c>
      <c r="P101" s="5">
        <f>IF(Unidades!AD101=0,0,IF(ISNUMBER($D101),Unidades!AD101*$D101,""))</f>
        <v>32.340000000000003</v>
      </c>
      <c r="Q101" s="5">
        <f>IF(AND(Unidades!AE101&gt;0,NOT(ISNUMBER(D101))),"",SUM(E101:P101))</f>
        <v>400.04879676327323</v>
      </c>
    </row>
    <row r="102" spans="1:17">
      <c r="A102" s="1" t="s">
        <v>261</v>
      </c>
      <c r="B102" s="1" t="s">
        <v>262</v>
      </c>
      <c r="C102" s="1" t="s">
        <v>4</v>
      </c>
      <c r="D102" s="5">
        <f>IF(ISNUMBER(Precios!H102),Precios!H102,"")</f>
        <v>0.49500000000000005</v>
      </c>
      <c r="E102" s="5">
        <f>IF(Unidades!S102=0,0,IF(ISNUMBER($D102),Unidades!S102*$D102,""))</f>
        <v>15.543000000000001</v>
      </c>
      <c r="F102" s="5">
        <f>IF(Unidades!T102=0,0,IF(ISNUMBER($D102),Unidades!T102*$D102,""))</f>
        <v>4.4550000000000001</v>
      </c>
      <c r="G102" s="5">
        <f>IF(Unidades!U102=0,0,IF(ISNUMBER($D102),Unidades!U102*$D102,""))</f>
        <v>25.245000000000005</v>
      </c>
      <c r="H102" s="5">
        <f>IF(Unidades!V102=0,0,IF(ISNUMBER($D102),Unidades!V102*$D102,""))</f>
        <v>6.4350000000000005</v>
      </c>
      <c r="I102" s="5">
        <f>IF(Unidades!W102=0,0,IF(ISNUMBER($D102),Unidades!W102*$D102,""))</f>
        <v>34.523226490675675</v>
      </c>
      <c r="J102" s="5">
        <f>IF(Unidades!X102=0,0,IF(ISNUMBER($D102),Unidades!X102*$D102,""))</f>
        <v>53.955000000000005</v>
      </c>
      <c r="K102" s="5">
        <f>IF(Unidades!Y102=0,0,IF(ISNUMBER($D102),Unidades!Y102*$D102,""))</f>
        <v>14.850000000000001</v>
      </c>
      <c r="L102" s="5">
        <f>IF(Unidades!Z102=0,0,IF(ISNUMBER($D102),Unidades!Z102*$D102,""))</f>
        <v>5.94</v>
      </c>
      <c r="M102" s="5">
        <f>IF(Unidades!AA102=0,0,IF(ISNUMBER($D102),Unidades!AA102*$D102,""))</f>
        <v>6.9300000000000006</v>
      </c>
      <c r="N102" s="5">
        <f>IF(Unidades!AB102=0,0,IF(ISNUMBER($D102),Unidades!AB102*$D102,""))</f>
        <v>29.897999999999993</v>
      </c>
      <c r="O102" s="5">
        <f>IF(Unidades!AC102=0,0,IF(ISNUMBER($D102),Unidades!AC102*$D102,""))</f>
        <v>22.770000000000003</v>
      </c>
      <c r="P102" s="5">
        <f>IF(Unidades!AD102=0,0,IF(ISNUMBER($D102),Unidades!AD102*$D102,""))</f>
        <v>16.03799999999999</v>
      </c>
      <c r="Q102" s="5">
        <f>IF(AND(Unidades!AE102&gt;0,NOT(ISNUMBER(D102))),"",SUM(E102:P102))</f>
        <v>236.58222649067568</v>
      </c>
    </row>
    <row r="103" spans="1:17">
      <c r="A103" s="1" t="s">
        <v>263</v>
      </c>
      <c r="B103" s="1" t="s">
        <v>264</v>
      </c>
      <c r="C103" s="1" t="s">
        <v>4</v>
      </c>
      <c r="D103" s="5">
        <f>IF(ISNUMBER(Precios!H103),Precios!H103,"")</f>
        <v>0.95700000000000007</v>
      </c>
      <c r="E103" s="5">
        <f>IF(Unidades!S103=0,0,IF(ISNUMBER($D103),Unidades!S103*$D103,""))</f>
        <v>0</v>
      </c>
      <c r="F103" s="5">
        <f>IF(Unidades!T103=0,0,IF(ISNUMBER($D103),Unidades!T103*$D103,""))</f>
        <v>0</v>
      </c>
      <c r="G103" s="5">
        <f>IF(Unidades!U103=0,0,IF(ISNUMBER($D103),Unidades!U103*$D103,""))</f>
        <v>7608.742219112446</v>
      </c>
      <c r="H103" s="5">
        <f>IF(Unidades!V103=0,0,IF(ISNUMBER($D103),Unidades!V103*$D103,""))</f>
        <v>7061.6824375437936</v>
      </c>
      <c r="I103" s="5">
        <f>IF(Unidades!W103=0,0,IF(ISNUMBER($D103),Unidades!W103*$D103,""))</f>
        <v>20621.56977679197</v>
      </c>
      <c r="J103" s="5">
        <f>IF(Unidades!X103=0,0,IF(ISNUMBER($D103),Unidades!X103*$D103,""))</f>
        <v>18347.604000000003</v>
      </c>
      <c r="K103" s="5">
        <f>IF(Unidades!Y103=0,0,IF(ISNUMBER($D103),Unidades!Y103*$D103,""))</f>
        <v>11195.943000000001</v>
      </c>
      <c r="L103" s="5">
        <f>IF(Unidades!Z103=0,0,IF(ISNUMBER($D103),Unidades!Z103*$D103,""))</f>
        <v>3006.8940000000002</v>
      </c>
      <c r="M103" s="5">
        <f>IF(Unidades!AA103=0,0,IF(ISNUMBER($D103),Unidades!AA103*$D103,""))</f>
        <v>2688.2130000000002</v>
      </c>
      <c r="N103" s="5">
        <f>IF(Unidades!AB103=0,0,IF(ISNUMBER($D103),Unidades!AB103*$D103,""))</f>
        <v>3100.6800000000003</v>
      </c>
      <c r="O103" s="5">
        <f>IF(Unidades!AC103=0,0,IF(ISNUMBER($D103),Unidades!AC103*$D103,""))</f>
        <v>4540.9650000000001</v>
      </c>
      <c r="P103" s="5">
        <f>IF(Unidades!AD103=0,0,IF(ISNUMBER($D103),Unidades!AD103*$D103,""))</f>
        <v>14449.743</v>
      </c>
      <c r="Q103" s="5">
        <f>IF(AND(Unidades!AE103&gt;0,NOT(ISNUMBER(D103))),"",SUM(E103:P103))</f>
        <v>92622.036433448215</v>
      </c>
    </row>
    <row r="104" spans="1:17">
      <c r="A104" s="1" t="s">
        <v>265</v>
      </c>
      <c r="B104" s="1" t="s">
        <v>266</v>
      </c>
      <c r="C104" s="1" t="s">
        <v>4</v>
      </c>
      <c r="D104" s="5">
        <f>IF(ISNUMBER(Precios!H104),Precios!H104,"")</f>
        <v>0.66</v>
      </c>
      <c r="E104" s="5">
        <f>IF(Unidades!S104=0,0,IF(ISNUMBER($D104),Unidades!S104*$D104,""))</f>
        <v>0</v>
      </c>
      <c r="F104" s="5">
        <f>IF(Unidades!T104=0,0,IF(ISNUMBER($D104),Unidades!T104*$D104,""))</f>
        <v>0</v>
      </c>
      <c r="G104" s="5">
        <f>IF(Unidades!U104=0,0,IF(ISNUMBER($D104),Unidades!U104*$D104,""))</f>
        <v>0</v>
      </c>
      <c r="H104" s="5">
        <f>IF(Unidades!V104=0,0,IF(ISNUMBER($D104),Unidades!V104*$D104,""))</f>
        <v>1728.7347415792783</v>
      </c>
      <c r="I104" s="5">
        <f>IF(Unidades!W104=0,0,IF(ISNUMBER($D104),Unidades!W104*$D104,""))</f>
        <v>17917.02</v>
      </c>
      <c r="J104" s="5">
        <f>IF(Unidades!X104=0,0,IF(ISNUMBER($D104),Unidades!X104*$D104,""))</f>
        <v>3076.92</v>
      </c>
      <c r="K104" s="5">
        <f>IF(Unidades!Y104=0,0,IF(ISNUMBER($D104),Unidades!Y104*$D104,""))</f>
        <v>9042.66</v>
      </c>
      <c r="L104" s="5">
        <f>IF(Unidades!Z104=0,0,IF(ISNUMBER($D104),Unidades!Z104*$D104,""))</f>
        <v>2719.86</v>
      </c>
      <c r="M104" s="5">
        <f>IF(Unidades!AA104=0,0,IF(ISNUMBER($D104),Unidades!AA104*$D104,""))</f>
        <v>4149.42</v>
      </c>
      <c r="N104" s="5">
        <f>IF(Unidades!AB104=0,0,IF(ISNUMBER($D104),Unidades!AB104*$D104,""))</f>
        <v>3400.98</v>
      </c>
      <c r="O104" s="5">
        <f>IF(Unidades!AC104=0,0,IF(ISNUMBER($D104),Unidades!AC104*$D104,""))</f>
        <v>4922.2800000000007</v>
      </c>
      <c r="P104" s="5">
        <f>IF(Unidades!AD104=0,0,IF(ISNUMBER($D104),Unidades!AD104*$D104,""))</f>
        <v>5525.52</v>
      </c>
      <c r="Q104" s="5">
        <f>IF(AND(Unidades!AE104&gt;0,NOT(ISNUMBER(D104))),"",SUM(E104:P104))</f>
        <v>52483.394741579279</v>
      </c>
    </row>
    <row r="105" spans="1:17">
      <c r="A105" s="1" t="s">
        <v>267</v>
      </c>
      <c r="B105" s="1" t="s">
        <v>268</v>
      </c>
      <c r="C105" s="1" t="s">
        <v>4</v>
      </c>
      <c r="D105" s="5">
        <f>IF(ISNUMBER(Precios!H105),Precios!H105,"")</f>
        <v>128.70000000000002</v>
      </c>
      <c r="E105" s="5">
        <f>IF(Unidades!S105=0,0,IF(ISNUMBER($D105),Unidades!S105*$D105,""))</f>
        <v>2445.3000000000002</v>
      </c>
      <c r="F105" s="5">
        <f>IF(Unidades!T105=0,0,IF(ISNUMBER($D105),Unidades!T105*$D105,""))</f>
        <v>4890.6000000000004</v>
      </c>
      <c r="G105" s="5">
        <f>IF(Unidades!U105=0,0,IF(ISNUMBER($D105),Unidades!U105*$D105,""))</f>
        <v>4633.2000000000007</v>
      </c>
      <c r="H105" s="5">
        <f>IF(Unidades!V105=0,0,IF(ISNUMBER($D105),Unidades!V105*$D105,""))</f>
        <v>3346.2000000000003</v>
      </c>
      <c r="I105" s="5">
        <f>IF(Unidades!W105=0,0,IF(ISNUMBER($D105),Unidades!W105*$D105,""))</f>
        <v>4633.2000000000007</v>
      </c>
      <c r="J105" s="5">
        <f>IF(Unidades!X105=0,0,IF(ISNUMBER($D105),Unidades!X105*$D105,""))</f>
        <v>5019.3000000000011</v>
      </c>
      <c r="K105" s="5">
        <f>IF(Unidades!Y105=0,0,IF(ISNUMBER($D105),Unidades!Y105*$D105,""))</f>
        <v>2831.4000000000005</v>
      </c>
      <c r="L105" s="5">
        <f>IF(Unidades!Z105=0,0,IF(ISNUMBER($D105),Unidades!Z105*$D105,""))</f>
        <v>6306.3000000000011</v>
      </c>
      <c r="M105" s="5">
        <f>IF(Unidades!AA105=0,0,IF(ISNUMBER($D105),Unidades!AA105*$D105,""))</f>
        <v>3732.3000000000006</v>
      </c>
      <c r="N105" s="5">
        <f>IF(Unidades!AB105=0,0,IF(ISNUMBER($D105),Unidades!AB105*$D105,""))</f>
        <v>6435.0000000000009</v>
      </c>
      <c r="O105" s="5">
        <f>IF(Unidades!AC105=0,0,IF(ISNUMBER($D105),Unidades!AC105*$D105,""))</f>
        <v>7078.5000000000009</v>
      </c>
      <c r="P105" s="5">
        <f>IF(Unidades!AD105=0,0,IF(ISNUMBER($D105),Unidades!AD105*$D105,""))</f>
        <v>1158.3000000000002</v>
      </c>
      <c r="Q105" s="5">
        <f>IF(AND(Unidades!AE105&gt;0,NOT(ISNUMBER(D105))),"",SUM(E105:P105))</f>
        <v>52509.600000000013</v>
      </c>
    </row>
    <row r="106" spans="1:17">
      <c r="A106" s="1" t="s">
        <v>269</v>
      </c>
      <c r="B106" s="1" t="s">
        <v>270</v>
      </c>
      <c r="C106" s="1" t="s">
        <v>4</v>
      </c>
      <c r="D106" s="5">
        <f>IF(ISNUMBER(Precios!H106),Precios!H106,"")</f>
        <v>76.915384615384625</v>
      </c>
      <c r="E106" s="5">
        <f>IF(Unidades!S106=0,0,IF(ISNUMBER($D106),Unidades!S106*$D106,""))</f>
        <v>0</v>
      </c>
      <c r="F106" s="5">
        <f>IF(Unidades!T106=0,0,IF(ISNUMBER($D106),Unidades!T106*$D106,""))</f>
        <v>2845.8692307692313</v>
      </c>
      <c r="G106" s="5">
        <f>IF(Unidades!U106=0,0,IF(ISNUMBER($D106),Unidades!U106*$D106,""))</f>
        <v>2076.7153846153847</v>
      </c>
      <c r="H106" s="5">
        <f>IF(Unidades!V106=0,0,IF(ISNUMBER($D106),Unidades!V106*$D106,""))</f>
        <v>1769.0538461538463</v>
      </c>
      <c r="I106" s="5">
        <f>IF(Unidades!W106=0,0,IF(ISNUMBER($D106),Unidades!W106*$D106,""))</f>
        <v>615.323076923077</v>
      </c>
      <c r="J106" s="5">
        <f>IF(Unidades!X106=0,0,IF(ISNUMBER($D106),Unidades!X106*$D106,""))</f>
        <v>461.49230769230775</v>
      </c>
      <c r="K106" s="5">
        <f>IF(Unidades!Y106=0,0,IF(ISNUMBER($D106),Unidades!Y106*$D106,""))</f>
        <v>153.83076923076925</v>
      </c>
      <c r="L106" s="5">
        <f>IF(Unidades!Z106=0,0,IF(ISNUMBER($D106),Unidades!Z106*$D106,""))</f>
        <v>0</v>
      </c>
      <c r="M106" s="5">
        <f>IF(Unidades!AA106=0,0,IF(ISNUMBER($D106),Unidades!AA106*$D106,""))</f>
        <v>153.83076923076925</v>
      </c>
      <c r="N106" s="5">
        <f>IF(Unidades!AB106=0,0,IF(ISNUMBER($D106),Unidades!AB106*$D106,""))</f>
        <v>615.323076923077</v>
      </c>
      <c r="O106" s="5">
        <f>IF(Unidades!AC106=0,0,IF(ISNUMBER($D106),Unidades!AC106*$D106,""))</f>
        <v>461.49230769230775</v>
      </c>
      <c r="P106" s="5">
        <f>IF(Unidades!AD106=0,0,IF(ISNUMBER($D106),Unidades!AD106*$D106,""))</f>
        <v>615.323076923077</v>
      </c>
      <c r="Q106" s="5">
        <f>IF(AND(Unidades!AE106&gt;0,NOT(ISNUMBER(D106))),"",SUM(E106:P106))</f>
        <v>9768.2538461538479</v>
      </c>
    </row>
    <row r="107" spans="1:17">
      <c r="A107" s="1" t="s">
        <v>271</v>
      </c>
      <c r="B107" s="1" t="s">
        <v>272</v>
      </c>
      <c r="C107" s="1" t="s">
        <v>4</v>
      </c>
      <c r="D107" s="5">
        <f>IF(ISNUMBER(Precios!H107),Precios!H107,"")</f>
        <v>80.300000000000011</v>
      </c>
      <c r="E107" s="5">
        <f>IF(Unidades!S107=0,0,IF(ISNUMBER($D107),Unidades!S107*$D107,""))</f>
        <v>0</v>
      </c>
      <c r="F107" s="5">
        <f>IF(Unidades!T107=0,0,IF(ISNUMBER($D107),Unidades!T107*$D107,""))</f>
        <v>2964.9230769230771</v>
      </c>
      <c r="G107" s="5">
        <f>IF(Unidades!U107=0,0,IF(ISNUMBER($D107),Unidades!U107*$D107,""))</f>
        <v>1482.4615384615386</v>
      </c>
      <c r="H107" s="5">
        <f>IF(Unidades!V107=0,0,IF(ISNUMBER($D107),Unidades!V107*$D107,""))</f>
        <v>1482.4615384615386</v>
      </c>
      <c r="I107" s="5">
        <f>IF(Unidades!W107=0,0,IF(ISNUMBER($D107),Unidades!W107*$D107,""))</f>
        <v>1482.4615384615379</v>
      </c>
      <c r="J107" s="5">
        <f>IF(Unidades!X107=0,0,IF(ISNUMBER($D107),Unidades!X107*$D107,""))</f>
        <v>0</v>
      </c>
      <c r="K107" s="5">
        <f>IF(Unidades!Y107=0,0,IF(ISNUMBER($D107),Unidades!Y107*$D107,""))</f>
        <v>0</v>
      </c>
      <c r="L107" s="5">
        <f>IF(Unidades!Z107=0,0,IF(ISNUMBER($D107),Unidades!Z107*$D107,""))</f>
        <v>1482.4615384615379</v>
      </c>
      <c r="M107" s="5">
        <f>IF(Unidades!AA107=0,0,IF(ISNUMBER($D107),Unidades!AA107*$D107,""))</f>
        <v>0</v>
      </c>
      <c r="N107" s="5">
        <f>IF(Unidades!AB107=0,0,IF(ISNUMBER($D107),Unidades!AB107*$D107,""))</f>
        <v>0</v>
      </c>
      <c r="O107" s="5">
        <f>IF(Unidades!AC107=0,0,IF(ISNUMBER($D107),Unidades!AC107*$D107,""))</f>
        <v>1297.1538461538469</v>
      </c>
      <c r="P107" s="5">
        <f>IF(Unidades!AD107=0,0,IF(ISNUMBER($D107),Unidades!AD107*$D107,""))</f>
        <v>0</v>
      </c>
      <c r="Q107" s="5">
        <f>IF(AND(Unidades!AE107&gt;0,NOT(ISNUMBER(D107))),"",SUM(E107:P107))</f>
        <v>10191.923076923078</v>
      </c>
    </row>
    <row r="108" spans="1:17">
      <c r="A108" s="1" t="s">
        <v>273</v>
      </c>
      <c r="B108" s="1" t="s">
        <v>274</v>
      </c>
      <c r="C108" s="1" t="s">
        <v>4</v>
      </c>
      <c r="D108" s="5">
        <f>IF(ISNUMBER(Precios!H108),Precios!H108,"")</f>
        <v>0.77991100000000013</v>
      </c>
      <c r="E108" s="5">
        <f>IF(Unidades!S108=0,0,IF(ISNUMBER($D108),Unidades!S108*$D108,""))</f>
        <v>157.56518486905159</v>
      </c>
      <c r="F108" s="5">
        <f>IF(Unidades!T108=0,0,IF(ISNUMBER($D108),Unidades!T108*$D108,""))</f>
        <v>4669.9608346875011</v>
      </c>
      <c r="G108" s="5">
        <f>IF(Unidades!U108=0,0,IF(ISNUMBER($D108),Unidades!U108*$D108,""))</f>
        <v>1430.2979665066016</v>
      </c>
      <c r="H108" s="5">
        <f>IF(Unidades!V108=0,0,IF(ISNUMBER($D108),Unidades!V108*$D108,""))</f>
        <v>133.07803372233309</v>
      </c>
      <c r="I108" s="5">
        <f>IF(Unidades!W108=0,0,IF(ISNUMBER($D108),Unidades!W108*$D108,""))</f>
        <v>3418.4707992049998</v>
      </c>
      <c r="J108" s="5">
        <f>IF(Unidades!X108=0,0,IF(ISNUMBER($D108),Unidades!X108*$D108,""))</f>
        <v>2603.9031540683345</v>
      </c>
      <c r="K108" s="5">
        <f>IF(Unidades!Y108=0,0,IF(ISNUMBER($D108),Unidades!Y108*$D108,""))</f>
        <v>1214.5399320651675</v>
      </c>
      <c r="L108" s="5">
        <f>IF(Unidades!Z108=0,0,IF(ISNUMBER($D108),Unidades!Z108*$D108,""))</f>
        <v>1533.1474839779994</v>
      </c>
      <c r="M108" s="5">
        <f>IF(Unidades!AA108=0,0,IF(ISNUMBER($D108),Unidades!AA108*$D108,""))</f>
        <v>158.51691075000002</v>
      </c>
      <c r="N108" s="5">
        <f>IF(Unidades!AB108=0,0,IF(ISNUMBER($D108),Unidades!AB108*$D108,""))</f>
        <v>885.06899983333255</v>
      </c>
      <c r="O108" s="5">
        <f>IF(Unidades!AC108=0,0,IF(ISNUMBER($D108),Unidades!AC108*$D108,""))</f>
        <v>3287.3086168541681</v>
      </c>
      <c r="P108" s="5">
        <f>IF(Unidades!AD108=0,0,IF(ISNUMBER($D108),Unidades!AD108*$D108,""))</f>
        <v>2509.9810720416681</v>
      </c>
      <c r="Q108" s="5">
        <f>IF(AND(Unidades!AE108&gt;0,NOT(ISNUMBER(D108))),"",SUM(E108:P108))</f>
        <v>22001.838988581156</v>
      </c>
    </row>
    <row r="109" spans="1:17">
      <c r="A109" s="1" t="s">
        <v>275</v>
      </c>
      <c r="B109" s="1" t="s">
        <v>276</v>
      </c>
      <c r="C109" s="1" t="s">
        <v>4</v>
      </c>
      <c r="D109" s="5">
        <f>IF(ISNUMBER(Precios!H109),Precios!H109,"")</f>
        <v>0.81290016702095369</v>
      </c>
      <c r="E109" s="5">
        <f>IF(Unidades!S109=0,0,IF(ISNUMBER($D109),Unidades!S109*$D109,""))</f>
        <v>2451.793681777518</v>
      </c>
      <c r="F109" s="5">
        <f>IF(Unidades!T109=0,0,IF(ISNUMBER($D109),Unidades!T109*$D109,""))</f>
        <v>5302.6828157685341</v>
      </c>
      <c r="G109" s="5">
        <f>IF(Unidades!U109=0,0,IF(ISNUMBER($D109),Unidades!U109*$D109,""))</f>
        <v>2439.2064890807223</v>
      </c>
      <c r="H109" s="5">
        <f>IF(Unidades!V109=0,0,IF(ISNUMBER($D109),Unidades!V109*$D109,""))</f>
        <v>3059.9097883393119</v>
      </c>
      <c r="I109" s="5">
        <f>IF(Unidades!W109=0,0,IF(ISNUMBER($D109),Unidades!W109*$D109,""))</f>
        <v>3542.2015680098534</v>
      </c>
      <c r="J109" s="5">
        <f>IF(Unidades!X109=0,0,IF(ISNUMBER($D109),Unidades!X109*$D109,""))</f>
        <v>7846.3562821363539</v>
      </c>
      <c r="K109" s="5">
        <f>IF(Unidades!Y109=0,0,IF(ISNUMBER($D109),Unidades!Y109*$D109,""))</f>
        <v>3026.1428067605543</v>
      </c>
      <c r="L109" s="5">
        <f>IF(Unidades!Z109=0,0,IF(ISNUMBER($D109),Unidades!Z109*$D109,""))</f>
        <v>2894.9000747950181</v>
      </c>
      <c r="M109" s="5">
        <f>IF(Unidades!AA109=0,0,IF(ISNUMBER($D109),Unidades!AA109*$D109,""))</f>
        <v>1022.9535701791693</v>
      </c>
      <c r="N109" s="5">
        <f>IF(Unidades!AB109=0,0,IF(ISNUMBER($D109),Unidades!AB109*$D109,""))</f>
        <v>1494.2730870179148</v>
      </c>
      <c r="O109" s="5">
        <f>IF(Unidades!AC109=0,0,IF(ISNUMBER($D109),Unidades!AC109*$D109,""))</f>
        <v>2882.1781871811445</v>
      </c>
      <c r="P109" s="5">
        <f>IF(Unidades!AD109=0,0,IF(ISNUMBER($D109),Unidades!AD109*$D109,""))</f>
        <v>2548.2387985689347</v>
      </c>
      <c r="Q109" s="5">
        <f>IF(AND(Unidades!AE109&gt;0,NOT(ISNUMBER(D109))),"",SUM(E109:P109))</f>
        <v>38510.837149615036</v>
      </c>
    </row>
    <row r="110" spans="1:17">
      <c r="A110" s="1" t="s">
        <v>277</v>
      </c>
      <c r="B110" s="1" t="s">
        <v>278</v>
      </c>
      <c r="C110" s="1" t="s">
        <v>4</v>
      </c>
      <c r="D110" s="5">
        <f>IF(ISNUMBER(Precios!H110),Precios!H110,"")</f>
        <v>0.15868609457671962</v>
      </c>
      <c r="E110" s="5">
        <f>IF(Unidades!S110=0,0,IF(ISNUMBER($D110),Unidades!S110*$D110,""))</f>
        <v>0</v>
      </c>
      <c r="F110" s="5">
        <f>IF(Unidades!T110=0,0,IF(ISNUMBER($D110),Unidades!T110*$D110,""))</f>
        <v>0</v>
      </c>
      <c r="G110" s="5">
        <f>IF(Unidades!U110=0,0,IF(ISNUMBER($D110),Unidades!U110*$D110,""))</f>
        <v>253.5226411134596</v>
      </c>
      <c r="H110" s="5">
        <f>IF(Unidades!V110=0,0,IF(ISNUMBER($D110),Unidades!V110*$D110,""))</f>
        <v>291.73701810851702</v>
      </c>
      <c r="I110" s="5">
        <f>IF(Unidades!W110=0,0,IF(ISNUMBER($D110),Unidades!W110*$D110,""))</f>
        <v>803.32012888897987</v>
      </c>
      <c r="J110" s="5">
        <f>IF(Unidades!X110=0,0,IF(ISNUMBER($D110),Unidades!X110*$D110,""))</f>
        <v>794.94751343042446</v>
      </c>
      <c r="K110" s="5">
        <f>IF(Unidades!Y110=0,0,IF(ISNUMBER($D110),Unidades!Y110*$D110,""))</f>
        <v>477.55506812524357</v>
      </c>
      <c r="L110" s="5">
        <f>IF(Unidades!Z110=0,0,IF(ISNUMBER($D110),Unidades!Z110*$D110,""))</f>
        <v>223.80812089463609</v>
      </c>
      <c r="M110" s="5">
        <f>IF(Unidades!AA110=0,0,IF(ISNUMBER($D110),Unidades!AA110*$D110,""))</f>
        <v>139.80478248854698</v>
      </c>
      <c r="N110" s="5">
        <f>IF(Unidades!AB110=0,0,IF(ISNUMBER($D110),Unidades!AB110*$D110,""))</f>
        <v>159.60179028114004</v>
      </c>
      <c r="O110" s="5">
        <f>IF(Unidades!AC110=0,0,IF(ISNUMBER($D110),Unidades!AC110*$D110,""))</f>
        <v>281.29962441905116</v>
      </c>
      <c r="P110" s="5">
        <f>IF(Unidades!AD110=0,0,IF(ISNUMBER($D110),Unidades!AD110*$D110,""))</f>
        <v>556.9403677421717</v>
      </c>
      <c r="Q110" s="5">
        <f>IF(AND(Unidades!AE110&gt;0,NOT(ISNUMBER(D110))),"",SUM(E110:P110))</f>
        <v>3982.5370554921701</v>
      </c>
    </row>
    <row r="111" spans="1:17">
      <c r="A111" s="1" t="s">
        <v>279</v>
      </c>
      <c r="B111" s="1" t="s">
        <v>280</v>
      </c>
      <c r="C111" s="1" t="s">
        <v>4</v>
      </c>
      <c r="D111" s="5">
        <f>IF(ISNUMBER(Precios!H111),Precios!H111,"")</f>
        <v>0.44000000000000006</v>
      </c>
      <c r="E111" s="5">
        <f>IF(Unidades!S111=0,0,IF(ISNUMBER($D111),Unidades!S111*$D111,""))</f>
        <v>352.38974879842345</v>
      </c>
      <c r="F111" s="5">
        <f>IF(Unidades!T111=0,0,IF(ISNUMBER($D111),Unidades!T111*$D111,""))</f>
        <v>353.86507616571657</v>
      </c>
      <c r="G111" s="5">
        <f>IF(Unidades!U111=0,0,IF(ISNUMBER($D111),Unidades!U111*$D111,""))</f>
        <v>876.55079393239771</v>
      </c>
      <c r="H111" s="5">
        <f>IF(Unidades!V111=0,0,IF(ISNUMBER($D111),Unidades!V111*$D111,""))</f>
        <v>856.13064166666686</v>
      </c>
      <c r="I111" s="5">
        <f>IF(Unidades!W111=0,0,IF(ISNUMBER($D111),Unidades!W111*$D111,""))</f>
        <v>541.68730000000005</v>
      </c>
      <c r="J111" s="5">
        <f>IF(Unidades!X111=0,0,IF(ISNUMBER($D111),Unidades!X111*$D111,""))</f>
        <v>706.1527000000001</v>
      </c>
      <c r="K111" s="5">
        <f>IF(Unidades!Y111=0,0,IF(ISNUMBER($D111),Unidades!Y111*$D111,""))</f>
        <v>544.38990833333355</v>
      </c>
      <c r="L111" s="5">
        <f>IF(Unidades!Z111=0,0,IF(ISNUMBER($D111),Unidades!Z111*$D111,""))</f>
        <v>215.40021250000044</v>
      </c>
      <c r="M111" s="5">
        <f>IF(Unidades!AA111=0,0,IF(ISNUMBER($D111),Unidades!AA111*$D111,""))</f>
        <v>187.65656250000004</v>
      </c>
      <c r="N111" s="5">
        <f>IF(Unidades!AB111=0,0,IF(ISNUMBER($D111),Unidades!AB111*$D111,""))</f>
        <v>386.82324999999975</v>
      </c>
      <c r="O111" s="5">
        <f>IF(Unidades!AC111=0,0,IF(ISNUMBER($D111),Unidades!AC111*$D111,""))</f>
        <v>415.4173374999998</v>
      </c>
      <c r="P111" s="5">
        <f>IF(Unidades!AD111=0,0,IF(ISNUMBER($D111),Unidades!AD111*$D111,""))</f>
        <v>419.2986875000002</v>
      </c>
      <c r="Q111" s="5">
        <f>IF(AND(Unidades!AE111&gt;0,NOT(ISNUMBER(D111))),"",SUM(E111:P111))</f>
        <v>5855.7622188965388</v>
      </c>
    </row>
    <row r="112" spans="1:17">
      <c r="A112" s="1" t="s">
        <v>281</v>
      </c>
      <c r="B112" s="1" t="s">
        <v>282</v>
      </c>
      <c r="C112" s="1" t="s">
        <v>4</v>
      </c>
      <c r="D112" s="5">
        <f>IF(ISNUMBER(Precios!H112),Precios!H112,"")</f>
        <v>1.0507752657004832</v>
      </c>
      <c r="E112" s="5">
        <f>IF(Unidades!S112=0,0,IF(ISNUMBER($D112),Unidades!S112*$D112,""))</f>
        <v>0</v>
      </c>
      <c r="F112" s="5">
        <f>IF(Unidades!T112=0,0,IF(ISNUMBER($D112),Unidades!T112*$D112,""))</f>
        <v>2568.8829752745273</v>
      </c>
      <c r="G112" s="5">
        <f>IF(Unidades!U112=0,0,IF(ISNUMBER($D112),Unidades!U112*$D112,""))</f>
        <v>19022.447328792274</v>
      </c>
      <c r="H112" s="5">
        <f>IF(Unidades!V112=0,0,IF(ISNUMBER($D112),Unidades!V112*$D112,""))</f>
        <v>8509.9436057455096</v>
      </c>
      <c r="I112" s="5">
        <f>IF(Unidades!W112=0,0,IF(ISNUMBER($D112),Unidades!W112*$D112,""))</f>
        <v>21563.747308888891</v>
      </c>
      <c r="J112" s="5">
        <f>IF(Unidades!X112=0,0,IF(ISNUMBER($D112),Unidades!X112*$D112,""))</f>
        <v>18442.944769758462</v>
      </c>
      <c r="K112" s="5">
        <f>IF(Unidades!Y112=0,0,IF(ISNUMBER($D112),Unidades!Y112*$D112,""))</f>
        <v>14370.927921352659</v>
      </c>
      <c r="L112" s="5">
        <f>IF(Unidades!Z112=0,0,IF(ISNUMBER($D112),Unidades!Z112*$D112,""))</f>
        <v>2463.542610434783</v>
      </c>
      <c r="M112" s="5">
        <f>IF(Unidades!AA112=0,0,IF(ISNUMBER($D112),Unidades!AA112*$D112,""))</f>
        <v>1040.2675130434784</v>
      </c>
      <c r="N112" s="5">
        <f>IF(Unidades!AB112=0,0,IF(ISNUMBER($D112),Unidades!AB112*$D112,""))</f>
        <v>3352.7611790338169</v>
      </c>
      <c r="O112" s="5">
        <f>IF(Unidades!AC112=0,0,IF(ISNUMBER($D112),Unidades!AC112*$D112,""))</f>
        <v>4299.7723872463775</v>
      </c>
      <c r="P112" s="5">
        <f>IF(Unidades!AD112=0,0,IF(ISNUMBER($D112),Unidades!AD112*$D112,""))</f>
        <v>2137.2768904347827</v>
      </c>
      <c r="Q112" s="5">
        <f>IF(AND(Unidades!AE112&gt;0,NOT(ISNUMBER(D112))),"",SUM(E112:P112))</f>
        <v>97772.51449000556</v>
      </c>
    </row>
    <row r="113" spans="1:17">
      <c r="A113" s="1" t="s">
        <v>283</v>
      </c>
      <c r="B113" s="1" t="s">
        <v>284</v>
      </c>
      <c r="C113" s="1" t="s">
        <v>4</v>
      </c>
      <c r="D113" s="5">
        <f>IF(ISNUMBER(Precios!H113),Precios!H113,"")</f>
        <v>0.99129821782178229</v>
      </c>
      <c r="E113" s="5">
        <f>IF(Unidades!S113=0,0,IF(ISNUMBER($D113),Unidades!S113*$D113,""))</f>
        <v>0</v>
      </c>
      <c r="F113" s="5">
        <f>IF(Unidades!T113=0,0,IF(ISNUMBER($D113),Unidades!T113*$D113,""))</f>
        <v>0</v>
      </c>
      <c r="G113" s="5">
        <f>IF(Unidades!U113=0,0,IF(ISNUMBER($D113),Unidades!U113*$D113,""))</f>
        <v>0</v>
      </c>
      <c r="H113" s="5">
        <f>IF(Unidades!V113=0,0,IF(ISNUMBER($D113),Unidades!V113*$D113,""))</f>
        <v>0</v>
      </c>
      <c r="I113" s="5">
        <f>IF(Unidades!W113=0,0,IF(ISNUMBER($D113),Unidades!W113*$D113,""))</f>
        <v>0</v>
      </c>
      <c r="J113" s="5">
        <f>IF(Unidades!X113=0,0,IF(ISNUMBER($D113),Unidades!X113*$D113,""))</f>
        <v>0</v>
      </c>
      <c r="K113" s="5">
        <f>IF(Unidades!Y113=0,0,IF(ISNUMBER($D113),Unidades!Y113*$D113,""))</f>
        <v>0</v>
      </c>
      <c r="L113" s="5">
        <f>IF(Unidades!Z113=0,0,IF(ISNUMBER($D113),Unidades!Z113*$D113,""))</f>
        <v>634.40981031949445</v>
      </c>
      <c r="M113" s="5">
        <f>IF(Unidades!AA113=0,0,IF(ISNUMBER($D113),Unidades!AA113*$D113,""))</f>
        <v>2385.0635120792081</v>
      </c>
      <c r="N113" s="5">
        <f>IF(Unidades!AB113=0,0,IF(ISNUMBER($D113),Unidades!AB113*$D113,""))</f>
        <v>1192.531756039604</v>
      </c>
      <c r="O113" s="5">
        <f>IF(Unidades!AC113=0,0,IF(ISNUMBER($D113),Unidades!AC113*$D113,""))</f>
        <v>2385.0635120792081</v>
      </c>
      <c r="P113" s="5">
        <f>IF(Unidades!AD113=0,0,IF(ISNUMBER($D113),Unidades!AD113*$D113,""))</f>
        <v>2385.0635120792081</v>
      </c>
      <c r="Q113" s="5">
        <f>IF(AND(Unidades!AE113&gt;0,NOT(ISNUMBER(D113))),"",SUM(E113:P113))</f>
        <v>8982.1321025967227</v>
      </c>
    </row>
    <row r="114" spans="1:17">
      <c r="A114" s="1" t="s">
        <v>285</v>
      </c>
      <c r="B114" s="1" t="s">
        <v>286</v>
      </c>
      <c r="C114" s="1" t="s">
        <v>4</v>
      </c>
      <c r="D114" s="5">
        <f>IF(ISNUMBER(Precios!H114),Precios!H114,"")</f>
        <v>0.24062500000000003</v>
      </c>
      <c r="E114" s="5">
        <f>IF(Unidades!S114=0,0,IF(ISNUMBER($D114),Unidades!S114*$D114,""))</f>
        <v>15.881250000000001</v>
      </c>
      <c r="F114" s="5">
        <f>IF(Unidades!T114=0,0,IF(ISNUMBER($D114),Unidades!T114*$D114,""))</f>
        <v>4.3312500000000007</v>
      </c>
      <c r="G114" s="5">
        <f>IF(Unidades!U114=0,0,IF(ISNUMBER($D114),Unidades!U114*$D114,""))</f>
        <v>24.543750000000003</v>
      </c>
      <c r="H114" s="5">
        <f>IF(Unidades!V114=0,0,IF(ISNUMBER($D114),Unidades!V114*$D114,""))</f>
        <v>6.2562500000000005</v>
      </c>
      <c r="I114" s="5">
        <f>IF(Unidades!W114=0,0,IF(ISNUMBER($D114),Unidades!W114*$D114,""))</f>
        <v>33.9492479770458</v>
      </c>
      <c r="J114" s="5">
        <f>IF(Unidades!X114=0,0,IF(ISNUMBER($D114),Unidades!X114*$D114,""))</f>
        <v>52.45624999999999</v>
      </c>
      <c r="K114" s="5">
        <f>IF(Unidades!Y114=0,0,IF(ISNUMBER($D114),Unidades!Y114*$D114,""))</f>
        <v>14.437500000000002</v>
      </c>
      <c r="L114" s="5">
        <f>IF(Unidades!Z114=0,0,IF(ISNUMBER($D114),Unidades!Z114*$D114,""))</f>
        <v>15.400000000000002</v>
      </c>
      <c r="M114" s="5">
        <f>IF(Unidades!AA114=0,0,IF(ISNUMBER($D114),Unidades!AA114*$D114,""))</f>
        <v>6.7375000000000007</v>
      </c>
      <c r="N114" s="5">
        <f>IF(Unidades!AB114=0,0,IF(ISNUMBER($D114),Unidades!AB114*$D114,""))</f>
        <v>33.687500000000007</v>
      </c>
      <c r="O114" s="5">
        <f>IF(Unidades!AC114=0,0,IF(ISNUMBER($D114),Unidades!AC114*$D114,""))</f>
        <v>22.137500000000003</v>
      </c>
      <c r="P114" s="5">
        <f>IF(Unidades!AD114=0,0,IF(ISNUMBER($D114),Unidades!AD114*$D114,""))</f>
        <v>20.212500000000002</v>
      </c>
      <c r="Q114" s="5">
        <f>IF(AND(Unidades!AE114&gt;0,NOT(ISNUMBER(D114))),"",SUM(E114:P114))</f>
        <v>250.03049797704583</v>
      </c>
    </row>
    <row r="115" spans="1:17">
      <c r="A115" s="1" t="s">
        <v>287</v>
      </c>
      <c r="B115" s="1" t="s">
        <v>288</v>
      </c>
      <c r="C115" s="1" t="s">
        <v>4</v>
      </c>
      <c r="D115" s="5">
        <f>IF(ISNUMBER(Precios!H115),Precios!H115,"")</f>
        <v>2.1449893647877789</v>
      </c>
      <c r="E115" s="5">
        <f>IF(Unidades!S115=0,0,IF(ISNUMBER($D115),Unidades!S115*$D115,""))</f>
        <v>265.06434417211756</v>
      </c>
      <c r="F115" s="5">
        <f>IF(Unidades!T115=0,0,IF(ISNUMBER($D115),Unidades!T115*$D115,""))</f>
        <v>316.92033872421371</v>
      </c>
      <c r="G115" s="5">
        <f>IF(Unidades!U115=0,0,IF(ISNUMBER($D115),Unidades!U115*$D115,""))</f>
        <v>547.58965327854855</v>
      </c>
      <c r="H115" s="5">
        <f>IF(Unidades!V115=0,0,IF(ISNUMBER($D115),Unidades!V115*$D115,""))</f>
        <v>403.34396479636126</v>
      </c>
      <c r="I115" s="5">
        <f>IF(Unidades!W115=0,0,IF(ISNUMBER($D115),Unidades!W115*$D115,""))</f>
        <v>674.50497604106636</v>
      </c>
      <c r="J115" s="5">
        <f>IF(Unidades!X115=0,0,IF(ISNUMBER($D115),Unidades!X115*$D115,""))</f>
        <v>706.3780116159287</v>
      </c>
      <c r="K115" s="5">
        <f>IF(Unidades!Y115=0,0,IF(ISNUMBER($D115),Unidades!Y115*$D115,""))</f>
        <v>453.92129724009391</v>
      </c>
      <c r="L115" s="5">
        <f>IF(Unidades!Z115=0,0,IF(ISNUMBER($D115),Unidades!Z115*$D115,""))</f>
        <v>203.0372131988986</v>
      </c>
      <c r="M115" s="5">
        <f>IF(Unidades!AA115=0,0,IF(ISNUMBER($D115),Unidades!AA115*$D115,""))</f>
        <v>139.57856220889133</v>
      </c>
      <c r="N115" s="5">
        <f>IF(Unidades!AB115=0,0,IF(ISNUMBER($D115),Unidades!AB115*$D115,""))</f>
        <v>201.41286921166483</v>
      </c>
      <c r="O115" s="5">
        <f>IF(Unidades!AC115=0,0,IF(ISNUMBER($D115),Unidades!AC115*$D115,""))</f>
        <v>291.4108077944926</v>
      </c>
      <c r="P115" s="5">
        <f>IF(Unidades!AD115=0,0,IF(ISNUMBER($D115),Unidades!AD115*$D115,""))</f>
        <v>477.95656409976328</v>
      </c>
      <c r="Q115" s="5">
        <f>IF(AND(Unidades!AE115&gt;0,NOT(ISNUMBER(D115))),"",SUM(E115:P115))</f>
        <v>4681.118602382041</v>
      </c>
    </row>
    <row r="116" spans="1:17">
      <c r="A116" s="1" t="s">
        <v>289</v>
      </c>
      <c r="B116" s="1" t="s">
        <v>290</v>
      </c>
      <c r="C116" s="1" t="s">
        <v>4</v>
      </c>
      <c r="D116" s="5">
        <f>IF(ISNUMBER(Precios!H116),Precios!H116,"")</f>
        <v>0.69190000000000007</v>
      </c>
      <c r="E116" s="5">
        <f>IF(Unidades!S116=0,0,IF(ISNUMBER($D116),Unidades!S116*$D116,""))</f>
        <v>0</v>
      </c>
      <c r="F116" s="5">
        <f>IF(Unidades!T116=0,0,IF(ISNUMBER($D116),Unidades!T116*$D116,""))</f>
        <v>0</v>
      </c>
      <c r="G116" s="5">
        <f>IF(Unidades!U116=0,0,IF(ISNUMBER($D116),Unidades!U116*$D116,""))</f>
        <v>0</v>
      </c>
      <c r="H116" s="5">
        <f>IF(Unidades!V116=0,0,IF(ISNUMBER($D116),Unidades!V116*$D116,""))</f>
        <v>0</v>
      </c>
      <c r="I116" s="5">
        <f>IF(Unidades!W116=0,0,IF(ISNUMBER($D116),Unidades!W116*$D116,""))</f>
        <v>0</v>
      </c>
      <c r="J116" s="5">
        <f>IF(Unidades!X116=0,0,IF(ISNUMBER($D116),Unidades!X116*$D116,""))</f>
        <v>0</v>
      </c>
      <c r="K116" s="5">
        <f>IF(Unidades!Y116=0,0,IF(ISNUMBER($D116),Unidades!Y116*$D116,""))</f>
        <v>0</v>
      </c>
      <c r="L116" s="5">
        <f>IF(Unidades!Z116=0,0,IF(ISNUMBER($D116),Unidades!Z116*$D116,""))</f>
        <v>0</v>
      </c>
      <c r="M116" s="5">
        <f>IF(Unidades!AA116=0,0,IF(ISNUMBER($D116),Unidades!AA116*$D116,""))</f>
        <v>0</v>
      </c>
      <c r="N116" s="5">
        <f>IF(Unidades!AB116=0,0,IF(ISNUMBER($D116),Unidades!AB116*$D116,""))</f>
        <v>0</v>
      </c>
      <c r="O116" s="5">
        <f>IF(Unidades!AC116=0,0,IF(ISNUMBER($D116),Unidades!AC116*$D116,""))</f>
        <v>0</v>
      </c>
      <c r="P116" s="5">
        <f>IF(Unidades!AD116=0,0,IF(ISNUMBER($D116),Unidades!AD116*$D116,""))</f>
        <v>7165.3879968056972</v>
      </c>
      <c r="Q116" s="5">
        <f>IF(AND(Unidades!AE116&gt;0,NOT(ISNUMBER(D116))),"",SUM(E116:P116))</f>
        <v>7165.3879968056972</v>
      </c>
    </row>
    <row r="117" spans="1:17">
      <c r="A117" s="1" t="s">
        <v>291</v>
      </c>
      <c r="B117" s="1" t="s">
        <v>292</v>
      </c>
      <c r="C117" s="1" t="s">
        <v>4</v>
      </c>
      <c r="D117" s="5">
        <f>IF(ISNUMBER(Precios!H117),Precios!H117,"")</f>
        <v>0.64974801136363636</v>
      </c>
      <c r="E117" s="5">
        <f>IF(Unidades!S117=0,0,IF(ISNUMBER($D117),Unidades!S117*$D117,""))</f>
        <v>463.58555936486113</v>
      </c>
      <c r="F117" s="5">
        <f>IF(Unidades!T117=0,0,IF(ISNUMBER($D117),Unidades!T117*$D117,""))</f>
        <v>14927.310813068181</v>
      </c>
      <c r="G117" s="5">
        <f>IF(Unidades!U117=0,0,IF(ISNUMBER($D117),Unidades!U117*$D117,""))</f>
        <v>8661.6394561176276</v>
      </c>
      <c r="H117" s="5">
        <f>IF(Unidades!V117=0,0,IF(ISNUMBER($D117),Unidades!V117*$D117,""))</f>
        <v>556.18429772727268</v>
      </c>
      <c r="I117" s="5">
        <f>IF(Unidades!W117=0,0,IF(ISNUMBER($D117),Unidades!W117*$D117,""))</f>
        <v>15848.653493181819</v>
      </c>
      <c r="J117" s="5">
        <f>IF(Unidades!X117=0,0,IF(ISNUMBER($D117),Unidades!X117*$D117,""))</f>
        <v>2024.6148034090909</v>
      </c>
      <c r="K117" s="5">
        <f>IF(Unidades!Y117=0,0,IF(ISNUMBER($D117),Unidades!Y117*$D117,""))</f>
        <v>8107.5556857954543</v>
      </c>
      <c r="L117" s="5">
        <f>IF(Unidades!Z117=0,0,IF(ISNUMBER($D117),Unidades!Z117*$D117,""))</f>
        <v>873.26132727272727</v>
      </c>
      <c r="M117" s="5">
        <f>IF(Unidades!AA117=0,0,IF(ISNUMBER($D117),Unidades!AA117*$D117,""))</f>
        <v>0</v>
      </c>
      <c r="N117" s="5">
        <f>IF(Unidades!AB117=0,0,IF(ISNUMBER($D117),Unidades!AB117*$D117,""))</f>
        <v>5036.8465840909093</v>
      </c>
      <c r="O117" s="5">
        <f>IF(Unidades!AC117=0,0,IF(ISNUMBER($D117),Unidades!AC117*$D117,""))</f>
        <v>10020.41383125</v>
      </c>
      <c r="P117" s="5">
        <f>IF(Unidades!AD117=0,0,IF(ISNUMBER($D117),Unidades!AD117*$D117,""))</f>
        <v>8043.2306326704547</v>
      </c>
      <c r="Q117" s="5">
        <f>IF(AND(Unidades!AE117&gt;0,NOT(ISNUMBER(D117))),"",SUM(E117:P117))</f>
        <v>74563.29648394839</v>
      </c>
    </row>
    <row r="118" spans="1:17">
      <c r="A118" s="1" t="s">
        <v>293</v>
      </c>
      <c r="B118" s="1" t="s">
        <v>294</v>
      </c>
      <c r="C118" s="1" t="s">
        <v>4</v>
      </c>
      <c r="D118" s="5">
        <f>IF(ISNUMBER(Precios!H118),Precios!H118,"")</f>
        <v>0.46115291666666669</v>
      </c>
      <c r="E118" s="5">
        <f>IF(Unidades!S118=0,0,IF(ISNUMBER($D118),Unidades!S118*$D118,""))</f>
        <v>4478.7171266666664</v>
      </c>
      <c r="F118" s="5">
        <f>IF(Unidades!T118=0,0,IF(ISNUMBER($D118),Unidades!T118*$D118,""))</f>
        <v>17576.843418750002</v>
      </c>
      <c r="G118" s="5">
        <f>IF(Unidades!U118=0,0,IF(ISNUMBER($D118),Unidades!U118*$D118,""))</f>
        <v>3261.2734266666666</v>
      </c>
      <c r="H118" s="5">
        <f>IF(Unidades!V118=0,0,IF(ISNUMBER($D118),Unidades!V118*$D118,""))</f>
        <v>502.19552625</v>
      </c>
      <c r="I118" s="5">
        <f>IF(Unidades!W118=0,0,IF(ISNUMBER($D118),Unidades!W118*$D118,""))</f>
        <v>6457.0631391666666</v>
      </c>
      <c r="J118" s="5">
        <f>IF(Unidades!X118=0,0,IF(ISNUMBER($D118),Unidades!X118*$D118,""))</f>
        <v>13561.584973333334</v>
      </c>
      <c r="K118" s="5">
        <f>IF(Unidades!Y118=0,0,IF(ISNUMBER($D118),Unidades!Y118*$D118,""))</f>
        <v>2470.8573275000003</v>
      </c>
      <c r="L118" s="5">
        <f>IF(Unidades!Z118=0,0,IF(ISNUMBER($D118),Unidades!Z118*$D118,""))</f>
        <v>7989.4742812500008</v>
      </c>
      <c r="M118" s="5">
        <f>IF(Unidades!AA118=0,0,IF(ISNUMBER($D118),Unidades!AA118*$D118,""))</f>
        <v>1124.75196375</v>
      </c>
      <c r="N118" s="5">
        <f>IF(Unidades!AB118=0,0,IF(ISNUMBER($D118),Unidades!AB118*$D118,""))</f>
        <v>1583.1379629166668</v>
      </c>
      <c r="O118" s="5">
        <f>IF(Unidades!AC118=0,0,IF(ISNUMBER($D118),Unidades!AC118*$D118,""))</f>
        <v>14119.580002500001</v>
      </c>
      <c r="P118" s="5">
        <f>IF(Unidades!AD118=0,0,IF(ISNUMBER($D118),Unidades!AD118*$D118,""))</f>
        <v>7761.664740416667</v>
      </c>
      <c r="Q118" s="5">
        <f>IF(AND(Unidades!AE118&gt;0,NOT(ISNUMBER(D118))),"",SUM(E118:P118))</f>
        <v>80887.143889166691</v>
      </c>
    </row>
    <row r="119" spans="1:17">
      <c r="A119" s="1" t="s">
        <v>295</v>
      </c>
      <c r="B119" s="1" t="s">
        <v>296</v>
      </c>
      <c r="C119" s="1" t="s">
        <v>4</v>
      </c>
      <c r="D119" s="5">
        <f>IF(ISNUMBER(Precios!H119),Precios!H119,"")</f>
        <v>3.9765068875227692</v>
      </c>
      <c r="E119" s="5">
        <f>IF(Unidades!S119=0,0,IF(ISNUMBER($D119),Unidades!S119*$D119,""))</f>
        <v>10020.858033063119</v>
      </c>
      <c r="F119" s="5">
        <f>IF(Unidades!T119=0,0,IF(ISNUMBER($D119),Unidades!T119*$D119,""))</f>
        <v>8905.269476642281</v>
      </c>
      <c r="G119" s="5">
        <f>IF(Unidades!U119=0,0,IF(ISNUMBER($D119),Unidades!U119*$D119,""))</f>
        <v>43709.824384156018</v>
      </c>
      <c r="H119" s="5">
        <f>IF(Unidades!V119=0,0,IF(ISNUMBER($D119),Unidades!V119*$D119,""))</f>
        <v>40556.393745844725</v>
      </c>
      <c r="I119" s="5">
        <f>IF(Unidades!W119=0,0,IF(ISNUMBER($D119),Unidades!W119*$D119,""))</f>
        <v>22503.05247649135</v>
      </c>
      <c r="J119" s="5">
        <f>IF(Unidades!X119=0,0,IF(ISNUMBER($D119),Unidades!X119*$D119,""))</f>
        <v>24574.812564890712</v>
      </c>
      <c r="K119" s="5">
        <f>IF(Unidades!Y119=0,0,IF(ISNUMBER($D119),Unidades!Y119*$D119,""))</f>
        <v>24081.725710837891</v>
      </c>
      <c r="L119" s="5">
        <f>IF(Unidades!Z119=0,0,IF(ISNUMBER($D119),Unidades!Z119*$D119,""))</f>
        <v>7845.6480890824232</v>
      </c>
      <c r="M119" s="5">
        <f>IF(Unidades!AA119=0,0,IF(ISNUMBER($D119),Unidades!AA119*$D119,""))</f>
        <v>6016.4549208219496</v>
      </c>
      <c r="N119" s="5">
        <f>IF(Unidades!AB119=0,0,IF(ISNUMBER($D119),Unidades!AB119*$D119,""))</f>
        <v>14613.662811646176</v>
      </c>
      <c r="O119" s="5">
        <f>IF(Unidades!AC119=0,0,IF(ISNUMBER($D119),Unidades!AC119*$D119,""))</f>
        <v>15206.16233788707</v>
      </c>
      <c r="P119" s="5">
        <f>IF(Unidades!AD119=0,0,IF(ISNUMBER($D119),Unidades!AD119*$D119,""))</f>
        <v>10092.374480532788</v>
      </c>
      <c r="Q119" s="5">
        <f>IF(AND(Unidades!AE119&gt;0,NOT(ISNUMBER(D119))),"",SUM(E119:P119))</f>
        <v>228126.23903189652</v>
      </c>
    </row>
    <row r="120" spans="1:17">
      <c r="A120" s="1" t="s">
        <v>297</v>
      </c>
      <c r="B120" s="1" t="s">
        <v>298</v>
      </c>
      <c r="C120" s="1" t="s">
        <v>4</v>
      </c>
      <c r="D120" s="5">
        <f>IF(ISNUMBER(Precios!H120),Precios!H120,"")</f>
        <v>3.6850000000000005</v>
      </c>
      <c r="E120" s="5">
        <f>IF(Unidades!S120=0,0,IF(ISNUMBER($D120),Unidades!S120*$D120,""))</f>
        <v>2877.9850000000006</v>
      </c>
      <c r="F120" s="5">
        <f>IF(Unidades!T120=0,0,IF(ISNUMBER($D120),Unidades!T120*$D120,""))</f>
        <v>4960.01</v>
      </c>
      <c r="G120" s="5">
        <f>IF(Unidades!U120=0,0,IF(ISNUMBER($D120),Unidades!U120*$D120,""))</f>
        <v>1820.3900000000003</v>
      </c>
      <c r="H120" s="5">
        <f>IF(Unidades!V120=0,0,IF(ISNUMBER($D120),Unidades!V120*$D120,""))</f>
        <v>3054.8650000000002</v>
      </c>
      <c r="I120" s="5">
        <f>IF(Unidades!W120=0,0,IF(ISNUMBER($D120),Unidades!W120*$D120,""))</f>
        <v>1201.3100000000002</v>
      </c>
      <c r="J120" s="5">
        <f>IF(Unidades!X120=0,0,IF(ISNUMBER($D120),Unidades!X120*$D120,""))</f>
        <v>5656.4750000000004</v>
      </c>
      <c r="K120" s="5">
        <f>IF(Unidades!Y120=0,0,IF(ISNUMBER($D120),Unidades!Y120*$D120,""))</f>
        <v>884.40000000000009</v>
      </c>
      <c r="L120" s="5">
        <f>IF(Unidades!Z120=0,0,IF(ISNUMBER($D120),Unidades!Z120*$D120,""))</f>
        <v>1853.5550000000003</v>
      </c>
      <c r="M120" s="5">
        <f>IF(Unidades!AA120=0,0,IF(ISNUMBER($D120),Unidades!AA120*$D120,""))</f>
        <v>2745.3250000000003</v>
      </c>
      <c r="N120" s="5">
        <f>IF(Unidades!AB120=0,0,IF(ISNUMBER($D120),Unidades!AB120*$D120,""))</f>
        <v>1975.1600000000003</v>
      </c>
      <c r="O120" s="5">
        <f>IF(Unidades!AC120=0,0,IF(ISNUMBER($D120),Unidades!AC120*$D120,""))</f>
        <v>1757.7450000000003</v>
      </c>
      <c r="P120" s="5">
        <f>IF(Unidades!AD120=0,0,IF(ISNUMBER($D120),Unidades!AD120*$D120,""))</f>
        <v>8637.6400000000012</v>
      </c>
      <c r="Q120" s="5">
        <f>IF(AND(Unidades!AE120&gt;0,NOT(ISNUMBER(D120))),"",SUM(E120:P120))</f>
        <v>37424.860000000008</v>
      </c>
    </row>
    <row r="121" spans="1:17">
      <c r="A121" s="1" t="s">
        <v>299</v>
      </c>
      <c r="B121" s="1" t="s">
        <v>300</v>
      </c>
      <c r="C121" s="1" t="s">
        <v>4</v>
      </c>
      <c r="D121" s="5">
        <f>IF(ISNUMBER(Precios!H121),Precios!H121,"")</f>
        <v>0.95699999999999996</v>
      </c>
      <c r="E121" s="5">
        <f>IF(Unidades!S121=0,0,IF(ISNUMBER($D121),Unidades!S121*$D121,""))</f>
        <v>6135.2769111668194</v>
      </c>
      <c r="F121" s="5">
        <f>IF(Unidades!T121=0,0,IF(ISNUMBER($D121),Unidades!T121*$D121,""))</f>
        <v>11795.982</v>
      </c>
      <c r="G121" s="5">
        <f>IF(Unidades!U121=0,0,IF(ISNUMBER($D121),Unidades!U121*$D121,""))</f>
        <v>2117.6711344597188</v>
      </c>
      <c r="H121" s="5">
        <f>IF(Unidades!V121=0,0,IF(ISNUMBER($D121),Unidades!V121*$D121,""))</f>
        <v>2468.0646461061724</v>
      </c>
      <c r="I121" s="5">
        <f>IF(Unidades!W121=0,0,IF(ISNUMBER($D121),Unidades!W121*$D121,""))</f>
        <v>5140.0469999999996</v>
      </c>
      <c r="J121" s="5">
        <f>IF(Unidades!X121=0,0,IF(ISNUMBER($D121),Unidades!X121*$D121,""))</f>
        <v>18946.685999999994</v>
      </c>
      <c r="K121" s="5">
        <f>IF(Unidades!Y121=0,0,IF(ISNUMBER($D121),Unidades!Y121*$D121,""))</f>
        <v>4472.0609999999997</v>
      </c>
      <c r="L121" s="5">
        <f>IF(Unidades!Z121=0,0,IF(ISNUMBER($D121),Unidades!Z121*$D121,""))</f>
        <v>5068.2719999999999</v>
      </c>
      <c r="M121" s="5">
        <f>IF(Unidades!AA121=0,0,IF(ISNUMBER($D121),Unidades!AA121*$D121,""))</f>
        <v>1098.636</v>
      </c>
      <c r="N121" s="5">
        <f>IF(Unidades!AB121=0,0,IF(ISNUMBER($D121),Unidades!AB121*$D121,""))</f>
        <v>1397.22</v>
      </c>
      <c r="O121" s="5">
        <f>IF(Unidades!AC121=0,0,IF(ISNUMBER($D121),Unidades!AC121*$D121,""))</f>
        <v>3907.431</v>
      </c>
      <c r="P121" s="5">
        <f>IF(Unidades!AD121=0,0,IF(ISNUMBER($D121),Unidades!AD121*$D121,""))</f>
        <v>7287.5549999999994</v>
      </c>
      <c r="Q121" s="5">
        <f>IF(AND(Unidades!AE121&gt;0,NOT(ISNUMBER(D121))),"",SUM(E121:P121))</f>
        <v>69834.902691732699</v>
      </c>
    </row>
    <row r="122" spans="1:17">
      <c r="A122" s="1" t="s">
        <v>301</v>
      </c>
      <c r="B122" s="1" t="s">
        <v>302</v>
      </c>
      <c r="C122" s="1" t="s">
        <v>4</v>
      </c>
      <c r="D122" s="5">
        <f>IF(ISNUMBER(Precios!H122),Precios!H122,"")</f>
        <v>4.4319000000000004E-2</v>
      </c>
      <c r="E122" s="5">
        <f>IF(Unidades!S122=0,0,IF(ISNUMBER($D122),Unidades!S122*$D122,""))</f>
        <v>82.078788000000003</v>
      </c>
      <c r="F122" s="5">
        <f>IF(Unidades!T122=0,0,IF(ISNUMBER($D122),Unidades!T122*$D122,""))</f>
        <v>68.815626550835759</v>
      </c>
      <c r="G122" s="5">
        <f>IF(Unidades!U122=0,0,IF(ISNUMBER($D122),Unidades!U122*$D122,""))</f>
        <v>777.88708800000006</v>
      </c>
      <c r="H122" s="5">
        <f>IF(Unidades!V122=0,0,IF(ISNUMBER($D122),Unidades!V122*$D122,""))</f>
        <v>327.02894874556262</v>
      </c>
      <c r="I122" s="5">
        <f>IF(Unidades!W122=0,0,IF(ISNUMBER($D122),Unidades!W122*$D122,""))</f>
        <v>823.09246800000005</v>
      </c>
      <c r="J122" s="5">
        <f>IF(Unidades!X122=0,0,IF(ISNUMBER($D122),Unidades!X122*$D122,""))</f>
        <v>740.30457600000011</v>
      </c>
      <c r="K122" s="5">
        <f>IF(Unidades!Y122=0,0,IF(ISNUMBER($D122),Unidades!Y122*$D122,""))</f>
        <v>474.39057600000007</v>
      </c>
      <c r="L122" s="5">
        <f>IF(Unidades!Z122=0,0,IF(ISNUMBER($D122),Unidades!Z122*$D122,""))</f>
        <v>65.060292000000004</v>
      </c>
      <c r="M122" s="5">
        <f>IF(Unidades!AA122=0,0,IF(ISNUMBER($D122),Unidades!AA122*$D122,""))</f>
        <v>15.245736000000001</v>
      </c>
      <c r="N122" s="5">
        <f>IF(Unidades!AB122=0,0,IF(ISNUMBER($D122),Unidades!AB122*$D122,""))</f>
        <v>87.662982000000014</v>
      </c>
      <c r="O122" s="5">
        <f>IF(Unidades!AC122=0,0,IF(ISNUMBER($D122),Unidades!AC122*$D122,""))</f>
        <v>103.66214100000001</v>
      </c>
      <c r="P122" s="5">
        <f>IF(Unidades!AD122=0,0,IF(ISNUMBER($D122),Unidades!AD122*$D122,""))</f>
        <v>34.879053000000006</v>
      </c>
      <c r="Q122" s="5">
        <f>IF(AND(Unidades!AE122&gt;0,NOT(ISNUMBER(D122))),"",SUM(E122:P122))</f>
        <v>3600.1082752963985</v>
      </c>
    </row>
    <row r="123" spans="1:17">
      <c r="A123" s="1" t="s">
        <v>303</v>
      </c>
      <c r="B123" s="1" t="s">
        <v>304</v>
      </c>
      <c r="C123" s="1" t="s">
        <v>4</v>
      </c>
      <c r="D123" s="5">
        <f>IF(ISNUMBER(Precios!H123),Precios!H123,"")</f>
        <v>0.10010000000000001</v>
      </c>
      <c r="E123" s="5">
        <f>IF(Unidades!S123=0,0,IF(ISNUMBER($D123),Unidades!S123*$D123,""))</f>
        <v>0</v>
      </c>
      <c r="F123" s="5">
        <f>IF(Unidades!T123=0,0,IF(ISNUMBER($D123),Unidades!T123*$D123,""))</f>
        <v>0</v>
      </c>
      <c r="G123" s="5">
        <f>IF(Unidades!U123=0,0,IF(ISNUMBER($D123),Unidades!U123*$D123,""))</f>
        <v>738.59619166666675</v>
      </c>
      <c r="H123" s="5">
        <f>IF(Unidades!V123=0,0,IF(ISNUMBER($D123),Unidades!V123*$D123,""))</f>
        <v>0</v>
      </c>
      <c r="I123" s="5">
        <f>IF(Unidades!W123=0,0,IF(ISNUMBER($D123),Unidades!W123*$D123,""))</f>
        <v>0</v>
      </c>
      <c r="J123" s="5">
        <f>IF(Unidades!X123=0,0,IF(ISNUMBER($D123),Unidades!X123*$D123,""))</f>
        <v>738.59619166666675</v>
      </c>
      <c r="K123" s="5">
        <f>IF(Unidades!Y123=0,0,IF(ISNUMBER($D123),Unidades!Y123*$D123,""))</f>
        <v>0</v>
      </c>
      <c r="L123" s="5">
        <f>IF(Unidades!Z123=0,0,IF(ISNUMBER($D123),Unidades!Z123*$D123,""))</f>
        <v>0</v>
      </c>
      <c r="M123" s="5">
        <f>IF(Unidades!AA123=0,0,IF(ISNUMBER($D123),Unidades!AA123*$D123,""))</f>
        <v>0</v>
      </c>
      <c r="N123" s="5">
        <f>IF(Unidades!AB123=0,0,IF(ISNUMBER($D123),Unidades!AB123*$D123,""))</f>
        <v>0</v>
      </c>
      <c r="O123" s="5">
        <f>IF(Unidades!AC123=0,0,IF(ISNUMBER($D123),Unidades!AC123*$D123,""))</f>
        <v>884.66711666666686</v>
      </c>
      <c r="P123" s="5">
        <f>IF(Unidades!AD123=0,0,IF(ISNUMBER($D123),Unidades!AD123*$D123,""))</f>
        <v>0</v>
      </c>
      <c r="Q123" s="5">
        <f>IF(AND(Unidades!AE123&gt;0,NOT(ISNUMBER(D123))),"",SUM(E123:P123))</f>
        <v>2361.8595000000005</v>
      </c>
    </row>
    <row r="124" spans="1:17">
      <c r="A124" s="1" t="s">
        <v>305</v>
      </c>
      <c r="B124" s="1" t="s">
        <v>306</v>
      </c>
      <c r="C124" s="1" t="s">
        <v>4</v>
      </c>
      <c r="D124" s="5">
        <f>IF(ISNUMBER(Precios!H124),Precios!H124,"")</f>
        <v>5.1117000000000003E-2</v>
      </c>
      <c r="E124" s="5">
        <f>IF(Unidades!S124=0,0,IF(ISNUMBER($D124),Unidades!S124*$D124,""))</f>
        <v>78.513541177673318</v>
      </c>
      <c r="F124" s="5">
        <f>IF(Unidades!T124=0,0,IF(ISNUMBER($D124),Unidades!T124*$D124,""))</f>
        <v>0</v>
      </c>
      <c r="G124" s="5">
        <f>IF(Unidades!U124=0,0,IF(ISNUMBER($D124),Unidades!U124*$D124,""))</f>
        <v>0</v>
      </c>
      <c r="H124" s="5">
        <f>IF(Unidades!V124=0,0,IF(ISNUMBER($D124),Unidades!V124*$D124,""))</f>
        <v>0</v>
      </c>
      <c r="I124" s="5">
        <f>IF(Unidades!W124=0,0,IF(ISNUMBER($D124),Unidades!W124*$D124,""))</f>
        <v>256.81180800000004</v>
      </c>
      <c r="J124" s="5">
        <f>IF(Unidades!X124=0,0,IF(ISNUMBER($D124),Unidades!X124*$D124,""))</f>
        <v>44.982960000000006</v>
      </c>
      <c r="K124" s="5">
        <f>IF(Unidades!Y124=0,0,IF(ISNUMBER($D124),Unidades!Y124*$D124,""))</f>
        <v>0</v>
      </c>
      <c r="L124" s="5">
        <f>IF(Unidades!Z124=0,0,IF(ISNUMBER($D124),Unidades!Z124*$D124,""))</f>
        <v>134.94888</v>
      </c>
      <c r="M124" s="5">
        <f>IF(Unidades!AA124=0,0,IF(ISNUMBER($D124),Unidades!AA124*$D124,""))</f>
        <v>245.97500400000001</v>
      </c>
      <c r="N124" s="5">
        <f>IF(Unidades!AB124=0,0,IF(ISNUMBER($D124),Unidades!AB124*$D124,""))</f>
        <v>122.98750199999991</v>
      </c>
      <c r="O124" s="5">
        <f>IF(Unidades!AC124=0,0,IF(ISNUMBER($D124),Unidades!AC124*$D124,""))</f>
        <v>245.97500400000001</v>
      </c>
      <c r="P124" s="5">
        <f>IF(Unidades!AD124=0,0,IF(ISNUMBER($D124),Unidades!AD124*$D124,""))</f>
        <v>245.97500400000001</v>
      </c>
      <c r="Q124" s="5">
        <f>IF(AND(Unidades!AE124&gt;0,NOT(ISNUMBER(D124))),"",SUM(E124:P124))</f>
        <v>1376.1697031776735</v>
      </c>
    </row>
    <row r="125" spans="1:17">
      <c r="A125" s="1" t="s">
        <v>307</v>
      </c>
      <c r="B125" s="1" t="s">
        <v>308</v>
      </c>
      <c r="C125" s="1" t="s">
        <v>4</v>
      </c>
      <c r="D125" s="5">
        <f>IF(ISNUMBER(Precios!H125),Precios!H125,"")</f>
        <v>9.8065555555555559E-2</v>
      </c>
      <c r="E125" s="5">
        <f>IF(Unidades!S125=0,0,IF(ISNUMBER($D125),Unidades!S125*$D125,""))</f>
        <v>0</v>
      </c>
      <c r="F125" s="5">
        <f>IF(Unidades!T125=0,0,IF(ISNUMBER($D125),Unidades!T125*$D125,""))</f>
        <v>0</v>
      </c>
      <c r="G125" s="5">
        <f>IF(Unidades!U125=0,0,IF(ISNUMBER($D125),Unidades!U125*$D125,""))</f>
        <v>0</v>
      </c>
      <c r="H125" s="5">
        <f>IF(Unidades!V125=0,0,IF(ISNUMBER($D125),Unidades!V125*$D125,""))</f>
        <v>0</v>
      </c>
      <c r="I125" s="5">
        <f>IF(Unidades!W125=0,0,IF(ISNUMBER($D125),Unidades!W125*$D125,""))</f>
        <v>0</v>
      </c>
      <c r="J125" s="5">
        <f>IF(Unidades!X125=0,0,IF(ISNUMBER($D125),Unidades!X125*$D125,""))</f>
        <v>0</v>
      </c>
      <c r="K125" s="5">
        <f>IF(Unidades!Y125=0,0,IF(ISNUMBER($D125),Unidades!Y125*$D125,""))</f>
        <v>0</v>
      </c>
      <c r="L125" s="5">
        <f>IF(Unidades!Z125=0,0,IF(ISNUMBER($D125),Unidades!Z125*$D125,""))</f>
        <v>0</v>
      </c>
      <c r="M125" s="5">
        <f>IF(Unidades!AA125=0,0,IF(ISNUMBER($D125),Unidades!AA125*$D125,""))</f>
        <v>0</v>
      </c>
      <c r="N125" s="5">
        <f>IF(Unidades!AB125=0,0,IF(ISNUMBER($D125),Unidades!AB125*$D125,""))</f>
        <v>0</v>
      </c>
      <c r="O125" s="5">
        <f>IF(Unidades!AC125=0,0,IF(ISNUMBER($D125),Unidades!AC125*$D125,""))</f>
        <v>0</v>
      </c>
      <c r="P125" s="5">
        <f>IF(Unidades!AD125=0,0,IF(ISNUMBER($D125),Unidades!AD125*$D125,""))</f>
        <v>0</v>
      </c>
      <c r="Q125" s="5">
        <f>IF(AND(Unidades!AE125&gt;0,NOT(ISNUMBER(D125))),"",SUM(E125:P125))</f>
        <v>0</v>
      </c>
    </row>
    <row r="126" spans="1:17">
      <c r="A126" s="1" t="s">
        <v>309</v>
      </c>
      <c r="B126" s="1" t="s">
        <v>310</v>
      </c>
      <c r="C126" s="1" t="s">
        <v>4</v>
      </c>
      <c r="D126" s="5">
        <f>IF(ISNUMBER(Precios!H126),Precios!H126,"")</f>
        <v>5.4944899817850647E-2</v>
      </c>
      <c r="E126" s="5">
        <f>IF(Unidades!S126=0,0,IF(ISNUMBER($D126),Unidades!S126*$D126,""))</f>
        <v>0</v>
      </c>
      <c r="F126" s="5">
        <f>IF(Unidades!T126=0,0,IF(ISNUMBER($D126),Unidades!T126*$D126,""))</f>
        <v>331.42763570127511</v>
      </c>
      <c r="G126" s="5">
        <f>IF(Unidades!U126=0,0,IF(ISNUMBER($D126),Unidades!U126*$D126,""))</f>
        <v>0</v>
      </c>
      <c r="H126" s="5">
        <f>IF(Unidades!V126=0,0,IF(ISNUMBER($D126),Unidades!V126*$D126,""))</f>
        <v>0</v>
      </c>
      <c r="I126" s="5">
        <f>IF(Unidades!W126=0,0,IF(ISNUMBER($D126),Unidades!W126*$D126,""))</f>
        <v>397.69118488160296</v>
      </c>
      <c r="J126" s="5">
        <f>IF(Unidades!X126=0,0,IF(ISNUMBER($D126),Unidades!X126*$D126,""))</f>
        <v>0</v>
      </c>
      <c r="K126" s="5">
        <f>IF(Unidades!Y126=0,0,IF(ISNUMBER($D126),Unidades!Y126*$D126,""))</f>
        <v>0</v>
      </c>
      <c r="L126" s="5">
        <f>IF(Unidades!Z126=0,0,IF(ISNUMBER($D126),Unidades!Z126*$D126,""))</f>
        <v>265.10914162112937</v>
      </c>
      <c r="M126" s="5">
        <f>IF(Unidades!AA126=0,0,IF(ISNUMBER($D126),Unidades!AA126*$D126,""))</f>
        <v>0</v>
      </c>
      <c r="N126" s="5">
        <f>IF(Unidades!AB126=0,0,IF(ISNUMBER($D126),Unidades!AB126*$D126,""))</f>
        <v>0</v>
      </c>
      <c r="O126" s="5">
        <f>IF(Unidades!AC126=0,0,IF(ISNUMBER($D126),Unidades!AC126*$D126,""))</f>
        <v>0</v>
      </c>
      <c r="P126" s="5">
        <f>IF(Unidades!AD126=0,0,IF(ISNUMBER($D126),Unidades!AD126*$D126,""))</f>
        <v>300.76838160291442</v>
      </c>
      <c r="Q126" s="5">
        <f>IF(AND(Unidades!AE126&gt;0,NOT(ISNUMBER(D126))),"",SUM(E126:P126))</f>
        <v>1294.9963438069217</v>
      </c>
    </row>
    <row r="127" spans="1:17">
      <c r="A127" s="1" t="s">
        <v>311</v>
      </c>
      <c r="B127" s="1" t="s">
        <v>312</v>
      </c>
      <c r="C127" s="1" t="s">
        <v>4</v>
      </c>
      <c r="D127" s="5">
        <f>IF(ISNUMBER(Precios!H127),Precios!H127,"")</f>
        <v>5.7904000000000004E-2</v>
      </c>
      <c r="E127" s="5">
        <f>IF(Unidades!S127=0,0,IF(ISNUMBER($D127),Unidades!S127*$D127,""))</f>
        <v>7.5334098919394492</v>
      </c>
      <c r="F127" s="5">
        <f>IF(Unidades!T127=0,0,IF(ISNUMBER($D127),Unidades!T127*$D127,""))</f>
        <v>918.03317760000016</v>
      </c>
      <c r="G127" s="5">
        <f>IF(Unidades!U127=0,0,IF(ISNUMBER($D127),Unidades!U127*$D127,""))</f>
        <v>266.47420800000003</v>
      </c>
      <c r="H127" s="5">
        <f>IF(Unidades!V127=0,0,IF(ISNUMBER($D127),Unidades!V127*$D127,""))</f>
        <v>885.60693760000015</v>
      </c>
      <c r="I127" s="5">
        <f>IF(Unidades!W127=0,0,IF(ISNUMBER($D127),Unidades!W127*$D127,""))</f>
        <v>669.23127039999997</v>
      </c>
      <c r="J127" s="5">
        <f>IF(Unidades!X127=0,0,IF(ISNUMBER($D127),Unidades!X127*$D127,""))</f>
        <v>1151.5021056000005</v>
      </c>
      <c r="K127" s="5">
        <f>IF(Unidades!Y127=0,0,IF(ISNUMBER($D127),Unidades!Y127*$D127,""))</f>
        <v>727.29740159999972</v>
      </c>
      <c r="L127" s="5">
        <f>IF(Unidades!Z127=0,0,IF(ISNUMBER($D127),Unidades!Z127*$D127,""))</f>
        <v>577.48817279999992</v>
      </c>
      <c r="M127" s="5">
        <f>IF(Unidades!AA127=0,0,IF(ISNUMBER($D127),Unidades!AA127*$D127,""))</f>
        <v>290.37697920000016</v>
      </c>
      <c r="N127" s="5">
        <f>IF(Unidades!AB127=0,0,IF(ISNUMBER($D127),Unidades!AB127*$D127,""))</f>
        <v>290.44646400000005</v>
      </c>
      <c r="O127" s="5">
        <f>IF(Unidades!AC127=0,0,IF(ISNUMBER($D127),Unidades!AC127*$D127,""))</f>
        <v>497.83543040000035</v>
      </c>
      <c r="P127" s="5">
        <f>IF(Unidades!AD127=0,0,IF(ISNUMBER($D127),Unidades!AD127*$D127,""))</f>
        <v>0</v>
      </c>
      <c r="Q127" s="5">
        <f>IF(AND(Unidades!AE127&gt;0,NOT(ISNUMBER(D127))),"",SUM(E127:P127))</f>
        <v>6281.82555709194</v>
      </c>
    </row>
    <row r="128" spans="1:17">
      <c r="A128" s="1" t="s">
        <v>313</v>
      </c>
      <c r="B128" s="1" t="s">
        <v>314</v>
      </c>
      <c r="C128" s="1" t="s">
        <v>4</v>
      </c>
      <c r="D128" s="5">
        <f>IF(ISNUMBER(Precios!H128),Precios!H128,"")</f>
        <v>4.3878541666666666E-2</v>
      </c>
      <c r="E128" s="5">
        <f>IF(Unidades!S128=0,0,IF(ISNUMBER($D128),Unidades!S128*$D128,""))</f>
        <v>0</v>
      </c>
      <c r="F128" s="5">
        <f>IF(Unidades!T128=0,0,IF(ISNUMBER($D128),Unidades!T128*$D128,""))</f>
        <v>0</v>
      </c>
      <c r="G128" s="5">
        <f>IF(Unidades!U128=0,0,IF(ISNUMBER($D128),Unidades!U128*$D128,""))</f>
        <v>0</v>
      </c>
      <c r="H128" s="5">
        <f>IF(Unidades!V128=0,0,IF(ISNUMBER($D128),Unidades!V128*$D128,""))</f>
        <v>0</v>
      </c>
      <c r="I128" s="5">
        <f>IF(Unidades!W128=0,0,IF(ISNUMBER($D128),Unidades!W128*$D128,""))</f>
        <v>251.02106615360046</v>
      </c>
      <c r="J128" s="5">
        <f>IF(Unidades!X128=0,0,IF(ISNUMBER($D128),Unidades!X128*$D128,""))</f>
        <v>441.374250625</v>
      </c>
      <c r="K128" s="5">
        <f>IF(Unidades!Y128=0,0,IF(ISNUMBER($D128),Unidades!Y128*$D128,""))</f>
        <v>112.46070229166666</v>
      </c>
      <c r="L128" s="5">
        <f>IF(Unidades!Z128=0,0,IF(ISNUMBER($D128),Unidades!Z128*$D128,""))</f>
        <v>94.997042708333339</v>
      </c>
      <c r="M128" s="5">
        <f>IF(Unidades!AA128=0,0,IF(ISNUMBER($D128),Unidades!AA128*$D128,""))</f>
        <v>3.027619375</v>
      </c>
      <c r="N128" s="5">
        <f>IF(Unidades!AB128=0,0,IF(ISNUMBER($D128),Unidades!AB128*$D128,""))</f>
        <v>153.79428854166667</v>
      </c>
      <c r="O128" s="5">
        <f>IF(Unidades!AC128=0,0,IF(ISNUMBER($D128),Unidades!AC128*$D128,""))</f>
        <v>315.61835020833331</v>
      </c>
      <c r="P128" s="5">
        <f>IF(Unidades!AD128=0,0,IF(ISNUMBER($D128),Unidades!AD128*$D128,""))</f>
        <v>330.09826895833316</v>
      </c>
      <c r="Q128" s="5">
        <f>IF(AND(Unidades!AE128&gt;0,NOT(ISNUMBER(D128))),"",SUM(E128:P128))</f>
        <v>1702.3915888619335</v>
      </c>
    </row>
    <row r="129" spans="1:17">
      <c r="A129" s="1" t="s">
        <v>315</v>
      </c>
      <c r="B129" s="1" t="s">
        <v>316</v>
      </c>
      <c r="C129" s="1" t="s">
        <v>4</v>
      </c>
      <c r="D129" s="5">
        <f>IF(ISNUMBER(Precios!H129),Precios!H129,"")</f>
        <v>4.6904000000000001E-2</v>
      </c>
      <c r="E129" s="5">
        <f>IF(Unidades!S129=0,0,IF(ISNUMBER($D129),Unidades!S129*$D129,""))</f>
        <v>0</v>
      </c>
      <c r="F129" s="5">
        <f>IF(Unidades!T129=0,0,IF(ISNUMBER($D129),Unidades!T129*$D129,""))</f>
        <v>0</v>
      </c>
      <c r="G129" s="5">
        <f>IF(Unidades!U129=0,0,IF(ISNUMBER($D129),Unidades!U129*$D129,""))</f>
        <v>0</v>
      </c>
      <c r="H129" s="5">
        <f>IF(Unidades!V129=0,0,IF(ISNUMBER($D129),Unidades!V129*$D129,""))</f>
        <v>0</v>
      </c>
      <c r="I129" s="5">
        <f>IF(Unidades!W129=0,0,IF(ISNUMBER($D129),Unidades!W129*$D129,""))</f>
        <v>0</v>
      </c>
      <c r="J129" s="5">
        <f>IF(Unidades!X129=0,0,IF(ISNUMBER($D129),Unidades!X129*$D129,""))</f>
        <v>0</v>
      </c>
      <c r="K129" s="5">
        <f>IF(Unidades!Y129=0,0,IF(ISNUMBER($D129),Unidades!Y129*$D129,""))</f>
        <v>0</v>
      </c>
      <c r="L129" s="5">
        <f>IF(Unidades!Z129=0,0,IF(ISNUMBER($D129),Unidades!Z129*$D129,""))</f>
        <v>0</v>
      </c>
      <c r="M129" s="5">
        <f>IF(Unidades!AA129=0,0,IF(ISNUMBER($D129),Unidades!AA129*$D129,""))</f>
        <v>0</v>
      </c>
      <c r="N129" s="5">
        <f>IF(Unidades!AB129=0,0,IF(ISNUMBER($D129),Unidades!AB129*$D129,""))</f>
        <v>0</v>
      </c>
      <c r="O129" s="5">
        <f>IF(Unidades!AC129=0,0,IF(ISNUMBER($D129),Unidades!AC129*$D129,""))</f>
        <v>0</v>
      </c>
      <c r="P129" s="5">
        <f>IF(Unidades!AD129=0,0,IF(ISNUMBER($D129),Unidades!AD129*$D129,""))</f>
        <v>1103.932544</v>
      </c>
      <c r="Q129" s="5">
        <f>IF(AND(Unidades!AE129&gt;0,NOT(ISNUMBER(D129))),"",SUM(E129:P129))</f>
        <v>1103.932544</v>
      </c>
    </row>
    <row r="130" spans="1:17">
      <c r="A130" s="1" t="s">
        <v>317</v>
      </c>
      <c r="B130" s="1" t="s">
        <v>318</v>
      </c>
      <c r="C130" s="1" t="s">
        <v>4</v>
      </c>
      <c r="D130" s="5">
        <f>IF(ISNUMBER(Precios!H130),Precios!H130,"")</f>
        <v>2.0790000000000002</v>
      </c>
      <c r="E130" s="5">
        <f>IF(Unidades!S130=0,0,IF(ISNUMBER($D130),Unidades!S130*$D130,""))</f>
        <v>363.97470537875108</v>
      </c>
      <c r="F130" s="5">
        <f>IF(Unidades!T130=0,0,IF(ISNUMBER($D130),Unidades!T130*$D130,""))</f>
        <v>469.43153426632705</v>
      </c>
      <c r="G130" s="5">
        <f>IF(Unidades!U130=0,0,IF(ISNUMBER($D130),Unidades!U130*$D130,""))</f>
        <v>633.72070815394261</v>
      </c>
      <c r="H130" s="5">
        <f>IF(Unidades!V130=0,0,IF(ISNUMBER($D130),Unidades!V130*$D130,""))</f>
        <v>508.69807237822295</v>
      </c>
      <c r="I130" s="5">
        <f>IF(Unidades!W130=0,0,IF(ISNUMBER($D130),Unidades!W130*$D130,""))</f>
        <v>755.58891175668361</v>
      </c>
      <c r="J130" s="5">
        <f>IF(Unidades!X130=0,0,IF(ISNUMBER($D130),Unidades!X130*$D130,""))</f>
        <v>902.01984384749994</v>
      </c>
      <c r="K130" s="5">
        <f>IF(Unidades!Y130=0,0,IF(ISNUMBER($D130),Unidades!Y130*$D130,""))</f>
        <v>541.91210461290007</v>
      </c>
      <c r="L130" s="5">
        <f>IF(Unidades!Z130=0,0,IF(ISNUMBER($D130),Unidades!Z130*$D130,""))</f>
        <v>281.72779880070004</v>
      </c>
      <c r="M130" s="5">
        <f>IF(Unidades!AA130=0,0,IF(ISNUMBER($D130),Unidades!AA130*$D130,""))</f>
        <v>168.07305138750019</v>
      </c>
      <c r="N130" s="5">
        <f>IF(Unidades!AB130=0,0,IF(ISNUMBER($D130),Unidades!AB130*$D130,""))</f>
        <v>255.89733561000003</v>
      </c>
      <c r="O130" s="5">
        <f>IF(Unidades!AC130=0,0,IF(ISNUMBER($D130),Unidades!AC130*$D130,""))</f>
        <v>386.79070336200044</v>
      </c>
      <c r="P130" s="5">
        <f>IF(Unidades!AD130=0,0,IF(ISNUMBER($D130),Unidades!AD130*$D130,""))</f>
        <v>554.80609605750021</v>
      </c>
      <c r="Q130" s="5">
        <f>IF(AND(Unidades!AE130&gt;0,NOT(ISNUMBER(D130))),"",SUM(E130:P130))</f>
        <v>5822.6408656120284</v>
      </c>
    </row>
    <row r="131" spans="1:17">
      <c r="A131" s="1" t="s">
        <v>319</v>
      </c>
      <c r="B131" s="1" t="s">
        <v>320</v>
      </c>
      <c r="C131" s="1" t="s">
        <v>4</v>
      </c>
      <c r="D131" s="5">
        <f>IF(ISNUMBER(Precios!H131),Precios!H131,"")</f>
        <v>0.100705</v>
      </c>
      <c r="E131" s="5">
        <f>IF(Unidades!S131=0,0,IF(ISNUMBER($D131),Unidades!S131*$D131,""))</f>
        <v>1812.1290675212065</v>
      </c>
      <c r="F131" s="5">
        <f>IF(Unidades!T131=0,0,IF(ISNUMBER($D131),Unidades!T131*$D131,""))</f>
        <v>8084.5788268345686</v>
      </c>
      <c r="G131" s="5">
        <f>IF(Unidades!U131=0,0,IF(ISNUMBER($D131),Unidades!U131*$D131,""))</f>
        <v>2179.404617744126</v>
      </c>
      <c r="H131" s="5">
        <f>IF(Unidades!V131=0,0,IF(ISNUMBER($D131),Unidades!V131*$D131,""))</f>
        <v>919.61225102172966</v>
      </c>
      <c r="I131" s="5">
        <f>IF(Unidades!W131=0,0,IF(ISNUMBER($D131),Unidades!W131*$D131,""))</f>
        <v>8033.9004900161744</v>
      </c>
      <c r="J131" s="5">
        <f>IF(Unidades!X131=0,0,IF(ISNUMBER($D131),Unidades!X131*$D131,""))</f>
        <v>4316.8495333518067</v>
      </c>
      <c r="K131" s="5">
        <f>IF(Unidades!Y131=0,0,IF(ISNUMBER($D131),Unidades!Y131*$D131,""))</f>
        <v>3755.963854600835</v>
      </c>
      <c r="L131" s="5">
        <f>IF(Unidades!Z131=0,0,IF(ISNUMBER($D131),Unidades!Z131*$D131,""))</f>
        <v>2917.1769213400012</v>
      </c>
      <c r="M131" s="5">
        <f>IF(Unidades!AA131=0,0,IF(ISNUMBER($D131),Unidades!AA131*$D131,""))</f>
        <v>1134.5274242499977</v>
      </c>
      <c r="N131" s="5">
        <f>IF(Unidades!AB131=0,0,IF(ISNUMBER($D131),Unidades!AB131*$D131,""))</f>
        <v>1998.0164233917972</v>
      </c>
      <c r="O131" s="5">
        <f>IF(Unidades!AC131=0,0,IF(ISNUMBER($D131),Unidades!AC131*$D131,""))</f>
        <v>5253.9356030565395</v>
      </c>
      <c r="P131" s="5">
        <f>IF(Unidades!AD131=0,0,IF(ISNUMBER($D131),Unidades!AD131*$D131,""))</f>
        <v>4937.5748034501257</v>
      </c>
      <c r="Q131" s="5">
        <f>IF(AND(Unidades!AE131&gt;0,NOT(ISNUMBER(D131))),"",SUM(E131:P131))</f>
        <v>45343.669816578906</v>
      </c>
    </row>
    <row r="132" spans="1:17">
      <c r="A132" s="1" t="s">
        <v>321</v>
      </c>
      <c r="B132" s="1" t="s">
        <v>322</v>
      </c>
      <c r="C132" s="1" t="s">
        <v>4</v>
      </c>
      <c r="D132" s="5">
        <f>IF(ISNUMBER(Precios!H132),Precios!H132,"")</f>
        <v>4.8993930635838158E-2</v>
      </c>
      <c r="E132" s="5">
        <f>IF(Unidades!S132=0,0,IF(ISNUMBER($D132),Unidades!S132*$D132,""))</f>
        <v>11.072628323699425</v>
      </c>
      <c r="F132" s="5">
        <f>IF(Unidades!T132=0,0,IF(ISNUMBER($D132),Unidades!T132*$D132,""))</f>
        <v>2.1634925334809076</v>
      </c>
      <c r="G132" s="5">
        <f>IF(Unidades!U132=0,0,IF(ISNUMBER($D132),Unidades!U132*$D132,""))</f>
        <v>24.251995664739887</v>
      </c>
      <c r="H132" s="5">
        <f>IF(Unidades!V132=0,0,IF(ISNUMBER($D132),Unidades!V132*$D132,""))</f>
        <v>1.0778664739884394</v>
      </c>
      <c r="I132" s="5">
        <f>IF(Unidades!W132=0,0,IF(ISNUMBER($D132),Unidades!W132*$D132,""))</f>
        <v>6.8591502890173421</v>
      </c>
      <c r="J132" s="5">
        <f>IF(Unidades!X132=0,0,IF(ISNUMBER($D132),Unidades!X132*$D132,""))</f>
        <v>26.750686127167633</v>
      </c>
      <c r="K132" s="5">
        <f>IF(Unidades!Y132=0,0,IF(ISNUMBER($D132),Unidades!Y132*$D132,""))</f>
        <v>8.2309803468208109</v>
      </c>
      <c r="L132" s="5">
        <f>IF(Unidades!Z132=0,0,IF(ISNUMBER($D132),Unidades!Z132*$D132,""))</f>
        <v>2.2537208092485552</v>
      </c>
      <c r="M132" s="5">
        <f>IF(Unidades!AA132=0,0,IF(ISNUMBER($D132),Unidades!AA132*$D132,""))</f>
        <v>0</v>
      </c>
      <c r="N132" s="5">
        <f>IF(Unidades!AB132=0,0,IF(ISNUMBER($D132),Unidades!AB132*$D132,""))</f>
        <v>18.029766473988442</v>
      </c>
      <c r="O132" s="5">
        <f>IF(Unidades!AC132=0,0,IF(ISNUMBER($D132),Unidades!AC132*$D132,""))</f>
        <v>11.611561560693643</v>
      </c>
      <c r="P132" s="5">
        <f>IF(Unidades!AD132=0,0,IF(ISNUMBER($D132),Unidades!AD132*$D132,""))</f>
        <v>2.0087511560693643</v>
      </c>
      <c r="Q132" s="5">
        <f>IF(AND(Unidades!AE132&gt;0,NOT(ISNUMBER(D132))),"",SUM(E132:P132))</f>
        <v>114.31059975891445</v>
      </c>
    </row>
    <row r="133" spans="1:17">
      <c r="A133" s="1" t="s">
        <v>323</v>
      </c>
      <c r="B133" s="1" t="s">
        <v>324</v>
      </c>
      <c r="C133" s="1" t="s">
        <v>4</v>
      </c>
      <c r="D133" s="5">
        <f>IF(ISNUMBER(Precios!H133),Precios!H133,"")</f>
        <v>0.11158392914653786</v>
      </c>
      <c r="E133" s="5">
        <f>IF(Unidades!S133=0,0,IF(ISNUMBER($D133),Unidades!S133*$D133,""))</f>
        <v>344.92439105943976</v>
      </c>
      <c r="F133" s="5">
        <f>IF(Unidades!T133=0,0,IF(ISNUMBER($D133),Unidades!T133*$D133,""))</f>
        <v>2112.3834765959336</v>
      </c>
      <c r="G133" s="5">
        <f>IF(Unidades!U133=0,0,IF(ISNUMBER($D133),Unidades!U133*$D133,""))</f>
        <v>888.2644174958167</v>
      </c>
      <c r="H133" s="5">
        <f>IF(Unidades!V133=0,0,IF(ISNUMBER($D133),Unidades!V133*$D133,""))</f>
        <v>1077.9745618465693</v>
      </c>
      <c r="I133" s="5">
        <f>IF(Unidades!W133=0,0,IF(ISNUMBER($D133),Unidades!W133*$D133,""))</f>
        <v>1226.1127153855618</v>
      </c>
      <c r="J133" s="5">
        <f>IF(Unidades!X133=0,0,IF(ISNUMBER($D133),Unidades!X133*$D133,""))</f>
        <v>3638.623178781123</v>
      </c>
      <c r="K133" s="5">
        <f>IF(Unidades!Y133=0,0,IF(ISNUMBER($D133),Unidades!Y133*$D133,""))</f>
        <v>1421.1980122356413</v>
      </c>
      <c r="L133" s="5">
        <f>IF(Unidades!Z133=0,0,IF(ISNUMBER($D133),Unidades!Z133*$D133,""))</f>
        <v>1026.8282189599081</v>
      </c>
      <c r="M133" s="5">
        <f>IF(Unidades!AA133=0,0,IF(ISNUMBER($D133),Unidades!AA133*$D133,""))</f>
        <v>410.90781908212568</v>
      </c>
      <c r="N133" s="5">
        <f>IF(Unidades!AB133=0,0,IF(ISNUMBER($D133),Unidades!AB133*$D133,""))</f>
        <v>687.02225175523358</v>
      </c>
      <c r="O133" s="5">
        <f>IF(Unidades!AC133=0,0,IF(ISNUMBER($D133),Unidades!AC133*$D133,""))</f>
        <v>1062.71461196767</v>
      </c>
      <c r="P133" s="5">
        <f>IF(Unidades!AD133=0,0,IF(ISNUMBER($D133),Unidades!AD133*$D133,""))</f>
        <v>1582.9854108373611</v>
      </c>
      <c r="Q133" s="5">
        <f>IF(AND(Unidades!AE133&gt;0,NOT(ISNUMBER(D133))),"",SUM(E133:P133))</f>
        <v>15479.939066002386</v>
      </c>
    </row>
    <row r="134" spans="1:17">
      <c r="A134" s="1" t="s">
        <v>45</v>
      </c>
      <c r="B134" s="1" t="s">
        <v>325</v>
      </c>
      <c r="C134" s="1" t="s">
        <v>4</v>
      </c>
      <c r="D134" s="5">
        <f>IF(ISNUMBER(Precios!H134),Precios!H134,"")</f>
        <v>3.4870000000000001</v>
      </c>
      <c r="E134" s="5">
        <f>IF(Unidades!S134=0,0,IF(ISNUMBER($D134),Unidades!S134*$D134,""))</f>
        <v>0</v>
      </c>
      <c r="F134" s="5">
        <f>IF(Unidades!T134=0,0,IF(ISNUMBER($D134),Unidades!T134*$D134,""))</f>
        <v>0</v>
      </c>
      <c r="G134" s="5">
        <f>IF(Unidades!U134=0,0,IF(ISNUMBER($D134),Unidades!U134*$D134,""))</f>
        <v>0</v>
      </c>
      <c r="H134" s="5">
        <f>IF(Unidades!V134=0,0,IF(ISNUMBER($D134),Unidades!V134*$D134,""))</f>
        <v>0</v>
      </c>
      <c r="I134" s="5">
        <f>IF(Unidades!W134=0,0,IF(ISNUMBER($D134),Unidades!W134*$D134,""))</f>
        <v>0</v>
      </c>
      <c r="J134" s="5">
        <f>IF(Unidades!X134=0,0,IF(ISNUMBER($D134),Unidades!X134*$D134,""))</f>
        <v>632.25629240309638</v>
      </c>
      <c r="K134" s="5">
        <f>IF(Unidades!Y134=0,0,IF(ISNUMBER($D134),Unidades!Y134*$D134,""))</f>
        <v>145.44389270833352</v>
      </c>
      <c r="L134" s="5">
        <f>IF(Unidades!Z134=0,0,IF(ISNUMBER($D134),Unidades!Z134*$D134,""))</f>
        <v>366.27864062499981</v>
      </c>
      <c r="M134" s="5">
        <f>IF(Unidades!AA134=0,0,IF(ISNUMBER($D134),Unidades!AA134*$D134,""))</f>
        <v>4.8302874999997698</v>
      </c>
      <c r="N134" s="5">
        <f>IF(Unidades!AB134=0,0,IF(ISNUMBER($D134),Unidades!AB134*$D134,""))</f>
        <v>244.29340833333356</v>
      </c>
      <c r="O134" s="5">
        <f>IF(Unidades!AC134=0,0,IF(ISNUMBER($D134),Unidades!AC134*$D134,""))</f>
        <v>434.93291562500002</v>
      </c>
      <c r="P134" s="5">
        <f>IF(Unidades!AD134=0,0,IF(ISNUMBER($D134),Unidades!AD134*$D134,""))</f>
        <v>717.09659687500016</v>
      </c>
      <c r="Q134" s="5">
        <f>IF(AND(Unidades!AE134&gt;0,NOT(ISNUMBER(D134))),"",SUM(E134:P134))</f>
        <v>2545.132034069763</v>
      </c>
    </row>
    <row r="135" spans="1:17">
      <c r="A135" s="1" t="s">
        <v>326</v>
      </c>
      <c r="B135" s="1" t="s">
        <v>327</v>
      </c>
      <c r="C135" s="1" t="s">
        <v>4</v>
      </c>
      <c r="D135" s="5">
        <f>IF(ISNUMBER(Precios!H135),Precios!H135,"")</f>
        <v>4.1910000000000007</v>
      </c>
      <c r="E135" s="5">
        <f>IF(Unidades!S135=0,0,IF(ISNUMBER($D135),Unidades!S135*$D135,""))</f>
        <v>0</v>
      </c>
      <c r="F135" s="5">
        <f>IF(Unidades!T135=0,0,IF(ISNUMBER($D135),Unidades!T135*$D135,""))</f>
        <v>0</v>
      </c>
      <c r="G135" s="5">
        <f>IF(Unidades!U135=0,0,IF(ISNUMBER($D135),Unidades!U135*$D135,""))</f>
        <v>0</v>
      </c>
      <c r="H135" s="5">
        <f>IF(Unidades!V135=0,0,IF(ISNUMBER($D135),Unidades!V135*$D135,""))</f>
        <v>0</v>
      </c>
      <c r="I135" s="5">
        <f>IF(Unidades!W135=0,0,IF(ISNUMBER($D135),Unidades!W135*$D135,""))</f>
        <v>0</v>
      </c>
      <c r="J135" s="5">
        <f>IF(Unidades!X135=0,0,IF(ISNUMBER($D135),Unidades!X135*$D135,""))</f>
        <v>0</v>
      </c>
      <c r="K135" s="5">
        <f>IF(Unidades!Y135=0,0,IF(ISNUMBER($D135),Unidades!Y135*$D135,""))</f>
        <v>0</v>
      </c>
      <c r="L135" s="5">
        <f>IF(Unidades!Z135=0,0,IF(ISNUMBER($D135),Unidades!Z135*$D135,""))</f>
        <v>474.46388918627832</v>
      </c>
      <c r="M135" s="5">
        <f>IF(Unidades!AA135=0,0,IF(ISNUMBER($D135),Unidades!AA135*$D135,""))</f>
        <v>744.63173400000005</v>
      </c>
      <c r="N135" s="5">
        <f>IF(Unidades!AB135=0,0,IF(ISNUMBER($D135),Unidades!AB135*$D135,""))</f>
        <v>812.70614699999976</v>
      </c>
      <c r="O135" s="5">
        <f>IF(Unidades!AC135=0,0,IF(ISNUMBER($D135),Unidades!AC135*$D135,""))</f>
        <v>1256.6629680000019</v>
      </c>
      <c r="P135" s="5">
        <f>IF(Unidades!AD135=0,0,IF(ISNUMBER($D135),Unidades!AD135*$D135,""))</f>
        <v>922.64864999999861</v>
      </c>
      <c r="Q135" s="5">
        <f>IF(AND(Unidades!AE135&gt;0,NOT(ISNUMBER(D135))),"",SUM(E135:P135))</f>
        <v>4211.1133881862788</v>
      </c>
    </row>
    <row r="136" spans="1:17">
      <c r="A136" s="1" t="s">
        <v>328</v>
      </c>
      <c r="B136" s="1" t="s">
        <v>329</v>
      </c>
      <c r="C136" s="1" t="s">
        <v>4</v>
      </c>
      <c r="D136" s="5">
        <f>IF(ISNUMBER(Precios!H136),Precios!H136,"")</f>
        <v>3.4870000000000001</v>
      </c>
      <c r="E136" s="5">
        <f>IF(Unidades!S136=0,0,IF(ISNUMBER($D136),Unidades!S136*$D136,""))</f>
        <v>0</v>
      </c>
      <c r="F136" s="5">
        <f>IF(Unidades!T136=0,0,IF(ISNUMBER($D136),Unidades!T136*$D136,""))</f>
        <v>0</v>
      </c>
      <c r="G136" s="5">
        <f>IF(Unidades!U136=0,0,IF(ISNUMBER($D136),Unidades!U136*$D136,""))</f>
        <v>0</v>
      </c>
      <c r="H136" s="5">
        <f>IF(Unidades!V136=0,0,IF(ISNUMBER($D136),Unidades!V136*$D136,""))</f>
        <v>0</v>
      </c>
      <c r="I136" s="5">
        <f>IF(Unidades!W136=0,0,IF(ISNUMBER($D136),Unidades!W136*$D136,""))</f>
        <v>0</v>
      </c>
      <c r="J136" s="5">
        <f>IF(Unidades!X136=0,0,IF(ISNUMBER($D136),Unidades!X136*$D136,""))</f>
        <v>0</v>
      </c>
      <c r="K136" s="5">
        <f>IF(Unidades!Y136=0,0,IF(ISNUMBER($D136),Unidades!Y136*$D136,""))</f>
        <v>0</v>
      </c>
      <c r="L136" s="5">
        <f>IF(Unidades!Z136=0,0,IF(ISNUMBER($D136),Unidades!Z136*$D136,""))</f>
        <v>0</v>
      </c>
      <c r="M136" s="5">
        <f>IF(Unidades!AA136=0,0,IF(ISNUMBER($D136),Unidades!AA136*$D136,""))</f>
        <v>0</v>
      </c>
      <c r="N136" s="5">
        <f>IF(Unidades!AB136=0,0,IF(ISNUMBER($D136),Unidades!AB136*$D136,""))</f>
        <v>0</v>
      </c>
      <c r="O136" s="5">
        <f>IF(Unidades!AC136=0,0,IF(ISNUMBER($D136),Unidades!AC136*$D136,""))</f>
        <v>0</v>
      </c>
      <c r="P136" s="5">
        <f>IF(Unidades!AD136=0,0,IF(ISNUMBER($D136),Unidades!AD136*$D136,""))</f>
        <v>0</v>
      </c>
      <c r="Q136" s="5">
        <f>IF(AND(Unidades!AE136&gt;0,NOT(ISNUMBER(D136))),"",SUM(E136:P136))</f>
        <v>0</v>
      </c>
    </row>
    <row r="137" spans="1:17">
      <c r="A137" s="1" t="s">
        <v>330</v>
      </c>
      <c r="B137" s="1" t="s">
        <v>331</v>
      </c>
      <c r="C137" s="1" t="s">
        <v>4</v>
      </c>
      <c r="D137" s="5">
        <f>IF(ISNUMBER(Precios!H137),Precios!H137,"")</f>
        <v>17.017000000000003</v>
      </c>
      <c r="E137" s="5">
        <f>IF(Unidades!S137=0,0,IF(ISNUMBER($D137),Unidades!S137*$D137,""))</f>
        <v>6478.3584468223617</v>
      </c>
      <c r="F137" s="5">
        <f>IF(Unidades!T137=0,0,IF(ISNUMBER($D137),Unidades!T137*$D137,""))</f>
        <v>8172.6288840051075</v>
      </c>
      <c r="G137" s="5">
        <f>IF(Unidades!U137=0,0,IF(ISNUMBER($D137),Unidades!U137*$D137,""))</f>
        <v>12742.360982171464</v>
      </c>
      <c r="H137" s="5">
        <f>IF(Unidades!V137=0,0,IF(ISNUMBER($D137),Unidades!V137*$D137,""))</f>
        <v>9538.5401169469969</v>
      </c>
      <c r="I137" s="5">
        <f>IF(Unidades!W137=0,0,IF(ISNUMBER($D137),Unidades!W137*$D137,""))</f>
        <v>15359.240240907291</v>
      </c>
      <c r="J137" s="5">
        <f>IF(Unidades!X137=0,0,IF(ISNUMBER($D137),Unidades!X137*$D137,""))</f>
        <v>16756.293054005564</v>
      </c>
      <c r="K137" s="5">
        <f>IF(Unidades!Y137=0,0,IF(ISNUMBER($D137),Unidades!Y137*$D137,""))</f>
        <v>10461.811753120013</v>
      </c>
      <c r="L137" s="5">
        <f>IF(Unidades!Z137=0,0,IF(ISNUMBER($D137),Unidades!Z137*$D137,""))</f>
        <v>5100.8116163044424</v>
      </c>
      <c r="M137" s="5">
        <f>IF(Unidades!AA137=0,0,IF(ISNUMBER($D137),Unidades!AA137*$D137,""))</f>
        <v>3273.6670845666708</v>
      </c>
      <c r="N137" s="5">
        <f>IF(Unidades!AB137=0,0,IF(ISNUMBER($D137),Unidades!AB137*$D137,""))</f>
        <v>5148.1751836666708</v>
      </c>
      <c r="O137" s="5">
        <f>IF(Unidades!AC137=0,0,IF(ISNUMBER($D137),Unidades!AC137*$D137,""))</f>
        <v>7465.6994518166675</v>
      </c>
      <c r="P137" s="5">
        <f>IF(Unidades!AD137=0,0,IF(ISNUMBER($D137),Unidades!AD137*$D137,""))</f>
        <v>11005.589938272227</v>
      </c>
      <c r="Q137" s="5">
        <f>IF(AND(Unidades!AE137&gt;0,NOT(ISNUMBER(D137))),"",SUM(E137:P137))</f>
        <v>111503.17675260546</v>
      </c>
    </row>
    <row r="138" spans="1:17">
      <c r="A138" s="1" t="s">
        <v>332</v>
      </c>
      <c r="B138" s="1" t="s">
        <v>333</v>
      </c>
      <c r="C138" s="1" t="s">
        <v>4</v>
      </c>
      <c r="D138" s="5">
        <f>IF(ISNUMBER(Precios!H138),Precios!H138,"")</f>
        <v>13.177999999999999</v>
      </c>
      <c r="E138" s="5">
        <f>IF(Unidades!S138=0,0,IF(ISNUMBER($D138),Unidades!S138*$D138,""))</f>
        <v>60.519001907486974</v>
      </c>
      <c r="F138" s="5">
        <f>IF(Unidades!T138=0,0,IF(ISNUMBER($D138),Unidades!T138*$D138,""))</f>
        <v>131.65117623016158</v>
      </c>
      <c r="G138" s="5">
        <f>IF(Unidades!U138=0,0,IF(ISNUMBER($D138),Unidades!U138*$D138,""))</f>
        <v>155.62734163673886</v>
      </c>
      <c r="H138" s="5">
        <f>IF(Unidades!V138=0,0,IF(ISNUMBER($D138),Unidades!V138*$D138,""))</f>
        <v>88.960506262638233</v>
      </c>
      <c r="I138" s="5">
        <f>IF(Unidades!W138=0,0,IF(ISNUMBER($D138),Unidades!W138*$D138,""))</f>
        <v>379.99172962704358</v>
      </c>
      <c r="J138" s="5">
        <f>IF(Unidades!X138=0,0,IF(ISNUMBER($D138),Unidades!X138*$D138,""))</f>
        <v>195.0804197723333</v>
      </c>
      <c r="K138" s="5">
        <f>IF(Unidades!Y138=0,0,IF(ISNUMBER($D138),Unidades!Y138*$D138,""))</f>
        <v>195.17051592140001</v>
      </c>
      <c r="L138" s="5">
        <f>IF(Unidades!Z138=0,0,IF(ISNUMBER($D138),Unidades!Z138*$D138,""))</f>
        <v>66.114952133866723</v>
      </c>
      <c r="M138" s="5">
        <f>IF(Unidades!AA138=0,0,IF(ISNUMBER($D138),Unidades!AA138*$D138,""))</f>
        <v>66.877451500000078</v>
      </c>
      <c r="N138" s="5">
        <f>IF(Unidades!AB138=0,0,IF(ISNUMBER($D138),Unidades!AB138*$D138,""))</f>
        <v>68.373454000000024</v>
      </c>
      <c r="O138" s="5">
        <f>IF(Unidades!AC138=0,0,IF(ISNUMBER($D138),Unidades!AC138*$D138,""))</f>
        <v>118.18001947499992</v>
      </c>
      <c r="P138" s="5">
        <f>IF(Unidades!AD138=0,0,IF(ISNUMBER($D138),Unidades!AD138*$D138,""))</f>
        <v>198.49219738333338</v>
      </c>
      <c r="Q138" s="5">
        <f>IF(AND(Unidades!AE138&gt;0,NOT(ISNUMBER(D138))),"",SUM(E138:P138))</f>
        <v>1725.0387658500026</v>
      </c>
    </row>
    <row r="139" spans="1:17">
      <c r="A139" s="1" t="s">
        <v>334</v>
      </c>
      <c r="B139" s="1" t="s">
        <v>335</v>
      </c>
      <c r="C139" s="1" t="s">
        <v>4</v>
      </c>
      <c r="D139" s="5">
        <f>IF(ISNUMBER(Precios!H139),Precios!H139,"")</f>
        <v>28.578000000000003</v>
      </c>
      <c r="E139" s="5">
        <f>IF(Unidades!S139=0,0,IF(ISNUMBER($D139),Unidades!S139*$D139,""))</f>
        <v>756.910153494719</v>
      </c>
      <c r="F139" s="5">
        <f>IF(Unidades!T139=0,0,IF(ISNUMBER($D139),Unidades!T139*$D139,""))</f>
        <v>931.36789311121106</v>
      </c>
      <c r="G139" s="5">
        <f>IF(Unidades!U139=0,0,IF(ISNUMBER($D139),Unidades!U139*$D139,""))</f>
        <v>609.40047212324589</v>
      </c>
      <c r="H139" s="5">
        <f>IF(Unidades!V139=0,0,IF(ISNUMBER($D139),Unidades!V139*$D139,""))</f>
        <v>766.89216386266457</v>
      </c>
      <c r="I139" s="5">
        <f>IF(Unidades!W139=0,0,IF(ISNUMBER($D139),Unidades!W139*$D139,""))</f>
        <v>675.99522263613858</v>
      </c>
      <c r="J139" s="5">
        <f>IF(Unidades!X139=0,0,IF(ISNUMBER($D139),Unidades!X139*$D139,""))</f>
        <v>1599.3583726010004</v>
      </c>
      <c r="K139" s="5">
        <f>IF(Unidades!Y139=0,0,IF(ISNUMBER($D139),Unidades!Y139*$D139,""))</f>
        <v>723.91858203499987</v>
      </c>
      <c r="L139" s="5">
        <f>IF(Unidades!Z139=0,0,IF(ISNUMBER($D139),Unidades!Z139*$D139,""))</f>
        <v>568.70958741300024</v>
      </c>
      <c r="M139" s="5">
        <f>IF(Unidades!AA139=0,0,IF(ISNUMBER($D139),Unidades!AA139*$D139,""))</f>
        <v>243.67003121999988</v>
      </c>
      <c r="N139" s="5">
        <f>IF(Unidades!AB139=0,0,IF(ISNUMBER($D139),Unidades!AB139*$D139,""))</f>
        <v>347.40045515999975</v>
      </c>
      <c r="O139" s="5">
        <f>IF(Unidades!AC139=0,0,IF(ISNUMBER($D139),Unidades!AC139*$D139,""))</f>
        <v>526.48520184700067</v>
      </c>
      <c r="P139" s="5">
        <f>IF(Unidades!AD139=0,0,IF(ISNUMBER($D139),Unidades!AD139*$D139,""))</f>
        <v>624.08917417000009</v>
      </c>
      <c r="Q139" s="5">
        <f>IF(AND(Unidades!AE139&gt;0,NOT(ISNUMBER(D139))),"",SUM(E139:P139))</f>
        <v>8374.1973096739803</v>
      </c>
    </row>
    <row r="140" spans="1:17">
      <c r="A140" s="1" t="s">
        <v>336</v>
      </c>
      <c r="B140" s="1" t="s">
        <v>337</v>
      </c>
      <c r="C140" s="1" t="s">
        <v>4</v>
      </c>
      <c r="D140" s="5">
        <f>IF(ISNUMBER(Precios!H140),Precios!H140,"")</f>
        <v>20.57</v>
      </c>
      <c r="E140" s="5">
        <f>IF(Unidades!S140=0,0,IF(ISNUMBER($D140),Unidades!S140*$D140,""))</f>
        <v>701.19293772145022</v>
      </c>
      <c r="F140" s="5">
        <f>IF(Unidades!T140=0,0,IF(ISNUMBER($D140),Unidades!T140*$D140,""))</f>
        <v>910.6993002512869</v>
      </c>
      <c r="G140" s="5">
        <f>IF(Unidades!U140=0,0,IF(ISNUMBER($D140),Unidades!U140*$D140,""))</f>
        <v>1165.4154127721861</v>
      </c>
      <c r="H140" s="5">
        <f>IF(Unidades!V140=0,0,IF(ISNUMBER($D140),Unidades!V140*$D140,""))</f>
        <v>685.21901301548053</v>
      </c>
      <c r="I140" s="5">
        <f>IF(Unidades!W140=0,0,IF(ISNUMBER($D140),Unidades!W140*$D140,""))</f>
        <v>1844.8511844436982</v>
      </c>
      <c r="J140" s="5">
        <f>IF(Unidades!X140=0,0,IF(ISNUMBER($D140),Unidades!X140*$D140,""))</f>
        <v>1877.5234530861123</v>
      </c>
      <c r="K140" s="5">
        <f>IF(Unidades!Y140=0,0,IF(ISNUMBER($D140),Unidades!Y140*$D140,""))</f>
        <v>1074.8157152516667</v>
      </c>
      <c r="L140" s="5">
        <f>IF(Unidades!Z140=0,0,IF(ISNUMBER($D140),Unidades!Z140*$D140,""))</f>
        <v>547.10700153388871</v>
      </c>
      <c r="M140" s="5">
        <f>IF(Unidades!AA140=0,0,IF(ISNUMBER($D140),Unidades!AA140*$D140,""))</f>
        <v>312.78058203333302</v>
      </c>
      <c r="N140" s="5">
        <f>IF(Unidades!AB140=0,0,IF(ISNUMBER($D140),Unidades!AB140*$D140,""))</f>
        <v>396.48746683333309</v>
      </c>
      <c r="O140" s="5">
        <f>IF(Unidades!AC140=0,0,IF(ISNUMBER($D140),Unidades!AC140*$D140,""))</f>
        <v>732.78096915833316</v>
      </c>
      <c r="P140" s="5">
        <f>IF(Unidades!AD140=0,0,IF(ISNUMBER($D140),Unidades!AD140*$D140,""))</f>
        <v>1254.8373251944436</v>
      </c>
      <c r="Q140" s="5">
        <f>IF(AND(Unidades!AE140&gt;0,NOT(ISNUMBER(D140))),"",SUM(E140:P140))</f>
        <v>11503.710361295211</v>
      </c>
    </row>
    <row r="141" spans="1:17">
      <c r="A141" s="1" t="s">
        <v>338</v>
      </c>
      <c r="B141" s="1" t="s">
        <v>339</v>
      </c>
      <c r="C141" s="1" t="s">
        <v>4</v>
      </c>
      <c r="D141" s="5">
        <f>IF(ISNUMBER(Precios!H141),Precios!H141,"")</f>
        <v>0.51149999999999995</v>
      </c>
      <c r="E141" s="5">
        <f>IF(Unidades!S141=0,0,IF(ISNUMBER($D141),Unidades!S141*$D141,""))</f>
        <v>271.6493072544136</v>
      </c>
      <c r="F141" s="5">
        <f>IF(Unidades!T141=0,0,IF(ISNUMBER($D141),Unidades!T141*$D141,""))</f>
        <v>338.00822709224622</v>
      </c>
      <c r="G141" s="5">
        <f>IF(Unidades!U141=0,0,IF(ISNUMBER($D141),Unidades!U141*$D141,""))</f>
        <v>486.56519398969044</v>
      </c>
      <c r="H141" s="5">
        <f>IF(Unidades!V141=0,0,IF(ISNUMBER($D141),Unidades!V141*$D141,""))</f>
        <v>405.98698961982984</v>
      </c>
      <c r="I141" s="5">
        <f>IF(Unidades!W141=0,0,IF(ISNUMBER($D141),Unidades!W141*$D141,""))</f>
        <v>545.54915393779982</v>
      </c>
      <c r="J141" s="5">
        <f>IF(Unidades!X141=0,0,IF(ISNUMBER($D141),Unidades!X141*$D141,""))</f>
        <v>657.75244564991669</v>
      </c>
      <c r="K141" s="5">
        <f>IF(Unidades!Y141=0,0,IF(ISNUMBER($D141),Unidades!Y141*$D141,""))</f>
        <v>402.57959319774989</v>
      </c>
      <c r="L141" s="5">
        <f>IF(Unidades!Z141=0,0,IF(ISNUMBER($D141),Unidades!Z141*$D141,""))</f>
        <v>208.55846809158308</v>
      </c>
      <c r="M141" s="5">
        <f>IF(Unidades!AA141=0,0,IF(ISNUMBER($D141),Unidades!AA141*$D141,""))</f>
        <v>126.66809823500003</v>
      </c>
      <c r="N141" s="5">
        <f>IF(Unidades!AB141=0,0,IF(ISNUMBER($D141),Unidades!AB141*$D141,""))</f>
        <v>199.36826702000027</v>
      </c>
      <c r="O141" s="5">
        <f>IF(Unidades!AC141=0,0,IF(ISNUMBER($D141),Unidades!AC141*$D141,""))</f>
        <v>287.10278295274998</v>
      </c>
      <c r="P141" s="5">
        <f>IF(Unidades!AD141=0,0,IF(ISNUMBER($D141),Unidades!AD141*$D141,""))</f>
        <v>401.64975839416644</v>
      </c>
      <c r="Q141" s="5">
        <f>IF(AND(Unidades!AE141&gt;0,NOT(ISNUMBER(D141))),"",SUM(E141:P141))</f>
        <v>4331.4382854351461</v>
      </c>
    </row>
    <row r="142" spans="1:17">
      <c r="A142" s="1" t="s">
        <v>340</v>
      </c>
      <c r="B142" s="1" t="s">
        <v>341</v>
      </c>
      <c r="C142" s="1" t="s">
        <v>4</v>
      </c>
      <c r="D142" s="5">
        <f>IF(ISNUMBER(Precios!H142),Precios!H142,"")</f>
        <v>0.13062499999999999</v>
      </c>
      <c r="E142" s="5">
        <f>IF(Unidades!S142=0,0,IF(ISNUMBER($D142),Unidades!S142*$D142,""))</f>
        <v>982.66146107030397</v>
      </c>
      <c r="F142" s="5">
        <f>IF(Unidades!T142=0,0,IF(ISNUMBER($D142),Unidades!T142*$D142,""))</f>
        <v>5870.8099999999995</v>
      </c>
      <c r="G142" s="5">
        <f>IF(Unidades!U142=0,0,IF(ISNUMBER($D142),Unidades!U142*$D142,""))</f>
        <v>1775.4245860703038</v>
      </c>
      <c r="H142" s="5">
        <f>IF(Unidades!V142=0,0,IF(ISNUMBER($D142),Unidades!V142*$D142,""))</f>
        <v>125.13874999999999</v>
      </c>
      <c r="I142" s="5">
        <f>IF(Unidades!W142=0,0,IF(ISNUMBER($D142),Unidades!W142*$D142,""))</f>
        <v>4214.2237500000001</v>
      </c>
      <c r="J142" s="5">
        <f>IF(Unidades!X142=0,0,IF(ISNUMBER($D142),Unidades!X142*$D142,""))</f>
        <v>2427.7962499999999</v>
      </c>
      <c r="K142" s="5">
        <f>IF(Unidades!Y142=0,0,IF(ISNUMBER($D142),Unidades!Y142*$D142,""))</f>
        <v>1827.8356249999999</v>
      </c>
      <c r="L142" s="5">
        <f>IF(Unidades!Z142=0,0,IF(ISNUMBER($D142),Unidades!Z142*$D142,""))</f>
        <v>2144.0787499999997</v>
      </c>
      <c r="M142" s="5">
        <f>IF(Unidades!AA142=0,0,IF(ISNUMBER($D142),Unidades!AA142*$D142,""))</f>
        <v>12.80125</v>
      </c>
      <c r="N142" s="5">
        <f>IF(Unidades!AB142=0,0,IF(ISNUMBER($D142),Unidades!AB142*$D142,""))</f>
        <v>1012.6049999999999</v>
      </c>
      <c r="O142" s="5">
        <f>IF(Unidades!AC142=0,0,IF(ISNUMBER($D142),Unidades!AC142*$D142,""))</f>
        <v>4485.0093749999996</v>
      </c>
      <c r="P142" s="5">
        <f>IF(Unidades!AD142=0,0,IF(ISNUMBER($D142),Unidades!AD142*$D142,""))</f>
        <v>512.04999999999995</v>
      </c>
      <c r="Q142" s="5">
        <f>IF(AND(Unidades!AE142&gt;0,NOT(ISNUMBER(D142))),"",SUM(E142:P142))</f>
        <v>25390.434797140606</v>
      </c>
    </row>
    <row r="143" spans="1:17">
      <c r="A143" s="1" t="s">
        <v>342</v>
      </c>
      <c r="B143" s="1" t="s">
        <v>343</v>
      </c>
      <c r="C143" s="1" t="s">
        <v>4</v>
      </c>
      <c r="D143" s="5">
        <f>IF(ISNUMBER(Precios!H143),Precios!H143,"")</f>
        <v>0.16059999999999999</v>
      </c>
      <c r="E143" s="5">
        <f>IF(Unidades!S143=0,0,IF(ISNUMBER($D143),Unidades!S143*$D143,""))</f>
        <v>623.12799999999993</v>
      </c>
      <c r="F143" s="5">
        <f>IF(Unidades!T143=0,0,IF(ISNUMBER($D143),Unidades!T143*$D143,""))</f>
        <v>2592.8869999999997</v>
      </c>
      <c r="G143" s="5">
        <f>IF(Unidades!U143=0,0,IF(ISNUMBER($D143),Unidades!U143*$D143,""))</f>
        <v>1093.8465999999999</v>
      </c>
      <c r="H143" s="5">
        <f>IF(Unidades!V143=0,0,IF(ISNUMBER($D143),Unidades!V143*$D143,""))</f>
        <v>158.51219999999998</v>
      </c>
      <c r="I143" s="5">
        <f>IF(Unidades!W143=0,0,IF(ISNUMBER($D143),Unidades!W143*$D143,""))</f>
        <v>984.79919999999993</v>
      </c>
      <c r="J143" s="5">
        <f>IF(Unidades!X143=0,0,IF(ISNUMBER($D143),Unidades!X143*$D143,""))</f>
        <v>2238.4427999999998</v>
      </c>
      <c r="K143" s="5">
        <f>IF(Unidades!Y143=0,0,IF(ISNUMBER($D143),Unidades!Y143*$D143,""))</f>
        <v>617.18579999999997</v>
      </c>
      <c r="L143" s="5">
        <f>IF(Unidades!Z143=0,0,IF(ISNUMBER($D143),Unidades!Z143*$D143,""))</f>
        <v>362.15299999999996</v>
      </c>
      <c r="M143" s="5">
        <f>IF(Unidades!AA143=0,0,IF(ISNUMBER($D143),Unidades!AA143*$D143,""))</f>
        <v>375.96459999999996</v>
      </c>
      <c r="N143" s="5">
        <f>IF(Unidades!AB143=0,0,IF(ISNUMBER($D143),Unidades!AB143*$D143,""))</f>
        <v>551.33979999999997</v>
      </c>
      <c r="O143" s="5">
        <f>IF(Unidades!AC143=0,0,IF(ISNUMBER($D143),Unidades!AC143*$D143,""))</f>
        <v>1879.8229999999999</v>
      </c>
      <c r="P143" s="5">
        <f>IF(Unidades!AD143=0,0,IF(ISNUMBER($D143),Unidades!AD143*$D143,""))</f>
        <v>4061.5739999999996</v>
      </c>
      <c r="Q143" s="5">
        <f>IF(AND(Unidades!AE143&gt;0,NOT(ISNUMBER(D143))),"",SUM(E143:P143))</f>
        <v>15539.655999999999</v>
      </c>
    </row>
    <row r="144" spans="1:17">
      <c r="A144" s="1" t="s">
        <v>344</v>
      </c>
      <c r="B144" s="1" t="s">
        <v>345</v>
      </c>
      <c r="C144" s="1" t="s">
        <v>4</v>
      </c>
      <c r="D144" s="5">
        <f>IF(ISNUMBER(Precios!H144),Precios!H144,"")</f>
        <v>0.27885098743267506</v>
      </c>
      <c r="E144" s="5">
        <f>IF(Unidades!S144=0,0,IF(ISNUMBER($D144),Unidades!S144*$D144,""))</f>
        <v>354.56268299956702</v>
      </c>
      <c r="F144" s="5">
        <f>IF(Unidades!T144=0,0,IF(ISNUMBER($D144),Unidades!T144*$D144,""))</f>
        <v>434.26464691451787</v>
      </c>
      <c r="G144" s="5">
        <f>IF(Unidades!U144=0,0,IF(ISNUMBER($D144),Unidades!U144*$D144,""))</f>
        <v>820.65845601436274</v>
      </c>
      <c r="H144" s="5">
        <f>IF(Unidades!V144=0,0,IF(ISNUMBER($D144),Unidades!V144*$D144,""))</f>
        <v>1238.0983842010778</v>
      </c>
      <c r="I144" s="5">
        <f>IF(Unidades!W144=0,0,IF(ISNUMBER($D144),Unidades!W144*$D144,""))</f>
        <v>828.74513464991026</v>
      </c>
      <c r="J144" s="5">
        <f>IF(Unidades!X144=0,0,IF(ISNUMBER($D144),Unidades!X144*$D144,""))</f>
        <v>1004.9789587073609</v>
      </c>
      <c r="K144" s="5">
        <f>IF(Unidades!Y144=0,0,IF(ISNUMBER($D144),Unidades!Y144*$D144,""))</f>
        <v>1369.1583482944345</v>
      </c>
      <c r="L144" s="5">
        <f>IF(Unidades!Z144=0,0,IF(ISNUMBER($D144),Unidades!Z144*$D144,""))</f>
        <v>375.6122800718133</v>
      </c>
      <c r="M144" s="5">
        <f>IF(Unidades!AA144=0,0,IF(ISNUMBER($D144),Unidades!AA144*$D144,""))</f>
        <v>234.79253141831239</v>
      </c>
      <c r="N144" s="5">
        <f>IF(Unidades!AB144=0,0,IF(ISNUMBER($D144),Unidades!AB144*$D144,""))</f>
        <v>701.86793536804316</v>
      </c>
      <c r="O144" s="5">
        <f>IF(Unidades!AC144=0,0,IF(ISNUMBER($D144),Unidades!AC144*$D144,""))</f>
        <v>684.02147217235188</v>
      </c>
      <c r="P144" s="5">
        <f>IF(Unidades!AD144=0,0,IF(ISNUMBER($D144),Unidades!AD144*$D144,""))</f>
        <v>374.77572710951529</v>
      </c>
      <c r="Q144" s="5">
        <f>IF(AND(Unidades!AE144&gt;0,NOT(ISNUMBER(D144))),"",SUM(E144:P144))</f>
        <v>8421.5365579212666</v>
      </c>
    </row>
    <row r="145" spans="1:17">
      <c r="A145" s="1" t="s">
        <v>346</v>
      </c>
      <c r="B145" s="1" t="s">
        <v>347</v>
      </c>
      <c r="C145" s="1" t="s">
        <v>4</v>
      </c>
      <c r="D145" s="5">
        <f>IF(ISNUMBER(Precios!H145),Precios!H145,"")</f>
        <v>0.29012500000000002</v>
      </c>
      <c r="E145" s="5">
        <f>IF(Unidades!S145=0,0,IF(ISNUMBER($D145),Unidades!S145*$D145,""))</f>
        <v>0</v>
      </c>
      <c r="F145" s="5">
        <f>IF(Unidades!T145=0,0,IF(ISNUMBER($D145),Unidades!T145*$D145,""))</f>
        <v>0</v>
      </c>
      <c r="G145" s="5">
        <f>IF(Unidades!U145=0,0,IF(ISNUMBER($D145),Unidades!U145*$D145,""))</f>
        <v>448.68213934989393</v>
      </c>
      <c r="H145" s="5">
        <f>IF(Unidades!V145=0,0,IF(ISNUMBER($D145),Unidades!V145*$D145,""))</f>
        <v>1664.4471250000001</v>
      </c>
      <c r="I145" s="5">
        <f>IF(Unidades!W145=0,0,IF(ISNUMBER($D145),Unidades!W145*$D145,""))</f>
        <v>896.48625000000004</v>
      </c>
      <c r="J145" s="5">
        <f>IF(Unidades!X145=0,0,IF(ISNUMBER($D145),Unidades!X145*$D145,""))</f>
        <v>684.69500000000005</v>
      </c>
      <c r="K145" s="5">
        <f>IF(Unidades!Y145=0,0,IF(ISNUMBER($D145),Unidades!Y145*$D145,""))</f>
        <v>444.76162500000004</v>
      </c>
      <c r="L145" s="5">
        <f>IF(Unidades!Z145=0,0,IF(ISNUMBER($D145),Unidades!Z145*$D145,""))</f>
        <v>224.266625</v>
      </c>
      <c r="M145" s="5">
        <f>IF(Unidades!AA145=0,0,IF(ISNUMBER($D145),Unidades!AA145*$D145,""))</f>
        <v>262.27300000000002</v>
      </c>
      <c r="N145" s="5">
        <f>IF(Unidades!AB145=0,0,IF(ISNUMBER($D145),Unidades!AB145*$D145,""))</f>
        <v>207.43937500000001</v>
      </c>
      <c r="O145" s="5">
        <f>IF(Unidades!AC145=0,0,IF(ISNUMBER($D145),Unidades!AC145*$D145,""))</f>
        <v>235.87162500000002</v>
      </c>
      <c r="P145" s="5">
        <f>IF(Unidades!AD145=0,0,IF(ISNUMBER($D145),Unidades!AD145*$D145,""))</f>
        <v>864.5725000000001</v>
      </c>
      <c r="Q145" s="5">
        <f>IF(AND(Unidades!AE145&gt;0,NOT(ISNUMBER(D145))),"",SUM(E145:P145))</f>
        <v>5933.4952643498946</v>
      </c>
    </row>
    <row r="146" spans="1:17">
      <c r="A146" s="1" t="s">
        <v>348</v>
      </c>
      <c r="B146" s="1" t="s">
        <v>349</v>
      </c>
      <c r="C146" s="1" t="s">
        <v>4</v>
      </c>
      <c r="D146" s="5">
        <f>IF(ISNUMBER(Precios!H146),Precios!H146,"")</f>
        <v>0.43299718309859159</v>
      </c>
      <c r="E146" s="5">
        <f>IF(Unidades!S146=0,0,IF(ISNUMBER($D146),Unidades!S146*$D146,""))</f>
        <v>0</v>
      </c>
      <c r="F146" s="5">
        <f>IF(Unidades!T146=0,0,IF(ISNUMBER($D146),Unidades!T146*$D146,""))</f>
        <v>0</v>
      </c>
      <c r="G146" s="5">
        <f>IF(Unidades!U146=0,0,IF(ISNUMBER($D146),Unidades!U146*$D146,""))</f>
        <v>0</v>
      </c>
      <c r="H146" s="5">
        <f>IF(Unidades!V146=0,0,IF(ISNUMBER($D146),Unidades!V146*$D146,""))</f>
        <v>11.456405305004226</v>
      </c>
      <c r="I146" s="5">
        <f>IF(Unidades!W146=0,0,IF(ISNUMBER($D146),Unidades!W146*$D146,""))</f>
        <v>378.00654084507045</v>
      </c>
      <c r="J146" s="5">
        <f>IF(Unidades!X146=0,0,IF(ISNUMBER($D146),Unidades!X146*$D146,""))</f>
        <v>758.17806760563383</v>
      </c>
      <c r="K146" s="5">
        <f>IF(Unidades!Y146=0,0,IF(ISNUMBER($D146),Unidades!Y146*$D146,""))</f>
        <v>248.97338028169017</v>
      </c>
      <c r="L146" s="5">
        <f>IF(Unidades!Z146=0,0,IF(ISNUMBER($D146),Unidades!Z146*$D146,""))</f>
        <v>154.14699718309859</v>
      </c>
      <c r="M146" s="5">
        <f>IF(Unidades!AA146=0,0,IF(ISNUMBER($D146),Unidades!AA146*$D146,""))</f>
        <v>221.69455774647889</v>
      </c>
      <c r="N146" s="5">
        <f>IF(Unidades!AB146=0,0,IF(ISNUMBER($D146),Unidades!AB146*$D146,""))</f>
        <v>423.90424225352115</v>
      </c>
      <c r="O146" s="5">
        <f>IF(Unidades!AC146=0,0,IF(ISNUMBER($D146),Unidades!AC146*$D146,""))</f>
        <v>448.15208450704228</v>
      </c>
      <c r="P146" s="5">
        <f>IF(Unidades!AD146=0,0,IF(ISNUMBER($D146),Unidades!AD146*$D146,""))</f>
        <v>241.61242816901409</v>
      </c>
      <c r="Q146" s="5">
        <f>IF(AND(Unidades!AE146&gt;0,NOT(ISNUMBER(D146))),"",SUM(E146:P146))</f>
        <v>2886.1247038965539</v>
      </c>
    </row>
    <row r="147" spans="1:17">
      <c r="A147" s="1" t="s">
        <v>350</v>
      </c>
      <c r="B147" s="1" t="s">
        <v>351</v>
      </c>
      <c r="C147" s="1" t="s">
        <v>4</v>
      </c>
      <c r="D147" s="5">
        <f>IF(ISNUMBER(Precios!H147),Precios!H147,"")</f>
        <v>0.18810000000000002</v>
      </c>
      <c r="E147" s="5">
        <f>IF(Unidades!S147=0,0,IF(ISNUMBER($D147),Unidades!S147*$D147,""))</f>
        <v>0</v>
      </c>
      <c r="F147" s="5">
        <f>IF(Unidades!T147=0,0,IF(ISNUMBER($D147),Unidades!T147*$D147,""))</f>
        <v>0</v>
      </c>
      <c r="G147" s="5">
        <f>IF(Unidades!U147=0,0,IF(ISNUMBER($D147),Unidades!U147*$D147,""))</f>
        <v>0</v>
      </c>
      <c r="H147" s="5">
        <f>IF(Unidades!V147=0,0,IF(ISNUMBER($D147),Unidades!V147*$D147,""))</f>
        <v>0</v>
      </c>
      <c r="I147" s="5">
        <f>IF(Unidades!W147=0,0,IF(ISNUMBER($D147),Unidades!W147*$D147,""))</f>
        <v>0</v>
      </c>
      <c r="J147" s="5">
        <f>IF(Unidades!X147=0,0,IF(ISNUMBER($D147),Unidades!X147*$D147,""))</f>
        <v>2672.0369779125472</v>
      </c>
      <c r="K147" s="5">
        <f>IF(Unidades!Y147=0,0,IF(ISNUMBER($D147),Unidades!Y147*$D147,""))</f>
        <v>423.60120000000006</v>
      </c>
      <c r="L147" s="5">
        <f>IF(Unidades!Z147=0,0,IF(ISNUMBER($D147),Unidades!Z147*$D147,""))</f>
        <v>690.70320000000004</v>
      </c>
      <c r="M147" s="5">
        <f>IF(Unidades!AA147=0,0,IF(ISNUMBER($D147),Unidades!AA147*$D147,""))</f>
        <v>90.476100000000002</v>
      </c>
      <c r="N147" s="5">
        <f>IF(Unidades!AB147=0,0,IF(ISNUMBER($D147),Unidades!AB147*$D147,""))</f>
        <v>103.07880000000002</v>
      </c>
      <c r="O147" s="5">
        <f>IF(Unidades!AC147=0,0,IF(ISNUMBER($D147),Unidades!AC147*$D147,""))</f>
        <v>605.11770000000001</v>
      </c>
      <c r="P147" s="5">
        <f>IF(Unidades!AD147=0,0,IF(ISNUMBER($D147),Unidades!AD147*$D147,""))</f>
        <v>631.26360000000011</v>
      </c>
      <c r="Q147" s="5">
        <f>IF(AND(Unidades!AE147&gt;0,NOT(ISNUMBER(D147))),"",SUM(E147:P147))</f>
        <v>5216.2775779125477</v>
      </c>
    </row>
    <row r="148" spans="1:17">
      <c r="A148" s="1" t="s">
        <v>352</v>
      </c>
      <c r="B148" s="1" t="s">
        <v>353</v>
      </c>
      <c r="C148" s="1" t="s">
        <v>4</v>
      </c>
      <c r="D148" s="5">
        <f>IF(ISNUMBER(Precios!H148),Precios!H148,"")</f>
        <v>0.22000000000000003</v>
      </c>
      <c r="E148" s="5">
        <f>IF(Unidades!S148=0,0,IF(ISNUMBER($D148),Unidades!S148*$D148,""))</f>
        <v>130.64413750360362</v>
      </c>
      <c r="F148" s="5">
        <f>IF(Unidades!T148=0,0,IF(ISNUMBER($D148),Unidades!T148*$D148,""))</f>
        <v>286.44000000000005</v>
      </c>
      <c r="G148" s="5">
        <f>IF(Unidades!U148=0,0,IF(ISNUMBER($D148),Unidades!U148*$D148,""))</f>
        <v>215.15999999999997</v>
      </c>
      <c r="H148" s="5">
        <f>IF(Unidades!V148=0,0,IF(ISNUMBER($D148),Unidades!V148*$D148,""))</f>
        <v>464.86000000000007</v>
      </c>
      <c r="I148" s="5">
        <f>IF(Unidades!W148=0,0,IF(ISNUMBER($D148),Unidades!W148*$D148,""))</f>
        <v>1599.8400000000001</v>
      </c>
      <c r="J148" s="5">
        <f>IF(Unidades!X148=0,0,IF(ISNUMBER($D148),Unidades!X148*$D148,""))</f>
        <v>1030.7</v>
      </c>
      <c r="K148" s="5">
        <f>IF(Unidades!Y148=0,0,IF(ISNUMBER($D148),Unidades!Y148*$D148,""))</f>
        <v>1140.2600000000002</v>
      </c>
      <c r="L148" s="5">
        <f>IF(Unidades!Z148=0,0,IF(ISNUMBER($D148),Unidades!Z148*$D148,""))</f>
        <v>1338.92</v>
      </c>
      <c r="M148" s="5">
        <f>IF(Unidades!AA148=0,0,IF(ISNUMBER($D148),Unidades!AA148*$D148,""))</f>
        <v>96.140000000000015</v>
      </c>
      <c r="N148" s="5">
        <f>IF(Unidades!AB148=0,0,IF(ISNUMBER($D148),Unidades!AB148*$D148,""))</f>
        <v>149.16000000000003</v>
      </c>
      <c r="O148" s="5">
        <f>IF(Unidades!AC148=0,0,IF(ISNUMBER($D148),Unidades!AC148*$D148,""))</f>
        <v>351.12000000000006</v>
      </c>
      <c r="P148" s="5">
        <f>IF(Unidades!AD148=0,0,IF(ISNUMBER($D148),Unidades!AD148*$D148,""))</f>
        <v>1587.9600000000003</v>
      </c>
      <c r="Q148" s="5">
        <f>IF(AND(Unidades!AE148&gt;0,NOT(ISNUMBER(D148))),"",SUM(E148:P148))</f>
        <v>8391.2041375036042</v>
      </c>
    </row>
    <row r="149" spans="1:17">
      <c r="A149" s="1" t="s">
        <v>354</v>
      </c>
      <c r="B149" s="1" t="s">
        <v>355</v>
      </c>
      <c r="C149" s="1" t="s">
        <v>4</v>
      </c>
      <c r="D149" s="5">
        <f>IF(ISNUMBER(Precios!H149),Precios!H149,"")</f>
        <v>0.31790000000000002</v>
      </c>
      <c r="E149" s="5">
        <f>IF(Unidades!S149=0,0,IF(ISNUMBER($D149),Unidades!S149*$D149,""))</f>
        <v>609.47788000000003</v>
      </c>
      <c r="F149" s="5">
        <f>IF(Unidades!T149=0,0,IF(ISNUMBER($D149),Unidades!T149*$D149,""))</f>
        <v>545.19849999999997</v>
      </c>
      <c r="G149" s="5">
        <f>IF(Unidades!U149=0,0,IF(ISNUMBER($D149),Unidades!U149*$D149,""))</f>
        <v>126.19355945365911</v>
      </c>
      <c r="H149" s="5">
        <f>IF(Unidades!V149=0,0,IF(ISNUMBER($D149),Unidades!V149*$D149,""))</f>
        <v>247.32620000000017</v>
      </c>
      <c r="I149" s="5">
        <f>IF(Unidades!W149=0,0,IF(ISNUMBER($D149),Unidades!W149*$D149,""))</f>
        <v>342.37830000000002</v>
      </c>
      <c r="J149" s="5">
        <f>IF(Unidades!X149=0,0,IF(ISNUMBER($D149),Unidades!X149*$D149,""))</f>
        <v>273.0761</v>
      </c>
      <c r="K149" s="5">
        <f>IF(Unidades!Y149=0,0,IF(ISNUMBER($D149),Unidades!Y149*$D149,""))</f>
        <v>258.45269999999999</v>
      </c>
      <c r="L149" s="5">
        <f>IF(Unidades!Z149=0,0,IF(ISNUMBER($D149),Unidades!Z149*$D149,""))</f>
        <v>325.21170000000001</v>
      </c>
      <c r="M149" s="5">
        <f>IF(Unidades!AA149=0,0,IF(ISNUMBER($D149),Unidades!AA149*$D149,""))</f>
        <v>73.117000000000004</v>
      </c>
      <c r="N149" s="5">
        <f>IF(Unidades!AB149=0,0,IF(ISNUMBER($D149),Unidades!AB149*$D149,""))</f>
        <v>107.7681</v>
      </c>
      <c r="O149" s="5">
        <f>IF(Unidades!AC149=0,0,IF(ISNUMBER($D149),Unidades!AC149*$D149,""))</f>
        <v>133.518</v>
      </c>
      <c r="P149" s="5">
        <f>IF(Unidades!AD149=0,0,IF(ISNUMBER($D149),Unidades!AD149*$D149,""))</f>
        <v>498.7851</v>
      </c>
      <c r="Q149" s="5">
        <f>IF(AND(Unidades!AE149&gt;0,NOT(ISNUMBER(D149))),"",SUM(E149:P149))</f>
        <v>3540.5031394536591</v>
      </c>
    </row>
    <row r="150" spans="1:17" ht="25" customHeight="1">
      <c r="A150" s="4" t="s">
        <v>356</v>
      </c>
      <c r="B150" s="4"/>
      <c r="C150" s="4"/>
      <c r="D150" s="6"/>
      <c r="E150" s="6">
        <f t="shared" ref="E150:Q150" si="0">SUM(E8:E149)</f>
        <v>309942.98326737131</v>
      </c>
      <c r="F150" s="6">
        <f t="shared" si="0"/>
        <v>600987.00191181281</v>
      </c>
      <c r="G150" s="6">
        <f t="shared" si="0"/>
        <v>632851.64899753418</v>
      </c>
      <c r="H150" s="6">
        <f t="shared" si="0"/>
        <v>489927.16720870032</v>
      </c>
      <c r="I150" s="6">
        <f t="shared" si="0"/>
        <v>800888.38599487056</v>
      </c>
      <c r="J150" s="6">
        <f t="shared" si="0"/>
        <v>826792.04275079689</v>
      </c>
      <c r="K150" s="6">
        <f t="shared" si="0"/>
        <v>532881.59414460952</v>
      </c>
      <c r="L150" s="6">
        <f t="shared" si="0"/>
        <v>319626.19036668993</v>
      </c>
      <c r="M150" s="6">
        <f t="shared" si="0"/>
        <v>193465.61236057701</v>
      </c>
      <c r="N150" s="6">
        <f t="shared" si="0"/>
        <v>322183.01875530073</v>
      </c>
      <c r="O150" s="6">
        <f t="shared" si="0"/>
        <v>514103.60216578643</v>
      </c>
      <c r="P150" s="6">
        <f t="shared" si="0"/>
        <v>528320.2413724293</v>
      </c>
      <c r="Q150" s="6">
        <f t="shared" si="0"/>
        <v>6071969.4892964801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G149"/>
  <sheetViews>
    <sheetView showGridLines="0" workbookViewId="0">
      <pane ySplit="7" topLeftCell="A8" activePane="bottomLeft" state="frozen"/>
      <selection pane="bottomLeft"/>
    </sheetView>
  </sheetViews>
  <sheetFormatPr baseColWidth="10" defaultColWidth="8.6640625" defaultRowHeight="14"/>
  <cols>
    <col min="1" max="1" width="17" customWidth="1"/>
    <col min="2" max="2" width="45" customWidth="1"/>
    <col min="3" max="4" width="16" customWidth="1"/>
    <col min="5" max="32" width="14" customWidth="1"/>
    <col min="33" max="33" width="55" customWidth="1"/>
  </cols>
  <sheetData>
    <row r="2" spans="1:33" ht="28" customHeight="1">
      <c r="A2" s="2" t="s">
        <v>357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>
      <c r="A4" s="1" t="s">
        <v>358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>
      <c r="A6" s="1" t="s">
        <v>359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26" customHeight="1">
      <c r="A7" s="3" t="s">
        <v>70</v>
      </c>
      <c r="B7" s="3" t="s">
        <v>71</v>
      </c>
      <c r="C7" s="3" t="s">
        <v>30</v>
      </c>
      <c r="D7" s="3" t="s">
        <v>360</v>
      </c>
      <c r="E7" s="3" t="s">
        <v>361</v>
      </c>
      <c r="F7" s="3" t="s">
        <v>362</v>
      </c>
      <c r="G7" s="3" t="s">
        <v>363</v>
      </c>
      <c r="H7" s="3" t="s">
        <v>364</v>
      </c>
      <c r="I7" s="3" t="s">
        <v>365</v>
      </c>
      <c r="J7" s="3" t="s">
        <v>366</v>
      </c>
      <c r="K7" s="3" t="s">
        <v>367</v>
      </c>
      <c r="L7" s="3" t="s">
        <v>368</v>
      </c>
      <c r="M7" s="3" t="s">
        <v>369</v>
      </c>
      <c r="N7" s="3" t="s">
        <v>370</v>
      </c>
      <c r="O7" s="3" t="s">
        <v>371</v>
      </c>
      <c r="P7" s="3" t="s">
        <v>372</v>
      </c>
      <c r="Q7" s="3" t="s">
        <v>373</v>
      </c>
      <c r="R7" s="3" t="s">
        <v>374</v>
      </c>
      <c r="S7" s="3" t="s">
        <v>375</v>
      </c>
      <c r="T7" s="3" t="s">
        <v>376</v>
      </c>
      <c r="U7" s="3" t="s">
        <v>377</v>
      </c>
      <c r="V7" s="3" t="s">
        <v>378</v>
      </c>
      <c r="W7" s="3" t="s">
        <v>379</v>
      </c>
      <c r="X7" s="3" t="s">
        <v>380</v>
      </c>
      <c r="Y7" s="3" t="s">
        <v>381</v>
      </c>
      <c r="Z7" s="3" t="s">
        <v>382</v>
      </c>
      <c r="AA7" s="3" t="s">
        <v>383</v>
      </c>
      <c r="AB7" s="3" t="s">
        <v>384</v>
      </c>
      <c r="AC7" s="3" t="s">
        <v>385</v>
      </c>
      <c r="AD7" s="3" t="s">
        <v>386</v>
      </c>
      <c r="AE7" s="3" t="s">
        <v>387</v>
      </c>
      <c r="AF7" s="3" t="s">
        <v>388</v>
      </c>
      <c r="AG7" s="3" t="s">
        <v>389</v>
      </c>
    </row>
    <row r="8" spans="1:33">
      <c r="A8" s="1" t="s">
        <v>74</v>
      </c>
      <c r="B8" s="1" t="s">
        <v>75</v>
      </c>
      <c r="C8" s="1" t="s">
        <v>3</v>
      </c>
      <c r="D8" s="1" t="s">
        <v>390</v>
      </c>
      <c r="E8" s="5">
        <v>238.55654330172115</v>
      </c>
      <c r="F8" s="5">
        <v>22.182980852485667</v>
      </c>
      <c r="G8" s="5">
        <v>45.649599999999992</v>
      </c>
      <c r="H8" s="5">
        <v>30.033999999999999</v>
      </c>
      <c r="I8" s="5">
        <v>19.638000000000002</v>
      </c>
      <c r="J8" s="5">
        <v>49.811</v>
      </c>
      <c r="K8" s="5">
        <v>63.861000000000004</v>
      </c>
      <c r="L8" s="5">
        <v>33.573299999999996</v>
      </c>
      <c r="M8" s="5">
        <v>14.0242</v>
      </c>
      <c r="N8" s="5">
        <v>10.125</v>
      </c>
      <c r="O8" s="5">
        <v>33.715800000000002</v>
      </c>
      <c r="P8" s="5">
        <v>20.894300000000001</v>
      </c>
      <c r="Q8" s="5">
        <v>103.726</v>
      </c>
      <c r="R8" s="5">
        <f t="shared" ref="R8:R39" si="0">SUM(F8:Q8)</f>
        <v>447.23518085248571</v>
      </c>
      <c r="S8" s="5">
        <f>IF(SUM($F8:F8)-$E8-0&gt;0,MAX($AF8,SUM($F8:F8)-$E8-0),0)</f>
        <v>0</v>
      </c>
      <c r="T8" s="5">
        <f>IF(SUM($F8:G8)-$E8-SUM($S8:S8)&gt;0,MAX($AF8,SUM($F8:G8)-$E8-SUM($S8:S8)),0)</f>
        <v>0</v>
      </c>
      <c r="U8" s="5">
        <f>IF(SUM($F8:H8)-$E8-SUM($S8:T8)&gt;0,MAX($AF8,SUM($F8:H8)-$E8-SUM($S8:T8)),0)</f>
        <v>0</v>
      </c>
      <c r="V8" s="5">
        <f>IF(SUM($F8:I8)-$E8-SUM($S8:U8)&gt;0,MAX($AF8,SUM($F8:I8)-$E8-SUM($S8:U8)),0)</f>
        <v>0</v>
      </c>
      <c r="W8" s="5">
        <f>IF(SUM($F8:J8)-$E8-SUM($S8:V8)&gt;0,MAX($AF8,SUM($F8:J8)-$E8-SUM($S8:V8)),0)</f>
        <v>0</v>
      </c>
      <c r="X8" s="5">
        <f>IF(SUM($F8:K8)-$E8-SUM($S8:W8)&gt;0,MAX($AF8,SUM($F8:K8)-$E8-SUM($S8:W8)),0)</f>
        <v>0</v>
      </c>
      <c r="Y8" s="5">
        <f>IF(SUM($F8:L8)-$E8-SUM($S8:X8)&gt;0,MAX($AF8,SUM($F8:L8)-$E8-SUM($S8:X8)),0)</f>
        <v>26.193337550764568</v>
      </c>
      <c r="Z8" s="5">
        <f>IF(SUM($F8:M8)-$E8-SUM($S8:Y8)&gt;0,MAX($AF8,SUM($F8:M8)-$E8-SUM($S8:Y8)),0)</f>
        <v>14.024200000000008</v>
      </c>
      <c r="AA8" s="5">
        <f>IF(SUM($F8:N8)-$E8-SUM($S8:Z8)&gt;0,MAX($AF8,SUM($F8:N8)-$E8-SUM($S8:Z8)),0)</f>
        <v>10.125</v>
      </c>
      <c r="AB8" s="5">
        <f>IF(SUM($F8:O8)-$E8-SUM($S8:AA8)&gt;0,MAX($AF8,SUM($F8:O8)-$E8-SUM($S8:AA8)),0)</f>
        <v>33.715800000000002</v>
      </c>
      <c r="AC8" s="5">
        <f>IF(SUM($F8:P8)-$E8-SUM($S8:AB8)&gt;0,MAX($AF8,SUM($F8:P8)-$E8-SUM($S8:AB8)),0)</f>
        <v>20.894299999999987</v>
      </c>
      <c r="AD8" s="5">
        <f>IF(SUM($F8:Q8)-$E8-SUM($S8:AC8)&gt;0,MAX($AF8,SUM($F8:Q8)-$E8-SUM($S8:AC8)),0)</f>
        <v>103.726</v>
      </c>
      <c r="AE8" s="5">
        <f t="shared" ref="AE8:AE39" si="1">SUM(S8:AD8)</f>
        <v>208.67863755076456</v>
      </c>
      <c r="AF8" s="5">
        <v>0</v>
      </c>
      <c r="AG8" s="1"/>
    </row>
    <row r="9" spans="1:33">
      <c r="A9" s="1" t="s">
        <v>76</v>
      </c>
      <c r="B9" s="1" t="s">
        <v>77</v>
      </c>
      <c r="C9" s="1" t="s">
        <v>3</v>
      </c>
      <c r="D9" s="1" t="s">
        <v>390</v>
      </c>
      <c r="E9" s="5">
        <v>0</v>
      </c>
      <c r="F9" s="5">
        <v>1322.5500000000002</v>
      </c>
      <c r="G9" s="5">
        <v>2936.7875000000004</v>
      </c>
      <c r="H9" s="5">
        <v>893.96249999999998</v>
      </c>
      <c r="I9" s="5">
        <v>1421.0625</v>
      </c>
      <c r="J9" s="5">
        <v>757.02499999999986</v>
      </c>
      <c r="K9" s="5">
        <v>2852.5475000000001</v>
      </c>
      <c r="L9" s="5">
        <v>491.8</v>
      </c>
      <c r="M9" s="5">
        <v>1785.3125</v>
      </c>
      <c r="N9" s="5">
        <v>2331.4499999999998</v>
      </c>
      <c r="O9" s="5">
        <v>1477.9875</v>
      </c>
      <c r="P9" s="5">
        <v>2029.4549999999997</v>
      </c>
      <c r="Q9" s="5">
        <v>4107</v>
      </c>
      <c r="R9" s="5">
        <f t="shared" si="0"/>
        <v>22406.939999999995</v>
      </c>
      <c r="S9" s="5">
        <f>IF(SUM($F9:F9)-$E9-0&gt;0,MAX($AF9,SUM($F9:F9)-$E9-0),0)</f>
        <v>1322.5500000000002</v>
      </c>
      <c r="T9" s="5">
        <f>IF(SUM($F9:G9)-$E9-SUM($S9:S9)&gt;0,MAX($AF9,SUM($F9:G9)-$E9-SUM($S9:S9)),0)</f>
        <v>2936.7875000000004</v>
      </c>
      <c r="U9" s="5">
        <f>IF(SUM($F9:H9)-$E9-SUM($S9:T9)&gt;0,MAX($AF9,SUM($F9:H9)-$E9-SUM($S9:T9)),0)</f>
        <v>893.96249999999964</v>
      </c>
      <c r="V9" s="5">
        <f>IF(SUM($F9:I9)-$E9-SUM($S9:U9)&gt;0,MAX($AF9,SUM($F9:I9)-$E9-SUM($S9:U9)),0)</f>
        <v>1421.0625</v>
      </c>
      <c r="W9" s="5">
        <f>IF(SUM($F9:J9)-$E9-SUM($S9:V9)&gt;0,MAX($AF9,SUM($F9:J9)-$E9-SUM($S9:V9)),0)</f>
        <v>757.02499999999964</v>
      </c>
      <c r="X9" s="5">
        <f>IF(SUM($F9:K9)-$E9-SUM($S9:W9)&gt;0,MAX($AF9,SUM($F9:K9)-$E9-SUM($S9:W9)),0)</f>
        <v>2852.5474999999997</v>
      </c>
      <c r="Y9" s="5">
        <f>IF(SUM($F9:L9)-$E9-SUM($S9:X9)&gt;0,MAX($AF9,SUM($F9:L9)-$E9-SUM($S9:X9)),0)</f>
        <v>491.79999999999927</v>
      </c>
      <c r="Z9" s="5">
        <f>IF(SUM($F9:M9)-$E9-SUM($S9:Y9)&gt;0,MAX($AF9,SUM($F9:M9)-$E9-SUM($S9:Y9)),0)</f>
        <v>1785.3125</v>
      </c>
      <c r="AA9" s="5">
        <f>IF(SUM($F9:N9)-$E9-SUM($S9:Z9)&gt;0,MAX($AF9,SUM($F9:N9)-$E9-SUM($S9:Z9)),0)</f>
        <v>2331.4499999999989</v>
      </c>
      <c r="AB9" s="5">
        <f>IF(SUM($F9:O9)-$E9-SUM($S9:AA9)&gt;0,MAX($AF9,SUM($F9:O9)-$E9-SUM($S9:AA9)),0)</f>
        <v>1477.9874999999993</v>
      </c>
      <c r="AC9" s="5">
        <f>IF(SUM($F9:P9)-$E9-SUM($S9:AB9)&gt;0,MAX($AF9,SUM($F9:P9)-$E9-SUM($S9:AB9)),0)</f>
        <v>2029.4549999999981</v>
      </c>
      <c r="AD9" s="5">
        <f>IF(SUM($F9:Q9)-$E9-SUM($S9:AC9)&gt;0,MAX($AF9,SUM($F9:Q9)-$E9-SUM($S9:AC9)),0)</f>
        <v>4107</v>
      </c>
      <c r="AE9" s="5">
        <f t="shared" si="1"/>
        <v>22406.939999999995</v>
      </c>
      <c r="AF9" s="5">
        <v>0</v>
      </c>
      <c r="AG9" s="1"/>
    </row>
    <row r="10" spans="1:33">
      <c r="A10" s="1" t="s">
        <v>78</v>
      </c>
      <c r="B10" s="1" t="s">
        <v>79</v>
      </c>
      <c r="C10" s="1" t="s">
        <v>3</v>
      </c>
      <c r="D10" s="1" t="s">
        <v>390</v>
      </c>
      <c r="E10" s="5">
        <v>4952.0038607016104</v>
      </c>
      <c r="F10" s="5">
        <v>0</v>
      </c>
      <c r="G10" s="5">
        <v>1700.8</v>
      </c>
      <c r="H10" s="5">
        <v>61.471542877272775</v>
      </c>
      <c r="I10" s="5">
        <v>0</v>
      </c>
      <c r="J10" s="5">
        <v>1465.8307918352448</v>
      </c>
      <c r="K10" s="5">
        <v>878.36</v>
      </c>
      <c r="L10" s="5">
        <v>1206</v>
      </c>
      <c r="M10" s="5">
        <v>516</v>
      </c>
      <c r="N10" s="5">
        <v>330</v>
      </c>
      <c r="O10" s="5">
        <v>462.59000000000003</v>
      </c>
      <c r="P10" s="5">
        <v>656</v>
      </c>
      <c r="Q10" s="5">
        <v>1548</v>
      </c>
      <c r="R10" s="5">
        <f t="shared" si="0"/>
        <v>8825.0523347125163</v>
      </c>
      <c r="S10" s="5">
        <f>IF(SUM($F10:F10)-$E10-0&gt;0,MAX($AF10,SUM($F10:F10)-$E10-0),0)</f>
        <v>0</v>
      </c>
      <c r="T10" s="5">
        <f>IF(SUM($F10:G10)-$E10-SUM($S10:S10)&gt;0,MAX($AF10,SUM($F10:G10)-$E10-SUM($S10:S10)),0)</f>
        <v>0</v>
      </c>
      <c r="U10" s="5">
        <f>IF(SUM($F10:H10)-$E10-SUM($S10:T10)&gt;0,MAX($AF10,SUM($F10:H10)-$E10-SUM($S10:T10)),0)</f>
        <v>0</v>
      </c>
      <c r="V10" s="5">
        <f>IF(SUM($F10:I10)-$E10-SUM($S10:U10)&gt;0,MAX($AF10,SUM($F10:I10)-$E10-SUM($S10:U10)),0)</f>
        <v>0</v>
      </c>
      <c r="W10" s="5">
        <f>IF(SUM($F10:J10)-$E10-SUM($S10:V10)&gt;0,MAX($AF10,SUM($F10:J10)-$E10-SUM($S10:V10)),0)</f>
        <v>0</v>
      </c>
      <c r="X10" s="5">
        <f>IF(SUM($F10:K10)-$E10-SUM($S10:W10)&gt;0,MAX($AF10,SUM($F10:K10)-$E10-SUM($S10:W10)),0)</f>
        <v>0</v>
      </c>
      <c r="Y10" s="5">
        <f>IF(SUM($F10:L10)-$E10-SUM($S10:X10)&gt;0,MAX($AF10,SUM($F10:L10)-$E10-SUM($S10:X10)),0)</f>
        <v>360.45847401090668</v>
      </c>
      <c r="Z10" s="5">
        <f>IF(SUM($F10:M10)-$E10-SUM($S10:Y10)&gt;0,MAX($AF10,SUM($F10:M10)-$E10-SUM($S10:Y10)),0)</f>
        <v>516</v>
      </c>
      <c r="AA10" s="5">
        <f>IF(SUM($F10:N10)-$E10-SUM($S10:Z10)&gt;0,MAX($AF10,SUM($F10:N10)-$E10-SUM($S10:Z10)),0)</f>
        <v>330</v>
      </c>
      <c r="AB10" s="5">
        <f>IF(SUM($F10:O10)-$E10-SUM($S10:AA10)&gt;0,MAX($AF10,SUM($F10:O10)-$E10-SUM($S10:AA10)),0)</f>
        <v>462.59000000000015</v>
      </c>
      <c r="AC10" s="5">
        <f>IF(SUM($F10:P10)-$E10-SUM($S10:AB10)&gt;0,MAX($AF10,SUM($F10:P10)-$E10-SUM($S10:AB10)),0)</f>
        <v>656</v>
      </c>
      <c r="AD10" s="5">
        <f>IF(SUM($F10:Q10)-$E10-SUM($S10:AC10)&gt;0,MAX($AF10,SUM($F10:Q10)-$E10-SUM($S10:AC10)),0)</f>
        <v>1547.9999999999991</v>
      </c>
      <c r="AE10" s="5">
        <f t="shared" si="1"/>
        <v>3873.0484740109059</v>
      </c>
      <c r="AF10" s="5">
        <v>0</v>
      </c>
      <c r="AG10" s="1"/>
    </row>
    <row r="11" spans="1:33">
      <c r="A11" s="1" t="s">
        <v>80</v>
      </c>
      <c r="B11" s="1" t="s">
        <v>81</v>
      </c>
      <c r="C11" s="1" t="s">
        <v>3</v>
      </c>
      <c r="D11" s="1" t="s">
        <v>390</v>
      </c>
      <c r="E11" s="5">
        <v>2.9307962818312179</v>
      </c>
      <c r="F11" s="5">
        <v>6.6239999999999993E-2</v>
      </c>
      <c r="G11" s="5">
        <v>4.7140000000000001E-2</v>
      </c>
      <c r="H11" s="5">
        <v>4.3799999999999999E-2</v>
      </c>
      <c r="I11" s="5">
        <v>7.9000000000000008E-3</v>
      </c>
      <c r="J11" s="5">
        <v>9.3799999999999994E-2</v>
      </c>
      <c r="K11" s="5">
        <v>0.18998000000000001</v>
      </c>
      <c r="L11" s="5">
        <v>1.0710000000000001E-2</v>
      </c>
      <c r="M11" s="5">
        <v>1.4670000000000001E-2</v>
      </c>
      <c r="N11" s="5">
        <v>8.0000000000000004E-4</v>
      </c>
      <c r="O11" s="5">
        <v>3.2000000000000001E-2</v>
      </c>
      <c r="P11" s="5">
        <v>1.133E-2</v>
      </c>
      <c r="Q11" s="5">
        <v>0.03</v>
      </c>
      <c r="R11" s="5">
        <f t="shared" si="0"/>
        <v>0.54837000000000002</v>
      </c>
      <c r="S11" s="5">
        <f>IF(SUM($F11:F11)-$E11-0&gt;0,MAX($AF11,SUM($F11:F11)-$E11-0),0)</f>
        <v>0</v>
      </c>
      <c r="T11" s="5">
        <f>IF(SUM($F11:G11)-$E11-SUM($S11:S11)&gt;0,MAX($AF11,SUM($F11:G11)-$E11-SUM($S11:S11)),0)</f>
        <v>0</v>
      </c>
      <c r="U11" s="5">
        <f>IF(SUM($F11:H11)-$E11-SUM($S11:T11)&gt;0,MAX($AF11,SUM($F11:H11)-$E11-SUM($S11:T11)),0)</f>
        <v>0</v>
      </c>
      <c r="V11" s="5">
        <f>IF(SUM($F11:I11)-$E11-SUM($S11:U11)&gt;0,MAX($AF11,SUM($F11:I11)-$E11-SUM($S11:U11)),0)</f>
        <v>0</v>
      </c>
      <c r="W11" s="5">
        <f>IF(SUM($F11:J11)-$E11-SUM($S11:V11)&gt;0,MAX($AF11,SUM($F11:J11)-$E11-SUM($S11:V11)),0)</f>
        <v>0</v>
      </c>
      <c r="X11" s="5">
        <f>IF(SUM($F11:K11)-$E11-SUM($S11:W11)&gt;0,MAX($AF11,SUM($F11:K11)-$E11-SUM($S11:W11)),0)</f>
        <v>0</v>
      </c>
      <c r="Y11" s="5">
        <f>IF(SUM($F11:L11)-$E11-SUM($S11:X11)&gt;0,MAX($AF11,SUM($F11:L11)-$E11-SUM($S11:X11)),0)</f>
        <v>0</v>
      </c>
      <c r="Z11" s="5">
        <f>IF(SUM($F11:M11)-$E11-SUM($S11:Y11)&gt;0,MAX($AF11,SUM($F11:M11)-$E11-SUM($S11:Y11)),0)</f>
        <v>0</v>
      </c>
      <c r="AA11" s="5">
        <f>IF(SUM($F11:N11)-$E11-SUM($S11:Z11)&gt;0,MAX($AF11,SUM($F11:N11)-$E11-SUM($S11:Z11)),0)</f>
        <v>0</v>
      </c>
      <c r="AB11" s="5">
        <f>IF(SUM($F11:O11)-$E11-SUM($S11:AA11)&gt;0,MAX($AF11,SUM($F11:O11)-$E11-SUM($S11:AA11)),0)</f>
        <v>0</v>
      </c>
      <c r="AC11" s="5">
        <f>IF(SUM($F11:P11)-$E11-SUM($S11:AB11)&gt;0,MAX($AF11,SUM($F11:P11)-$E11-SUM($S11:AB11)),0)</f>
        <v>0</v>
      </c>
      <c r="AD11" s="5">
        <f>IF(SUM($F11:Q11)-$E11-SUM($S11:AC11)&gt;0,MAX($AF11,SUM($F11:Q11)-$E11-SUM($S11:AC11)),0)</f>
        <v>0</v>
      </c>
      <c r="AE11" s="5">
        <f t="shared" si="1"/>
        <v>0</v>
      </c>
      <c r="AF11" s="5">
        <v>0</v>
      </c>
      <c r="AG11" s="1"/>
    </row>
    <row r="12" spans="1:33">
      <c r="A12" s="1" t="s">
        <v>82</v>
      </c>
      <c r="B12" s="1" t="s">
        <v>83</v>
      </c>
      <c r="C12" s="1" t="s">
        <v>3</v>
      </c>
      <c r="D12" s="1" t="s">
        <v>390</v>
      </c>
      <c r="E12" s="5">
        <v>1052.3109544349418</v>
      </c>
      <c r="F12" s="5">
        <v>1272.010961392984</v>
      </c>
      <c r="G12" s="5">
        <v>1646.2585430338386</v>
      </c>
      <c r="H12" s="5">
        <v>3444.5590000000002</v>
      </c>
      <c r="I12" s="5">
        <v>1731.5159999999998</v>
      </c>
      <c r="J12" s="5">
        <v>3212.1299686542343</v>
      </c>
      <c r="K12" s="5">
        <v>2440.7125000000001</v>
      </c>
      <c r="L12" s="5">
        <v>988.81850000000009</v>
      </c>
      <c r="M12" s="5">
        <v>1316.3150000000003</v>
      </c>
      <c r="N12" s="5">
        <v>753.87599999999998</v>
      </c>
      <c r="O12" s="5">
        <v>1089.4280000000001</v>
      </c>
      <c r="P12" s="5">
        <v>1346.1800000000003</v>
      </c>
      <c r="Q12" s="5">
        <v>872.13300000000004</v>
      </c>
      <c r="R12" s="5">
        <f t="shared" si="0"/>
        <v>20113.937473081056</v>
      </c>
      <c r="S12" s="5">
        <f>IF(SUM($F12:F12)-$E12-0&gt;0,MAX($AF12,SUM($F12:F12)-$E12-0),0)</f>
        <v>219.7000069580422</v>
      </c>
      <c r="T12" s="5">
        <f>IF(SUM($F12:G12)-$E12-SUM($S12:S12)&gt;0,MAX($AF12,SUM($F12:G12)-$E12-SUM($S12:S12)),0)</f>
        <v>1646.2585430338386</v>
      </c>
      <c r="U12" s="5">
        <f>IF(SUM($F12:H12)-$E12-SUM($S12:T12)&gt;0,MAX($AF12,SUM($F12:H12)-$E12-SUM($S12:T12)),0)</f>
        <v>3444.5590000000007</v>
      </c>
      <c r="V12" s="5">
        <f>IF(SUM($F12:I12)-$E12-SUM($S12:U12)&gt;0,MAX($AF12,SUM($F12:I12)-$E12-SUM($S12:U12)),0)</f>
        <v>1731.5159999999996</v>
      </c>
      <c r="W12" s="5">
        <f>IF(SUM($F12:J12)-$E12-SUM($S12:V12)&gt;0,MAX($AF12,SUM($F12:J12)-$E12-SUM($S12:V12)),0)</f>
        <v>3212.1299686542325</v>
      </c>
      <c r="X12" s="5">
        <f>IF(SUM($F12:K12)-$E12-SUM($S12:W12)&gt;0,MAX($AF12,SUM($F12:K12)-$E12-SUM($S12:W12)),0)</f>
        <v>2440.7125000000015</v>
      </c>
      <c r="Y12" s="5">
        <f>IF(SUM($F12:L12)-$E12-SUM($S12:X12)&gt;0,MAX($AF12,SUM($F12:L12)-$E12-SUM($S12:X12)),0)</f>
        <v>988.81849999999758</v>
      </c>
      <c r="Z12" s="5">
        <f>IF(SUM($F12:M12)-$E12-SUM($S12:Y12)&gt;0,MAX($AF12,SUM($F12:M12)-$E12-SUM($S12:Y12)),0)</f>
        <v>1316.3150000000023</v>
      </c>
      <c r="AA12" s="5">
        <f>IF(SUM($F12:N12)-$E12-SUM($S12:Z12)&gt;0,MAX($AF12,SUM($F12:N12)-$E12-SUM($S12:Z12)),0)</f>
        <v>753.87599999999657</v>
      </c>
      <c r="AB12" s="5">
        <f>IF(SUM($F12:O12)-$E12-SUM($S12:AA12)&gt;0,MAX($AF12,SUM($F12:O12)-$E12-SUM($S12:AA12)),0)</f>
        <v>1089.4279999999999</v>
      </c>
      <c r="AC12" s="5">
        <f>IF(SUM($F12:P12)-$E12-SUM($S12:AB12)&gt;0,MAX($AF12,SUM($F12:P12)-$E12-SUM($S12:AB12)),0)</f>
        <v>1346.1800000000003</v>
      </c>
      <c r="AD12" s="5">
        <f>IF(SUM($F12:Q12)-$E12-SUM($S12:AC12)&gt;0,MAX($AF12,SUM($F12:Q12)-$E12-SUM($S12:AC12)),0)</f>
        <v>872.13300000000163</v>
      </c>
      <c r="AE12" s="5">
        <f t="shared" si="1"/>
        <v>19061.626518646113</v>
      </c>
      <c r="AF12" s="5">
        <v>0</v>
      </c>
      <c r="AG12" s="1"/>
    </row>
    <row r="13" spans="1:33">
      <c r="A13" s="1" t="s">
        <v>84</v>
      </c>
      <c r="B13" s="1" t="s">
        <v>85</v>
      </c>
      <c r="C13" s="1" t="s">
        <v>3</v>
      </c>
      <c r="D13" s="1" t="s">
        <v>390</v>
      </c>
      <c r="E13" s="5">
        <v>78.631630297533704</v>
      </c>
      <c r="F13" s="5">
        <v>0.78499999999999992</v>
      </c>
      <c r="G13" s="5">
        <v>1.069258764575485</v>
      </c>
      <c r="H13" s="5">
        <v>1.6735559150645645</v>
      </c>
      <c r="I13" s="5">
        <v>1.8875</v>
      </c>
      <c r="J13" s="5">
        <v>0.78979999999999995</v>
      </c>
      <c r="K13" s="5">
        <v>1.0176000000000001</v>
      </c>
      <c r="L13" s="5">
        <v>1.8383</v>
      </c>
      <c r="M13" s="5">
        <v>2.8921000000000001</v>
      </c>
      <c r="N13" s="5">
        <v>0.35820000000000002</v>
      </c>
      <c r="O13" s="5">
        <v>1.2905</v>
      </c>
      <c r="P13" s="5">
        <v>6.3136999999999999</v>
      </c>
      <c r="Q13" s="5">
        <v>5.0494000000000003</v>
      </c>
      <c r="R13" s="5">
        <f t="shared" si="0"/>
        <v>24.964914679640046</v>
      </c>
      <c r="S13" s="5">
        <f>IF(SUM($F13:F13)-$E13-0&gt;0,MAX($AF13,SUM($F13:F13)-$E13-0),0)</f>
        <v>0</v>
      </c>
      <c r="T13" s="5">
        <f>IF(SUM($F13:G13)-$E13-SUM($S13:S13)&gt;0,MAX($AF13,SUM($F13:G13)-$E13-SUM($S13:S13)),0)</f>
        <v>0</v>
      </c>
      <c r="U13" s="5">
        <f>IF(SUM($F13:H13)-$E13-SUM($S13:T13)&gt;0,MAX($AF13,SUM($F13:H13)-$E13-SUM($S13:T13)),0)</f>
        <v>0</v>
      </c>
      <c r="V13" s="5">
        <f>IF(SUM($F13:I13)-$E13-SUM($S13:U13)&gt;0,MAX($AF13,SUM($F13:I13)-$E13-SUM($S13:U13)),0)</f>
        <v>0</v>
      </c>
      <c r="W13" s="5">
        <f>IF(SUM($F13:J13)-$E13-SUM($S13:V13)&gt;0,MAX($AF13,SUM($F13:J13)-$E13-SUM($S13:V13)),0)</f>
        <v>0</v>
      </c>
      <c r="X13" s="5">
        <f>IF(SUM($F13:K13)-$E13-SUM($S13:W13)&gt;0,MAX($AF13,SUM($F13:K13)-$E13-SUM($S13:W13)),0)</f>
        <v>0</v>
      </c>
      <c r="Y13" s="5">
        <f>IF(SUM($F13:L13)-$E13-SUM($S13:X13)&gt;0,MAX($AF13,SUM($F13:L13)-$E13-SUM($S13:X13)),0)</f>
        <v>0</v>
      </c>
      <c r="Z13" s="5">
        <f>IF(SUM($F13:M13)-$E13-SUM($S13:Y13)&gt;0,MAX($AF13,SUM($F13:M13)-$E13-SUM($S13:Y13)),0)</f>
        <v>0</v>
      </c>
      <c r="AA13" s="5">
        <f>IF(SUM($F13:N13)-$E13-SUM($S13:Z13)&gt;0,MAX($AF13,SUM($F13:N13)-$E13-SUM($S13:Z13)),0)</f>
        <v>0</v>
      </c>
      <c r="AB13" s="5">
        <f>IF(SUM($F13:O13)-$E13-SUM($S13:AA13)&gt;0,MAX($AF13,SUM($F13:O13)-$E13-SUM($S13:AA13)),0)</f>
        <v>0</v>
      </c>
      <c r="AC13" s="5">
        <f>IF(SUM($F13:P13)-$E13-SUM($S13:AB13)&gt;0,MAX($AF13,SUM($F13:P13)-$E13-SUM($S13:AB13)),0)</f>
        <v>0</v>
      </c>
      <c r="AD13" s="5">
        <f>IF(SUM($F13:Q13)-$E13-SUM($S13:AC13)&gt;0,MAX($AF13,SUM($F13:Q13)-$E13-SUM($S13:AC13)),0)</f>
        <v>0</v>
      </c>
      <c r="AE13" s="5">
        <f t="shared" si="1"/>
        <v>0</v>
      </c>
      <c r="AF13" s="5">
        <v>0</v>
      </c>
      <c r="AG13" s="1"/>
    </row>
    <row r="14" spans="1:33">
      <c r="A14" s="1" t="s">
        <v>86</v>
      </c>
      <c r="B14" s="1" t="s">
        <v>87</v>
      </c>
      <c r="C14" s="1" t="s">
        <v>3</v>
      </c>
      <c r="D14" s="1" t="s">
        <v>390</v>
      </c>
      <c r="E14" s="5">
        <v>0</v>
      </c>
      <c r="F14" s="5">
        <v>476.12462981528631</v>
      </c>
      <c r="G14" s="5">
        <v>649.62839015454313</v>
      </c>
      <c r="H14" s="5">
        <v>1863.0303636673209</v>
      </c>
      <c r="I14" s="5">
        <v>928.62116649972609</v>
      </c>
      <c r="J14" s="5">
        <v>2849.02495548975</v>
      </c>
      <c r="K14" s="5">
        <v>2059.6991571237636</v>
      </c>
      <c r="L14" s="5">
        <v>1458.491381225801</v>
      </c>
      <c r="M14" s="5">
        <v>517.03385569918885</v>
      </c>
      <c r="N14" s="5">
        <v>395.1156822215973</v>
      </c>
      <c r="O14" s="5">
        <v>434.77508841605737</v>
      </c>
      <c r="P14" s="5">
        <v>735.13767978527767</v>
      </c>
      <c r="Q14" s="5">
        <v>1634.8148756967096</v>
      </c>
      <c r="R14" s="5">
        <f t="shared" si="0"/>
        <v>14001.497225795023</v>
      </c>
      <c r="S14" s="5">
        <f>IF(SUM($F14:F14)-$E14-0&gt;0,MAX($AF14,SUM($F14:F14)-$E14-0),0)</f>
        <v>476.12462981528631</v>
      </c>
      <c r="T14" s="5">
        <f>IF(SUM($F14:G14)-$E14-SUM($S14:S14)&gt;0,MAX($AF14,SUM($F14:G14)-$E14-SUM($S14:S14)),0)</f>
        <v>649.62839015454313</v>
      </c>
      <c r="U14" s="5">
        <f>IF(SUM($F14:H14)-$E14-SUM($S14:T14)&gt;0,MAX($AF14,SUM($F14:H14)-$E14-SUM($S14:T14)),0)</f>
        <v>1863.0303636673207</v>
      </c>
      <c r="V14" s="5">
        <f>IF(SUM($F14:I14)-$E14-SUM($S14:U14)&gt;0,MAX($AF14,SUM($F14:I14)-$E14-SUM($S14:U14)),0)</f>
        <v>928.62116649972631</v>
      </c>
      <c r="W14" s="5">
        <f>IF(SUM($F14:J14)-$E14-SUM($S14:V14)&gt;0,MAX($AF14,SUM($F14:J14)-$E14-SUM($S14:V14)),0)</f>
        <v>2849.02495548975</v>
      </c>
      <c r="X14" s="5">
        <f>IF(SUM($F14:K14)-$E14-SUM($S14:W14)&gt;0,MAX($AF14,SUM($F14:K14)-$E14-SUM($S14:W14)),0)</f>
        <v>2059.6991571237641</v>
      </c>
      <c r="Y14" s="5">
        <f>IF(SUM($F14:L14)-$E14-SUM($S14:X14)&gt;0,MAX($AF14,SUM($F14:L14)-$E14-SUM($S14:X14)),0)</f>
        <v>1458.4913812258019</v>
      </c>
      <c r="Z14" s="5">
        <f>IF(SUM($F14:M14)-$E14-SUM($S14:Y14)&gt;0,MAX($AF14,SUM($F14:M14)-$E14-SUM($S14:Y14)),0)</f>
        <v>517.03385569918828</v>
      </c>
      <c r="AA14" s="5">
        <f>IF(SUM($F14:N14)-$E14-SUM($S14:Z14)&gt;0,MAX($AF14,SUM($F14:N14)-$E14-SUM($S14:Z14)),0)</f>
        <v>395.11568222159804</v>
      </c>
      <c r="AB14" s="5">
        <f>IF(SUM($F14:O14)-$E14-SUM($S14:AA14)&gt;0,MAX($AF14,SUM($F14:O14)-$E14-SUM($S14:AA14)),0)</f>
        <v>434.77508841605777</v>
      </c>
      <c r="AC14" s="5">
        <f>IF(SUM($F14:P14)-$E14-SUM($S14:AB14)&gt;0,MAX($AF14,SUM($F14:P14)-$E14-SUM($S14:AB14)),0)</f>
        <v>735.13767978527721</v>
      </c>
      <c r="AD14" s="5">
        <f>IF(SUM($F14:Q14)-$E14-SUM($S14:AC14)&gt;0,MAX($AF14,SUM($F14:Q14)-$E14-SUM($S14:AC14)),0)</f>
        <v>1634.8148756967094</v>
      </c>
      <c r="AE14" s="5">
        <f t="shared" si="1"/>
        <v>14001.497225795023</v>
      </c>
      <c r="AF14" s="5">
        <v>0</v>
      </c>
      <c r="AG14" s="1"/>
    </row>
    <row r="15" spans="1:33">
      <c r="A15" s="1" t="s">
        <v>88</v>
      </c>
      <c r="B15" s="1" t="s">
        <v>89</v>
      </c>
      <c r="C15" s="1" t="s">
        <v>3</v>
      </c>
      <c r="D15" s="1" t="s">
        <v>390</v>
      </c>
      <c r="E15" s="5">
        <v>0</v>
      </c>
      <c r="F15" s="5">
        <v>7.8440000000000003</v>
      </c>
      <c r="G15" s="5">
        <v>15.202</v>
      </c>
      <c r="H15" s="5">
        <v>2.5449999999999999</v>
      </c>
      <c r="I15" s="5">
        <v>14.375999999999999</v>
      </c>
      <c r="J15" s="5">
        <v>4.3849999999999998</v>
      </c>
      <c r="K15" s="5">
        <v>8.4049999999999994</v>
      </c>
      <c r="L15" s="5">
        <v>3.1829999999999998</v>
      </c>
      <c r="M15" s="5">
        <v>9.4220000000000006</v>
      </c>
      <c r="N15" s="5">
        <v>7.0229999999999997</v>
      </c>
      <c r="O15" s="5">
        <v>1.57</v>
      </c>
      <c r="P15" s="5">
        <v>3.21</v>
      </c>
      <c r="Q15" s="5">
        <v>11.326000000000001</v>
      </c>
      <c r="R15" s="5">
        <f t="shared" si="0"/>
        <v>88.490999999999985</v>
      </c>
      <c r="S15" s="5">
        <f>IF(SUM($F15:F15)-$E15-0&gt;0,MAX($AF15,SUM($F15:F15)-$E15-0),0)</f>
        <v>7.8440000000000003</v>
      </c>
      <c r="T15" s="5">
        <f>IF(SUM($F15:G15)-$E15-SUM($S15:S15)&gt;0,MAX($AF15,SUM($F15:G15)-$E15-SUM($S15:S15)),0)</f>
        <v>15.201999999999998</v>
      </c>
      <c r="U15" s="5">
        <f>IF(SUM($F15:H15)-$E15-SUM($S15:T15)&gt;0,MAX($AF15,SUM($F15:H15)-$E15-SUM($S15:T15)),0)</f>
        <v>2.5450000000000017</v>
      </c>
      <c r="V15" s="5">
        <f>IF(SUM($F15:I15)-$E15-SUM($S15:U15)&gt;0,MAX($AF15,SUM($F15:I15)-$E15-SUM($S15:U15)),0)</f>
        <v>14.375999999999998</v>
      </c>
      <c r="W15" s="5">
        <f>IF(SUM($F15:J15)-$E15-SUM($S15:V15)&gt;0,MAX($AF15,SUM($F15:J15)-$E15-SUM($S15:V15)),0)</f>
        <v>4.384999999999998</v>
      </c>
      <c r="X15" s="5">
        <f>IF(SUM($F15:K15)-$E15-SUM($S15:W15)&gt;0,MAX($AF15,SUM($F15:K15)-$E15-SUM($S15:W15)),0)</f>
        <v>8.4050000000000011</v>
      </c>
      <c r="Y15" s="5">
        <f>IF(SUM($F15:L15)-$E15-SUM($S15:X15)&gt;0,MAX($AF15,SUM($F15:L15)-$E15-SUM($S15:X15)),0)</f>
        <v>3.1829999999999998</v>
      </c>
      <c r="Z15" s="5">
        <f>IF(SUM($F15:M15)-$E15-SUM($S15:Y15)&gt;0,MAX($AF15,SUM($F15:M15)-$E15-SUM($S15:Y15)),0)</f>
        <v>9.421999999999997</v>
      </c>
      <c r="AA15" s="5">
        <f>IF(SUM($F15:N15)-$E15-SUM($S15:Z15)&gt;0,MAX($AF15,SUM($F15:N15)-$E15-SUM($S15:Z15)),0)</f>
        <v>7.0229999999999961</v>
      </c>
      <c r="AB15" s="5">
        <f>IF(SUM($F15:O15)-$E15-SUM($S15:AA15)&gt;0,MAX($AF15,SUM($F15:O15)-$E15-SUM($S15:AA15)),0)</f>
        <v>1.5699999999999932</v>
      </c>
      <c r="AC15" s="5">
        <f>IF(SUM($F15:P15)-$E15-SUM($S15:AB15)&gt;0,MAX($AF15,SUM($F15:P15)-$E15-SUM($S15:AB15)),0)</f>
        <v>3.2099999999999937</v>
      </c>
      <c r="AD15" s="5">
        <f>IF(SUM($F15:Q15)-$E15-SUM($S15:AC15)&gt;0,MAX($AF15,SUM($F15:Q15)-$E15-SUM($S15:AC15)),0)</f>
        <v>11.326000000000008</v>
      </c>
      <c r="AE15" s="5">
        <f t="shared" si="1"/>
        <v>88.490999999999985</v>
      </c>
      <c r="AF15" s="5">
        <v>0</v>
      </c>
      <c r="AG15" s="1"/>
    </row>
    <row r="16" spans="1:33">
      <c r="A16" s="1" t="s">
        <v>90</v>
      </c>
      <c r="B16" s="1" t="s">
        <v>90</v>
      </c>
      <c r="C16" s="1" t="s">
        <v>3</v>
      </c>
      <c r="D16" s="1" t="s">
        <v>390</v>
      </c>
      <c r="E16" s="5">
        <v>0</v>
      </c>
      <c r="F16" s="5">
        <v>0</v>
      </c>
      <c r="G16" s="5">
        <v>5100.6130000000003</v>
      </c>
      <c r="H16" s="5">
        <v>0</v>
      </c>
      <c r="I16" s="5">
        <v>11.55</v>
      </c>
      <c r="J16" s="5">
        <v>0</v>
      </c>
      <c r="K16" s="5">
        <v>214.85</v>
      </c>
      <c r="L16" s="5">
        <v>0</v>
      </c>
      <c r="M16" s="5">
        <v>153.82499999999999</v>
      </c>
      <c r="N16" s="5">
        <v>0</v>
      </c>
      <c r="O16" s="5">
        <v>0</v>
      </c>
      <c r="P16" s="5">
        <v>217.35</v>
      </c>
      <c r="Q16" s="5">
        <v>3087.346</v>
      </c>
      <c r="R16" s="5">
        <f t="shared" si="0"/>
        <v>8785.5340000000015</v>
      </c>
      <c r="S16" s="5">
        <f>IF(SUM($F16:F16)-$E16-0&gt;0,MAX($AF16,SUM($F16:F16)-$E16-0),0)</f>
        <v>0</v>
      </c>
      <c r="T16" s="5">
        <f>IF(SUM($F16:G16)-$E16-SUM($S16:S16)&gt;0,MAX($AF16,SUM($F16:G16)-$E16-SUM($S16:S16)),0)</f>
        <v>5100.6130000000003</v>
      </c>
      <c r="U16" s="5">
        <f>IF(SUM($F16:H16)-$E16-SUM($S16:T16)&gt;0,MAX($AF16,SUM($F16:H16)-$E16-SUM($S16:T16)),0)</f>
        <v>0</v>
      </c>
      <c r="V16" s="5">
        <f>IF(SUM($F16:I16)-$E16-SUM($S16:U16)&gt;0,MAX($AF16,SUM($F16:I16)-$E16-SUM($S16:U16)),0)</f>
        <v>11.550000000000182</v>
      </c>
      <c r="W16" s="5">
        <f>IF(SUM($F16:J16)-$E16-SUM($S16:V16)&gt;0,MAX($AF16,SUM($F16:J16)-$E16-SUM($S16:V16)),0)</f>
        <v>0</v>
      </c>
      <c r="X16" s="5">
        <f>IF(SUM($F16:K16)-$E16-SUM($S16:W16)&gt;0,MAX($AF16,SUM($F16:K16)-$E16-SUM($S16:W16)),0)</f>
        <v>214.85000000000036</v>
      </c>
      <c r="Y16" s="5">
        <f>IF(SUM($F16:L16)-$E16-SUM($S16:X16)&gt;0,MAX($AF16,SUM($F16:L16)-$E16-SUM($S16:X16)),0)</f>
        <v>0</v>
      </c>
      <c r="Z16" s="5">
        <f>IF(SUM($F16:M16)-$E16-SUM($S16:Y16)&gt;0,MAX($AF16,SUM($F16:M16)-$E16-SUM($S16:Y16)),0)</f>
        <v>153.82499999999982</v>
      </c>
      <c r="AA16" s="5">
        <f>IF(SUM($F16:N16)-$E16-SUM($S16:Z16)&gt;0,MAX($AF16,SUM($F16:N16)-$E16-SUM($S16:Z16)),0)</f>
        <v>0</v>
      </c>
      <c r="AB16" s="5">
        <f>IF(SUM($F16:O16)-$E16-SUM($S16:AA16)&gt;0,MAX($AF16,SUM($F16:O16)-$E16-SUM($S16:AA16)),0)</f>
        <v>0</v>
      </c>
      <c r="AC16" s="5">
        <f>IF(SUM($F16:P16)-$E16-SUM($S16:AB16)&gt;0,MAX($AF16,SUM($F16:P16)-$E16-SUM($S16:AB16)),0)</f>
        <v>217.35000000000036</v>
      </c>
      <c r="AD16" s="5">
        <f>IF(SUM($F16:Q16)-$E16-SUM($S16:AC16)&gt;0,MAX($AF16,SUM($F16:Q16)-$E16-SUM($S16:AC16)),0)</f>
        <v>3087.3460000000005</v>
      </c>
      <c r="AE16" s="5">
        <f t="shared" si="1"/>
        <v>8785.5340000000015</v>
      </c>
      <c r="AF16" s="5">
        <v>0</v>
      </c>
      <c r="AG16" s="1"/>
    </row>
    <row r="17" spans="1:33">
      <c r="A17" s="1" t="s">
        <v>91</v>
      </c>
      <c r="B17" s="1" t="s">
        <v>92</v>
      </c>
      <c r="C17" s="1" t="s">
        <v>3</v>
      </c>
      <c r="D17" s="1" t="s">
        <v>390</v>
      </c>
      <c r="E17" s="5">
        <v>0</v>
      </c>
      <c r="F17" s="5">
        <v>595.98399999999992</v>
      </c>
      <c r="G17" s="5">
        <v>922.50579382287719</v>
      </c>
      <c r="H17" s="5">
        <v>1017.1300000000001</v>
      </c>
      <c r="I17" s="5">
        <v>1657.9895000000001</v>
      </c>
      <c r="J17" s="5">
        <v>1732.9449999999997</v>
      </c>
      <c r="K17" s="5">
        <v>3531.4085000000005</v>
      </c>
      <c r="L17" s="5">
        <v>1370.4719999999998</v>
      </c>
      <c r="M17" s="5">
        <v>462.56599999999997</v>
      </c>
      <c r="N17" s="5">
        <v>174.17099999999999</v>
      </c>
      <c r="O17" s="5">
        <v>874.57499999999993</v>
      </c>
      <c r="P17" s="5">
        <v>1098.866</v>
      </c>
      <c r="Q17" s="5">
        <v>413.39949999999999</v>
      </c>
      <c r="R17" s="5">
        <f t="shared" si="0"/>
        <v>13852.012293822878</v>
      </c>
      <c r="S17" s="5">
        <f>IF(SUM($F17:F17)-$E17-0&gt;0,MAX($AF17,SUM($F17:F17)-$E17-0),0)</f>
        <v>595.98399999999992</v>
      </c>
      <c r="T17" s="5">
        <f>IF(SUM($F17:G17)-$E17-SUM($S17:S17)&gt;0,MAX($AF17,SUM($F17:G17)-$E17-SUM($S17:S17)),0)</f>
        <v>922.50579382287719</v>
      </c>
      <c r="U17" s="5">
        <f>IF(SUM($F17:H17)-$E17-SUM($S17:T17)&gt;0,MAX($AF17,SUM($F17:H17)-$E17-SUM($S17:T17)),0)</f>
        <v>1017.1299999999999</v>
      </c>
      <c r="V17" s="5">
        <f>IF(SUM($F17:I17)-$E17-SUM($S17:U17)&gt;0,MAX($AF17,SUM($F17:I17)-$E17-SUM($S17:U17)),0)</f>
        <v>1657.9895000000006</v>
      </c>
      <c r="W17" s="5">
        <f>IF(SUM($F17:J17)-$E17-SUM($S17:V17)&gt;0,MAX($AF17,SUM($F17:J17)-$E17-SUM($S17:V17)),0)</f>
        <v>1732.9449999999997</v>
      </c>
      <c r="X17" s="5">
        <f>IF(SUM($F17:K17)-$E17-SUM($S17:W17)&gt;0,MAX($AF17,SUM($F17:K17)-$E17-SUM($S17:W17)),0)</f>
        <v>3531.4084999999995</v>
      </c>
      <c r="Y17" s="5">
        <f>IF(SUM($F17:L17)-$E17-SUM($S17:X17)&gt;0,MAX($AF17,SUM($F17:L17)-$E17-SUM($S17:X17)),0)</f>
        <v>1370.4719999999998</v>
      </c>
      <c r="Z17" s="5">
        <f>IF(SUM($F17:M17)-$E17-SUM($S17:Y17)&gt;0,MAX($AF17,SUM($F17:M17)-$E17-SUM($S17:Y17)),0)</f>
        <v>462.56600000000071</v>
      </c>
      <c r="AA17" s="5">
        <f>IF(SUM($F17:N17)-$E17-SUM($S17:Z17)&gt;0,MAX($AF17,SUM($F17:N17)-$E17-SUM($S17:Z17)),0)</f>
        <v>174.17100000000028</v>
      </c>
      <c r="AB17" s="5">
        <f>IF(SUM($F17:O17)-$E17-SUM($S17:AA17)&gt;0,MAX($AF17,SUM($F17:O17)-$E17-SUM($S17:AA17)),0)</f>
        <v>874.57500000000073</v>
      </c>
      <c r="AC17" s="5">
        <f>IF(SUM($F17:P17)-$E17-SUM($S17:AB17)&gt;0,MAX($AF17,SUM($F17:P17)-$E17-SUM($S17:AB17)),0)</f>
        <v>1098.866</v>
      </c>
      <c r="AD17" s="5">
        <f>IF(SUM($F17:Q17)-$E17-SUM($S17:AC17)&gt;0,MAX($AF17,SUM($F17:Q17)-$E17-SUM($S17:AC17)),0)</f>
        <v>413.39949999999953</v>
      </c>
      <c r="AE17" s="5">
        <f t="shared" si="1"/>
        <v>13852.012293822878</v>
      </c>
      <c r="AF17" s="5">
        <v>0</v>
      </c>
      <c r="AG17" s="1"/>
    </row>
    <row r="18" spans="1:33">
      <c r="A18" s="1" t="s">
        <v>93</v>
      </c>
      <c r="B18" s="1" t="s">
        <v>94</v>
      </c>
      <c r="C18" s="1" t="s">
        <v>3</v>
      </c>
      <c r="D18" s="1" t="s">
        <v>390</v>
      </c>
      <c r="E18" s="5">
        <v>3485</v>
      </c>
      <c r="F18" s="5">
        <v>0</v>
      </c>
      <c r="G18" s="5">
        <v>0</v>
      </c>
      <c r="H18" s="5">
        <v>0</v>
      </c>
      <c r="I18" s="5">
        <v>238.998069649195</v>
      </c>
      <c r="J18" s="5">
        <v>0</v>
      </c>
      <c r="K18" s="5">
        <v>105</v>
      </c>
      <c r="L18" s="5">
        <v>210</v>
      </c>
      <c r="M18" s="5">
        <v>425</v>
      </c>
      <c r="N18" s="5">
        <v>0</v>
      </c>
      <c r="O18" s="5">
        <v>510</v>
      </c>
      <c r="P18" s="5">
        <v>0</v>
      </c>
      <c r="Q18" s="5">
        <v>0</v>
      </c>
      <c r="R18" s="5">
        <f t="shared" si="0"/>
        <v>1488.998069649195</v>
      </c>
      <c r="S18" s="5">
        <f>IF(SUM($F18:F18)-$E18-0&gt;0,MAX($AF18,SUM($F18:F18)-$E18-0),0)</f>
        <v>0</v>
      </c>
      <c r="T18" s="5">
        <f>IF(SUM($F18:G18)-$E18-SUM($S18:S18)&gt;0,MAX($AF18,SUM($F18:G18)-$E18-SUM($S18:S18)),0)</f>
        <v>0</v>
      </c>
      <c r="U18" s="5">
        <f>IF(SUM($F18:H18)-$E18-SUM($S18:T18)&gt;0,MAX($AF18,SUM($F18:H18)-$E18-SUM($S18:T18)),0)</f>
        <v>0</v>
      </c>
      <c r="V18" s="5">
        <f>IF(SUM($F18:I18)-$E18-SUM($S18:U18)&gt;0,MAX($AF18,SUM($F18:I18)-$E18-SUM($S18:U18)),0)</f>
        <v>0</v>
      </c>
      <c r="W18" s="5">
        <f>IF(SUM($F18:J18)-$E18-SUM($S18:V18)&gt;0,MAX($AF18,SUM($F18:J18)-$E18-SUM($S18:V18)),0)</f>
        <v>0</v>
      </c>
      <c r="X18" s="5">
        <f>IF(SUM($F18:K18)-$E18-SUM($S18:W18)&gt;0,MAX($AF18,SUM($F18:K18)-$E18-SUM($S18:W18)),0)</f>
        <v>0</v>
      </c>
      <c r="Y18" s="5">
        <f>IF(SUM($F18:L18)-$E18-SUM($S18:X18)&gt;0,MAX($AF18,SUM($F18:L18)-$E18-SUM($S18:X18)),0)</f>
        <v>0</v>
      </c>
      <c r="Z18" s="5">
        <f>IF(SUM($F18:M18)-$E18-SUM($S18:Y18)&gt;0,MAX($AF18,SUM($F18:M18)-$E18-SUM($S18:Y18)),0)</f>
        <v>0</v>
      </c>
      <c r="AA18" s="5">
        <f>IF(SUM($F18:N18)-$E18-SUM($S18:Z18)&gt;0,MAX($AF18,SUM($F18:N18)-$E18-SUM($S18:Z18)),0)</f>
        <v>0</v>
      </c>
      <c r="AB18" s="5">
        <f>IF(SUM($F18:O18)-$E18-SUM($S18:AA18)&gt;0,MAX($AF18,SUM($F18:O18)-$E18-SUM($S18:AA18)),0)</f>
        <v>0</v>
      </c>
      <c r="AC18" s="5">
        <f>IF(SUM($F18:P18)-$E18-SUM($S18:AB18)&gt;0,MAX($AF18,SUM($F18:P18)-$E18-SUM($S18:AB18)),0)</f>
        <v>0</v>
      </c>
      <c r="AD18" s="5">
        <f>IF(SUM($F18:Q18)-$E18-SUM($S18:AC18)&gt;0,MAX($AF18,SUM($F18:Q18)-$E18-SUM($S18:AC18)),0)</f>
        <v>0</v>
      </c>
      <c r="AE18" s="5">
        <f t="shared" si="1"/>
        <v>0</v>
      </c>
      <c r="AF18" s="5">
        <v>0</v>
      </c>
      <c r="AG18" s="1"/>
    </row>
    <row r="19" spans="1:33">
      <c r="A19" s="1" t="s">
        <v>95</v>
      </c>
      <c r="B19" s="1" t="s">
        <v>96</v>
      </c>
      <c r="C19" s="1" t="s">
        <v>3</v>
      </c>
      <c r="D19" s="1" t="s">
        <v>390</v>
      </c>
      <c r="E19" s="5">
        <v>19980.672659940166</v>
      </c>
      <c r="F19" s="5">
        <v>663.22799999999995</v>
      </c>
      <c r="G19" s="5">
        <v>2205.42</v>
      </c>
      <c r="H19" s="5">
        <v>1435.3920000000001</v>
      </c>
      <c r="I19" s="5">
        <v>1661.808</v>
      </c>
      <c r="J19" s="5">
        <v>1523.6467654957903</v>
      </c>
      <c r="K19" s="5">
        <v>2057.2350000000001</v>
      </c>
      <c r="L19" s="5">
        <v>1749.7330000000002</v>
      </c>
      <c r="M19" s="5">
        <v>2600.58</v>
      </c>
      <c r="N19" s="5">
        <v>625.84799999999996</v>
      </c>
      <c r="O19" s="5">
        <v>1482.384</v>
      </c>
      <c r="P19" s="5">
        <v>1393.74</v>
      </c>
      <c r="Q19" s="5">
        <v>35.244</v>
      </c>
      <c r="R19" s="5">
        <f t="shared" si="0"/>
        <v>17434.25876549579</v>
      </c>
      <c r="S19" s="5">
        <f>IF(SUM($F19:F19)-$E19-0&gt;0,MAX($AF19,SUM($F19:F19)-$E19-0),0)</f>
        <v>0</v>
      </c>
      <c r="T19" s="5">
        <f>IF(SUM($F19:G19)-$E19-SUM($S19:S19)&gt;0,MAX($AF19,SUM($F19:G19)-$E19-SUM($S19:S19)),0)</f>
        <v>0</v>
      </c>
      <c r="U19" s="5">
        <f>IF(SUM($F19:H19)-$E19-SUM($S19:T19)&gt;0,MAX($AF19,SUM($F19:H19)-$E19-SUM($S19:T19)),0)</f>
        <v>0</v>
      </c>
      <c r="V19" s="5">
        <f>IF(SUM($F19:I19)-$E19-SUM($S19:U19)&gt;0,MAX($AF19,SUM($F19:I19)-$E19-SUM($S19:U19)),0)</f>
        <v>0</v>
      </c>
      <c r="W19" s="5">
        <f>IF(SUM($F19:J19)-$E19-SUM($S19:V19)&gt;0,MAX($AF19,SUM($F19:J19)-$E19-SUM($S19:V19)),0)</f>
        <v>0</v>
      </c>
      <c r="X19" s="5">
        <f>IF(SUM($F19:K19)-$E19-SUM($S19:W19)&gt;0,MAX($AF19,SUM($F19:K19)-$E19-SUM($S19:W19)),0)</f>
        <v>0</v>
      </c>
      <c r="Y19" s="5">
        <f>IF(SUM($F19:L19)-$E19-SUM($S19:X19)&gt;0,MAX($AF19,SUM($F19:L19)-$E19-SUM($S19:X19)),0)</f>
        <v>0</v>
      </c>
      <c r="Z19" s="5">
        <f>IF(SUM($F19:M19)-$E19-SUM($S19:Y19)&gt;0,MAX($AF19,SUM($F19:M19)-$E19-SUM($S19:Y19)),0)</f>
        <v>0</v>
      </c>
      <c r="AA19" s="5">
        <f>IF(SUM($F19:N19)-$E19-SUM($S19:Z19)&gt;0,MAX($AF19,SUM($F19:N19)-$E19-SUM($S19:Z19)),0)</f>
        <v>0</v>
      </c>
      <c r="AB19" s="5">
        <f>IF(SUM($F19:O19)-$E19-SUM($S19:AA19)&gt;0,MAX($AF19,SUM($F19:O19)-$E19-SUM($S19:AA19)),0)</f>
        <v>0</v>
      </c>
      <c r="AC19" s="5">
        <f>IF(SUM($F19:P19)-$E19-SUM($S19:AB19)&gt;0,MAX($AF19,SUM($F19:P19)-$E19-SUM($S19:AB19)),0)</f>
        <v>0</v>
      </c>
      <c r="AD19" s="5">
        <f>IF(SUM($F19:Q19)-$E19-SUM($S19:AC19)&gt;0,MAX($AF19,SUM($F19:Q19)-$E19-SUM($S19:AC19)),0)</f>
        <v>0</v>
      </c>
      <c r="AE19" s="5">
        <f t="shared" si="1"/>
        <v>0</v>
      </c>
      <c r="AF19" s="5">
        <v>0</v>
      </c>
      <c r="AG19" s="1"/>
    </row>
    <row r="20" spans="1:33">
      <c r="A20" s="1" t="s">
        <v>97</v>
      </c>
      <c r="B20" s="1" t="s">
        <v>98</v>
      </c>
      <c r="C20" s="1" t="s">
        <v>3</v>
      </c>
      <c r="D20" s="1" t="s">
        <v>390</v>
      </c>
      <c r="E20" s="5">
        <v>3249.9470158590457</v>
      </c>
      <c r="F20" s="5">
        <v>654.29</v>
      </c>
      <c r="G20" s="5">
        <v>210.70727878962612</v>
      </c>
      <c r="H20" s="5">
        <v>813.52453791678681</v>
      </c>
      <c r="I20" s="5">
        <v>243.5</v>
      </c>
      <c r="J20" s="5">
        <v>342.33299999999997</v>
      </c>
      <c r="K20" s="5">
        <v>1235.076</v>
      </c>
      <c r="L20" s="5">
        <v>259.55799999999999</v>
      </c>
      <c r="M20" s="5">
        <v>117.911</v>
      </c>
      <c r="N20" s="5">
        <v>95.132000000000005</v>
      </c>
      <c r="O20" s="5">
        <v>335.53</v>
      </c>
      <c r="P20" s="5">
        <v>376.05200000000002</v>
      </c>
      <c r="Q20" s="5">
        <v>325.04399999999998</v>
      </c>
      <c r="R20" s="5">
        <f t="shared" si="0"/>
        <v>5008.6578167064126</v>
      </c>
      <c r="S20" s="5">
        <f>IF(SUM($F20:F20)-$E20-0&gt;0,MAX($AF20,SUM($F20:F20)-$E20-0),0)</f>
        <v>0</v>
      </c>
      <c r="T20" s="5">
        <f>IF(SUM($F20:G20)-$E20-SUM($S20:S20)&gt;0,MAX($AF20,SUM($F20:G20)-$E20-SUM($S20:S20)),0)</f>
        <v>0</v>
      </c>
      <c r="U20" s="5">
        <f>IF(SUM($F20:H20)-$E20-SUM($S20:T20)&gt;0,MAX($AF20,SUM($F20:H20)-$E20-SUM($S20:T20)),0)</f>
        <v>0</v>
      </c>
      <c r="V20" s="5">
        <f>IF(SUM($F20:I20)-$E20-SUM($S20:U20)&gt;0,MAX($AF20,SUM($F20:I20)-$E20-SUM($S20:U20)),0)</f>
        <v>0</v>
      </c>
      <c r="W20" s="5">
        <f>IF(SUM($F20:J20)-$E20-SUM($S20:V20)&gt;0,MAX($AF20,SUM($F20:J20)-$E20-SUM($S20:V20)),0)</f>
        <v>0</v>
      </c>
      <c r="X20" s="5">
        <f>IF(SUM($F20:K20)-$E20-SUM($S20:W20)&gt;0,MAX($AF20,SUM($F20:K20)-$E20-SUM($S20:W20)),0)</f>
        <v>249.48380084736709</v>
      </c>
      <c r="Y20" s="5">
        <f>IF(SUM($F20:L20)-$E20-SUM($S20:X20)&gt;0,MAX($AF20,SUM($F20:L20)-$E20-SUM($S20:X20)),0)</f>
        <v>259.55799999999999</v>
      </c>
      <c r="Z20" s="5">
        <f>IF(SUM($F20:M20)-$E20-SUM($S20:Y20)&gt;0,MAX($AF20,SUM($F20:M20)-$E20-SUM($S20:Y20)),0)</f>
        <v>117.91100000000006</v>
      </c>
      <c r="AA20" s="5">
        <f>IF(SUM($F20:N20)-$E20-SUM($S20:Z20)&gt;0,MAX($AF20,SUM($F20:N20)-$E20-SUM($S20:Z20)),0)</f>
        <v>95.132000000000062</v>
      </c>
      <c r="AB20" s="5">
        <f>IF(SUM($F20:O20)-$E20-SUM($S20:AA20)&gt;0,MAX($AF20,SUM($F20:O20)-$E20-SUM($S20:AA20)),0)</f>
        <v>335.5300000000002</v>
      </c>
      <c r="AC20" s="5">
        <f>IF(SUM($F20:P20)-$E20-SUM($S20:AB20)&gt;0,MAX($AF20,SUM($F20:P20)-$E20-SUM($S20:AB20)),0)</f>
        <v>376.05199999999968</v>
      </c>
      <c r="AD20" s="5">
        <f>IF(SUM($F20:Q20)-$E20-SUM($S20:AC20)&gt;0,MAX($AF20,SUM($F20:Q20)-$E20-SUM($S20:AC20)),0)</f>
        <v>325.04399999999987</v>
      </c>
      <c r="AE20" s="5">
        <f t="shared" si="1"/>
        <v>1758.710800847367</v>
      </c>
      <c r="AF20" s="5">
        <v>0</v>
      </c>
      <c r="AG20" s="1"/>
    </row>
    <row r="21" spans="1:33">
      <c r="A21" s="1" t="s">
        <v>99</v>
      </c>
      <c r="B21" s="1" t="s">
        <v>100</v>
      </c>
      <c r="C21" s="1" t="s">
        <v>3</v>
      </c>
      <c r="D21" s="1" t="s">
        <v>390</v>
      </c>
      <c r="E21" s="5">
        <v>0</v>
      </c>
      <c r="F21" s="5">
        <v>1060.2171818206766</v>
      </c>
      <c r="G21" s="5">
        <v>4139.1657080728364</v>
      </c>
      <c r="H21" s="5">
        <v>6303.0129190639218</v>
      </c>
      <c r="I21" s="5">
        <v>2628.0879400000003</v>
      </c>
      <c r="J21" s="5">
        <v>6242.0622299999995</v>
      </c>
      <c r="K21" s="5">
        <v>4323.6301100000001</v>
      </c>
      <c r="L21" s="5">
        <v>5616.0577699999994</v>
      </c>
      <c r="M21" s="5">
        <v>2509.6642019999995</v>
      </c>
      <c r="N21" s="5">
        <v>2295.58898</v>
      </c>
      <c r="O21" s="5">
        <v>1939.6122</v>
      </c>
      <c r="P21" s="5">
        <v>3639.5840040000003</v>
      </c>
      <c r="Q21" s="5">
        <v>8050.4740000000002</v>
      </c>
      <c r="R21" s="5">
        <f t="shared" si="0"/>
        <v>48747.157244957445</v>
      </c>
      <c r="S21" s="5">
        <f>IF(SUM($F21:F21)-$E21-0&gt;0,MAX($AF21,SUM($F21:F21)-$E21-0),0)</f>
        <v>1060.2171818206766</v>
      </c>
      <c r="T21" s="5">
        <f>IF(SUM($F21:G21)-$E21-SUM($S21:S21)&gt;0,MAX($AF21,SUM($F21:G21)-$E21-SUM($S21:S21)),0)</f>
        <v>4139.1657080728364</v>
      </c>
      <c r="U21" s="5">
        <f>IF(SUM($F21:H21)-$E21-SUM($S21:T21)&gt;0,MAX($AF21,SUM($F21:H21)-$E21-SUM($S21:T21)),0)</f>
        <v>6303.0129190639218</v>
      </c>
      <c r="V21" s="5">
        <f>IF(SUM($F21:I21)-$E21-SUM($S21:U21)&gt;0,MAX($AF21,SUM($F21:I21)-$E21-SUM($S21:U21)),0)</f>
        <v>2628.0879399999994</v>
      </c>
      <c r="W21" s="5">
        <f>IF(SUM($F21:J21)-$E21-SUM($S21:V21)&gt;0,MAX($AF21,SUM($F21:J21)-$E21-SUM($S21:V21)),0)</f>
        <v>6242.0622299999995</v>
      </c>
      <c r="X21" s="5">
        <f>IF(SUM($F21:K21)-$E21-SUM($S21:W21)&gt;0,MAX($AF21,SUM($F21:K21)-$E21-SUM($S21:W21)),0)</f>
        <v>4323.6301100000019</v>
      </c>
      <c r="Y21" s="5">
        <f>IF(SUM($F21:L21)-$E21-SUM($S21:X21)&gt;0,MAX($AF21,SUM($F21:L21)-$E21-SUM($S21:X21)),0)</f>
        <v>5616.0577699999994</v>
      </c>
      <c r="Z21" s="5">
        <f>IF(SUM($F21:M21)-$E21-SUM($S21:Y21)&gt;0,MAX($AF21,SUM($F21:M21)-$E21-SUM($S21:Y21)),0)</f>
        <v>2509.6642019999999</v>
      </c>
      <c r="AA21" s="5">
        <f>IF(SUM($F21:N21)-$E21-SUM($S21:Z21)&gt;0,MAX($AF21,SUM($F21:N21)-$E21-SUM($S21:Z21)),0)</f>
        <v>2295.5889800000004</v>
      </c>
      <c r="AB21" s="5">
        <f>IF(SUM($F21:O21)-$E21-SUM($S21:AA21)&gt;0,MAX($AF21,SUM($F21:O21)-$E21-SUM($S21:AA21)),0)</f>
        <v>1939.6122000000032</v>
      </c>
      <c r="AC21" s="5">
        <f>IF(SUM($F21:P21)-$E21-SUM($S21:AB21)&gt;0,MAX($AF21,SUM($F21:P21)-$E21-SUM($S21:AB21)),0)</f>
        <v>3639.5840040000039</v>
      </c>
      <c r="AD21" s="5">
        <f>IF(SUM($F21:Q21)-$E21-SUM($S21:AC21)&gt;0,MAX($AF21,SUM($F21:Q21)-$E21-SUM($S21:AC21)),0)</f>
        <v>8050.474000000002</v>
      </c>
      <c r="AE21" s="5">
        <f t="shared" si="1"/>
        <v>48747.157244957445</v>
      </c>
      <c r="AF21" s="5">
        <v>0</v>
      </c>
      <c r="AG21" s="1"/>
    </row>
    <row r="22" spans="1:33">
      <c r="A22" s="1" t="s">
        <v>101</v>
      </c>
      <c r="B22" s="1" t="s">
        <v>102</v>
      </c>
      <c r="C22" s="1" t="s">
        <v>3</v>
      </c>
      <c r="D22" s="1" t="s">
        <v>390</v>
      </c>
      <c r="E22" s="5">
        <v>505.66193124819819</v>
      </c>
      <c r="F22" s="5">
        <v>0</v>
      </c>
      <c r="G22" s="5">
        <v>0</v>
      </c>
      <c r="H22" s="5">
        <v>13.23</v>
      </c>
      <c r="I22" s="5">
        <v>13.545</v>
      </c>
      <c r="J22" s="5">
        <v>17.010000000000002</v>
      </c>
      <c r="K22" s="5">
        <v>13.545</v>
      </c>
      <c r="L22" s="5">
        <v>13.545</v>
      </c>
      <c r="M22" s="5">
        <v>0</v>
      </c>
      <c r="N22" s="5">
        <v>0</v>
      </c>
      <c r="O22" s="5">
        <v>0</v>
      </c>
      <c r="P22" s="5">
        <v>24.504999999999999</v>
      </c>
      <c r="Q22" s="5">
        <v>65.974999999999994</v>
      </c>
      <c r="R22" s="5">
        <f t="shared" si="0"/>
        <v>161.35499999999999</v>
      </c>
      <c r="S22" s="5">
        <f>IF(SUM($F22:F22)-$E22-0&gt;0,MAX($AF22,SUM($F22:F22)-$E22-0),0)</f>
        <v>0</v>
      </c>
      <c r="T22" s="5">
        <f>IF(SUM($F22:G22)-$E22-SUM($S22:S22)&gt;0,MAX($AF22,SUM($F22:G22)-$E22-SUM($S22:S22)),0)</f>
        <v>0</v>
      </c>
      <c r="U22" s="5">
        <f>IF(SUM($F22:H22)-$E22-SUM($S22:T22)&gt;0,MAX($AF22,SUM($F22:H22)-$E22-SUM($S22:T22)),0)</f>
        <v>0</v>
      </c>
      <c r="V22" s="5">
        <f>IF(SUM($F22:I22)-$E22-SUM($S22:U22)&gt;0,MAX($AF22,SUM($F22:I22)-$E22-SUM($S22:U22)),0)</f>
        <v>0</v>
      </c>
      <c r="W22" s="5">
        <f>IF(SUM($F22:J22)-$E22-SUM($S22:V22)&gt;0,MAX($AF22,SUM($F22:J22)-$E22-SUM($S22:V22)),0)</f>
        <v>0</v>
      </c>
      <c r="X22" s="5">
        <f>IF(SUM($F22:K22)-$E22-SUM($S22:W22)&gt;0,MAX($AF22,SUM($F22:K22)-$E22-SUM($S22:W22)),0)</f>
        <v>0</v>
      </c>
      <c r="Y22" s="5">
        <f>IF(SUM($F22:L22)-$E22-SUM($S22:X22)&gt;0,MAX($AF22,SUM($F22:L22)-$E22-SUM($S22:X22)),0)</f>
        <v>0</v>
      </c>
      <c r="Z22" s="5">
        <f>IF(SUM($F22:M22)-$E22-SUM($S22:Y22)&gt;0,MAX($AF22,SUM($F22:M22)-$E22-SUM($S22:Y22)),0)</f>
        <v>0</v>
      </c>
      <c r="AA22" s="5">
        <f>IF(SUM($F22:N22)-$E22-SUM($S22:Z22)&gt;0,MAX($AF22,SUM($F22:N22)-$E22-SUM($S22:Z22)),0)</f>
        <v>0</v>
      </c>
      <c r="AB22" s="5">
        <f>IF(SUM($F22:O22)-$E22-SUM($S22:AA22)&gt;0,MAX($AF22,SUM($F22:O22)-$E22-SUM($S22:AA22)),0)</f>
        <v>0</v>
      </c>
      <c r="AC22" s="5">
        <f>IF(SUM($F22:P22)-$E22-SUM($S22:AB22)&gt;0,MAX($AF22,SUM($F22:P22)-$E22-SUM($S22:AB22)),0)</f>
        <v>0</v>
      </c>
      <c r="AD22" s="5">
        <f>IF(SUM($F22:Q22)-$E22-SUM($S22:AC22)&gt;0,MAX($AF22,SUM($F22:Q22)-$E22-SUM($S22:AC22)),0)</f>
        <v>0</v>
      </c>
      <c r="AE22" s="5">
        <f t="shared" si="1"/>
        <v>0</v>
      </c>
      <c r="AF22" s="5">
        <v>0</v>
      </c>
      <c r="AG22" s="1"/>
    </row>
    <row r="23" spans="1:33">
      <c r="A23" s="1" t="s">
        <v>103</v>
      </c>
      <c r="B23" s="1" t="s">
        <v>104</v>
      </c>
      <c r="C23" s="1" t="s">
        <v>3</v>
      </c>
      <c r="D23" s="1" t="s">
        <v>390</v>
      </c>
      <c r="E23" s="5">
        <v>85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26.25</v>
      </c>
      <c r="N23" s="5">
        <v>38.125</v>
      </c>
      <c r="O23" s="5">
        <v>0</v>
      </c>
      <c r="P23" s="5">
        <v>14.25</v>
      </c>
      <c r="Q23" s="5">
        <v>25.625</v>
      </c>
      <c r="R23" s="5">
        <f t="shared" si="0"/>
        <v>104.25</v>
      </c>
      <c r="S23" s="5">
        <f>IF(SUM($F23:F23)-$E23-0&gt;0,MAX($AF23,SUM($F23:F23)-$E23-0),0)</f>
        <v>0</v>
      </c>
      <c r="T23" s="5">
        <f>IF(SUM($F23:G23)-$E23-SUM($S23:S23)&gt;0,MAX($AF23,SUM($F23:G23)-$E23-SUM($S23:S23)),0)</f>
        <v>0</v>
      </c>
      <c r="U23" s="5">
        <f>IF(SUM($F23:H23)-$E23-SUM($S23:T23)&gt;0,MAX($AF23,SUM($F23:H23)-$E23-SUM($S23:T23)),0)</f>
        <v>0</v>
      </c>
      <c r="V23" s="5">
        <f>IF(SUM($F23:I23)-$E23-SUM($S23:U23)&gt;0,MAX($AF23,SUM($F23:I23)-$E23-SUM($S23:U23)),0)</f>
        <v>0</v>
      </c>
      <c r="W23" s="5">
        <f>IF(SUM($F23:J23)-$E23-SUM($S23:V23)&gt;0,MAX($AF23,SUM($F23:J23)-$E23-SUM($S23:V23)),0)</f>
        <v>0</v>
      </c>
      <c r="X23" s="5">
        <f>IF(SUM($F23:K23)-$E23-SUM($S23:W23)&gt;0,MAX($AF23,SUM($F23:K23)-$E23-SUM($S23:W23)),0)</f>
        <v>0</v>
      </c>
      <c r="Y23" s="5">
        <f>IF(SUM($F23:L23)-$E23-SUM($S23:X23)&gt;0,MAX($AF23,SUM($F23:L23)-$E23-SUM($S23:X23)),0)</f>
        <v>0</v>
      </c>
      <c r="Z23" s="5">
        <f>IF(SUM($F23:M23)-$E23-SUM($S23:Y23)&gt;0,MAX($AF23,SUM($F23:M23)-$E23-SUM($S23:Y23)),0)</f>
        <v>0</v>
      </c>
      <c r="AA23" s="5">
        <f>IF(SUM($F23:N23)-$E23-SUM($S23:Z23)&gt;0,MAX($AF23,SUM($F23:N23)-$E23-SUM($S23:Z23)),0)</f>
        <v>0</v>
      </c>
      <c r="AB23" s="5">
        <f>IF(SUM($F23:O23)-$E23-SUM($S23:AA23)&gt;0,MAX($AF23,SUM($F23:O23)-$E23-SUM($S23:AA23)),0)</f>
        <v>0</v>
      </c>
      <c r="AC23" s="5">
        <f>IF(SUM($F23:P23)-$E23-SUM($S23:AB23)&gt;0,MAX($AF23,SUM($F23:P23)-$E23-SUM($S23:AB23)),0)</f>
        <v>0</v>
      </c>
      <c r="AD23" s="5">
        <f>IF(SUM($F23:Q23)-$E23-SUM($S23:AC23)&gt;0,MAX($AF23,SUM($F23:Q23)-$E23-SUM($S23:AC23)),0)</f>
        <v>19.25</v>
      </c>
      <c r="AE23" s="5">
        <f t="shared" si="1"/>
        <v>19.25</v>
      </c>
      <c r="AF23" s="5">
        <v>0</v>
      </c>
      <c r="AG23" s="1"/>
    </row>
    <row r="24" spans="1:33">
      <c r="A24" s="1" t="s">
        <v>105</v>
      </c>
      <c r="B24" s="1" t="s">
        <v>106</v>
      </c>
      <c r="C24" s="1" t="s">
        <v>3</v>
      </c>
      <c r="D24" s="1" t="s">
        <v>390</v>
      </c>
      <c r="E24" s="5">
        <v>3023.5708072291759</v>
      </c>
      <c r="F24" s="5">
        <v>781.67250000000001</v>
      </c>
      <c r="G24" s="5">
        <v>613.89300000000003</v>
      </c>
      <c r="H24" s="5">
        <v>24.131790596079078</v>
      </c>
      <c r="I24" s="5">
        <v>857.18499999999995</v>
      </c>
      <c r="J24" s="5">
        <v>2213.1025</v>
      </c>
      <c r="K24" s="5">
        <v>455.98</v>
      </c>
      <c r="L24" s="5">
        <v>176.75</v>
      </c>
      <c r="M24" s="5">
        <v>244.09350000000001</v>
      </c>
      <c r="N24" s="5">
        <v>1622.3025</v>
      </c>
      <c r="O24" s="5">
        <v>115.5</v>
      </c>
      <c r="P24" s="5">
        <v>217.476</v>
      </c>
      <c r="Q24" s="5">
        <v>1621.375</v>
      </c>
      <c r="R24" s="5">
        <f t="shared" si="0"/>
        <v>8943.4617905960786</v>
      </c>
      <c r="S24" s="5">
        <f>IF(SUM($F24:F24)-$E24-0&gt;0,MAX($AF24,SUM($F24:F24)-$E24-0),0)</f>
        <v>0</v>
      </c>
      <c r="T24" s="5">
        <f>IF(SUM($F24:G24)-$E24-SUM($S24:S24)&gt;0,MAX($AF24,SUM($F24:G24)-$E24-SUM($S24:S24)),0)</f>
        <v>0</v>
      </c>
      <c r="U24" s="5">
        <f>IF(SUM($F24:H24)-$E24-SUM($S24:T24)&gt;0,MAX($AF24,SUM($F24:H24)-$E24-SUM($S24:T24)),0)</f>
        <v>0</v>
      </c>
      <c r="V24" s="5">
        <f>IF(SUM($F24:I24)-$E24-SUM($S24:U24)&gt;0,MAX($AF24,SUM($F24:I24)-$E24-SUM($S24:U24)),0)</f>
        <v>0</v>
      </c>
      <c r="W24" s="5">
        <f>IF(SUM($F24:J24)-$E24-SUM($S24:V24)&gt;0,MAX($AF24,SUM($F24:J24)-$E24-SUM($S24:V24)),0)</f>
        <v>1466.4139833669037</v>
      </c>
      <c r="X24" s="5">
        <f>IF(SUM($F24:K24)-$E24-SUM($S24:W24)&gt;0,MAX($AF24,SUM($F24:K24)-$E24-SUM($S24:W24)),0)</f>
        <v>455.97999999999956</v>
      </c>
      <c r="Y24" s="5">
        <f>IF(SUM($F24:L24)-$E24-SUM($S24:X24)&gt;0,MAX($AF24,SUM($F24:L24)-$E24-SUM($S24:X24)),0)</f>
        <v>176.75</v>
      </c>
      <c r="Z24" s="5">
        <f>IF(SUM($F24:M24)-$E24-SUM($S24:Y24)&gt;0,MAX($AF24,SUM($F24:M24)-$E24-SUM($S24:Y24)),0)</f>
        <v>244.09349999999995</v>
      </c>
      <c r="AA24" s="5">
        <f>IF(SUM($F24:N24)-$E24-SUM($S24:Z24)&gt;0,MAX($AF24,SUM($F24:N24)-$E24-SUM($S24:Z24)),0)</f>
        <v>1622.3024999999998</v>
      </c>
      <c r="AB24" s="5">
        <f>IF(SUM($F24:O24)-$E24-SUM($S24:AA24)&gt;0,MAX($AF24,SUM($F24:O24)-$E24-SUM($S24:AA24)),0)</f>
        <v>115.5</v>
      </c>
      <c r="AC24" s="5">
        <f>IF(SUM($F24:P24)-$E24-SUM($S24:AB24)&gt;0,MAX($AF24,SUM($F24:P24)-$E24-SUM($S24:AB24)),0)</f>
        <v>217.4759999999992</v>
      </c>
      <c r="AD24" s="5">
        <f>IF(SUM($F24:Q24)-$E24-SUM($S24:AC24)&gt;0,MAX($AF24,SUM($F24:Q24)-$E24-SUM($S24:AC24)),0)</f>
        <v>1621.375</v>
      </c>
      <c r="AE24" s="5">
        <f t="shared" si="1"/>
        <v>5919.8909833669022</v>
      </c>
      <c r="AF24" s="5">
        <v>0</v>
      </c>
      <c r="AG24" s="1"/>
    </row>
    <row r="25" spans="1:33">
      <c r="A25" s="1" t="s">
        <v>107</v>
      </c>
      <c r="B25" s="1" t="s">
        <v>108</v>
      </c>
      <c r="C25" s="1" t="s">
        <v>3</v>
      </c>
      <c r="D25" s="1" t="s">
        <v>390</v>
      </c>
      <c r="E25" s="5">
        <v>0</v>
      </c>
      <c r="F25" s="5">
        <v>25397.464371670812</v>
      </c>
      <c r="G25" s="5">
        <v>22007.044362713103</v>
      </c>
      <c r="H25" s="5">
        <v>10618.181600787797</v>
      </c>
      <c r="I25" s="5">
        <v>19340.264999999999</v>
      </c>
      <c r="J25" s="5">
        <v>17184.147580753961</v>
      </c>
      <c r="K25" s="5">
        <v>26787.013999999999</v>
      </c>
      <c r="L25" s="5">
        <v>15774.765000000001</v>
      </c>
      <c r="M25" s="5">
        <v>13030.73</v>
      </c>
      <c r="N25" s="5">
        <v>5977.6799999999994</v>
      </c>
      <c r="O25" s="5">
        <v>8141.4279999999999</v>
      </c>
      <c r="P25" s="5">
        <v>14739.139000000003</v>
      </c>
      <c r="Q25" s="5">
        <v>1248.6310000000001</v>
      </c>
      <c r="R25" s="5">
        <f t="shared" si="0"/>
        <v>180246.48991592569</v>
      </c>
      <c r="S25" s="5">
        <f>IF(SUM($F25:F25)-$E25-0&gt;0,MAX($AF25,SUM($F25:F25)-$E25-0),0)</f>
        <v>25397.464371670812</v>
      </c>
      <c r="T25" s="5">
        <f>IF(SUM($F25:G25)-$E25-SUM($S25:S25)&gt;0,MAX($AF25,SUM($F25:G25)-$E25-SUM($S25:S25)),0)</f>
        <v>22007.044362713099</v>
      </c>
      <c r="U25" s="5">
        <f>IF(SUM($F25:H25)-$E25-SUM($S25:T25)&gt;0,MAX($AF25,SUM($F25:H25)-$E25-SUM($S25:T25)),0)</f>
        <v>10618.181600787793</v>
      </c>
      <c r="V25" s="5">
        <f>IF(SUM($F25:I25)-$E25-SUM($S25:U25)&gt;0,MAX($AF25,SUM($F25:I25)-$E25-SUM($S25:U25)),0)</f>
        <v>19340.264999999999</v>
      </c>
      <c r="W25" s="5">
        <f>IF(SUM($F25:J25)-$E25-SUM($S25:V25)&gt;0,MAX($AF25,SUM($F25:J25)-$E25-SUM($S25:V25)),0)</f>
        <v>17184.147580753968</v>
      </c>
      <c r="X25" s="5">
        <f>IF(SUM($F25:K25)-$E25-SUM($S25:W25)&gt;0,MAX($AF25,SUM($F25:K25)-$E25-SUM($S25:W25)),0)</f>
        <v>26787.013999999996</v>
      </c>
      <c r="Y25" s="5">
        <f>IF(SUM($F25:L25)-$E25-SUM($S25:X25)&gt;0,MAX($AF25,SUM($F25:L25)-$E25-SUM($S25:X25)),0)</f>
        <v>15774.765000000014</v>
      </c>
      <c r="Z25" s="5">
        <f>IF(SUM($F25:M25)-$E25-SUM($S25:Y25)&gt;0,MAX($AF25,SUM($F25:M25)-$E25-SUM($S25:Y25)),0)</f>
        <v>13030.73000000001</v>
      </c>
      <c r="AA25" s="5">
        <f>IF(SUM($F25:N25)-$E25-SUM($S25:Z25)&gt;0,MAX($AF25,SUM($F25:N25)-$E25-SUM($S25:Z25)),0)</f>
        <v>5977.679999999993</v>
      </c>
      <c r="AB25" s="5">
        <f>IF(SUM($F25:O25)-$E25-SUM($S25:AA25)&gt;0,MAX($AF25,SUM($F25:O25)-$E25-SUM($S25:AA25)),0)</f>
        <v>8141.4280000000144</v>
      </c>
      <c r="AC25" s="5">
        <f>IF(SUM($F25:P25)-$E25-SUM($S25:AB25)&gt;0,MAX($AF25,SUM($F25:P25)-$E25-SUM($S25:AB25)),0)</f>
        <v>14739.138999999996</v>
      </c>
      <c r="AD25" s="5">
        <f>IF(SUM($F25:Q25)-$E25-SUM($S25:AC25)&gt;0,MAX($AF25,SUM($F25:Q25)-$E25-SUM($S25:AC25)),0)</f>
        <v>1248.6309999999939</v>
      </c>
      <c r="AE25" s="5">
        <f t="shared" si="1"/>
        <v>180246.48991592569</v>
      </c>
      <c r="AF25" s="5">
        <v>0</v>
      </c>
      <c r="AG25" s="1"/>
    </row>
    <row r="26" spans="1:33">
      <c r="A26" s="1" t="s">
        <v>109</v>
      </c>
      <c r="B26" s="1" t="s">
        <v>110</v>
      </c>
      <c r="C26" s="1" t="s">
        <v>3</v>
      </c>
      <c r="D26" s="1" t="s">
        <v>390</v>
      </c>
      <c r="E26" s="5">
        <v>0</v>
      </c>
      <c r="F26" s="5">
        <v>3180.85</v>
      </c>
      <c r="G26" s="5">
        <v>0</v>
      </c>
      <c r="H26" s="5">
        <v>0</v>
      </c>
      <c r="I26" s="5">
        <v>0</v>
      </c>
      <c r="J26" s="5">
        <v>3179.6</v>
      </c>
      <c r="K26" s="5">
        <v>1714.6</v>
      </c>
      <c r="L26" s="5">
        <v>150</v>
      </c>
      <c r="M26" s="5">
        <v>1650</v>
      </c>
      <c r="N26" s="5">
        <v>3007.5</v>
      </c>
      <c r="O26" s="5">
        <v>1541.7</v>
      </c>
      <c r="P26" s="5">
        <v>3045.45</v>
      </c>
      <c r="Q26" s="5">
        <v>17167.05</v>
      </c>
      <c r="R26" s="5">
        <f t="shared" si="0"/>
        <v>34636.75</v>
      </c>
      <c r="S26" s="5">
        <f>IF(SUM($F26:F26)-$E26-0&gt;0,MAX($AF26,SUM($F26:F26)-$E26-0),0)</f>
        <v>3180.85</v>
      </c>
      <c r="T26" s="5">
        <f>IF(SUM($F26:G26)-$E26-SUM($S26:S26)&gt;0,MAX($AF26,SUM($F26:G26)-$E26-SUM($S26:S26)),0)</f>
        <v>0</v>
      </c>
      <c r="U26" s="5">
        <f>IF(SUM($F26:H26)-$E26-SUM($S26:T26)&gt;0,MAX($AF26,SUM($F26:H26)-$E26-SUM($S26:T26)),0)</f>
        <v>0</v>
      </c>
      <c r="V26" s="5">
        <f>IF(SUM($F26:I26)-$E26-SUM($S26:U26)&gt;0,MAX($AF26,SUM($F26:I26)-$E26-SUM($S26:U26)),0)</f>
        <v>0</v>
      </c>
      <c r="W26" s="5">
        <f>IF(SUM($F26:J26)-$E26-SUM($S26:V26)&gt;0,MAX($AF26,SUM($F26:J26)-$E26-SUM($S26:V26)),0)</f>
        <v>3179.6</v>
      </c>
      <c r="X26" s="5">
        <f>IF(SUM($F26:K26)-$E26-SUM($S26:W26)&gt;0,MAX($AF26,SUM($F26:K26)-$E26-SUM($S26:W26)),0)</f>
        <v>1714.5999999999995</v>
      </c>
      <c r="Y26" s="5">
        <f>IF(SUM($F26:L26)-$E26-SUM($S26:X26)&gt;0,MAX($AF26,SUM($F26:L26)-$E26-SUM($S26:X26)),0)</f>
        <v>150</v>
      </c>
      <c r="Z26" s="5">
        <f>IF(SUM($F26:M26)-$E26-SUM($S26:Y26)&gt;0,MAX($AF26,SUM($F26:M26)-$E26-SUM($S26:Y26)),0)</f>
        <v>1650</v>
      </c>
      <c r="AA26" s="5">
        <f>IF(SUM($F26:N26)-$E26-SUM($S26:Z26)&gt;0,MAX($AF26,SUM($F26:N26)-$E26-SUM($S26:Z26)),0)</f>
        <v>3007.5</v>
      </c>
      <c r="AB26" s="5">
        <f>IF(SUM($F26:O26)-$E26-SUM($S26:AA26)&gt;0,MAX($AF26,SUM($F26:O26)-$E26-SUM($S26:AA26)),0)</f>
        <v>1541.7000000000007</v>
      </c>
      <c r="AC26" s="5">
        <f>IF(SUM($F26:P26)-$E26-SUM($S26:AB26)&gt;0,MAX($AF26,SUM($F26:P26)-$E26-SUM($S26:AB26)),0)</f>
        <v>3045.4500000000007</v>
      </c>
      <c r="AD26" s="5">
        <f>IF(SUM($F26:Q26)-$E26-SUM($S26:AC26)&gt;0,MAX($AF26,SUM($F26:Q26)-$E26-SUM($S26:AC26)),0)</f>
        <v>17167.05</v>
      </c>
      <c r="AE26" s="5">
        <f t="shared" si="1"/>
        <v>34636.75</v>
      </c>
      <c r="AF26" s="5">
        <v>0</v>
      </c>
      <c r="AG26" s="1"/>
    </row>
    <row r="27" spans="1:33">
      <c r="A27" s="1" t="s">
        <v>111</v>
      </c>
      <c r="B27" s="1" t="s">
        <v>112</v>
      </c>
      <c r="C27" s="1" t="s">
        <v>3</v>
      </c>
      <c r="D27" s="1" t="s">
        <v>390</v>
      </c>
      <c r="E27" s="5">
        <v>0</v>
      </c>
      <c r="F27" s="5">
        <v>0</v>
      </c>
      <c r="G27" s="5">
        <v>0</v>
      </c>
      <c r="H27" s="5">
        <v>143808</v>
      </c>
      <c r="I27" s="5">
        <v>95849.600000000006</v>
      </c>
      <c r="J27" s="5">
        <v>23945.599999999999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f t="shared" si="0"/>
        <v>263603.20000000001</v>
      </c>
      <c r="S27" s="5">
        <f>IF(SUM($F27:F27)-$E27-0&gt;0,MAX($AF27,SUM($F27:F27)-$E27-0),0)</f>
        <v>0</v>
      </c>
      <c r="T27" s="5">
        <f>IF(SUM($F27:G27)-$E27-SUM($S27:S27)&gt;0,MAX($AF27,SUM($F27:G27)-$E27-SUM($S27:S27)),0)</f>
        <v>0</v>
      </c>
      <c r="U27" s="5">
        <f>IF(SUM($F27:H27)-$E27-SUM($S27:T27)&gt;0,MAX($AF27,SUM($F27:H27)-$E27-SUM($S27:T27)),0)</f>
        <v>143808</v>
      </c>
      <c r="V27" s="5">
        <f>IF(SUM($F27:I27)-$E27-SUM($S27:U27)&gt;0,MAX($AF27,SUM($F27:I27)-$E27-SUM($S27:U27)),0)</f>
        <v>95849.600000000006</v>
      </c>
      <c r="W27" s="5">
        <f>IF(SUM($F27:J27)-$E27-SUM($S27:V27)&gt;0,MAX($AF27,SUM($F27:J27)-$E27-SUM($S27:V27)),0)</f>
        <v>23945.600000000006</v>
      </c>
      <c r="X27" s="5">
        <f>IF(SUM($F27:K27)-$E27-SUM($S27:W27)&gt;0,MAX($AF27,SUM($F27:K27)-$E27-SUM($S27:W27)),0)</f>
        <v>0</v>
      </c>
      <c r="Y27" s="5">
        <f>IF(SUM($F27:L27)-$E27-SUM($S27:X27)&gt;0,MAX($AF27,SUM($F27:L27)-$E27-SUM($S27:X27)),0)</f>
        <v>0</v>
      </c>
      <c r="Z27" s="5">
        <f>IF(SUM($F27:M27)-$E27-SUM($S27:Y27)&gt;0,MAX($AF27,SUM($F27:M27)-$E27-SUM($S27:Y27)),0)</f>
        <v>0</v>
      </c>
      <c r="AA27" s="5">
        <f>IF(SUM($F27:N27)-$E27-SUM($S27:Z27)&gt;0,MAX($AF27,SUM($F27:N27)-$E27-SUM($S27:Z27)),0)</f>
        <v>0</v>
      </c>
      <c r="AB27" s="5">
        <f>IF(SUM($F27:O27)-$E27-SUM($S27:AA27)&gt;0,MAX($AF27,SUM($F27:O27)-$E27-SUM($S27:AA27)),0)</f>
        <v>0</v>
      </c>
      <c r="AC27" s="5">
        <f>IF(SUM($F27:P27)-$E27-SUM($S27:AB27)&gt;0,MAX($AF27,SUM($F27:P27)-$E27-SUM($S27:AB27)),0)</f>
        <v>0</v>
      </c>
      <c r="AD27" s="5">
        <f>IF(SUM($F27:Q27)-$E27-SUM($S27:AC27)&gt;0,MAX($AF27,SUM($F27:Q27)-$E27-SUM($S27:AC27)),0)</f>
        <v>0</v>
      </c>
      <c r="AE27" s="5">
        <f t="shared" si="1"/>
        <v>263603.20000000001</v>
      </c>
      <c r="AF27" s="5">
        <v>0</v>
      </c>
      <c r="AG27" s="1"/>
    </row>
    <row r="28" spans="1:33">
      <c r="A28" s="1" t="s">
        <v>113</v>
      </c>
      <c r="B28" s="1" t="s">
        <v>114</v>
      </c>
      <c r="C28" s="1" t="s">
        <v>3</v>
      </c>
      <c r="D28" s="1" t="s">
        <v>390</v>
      </c>
      <c r="E28" s="5">
        <v>0</v>
      </c>
      <c r="F28" s="5">
        <v>753.08977414895571</v>
      </c>
      <c r="G28" s="5">
        <v>247.11707046830463</v>
      </c>
      <c r="H28" s="5">
        <v>1207.0500000000002</v>
      </c>
      <c r="I28" s="5">
        <v>34.32</v>
      </c>
      <c r="J28" s="5">
        <v>356.07</v>
      </c>
      <c r="K28" s="5">
        <v>1212.8219999999999</v>
      </c>
      <c r="L28" s="5">
        <v>169.26</v>
      </c>
      <c r="M28" s="5">
        <v>449.28</v>
      </c>
      <c r="N28" s="5">
        <v>0</v>
      </c>
      <c r="O28" s="5">
        <v>740.53200000000004</v>
      </c>
      <c r="P28" s="5">
        <v>934.12800000000004</v>
      </c>
      <c r="Q28" s="5">
        <v>128.54400000000001</v>
      </c>
      <c r="R28" s="5">
        <f t="shared" si="0"/>
        <v>6232.2128446172601</v>
      </c>
      <c r="S28" s="5">
        <f>IF(SUM($F28:F28)-$E28-0&gt;0,MAX($AF28,SUM($F28:F28)-$E28-0),0)</f>
        <v>753.08977414895571</v>
      </c>
      <c r="T28" s="5">
        <f>IF(SUM($F28:G28)-$E28-SUM($S28:S28)&gt;0,MAX($AF28,SUM($F28:G28)-$E28-SUM($S28:S28)),0)</f>
        <v>247.11707046830463</v>
      </c>
      <c r="U28" s="5">
        <f>IF(SUM($F28:H28)-$E28-SUM($S28:T28)&gt;0,MAX($AF28,SUM($F28:H28)-$E28-SUM($S28:T28)),0)</f>
        <v>1207.0500000000002</v>
      </c>
      <c r="V28" s="5">
        <f>IF(SUM($F28:I28)-$E28-SUM($S28:U28)&gt;0,MAX($AF28,SUM($F28:I28)-$E28-SUM($S28:U28)),0)</f>
        <v>34.320000000000164</v>
      </c>
      <c r="W28" s="5">
        <f>IF(SUM($F28:J28)-$E28-SUM($S28:V28)&gt;0,MAX($AF28,SUM($F28:J28)-$E28-SUM($S28:V28)),0)</f>
        <v>356.07000000000016</v>
      </c>
      <c r="X28" s="5">
        <f>IF(SUM($F28:K28)-$E28-SUM($S28:W28)&gt;0,MAX($AF28,SUM($F28:K28)-$E28-SUM($S28:W28)),0)</f>
        <v>1212.8219999999997</v>
      </c>
      <c r="Y28" s="5">
        <f>IF(SUM($F28:L28)-$E28-SUM($S28:X28)&gt;0,MAX($AF28,SUM($F28:L28)-$E28-SUM($S28:X28)),0)</f>
        <v>169.26000000000022</v>
      </c>
      <c r="Z28" s="5">
        <f>IF(SUM($F28:M28)-$E28-SUM($S28:Y28)&gt;0,MAX($AF28,SUM($F28:M28)-$E28-SUM($S28:Y28)),0)</f>
        <v>449.27999999999975</v>
      </c>
      <c r="AA28" s="5">
        <f>IF(SUM($F28:N28)-$E28-SUM($S28:Z28)&gt;0,MAX($AF28,SUM($F28:N28)-$E28-SUM($S28:Z28)),0)</f>
        <v>0</v>
      </c>
      <c r="AB28" s="5">
        <f>IF(SUM($F28:O28)-$E28-SUM($S28:AA28)&gt;0,MAX($AF28,SUM($F28:O28)-$E28-SUM($S28:AA28)),0)</f>
        <v>740.53200000000015</v>
      </c>
      <c r="AC28" s="5">
        <f>IF(SUM($F28:P28)-$E28-SUM($S28:AB28)&gt;0,MAX($AF28,SUM($F28:P28)-$E28-SUM($S28:AB28)),0)</f>
        <v>934.1279999999997</v>
      </c>
      <c r="AD28" s="5">
        <f>IF(SUM($F28:Q28)-$E28-SUM($S28:AC28)&gt;0,MAX($AF28,SUM($F28:Q28)-$E28-SUM($S28:AC28)),0)</f>
        <v>128.54399999999987</v>
      </c>
      <c r="AE28" s="5">
        <f t="shared" si="1"/>
        <v>6232.2128446172601</v>
      </c>
      <c r="AF28" s="5">
        <v>0</v>
      </c>
      <c r="AG28" s="1"/>
    </row>
    <row r="29" spans="1:33">
      <c r="A29" s="1" t="s">
        <v>115</v>
      </c>
      <c r="B29" s="1" t="s">
        <v>116</v>
      </c>
      <c r="C29" s="1" t="s">
        <v>3</v>
      </c>
      <c r="D29" s="1" t="s">
        <v>390</v>
      </c>
      <c r="E29" s="5">
        <v>0</v>
      </c>
      <c r="F29" s="5">
        <v>0</v>
      </c>
      <c r="G29" s="5">
        <v>0</v>
      </c>
      <c r="H29" s="5">
        <v>3.1381868736145262</v>
      </c>
      <c r="I29" s="5">
        <v>0</v>
      </c>
      <c r="J29" s="5">
        <v>11.135</v>
      </c>
      <c r="K29" s="5">
        <v>2.04</v>
      </c>
      <c r="L29" s="5">
        <v>0</v>
      </c>
      <c r="M29" s="5">
        <v>0</v>
      </c>
      <c r="N29" s="5">
        <v>0</v>
      </c>
      <c r="O29" s="5">
        <v>3.91</v>
      </c>
      <c r="P29" s="5">
        <v>0</v>
      </c>
      <c r="Q29" s="5">
        <v>0</v>
      </c>
      <c r="R29" s="5">
        <f t="shared" si="0"/>
        <v>20.223186873614527</v>
      </c>
      <c r="S29" s="5">
        <f>IF(SUM($F29:F29)-$E29-0&gt;0,MAX($AF29,SUM($F29:F29)-$E29-0),0)</f>
        <v>0</v>
      </c>
      <c r="T29" s="5">
        <f>IF(SUM($F29:G29)-$E29-SUM($S29:S29)&gt;0,MAX($AF29,SUM($F29:G29)-$E29-SUM($S29:S29)),0)</f>
        <v>0</v>
      </c>
      <c r="U29" s="5">
        <f>IF(SUM($F29:H29)-$E29-SUM($S29:T29)&gt;0,MAX($AF29,SUM($F29:H29)-$E29-SUM($S29:T29)),0)</f>
        <v>500</v>
      </c>
      <c r="V29" s="5">
        <f>IF(SUM($F29:I29)-$E29-SUM($S29:U29)&gt;0,MAX($AF29,SUM($F29:I29)-$E29-SUM($S29:U29)),0)</f>
        <v>0</v>
      </c>
      <c r="W29" s="5">
        <f>IF(SUM($F29:J29)-$E29-SUM($S29:V29)&gt;0,MAX($AF29,SUM($F29:J29)-$E29-SUM($S29:V29)),0)</f>
        <v>0</v>
      </c>
      <c r="X29" s="5">
        <f>IF(SUM($F29:K29)-$E29-SUM($S29:W29)&gt;0,MAX($AF29,SUM($F29:K29)-$E29-SUM($S29:W29)),0)</f>
        <v>0</v>
      </c>
      <c r="Y29" s="5">
        <f>IF(SUM($F29:L29)-$E29-SUM($S29:X29)&gt;0,MAX($AF29,SUM($F29:L29)-$E29-SUM($S29:X29)),0)</f>
        <v>0</v>
      </c>
      <c r="Z29" s="5">
        <f>IF(SUM($F29:M29)-$E29-SUM($S29:Y29)&gt;0,MAX($AF29,SUM($F29:M29)-$E29-SUM($S29:Y29)),0)</f>
        <v>0</v>
      </c>
      <c r="AA29" s="5">
        <f>IF(SUM($F29:N29)-$E29-SUM($S29:Z29)&gt;0,MAX($AF29,SUM($F29:N29)-$E29-SUM($S29:Z29)),0)</f>
        <v>0</v>
      </c>
      <c r="AB29" s="5">
        <f>IF(SUM($F29:O29)-$E29-SUM($S29:AA29)&gt;0,MAX($AF29,SUM($F29:O29)-$E29-SUM($S29:AA29)),0)</f>
        <v>0</v>
      </c>
      <c r="AC29" s="5">
        <f>IF(SUM($F29:P29)-$E29-SUM($S29:AB29)&gt;0,MAX($AF29,SUM($F29:P29)-$E29-SUM($S29:AB29)),0)</f>
        <v>0</v>
      </c>
      <c r="AD29" s="5">
        <f>IF(SUM($F29:Q29)-$E29-SUM($S29:AC29)&gt;0,MAX($AF29,SUM($F29:Q29)-$E29-SUM($S29:AC29)),0)</f>
        <v>0</v>
      </c>
      <c r="AE29" s="5">
        <f t="shared" si="1"/>
        <v>500</v>
      </c>
      <c r="AF29" s="5">
        <v>500</v>
      </c>
      <c r="AG29" s="1" t="s">
        <v>391</v>
      </c>
    </row>
    <row r="30" spans="1:33">
      <c r="A30" s="1" t="s">
        <v>117</v>
      </c>
      <c r="B30" s="1" t="s">
        <v>118</v>
      </c>
      <c r="C30" s="1" t="s">
        <v>3</v>
      </c>
      <c r="D30" s="1" t="s">
        <v>390</v>
      </c>
      <c r="E30" s="5">
        <v>166.51672397129133</v>
      </c>
      <c r="F30" s="5">
        <v>38.015999999999998</v>
      </c>
      <c r="G30" s="5">
        <v>125.79599999999999</v>
      </c>
      <c r="H30" s="5">
        <v>33.880000000000003</v>
      </c>
      <c r="I30" s="5">
        <v>0</v>
      </c>
      <c r="J30" s="5">
        <v>107.71199999999999</v>
      </c>
      <c r="K30" s="5">
        <v>125.84</v>
      </c>
      <c r="L30" s="5">
        <v>44</v>
      </c>
      <c r="M30" s="5">
        <v>0</v>
      </c>
      <c r="N30" s="5">
        <v>0</v>
      </c>
      <c r="O30" s="5">
        <v>18.04</v>
      </c>
      <c r="P30" s="5">
        <v>133.1</v>
      </c>
      <c r="Q30" s="5">
        <v>0</v>
      </c>
      <c r="R30" s="5">
        <f t="shared" si="0"/>
        <v>626.38400000000001</v>
      </c>
      <c r="S30" s="5">
        <f>IF(SUM($F30:F30)-$E30-0&gt;0,MAX($AF30,SUM($F30:F30)-$E30-0),0)</f>
        <v>0</v>
      </c>
      <c r="T30" s="5">
        <f>IF(SUM($F30:G30)-$E30-SUM($S30:S30)&gt;0,MAX($AF30,SUM($F30:G30)-$E30-SUM($S30:S30)),0)</f>
        <v>0</v>
      </c>
      <c r="U30" s="5">
        <f>IF(SUM($F30:H30)-$E30-SUM($S30:T30)&gt;0,MAX($AF30,SUM($F30:H30)-$E30-SUM($S30:T30)),0)</f>
        <v>31.175276028708652</v>
      </c>
      <c r="V30" s="5">
        <f>IF(SUM($F30:I30)-$E30-SUM($S30:U30)&gt;0,MAX($AF30,SUM($F30:I30)-$E30-SUM($S30:U30)),0)</f>
        <v>0</v>
      </c>
      <c r="W30" s="5">
        <f>IF(SUM($F30:J30)-$E30-SUM($S30:V30)&gt;0,MAX($AF30,SUM($F30:J30)-$E30-SUM($S30:V30)),0)</f>
        <v>107.71200000000002</v>
      </c>
      <c r="X30" s="5">
        <f>IF(SUM($F30:K30)-$E30-SUM($S30:W30)&gt;0,MAX($AF30,SUM($F30:K30)-$E30-SUM($S30:W30)),0)</f>
        <v>125.84000000000006</v>
      </c>
      <c r="Y30" s="5">
        <f>IF(SUM($F30:L30)-$E30-SUM($S30:X30)&gt;0,MAX($AF30,SUM($F30:L30)-$E30-SUM($S30:X30)),0)</f>
        <v>44</v>
      </c>
      <c r="Z30" s="5">
        <f>IF(SUM($F30:M30)-$E30-SUM($S30:Y30)&gt;0,MAX($AF30,SUM($F30:M30)-$E30-SUM($S30:Y30)),0)</f>
        <v>0</v>
      </c>
      <c r="AA30" s="5">
        <f>IF(SUM($F30:N30)-$E30-SUM($S30:Z30)&gt;0,MAX($AF30,SUM($F30:N30)-$E30-SUM($S30:Z30)),0)</f>
        <v>0</v>
      </c>
      <c r="AB30" s="5">
        <f>IF(SUM($F30:O30)-$E30-SUM($S30:AA30)&gt;0,MAX($AF30,SUM($F30:O30)-$E30-SUM($S30:AA30)),0)</f>
        <v>18.039999999999964</v>
      </c>
      <c r="AC30" s="5">
        <f>IF(SUM($F30:P30)-$E30-SUM($S30:AB30)&gt;0,MAX($AF30,SUM($F30:P30)-$E30-SUM($S30:AB30)),0)</f>
        <v>133.10000000000002</v>
      </c>
      <c r="AD30" s="5">
        <f>IF(SUM($F30:Q30)-$E30-SUM($S30:AC30)&gt;0,MAX($AF30,SUM($F30:Q30)-$E30-SUM($S30:AC30)),0)</f>
        <v>0</v>
      </c>
      <c r="AE30" s="5">
        <f t="shared" si="1"/>
        <v>459.86727602870872</v>
      </c>
      <c r="AF30" s="5">
        <v>0</v>
      </c>
      <c r="AG30" s="1"/>
    </row>
    <row r="31" spans="1:33">
      <c r="A31" s="1" t="s">
        <v>119</v>
      </c>
      <c r="B31" s="1" t="s">
        <v>120</v>
      </c>
      <c r="C31" s="1" t="s">
        <v>3</v>
      </c>
      <c r="D31" s="1" t="s">
        <v>390</v>
      </c>
      <c r="E31" s="5">
        <v>157.16897325576304</v>
      </c>
      <c r="F31" s="5">
        <v>22.463999999999999</v>
      </c>
      <c r="G31" s="5">
        <v>74.334000000000003</v>
      </c>
      <c r="H31" s="5">
        <v>20.02</v>
      </c>
      <c r="I31" s="5">
        <v>0</v>
      </c>
      <c r="J31" s="5">
        <v>63.647999999999996</v>
      </c>
      <c r="K31" s="5">
        <v>74.36</v>
      </c>
      <c r="L31" s="5">
        <v>26</v>
      </c>
      <c r="M31" s="5">
        <v>0</v>
      </c>
      <c r="N31" s="5">
        <v>0</v>
      </c>
      <c r="O31" s="5">
        <v>10.66</v>
      </c>
      <c r="P31" s="5">
        <v>78.650000000000006</v>
      </c>
      <c r="Q31" s="5">
        <v>0</v>
      </c>
      <c r="R31" s="5">
        <f t="shared" si="0"/>
        <v>370.13600000000008</v>
      </c>
      <c r="S31" s="5">
        <f>IF(SUM($F31:F31)-$E31-0&gt;0,MAX($AF31,SUM($F31:F31)-$E31-0),0)</f>
        <v>0</v>
      </c>
      <c r="T31" s="5">
        <f>IF(SUM($F31:G31)-$E31-SUM($S31:S31)&gt;0,MAX($AF31,SUM($F31:G31)-$E31-SUM($S31:S31)),0)</f>
        <v>0</v>
      </c>
      <c r="U31" s="5">
        <f>IF(SUM($F31:H31)-$E31-SUM($S31:T31)&gt;0,MAX($AF31,SUM($F31:H31)-$E31-SUM($S31:T31)),0)</f>
        <v>0</v>
      </c>
      <c r="V31" s="5">
        <f>IF(SUM($F31:I31)-$E31-SUM($S31:U31)&gt;0,MAX($AF31,SUM($F31:I31)-$E31-SUM($S31:U31)),0)</f>
        <v>0</v>
      </c>
      <c r="W31" s="5">
        <f>IF(SUM($F31:J31)-$E31-SUM($S31:V31)&gt;0,MAX($AF31,SUM($F31:J31)-$E31-SUM($S31:V31)),0)</f>
        <v>23.297026744236973</v>
      </c>
      <c r="X31" s="5">
        <f>IF(SUM($F31:K31)-$E31-SUM($S31:W31)&gt;0,MAX($AF31,SUM($F31:K31)-$E31-SUM($S31:W31)),0)</f>
        <v>74.360000000000014</v>
      </c>
      <c r="Y31" s="5">
        <f>IF(SUM($F31:L31)-$E31-SUM($S31:X31)&gt;0,MAX($AF31,SUM($F31:L31)-$E31-SUM($S31:X31)),0)</f>
        <v>26</v>
      </c>
      <c r="Z31" s="5">
        <f>IF(SUM($F31:M31)-$E31-SUM($S31:Y31)&gt;0,MAX($AF31,SUM($F31:M31)-$E31-SUM($S31:Y31)),0)</f>
        <v>0</v>
      </c>
      <c r="AA31" s="5">
        <f>IF(SUM($F31:N31)-$E31-SUM($S31:Z31)&gt;0,MAX($AF31,SUM($F31:N31)-$E31-SUM($S31:Z31)),0)</f>
        <v>0</v>
      </c>
      <c r="AB31" s="5">
        <f>IF(SUM($F31:O31)-$E31-SUM($S31:AA31)&gt;0,MAX($AF31,SUM($F31:O31)-$E31-SUM($S31:AA31)),0)</f>
        <v>10.660000000000025</v>
      </c>
      <c r="AC31" s="5">
        <f>IF(SUM($F31:P31)-$E31-SUM($S31:AB31)&gt;0,MAX($AF31,SUM($F31:P31)-$E31-SUM($S31:AB31)),0)</f>
        <v>78.650000000000034</v>
      </c>
      <c r="AD31" s="5">
        <f>IF(SUM($F31:Q31)-$E31-SUM($S31:AC31)&gt;0,MAX($AF31,SUM($F31:Q31)-$E31-SUM($S31:AC31)),0)</f>
        <v>0</v>
      </c>
      <c r="AE31" s="5">
        <f t="shared" si="1"/>
        <v>212.96702674423705</v>
      </c>
      <c r="AF31" s="5">
        <v>0</v>
      </c>
      <c r="AG31" s="1"/>
    </row>
    <row r="32" spans="1:33">
      <c r="A32" s="1" t="s">
        <v>121</v>
      </c>
      <c r="B32" s="1" t="s">
        <v>122</v>
      </c>
      <c r="C32" s="1" t="s">
        <v>3</v>
      </c>
      <c r="D32" s="1" t="s">
        <v>390</v>
      </c>
      <c r="E32" s="5">
        <v>0</v>
      </c>
      <c r="F32" s="5">
        <v>1126</v>
      </c>
      <c r="G32" s="5">
        <v>1413.23752915097</v>
      </c>
      <c r="H32" s="5">
        <v>1578.5093592800981</v>
      </c>
      <c r="I32" s="5">
        <v>1889.1599999999999</v>
      </c>
      <c r="J32" s="5">
        <v>1712.1599999999999</v>
      </c>
      <c r="K32" s="5">
        <v>2117</v>
      </c>
      <c r="L32" s="5">
        <v>1614.93</v>
      </c>
      <c r="M32" s="5">
        <v>1019</v>
      </c>
      <c r="N32" s="5">
        <v>623.28</v>
      </c>
      <c r="O32" s="5">
        <v>2503.96</v>
      </c>
      <c r="P32" s="5">
        <v>2793.08</v>
      </c>
      <c r="Q32" s="5">
        <v>925.68</v>
      </c>
      <c r="R32" s="5">
        <f t="shared" si="0"/>
        <v>19315.996888431066</v>
      </c>
      <c r="S32" s="5">
        <f>IF(SUM($F32:F32)-$E32-0&gt;0,MAX($AF32,SUM($F32:F32)-$E32-0),0)</f>
        <v>1126</v>
      </c>
      <c r="T32" s="5">
        <f>IF(SUM($F32:G32)-$E32-SUM($S32:S32)&gt;0,MAX($AF32,SUM($F32:G32)-$E32-SUM($S32:S32)),0)</f>
        <v>1413.2375291509697</v>
      </c>
      <c r="U32" s="5">
        <f>IF(SUM($F32:H32)-$E32-SUM($S32:T32)&gt;0,MAX($AF32,SUM($F32:H32)-$E32-SUM($S32:T32)),0)</f>
        <v>1578.5093592800977</v>
      </c>
      <c r="V32" s="5">
        <f>IF(SUM($F32:I32)-$E32-SUM($S32:U32)&gt;0,MAX($AF32,SUM($F32:I32)-$E32-SUM($S32:U32)),0)</f>
        <v>1889.1599999999999</v>
      </c>
      <c r="W32" s="5">
        <f>IF(SUM($F32:J32)-$E32-SUM($S32:V32)&gt;0,MAX($AF32,SUM($F32:J32)-$E32-SUM($S32:V32)),0)</f>
        <v>1712.1599999999999</v>
      </c>
      <c r="X32" s="5">
        <f>IF(SUM($F32:K32)-$E32-SUM($S32:W32)&gt;0,MAX($AF32,SUM($F32:K32)-$E32-SUM($S32:W32)),0)</f>
        <v>2117</v>
      </c>
      <c r="Y32" s="5">
        <f>IF(SUM($F32:L32)-$E32-SUM($S32:X32)&gt;0,MAX($AF32,SUM($F32:L32)-$E32-SUM($S32:X32)),0)</f>
        <v>1614.9300000000003</v>
      </c>
      <c r="Z32" s="5">
        <f>IF(SUM($F32:M32)-$E32-SUM($S32:Y32)&gt;0,MAX($AF32,SUM($F32:M32)-$E32-SUM($S32:Y32)),0)</f>
        <v>1019</v>
      </c>
      <c r="AA32" s="5">
        <f>IF(SUM($F32:N32)-$E32-SUM($S32:Z32)&gt;0,MAX($AF32,SUM($F32:N32)-$E32-SUM($S32:Z32)),0)</f>
        <v>623.28000000000065</v>
      </c>
      <c r="AB32" s="5">
        <f>IF(SUM($F32:O32)-$E32-SUM($S32:AA32)&gt;0,MAX($AF32,SUM($F32:O32)-$E32-SUM($S32:AA32)),0)</f>
        <v>2503.9599999999991</v>
      </c>
      <c r="AC32" s="5">
        <f>IF(SUM($F32:P32)-$E32-SUM($S32:AB32)&gt;0,MAX($AF32,SUM($F32:P32)-$E32-SUM($S32:AB32)),0)</f>
        <v>2793.0799999999981</v>
      </c>
      <c r="AD32" s="5">
        <f>IF(SUM($F32:Q32)-$E32-SUM($S32:AC32)&gt;0,MAX($AF32,SUM($F32:Q32)-$E32-SUM($S32:AC32)),0)</f>
        <v>925.68000000000029</v>
      </c>
      <c r="AE32" s="5">
        <f t="shared" si="1"/>
        <v>19315.996888431066</v>
      </c>
      <c r="AF32" s="5">
        <v>0</v>
      </c>
      <c r="AG32" s="1"/>
    </row>
    <row r="33" spans="1:33">
      <c r="A33" s="1" t="s">
        <v>123</v>
      </c>
      <c r="B33" s="1" t="s">
        <v>124</v>
      </c>
      <c r="C33" s="1" t="s">
        <v>3</v>
      </c>
      <c r="D33" s="1" t="s">
        <v>390</v>
      </c>
      <c r="E33" s="5">
        <v>0</v>
      </c>
      <c r="F33" s="5">
        <v>16267.591518688949</v>
      </c>
      <c r="G33" s="5">
        <v>22195.636663613554</v>
      </c>
      <c r="H33" s="5">
        <v>63653.537425300128</v>
      </c>
      <c r="I33" s="5">
        <v>31727.889855407309</v>
      </c>
      <c r="J33" s="5">
        <v>97341.685979233123</v>
      </c>
      <c r="K33" s="5">
        <v>70373.054535061936</v>
      </c>
      <c r="L33" s="5">
        <v>49831.788858548192</v>
      </c>
      <c r="M33" s="5">
        <v>17665.32340305562</v>
      </c>
      <c r="N33" s="5">
        <v>13499.785809237907</v>
      </c>
      <c r="O33" s="5">
        <v>14854.815520881961</v>
      </c>
      <c r="P33" s="5">
        <v>25117.204059330325</v>
      </c>
      <c r="Q33" s="5">
        <v>55856.174919637582</v>
      </c>
      <c r="R33" s="5">
        <f t="shared" si="0"/>
        <v>478384.48854799662</v>
      </c>
      <c r="S33" s="5">
        <f>IF(SUM($F33:F33)-$E33-0&gt;0,MAX($AF33,SUM($F33:F33)-$E33-0),0)</f>
        <v>16267.591518688949</v>
      </c>
      <c r="T33" s="5">
        <f>IF(SUM($F33:G33)-$E33-SUM($S33:S33)&gt;0,MAX($AF33,SUM($F33:G33)-$E33-SUM($S33:S33)),0)</f>
        <v>22195.636663613557</v>
      </c>
      <c r="U33" s="5">
        <f>IF(SUM($F33:H33)-$E33-SUM($S33:T33)&gt;0,MAX($AF33,SUM($F33:H33)-$E33-SUM($S33:T33)),0)</f>
        <v>63653.537425300128</v>
      </c>
      <c r="V33" s="5">
        <f>IF(SUM($F33:I33)-$E33-SUM($S33:U33)&gt;0,MAX($AF33,SUM($F33:I33)-$E33-SUM($S33:U33)),0)</f>
        <v>31727.889855407324</v>
      </c>
      <c r="W33" s="5">
        <f>IF(SUM($F33:J33)-$E33-SUM($S33:V33)&gt;0,MAX($AF33,SUM($F33:J33)-$E33-SUM($S33:V33)),0)</f>
        <v>97341.685979233123</v>
      </c>
      <c r="X33" s="5">
        <f>IF(SUM($F33:K33)-$E33-SUM($S33:W33)&gt;0,MAX($AF33,SUM($F33:K33)-$E33-SUM($S33:W33)),0)</f>
        <v>70373.054535061936</v>
      </c>
      <c r="Y33" s="5">
        <f>IF(SUM($F33:L33)-$E33-SUM($S33:X33)&gt;0,MAX($AF33,SUM($F33:L33)-$E33-SUM($S33:X33)),0)</f>
        <v>49831.788858548214</v>
      </c>
      <c r="Z33" s="5">
        <f>IF(SUM($F33:M33)-$E33-SUM($S33:Y33)&gt;0,MAX($AF33,SUM($F33:M33)-$E33-SUM($S33:Y33)),0)</f>
        <v>17665.323403055605</v>
      </c>
      <c r="AA33" s="5">
        <f>IF(SUM($F33:N33)-$E33-SUM($S33:Z33)&gt;0,MAX($AF33,SUM($F33:N33)-$E33-SUM($S33:Z33)),0)</f>
        <v>13499.785809237917</v>
      </c>
      <c r="AB33" s="5">
        <f>IF(SUM($F33:O33)-$E33-SUM($S33:AA33)&gt;0,MAX($AF33,SUM($F33:O33)-$E33-SUM($S33:AA33)),0)</f>
        <v>14854.815520881966</v>
      </c>
      <c r="AC33" s="5">
        <f>IF(SUM($F33:P33)-$E33-SUM($S33:AB33)&gt;0,MAX($AF33,SUM($F33:P33)-$E33-SUM($S33:AB33)),0)</f>
        <v>25117.204059330339</v>
      </c>
      <c r="AD33" s="5">
        <f>IF(SUM($F33:Q33)-$E33-SUM($S33:AC33)&gt;0,MAX($AF33,SUM($F33:Q33)-$E33-SUM($S33:AC33)),0)</f>
        <v>55856.17491963756</v>
      </c>
      <c r="AE33" s="5">
        <f t="shared" si="1"/>
        <v>478384.48854799662</v>
      </c>
      <c r="AF33" s="5">
        <v>0</v>
      </c>
      <c r="AG33" s="1"/>
    </row>
    <row r="34" spans="1:33">
      <c r="A34" s="1" t="s">
        <v>125</v>
      </c>
      <c r="B34" s="1" t="s">
        <v>126</v>
      </c>
      <c r="C34" s="1" t="s">
        <v>3</v>
      </c>
      <c r="D34" s="1" t="s">
        <v>390</v>
      </c>
      <c r="E34" s="5">
        <v>0</v>
      </c>
      <c r="F34" s="5">
        <v>68.55</v>
      </c>
      <c r="G34" s="5">
        <v>62.3</v>
      </c>
      <c r="H34" s="5">
        <v>42.903796303120387</v>
      </c>
      <c r="I34" s="5">
        <v>111.99</v>
      </c>
      <c r="J34" s="5">
        <v>255.99</v>
      </c>
      <c r="K34" s="5">
        <v>50.5</v>
      </c>
      <c r="L34" s="5">
        <v>45.61</v>
      </c>
      <c r="M34" s="5">
        <v>37.75</v>
      </c>
      <c r="N34" s="5">
        <v>186.53</v>
      </c>
      <c r="O34" s="5">
        <v>8.82</v>
      </c>
      <c r="P34" s="5">
        <v>55.010000000000005</v>
      </c>
      <c r="Q34" s="5">
        <v>358.76000000000005</v>
      </c>
      <c r="R34" s="5">
        <f t="shared" si="0"/>
        <v>1284.7137963031205</v>
      </c>
      <c r="S34" s="5">
        <f>IF(SUM($F34:F34)-$E34-0&gt;0,MAX($AF34,SUM($F34:F34)-$E34-0),0)</f>
        <v>68.55</v>
      </c>
      <c r="T34" s="5">
        <f>IF(SUM($F34:G34)-$E34-SUM($S34:S34)&gt;0,MAX($AF34,SUM($F34:G34)-$E34-SUM($S34:S34)),0)</f>
        <v>62.3</v>
      </c>
      <c r="U34" s="5">
        <f>IF(SUM($F34:H34)-$E34-SUM($S34:T34)&gt;0,MAX($AF34,SUM($F34:H34)-$E34-SUM($S34:T34)),0)</f>
        <v>42.903796303120401</v>
      </c>
      <c r="V34" s="5">
        <f>IF(SUM($F34:I34)-$E34-SUM($S34:U34)&gt;0,MAX($AF34,SUM($F34:I34)-$E34-SUM($S34:U34)),0)</f>
        <v>111.99000000000001</v>
      </c>
      <c r="W34" s="5">
        <f>IF(SUM($F34:J34)-$E34-SUM($S34:V34)&gt;0,MAX($AF34,SUM($F34:J34)-$E34-SUM($S34:V34)),0)</f>
        <v>255.99000000000007</v>
      </c>
      <c r="X34" s="5">
        <f>IF(SUM($F34:K34)-$E34-SUM($S34:W34)&gt;0,MAX($AF34,SUM($F34:K34)-$E34-SUM($S34:W34)),0)</f>
        <v>50.5</v>
      </c>
      <c r="Y34" s="5">
        <f>IF(SUM($F34:L34)-$E34-SUM($S34:X34)&gt;0,MAX($AF34,SUM($F34:L34)-$E34-SUM($S34:X34)),0)</f>
        <v>45.610000000000014</v>
      </c>
      <c r="Z34" s="5">
        <f>IF(SUM($F34:M34)-$E34-SUM($S34:Y34)&gt;0,MAX($AF34,SUM($F34:M34)-$E34-SUM($S34:Y34)),0)</f>
        <v>37.75</v>
      </c>
      <c r="AA34" s="5">
        <f>IF(SUM($F34:N34)-$E34-SUM($S34:Z34)&gt;0,MAX($AF34,SUM($F34:N34)-$E34-SUM($S34:Z34)),0)</f>
        <v>186.52999999999997</v>
      </c>
      <c r="AB34" s="5">
        <f>IF(SUM($F34:O34)-$E34-SUM($S34:AA34)&gt;0,MAX($AF34,SUM($F34:O34)-$E34-SUM($S34:AA34)),0)</f>
        <v>8.82000000000005</v>
      </c>
      <c r="AC34" s="5">
        <f>IF(SUM($F34:P34)-$E34-SUM($S34:AB34)&gt;0,MAX($AF34,SUM($F34:P34)-$E34-SUM($S34:AB34)),0)</f>
        <v>55.009999999999991</v>
      </c>
      <c r="AD34" s="5">
        <f>IF(SUM($F34:Q34)-$E34-SUM($S34:AC34)&gt;0,MAX($AF34,SUM($F34:Q34)-$E34-SUM($S34:AC34)),0)</f>
        <v>358.76</v>
      </c>
      <c r="AE34" s="5">
        <f t="shared" si="1"/>
        <v>1284.7137963031205</v>
      </c>
      <c r="AF34" s="5">
        <v>0</v>
      </c>
      <c r="AG34" s="1"/>
    </row>
    <row r="35" spans="1:33">
      <c r="A35" s="1" t="s">
        <v>127</v>
      </c>
      <c r="B35" s="1" t="s">
        <v>128</v>
      </c>
      <c r="C35" s="1" t="s">
        <v>3</v>
      </c>
      <c r="D35" s="1" t="s">
        <v>390</v>
      </c>
      <c r="E35" s="5">
        <v>0</v>
      </c>
      <c r="F35" s="5">
        <v>350.02856474110166</v>
      </c>
      <c r="G35" s="5">
        <v>727.94117505830218</v>
      </c>
      <c r="H35" s="5">
        <v>468.84455704520764</v>
      </c>
      <c r="I35" s="5">
        <v>614.47249999999985</v>
      </c>
      <c r="J35" s="5">
        <v>566.04277999999999</v>
      </c>
      <c r="K35" s="5">
        <v>1059.7311800000002</v>
      </c>
      <c r="L35" s="5">
        <v>608.5238999999998</v>
      </c>
      <c r="M35" s="5">
        <v>400.68000000000012</v>
      </c>
      <c r="N35" s="5">
        <v>327.88810000000007</v>
      </c>
      <c r="O35" s="5">
        <v>474.53309999999993</v>
      </c>
      <c r="P35" s="5">
        <v>468.86259999999993</v>
      </c>
      <c r="Q35" s="5">
        <v>1359.8344</v>
      </c>
      <c r="R35" s="5">
        <f t="shared" si="0"/>
        <v>7427.3828568446115</v>
      </c>
      <c r="S35" s="5">
        <f>IF(SUM($F35:F35)-$E35-0&gt;0,MAX($AF35,SUM($F35:F35)-$E35-0),0)</f>
        <v>350.02856474110166</v>
      </c>
      <c r="T35" s="5">
        <f>IF(SUM($F35:G35)-$E35-SUM($S35:S35)&gt;0,MAX($AF35,SUM($F35:G35)-$E35-SUM($S35:S35)),0)</f>
        <v>727.94117505830218</v>
      </c>
      <c r="U35" s="5">
        <f>IF(SUM($F35:H35)-$E35-SUM($S35:T35)&gt;0,MAX($AF35,SUM($F35:H35)-$E35-SUM($S35:T35)),0)</f>
        <v>468.84455704520769</v>
      </c>
      <c r="V35" s="5">
        <f>IF(SUM($F35:I35)-$E35-SUM($S35:U35)&gt;0,MAX($AF35,SUM($F35:I35)-$E35-SUM($S35:U35)),0)</f>
        <v>614.47250000000008</v>
      </c>
      <c r="W35" s="5">
        <f>IF(SUM($F35:J35)-$E35-SUM($S35:V35)&gt;0,MAX($AF35,SUM($F35:J35)-$E35-SUM($S35:V35)),0)</f>
        <v>566.04277999999977</v>
      </c>
      <c r="X35" s="5">
        <f>IF(SUM($F35:K35)-$E35-SUM($S35:W35)&gt;0,MAX($AF35,SUM($F35:K35)-$E35-SUM($S35:W35)),0)</f>
        <v>1059.7311800000002</v>
      </c>
      <c r="Y35" s="5">
        <f>IF(SUM($F35:L35)-$E35-SUM($S35:X35)&gt;0,MAX($AF35,SUM($F35:L35)-$E35-SUM($S35:X35)),0)</f>
        <v>608.52389999999968</v>
      </c>
      <c r="Z35" s="5">
        <f>IF(SUM($F35:M35)-$E35-SUM($S35:Y35)&gt;0,MAX($AF35,SUM($F35:M35)-$E35-SUM($S35:Y35)),0)</f>
        <v>400.68000000000029</v>
      </c>
      <c r="AA35" s="5">
        <f>IF(SUM($F35:N35)-$E35-SUM($S35:Z35)&gt;0,MAX($AF35,SUM($F35:N35)-$E35-SUM($S35:Z35)),0)</f>
        <v>327.88810000000012</v>
      </c>
      <c r="AB35" s="5">
        <f>IF(SUM($F35:O35)-$E35-SUM($S35:AA35)&gt;0,MAX($AF35,SUM($F35:O35)-$E35-SUM($S35:AA35)),0)</f>
        <v>474.53309999999965</v>
      </c>
      <c r="AC35" s="5">
        <f>IF(SUM($F35:P35)-$E35-SUM($S35:AB35)&gt;0,MAX($AF35,SUM($F35:P35)-$E35-SUM($S35:AB35)),0)</f>
        <v>468.86260000000038</v>
      </c>
      <c r="AD35" s="5">
        <f>IF(SUM($F35:Q35)-$E35-SUM($S35:AC35)&gt;0,MAX($AF35,SUM($F35:Q35)-$E35-SUM($S35:AC35)),0)</f>
        <v>1359.8343999999997</v>
      </c>
      <c r="AE35" s="5">
        <f t="shared" si="1"/>
        <v>7427.3828568446115</v>
      </c>
      <c r="AF35" s="5">
        <v>0</v>
      </c>
      <c r="AG35" s="1"/>
    </row>
    <row r="36" spans="1:33">
      <c r="A36" s="1" t="s">
        <v>129</v>
      </c>
      <c r="B36" s="1" t="s">
        <v>130</v>
      </c>
      <c r="C36" s="1" t="s">
        <v>3</v>
      </c>
      <c r="D36" s="1" t="s">
        <v>390</v>
      </c>
      <c r="E36" s="5">
        <v>64.498711761011421</v>
      </c>
      <c r="F36" s="5">
        <v>0</v>
      </c>
      <c r="G36" s="5">
        <v>0</v>
      </c>
      <c r="H36" s="5">
        <v>0</v>
      </c>
      <c r="I36" s="5">
        <v>0</v>
      </c>
      <c r="J36" s="5">
        <v>80</v>
      </c>
      <c r="K36" s="5">
        <v>0</v>
      </c>
      <c r="L36" s="5">
        <v>2.4380000000000002</v>
      </c>
      <c r="M36" s="5">
        <v>2.4380000000000002</v>
      </c>
      <c r="N36" s="5">
        <v>0</v>
      </c>
      <c r="O36" s="5">
        <v>80</v>
      </c>
      <c r="P36" s="5">
        <v>300.58600000000001</v>
      </c>
      <c r="Q36" s="5">
        <v>80</v>
      </c>
      <c r="R36" s="5">
        <f t="shared" si="0"/>
        <v>545.46199999999999</v>
      </c>
      <c r="S36" s="5">
        <f>IF(SUM($F36:F36)-$E36-0&gt;0,MAX($AF36,SUM($F36:F36)-$E36-0),0)</f>
        <v>0</v>
      </c>
      <c r="T36" s="5">
        <f>IF(SUM($F36:G36)-$E36-SUM($S36:S36)&gt;0,MAX($AF36,SUM($F36:G36)-$E36-SUM($S36:S36)),0)</f>
        <v>0</v>
      </c>
      <c r="U36" s="5">
        <f>IF(SUM($F36:H36)-$E36-SUM($S36:T36)&gt;0,MAX($AF36,SUM($F36:H36)-$E36-SUM($S36:T36)),0)</f>
        <v>0</v>
      </c>
      <c r="V36" s="5">
        <f>IF(SUM($F36:I36)-$E36-SUM($S36:U36)&gt;0,MAX($AF36,SUM($F36:I36)-$E36-SUM($S36:U36)),0)</f>
        <v>0</v>
      </c>
      <c r="W36" s="5">
        <f>IF(SUM($F36:J36)-$E36-SUM($S36:V36)&gt;0,MAX($AF36,SUM($F36:J36)-$E36-SUM($S36:V36)),0)</f>
        <v>15.501288238988579</v>
      </c>
      <c r="X36" s="5">
        <f>IF(SUM($F36:K36)-$E36-SUM($S36:W36)&gt;0,MAX($AF36,SUM($F36:K36)-$E36-SUM($S36:W36)),0)</f>
        <v>0</v>
      </c>
      <c r="Y36" s="5">
        <f>IF(SUM($F36:L36)-$E36-SUM($S36:X36)&gt;0,MAX($AF36,SUM($F36:L36)-$E36-SUM($S36:X36)),0)</f>
        <v>2.4380000000000024</v>
      </c>
      <c r="Z36" s="5">
        <f>IF(SUM($F36:M36)-$E36-SUM($S36:Y36)&gt;0,MAX($AF36,SUM($F36:M36)-$E36-SUM($S36:Y36)),0)</f>
        <v>2.4380000000000024</v>
      </c>
      <c r="AA36" s="5">
        <f>IF(SUM($F36:N36)-$E36-SUM($S36:Z36)&gt;0,MAX($AF36,SUM($F36:N36)-$E36-SUM($S36:Z36)),0)</f>
        <v>0</v>
      </c>
      <c r="AB36" s="5">
        <f>IF(SUM($F36:O36)-$E36-SUM($S36:AA36)&gt;0,MAX($AF36,SUM($F36:O36)-$E36-SUM($S36:AA36)),0)</f>
        <v>80</v>
      </c>
      <c r="AC36" s="5">
        <f>IF(SUM($F36:P36)-$E36-SUM($S36:AB36)&gt;0,MAX($AF36,SUM($F36:P36)-$E36-SUM($S36:AB36)),0)</f>
        <v>300.58600000000001</v>
      </c>
      <c r="AD36" s="5">
        <f>IF(SUM($F36:Q36)-$E36-SUM($S36:AC36)&gt;0,MAX($AF36,SUM($F36:Q36)-$E36-SUM($S36:AC36)),0)</f>
        <v>80</v>
      </c>
      <c r="AE36" s="5">
        <f t="shared" si="1"/>
        <v>480.96328823898858</v>
      </c>
      <c r="AF36" s="5">
        <v>0</v>
      </c>
      <c r="AG36" s="1"/>
    </row>
    <row r="37" spans="1:33">
      <c r="A37" s="1" t="s">
        <v>131</v>
      </c>
      <c r="B37" s="1" t="s">
        <v>132</v>
      </c>
      <c r="C37" s="1" t="s">
        <v>3</v>
      </c>
      <c r="D37" s="1" t="s">
        <v>390</v>
      </c>
      <c r="E37" s="5">
        <v>37.819608879613703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2.4380000000000002</v>
      </c>
      <c r="M37" s="5">
        <v>2.4380000000000002</v>
      </c>
      <c r="N37" s="5">
        <v>0</v>
      </c>
      <c r="O37" s="5">
        <v>0</v>
      </c>
      <c r="P37" s="5">
        <v>2.3460000000000001</v>
      </c>
      <c r="Q37" s="5">
        <v>0</v>
      </c>
      <c r="R37" s="5">
        <f t="shared" si="0"/>
        <v>7.2220000000000004</v>
      </c>
      <c r="S37" s="5">
        <f>IF(SUM($F37:F37)-$E37-0&gt;0,MAX($AF37,SUM($F37:F37)-$E37-0),0)</f>
        <v>0</v>
      </c>
      <c r="T37" s="5">
        <f>IF(SUM($F37:G37)-$E37-SUM($S37:S37)&gt;0,MAX($AF37,SUM($F37:G37)-$E37-SUM($S37:S37)),0)</f>
        <v>0</v>
      </c>
      <c r="U37" s="5">
        <f>IF(SUM($F37:H37)-$E37-SUM($S37:T37)&gt;0,MAX($AF37,SUM($F37:H37)-$E37-SUM($S37:T37)),0)</f>
        <v>0</v>
      </c>
      <c r="V37" s="5">
        <f>IF(SUM($F37:I37)-$E37-SUM($S37:U37)&gt;0,MAX($AF37,SUM($F37:I37)-$E37-SUM($S37:U37)),0)</f>
        <v>0</v>
      </c>
      <c r="W37" s="5">
        <f>IF(SUM($F37:J37)-$E37-SUM($S37:V37)&gt;0,MAX($AF37,SUM($F37:J37)-$E37-SUM($S37:V37)),0)</f>
        <v>0</v>
      </c>
      <c r="X37" s="5">
        <f>IF(SUM($F37:K37)-$E37-SUM($S37:W37)&gt;0,MAX($AF37,SUM($F37:K37)-$E37-SUM($S37:W37)),0)</f>
        <v>0</v>
      </c>
      <c r="Y37" s="5">
        <f>IF(SUM($F37:L37)-$E37-SUM($S37:X37)&gt;0,MAX($AF37,SUM($F37:L37)-$E37-SUM($S37:X37)),0)</f>
        <v>0</v>
      </c>
      <c r="Z37" s="5">
        <f>IF(SUM($F37:M37)-$E37-SUM($S37:Y37)&gt;0,MAX($AF37,SUM($F37:M37)-$E37-SUM($S37:Y37)),0)</f>
        <v>0</v>
      </c>
      <c r="AA37" s="5">
        <f>IF(SUM($F37:N37)-$E37-SUM($S37:Z37)&gt;0,MAX($AF37,SUM($F37:N37)-$E37-SUM($S37:Z37)),0)</f>
        <v>0</v>
      </c>
      <c r="AB37" s="5">
        <f>IF(SUM($F37:O37)-$E37-SUM($S37:AA37)&gt;0,MAX($AF37,SUM($F37:O37)-$E37-SUM($S37:AA37)),0)</f>
        <v>0</v>
      </c>
      <c r="AC37" s="5">
        <f>IF(SUM($F37:P37)-$E37-SUM($S37:AB37)&gt;0,MAX($AF37,SUM($F37:P37)-$E37-SUM($S37:AB37)),0)</f>
        <v>0</v>
      </c>
      <c r="AD37" s="5">
        <f>IF(SUM($F37:Q37)-$E37-SUM($S37:AC37)&gt;0,MAX($AF37,SUM($F37:Q37)-$E37-SUM($S37:AC37)),0)</f>
        <v>0</v>
      </c>
      <c r="AE37" s="5">
        <f t="shared" si="1"/>
        <v>0</v>
      </c>
      <c r="AF37" s="5">
        <v>0</v>
      </c>
      <c r="AG37" s="1"/>
    </row>
    <row r="38" spans="1:33">
      <c r="A38" s="1" t="s">
        <v>133</v>
      </c>
      <c r="B38" s="1" t="s">
        <v>134</v>
      </c>
      <c r="C38" s="1" t="s">
        <v>3</v>
      </c>
      <c r="D38" s="1" t="s">
        <v>390</v>
      </c>
      <c r="E38" s="5">
        <v>511.76760501891209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1.3779999999999999</v>
      </c>
      <c r="M38" s="5">
        <v>1.3779999999999999</v>
      </c>
      <c r="N38" s="5">
        <v>0</v>
      </c>
      <c r="O38" s="5">
        <v>0</v>
      </c>
      <c r="P38" s="5">
        <v>1.3260000000000001</v>
      </c>
      <c r="Q38" s="5">
        <v>0</v>
      </c>
      <c r="R38" s="5">
        <f t="shared" si="0"/>
        <v>4.0819999999999999</v>
      </c>
      <c r="S38" s="5">
        <f>IF(SUM($F38:F38)-$E38-0&gt;0,MAX($AF38,SUM($F38:F38)-$E38-0),0)</f>
        <v>0</v>
      </c>
      <c r="T38" s="5">
        <f>IF(SUM($F38:G38)-$E38-SUM($S38:S38)&gt;0,MAX($AF38,SUM($F38:G38)-$E38-SUM($S38:S38)),0)</f>
        <v>0</v>
      </c>
      <c r="U38" s="5">
        <f>IF(SUM($F38:H38)-$E38-SUM($S38:T38)&gt;0,MAX($AF38,SUM($F38:H38)-$E38-SUM($S38:T38)),0)</f>
        <v>0</v>
      </c>
      <c r="V38" s="5">
        <f>IF(SUM($F38:I38)-$E38-SUM($S38:U38)&gt;0,MAX($AF38,SUM($F38:I38)-$E38-SUM($S38:U38)),0)</f>
        <v>0</v>
      </c>
      <c r="W38" s="5">
        <f>IF(SUM($F38:J38)-$E38-SUM($S38:V38)&gt;0,MAX($AF38,SUM($F38:J38)-$E38-SUM($S38:V38)),0)</f>
        <v>0</v>
      </c>
      <c r="X38" s="5">
        <f>IF(SUM($F38:K38)-$E38-SUM($S38:W38)&gt;0,MAX($AF38,SUM($F38:K38)-$E38-SUM($S38:W38)),0)</f>
        <v>0</v>
      </c>
      <c r="Y38" s="5">
        <f>IF(SUM($F38:L38)-$E38-SUM($S38:X38)&gt;0,MAX($AF38,SUM($F38:L38)-$E38-SUM($S38:X38)),0)</f>
        <v>0</v>
      </c>
      <c r="Z38" s="5">
        <f>IF(SUM($F38:M38)-$E38-SUM($S38:Y38)&gt;0,MAX($AF38,SUM($F38:M38)-$E38-SUM($S38:Y38)),0)</f>
        <v>0</v>
      </c>
      <c r="AA38" s="5">
        <f>IF(SUM($F38:N38)-$E38-SUM($S38:Z38)&gt;0,MAX($AF38,SUM($F38:N38)-$E38-SUM($S38:Z38)),0)</f>
        <v>0</v>
      </c>
      <c r="AB38" s="5">
        <f>IF(SUM($F38:O38)-$E38-SUM($S38:AA38)&gt;0,MAX($AF38,SUM($F38:O38)-$E38-SUM($S38:AA38)),0)</f>
        <v>0</v>
      </c>
      <c r="AC38" s="5">
        <f>IF(SUM($F38:P38)-$E38-SUM($S38:AB38)&gt;0,MAX($AF38,SUM($F38:P38)-$E38-SUM($S38:AB38)),0)</f>
        <v>0</v>
      </c>
      <c r="AD38" s="5">
        <f>IF(SUM($F38:Q38)-$E38-SUM($S38:AC38)&gt;0,MAX($AF38,SUM($F38:Q38)-$E38-SUM($S38:AC38)),0)</f>
        <v>0</v>
      </c>
      <c r="AE38" s="5">
        <f t="shared" si="1"/>
        <v>0</v>
      </c>
      <c r="AF38" s="5">
        <v>0</v>
      </c>
      <c r="AG38" s="1"/>
    </row>
    <row r="39" spans="1:33">
      <c r="A39" s="1" t="s">
        <v>135</v>
      </c>
      <c r="B39" s="1" t="s">
        <v>136</v>
      </c>
      <c r="C39" s="1" t="s">
        <v>3</v>
      </c>
      <c r="D39" s="1" t="s">
        <v>390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80</v>
      </c>
      <c r="K39" s="5">
        <v>0</v>
      </c>
      <c r="L39" s="5">
        <v>1.3779999999999999</v>
      </c>
      <c r="M39" s="5">
        <v>1.3779999999999999</v>
      </c>
      <c r="N39" s="5">
        <v>0</v>
      </c>
      <c r="O39" s="5">
        <v>80</v>
      </c>
      <c r="P39" s="5">
        <v>299.56600000000003</v>
      </c>
      <c r="Q39" s="5">
        <v>80</v>
      </c>
      <c r="R39" s="5">
        <f t="shared" si="0"/>
        <v>542.322</v>
      </c>
      <c r="S39" s="5">
        <f>IF(SUM($F39:F39)-$E39-0&gt;0,MAX($AF39,SUM($F39:F39)-$E39-0),0)</f>
        <v>0</v>
      </c>
      <c r="T39" s="5">
        <f>IF(SUM($F39:G39)-$E39-SUM($S39:S39)&gt;0,MAX($AF39,SUM($F39:G39)-$E39-SUM($S39:S39)),0)</f>
        <v>0</v>
      </c>
      <c r="U39" s="5">
        <f>IF(SUM($F39:H39)-$E39-SUM($S39:T39)&gt;0,MAX($AF39,SUM($F39:H39)-$E39-SUM($S39:T39)),0)</f>
        <v>0</v>
      </c>
      <c r="V39" s="5">
        <f>IF(SUM($F39:I39)-$E39-SUM($S39:U39)&gt;0,MAX($AF39,SUM($F39:I39)-$E39-SUM($S39:U39)),0)</f>
        <v>0</v>
      </c>
      <c r="W39" s="5">
        <f>IF(SUM($F39:J39)-$E39-SUM($S39:V39)&gt;0,MAX($AF39,SUM($F39:J39)-$E39-SUM($S39:V39)),0)</f>
        <v>80</v>
      </c>
      <c r="X39" s="5">
        <f>IF(SUM($F39:K39)-$E39-SUM($S39:W39)&gt;0,MAX($AF39,SUM($F39:K39)-$E39-SUM($S39:W39)),0)</f>
        <v>0</v>
      </c>
      <c r="Y39" s="5">
        <f>IF(SUM($F39:L39)-$E39-SUM($S39:X39)&gt;0,MAX($AF39,SUM($F39:L39)-$E39-SUM($S39:X39)),0)</f>
        <v>1.3780000000000001</v>
      </c>
      <c r="Z39" s="5">
        <f>IF(SUM($F39:M39)-$E39-SUM($S39:Y39)&gt;0,MAX($AF39,SUM($F39:M39)-$E39-SUM($S39:Y39)),0)</f>
        <v>1.3780000000000001</v>
      </c>
      <c r="AA39" s="5">
        <f>IF(SUM($F39:N39)-$E39-SUM($S39:Z39)&gt;0,MAX($AF39,SUM($F39:N39)-$E39-SUM($S39:Z39)),0)</f>
        <v>0</v>
      </c>
      <c r="AB39" s="5">
        <f>IF(SUM($F39:O39)-$E39-SUM($S39:AA39)&gt;0,MAX($AF39,SUM($F39:O39)-$E39-SUM($S39:AA39)),0)</f>
        <v>80</v>
      </c>
      <c r="AC39" s="5">
        <f>IF(SUM($F39:P39)-$E39-SUM($S39:AB39)&gt;0,MAX($AF39,SUM($F39:P39)-$E39-SUM($S39:AB39)),0)</f>
        <v>299.56600000000003</v>
      </c>
      <c r="AD39" s="5">
        <f>IF(SUM($F39:Q39)-$E39-SUM($S39:AC39)&gt;0,MAX($AF39,SUM($F39:Q39)-$E39-SUM($S39:AC39)),0)</f>
        <v>80</v>
      </c>
      <c r="AE39" s="5">
        <f t="shared" si="1"/>
        <v>542.322</v>
      </c>
      <c r="AF39" s="5">
        <v>0</v>
      </c>
      <c r="AG39" s="1"/>
    </row>
    <row r="40" spans="1:33">
      <c r="A40" s="1" t="s">
        <v>137</v>
      </c>
      <c r="B40" s="1" t="s">
        <v>138</v>
      </c>
      <c r="C40" s="1" t="s">
        <v>3</v>
      </c>
      <c r="D40" s="1" t="s">
        <v>390</v>
      </c>
      <c r="E40" s="5">
        <v>725.84425507743663</v>
      </c>
      <c r="F40" s="5">
        <v>657.67230211040055</v>
      </c>
      <c r="G40" s="5">
        <v>1145.3146573627321</v>
      </c>
      <c r="H40" s="5">
        <v>221.94394015912505</v>
      </c>
      <c r="I40" s="5">
        <v>923.45499999999993</v>
      </c>
      <c r="J40" s="5">
        <v>1327.5810000000001</v>
      </c>
      <c r="K40" s="5">
        <v>1110.5749999999998</v>
      </c>
      <c r="L40" s="5">
        <v>648.47499999999991</v>
      </c>
      <c r="M40" s="5">
        <v>1169.5709999999999</v>
      </c>
      <c r="N40" s="5">
        <v>345.57499999999999</v>
      </c>
      <c r="O40" s="5">
        <v>446.375</v>
      </c>
      <c r="P40" s="5">
        <v>1233.8019999999999</v>
      </c>
      <c r="Q40" s="5">
        <v>882.90000000000009</v>
      </c>
      <c r="R40" s="5">
        <f t="shared" ref="R40:R71" si="2">SUM(F40:Q40)</f>
        <v>10113.239899632257</v>
      </c>
      <c r="S40" s="5">
        <f>IF(SUM($F40:F40)-$E40-0&gt;0,MAX($AF40,SUM($F40:F40)-$E40-0),0)</f>
        <v>0</v>
      </c>
      <c r="T40" s="5">
        <f>IF(SUM($F40:G40)-$E40-SUM($S40:S40)&gt;0,MAX($AF40,SUM($F40:G40)-$E40-SUM($S40:S40)),0)</f>
        <v>1077.142704395696</v>
      </c>
      <c r="U40" s="5">
        <f>IF(SUM($F40:H40)-$E40-SUM($S40:T40)&gt;0,MAX($AF40,SUM($F40:H40)-$E40-SUM($S40:T40)),0)</f>
        <v>221.94394015912508</v>
      </c>
      <c r="V40" s="5">
        <f>IF(SUM($F40:I40)-$E40-SUM($S40:U40)&gt;0,MAX($AF40,SUM($F40:I40)-$E40-SUM($S40:U40)),0)</f>
        <v>923.45500000000015</v>
      </c>
      <c r="W40" s="5">
        <f>IF(SUM($F40:J40)-$E40-SUM($S40:V40)&gt;0,MAX($AF40,SUM($F40:J40)-$E40-SUM($S40:V40)),0)</f>
        <v>1327.5810000000001</v>
      </c>
      <c r="X40" s="5">
        <f>IF(SUM($F40:K40)-$E40-SUM($S40:W40)&gt;0,MAX($AF40,SUM($F40:K40)-$E40-SUM($S40:W40)),0)</f>
        <v>1110.5749999999994</v>
      </c>
      <c r="Y40" s="5">
        <f>IF(SUM($F40:L40)-$E40-SUM($S40:X40)&gt;0,MAX($AF40,SUM($F40:L40)-$E40-SUM($S40:X40)),0)</f>
        <v>648.47500000000036</v>
      </c>
      <c r="Z40" s="5">
        <f>IF(SUM($F40:M40)-$E40-SUM($S40:Y40)&gt;0,MAX($AF40,SUM($F40:M40)-$E40-SUM($S40:Y40)),0)</f>
        <v>1169.5709999999999</v>
      </c>
      <c r="AA40" s="5">
        <f>IF(SUM($F40:N40)-$E40-SUM($S40:Z40)&gt;0,MAX($AF40,SUM($F40:N40)-$E40-SUM($S40:Z40)),0)</f>
        <v>345.57499999999891</v>
      </c>
      <c r="AB40" s="5">
        <f>IF(SUM($F40:O40)-$E40-SUM($S40:AA40)&gt;0,MAX($AF40,SUM($F40:O40)-$E40-SUM($S40:AA40)),0)</f>
        <v>446.375</v>
      </c>
      <c r="AC40" s="5">
        <f>IF(SUM($F40:P40)-$E40-SUM($S40:AB40)&gt;0,MAX($AF40,SUM($F40:P40)-$E40-SUM($S40:AB40)),0)</f>
        <v>1233.8020000000015</v>
      </c>
      <c r="AD40" s="5">
        <f>IF(SUM($F40:Q40)-$E40-SUM($S40:AC40)&gt;0,MAX($AF40,SUM($F40:Q40)-$E40-SUM($S40:AC40)),0)</f>
        <v>882.89999999999964</v>
      </c>
      <c r="AE40" s="5">
        <f t="shared" ref="AE40:AE71" si="3">SUM(S40:AD40)</f>
        <v>9387.395644554821</v>
      </c>
      <c r="AF40" s="5">
        <v>0</v>
      </c>
      <c r="AG40" s="1"/>
    </row>
    <row r="41" spans="1:33">
      <c r="A41" s="1" t="s">
        <v>139</v>
      </c>
      <c r="B41" s="1" t="s">
        <v>140</v>
      </c>
      <c r="C41" s="1" t="s">
        <v>3</v>
      </c>
      <c r="D41" s="1" t="s">
        <v>390</v>
      </c>
      <c r="E41" s="5">
        <v>0</v>
      </c>
      <c r="F41" s="5">
        <v>2701.7330099648852</v>
      </c>
      <c r="G41" s="5">
        <v>8618.3836294509274</v>
      </c>
      <c r="H41" s="5">
        <v>3492.14</v>
      </c>
      <c r="I41" s="5">
        <v>3999.1899999999996</v>
      </c>
      <c r="J41" s="5">
        <v>10408.615</v>
      </c>
      <c r="K41" s="5">
        <v>9099.39</v>
      </c>
      <c r="L41" s="5">
        <v>3973.2350000000001</v>
      </c>
      <c r="M41" s="5">
        <v>5932.9620000000004</v>
      </c>
      <c r="N41" s="5">
        <v>1134.925</v>
      </c>
      <c r="O41" s="5">
        <v>3132.5549999999998</v>
      </c>
      <c r="P41" s="5">
        <v>3159.9429999999998</v>
      </c>
      <c r="Q41" s="5">
        <v>14337.349999999999</v>
      </c>
      <c r="R41" s="5">
        <f t="shared" si="2"/>
        <v>69990.421639415814</v>
      </c>
      <c r="S41" s="5">
        <f>IF(SUM($F41:F41)-$E41-0&gt;0,MAX($AF41,SUM($F41:F41)-$E41-0),0)</f>
        <v>2701.7330099648852</v>
      </c>
      <c r="T41" s="5">
        <f>IF(SUM($F41:G41)-$E41-SUM($S41:S41)&gt;0,MAX($AF41,SUM($F41:G41)-$E41-SUM($S41:S41)),0)</f>
        <v>8618.3836294509274</v>
      </c>
      <c r="U41" s="5">
        <f>IF(SUM($F41:H41)-$E41-SUM($S41:T41)&gt;0,MAX($AF41,SUM($F41:H41)-$E41-SUM($S41:T41)),0)</f>
        <v>3492.1399999999994</v>
      </c>
      <c r="V41" s="5">
        <f>IF(SUM($F41:I41)-$E41-SUM($S41:U41)&gt;0,MAX($AF41,SUM($F41:I41)-$E41-SUM($S41:U41)),0)</f>
        <v>3999.1899999999987</v>
      </c>
      <c r="W41" s="5">
        <f>IF(SUM($F41:J41)-$E41-SUM($S41:V41)&gt;0,MAX($AF41,SUM($F41:J41)-$E41-SUM($S41:V41)),0)</f>
        <v>10408.615000000002</v>
      </c>
      <c r="X41" s="5">
        <f>IF(SUM($F41:K41)-$E41-SUM($S41:W41)&gt;0,MAX($AF41,SUM($F41:K41)-$E41-SUM($S41:W41)),0)</f>
        <v>9099.39</v>
      </c>
      <c r="Y41" s="5">
        <f>IF(SUM($F41:L41)-$E41-SUM($S41:X41)&gt;0,MAX($AF41,SUM($F41:L41)-$E41-SUM($S41:X41)),0)</f>
        <v>3973.2350000000006</v>
      </c>
      <c r="Z41" s="5">
        <f>IF(SUM($F41:M41)-$E41-SUM($S41:Y41)&gt;0,MAX($AF41,SUM($F41:M41)-$E41-SUM($S41:Y41)),0)</f>
        <v>5932.9619999999995</v>
      </c>
      <c r="AA41" s="5">
        <f>IF(SUM($F41:N41)-$E41-SUM($S41:Z41)&gt;0,MAX($AF41,SUM($F41:N41)-$E41-SUM($S41:Z41)),0)</f>
        <v>1134.9250000000029</v>
      </c>
      <c r="AB41" s="5">
        <f>IF(SUM($F41:O41)-$E41-SUM($S41:AA41)&gt;0,MAX($AF41,SUM($F41:O41)-$E41-SUM($S41:AA41)),0)</f>
        <v>3132.5550000000003</v>
      </c>
      <c r="AC41" s="5">
        <f>IF(SUM($F41:P41)-$E41-SUM($S41:AB41)&gt;0,MAX($AF41,SUM($F41:P41)-$E41-SUM($S41:AB41)),0)</f>
        <v>3159.9429999999993</v>
      </c>
      <c r="AD41" s="5">
        <f>IF(SUM($F41:Q41)-$E41-SUM($S41:AC41)&gt;0,MAX($AF41,SUM($F41:Q41)-$E41-SUM($S41:AC41)),0)</f>
        <v>14337.349999999999</v>
      </c>
      <c r="AE41" s="5">
        <f t="shared" si="3"/>
        <v>69990.421639415814</v>
      </c>
      <c r="AF41" s="5">
        <v>0</v>
      </c>
      <c r="AG41" s="1"/>
    </row>
    <row r="42" spans="1:33">
      <c r="A42" s="1" t="s">
        <v>141</v>
      </c>
      <c r="B42" s="1" t="s">
        <v>142</v>
      </c>
      <c r="C42" s="1" t="s">
        <v>3</v>
      </c>
      <c r="D42" s="1" t="s">
        <v>390</v>
      </c>
      <c r="E42" s="5">
        <v>0</v>
      </c>
      <c r="F42" s="5">
        <v>608.26481758184889</v>
      </c>
      <c r="G42" s="5">
        <v>624.79455691670762</v>
      </c>
      <c r="H42" s="5">
        <v>974.92500000000007</v>
      </c>
      <c r="I42" s="5">
        <v>27.72</v>
      </c>
      <c r="J42" s="5">
        <v>599.52394795881116</v>
      </c>
      <c r="K42" s="5">
        <v>1276.7869999999998</v>
      </c>
      <c r="L42" s="5">
        <v>438.21</v>
      </c>
      <c r="M42" s="5">
        <v>491.88</v>
      </c>
      <c r="N42" s="5">
        <v>82.5</v>
      </c>
      <c r="O42" s="5">
        <v>694.62199999999996</v>
      </c>
      <c r="P42" s="5">
        <v>918.48800000000006</v>
      </c>
      <c r="Q42" s="5">
        <v>9864.0240000000013</v>
      </c>
      <c r="R42" s="5">
        <f t="shared" si="2"/>
        <v>16601.739322457368</v>
      </c>
      <c r="S42" s="5">
        <f>IF(SUM($F42:F42)-$E42-0&gt;0,MAX($AF42,SUM($F42:F42)-$E42-0),0)</f>
        <v>608.26481758184889</v>
      </c>
      <c r="T42" s="5">
        <f>IF(SUM($F42:G42)-$E42-SUM($S42:S42)&gt;0,MAX($AF42,SUM($F42:G42)-$E42-SUM($S42:S42)),0)</f>
        <v>624.79455691670762</v>
      </c>
      <c r="U42" s="5">
        <f>IF(SUM($F42:H42)-$E42-SUM($S42:T42)&gt;0,MAX($AF42,SUM($F42:H42)-$E42-SUM($S42:T42)),0)</f>
        <v>974.92499999999995</v>
      </c>
      <c r="V42" s="5">
        <f>IF(SUM($F42:I42)-$E42-SUM($S42:U42)&gt;0,MAX($AF42,SUM($F42:I42)-$E42-SUM($S42:U42)),0)</f>
        <v>27.7199999999998</v>
      </c>
      <c r="W42" s="5">
        <f>IF(SUM($F42:J42)-$E42-SUM($S42:V42)&gt;0,MAX($AF42,SUM($F42:J42)-$E42-SUM($S42:V42)),0)</f>
        <v>599.52394795881128</v>
      </c>
      <c r="X42" s="5">
        <f>IF(SUM($F42:K42)-$E42-SUM($S42:W42)&gt;0,MAX($AF42,SUM($F42:K42)-$E42-SUM($S42:W42)),0)</f>
        <v>1276.7870000000003</v>
      </c>
      <c r="Y42" s="5">
        <f>IF(SUM($F42:L42)-$E42-SUM($S42:X42)&gt;0,MAX($AF42,SUM($F42:L42)-$E42-SUM($S42:X42)),0)</f>
        <v>438.21000000000004</v>
      </c>
      <c r="Z42" s="5">
        <f>IF(SUM($F42:M42)-$E42-SUM($S42:Y42)&gt;0,MAX($AF42,SUM($F42:M42)-$E42-SUM($S42:Y42)),0)</f>
        <v>491.88000000000011</v>
      </c>
      <c r="AA42" s="5">
        <f>IF(SUM($F42:N42)-$E42-SUM($S42:Z42)&gt;0,MAX($AF42,SUM($F42:N42)-$E42-SUM($S42:Z42)),0)</f>
        <v>82.5</v>
      </c>
      <c r="AB42" s="5">
        <f>IF(SUM($F42:O42)-$E42-SUM($S42:AA42)&gt;0,MAX($AF42,SUM($F42:O42)-$E42-SUM($S42:AA42)),0)</f>
        <v>694.6220000000003</v>
      </c>
      <c r="AC42" s="5">
        <f>IF(SUM($F42:P42)-$E42-SUM($S42:AB42)&gt;0,MAX($AF42,SUM($F42:P42)-$E42-SUM($S42:AB42)),0)</f>
        <v>918.48800000000028</v>
      </c>
      <c r="AD42" s="5">
        <f>IF(SUM($F42:Q42)-$E42-SUM($S42:AC42)&gt;0,MAX($AF42,SUM($F42:Q42)-$E42-SUM($S42:AC42)),0)</f>
        <v>9864.0239999999994</v>
      </c>
      <c r="AE42" s="5">
        <f t="shared" si="3"/>
        <v>16601.739322457368</v>
      </c>
      <c r="AF42" s="5">
        <v>0</v>
      </c>
      <c r="AG42" s="1"/>
    </row>
    <row r="43" spans="1:33">
      <c r="A43" s="1" t="s">
        <v>143</v>
      </c>
      <c r="B43" s="1" t="s">
        <v>144</v>
      </c>
      <c r="C43" s="1" t="s">
        <v>3</v>
      </c>
      <c r="D43" s="1" t="s">
        <v>390</v>
      </c>
      <c r="E43" s="5">
        <v>0</v>
      </c>
      <c r="F43" s="5">
        <v>0</v>
      </c>
      <c r="G43" s="5">
        <v>3660.8429000000006</v>
      </c>
      <c r="H43" s="5">
        <v>1058.2</v>
      </c>
      <c r="I43" s="5">
        <v>0</v>
      </c>
      <c r="J43" s="5">
        <v>1058.2</v>
      </c>
      <c r="K43" s="5">
        <v>529.1</v>
      </c>
      <c r="L43" s="5">
        <v>492.42278800000003</v>
      </c>
      <c r="M43" s="5">
        <v>828.40128800000002</v>
      </c>
      <c r="N43" s="5">
        <v>1058.2</v>
      </c>
      <c r="O43" s="5">
        <v>0</v>
      </c>
      <c r="P43" s="5">
        <v>2615.637596</v>
      </c>
      <c r="Q43" s="5">
        <v>529.1</v>
      </c>
      <c r="R43" s="5">
        <f t="shared" si="2"/>
        <v>11830.104572000002</v>
      </c>
      <c r="S43" s="5">
        <f>IF(SUM($F43:F43)-$E43-0&gt;0,MAX($AF43,SUM($F43:F43)-$E43-0),0)</f>
        <v>0</v>
      </c>
      <c r="T43" s="5">
        <f>IF(SUM($F43:G43)-$E43-SUM($S43:S43)&gt;0,MAX($AF43,SUM($F43:G43)-$E43-SUM($S43:S43)),0)</f>
        <v>3660.8429000000006</v>
      </c>
      <c r="U43" s="5">
        <f>IF(SUM($F43:H43)-$E43-SUM($S43:T43)&gt;0,MAX($AF43,SUM($F43:H43)-$E43-SUM($S43:T43)),0)</f>
        <v>1058.1999999999998</v>
      </c>
      <c r="V43" s="5">
        <f>IF(SUM($F43:I43)-$E43-SUM($S43:U43)&gt;0,MAX($AF43,SUM($F43:I43)-$E43-SUM($S43:U43)),0)</f>
        <v>0</v>
      </c>
      <c r="W43" s="5">
        <f>IF(SUM($F43:J43)-$E43-SUM($S43:V43)&gt;0,MAX($AF43,SUM($F43:J43)-$E43-SUM($S43:V43)),0)</f>
        <v>1058.1999999999998</v>
      </c>
      <c r="X43" s="5">
        <f>IF(SUM($F43:K43)-$E43-SUM($S43:W43)&gt;0,MAX($AF43,SUM($F43:K43)-$E43-SUM($S43:W43)),0)</f>
        <v>529.10000000000036</v>
      </c>
      <c r="Y43" s="5">
        <f>IF(SUM($F43:L43)-$E43-SUM($S43:X43)&gt;0,MAX($AF43,SUM($F43:L43)-$E43-SUM($S43:X43)),0)</f>
        <v>492.42278799999985</v>
      </c>
      <c r="Z43" s="5">
        <f>IF(SUM($F43:M43)-$E43-SUM($S43:Y43)&gt;0,MAX($AF43,SUM($F43:M43)-$E43-SUM($S43:Y43)),0)</f>
        <v>828.40128800000002</v>
      </c>
      <c r="AA43" s="5">
        <f>IF(SUM($F43:N43)-$E43-SUM($S43:Z43)&gt;0,MAX($AF43,SUM($F43:N43)-$E43-SUM($S43:Z43)),0)</f>
        <v>1058.2000000000007</v>
      </c>
      <c r="AB43" s="5">
        <f>IF(SUM($F43:O43)-$E43-SUM($S43:AA43)&gt;0,MAX($AF43,SUM($F43:O43)-$E43-SUM($S43:AA43)),0)</f>
        <v>0</v>
      </c>
      <c r="AC43" s="5">
        <f>IF(SUM($F43:P43)-$E43-SUM($S43:AB43)&gt;0,MAX($AF43,SUM($F43:P43)-$E43-SUM($S43:AB43)),0)</f>
        <v>2615.6375960000005</v>
      </c>
      <c r="AD43" s="5">
        <f>IF(SUM($F43:Q43)-$E43-SUM($S43:AC43)&gt;0,MAX($AF43,SUM($F43:Q43)-$E43-SUM($S43:AC43)),0)</f>
        <v>529.10000000000036</v>
      </c>
      <c r="AE43" s="5">
        <f t="shared" si="3"/>
        <v>11830.104572000002</v>
      </c>
      <c r="AF43" s="5">
        <v>0</v>
      </c>
      <c r="AG43" s="1"/>
    </row>
    <row r="44" spans="1:33">
      <c r="A44" s="1" t="s">
        <v>145</v>
      </c>
      <c r="B44" s="1" t="s">
        <v>146</v>
      </c>
      <c r="C44" s="1" t="s">
        <v>3</v>
      </c>
      <c r="D44" s="1" t="s">
        <v>390</v>
      </c>
      <c r="E44" s="5">
        <v>0</v>
      </c>
      <c r="F44" s="5">
        <v>1273.57</v>
      </c>
      <c r="G44" s="5">
        <v>5248.54</v>
      </c>
      <c r="H44" s="5">
        <v>1660.9025682181382</v>
      </c>
      <c r="I44" s="5">
        <v>1813.518013142042</v>
      </c>
      <c r="J44" s="5">
        <v>3754.5419999999995</v>
      </c>
      <c r="K44" s="5">
        <v>5476.8850000000002</v>
      </c>
      <c r="L44" s="5">
        <v>1333.25</v>
      </c>
      <c r="M44" s="5">
        <v>852.85199999999998</v>
      </c>
      <c r="N44" s="5">
        <v>233.20000000000002</v>
      </c>
      <c r="O44" s="5">
        <v>1807.2</v>
      </c>
      <c r="P44" s="5">
        <v>2854.7039999999997</v>
      </c>
      <c r="Q44" s="5">
        <v>5244.0499999999993</v>
      </c>
      <c r="R44" s="5">
        <f t="shared" si="2"/>
        <v>31553.213581360182</v>
      </c>
      <c r="S44" s="5">
        <f>IF(SUM($F44:F44)-$E44-0&gt;0,MAX($AF44,SUM($F44:F44)-$E44-0),0)</f>
        <v>1273.57</v>
      </c>
      <c r="T44" s="5">
        <f>IF(SUM($F44:G44)-$E44-SUM($S44:S44)&gt;0,MAX($AF44,SUM($F44:G44)-$E44-SUM($S44:S44)),0)</f>
        <v>5248.54</v>
      </c>
      <c r="U44" s="5">
        <f>IF(SUM($F44:H44)-$E44-SUM($S44:T44)&gt;0,MAX($AF44,SUM($F44:H44)-$E44-SUM($S44:T44)),0)</f>
        <v>1660.9025682181382</v>
      </c>
      <c r="V44" s="5">
        <f>IF(SUM($F44:I44)-$E44-SUM($S44:U44)&gt;0,MAX($AF44,SUM($F44:I44)-$E44-SUM($S44:U44)),0)</f>
        <v>1813.5180131420429</v>
      </c>
      <c r="W44" s="5">
        <f>IF(SUM($F44:J44)-$E44-SUM($S44:V44)&gt;0,MAX($AF44,SUM($F44:J44)-$E44-SUM($S44:V44)),0)</f>
        <v>3754.5419999999995</v>
      </c>
      <c r="X44" s="5">
        <f>IF(SUM($F44:K44)-$E44-SUM($S44:W44)&gt;0,MAX($AF44,SUM($F44:K44)-$E44-SUM($S44:W44)),0)</f>
        <v>5476.8850000000002</v>
      </c>
      <c r="Y44" s="5">
        <f>IF(SUM($F44:L44)-$E44-SUM($S44:X44)&gt;0,MAX($AF44,SUM($F44:L44)-$E44-SUM($S44:X44)),0)</f>
        <v>1333.25</v>
      </c>
      <c r="Z44" s="5">
        <f>IF(SUM($F44:M44)-$E44-SUM($S44:Y44)&gt;0,MAX($AF44,SUM($F44:M44)-$E44-SUM($S44:Y44)),0)</f>
        <v>852.85199999999895</v>
      </c>
      <c r="AA44" s="5">
        <f>IF(SUM($F44:N44)-$E44-SUM($S44:Z44)&gt;0,MAX($AF44,SUM($F44:N44)-$E44-SUM($S44:Z44)),0)</f>
        <v>233.20000000000073</v>
      </c>
      <c r="AB44" s="5">
        <f>IF(SUM($F44:O44)-$E44-SUM($S44:AA44)&gt;0,MAX($AF44,SUM($F44:O44)-$E44-SUM($S44:AA44)),0)</f>
        <v>1807.2000000000007</v>
      </c>
      <c r="AC44" s="5">
        <f>IF(SUM($F44:P44)-$E44-SUM($S44:AB44)&gt;0,MAX($AF44,SUM($F44:P44)-$E44-SUM($S44:AB44)),0)</f>
        <v>2854.7040000000015</v>
      </c>
      <c r="AD44" s="5">
        <f>IF(SUM($F44:Q44)-$E44-SUM($S44:AC44)&gt;0,MAX($AF44,SUM($F44:Q44)-$E44-SUM($S44:AC44)),0)</f>
        <v>5244.0499999999993</v>
      </c>
      <c r="AE44" s="5">
        <f t="shared" si="3"/>
        <v>31553.213581360182</v>
      </c>
      <c r="AF44" s="5">
        <v>0</v>
      </c>
      <c r="AG44" s="1"/>
    </row>
    <row r="45" spans="1:33">
      <c r="A45" s="1" t="s">
        <v>147</v>
      </c>
      <c r="B45" s="1" t="s">
        <v>148</v>
      </c>
      <c r="C45" s="1" t="s">
        <v>3</v>
      </c>
      <c r="D45" s="1" t="s">
        <v>390</v>
      </c>
      <c r="E45" s="5">
        <v>0</v>
      </c>
      <c r="F45" s="5">
        <v>32400.365000000002</v>
      </c>
      <c r="G45" s="5">
        <v>35428.966589283977</v>
      </c>
      <c r="H45" s="5">
        <v>37347.800000000003</v>
      </c>
      <c r="I45" s="5">
        <v>39542.910000000003</v>
      </c>
      <c r="J45" s="5">
        <v>43558.474999999999</v>
      </c>
      <c r="K45" s="5">
        <v>87481.315000000002</v>
      </c>
      <c r="L45" s="5">
        <v>54894.35</v>
      </c>
      <c r="M45" s="5">
        <v>21805.239999999998</v>
      </c>
      <c r="N45" s="5">
        <v>11082.855</v>
      </c>
      <c r="O45" s="5">
        <v>36632.524999999994</v>
      </c>
      <c r="P45" s="5">
        <v>44204.404999999999</v>
      </c>
      <c r="Q45" s="5">
        <v>24016.21</v>
      </c>
      <c r="R45" s="5">
        <f t="shared" si="2"/>
        <v>468395.41658928402</v>
      </c>
      <c r="S45" s="5">
        <f>IF(SUM($F45:F45)-$E45-0&gt;0,MAX($AF45,SUM($F45:F45)-$E45-0),0)</f>
        <v>32400.365000000002</v>
      </c>
      <c r="T45" s="5">
        <f>IF(SUM($F45:G45)-$E45-SUM($S45:S45)&gt;0,MAX($AF45,SUM($F45:G45)-$E45-SUM($S45:S45)),0)</f>
        <v>35428.966589283969</v>
      </c>
      <c r="U45" s="5">
        <f>IF(SUM($F45:H45)-$E45-SUM($S45:T45)&gt;0,MAX($AF45,SUM($F45:H45)-$E45-SUM($S45:T45)),0)</f>
        <v>37347.800000000003</v>
      </c>
      <c r="V45" s="5">
        <f>IF(SUM($F45:I45)-$E45-SUM($S45:U45)&gt;0,MAX($AF45,SUM($F45:I45)-$E45-SUM($S45:U45)),0)</f>
        <v>39542.909999999989</v>
      </c>
      <c r="W45" s="5">
        <f>IF(SUM($F45:J45)-$E45-SUM($S45:V45)&gt;0,MAX($AF45,SUM($F45:J45)-$E45-SUM($S45:V45)),0)</f>
        <v>43558.475000000006</v>
      </c>
      <c r="X45" s="5">
        <f>IF(SUM($F45:K45)-$E45-SUM($S45:W45)&gt;0,MAX($AF45,SUM($F45:K45)-$E45-SUM($S45:W45)),0)</f>
        <v>87481.315000000031</v>
      </c>
      <c r="Y45" s="5">
        <f>IF(SUM($F45:L45)-$E45-SUM($S45:X45)&gt;0,MAX($AF45,SUM($F45:L45)-$E45-SUM($S45:X45)),0)</f>
        <v>54894.349999999977</v>
      </c>
      <c r="Z45" s="5">
        <f>IF(SUM($F45:M45)-$E45-SUM($S45:Y45)&gt;0,MAX($AF45,SUM($F45:M45)-$E45-SUM($S45:Y45)),0)</f>
        <v>21805.239999999991</v>
      </c>
      <c r="AA45" s="5">
        <f>IF(SUM($F45:N45)-$E45-SUM($S45:Z45)&gt;0,MAX($AF45,SUM($F45:N45)-$E45-SUM($S45:Z45)),0)</f>
        <v>11082.854999999981</v>
      </c>
      <c r="AB45" s="5">
        <f>IF(SUM($F45:O45)-$E45-SUM($S45:AA45)&gt;0,MAX($AF45,SUM($F45:O45)-$E45-SUM($S45:AA45)),0)</f>
        <v>36632.525000000023</v>
      </c>
      <c r="AC45" s="5">
        <f>IF(SUM($F45:P45)-$E45-SUM($S45:AB45)&gt;0,MAX($AF45,SUM($F45:P45)-$E45-SUM($S45:AB45)),0)</f>
        <v>44204.405000000028</v>
      </c>
      <c r="AD45" s="5">
        <f>IF(SUM($F45:Q45)-$E45-SUM($S45:AC45)&gt;0,MAX($AF45,SUM($F45:Q45)-$E45-SUM($S45:AC45)),0)</f>
        <v>24016.210000000021</v>
      </c>
      <c r="AE45" s="5">
        <f t="shared" si="3"/>
        <v>468395.41658928402</v>
      </c>
      <c r="AF45" s="5">
        <v>0</v>
      </c>
      <c r="AG45" s="1"/>
    </row>
    <row r="46" spans="1:33">
      <c r="A46" s="1" t="s">
        <v>149</v>
      </c>
      <c r="B46" s="1" t="s">
        <v>150</v>
      </c>
      <c r="C46" s="1" t="s">
        <v>3</v>
      </c>
      <c r="D46" s="1" t="s">
        <v>390</v>
      </c>
      <c r="E46" s="5">
        <v>2065.9877500339117</v>
      </c>
      <c r="F46" s="5">
        <v>2803.5</v>
      </c>
      <c r="G46" s="5">
        <v>6215.125</v>
      </c>
      <c r="H46" s="5">
        <v>1894.375</v>
      </c>
      <c r="I46" s="5">
        <v>3014.375</v>
      </c>
      <c r="J46" s="5">
        <v>1560.65</v>
      </c>
      <c r="K46" s="5">
        <v>6006.5249999999996</v>
      </c>
      <c r="L46" s="5">
        <v>1015</v>
      </c>
      <c r="M46" s="5">
        <v>3786.4749999999999</v>
      </c>
      <c r="N46" s="5">
        <v>4945.5</v>
      </c>
      <c r="O46" s="5">
        <v>3135.125</v>
      </c>
      <c r="P46" s="5">
        <v>4284.3500000000004</v>
      </c>
      <c r="Q46" s="5">
        <v>8624</v>
      </c>
      <c r="R46" s="5">
        <f t="shared" si="2"/>
        <v>47284.999999999993</v>
      </c>
      <c r="S46" s="5">
        <f>IF(SUM($F46:F46)-$E46-0&gt;0,MAX($AF46,SUM($F46:F46)-$E46-0),0)</f>
        <v>737.51224996608835</v>
      </c>
      <c r="T46" s="5">
        <f>IF(SUM($F46:G46)-$E46-SUM($S46:S46)&gt;0,MAX($AF46,SUM($F46:G46)-$E46-SUM($S46:S46)),0)</f>
        <v>6215.125</v>
      </c>
      <c r="U46" s="5">
        <f>IF(SUM($F46:H46)-$E46-SUM($S46:T46)&gt;0,MAX($AF46,SUM($F46:H46)-$E46-SUM($S46:T46)),0)</f>
        <v>1894.375</v>
      </c>
      <c r="V46" s="5">
        <f>IF(SUM($F46:I46)-$E46-SUM($S46:U46)&gt;0,MAX($AF46,SUM($F46:I46)-$E46-SUM($S46:U46)),0)</f>
        <v>3014.375</v>
      </c>
      <c r="W46" s="5">
        <f>IF(SUM($F46:J46)-$E46-SUM($S46:V46)&gt;0,MAX($AF46,SUM($F46:J46)-$E46-SUM($S46:V46)),0)</f>
        <v>1560.6499999999996</v>
      </c>
      <c r="X46" s="5">
        <f>IF(SUM($F46:K46)-$E46-SUM($S46:W46)&gt;0,MAX($AF46,SUM($F46:K46)-$E46-SUM($S46:W46)),0)</f>
        <v>6006.5250000000015</v>
      </c>
      <c r="Y46" s="5">
        <f>IF(SUM($F46:L46)-$E46-SUM($S46:X46)&gt;0,MAX($AF46,SUM($F46:L46)-$E46-SUM($S46:X46)),0)</f>
        <v>1015</v>
      </c>
      <c r="Z46" s="5">
        <f>IF(SUM($F46:M46)-$E46-SUM($S46:Y46)&gt;0,MAX($AF46,SUM($F46:M46)-$E46-SUM($S46:Y46)),0)</f>
        <v>3786.4749999999985</v>
      </c>
      <c r="AA46" s="5">
        <f>IF(SUM($F46:N46)-$E46-SUM($S46:Z46)&gt;0,MAX($AF46,SUM($F46:N46)-$E46-SUM($S46:Z46)),0)</f>
        <v>4945.5</v>
      </c>
      <c r="AB46" s="5">
        <f>IF(SUM($F46:O46)-$E46-SUM($S46:AA46)&gt;0,MAX($AF46,SUM($F46:O46)-$E46-SUM($S46:AA46)),0)</f>
        <v>3135.1249999999927</v>
      </c>
      <c r="AC46" s="5">
        <f>IF(SUM($F46:P46)-$E46-SUM($S46:AB46)&gt;0,MAX($AF46,SUM($F46:P46)-$E46-SUM($S46:AB46)),0)</f>
        <v>4284.3499999999985</v>
      </c>
      <c r="AD46" s="5">
        <f>IF(SUM($F46:Q46)-$E46-SUM($S46:AC46)&gt;0,MAX($AF46,SUM($F46:Q46)-$E46-SUM($S46:AC46)),0)</f>
        <v>8624</v>
      </c>
      <c r="AE46" s="5">
        <f t="shared" si="3"/>
        <v>45219.012249966079</v>
      </c>
      <c r="AF46" s="5">
        <v>0</v>
      </c>
      <c r="AG46" s="1"/>
    </row>
    <row r="47" spans="1:33">
      <c r="A47" s="1" t="s">
        <v>151</v>
      </c>
      <c r="B47" s="1" t="s">
        <v>152</v>
      </c>
      <c r="C47" s="1" t="s">
        <v>3</v>
      </c>
      <c r="D47" s="1" t="s">
        <v>390</v>
      </c>
      <c r="E47" s="5">
        <v>508.50061011133693</v>
      </c>
      <c r="F47" s="5">
        <v>73.591798648754434</v>
      </c>
      <c r="G47" s="5">
        <v>214.80500000000001</v>
      </c>
      <c r="H47" s="5">
        <v>207.18028010115626</v>
      </c>
      <c r="I47" s="5">
        <v>605.18550000000005</v>
      </c>
      <c r="J47" s="5">
        <v>781.84439190035482</v>
      </c>
      <c r="K47" s="5">
        <v>212.58199999999999</v>
      </c>
      <c r="L47" s="5">
        <v>959.30350000000021</v>
      </c>
      <c r="M47" s="5">
        <v>704.17499999999995</v>
      </c>
      <c r="N47" s="5">
        <v>119.596</v>
      </c>
      <c r="O47" s="5">
        <v>374.32400000000001</v>
      </c>
      <c r="P47" s="5">
        <v>1753.7750000000001</v>
      </c>
      <c r="Q47" s="5">
        <v>222.89950000000002</v>
      </c>
      <c r="R47" s="5">
        <f t="shared" si="2"/>
        <v>6229.2619706502674</v>
      </c>
      <c r="S47" s="5">
        <f>IF(SUM($F47:F47)-$E47-0&gt;0,MAX($AF47,SUM($F47:F47)-$E47-0),0)</f>
        <v>0</v>
      </c>
      <c r="T47" s="5">
        <f>IF(SUM($F47:G47)-$E47-SUM($S47:S47)&gt;0,MAX($AF47,SUM($F47:G47)-$E47-SUM($S47:S47)),0)</f>
        <v>0</v>
      </c>
      <c r="U47" s="5">
        <f>IF(SUM($F47:H47)-$E47-SUM($S47:T47)&gt;0,MAX($AF47,SUM($F47:H47)-$E47-SUM($S47:T47)),0)</f>
        <v>0</v>
      </c>
      <c r="V47" s="5">
        <f>IF(SUM($F47:I47)-$E47-SUM($S47:U47)&gt;0,MAX($AF47,SUM($F47:I47)-$E47-SUM($S47:U47)),0)</f>
        <v>592.26196863857376</v>
      </c>
      <c r="W47" s="5">
        <f>IF(SUM($F47:J47)-$E47-SUM($S47:V47)&gt;0,MAX($AF47,SUM($F47:J47)-$E47-SUM($S47:V47)),0)</f>
        <v>781.84439190035482</v>
      </c>
      <c r="X47" s="5">
        <f>IF(SUM($F47:K47)-$E47-SUM($S47:W47)&gt;0,MAX($AF47,SUM($F47:K47)-$E47-SUM($S47:W47)),0)</f>
        <v>212.58200000000011</v>
      </c>
      <c r="Y47" s="5">
        <f>IF(SUM($F47:L47)-$E47-SUM($S47:X47)&gt;0,MAX($AF47,SUM($F47:L47)-$E47-SUM($S47:X47)),0)</f>
        <v>959.30350000000067</v>
      </c>
      <c r="Z47" s="5">
        <f>IF(SUM($F47:M47)-$E47-SUM($S47:Y47)&gt;0,MAX($AF47,SUM($F47:M47)-$E47-SUM($S47:Y47)),0)</f>
        <v>704.17500000000018</v>
      </c>
      <c r="AA47" s="5">
        <f>IF(SUM($F47:N47)-$E47-SUM($S47:Z47)&gt;0,MAX($AF47,SUM($F47:N47)-$E47-SUM($S47:Z47)),0)</f>
        <v>119.596</v>
      </c>
      <c r="AB47" s="5">
        <f>IF(SUM($F47:O47)-$E47-SUM($S47:AA47)&gt;0,MAX($AF47,SUM($F47:O47)-$E47-SUM($S47:AA47)),0)</f>
        <v>374.32400000000007</v>
      </c>
      <c r="AC47" s="5">
        <f>IF(SUM($F47:P47)-$E47-SUM($S47:AB47)&gt;0,MAX($AF47,SUM($F47:P47)-$E47-SUM($S47:AB47)),0)</f>
        <v>1753.7750000000005</v>
      </c>
      <c r="AD47" s="5">
        <f>IF(SUM($F47:Q47)-$E47-SUM($S47:AC47)&gt;0,MAX($AF47,SUM($F47:Q47)-$E47-SUM($S47:AC47)),0)</f>
        <v>222.89950000000044</v>
      </c>
      <c r="AE47" s="5">
        <f t="shared" si="3"/>
        <v>5720.7613605389306</v>
      </c>
      <c r="AF47" s="5">
        <v>0</v>
      </c>
      <c r="AG47" s="1"/>
    </row>
    <row r="48" spans="1:33">
      <c r="A48" s="1" t="s">
        <v>153</v>
      </c>
      <c r="B48" s="1" t="s">
        <v>154</v>
      </c>
      <c r="C48" s="1" t="s">
        <v>3</v>
      </c>
      <c r="D48" s="1" t="s">
        <v>390</v>
      </c>
      <c r="E48" s="5">
        <v>0</v>
      </c>
      <c r="F48" s="5">
        <v>8241.3112801252137</v>
      </c>
      <c r="G48" s="5">
        <v>9527.536807951099</v>
      </c>
      <c r="H48" s="5">
        <v>5720.1190966026961</v>
      </c>
      <c r="I48" s="5">
        <v>7310.7320000000009</v>
      </c>
      <c r="J48" s="5">
        <v>11807.815999999999</v>
      </c>
      <c r="K48" s="5">
        <v>16436.867999999999</v>
      </c>
      <c r="L48" s="5">
        <v>3215.174</v>
      </c>
      <c r="M48" s="5">
        <v>7801.5679999999993</v>
      </c>
      <c r="N48" s="5">
        <v>1586.9870000000001</v>
      </c>
      <c r="O48" s="5">
        <v>3115.857</v>
      </c>
      <c r="P48" s="5">
        <v>6903.0550000000003</v>
      </c>
      <c r="Q48" s="5">
        <v>7105.4179999999988</v>
      </c>
      <c r="R48" s="5">
        <f t="shared" si="2"/>
        <v>88772.442184679006</v>
      </c>
      <c r="S48" s="5">
        <f>IF(SUM($F48:F48)-$E48-0&gt;0,MAX($AF48,SUM($F48:F48)-$E48-0),0)</f>
        <v>8241.3112801252137</v>
      </c>
      <c r="T48" s="5">
        <f>IF(SUM($F48:G48)-$E48-SUM($S48:S48)&gt;0,MAX($AF48,SUM($F48:G48)-$E48-SUM($S48:S48)),0)</f>
        <v>9527.536807951099</v>
      </c>
      <c r="U48" s="5">
        <f>IF(SUM($F48:H48)-$E48-SUM($S48:T48)&gt;0,MAX($AF48,SUM($F48:H48)-$E48-SUM($S48:T48)),0)</f>
        <v>5720.1190966026952</v>
      </c>
      <c r="V48" s="5">
        <f>IF(SUM($F48:I48)-$E48-SUM($S48:U48)&gt;0,MAX($AF48,SUM($F48:I48)-$E48-SUM($S48:U48)),0)</f>
        <v>7310.732</v>
      </c>
      <c r="W48" s="5">
        <f>IF(SUM($F48:J48)-$E48-SUM($S48:V48)&gt;0,MAX($AF48,SUM($F48:J48)-$E48-SUM($S48:V48)),0)</f>
        <v>11807.816000000003</v>
      </c>
      <c r="X48" s="5">
        <f>IF(SUM($F48:K48)-$E48-SUM($S48:W48)&gt;0,MAX($AF48,SUM($F48:K48)-$E48-SUM($S48:W48)),0)</f>
        <v>16436.868000000002</v>
      </c>
      <c r="Y48" s="5">
        <f>IF(SUM($F48:L48)-$E48-SUM($S48:X48)&gt;0,MAX($AF48,SUM($F48:L48)-$E48-SUM($S48:X48)),0)</f>
        <v>3215.1739999999991</v>
      </c>
      <c r="Z48" s="5">
        <f>IF(SUM($F48:M48)-$E48-SUM($S48:Y48)&gt;0,MAX($AF48,SUM($F48:M48)-$E48-SUM($S48:Y48)),0)</f>
        <v>7801.5679999999993</v>
      </c>
      <c r="AA48" s="5">
        <f>IF(SUM($F48:N48)-$E48-SUM($S48:Z48)&gt;0,MAX($AF48,SUM($F48:N48)-$E48-SUM($S48:Z48)),0)</f>
        <v>1586.9869999999937</v>
      </c>
      <c r="AB48" s="5">
        <f>IF(SUM($F48:O48)-$E48-SUM($S48:AA48)&gt;0,MAX($AF48,SUM($F48:O48)-$E48-SUM($S48:AA48)),0)</f>
        <v>3115.8570000000036</v>
      </c>
      <c r="AC48" s="5">
        <f>IF(SUM($F48:P48)-$E48-SUM($S48:AB48)&gt;0,MAX($AF48,SUM($F48:P48)-$E48-SUM($S48:AB48)),0)</f>
        <v>6903.054999999993</v>
      </c>
      <c r="AD48" s="5">
        <f>IF(SUM($F48:Q48)-$E48-SUM($S48:AC48)&gt;0,MAX($AF48,SUM($F48:Q48)-$E48-SUM($S48:AC48)),0)</f>
        <v>7105.4180000000051</v>
      </c>
      <c r="AE48" s="5">
        <f t="shared" si="3"/>
        <v>88772.442184679006</v>
      </c>
      <c r="AF48" s="5">
        <v>0</v>
      </c>
      <c r="AG48" s="1"/>
    </row>
    <row r="49" spans="1:33">
      <c r="A49" s="1" t="s">
        <v>155</v>
      </c>
      <c r="B49" s="1" t="s">
        <v>156</v>
      </c>
      <c r="C49" s="1" t="s">
        <v>3</v>
      </c>
      <c r="D49" s="1" t="s">
        <v>390</v>
      </c>
      <c r="E49" s="5">
        <v>30.758222282473355</v>
      </c>
      <c r="F49" s="5">
        <v>0</v>
      </c>
      <c r="G49" s="5">
        <v>8.25</v>
      </c>
      <c r="H49" s="5">
        <v>1991.507927185105</v>
      </c>
      <c r="I49" s="5">
        <v>1371.5031193113364</v>
      </c>
      <c r="J49" s="5">
        <v>597.625</v>
      </c>
      <c r="K49" s="5">
        <v>483.03800000000001</v>
      </c>
      <c r="L49" s="5">
        <v>9.4049999999999994</v>
      </c>
      <c r="M49" s="5">
        <v>270.77699999999999</v>
      </c>
      <c r="N49" s="5">
        <v>20.9</v>
      </c>
      <c r="O49" s="5">
        <v>271.7</v>
      </c>
      <c r="P49" s="5">
        <v>61.55</v>
      </c>
      <c r="Q49" s="5">
        <v>345.65499999999997</v>
      </c>
      <c r="R49" s="5">
        <f t="shared" si="2"/>
        <v>5431.9110464964406</v>
      </c>
      <c r="S49" s="5">
        <f>IF(SUM($F49:F49)-$E49-0&gt;0,MAX($AF49,SUM($F49:F49)-$E49-0),0)</f>
        <v>0</v>
      </c>
      <c r="T49" s="5">
        <f>IF(SUM($F49:G49)-$E49-SUM($S49:S49)&gt;0,MAX($AF49,SUM($F49:G49)-$E49-SUM($S49:S49)),0)</f>
        <v>0</v>
      </c>
      <c r="U49" s="5">
        <f>IF(SUM($F49:H49)-$E49-SUM($S49:T49)&gt;0,MAX($AF49,SUM($F49:H49)-$E49-SUM($S49:T49)),0)</f>
        <v>1968.9997049026317</v>
      </c>
      <c r="V49" s="5">
        <f>IF(SUM($F49:I49)-$E49-SUM($S49:U49)&gt;0,MAX($AF49,SUM($F49:I49)-$E49-SUM($S49:U49)),0)</f>
        <v>1371.5031193113361</v>
      </c>
      <c r="W49" s="5">
        <f>IF(SUM($F49:J49)-$E49-SUM($S49:V49)&gt;0,MAX($AF49,SUM($F49:J49)-$E49-SUM($S49:V49)),0)</f>
        <v>597.625</v>
      </c>
      <c r="X49" s="5">
        <f>IF(SUM($F49:K49)-$E49-SUM($S49:W49)&gt;0,MAX($AF49,SUM($F49:K49)-$E49-SUM($S49:W49)),0)</f>
        <v>483.03800000000047</v>
      </c>
      <c r="Y49" s="5">
        <f>IF(SUM($F49:L49)-$E49-SUM($S49:X49)&gt;0,MAX($AF49,SUM($F49:L49)-$E49-SUM($S49:X49)),0)</f>
        <v>9.4049999999997453</v>
      </c>
      <c r="Z49" s="5">
        <f>IF(SUM($F49:M49)-$E49-SUM($S49:Y49)&gt;0,MAX($AF49,SUM($F49:M49)-$E49-SUM($S49:Y49)),0)</f>
        <v>270.77700000000004</v>
      </c>
      <c r="AA49" s="5">
        <f>IF(SUM($F49:N49)-$E49-SUM($S49:Z49)&gt;0,MAX($AF49,SUM($F49:N49)-$E49-SUM($S49:Z49)),0)</f>
        <v>20.899999999999636</v>
      </c>
      <c r="AB49" s="5">
        <f>IF(SUM($F49:O49)-$E49-SUM($S49:AA49)&gt;0,MAX($AF49,SUM($F49:O49)-$E49-SUM($S49:AA49)),0)</f>
        <v>271.69999999999982</v>
      </c>
      <c r="AC49" s="5">
        <f>IF(SUM($F49:P49)-$E49-SUM($S49:AB49)&gt;0,MAX($AF49,SUM($F49:P49)-$E49-SUM($S49:AB49)),0)</f>
        <v>61.550000000000182</v>
      </c>
      <c r="AD49" s="5">
        <f>IF(SUM($F49:Q49)-$E49-SUM($S49:AC49)&gt;0,MAX($AF49,SUM($F49:Q49)-$E49-SUM($S49:AC49)),0)</f>
        <v>345.65499999999975</v>
      </c>
      <c r="AE49" s="5">
        <f t="shared" si="3"/>
        <v>5401.1528242139675</v>
      </c>
      <c r="AF49" s="5">
        <v>0</v>
      </c>
      <c r="AG49" s="1"/>
    </row>
    <row r="50" spans="1:33">
      <c r="A50" s="1" t="s">
        <v>157</v>
      </c>
      <c r="B50" s="1" t="s">
        <v>158</v>
      </c>
      <c r="C50" s="1" t="s">
        <v>3</v>
      </c>
      <c r="D50" s="1" t="s">
        <v>390</v>
      </c>
      <c r="E50" s="5">
        <v>0</v>
      </c>
      <c r="F50" s="5">
        <v>0</v>
      </c>
      <c r="G50" s="5">
        <v>0</v>
      </c>
      <c r="H50" s="5">
        <v>3173.9259999999999</v>
      </c>
      <c r="I50" s="5">
        <v>0</v>
      </c>
      <c r="J50" s="5">
        <v>100</v>
      </c>
      <c r="K50" s="5">
        <v>3173.9259999999999</v>
      </c>
      <c r="L50" s="5">
        <v>0</v>
      </c>
      <c r="M50" s="5">
        <v>0</v>
      </c>
      <c r="N50" s="5">
        <v>0</v>
      </c>
      <c r="O50" s="5">
        <v>100</v>
      </c>
      <c r="P50" s="5">
        <v>4174.4279999999999</v>
      </c>
      <c r="Q50" s="5">
        <v>100</v>
      </c>
      <c r="R50" s="5">
        <f t="shared" si="2"/>
        <v>10822.279999999999</v>
      </c>
      <c r="S50" s="5">
        <f>IF(SUM($F50:F50)-$E50-0&gt;0,MAX($AF50,SUM($F50:F50)-$E50-0),0)</f>
        <v>0</v>
      </c>
      <c r="T50" s="5">
        <f>IF(SUM($F50:G50)-$E50-SUM($S50:S50)&gt;0,MAX($AF50,SUM($F50:G50)-$E50-SUM($S50:S50)),0)</f>
        <v>0</v>
      </c>
      <c r="U50" s="5">
        <f>IF(SUM($F50:H50)-$E50-SUM($S50:T50)&gt;0,MAX($AF50,SUM($F50:H50)-$E50-SUM($S50:T50)),0)</f>
        <v>3173.9259999999999</v>
      </c>
      <c r="V50" s="5">
        <f>IF(SUM($F50:I50)-$E50-SUM($S50:U50)&gt;0,MAX($AF50,SUM($F50:I50)-$E50-SUM($S50:U50)),0)</f>
        <v>0</v>
      </c>
      <c r="W50" s="5">
        <f>IF(SUM($F50:J50)-$E50-SUM($S50:V50)&gt;0,MAX($AF50,SUM($F50:J50)-$E50-SUM($S50:V50)),0)</f>
        <v>100</v>
      </c>
      <c r="X50" s="5">
        <f>IF(SUM($F50:K50)-$E50-SUM($S50:W50)&gt;0,MAX($AF50,SUM($F50:K50)-$E50-SUM($S50:W50)),0)</f>
        <v>3173.9259999999999</v>
      </c>
      <c r="Y50" s="5">
        <f>IF(SUM($F50:L50)-$E50-SUM($S50:X50)&gt;0,MAX($AF50,SUM($F50:L50)-$E50-SUM($S50:X50)),0)</f>
        <v>0</v>
      </c>
      <c r="Z50" s="5">
        <f>IF(SUM($F50:M50)-$E50-SUM($S50:Y50)&gt;0,MAX($AF50,SUM($F50:M50)-$E50-SUM($S50:Y50)),0)</f>
        <v>0</v>
      </c>
      <c r="AA50" s="5">
        <f>IF(SUM($F50:N50)-$E50-SUM($S50:Z50)&gt;0,MAX($AF50,SUM($F50:N50)-$E50-SUM($S50:Z50)),0)</f>
        <v>0</v>
      </c>
      <c r="AB50" s="5">
        <f>IF(SUM($F50:O50)-$E50-SUM($S50:AA50)&gt;0,MAX($AF50,SUM($F50:O50)-$E50-SUM($S50:AA50)),0)</f>
        <v>100</v>
      </c>
      <c r="AC50" s="5">
        <f>IF(SUM($F50:P50)-$E50-SUM($S50:AB50)&gt;0,MAX($AF50,SUM($F50:P50)-$E50-SUM($S50:AB50)),0)</f>
        <v>4174.427999999999</v>
      </c>
      <c r="AD50" s="5">
        <f>IF(SUM($F50:Q50)-$E50-SUM($S50:AC50)&gt;0,MAX($AF50,SUM($F50:Q50)-$E50-SUM($S50:AC50)),0)</f>
        <v>100</v>
      </c>
      <c r="AE50" s="5">
        <f t="shared" si="3"/>
        <v>10822.279999999999</v>
      </c>
      <c r="AF50" s="5">
        <v>0</v>
      </c>
      <c r="AG50" s="1"/>
    </row>
    <row r="51" spans="1:33">
      <c r="A51" s="1" t="s">
        <v>159</v>
      </c>
      <c r="B51" s="1" t="s">
        <v>160</v>
      </c>
      <c r="C51" s="1" t="s">
        <v>3</v>
      </c>
      <c r="D51" s="1" t="s">
        <v>390</v>
      </c>
      <c r="E51" s="5">
        <v>0</v>
      </c>
      <c r="F51" s="5">
        <v>54.088438638329222</v>
      </c>
      <c r="G51" s="5">
        <v>749.42399999999998</v>
      </c>
      <c r="H51" s="5">
        <v>262.44587737785417</v>
      </c>
      <c r="I51" s="5">
        <v>396.69</v>
      </c>
      <c r="J51" s="5">
        <v>560.37399999999991</v>
      </c>
      <c r="K51" s="5">
        <v>754.02099999999996</v>
      </c>
      <c r="L51" s="5">
        <v>320.25200000000001</v>
      </c>
      <c r="M51" s="5">
        <v>354.32600000000002</v>
      </c>
      <c r="N51" s="5">
        <v>93.66</v>
      </c>
      <c r="O51" s="5">
        <v>205.97199999999998</v>
      </c>
      <c r="P51" s="5">
        <v>156.58799999999999</v>
      </c>
      <c r="Q51" s="5">
        <v>1470.7839999999999</v>
      </c>
      <c r="R51" s="5">
        <f t="shared" si="2"/>
        <v>5378.6253160161832</v>
      </c>
      <c r="S51" s="5">
        <f>IF(SUM($F51:F51)-$E51-0&gt;0,MAX($AF51,SUM($F51:F51)-$E51-0),0)</f>
        <v>54.088438638329222</v>
      </c>
      <c r="T51" s="5">
        <f>IF(SUM($F51:G51)-$E51-SUM($S51:S51)&gt;0,MAX($AF51,SUM($F51:G51)-$E51-SUM($S51:S51)),0)</f>
        <v>749.42399999999998</v>
      </c>
      <c r="U51" s="5">
        <f>IF(SUM($F51:H51)-$E51-SUM($S51:T51)&gt;0,MAX($AF51,SUM($F51:H51)-$E51-SUM($S51:T51)),0)</f>
        <v>262.44587737785412</v>
      </c>
      <c r="V51" s="5">
        <f>IF(SUM($F51:I51)-$E51-SUM($S51:U51)&gt;0,MAX($AF51,SUM($F51:I51)-$E51-SUM($S51:U51)),0)</f>
        <v>396.69000000000005</v>
      </c>
      <c r="W51" s="5">
        <f>IF(SUM($F51:J51)-$E51-SUM($S51:V51)&gt;0,MAX($AF51,SUM($F51:J51)-$E51-SUM($S51:V51)),0)</f>
        <v>560.3739999999998</v>
      </c>
      <c r="X51" s="5">
        <f>IF(SUM($F51:K51)-$E51-SUM($S51:W51)&gt;0,MAX($AF51,SUM($F51:K51)-$E51-SUM($S51:W51)),0)</f>
        <v>754.02099999999973</v>
      </c>
      <c r="Y51" s="5">
        <f>IF(SUM($F51:L51)-$E51-SUM($S51:X51)&gt;0,MAX($AF51,SUM($F51:L51)-$E51-SUM($S51:X51)),0)</f>
        <v>320.25199999999995</v>
      </c>
      <c r="Z51" s="5">
        <f>IF(SUM($F51:M51)-$E51-SUM($S51:Y51)&gt;0,MAX($AF51,SUM($F51:M51)-$E51-SUM($S51:Y51)),0)</f>
        <v>354.32600000000002</v>
      </c>
      <c r="AA51" s="5">
        <f>IF(SUM($F51:N51)-$E51-SUM($S51:Z51)&gt;0,MAX($AF51,SUM($F51:N51)-$E51-SUM($S51:Z51)),0)</f>
        <v>93.659999999999854</v>
      </c>
      <c r="AB51" s="5">
        <f>IF(SUM($F51:O51)-$E51-SUM($S51:AA51)&gt;0,MAX($AF51,SUM($F51:O51)-$E51-SUM($S51:AA51)),0)</f>
        <v>205.97200000000021</v>
      </c>
      <c r="AC51" s="5">
        <f>IF(SUM($F51:P51)-$E51-SUM($S51:AB51)&gt;0,MAX($AF51,SUM($F51:P51)-$E51-SUM($S51:AB51)),0)</f>
        <v>156.58800000000019</v>
      </c>
      <c r="AD51" s="5">
        <f>IF(SUM($F51:Q51)-$E51-SUM($S51:AC51)&gt;0,MAX($AF51,SUM($F51:Q51)-$E51-SUM($S51:AC51)),0)</f>
        <v>1470.7840000000001</v>
      </c>
      <c r="AE51" s="5">
        <f t="shared" si="3"/>
        <v>5378.6253160161832</v>
      </c>
      <c r="AF51" s="5">
        <v>0</v>
      </c>
      <c r="AG51" s="1"/>
    </row>
    <row r="52" spans="1:33">
      <c r="A52" s="1" t="s">
        <v>161</v>
      </c>
      <c r="B52" s="1" t="s">
        <v>162</v>
      </c>
      <c r="C52" s="1" t="s">
        <v>3</v>
      </c>
      <c r="D52" s="1" t="s">
        <v>390</v>
      </c>
      <c r="E52" s="5">
        <v>0</v>
      </c>
      <c r="F52" s="5">
        <v>1789.5789536715806</v>
      </c>
      <c r="G52" s="5">
        <v>2448.0168820347531</v>
      </c>
      <c r="H52" s="5">
        <v>5451.3570666466694</v>
      </c>
      <c r="I52" s="5">
        <v>1484.5499999999997</v>
      </c>
      <c r="J52" s="5">
        <v>4263.5500000000011</v>
      </c>
      <c r="K52" s="5">
        <v>4127.2473199999995</v>
      </c>
      <c r="L52" s="5">
        <v>2257.7473500000001</v>
      </c>
      <c r="M52" s="5">
        <v>1815.6780000000003</v>
      </c>
      <c r="N52" s="5">
        <v>1136.2</v>
      </c>
      <c r="O52" s="5">
        <v>1861.8283000000001</v>
      </c>
      <c r="P52" s="5">
        <v>1528.2515900000001</v>
      </c>
      <c r="Q52" s="5">
        <v>5101.7330499999998</v>
      </c>
      <c r="R52" s="5">
        <f t="shared" si="2"/>
        <v>33265.738512353004</v>
      </c>
      <c r="S52" s="5">
        <f>IF(SUM($F52:F52)-$E52-0&gt;0,MAX($AF52,SUM($F52:F52)-$E52-0),0)</f>
        <v>1789.5789536715806</v>
      </c>
      <c r="T52" s="5">
        <f>IF(SUM($F52:G52)-$E52-SUM($S52:S52)&gt;0,MAX($AF52,SUM($F52:G52)-$E52-SUM($S52:S52)),0)</f>
        <v>2448.0168820347531</v>
      </c>
      <c r="U52" s="5">
        <f>IF(SUM($F52:H52)-$E52-SUM($S52:T52)&gt;0,MAX($AF52,SUM($F52:H52)-$E52-SUM($S52:T52)),0)</f>
        <v>5451.3570666466694</v>
      </c>
      <c r="V52" s="5">
        <f>IF(SUM($F52:I52)-$E52-SUM($S52:U52)&gt;0,MAX($AF52,SUM($F52:I52)-$E52-SUM($S52:U52)),0)</f>
        <v>1484.5499999999993</v>
      </c>
      <c r="W52" s="5">
        <f>IF(SUM($F52:J52)-$E52-SUM($S52:V52)&gt;0,MAX($AF52,SUM($F52:J52)-$E52-SUM($S52:V52)),0)</f>
        <v>4263.5500000000011</v>
      </c>
      <c r="X52" s="5">
        <f>IF(SUM($F52:K52)-$E52-SUM($S52:W52)&gt;0,MAX($AF52,SUM($F52:K52)-$E52-SUM($S52:W52)),0)</f>
        <v>4127.2473199999986</v>
      </c>
      <c r="Y52" s="5">
        <f>IF(SUM($F52:L52)-$E52-SUM($S52:X52)&gt;0,MAX($AF52,SUM($F52:L52)-$E52-SUM($S52:X52)),0)</f>
        <v>2257.7473500000015</v>
      </c>
      <c r="Z52" s="5">
        <f>IF(SUM($F52:M52)-$E52-SUM($S52:Y52)&gt;0,MAX($AF52,SUM($F52:M52)-$E52-SUM($S52:Y52)),0)</f>
        <v>1815.6779999999999</v>
      </c>
      <c r="AA52" s="5">
        <f>IF(SUM($F52:N52)-$E52-SUM($S52:Z52)&gt;0,MAX($AF52,SUM($F52:N52)-$E52-SUM($S52:Z52)),0)</f>
        <v>1136.2000000000007</v>
      </c>
      <c r="AB52" s="5">
        <f>IF(SUM($F52:O52)-$E52-SUM($S52:AA52)&gt;0,MAX($AF52,SUM($F52:O52)-$E52-SUM($S52:AA52)),0)</f>
        <v>1861.828300000001</v>
      </c>
      <c r="AC52" s="5">
        <f>IF(SUM($F52:P52)-$E52-SUM($S52:AB52)&gt;0,MAX($AF52,SUM($F52:P52)-$E52-SUM($S52:AB52)),0)</f>
        <v>1528.2515899999999</v>
      </c>
      <c r="AD52" s="5">
        <f>IF(SUM($F52:Q52)-$E52-SUM($S52:AC52)&gt;0,MAX($AF52,SUM($F52:Q52)-$E52-SUM($S52:AC52)),0)</f>
        <v>5101.7330499999989</v>
      </c>
      <c r="AE52" s="5">
        <f t="shared" si="3"/>
        <v>33265.738512353004</v>
      </c>
      <c r="AF52" s="5">
        <v>0</v>
      </c>
      <c r="AG52" s="1"/>
    </row>
    <row r="53" spans="1:33">
      <c r="A53" s="1" t="s">
        <v>163</v>
      </c>
      <c r="B53" s="1" t="s">
        <v>164</v>
      </c>
      <c r="C53" s="1" t="s">
        <v>3</v>
      </c>
      <c r="D53" s="1" t="s">
        <v>390</v>
      </c>
      <c r="E53" s="5">
        <v>0</v>
      </c>
      <c r="F53" s="5">
        <v>44276.052403646914</v>
      </c>
      <c r="G53" s="5">
        <v>63813.897150040109</v>
      </c>
      <c r="H53" s="5">
        <v>189992.61811023625</v>
      </c>
      <c r="I53" s="5">
        <v>91522.918441238973</v>
      </c>
      <c r="J53" s="5">
        <v>276095.6709963273</v>
      </c>
      <c r="K53" s="5">
        <v>206333.44665230004</v>
      </c>
      <c r="L53" s="5">
        <v>146863.16103605472</v>
      </c>
      <c r="M53" s="5">
        <v>50358.702004144216</v>
      </c>
      <c r="N53" s="5">
        <v>32088.806488188977</v>
      </c>
      <c r="O53" s="5">
        <v>43217.42912598425</v>
      </c>
      <c r="P53" s="5">
        <v>72859.483122668884</v>
      </c>
      <c r="Q53" s="5">
        <v>144059.71248031495</v>
      </c>
      <c r="R53" s="5">
        <f t="shared" si="2"/>
        <v>1361481.8980111456</v>
      </c>
      <c r="S53" s="5">
        <f>IF(SUM($F53:F53)-$E53-0&gt;0,MAX($AF53,SUM($F53:F53)-$E53-0),0)</f>
        <v>44276.052403646914</v>
      </c>
      <c r="T53" s="5">
        <f>IF(SUM($F53:G53)-$E53-SUM($S53:S53)&gt;0,MAX($AF53,SUM($F53:G53)-$E53-SUM($S53:S53)),0)</f>
        <v>63813.897150040109</v>
      </c>
      <c r="U53" s="5">
        <f>IF(SUM($F53:H53)-$E53-SUM($S53:T53)&gt;0,MAX($AF53,SUM($F53:H53)-$E53-SUM($S53:T53)),0)</f>
        <v>189992.61811023625</v>
      </c>
      <c r="V53" s="5">
        <f>IF(SUM($F53:I53)-$E53-SUM($S53:U53)&gt;0,MAX($AF53,SUM($F53:I53)-$E53-SUM($S53:U53)),0)</f>
        <v>91522.918441238988</v>
      </c>
      <c r="W53" s="5">
        <f>IF(SUM($F53:J53)-$E53-SUM($S53:V53)&gt;0,MAX($AF53,SUM($F53:J53)-$E53-SUM($S53:V53)),0)</f>
        <v>276095.67099632736</v>
      </c>
      <c r="X53" s="5">
        <f>IF(SUM($F53:K53)-$E53-SUM($S53:W53)&gt;0,MAX($AF53,SUM($F53:K53)-$E53-SUM($S53:W53)),0)</f>
        <v>206333.44665230007</v>
      </c>
      <c r="Y53" s="5">
        <f>IF(SUM($F53:L53)-$E53-SUM($S53:X53)&gt;0,MAX($AF53,SUM($F53:L53)-$E53-SUM($S53:X53)),0)</f>
        <v>146863.16103605472</v>
      </c>
      <c r="Z53" s="5">
        <f>IF(SUM($F53:M53)-$E53-SUM($S53:Y53)&gt;0,MAX($AF53,SUM($F53:M53)-$E53-SUM($S53:Y53)),0)</f>
        <v>50358.702004144201</v>
      </c>
      <c r="AA53" s="5">
        <f>IF(SUM($F53:N53)-$E53-SUM($S53:Z53)&gt;0,MAX($AF53,SUM($F53:N53)-$E53-SUM($S53:Z53)),0)</f>
        <v>32088.806488188915</v>
      </c>
      <c r="AB53" s="5">
        <f>IF(SUM($F53:O53)-$E53-SUM($S53:AA53)&gt;0,MAX($AF53,SUM($F53:O53)-$E53-SUM($S53:AA53)),0)</f>
        <v>43217.429125984199</v>
      </c>
      <c r="AC53" s="5">
        <f>IF(SUM($F53:P53)-$E53-SUM($S53:AB53)&gt;0,MAX($AF53,SUM($F53:P53)-$E53-SUM($S53:AB53)),0)</f>
        <v>72859.483122668928</v>
      </c>
      <c r="AD53" s="5">
        <f>IF(SUM($F53:Q53)-$E53-SUM($S53:AC53)&gt;0,MAX($AF53,SUM($F53:Q53)-$E53-SUM($S53:AC53)),0)</f>
        <v>144059.71248031501</v>
      </c>
      <c r="AE53" s="5">
        <f t="shared" si="3"/>
        <v>1361481.8980111456</v>
      </c>
      <c r="AF53" s="5">
        <v>0</v>
      </c>
      <c r="AG53" s="1"/>
    </row>
    <row r="54" spans="1:33">
      <c r="A54" s="1" t="s">
        <v>165</v>
      </c>
      <c r="B54" s="1" t="s">
        <v>166</v>
      </c>
      <c r="C54" s="1" t="s">
        <v>3</v>
      </c>
      <c r="D54" s="1" t="s">
        <v>390</v>
      </c>
      <c r="E54" s="5">
        <v>315</v>
      </c>
      <c r="F54" s="5">
        <v>0</v>
      </c>
      <c r="G54" s="5">
        <v>0</v>
      </c>
      <c r="H54" s="5">
        <v>543</v>
      </c>
      <c r="I54" s="5">
        <v>103</v>
      </c>
      <c r="J54" s="5">
        <v>35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f t="shared" si="2"/>
        <v>681</v>
      </c>
      <c r="S54" s="5">
        <f>IF(SUM($F54:F54)-$E54-0&gt;0,MAX($AF54,SUM($F54:F54)-$E54-0),0)</f>
        <v>0</v>
      </c>
      <c r="T54" s="5">
        <f>IF(SUM($F54:G54)-$E54-SUM($S54:S54)&gt;0,MAX($AF54,SUM($F54:G54)-$E54-SUM($S54:S54)),0)</f>
        <v>0</v>
      </c>
      <c r="U54" s="5">
        <f>IF(SUM($F54:H54)-$E54-SUM($S54:T54)&gt;0,MAX($AF54,SUM($F54:H54)-$E54-SUM($S54:T54)),0)</f>
        <v>1200</v>
      </c>
      <c r="V54" s="5">
        <f>IF(SUM($F54:I54)-$E54-SUM($S54:U54)&gt;0,MAX($AF54,SUM($F54:I54)-$E54-SUM($S54:U54)),0)</f>
        <v>0</v>
      </c>
      <c r="W54" s="5">
        <f>IF(SUM($F54:J54)-$E54-SUM($S54:V54)&gt;0,MAX($AF54,SUM($F54:J54)-$E54-SUM($S54:V54)),0)</f>
        <v>0</v>
      </c>
      <c r="X54" s="5">
        <f>IF(SUM($F54:K54)-$E54-SUM($S54:W54)&gt;0,MAX($AF54,SUM($F54:K54)-$E54-SUM($S54:W54)),0)</f>
        <v>0</v>
      </c>
      <c r="Y54" s="5">
        <f>IF(SUM($F54:L54)-$E54-SUM($S54:X54)&gt;0,MAX($AF54,SUM($F54:L54)-$E54-SUM($S54:X54)),0)</f>
        <v>0</v>
      </c>
      <c r="Z54" s="5">
        <f>IF(SUM($F54:M54)-$E54-SUM($S54:Y54)&gt;0,MAX($AF54,SUM($F54:M54)-$E54-SUM($S54:Y54)),0)</f>
        <v>0</v>
      </c>
      <c r="AA54" s="5">
        <f>IF(SUM($F54:N54)-$E54-SUM($S54:Z54)&gt;0,MAX($AF54,SUM($F54:N54)-$E54-SUM($S54:Z54)),0)</f>
        <v>0</v>
      </c>
      <c r="AB54" s="5">
        <f>IF(SUM($F54:O54)-$E54-SUM($S54:AA54)&gt;0,MAX($AF54,SUM($F54:O54)-$E54-SUM($S54:AA54)),0)</f>
        <v>0</v>
      </c>
      <c r="AC54" s="5">
        <f>IF(SUM($F54:P54)-$E54-SUM($S54:AB54)&gt;0,MAX($AF54,SUM($F54:P54)-$E54-SUM($S54:AB54)),0)</f>
        <v>0</v>
      </c>
      <c r="AD54" s="5">
        <f>IF(SUM($F54:Q54)-$E54-SUM($S54:AC54)&gt;0,MAX($AF54,SUM($F54:Q54)-$E54-SUM($S54:AC54)),0)</f>
        <v>0</v>
      </c>
      <c r="AE54" s="5">
        <f t="shared" si="3"/>
        <v>1200</v>
      </c>
      <c r="AF54" s="5">
        <v>1200</v>
      </c>
      <c r="AG54" s="1" t="s">
        <v>391</v>
      </c>
    </row>
    <row r="55" spans="1:33">
      <c r="A55" s="1" t="s">
        <v>167</v>
      </c>
      <c r="B55" s="1" t="s">
        <v>168</v>
      </c>
      <c r="C55" s="1" t="s">
        <v>3</v>
      </c>
      <c r="D55" s="1" t="s">
        <v>390</v>
      </c>
      <c r="E55" s="5">
        <v>520.73107181630633</v>
      </c>
      <c r="F55" s="5">
        <v>0</v>
      </c>
      <c r="G55" s="5">
        <v>0</v>
      </c>
      <c r="H55" s="5">
        <v>0</v>
      </c>
      <c r="I55" s="5">
        <v>0</v>
      </c>
      <c r="J55" s="5">
        <v>535.43399999999997</v>
      </c>
      <c r="K55" s="5">
        <v>77.5</v>
      </c>
      <c r="L55" s="5">
        <v>770</v>
      </c>
      <c r="M55" s="5">
        <v>35</v>
      </c>
      <c r="N55" s="5">
        <v>0</v>
      </c>
      <c r="O55" s="5">
        <v>0</v>
      </c>
      <c r="P55" s="5">
        <v>513.22</v>
      </c>
      <c r="Q55" s="5">
        <v>0</v>
      </c>
      <c r="R55" s="5">
        <f t="shared" si="2"/>
        <v>1931.154</v>
      </c>
      <c r="S55" s="5">
        <f>IF(SUM($F55:F55)-$E55-0&gt;0,MAX($AF55,SUM($F55:F55)-$E55-0),0)</f>
        <v>0</v>
      </c>
      <c r="T55" s="5">
        <f>IF(SUM($F55:G55)-$E55-SUM($S55:S55)&gt;0,MAX($AF55,SUM($F55:G55)-$E55-SUM($S55:S55)),0)</f>
        <v>0</v>
      </c>
      <c r="U55" s="5">
        <f>IF(SUM($F55:H55)-$E55-SUM($S55:T55)&gt;0,MAX($AF55,SUM($F55:H55)-$E55-SUM($S55:T55)),0)</f>
        <v>0</v>
      </c>
      <c r="V55" s="5">
        <f>IF(SUM($F55:I55)-$E55-SUM($S55:U55)&gt;0,MAX($AF55,SUM($F55:I55)-$E55-SUM($S55:U55)),0)</f>
        <v>0</v>
      </c>
      <c r="W55" s="5">
        <f>IF(SUM($F55:J55)-$E55-SUM($S55:V55)&gt;0,MAX($AF55,SUM($F55:J55)-$E55-SUM($S55:V55)),0)</f>
        <v>14.702928183693643</v>
      </c>
      <c r="X55" s="5">
        <f>IF(SUM($F55:K55)-$E55-SUM($S55:W55)&gt;0,MAX($AF55,SUM($F55:K55)-$E55-SUM($S55:W55)),0)</f>
        <v>77.5</v>
      </c>
      <c r="Y55" s="5">
        <f>IF(SUM($F55:L55)-$E55-SUM($S55:X55)&gt;0,MAX($AF55,SUM($F55:L55)-$E55-SUM($S55:X55)),0)</f>
        <v>770</v>
      </c>
      <c r="Z55" s="5">
        <f>IF(SUM($F55:M55)-$E55-SUM($S55:Y55)&gt;0,MAX($AF55,SUM($F55:M55)-$E55-SUM($S55:Y55)),0)</f>
        <v>35</v>
      </c>
      <c r="AA55" s="5">
        <f>IF(SUM($F55:N55)-$E55-SUM($S55:Z55)&gt;0,MAX($AF55,SUM($F55:N55)-$E55-SUM($S55:Z55)),0)</f>
        <v>0</v>
      </c>
      <c r="AB55" s="5">
        <f>IF(SUM($F55:O55)-$E55-SUM($S55:AA55)&gt;0,MAX($AF55,SUM($F55:O55)-$E55-SUM($S55:AA55)),0)</f>
        <v>0</v>
      </c>
      <c r="AC55" s="5">
        <f>IF(SUM($F55:P55)-$E55-SUM($S55:AB55)&gt;0,MAX($AF55,SUM($F55:P55)-$E55-SUM($S55:AB55)),0)</f>
        <v>513.22000000000014</v>
      </c>
      <c r="AD55" s="5">
        <f>IF(SUM($F55:Q55)-$E55-SUM($S55:AC55)&gt;0,MAX($AF55,SUM($F55:Q55)-$E55-SUM($S55:AC55)),0)</f>
        <v>0</v>
      </c>
      <c r="AE55" s="5">
        <f t="shared" si="3"/>
        <v>1410.4229281836938</v>
      </c>
      <c r="AF55" s="5">
        <v>0</v>
      </c>
      <c r="AG55" s="1"/>
    </row>
    <row r="56" spans="1:33">
      <c r="A56" s="1" t="s">
        <v>169</v>
      </c>
      <c r="B56" s="1" t="s">
        <v>170</v>
      </c>
      <c r="C56" s="1" t="s">
        <v>3</v>
      </c>
      <c r="D56" s="1" t="s">
        <v>390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25.7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f t="shared" si="2"/>
        <v>25.7</v>
      </c>
      <c r="S56" s="5">
        <f>IF(SUM($F56:F56)-$E56-0&gt;0,MAX($AF56,SUM($F56:F56)-$E56-0),0)</f>
        <v>0</v>
      </c>
      <c r="T56" s="5">
        <f>IF(SUM($F56:G56)-$E56-SUM($S56:S56)&gt;0,MAX($AF56,SUM($F56:G56)-$E56-SUM($S56:S56)),0)</f>
        <v>0</v>
      </c>
      <c r="U56" s="5">
        <f>IF(SUM($F56:H56)-$E56-SUM($S56:T56)&gt;0,MAX($AF56,SUM($F56:H56)-$E56-SUM($S56:T56)),0)</f>
        <v>0</v>
      </c>
      <c r="V56" s="5">
        <f>IF(SUM($F56:I56)-$E56-SUM($S56:U56)&gt;0,MAX($AF56,SUM($F56:I56)-$E56-SUM($S56:U56)),0)</f>
        <v>0</v>
      </c>
      <c r="W56" s="5">
        <f>IF(SUM($F56:J56)-$E56-SUM($S56:V56)&gt;0,MAX($AF56,SUM($F56:J56)-$E56-SUM($S56:V56)),0)</f>
        <v>1250</v>
      </c>
      <c r="X56" s="5">
        <f>IF(SUM($F56:K56)-$E56-SUM($S56:W56)&gt;0,MAX($AF56,SUM($F56:K56)-$E56-SUM($S56:W56)),0)</f>
        <v>0</v>
      </c>
      <c r="Y56" s="5">
        <f>IF(SUM($F56:L56)-$E56-SUM($S56:X56)&gt;0,MAX($AF56,SUM($F56:L56)-$E56-SUM($S56:X56)),0)</f>
        <v>0</v>
      </c>
      <c r="Z56" s="5">
        <f>IF(SUM($F56:M56)-$E56-SUM($S56:Y56)&gt;0,MAX($AF56,SUM($F56:M56)-$E56-SUM($S56:Y56)),0)</f>
        <v>0</v>
      </c>
      <c r="AA56" s="5">
        <f>IF(SUM($F56:N56)-$E56-SUM($S56:Z56)&gt;0,MAX($AF56,SUM($F56:N56)-$E56-SUM($S56:Z56)),0)</f>
        <v>0</v>
      </c>
      <c r="AB56" s="5">
        <f>IF(SUM($F56:O56)-$E56-SUM($S56:AA56)&gt;0,MAX($AF56,SUM($F56:O56)-$E56-SUM($S56:AA56)),0)</f>
        <v>0</v>
      </c>
      <c r="AC56" s="5">
        <f>IF(SUM($F56:P56)-$E56-SUM($S56:AB56)&gt;0,MAX($AF56,SUM($F56:P56)-$E56-SUM($S56:AB56)),0)</f>
        <v>0</v>
      </c>
      <c r="AD56" s="5">
        <f>IF(SUM($F56:Q56)-$E56-SUM($S56:AC56)&gt;0,MAX($AF56,SUM($F56:Q56)-$E56-SUM($S56:AC56)),0)</f>
        <v>0</v>
      </c>
      <c r="AE56" s="5">
        <f t="shared" si="3"/>
        <v>1250</v>
      </c>
      <c r="AF56" s="5">
        <v>1250</v>
      </c>
      <c r="AG56" s="1" t="s">
        <v>391</v>
      </c>
    </row>
    <row r="57" spans="1:33">
      <c r="A57" s="1" t="s">
        <v>171</v>
      </c>
      <c r="B57" s="1" t="s">
        <v>172</v>
      </c>
      <c r="C57" s="1" t="s">
        <v>3</v>
      </c>
      <c r="D57" s="1" t="s">
        <v>390</v>
      </c>
      <c r="E57" s="5">
        <v>0</v>
      </c>
      <c r="F57" s="5">
        <v>0</v>
      </c>
      <c r="G57" s="5">
        <v>0</v>
      </c>
      <c r="H57" s="5">
        <v>460</v>
      </c>
      <c r="I57" s="5">
        <v>240</v>
      </c>
      <c r="J57" s="5">
        <v>0</v>
      </c>
      <c r="K57" s="5">
        <v>0</v>
      </c>
      <c r="L57" s="5">
        <v>473</v>
      </c>
      <c r="M57" s="5">
        <v>0</v>
      </c>
      <c r="N57" s="5">
        <v>0</v>
      </c>
      <c r="O57" s="5">
        <v>0</v>
      </c>
      <c r="P57" s="5">
        <v>1640</v>
      </c>
      <c r="Q57" s="5">
        <v>200</v>
      </c>
      <c r="R57" s="5">
        <f t="shared" si="2"/>
        <v>3013</v>
      </c>
      <c r="S57" s="5">
        <f>IF(SUM($F57:F57)-$E57-0&gt;0,MAX($AF57,SUM($F57:F57)-$E57-0),0)</f>
        <v>0</v>
      </c>
      <c r="T57" s="5">
        <f>IF(SUM($F57:G57)-$E57-SUM($S57:S57)&gt;0,MAX($AF57,SUM($F57:G57)-$E57-SUM($S57:S57)),0)</f>
        <v>0</v>
      </c>
      <c r="U57" s="5">
        <f>IF(SUM($F57:H57)-$E57-SUM($S57:T57)&gt;0,MAX($AF57,SUM($F57:H57)-$E57-SUM($S57:T57)),0)</f>
        <v>460</v>
      </c>
      <c r="V57" s="5">
        <f>IF(SUM($F57:I57)-$E57-SUM($S57:U57)&gt;0,MAX($AF57,SUM($F57:I57)-$E57-SUM($S57:U57)),0)</f>
        <v>240</v>
      </c>
      <c r="W57" s="5">
        <f>IF(SUM($F57:J57)-$E57-SUM($S57:V57)&gt;0,MAX($AF57,SUM($F57:J57)-$E57-SUM($S57:V57)),0)</f>
        <v>0</v>
      </c>
      <c r="X57" s="5">
        <f>IF(SUM($F57:K57)-$E57-SUM($S57:W57)&gt;0,MAX($AF57,SUM($F57:K57)-$E57-SUM($S57:W57)),0)</f>
        <v>0</v>
      </c>
      <c r="Y57" s="5">
        <f>IF(SUM($F57:L57)-$E57-SUM($S57:X57)&gt;0,MAX($AF57,SUM($F57:L57)-$E57-SUM($S57:X57)),0)</f>
        <v>473</v>
      </c>
      <c r="Z57" s="5">
        <f>IF(SUM($F57:M57)-$E57-SUM($S57:Y57)&gt;0,MAX($AF57,SUM($F57:M57)-$E57-SUM($S57:Y57)),0)</f>
        <v>0</v>
      </c>
      <c r="AA57" s="5">
        <f>IF(SUM($F57:N57)-$E57-SUM($S57:Z57)&gt;0,MAX($AF57,SUM($F57:N57)-$E57-SUM($S57:Z57)),0)</f>
        <v>0</v>
      </c>
      <c r="AB57" s="5">
        <f>IF(SUM($F57:O57)-$E57-SUM($S57:AA57)&gt;0,MAX($AF57,SUM($F57:O57)-$E57-SUM($S57:AA57)),0)</f>
        <v>0</v>
      </c>
      <c r="AC57" s="5">
        <f>IF(SUM($F57:P57)-$E57-SUM($S57:AB57)&gt;0,MAX($AF57,SUM($F57:P57)-$E57-SUM($S57:AB57)),0)</f>
        <v>1640</v>
      </c>
      <c r="AD57" s="5">
        <f>IF(SUM($F57:Q57)-$E57-SUM($S57:AC57)&gt;0,MAX($AF57,SUM($F57:Q57)-$E57-SUM($S57:AC57)),0)</f>
        <v>200</v>
      </c>
      <c r="AE57" s="5">
        <f t="shared" si="3"/>
        <v>3013</v>
      </c>
      <c r="AF57" s="5">
        <v>0</v>
      </c>
      <c r="AG57" s="1"/>
    </row>
    <row r="58" spans="1:33">
      <c r="A58" s="1" t="s">
        <v>173</v>
      </c>
      <c r="B58" s="1" t="s">
        <v>174</v>
      </c>
      <c r="C58" s="1" t="s">
        <v>3</v>
      </c>
      <c r="D58" s="1" t="s">
        <v>390</v>
      </c>
      <c r="E58" s="5">
        <v>0</v>
      </c>
      <c r="F58" s="5">
        <v>12776.523514170605</v>
      </c>
      <c r="G58" s="5">
        <v>21867.866346901799</v>
      </c>
      <c r="H58" s="5">
        <v>15562.861546830003</v>
      </c>
      <c r="I58" s="5">
        <v>15338.7</v>
      </c>
      <c r="J58" s="5">
        <v>17999.347000000002</v>
      </c>
      <c r="K58" s="5">
        <v>34278.403000000006</v>
      </c>
      <c r="L58" s="5">
        <v>20871.632159999997</v>
      </c>
      <c r="M58" s="5">
        <v>11157.699160000004</v>
      </c>
      <c r="N58" s="5">
        <v>8799.4750000000004</v>
      </c>
      <c r="O58" s="5">
        <v>15348.885</v>
      </c>
      <c r="P58" s="5">
        <v>20460.915720000001</v>
      </c>
      <c r="Q58" s="5">
        <v>20260.897000000004</v>
      </c>
      <c r="R58" s="5">
        <f t="shared" si="2"/>
        <v>214723.20544790241</v>
      </c>
      <c r="S58" s="5">
        <f>IF(SUM($F58:F58)-$E58-0&gt;0,MAX($AF58,SUM($F58:F58)-$E58-0),0)</f>
        <v>12776.523514170605</v>
      </c>
      <c r="T58" s="5">
        <f>IF(SUM($F58:G58)-$E58-SUM($S58:S58)&gt;0,MAX($AF58,SUM($F58:G58)-$E58-SUM($S58:S58)),0)</f>
        <v>21867.866346901799</v>
      </c>
      <c r="U58" s="5">
        <f>IF(SUM($F58:H58)-$E58-SUM($S58:T58)&gt;0,MAX($AF58,SUM($F58:H58)-$E58-SUM($S58:T58)),0)</f>
        <v>15562.861546830005</v>
      </c>
      <c r="V58" s="5">
        <f>IF(SUM($F58:I58)-$E58-SUM($S58:U58)&gt;0,MAX($AF58,SUM($F58:I58)-$E58-SUM($S58:U58)),0)</f>
        <v>15338.699999999997</v>
      </c>
      <c r="W58" s="5">
        <f>IF(SUM($F58:J58)-$E58-SUM($S58:V58)&gt;0,MAX($AF58,SUM($F58:J58)-$E58-SUM($S58:V58)),0)</f>
        <v>17999.347000000009</v>
      </c>
      <c r="X58" s="5">
        <f>IF(SUM($F58:K58)-$E58-SUM($S58:W58)&gt;0,MAX($AF58,SUM($F58:K58)-$E58-SUM($S58:W58)),0)</f>
        <v>34278.403000000006</v>
      </c>
      <c r="Y58" s="5">
        <f>IF(SUM($F58:L58)-$E58-SUM($S58:X58)&gt;0,MAX($AF58,SUM($F58:L58)-$E58-SUM($S58:X58)),0)</f>
        <v>20871.632159999994</v>
      </c>
      <c r="Z58" s="5">
        <f>IF(SUM($F58:M58)-$E58-SUM($S58:Y58)&gt;0,MAX($AF58,SUM($F58:M58)-$E58-SUM($S58:Y58)),0)</f>
        <v>11157.699159999989</v>
      </c>
      <c r="AA58" s="5">
        <f>IF(SUM($F58:N58)-$E58-SUM($S58:Z58)&gt;0,MAX($AF58,SUM($F58:N58)-$E58-SUM($S58:Z58)),0)</f>
        <v>8799.4750000000058</v>
      </c>
      <c r="AB58" s="5">
        <f>IF(SUM($F58:O58)-$E58-SUM($S58:AA58)&gt;0,MAX($AF58,SUM($F58:O58)-$E58-SUM($S58:AA58)),0)</f>
        <v>15348.885000000009</v>
      </c>
      <c r="AC58" s="5">
        <f>IF(SUM($F58:P58)-$E58-SUM($S58:AB58)&gt;0,MAX($AF58,SUM($F58:P58)-$E58-SUM($S58:AB58)),0)</f>
        <v>20460.91571999999</v>
      </c>
      <c r="AD58" s="5">
        <f>IF(SUM($F58:Q58)-$E58-SUM($S58:AC58)&gt;0,MAX($AF58,SUM($F58:Q58)-$E58-SUM($S58:AC58)),0)</f>
        <v>20260.896999999997</v>
      </c>
      <c r="AE58" s="5">
        <f t="shared" si="3"/>
        <v>214723.20544790241</v>
      </c>
      <c r="AF58" s="5">
        <v>0</v>
      </c>
      <c r="AG58" s="1"/>
    </row>
    <row r="59" spans="1:33">
      <c r="A59" s="1" t="s">
        <v>175</v>
      </c>
      <c r="B59" s="1" t="s">
        <v>176</v>
      </c>
      <c r="C59" s="1" t="s">
        <v>3</v>
      </c>
      <c r="D59" s="1" t="s">
        <v>392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40</v>
      </c>
      <c r="N59" s="5">
        <v>0</v>
      </c>
      <c r="O59" s="5">
        <v>0</v>
      </c>
      <c r="P59" s="5">
        <v>2541</v>
      </c>
      <c r="Q59" s="5">
        <v>0</v>
      </c>
      <c r="R59" s="5">
        <f t="shared" si="2"/>
        <v>2581</v>
      </c>
      <c r="S59" s="5">
        <f>IF(SUM($F59:F59)-$E59-0&gt;0,MAX($AF59,SUM($F59:F59)-$E59-0),0)</f>
        <v>0</v>
      </c>
      <c r="T59" s="5">
        <f>IF(SUM($F59:G59)-$E59-SUM($S59:S59)&gt;0,MAX($AF59,SUM($F59:G59)-$E59-SUM($S59:S59)),0)</f>
        <v>0</v>
      </c>
      <c r="U59" s="5">
        <f>IF(SUM($F59:H59)-$E59-SUM($S59:T59)&gt;0,MAX($AF59,SUM($F59:H59)-$E59-SUM($S59:T59)),0)</f>
        <v>0</v>
      </c>
      <c r="V59" s="5">
        <f>IF(SUM($F59:I59)-$E59-SUM($S59:U59)&gt;0,MAX($AF59,SUM($F59:I59)-$E59-SUM($S59:U59)),0)</f>
        <v>0</v>
      </c>
      <c r="W59" s="5">
        <f>IF(SUM($F59:J59)-$E59-SUM($S59:V59)&gt;0,MAX($AF59,SUM($F59:J59)-$E59-SUM($S59:V59)),0)</f>
        <v>0</v>
      </c>
      <c r="X59" s="5">
        <f>IF(SUM($F59:K59)-$E59-SUM($S59:W59)&gt;0,MAX($AF59,SUM($F59:K59)-$E59-SUM($S59:W59)),0)</f>
        <v>0</v>
      </c>
      <c r="Y59" s="5">
        <f>IF(SUM($F59:L59)-$E59-SUM($S59:X59)&gt;0,MAX($AF59,SUM($F59:L59)-$E59-SUM($S59:X59)),0)</f>
        <v>0</v>
      </c>
      <c r="Z59" s="5">
        <f>IF(SUM($F59:M59)-$E59-SUM($S59:Y59)&gt;0,MAX($AF59,SUM($F59:M59)-$E59-SUM($S59:Y59)),0)</f>
        <v>40</v>
      </c>
      <c r="AA59" s="5">
        <f>IF(SUM($F59:N59)-$E59-SUM($S59:Z59)&gt;0,MAX($AF59,SUM($F59:N59)-$E59-SUM($S59:Z59)),0)</f>
        <v>0</v>
      </c>
      <c r="AB59" s="5">
        <f>IF(SUM($F59:O59)-$E59-SUM($S59:AA59)&gt;0,MAX($AF59,SUM($F59:O59)-$E59-SUM($S59:AA59)),0)</f>
        <v>0</v>
      </c>
      <c r="AC59" s="5">
        <f>IF(SUM($F59:P59)-$E59-SUM($S59:AB59)&gt;0,MAX($AF59,SUM($F59:P59)-$E59-SUM($S59:AB59)),0)</f>
        <v>2541</v>
      </c>
      <c r="AD59" s="5">
        <f>IF(SUM($F59:Q59)-$E59-SUM($S59:AC59)&gt;0,MAX($AF59,SUM($F59:Q59)-$E59-SUM($S59:AC59)),0)</f>
        <v>0</v>
      </c>
      <c r="AE59" s="5">
        <f t="shared" si="3"/>
        <v>2581</v>
      </c>
      <c r="AF59" s="5">
        <v>0</v>
      </c>
      <c r="AG59" s="1"/>
    </row>
    <row r="60" spans="1:33">
      <c r="A60" s="1" t="s">
        <v>177</v>
      </c>
      <c r="B60" s="1" t="s">
        <v>178</v>
      </c>
      <c r="C60" s="1" t="s">
        <v>3</v>
      </c>
      <c r="D60" s="1" t="s">
        <v>390</v>
      </c>
      <c r="E60" s="5">
        <v>243.81734267392852</v>
      </c>
      <c r="F60" s="5">
        <v>192.72783077448887</v>
      </c>
      <c r="G60" s="5">
        <v>387.36264282066065</v>
      </c>
      <c r="H60" s="5">
        <v>336.84861228016234</v>
      </c>
      <c r="I60" s="5">
        <v>348.46800000000013</v>
      </c>
      <c r="J60" s="5">
        <v>243.75404540811363</v>
      </c>
      <c r="K60" s="5">
        <v>463.09850000000017</v>
      </c>
      <c r="L60" s="5">
        <v>213.27750000000006</v>
      </c>
      <c r="M60" s="5">
        <v>255.99895000000001</v>
      </c>
      <c r="N60" s="5">
        <v>193.53050000000002</v>
      </c>
      <c r="O60" s="5">
        <v>249.38050000000004</v>
      </c>
      <c r="P60" s="5">
        <v>280.49945000000002</v>
      </c>
      <c r="Q60" s="5">
        <v>375.80050000000006</v>
      </c>
      <c r="R60" s="5">
        <f t="shared" si="2"/>
        <v>3540.7470312834266</v>
      </c>
      <c r="S60" s="5">
        <f>IF(SUM($F60:F60)-$E60-0&gt;0,MAX($AF60,SUM($F60:F60)-$E60-0),0)</f>
        <v>0</v>
      </c>
      <c r="T60" s="5">
        <f>IF(SUM($F60:G60)-$E60-SUM($S60:S60)&gt;0,MAX($AF60,SUM($F60:G60)-$E60-SUM($S60:S60)),0)</f>
        <v>336.27313092122102</v>
      </c>
      <c r="U60" s="5">
        <f>IF(SUM($F60:H60)-$E60-SUM($S60:T60)&gt;0,MAX($AF60,SUM($F60:H60)-$E60-SUM($S60:T60)),0)</f>
        <v>336.8486122801624</v>
      </c>
      <c r="V60" s="5">
        <f>IF(SUM($F60:I60)-$E60-SUM($S60:U60)&gt;0,MAX($AF60,SUM($F60:I60)-$E60-SUM($S60:U60)),0)</f>
        <v>348.46800000000007</v>
      </c>
      <c r="W60" s="5">
        <f>IF(SUM($F60:J60)-$E60-SUM($S60:V60)&gt;0,MAX($AF60,SUM($F60:J60)-$E60-SUM($S60:V60)),0)</f>
        <v>243.7540454081136</v>
      </c>
      <c r="X60" s="5">
        <f>IF(SUM($F60:K60)-$E60-SUM($S60:W60)&gt;0,MAX($AF60,SUM($F60:K60)-$E60-SUM($S60:W60)),0)</f>
        <v>463.09850000000006</v>
      </c>
      <c r="Y60" s="5">
        <f>IF(SUM($F60:L60)-$E60-SUM($S60:X60)&gt;0,MAX($AF60,SUM($F60:L60)-$E60-SUM($S60:X60)),0)</f>
        <v>213.27750000000015</v>
      </c>
      <c r="Z60" s="5">
        <f>IF(SUM($F60:M60)-$E60-SUM($S60:Y60)&gt;0,MAX($AF60,SUM($F60:M60)-$E60-SUM($S60:Y60)),0)</f>
        <v>255.99895000000015</v>
      </c>
      <c r="AA60" s="5">
        <f>IF(SUM($F60:N60)-$E60-SUM($S60:Z60)&gt;0,MAX($AF60,SUM($F60:N60)-$E60-SUM($S60:Z60)),0)</f>
        <v>193.53049999999985</v>
      </c>
      <c r="AB60" s="5">
        <f>IF(SUM($F60:O60)-$E60-SUM($S60:AA60)&gt;0,MAX($AF60,SUM($F60:O60)-$E60-SUM($S60:AA60)),0)</f>
        <v>249.38050000000021</v>
      </c>
      <c r="AC60" s="5">
        <f>IF(SUM($F60:P60)-$E60-SUM($S60:AB60)&gt;0,MAX($AF60,SUM($F60:P60)-$E60-SUM($S60:AB60)),0)</f>
        <v>280.49945000000025</v>
      </c>
      <c r="AD60" s="5">
        <f>IF(SUM($F60:Q60)-$E60-SUM($S60:AC60)&gt;0,MAX($AF60,SUM($F60:Q60)-$E60-SUM($S60:AC60)),0)</f>
        <v>375.80050000000028</v>
      </c>
      <c r="AE60" s="5">
        <f t="shared" si="3"/>
        <v>3296.929688609498</v>
      </c>
      <c r="AF60" s="5">
        <v>0</v>
      </c>
      <c r="AG60" s="1"/>
    </row>
    <row r="61" spans="1:33">
      <c r="A61" s="1" t="s">
        <v>179</v>
      </c>
      <c r="B61" s="1" t="s">
        <v>180</v>
      </c>
      <c r="C61" s="1" t="s">
        <v>3</v>
      </c>
      <c r="D61" s="1" t="s">
        <v>390</v>
      </c>
      <c r="E61" s="5">
        <v>0</v>
      </c>
      <c r="F61" s="5">
        <v>1.0900924716318592</v>
      </c>
      <c r="G61" s="5">
        <v>5.9804999999999993</v>
      </c>
      <c r="H61" s="5">
        <v>3.67</v>
      </c>
      <c r="I61" s="5">
        <v>3.53</v>
      </c>
      <c r="J61" s="5">
        <v>5.5625</v>
      </c>
      <c r="K61" s="5">
        <v>5.4250000000000007</v>
      </c>
      <c r="L61" s="5">
        <v>5.9415000000000004</v>
      </c>
      <c r="M61" s="5">
        <v>2.0049999999999999</v>
      </c>
      <c r="N61" s="5">
        <v>1.9225000000000001</v>
      </c>
      <c r="O61" s="5">
        <v>3.7915000000000001</v>
      </c>
      <c r="P61" s="5">
        <v>1.3514999999999999</v>
      </c>
      <c r="Q61" s="5">
        <v>18.504999999999999</v>
      </c>
      <c r="R61" s="5">
        <f t="shared" si="2"/>
        <v>58.775092471631865</v>
      </c>
      <c r="S61" s="5">
        <f>IF(SUM($F61:F61)-$E61-0&gt;0,MAX($AF61,SUM($F61:F61)-$E61-0),0)</f>
        <v>1.0900924716318592</v>
      </c>
      <c r="T61" s="5">
        <f>IF(SUM($F61:G61)-$E61-SUM($S61:S61)&gt;0,MAX($AF61,SUM($F61:G61)-$E61-SUM($S61:S61)),0)</f>
        <v>5.9804999999999993</v>
      </c>
      <c r="U61" s="5">
        <f>IF(SUM($F61:H61)-$E61-SUM($S61:T61)&gt;0,MAX($AF61,SUM($F61:H61)-$E61-SUM($S61:T61)),0)</f>
        <v>3.67</v>
      </c>
      <c r="V61" s="5">
        <f>IF(SUM($F61:I61)-$E61-SUM($S61:U61)&gt;0,MAX($AF61,SUM($F61:I61)-$E61-SUM($S61:U61)),0)</f>
        <v>3.5299999999999994</v>
      </c>
      <c r="W61" s="5">
        <f>IF(SUM($F61:J61)-$E61-SUM($S61:V61)&gt;0,MAX($AF61,SUM($F61:J61)-$E61-SUM($S61:V61)),0)</f>
        <v>5.5625</v>
      </c>
      <c r="X61" s="5">
        <f>IF(SUM($F61:K61)-$E61-SUM($S61:W61)&gt;0,MAX($AF61,SUM($F61:K61)-$E61-SUM($S61:W61)),0)</f>
        <v>5.4250000000000007</v>
      </c>
      <c r="Y61" s="5">
        <f>IF(SUM($F61:L61)-$E61-SUM($S61:X61)&gt;0,MAX($AF61,SUM($F61:L61)-$E61-SUM($S61:X61)),0)</f>
        <v>5.9415000000000013</v>
      </c>
      <c r="Z61" s="5">
        <f>IF(SUM($F61:M61)-$E61-SUM($S61:Y61)&gt;0,MAX($AF61,SUM($F61:M61)-$E61-SUM($S61:Y61)),0)</f>
        <v>2.0050000000000026</v>
      </c>
      <c r="AA61" s="5">
        <f>IF(SUM($F61:N61)-$E61-SUM($S61:Z61)&gt;0,MAX($AF61,SUM($F61:N61)-$E61-SUM($S61:Z61)),0)</f>
        <v>1.9224999999999994</v>
      </c>
      <c r="AB61" s="5">
        <f>IF(SUM($F61:O61)-$E61-SUM($S61:AA61)&gt;0,MAX($AF61,SUM($F61:O61)-$E61-SUM($S61:AA61)),0)</f>
        <v>3.7914999999999992</v>
      </c>
      <c r="AC61" s="5">
        <f>IF(SUM($F61:P61)-$E61-SUM($S61:AB61)&gt;0,MAX($AF61,SUM($F61:P61)-$E61-SUM($S61:AB61)),0)</f>
        <v>1.3515000000000015</v>
      </c>
      <c r="AD61" s="5">
        <f>IF(SUM($F61:Q61)-$E61-SUM($S61:AC61)&gt;0,MAX($AF61,SUM($F61:Q61)-$E61-SUM($S61:AC61)),0)</f>
        <v>18.505000000000003</v>
      </c>
      <c r="AE61" s="5">
        <f t="shared" si="3"/>
        <v>58.775092471631865</v>
      </c>
      <c r="AF61" s="5">
        <v>0</v>
      </c>
      <c r="AG61" s="1"/>
    </row>
    <row r="62" spans="1:33">
      <c r="A62" s="1" t="s">
        <v>181</v>
      </c>
      <c r="B62" s="1" t="s">
        <v>182</v>
      </c>
      <c r="C62" s="1" t="s">
        <v>3</v>
      </c>
      <c r="D62" s="1" t="s">
        <v>390</v>
      </c>
      <c r="E62" s="5">
        <v>703.82648734770851</v>
      </c>
      <c r="F62" s="5">
        <v>63.167999999999992</v>
      </c>
      <c r="G62" s="5">
        <v>268.91700000000003</v>
      </c>
      <c r="H62" s="5">
        <v>285.83999999999997</v>
      </c>
      <c r="I62" s="5">
        <v>413.435</v>
      </c>
      <c r="J62" s="5">
        <v>260.96100000000001</v>
      </c>
      <c r="K62" s="5">
        <v>481.33</v>
      </c>
      <c r="L62" s="5">
        <v>11.280000000000001</v>
      </c>
      <c r="M62" s="5">
        <v>434.73400000000004</v>
      </c>
      <c r="N62" s="5">
        <v>723.93999999999994</v>
      </c>
      <c r="O62" s="5">
        <v>468.58</v>
      </c>
      <c r="P62" s="5">
        <v>642.39200000000005</v>
      </c>
      <c r="Q62" s="5">
        <v>476.82</v>
      </c>
      <c r="R62" s="5">
        <f t="shared" si="2"/>
        <v>4531.3969999999999</v>
      </c>
      <c r="S62" s="5">
        <f>IF(SUM($F62:F62)-$E62-0&gt;0,MAX($AF62,SUM($F62:F62)-$E62-0),0)</f>
        <v>0</v>
      </c>
      <c r="T62" s="5">
        <f>IF(SUM($F62:G62)-$E62-SUM($S62:S62)&gt;0,MAX($AF62,SUM($F62:G62)-$E62-SUM($S62:S62)),0)</f>
        <v>0</v>
      </c>
      <c r="U62" s="5">
        <f>IF(SUM($F62:H62)-$E62-SUM($S62:T62)&gt;0,MAX($AF62,SUM($F62:H62)-$E62-SUM($S62:T62)),0)</f>
        <v>0</v>
      </c>
      <c r="V62" s="5">
        <f>IF(SUM($F62:I62)-$E62-SUM($S62:U62)&gt;0,MAX($AF62,SUM($F62:I62)-$E62-SUM($S62:U62)),0)</f>
        <v>327.53351265229139</v>
      </c>
      <c r="W62" s="5">
        <f>IF(SUM($F62:J62)-$E62-SUM($S62:V62)&gt;0,MAX($AF62,SUM($F62:J62)-$E62-SUM($S62:V62)),0)</f>
        <v>260.96100000000001</v>
      </c>
      <c r="X62" s="5">
        <f>IF(SUM($F62:K62)-$E62-SUM($S62:W62)&gt;0,MAX($AF62,SUM($F62:K62)-$E62-SUM($S62:W62)),0)</f>
        <v>481.32999999999993</v>
      </c>
      <c r="Y62" s="5">
        <f>IF(SUM($F62:L62)-$E62-SUM($S62:X62)&gt;0,MAX($AF62,SUM($F62:L62)-$E62-SUM($S62:X62)),0)</f>
        <v>11.279999999999973</v>
      </c>
      <c r="Z62" s="5">
        <f>IF(SUM($F62:M62)-$E62-SUM($S62:Y62)&gt;0,MAX($AF62,SUM($F62:M62)-$E62-SUM($S62:Y62)),0)</f>
        <v>434.73400000000015</v>
      </c>
      <c r="AA62" s="5">
        <f>IF(SUM($F62:N62)-$E62-SUM($S62:Z62)&gt;0,MAX($AF62,SUM($F62:N62)-$E62-SUM($S62:Z62)),0)</f>
        <v>723.93999999999983</v>
      </c>
      <c r="AB62" s="5">
        <f>IF(SUM($F62:O62)-$E62-SUM($S62:AA62)&gt;0,MAX($AF62,SUM($F62:O62)-$E62-SUM($S62:AA62)),0)</f>
        <v>468.57999999999993</v>
      </c>
      <c r="AC62" s="5">
        <f>IF(SUM($F62:P62)-$E62-SUM($S62:AB62)&gt;0,MAX($AF62,SUM($F62:P62)-$E62-SUM($S62:AB62)),0)</f>
        <v>642.39200000000073</v>
      </c>
      <c r="AD62" s="5">
        <f>IF(SUM($F62:Q62)-$E62-SUM($S62:AC62)&gt;0,MAX($AF62,SUM($F62:Q62)-$E62-SUM($S62:AC62)),0)</f>
        <v>476.81999999999971</v>
      </c>
      <c r="AE62" s="5">
        <f t="shared" si="3"/>
        <v>3827.5705126522917</v>
      </c>
      <c r="AF62" s="5">
        <v>0</v>
      </c>
      <c r="AG62" s="1"/>
    </row>
    <row r="63" spans="1:33">
      <c r="A63" s="1" t="s">
        <v>183</v>
      </c>
      <c r="B63" s="1" t="s">
        <v>184</v>
      </c>
      <c r="C63" s="1" t="s">
        <v>3</v>
      </c>
      <c r="D63" s="1" t="s">
        <v>390</v>
      </c>
      <c r="E63" s="5">
        <v>0</v>
      </c>
      <c r="F63" s="5">
        <v>31100.502760075149</v>
      </c>
      <c r="G63" s="5">
        <v>26935.980612536008</v>
      </c>
      <c r="H63" s="5">
        <v>20090.649286301876</v>
      </c>
      <c r="I63" s="5">
        <v>27195.17</v>
      </c>
      <c r="J63" s="5">
        <v>27161.870053611623</v>
      </c>
      <c r="K63" s="5">
        <v>35907.457319999994</v>
      </c>
      <c r="L63" s="5">
        <v>23726.172350000001</v>
      </c>
      <c r="M63" s="5">
        <v>17369.731</v>
      </c>
      <c r="N63" s="5">
        <v>8891.3149999999987</v>
      </c>
      <c r="O63" s="5">
        <v>13173.5293</v>
      </c>
      <c r="P63" s="5">
        <v>20605.850590000002</v>
      </c>
      <c r="Q63" s="5">
        <v>7549.9820500000005</v>
      </c>
      <c r="R63" s="5">
        <f t="shared" si="2"/>
        <v>259708.21032252465</v>
      </c>
      <c r="S63" s="5">
        <f>IF(SUM($F63:F63)-$E63-0&gt;0,MAX($AF63,SUM($F63:F63)-$E63-0),0)</f>
        <v>31100.502760075149</v>
      </c>
      <c r="T63" s="5">
        <f>IF(SUM($F63:G63)-$E63-SUM($S63:S63)&gt;0,MAX($AF63,SUM($F63:G63)-$E63-SUM($S63:S63)),0)</f>
        <v>26935.980612536005</v>
      </c>
      <c r="U63" s="5">
        <f>IF(SUM($F63:H63)-$E63-SUM($S63:T63)&gt;0,MAX($AF63,SUM($F63:H63)-$E63-SUM($S63:T63)),0)</f>
        <v>20090.649286301879</v>
      </c>
      <c r="V63" s="5">
        <f>IF(SUM($F63:I63)-$E63-SUM($S63:U63)&gt;0,MAX($AF63,SUM($F63:I63)-$E63-SUM($S63:U63)),0)</f>
        <v>27195.17</v>
      </c>
      <c r="W63" s="5">
        <f>IF(SUM($F63:J63)-$E63-SUM($S63:V63)&gt;0,MAX($AF63,SUM($F63:J63)-$E63-SUM($S63:V63)),0)</f>
        <v>27161.870053611623</v>
      </c>
      <c r="X63" s="5">
        <f>IF(SUM($F63:K63)-$E63-SUM($S63:W63)&gt;0,MAX($AF63,SUM($F63:K63)-$E63-SUM($S63:W63)),0)</f>
        <v>35907.457319999987</v>
      </c>
      <c r="Y63" s="5">
        <f>IF(SUM($F63:L63)-$E63-SUM($S63:X63)&gt;0,MAX($AF63,SUM($F63:L63)-$E63-SUM($S63:X63)),0)</f>
        <v>23726.172350000008</v>
      </c>
      <c r="Z63" s="5">
        <f>IF(SUM($F63:M63)-$E63-SUM($S63:Y63)&gt;0,MAX($AF63,SUM($F63:M63)-$E63-SUM($S63:Y63)),0)</f>
        <v>17369.731</v>
      </c>
      <c r="AA63" s="5">
        <f>IF(SUM($F63:N63)-$E63-SUM($S63:Z63)&gt;0,MAX($AF63,SUM($F63:N63)-$E63-SUM($S63:Z63)),0)</f>
        <v>8891.3150000000023</v>
      </c>
      <c r="AB63" s="5">
        <f>IF(SUM($F63:O63)-$E63-SUM($S63:AA63)&gt;0,MAX($AF63,SUM($F63:O63)-$E63-SUM($S63:AA63)),0)</f>
        <v>13173.529299999995</v>
      </c>
      <c r="AC63" s="5">
        <f>IF(SUM($F63:P63)-$E63-SUM($S63:AB63)&gt;0,MAX($AF63,SUM($F63:P63)-$E63-SUM($S63:AB63)),0)</f>
        <v>20605.850590000016</v>
      </c>
      <c r="AD63" s="5">
        <f>IF(SUM($F63:Q63)-$E63-SUM($S63:AC63)&gt;0,MAX($AF63,SUM($F63:Q63)-$E63-SUM($S63:AC63)),0)</f>
        <v>7549.9820499999914</v>
      </c>
      <c r="AE63" s="5">
        <f t="shared" si="3"/>
        <v>259708.21032252465</v>
      </c>
      <c r="AF63" s="5">
        <v>0</v>
      </c>
      <c r="AG63" s="1"/>
    </row>
    <row r="64" spans="1:33">
      <c r="A64" s="1" t="s">
        <v>185</v>
      </c>
      <c r="B64" s="1" t="s">
        <v>186</v>
      </c>
      <c r="C64" s="1" t="s">
        <v>3</v>
      </c>
      <c r="D64" s="1" t="s">
        <v>390</v>
      </c>
      <c r="E64" s="5">
        <v>142.05307381348348</v>
      </c>
      <c r="F64" s="5">
        <v>11.965</v>
      </c>
      <c r="G64" s="5">
        <v>23.395</v>
      </c>
      <c r="H64" s="5">
        <v>1.3229386889271071</v>
      </c>
      <c r="I64" s="5">
        <v>23.954999999999998</v>
      </c>
      <c r="J64" s="5">
        <v>8.8449999999999989</v>
      </c>
      <c r="K64" s="5">
        <v>2.1999999999999997</v>
      </c>
      <c r="L64" s="5">
        <v>10.005000000000001</v>
      </c>
      <c r="M64" s="5">
        <v>20.045000000000002</v>
      </c>
      <c r="N64" s="5">
        <v>12.395</v>
      </c>
      <c r="O64" s="5">
        <v>2.61</v>
      </c>
      <c r="P64" s="5">
        <v>18.25</v>
      </c>
      <c r="Q64" s="5">
        <v>20.74</v>
      </c>
      <c r="R64" s="5">
        <f t="shared" si="2"/>
        <v>155.72793868892711</v>
      </c>
      <c r="S64" s="5">
        <f>IF(SUM($F64:F64)-$E64-0&gt;0,MAX($AF64,SUM($F64:F64)-$E64-0),0)</f>
        <v>0</v>
      </c>
      <c r="T64" s="5">
        <f>IF(SUM($F64:G64)-$E64-SUM($S64:S64)&gt;0,MAX($AF64,SUM($F64:G64)-$E64-SUM($S64:S64)),0)</f>
        <v>0</v>
      </c>
      <c r="U64" s="5">
        <f>IF(SUM($F64:H64)-$E64-SUM($S64:T64)&gt;0,MAX($AF64,SUM($F64:H64)-$E64-SUM($S64:T64)),0)</f>
        <v>0</v>
      </c>
      <c r="V64" s="5">
        <f>IF(SUM($F64:I64)-$E64-SUM($S64:U64)&gt;0,MAX($AF64,SUM($F64:I64)-$E64-SUM($S64:U64)),0)</f>
        <v>0</v>
      </c>
      <c r="W64" s="5">
        <f>IF(SUM($F64:J64)-$E64-SUM($S64:V64)&gt;0,MAX($AF64,SUM($F64:J64)-$E64-SUM($S64:V64)),0)</f>
        <v>0</v>
      </c>
      <c r="X64" s="5">
        <f>IF(SUM($F64:K64)-$E64-SUM($S64:W64)&gt;0,MAX($AF64,SUM($F64:K64)-$E64-SUM($S64:W64)),0)</f>
        <v>0</v>
      </c>
      <c r="Y64" s="5">
        <f>IF(SUM($F64:L64)-$E64-SUM($S64:X64)&gt;0,MAX($AF64,SUM($F64:L64)-$E64-SUM($S64:X64)),0)</f>
        <v>0</v>
      </c>
      <c r="Z64" s="5">
        <f>IF(SUM($F64:M64)-$E64-SUM($S64:Y64)&gt;0,MAX($AF64,SUM($F64:M64)-$E64-SUM($S64:Y64)),0)</f>
        <v>0</v>
      </c>
      <c r="AA64" s="5">
        <f>IF(SUM($F64:N64)-$E64-SUM($S64:Z64)&gt;0,MAX($AF64,SUM($F64:N64)-$E64-SUM($S64:Z64)),0)</f>
        <v>0</v>
      </c>
      <c r="AB64" s="5">
        <f>IF(SUM($F64:O64)-$E64-SUM($S64:AA64)&gt;0,MAX($AF64,SUM($F64:O64)-$E64-SUM($S64:AA64)),0)</f>
        <v>0</v>
      </c>
      <c r="AC64" s="5">
        <f>IF(SUM($F64:P64)-$E64-SUM($S64:AB64)&gt;0,MAX($AF64,SUM($F64:P64)-$E64-SUM($S64:AB64)),0)</f>
        <v>0</v>
      </c>
      <c r="AD64" s="5">
        <f>IF(SUM($F64:Q64)-$E64-SUM($S64:AC64)&gt;0,MAX($AF64,SUM($F64:Q64)-$E64-SUM($S64:AC64)),0)</f>
        <v>13.674864875443632</v>
      </c>
      <c r="AE64" s="5">
        <f t="shared" si="3"/>
        <v>13.674864875443632</v>
      </c>
      <c r="AF64" s="5">
        <v>0</v>
      </c>
      <c r="AG64" s="1"/>
    </row>
    <row r="65" spans="1:33">
      <c r="A65" s="1" t="s">
        <v>187</v>
      </c>
      <c r="B65" s="1" t="s">
        <v>188</v>
      </c>
      <c r="C65" s="1" t="s">
        <v>3</v>
      </c>
      <c r="D65" s="1" t="s">
        <v>390</v>
      </c>
      <c r="E65" s="5">
        <v>0</v>
      </c>
      <c r="F65" s="5">
        <v>454.63499999999999</v>
      </c>
      <c r="G65" s="5">
        <v>1765.9532888117938</v>
      </c>
      <c r="H65" s="5">
        <v>1099.7606490465669</v>
      </c>
      <c r="I65" s="5">
        <v>830.9341888039653</v>
      </c>
      <c r="J65" s="5">
        <v>910.83199999999999</v>
      </c>
      <c r="K65" s="5">
        <v>2140.703</v>
      </c>
      <c r="L65" s="5">
        <v>638.90200000000004</v>
      </c>
      <c r="M65" s="5">
        <v>588.14599999999996</v>
      </c>
      <c r="N65" s="5">
        <v>35.138000000000005</v>
      </c>
      <c r="O65" s="5">
        <v>862.14499999999998</v>
      </c>
      <c r="P65" s="5">
        <v>1820.951</v>
      </c>
      <c r="Q65" s="5">
        <v>443.24599999999998</v>
      </c>
      <c r="R65" s="5">
        <f t="shared" si="2"/>
        <v>11591.346126662327</v>
      </c>
      <c r="S65" s="5">
        <f>IF(SUM($F65:F65)-$E65-0&gt;0,MAX($AF65,SUM($F65:F65)-$E65-0),0)</f>
        <v>454.63499999999999</v>
      </c>
      <c r="T65" s="5">
        <f>IF(SUM($F65:G65)-$E65-SUM($S65:S65)&gt;0,MAX($AF65,SUM($F65:G65)-$E65-SUM($S65:S65)),0)</f>
        <v>1765.953288811794</v>
      </c>
      <c r="U65" s="5">
        <f>IF(SUM($F65:H65)-$E65-SUM($S65:T65)&gt;0,MAX($AF65,SUM($F65:H65)-$E65-SUM($S65:T65)),0)</f>
        <v>1099.7606490465669</v>
      </c>
      <c r="V65" s="5">
        <f>IF(SUM($F65:I65)-$E65-SUM($S65:U65)&gt;0,MAX($AF65,SUM($F65:I65)-$E65-SUM($S65:U65)),0)</f>
        <v>830.9341888039653</v>
      </c>
      <c r="W65" s="5">
        <f>IF(SUM($F65:J65)-$E65-SUM($S65:V65)&gt;0,MAX($AF65,SUM($F65:J65)-$E65-SUM($S65:V65)),0)</f>
        <v>910.83200000000033</v>
      </c>
      <c r="X65" s="5">
        <f>IF(SUM($F65:K65)-$E65-SUM($S65:W65)&gt;0,MAX($AF65,SUM($F65:K65)-$E65-SUM($S65:W65)),0)</f>
        <v>2140.7030000000004</v>
      </c>
      <c r="Y65" s="5">
        <f>IF(SUM($F65:L65)-$E65-SUM($S65:X65)&gt;0,MAX($AF65,SUM($F65:L65)-$E65-SUM($S65:X65)),0)</f>
        <v>638.90200000000004</v>
      </c>
      <c r="Z65" s="5">
        <f>IF(SUM($F65:M65)-$E65-SUM($S65:Y65)&gt;0,MAX($AF65,SUM($F65:M65)-$E65-SUM($S65:Y65)),0)</f>
        <v>588.14600000000064</v>
      </c>
      <c r="AA65" s="5">
        <f>IF(SUM($F65:N65)-$E65-SUM($S65:Z65)&gt;0,MAX($AF65,SUM($F65:N65)-$E65-SUM($S65:Z65)),0)</f>
        <v>35.138000000000829</v>
      </c>
      <c r="AB65" s="5">
        <f>IF(SUM($F65:O65)-$E65-SUM($S65:AA65)&gt;0,MAX($AF65,SUM($F65:O65)-$E65-SUM($S65:AA65)),0)</f>
        <v>862.14500000000044</v>
      </c>
      <c r="AC65" s="5">
        <f>IF(SUM($F65:P65)-$E65-SUM($S65:AB65)&gt;0,MAX($AF65,SUM($F65:P65)-$E65-SUM($S65:AB65)),0)</f>
        <v>1820.9509999999991</v>
      </c>
      <c r="AD65" s="5">
        <f>IF(SUM($F65:Q65)-$E65-SUM($S65:AC65)&gt;0,MAX($AF65,SUM($F65:Q65)-$E65-SUM($S65:AC65)),0)</f>
        <v>443.24599999999919</v>
      </c>
      <c r="AE65" s="5">
        <f t="shared" si="3"/>
        <v>11591.346126662327</v>
      </c>
      <c r="AF65" s="5">
        <v>0</v>
      </c>
      <c r="AG65" s="1"/>
    </row>
    <row r="66" spans="1:33">
      <c r="A66" s="1" t="s">
        <v>189</v>
      </c>
      <c r="B66" s="1" t="s">
        <v>190</v>
      </c>
      <c r="C66" s="1" t="s">
        <v>3</v>
      </c>
      <c r="D66" s="1" t="s">
        <v>390</v>
      </c>
      <c r="E66" s="5">
        <v>264.81337178688409</v>
      </c>
      <c r="F66" s="5">
        <v>174.06461842105264</v>
      </c>
      <c r="G66" s="5">
        <v>162.98589999999999</v>
      </c>
      <c r="H66" s="5">
        <v>155.8126002934668</v>
      </c>
      <c r="I66" s="5">
        <v>264.28249999999997</v>
      </c>
      <c r="J66" s="5">
        <v>667.94993206602692</v>
      </c>
      <c r="K66" s="5">
        <v>407.03277894736846</v>
      </c>
      <c r="L66" s="5">
        <v>1065.8867105263159</v>
      </c>
      <c r="M66" s="5">
        <v>71.169086842105258</v>
      </c>
      <c r="N66" s="5">
        <v>96.448850000000007</v>
      </c>
      <c r="O66" s="5">
        <v>125.6906</v>
      </c>
      <c r="P66" s="5">
        <v>221.4101105263158</v>
      </c>
      <c r="Q66" s="5">
        <v>1614.1719999999998</v>
      </c>
      <c r="R66" s="5">
        <f t="shared" si="2"/>
        <v>5026.9056876226514</v>
      </c>
      <c r="S66" s="5">
        <f>IF(SUM($F66:F66)-$E66-0&gt;0,MAX($AF66,SUM($F66:F66)-$E66-0),0)</f>
        <v>0</v>
      </c>
      <c r="T66" s="5">
        <f>IF(SUM($F66:G66)-$E66-SUM($S66:S66)&gt;0,MAX($AF66,SUM($F66:G66)-$E66-SUM($S66:S66)),0)</f>
        <v>72.237146634168539</v>
      </c>
      <c r="U66" s="5">
        <f>IF(SUM($F66:H66)-$E66-SUM($S66:T66)&gt;0,MAX($AF66,SUM($F66:H66)-$E66-SUM($S66:T66)),0)</f>
        <v>155.8126002934668</v>
      </c>
      <c r="V66" s="5">
        <f>IF(SUM($F66:I66)-$E66-SUM($S66:U66)&gt;0,MAX($AF66,SUM($F66:I66)-$E66-SUM($S66:U66)),0)</f>
        <v>264.28249999999997</v>
      </c>
      <c r="W66" s="5">
        <f>IF(SUM($F66:J66)-$E66-SUM($S66:V66)&gt;0,MAX($AF66,SUM($F66:J66)-$E66-SUM($S66:V66)),0)</f>
        <v>667.94993206602692</v>
      </c>
      <c r="X66" s="5">
        <f>IF(SUM($F66:K66)-$E66-SUM($S66:W66)&gt;0,MAX($AF66,SUM($F66:K66)-$E66-SUM($S66:W66)),0)</f>
        <v>407.03277894736834</v>
      </c>
      <c r="Y66" s="5">
        <f>IF(SUM($F66:L66)-$E66-SUM($S66:X66)&gt;0,MAX($AF66,SUM($F66:L66)-$E66-SUM($S66:X66)),0)</f>
        <v>1065.8867105263157</v>
      </c>
      <c r="Z66" s="5">
        <f>IF(SUM($F66:M66)-$E66-SUM($S66:Y66)&gt;0,MAX($AF66,SUM($F66:M66)-$E66-SUM($S66:Y66)),0)</f>
        <v>71.169086842105116</v>
      </c>
      <c r="AA66" s="5">
        <f>IF(SUM($F66:N66)-$E66-SUM($S66:Z66)&gt;0,MAX($AF66,SUM($F66:N66)-$E66-SUM($S66:Z66)),0)</f>
        <v>96.44885000000022</v>
      </c>
      <c r="AB66" s="5">
        <f>IF(SUM($F66:O66)-$E66-SUM($S66:AA66)&gt;0,MAX($AF66,SUM($F66:O66)-$E66-SUM($S66:AA66)),0)</f>
        <v>125.6905999999999</v>
      </c>
      <c r="AC66" s="5">
        <f>IF(SUM($F66:P66)-$E66-SUM($S66:AB66)&gt;0,MAX($AF66,SUM($F66:P66)-$E66-SUM($S66:AB66)),0)</f>
        <v>221.41011052631575</v>
      </c>
      <c r="AD66" s="5">
        <f>IF(SUM($F66:Q66)-$E66-SUM($S66:AC66)&gt;0,MAX($AF66,SUM($F66:Q66)-$E66-SUM($S66:AC66)),0)</f>
        <v>1614.172</v>
      </c>
      <c r="AE66" s="5">
        <f t="shared" si="3"/>
        <v>4762.0923158357673</v>
      </c>
      <c r="AF66" s="5">
        <v>0</v>
      </c>
      <c r="AG66" s="1"/>
    </row>
    <row r="67" spans="1:33">
      <c r="A67" s="1" t="s">
        <v>191</v>
      </c>
      <c r="B67" s="1" t="s">
        <v>192</v>
      </c>
      <c r="C67" s="1" t="s">
        <v>3</v>
      </c>
      <c r="D67" s="1" t="s">
        <v>390</v>
      </c>
      <c r="E67" s="5">
        <v>0</v>
      </c>
      <c r="F67" s="5">
        <v>57.686543971328874</v>
      </c>
      <c r="G67" s="5">
        <v>329.11849999999998</v>
      </c>
      <c r="H67" s="5">
        <v>623.54497195358715</v>
      </c>
      <c r="I67" s="5">
        <v>250.96399999999997</v>
      </c>
      <c r="J67" s="5">
        <v>139.92250000000001</v>
      </c>
      <c r="K67" s="5">
        <v>233.745</v>
      </c>
      <c r="L67" s="5">
        <v>361.55790000000002</v>
      </c>
      <c r="M67" s="5">
        <v>379.14539999999994</v>
      </c>
      <c r="N67" s="5">
        <v>140.15649999999999</v>
      </c>
      <c r="O67" s="5">
        <v>130.60550000000001</v>
      </c>
      <c r="P67" s="5">
        <v>48.846299999999999</v>
      </c>
      <c r="Q67" s="5">
        <v>429.875</v>
      </c>
      <c r="R67" s="5">
        <f t="shared" si="2"/>
        <v>3125.1681159249165</v>
      </c>
      <c r="S67" s="5">
        <f>IF(SUM($F67:F67)-$E67-0&gt;0,MAX($AF67,SUM($F67:F67)-$E67-0),0)</f>
        <v>57.686543971328874</v>
      </c>
      <c r="T67" s="5">
        <f>IF(SUM($F67:G67)-$E67-SUM($S67:S67)&gt;0,MAX($AF67,SUM($F67:G67)-$E67-SUM($S67:S67)),0)</f>
        <v>329.11849999999998</v>
      </c>
      <c r="U67" s="5">
        <f>IF(SUM($F67:H67)-$E67-SUM($S67:T67)&gt;0,MAX($AF67,SUM($F67:H67)-$E67-SUM($S67:T67)),0)</f>
        <v>623.54497195358726</v>
      </c>
      <c r="V67" s="5">
        <f>IF(SUM($F67:I67)-$E67-SUM($S67:U67)&gt;0,MAX($AF67,SUM($F67:I67)-$E67-SUM($S67:U67)),0)</f>
        <v>250.96399999999994</v>
      </c>
      <c r="W67" s="5">
        <f>IF(SUM($F67:J67)-$E67-SUM($S67:V67)&gt;0,MAX($AF67,SUM($F67:J67)-$E67-SUM($S67:V67)),0)</f>
        <v>139.92250000000013</v>
      </c>
      <c r="X67" s="5">
        <f>IF(SUM($F67:K67)-$E67-SUM($S67:W67)&gt;0,MAX($AF67,SUM($F67:K67)-$E67-SUM($S67:W67)),0)</f>
        <v>233.74499999999989</v>
      </c>
      <c r="Y67" s="5">
        <f>IF(SUM($F67:L67)-$E67-SUM($S67:X67)&gt;0,MAX($AF67,SUM($F67:L67)-$E67-SUM($S67:X67)),0)</f>
        <v>361.55790000000002</v>
      </c>
      <c r="Z67" s="5">
        <f>IF(SUM($F67:M67)-$E67-SUM($S67:Y67)&gt;0,MAX($AF67,SUM($F67:M67)-$E67-SUM($S67:Y67)),0)</f>
        <v>379.14540000000011</v>
      </c>
      <c r="AA67" s="5">
        <f>IF(SUM($F67:N67)-$E67-SUM($S67:Z67)&gt;0,MAX($AF67,SUM($F67:N67)-$E67-SUM($S67:Z67)),0)</f>
        <v>140.15650000000005</v>
      </c>
      <c r="AB67" s="5">
        <f>IF(SUM($F67:O67)-$E67-SUM($S67:AA67)&gt;0,MAX($AF67,SUM($F67:O67)-$E67-SUM($S67:AA67)),0)</f>
        <v>130.60550000000012</v>
      </c>
      <c r="AC67" s="5">
        <f>IF(SUM($F67:P67)-$E67-SUM($S67:AB67)&gt;0,MAX($AF67,SUM($F67:P67)-$E67-SUM($S67:AB67)),0)</f>
        <v>48.846300000000156</v>
      </c>
      <c r="AD67" s="5">
        <f>IF(SUM($F67:Q67)-$E67-SUM($S67:AC67)&gt;0,MAX($AF67,SUM($F67:Q67)-$E67-SUM($S67:AC67)),0)</f>
        <v>429.875</v>
      </c>
      <c r="AE67" s="5">
        <f t="shared" si="3"/>
        <v>3125.1681159249165</v>
      </c>
      <c r="AF67" s="5">
        <v>0</v>
      </c>
      <c r="AG67" s="1"/>
    </row>
    <row r="68" spans="1:33">
      <c r="A68" s="1" t="s">
        <v>193</v>
      </c>
      <c r="B68" s="1" t="s">
        <v>194</v>
      </c>
      <c r="C68" s="1" t="s">
        <v>3</v>
      </c>
      <c r="D68" s="1" t="s">
        <v>390</v>
      </c>
      <c r="E68" s="5">
        <v>0</v>
      </c>
      <c r="F68" s="5">
        <v>0</v>
      </c>
      <c r="G68" s="5">
        <v>52</v>
      </c>
      <c r="H68" s="5">
        <v>66</v>
      </c>
      <c r="I68" s="5">
        <v>32</v>
      </c>
      <c r="J68" s="5">
        <v>65</v>
      </c>
      <c r="K68" s="5">
        <v>10</v>
      </c>
      <c r="L68" s="5">
        <v>0</v>
      </c>
      <c r="M68" s="5">
        <v>204</v>
      </c>
      <c r="N68" s="5">
        <v>462</v>
      </c>
      <c r="O68" s="5">
        <v>264</v>
      </c>
      <c r="P68" s="5">
        <v>396</v>
      </c>
      <c r="Q68" s="5">
        <v>198</v>
      </c>
      <c r="R68" s="5">
        <f t="shared" si="2"/>
        <v>1749</v>
      </c>
      <c r="S68" s="5">
        <f>IF(SUM($F68:F68)-$E68-0&gt;0,MAX($AF68,SUM($F68:F68)-$E68-0),0)</f>
        <v>0</v>
      </c>
      <c r="T68" s="5">
        <f>IF(SUM($F68:G68)-$E68-SUM($S68:S68)&gt;0,MAX($AF68,SUM($F68:G68)-$E68-SUM($S68:S68)),0)</f>
        <v>52</v>
      </c>
      <c r="U68" s="5">
        <f>IF(SUM($F68:H68)-$E68-SUM($S68:T68)&gt;0,MAX($AF68,SUM($F68:H68)-$E68-SUM($S68:T68)),0)</f>
        <v>66</v>
      </c>
      <c r="V68" s="5">
        <f>IF(SUM($F68:I68)-$E68-SUM($S68:U68)&gt;0,MAX($AF68,SUM($F68:I68)-$E68-SUM($S68:U68)),0)</f>
        <v>32</v>
      </c>
      <c r="W68" s="5">
        <f>IF(SUM($F68:J68)-$E68-SUM($S68:V68)&gt;0,MAX($AF68,SUM($F68:J68)-$E68-SUM($S68:V68)),0)</f>
        <v>65</v>
      </c>
      <c r="X68" s="5">
        <f>IF(SUM($F68:K68)-$E68-SUM($S68:W68)&gt;0,MAX($AF68,SUM($F68:K68)-$E68-SUM($S68:W68)),0)</f>
        <v>10</v>
      </c>
      <c r="Y68" s="5">
        <f>IF(SUM($F68:L68)-$E68-SUM($S68:X68)&gt;0,MAX($AF68,SUM($F68:L68)-$E68-SUM($S68:X68)),0)</f>
        <v>0</v>
      </c>
      <c r="Z68" s="5">
        <f>IF(SUM($F68:M68)-$E68-SUM($S68:Y68)&gt;0,MAX($AF68,SUM($F68:M68)-$E68-SUM($S68:Y68)),0)</f>
        <v>204</v>
      </c>
      <c r="AA68" s="5">
        <f>IF(SUM($F68:N68)-$E68-SUM($S68:Z68)&gt;0,MAX($AF68,SUM($F68:N68)-$E68-SUM($S68:Z68)),0)</f>
        <v>462</v>
      </c>
      <c r="AB68" s="5">
        <f>IF(SUM($F68:O68)-$E68-SUM($S68:AA68)&gt;0,MAX($AF68,SUM($F68:O68)-$E68-SUM($S68:AA68)),0)</f>
        <v>264</v>
      </c>
      <c r="AC68" s="5">
        <f>IF(SUM($F68:P68)-$E68-SUM($S68:AB68)&gt;0,MAX($AF68,SUM($F68:P68)-$E68-SUM($S68:AB68)),0)</f>
        <v>396</v>
      </c>
      <c r="AD68" s="5">
        <f>IF(SUM($F68:Q68)-$E68-SUM($S68:AC68)&gt;0,MAX($AF68,SUM($F68:Q68)-$E68-SUM($S68:AC68)),0)</f>
        <v>198</v>
      </c>
      <c r="AE68" s="5">
        <f t="shared" si="3"/>
        <v>1749</v>
      </c>
      <c r="AF68" s="5">
        <v>0</v>
      </c>
      <c r="AG68" s="1"/>
    </row>
    <row r="69" spans="1:33">
      <c r="A69" s="1" t="s">
        <v>195</v>
      </c>
      <c r="B69" s="1" t="s">
        <v>196</v>
      </c>
      <c r="C69" s="1" t="s">
        <v>3</v>
      </c>
      <c r="D69" s="1" t="s">
        <v>390</v>
      </c>
      <c r="E69" s="5">
        <v>0</v>
      </c>
      <c r="F69" s="5">
        <v>2961.596</v>
      </c>
      <c r="G69" s="5">
        <v>3730.7548312613726</v>
      </c>
      <c r="H69" s="5">
        <v>3734.0274922050858</v>
      </c>
      <c r="I69" s="5">
        <v>3434.53</v>
      </c>
      <c r="J69" s="5">
        <v>4141.1880000000001</v>
      </c>
      <c r="K69" s="5">
        <v>5305.387999999999</v>
      </c>
      <c r="L69" s="5">
        <v>4073.5419999999995</v>
      </c>
      <c r="M69" s="5">
        <v>2117.866</v>
      </c>
      <c r="N69" s="5">
        <v>1312.8119999999999</v>
      </c>
      <c r="O69" s="5">
        <v>5655.89</v>
      </c>
      <c r="P69" s="5">
        <v>5650.3140000000003</v>
      </c>
      <c r="Q69" s="5">
        <v>2604.444</v>
      </c>
      <c r="R69" s="5">
        <f t="shared" si="2"/>
        <v>44722.352323466461</v>
      </c>
      <c r="S69" s="5">
        <f>IF(SUM($F69:F69)-$E69-0&gt;0,MAX($AF69,SUM($F69:F69)-$E69-0),0)</f>
        <v>2961.596</v>
      </c>
      <c r="T69" s="5">
        <f>IF(SUM($F69:G69)-$E69-SUM($S69:S69)&gt;0,MAX($AF69,SUM($F69:G69)-$E69-SUM($S69:S69)),0)</f>
        <v>3730.7548312613721</v>
      </c>
      <c r="U69" s="5">
        <f>IF(SUM($F69:H69)-$E69-SUM($S69:T69)&gt;0,MAX($AF69,SUM($F69:H69)-$E69-SUM($S69:T69)),0)</f>
        <v>3734.0274922050867</v>
      </c>
      <c r="V69" s="5">
        <f>IF(SUM($F69:I69)-$E69-SUM($S69:U69)&gt;0,MAX($AF69,SUM($F69:I69)-$E69-SUM($S69:U69)),0)</f>
        <v>3434.5300000000007</v>
      </c>
      <c r="W69" s="5">
        <f>IF(SUM($F69:J69)-$E69-SUM($S69:V69)&gt;0,MAX($AF69,SUM($F69:J69)-$E69-SUM($S69:V69)),0)</f>
        <v>4141.1880000000001</v>
      </c>
      <c r="X69" s="5">
        <f>IF(SUM($F69:K69)-$E69-SUM($S69:W69)&gt;0,MAX($AF69,SUM($F69:K69)-$E69-SUM($S69:W69)),0)</f>
        <v>5305.387999999999</v>
      </c>
      <c r="Y69" s="5">
        <f>IF(SUM($F69:L69)-$E69-SUM($S69:X69)&gt;0,MAX($AF69,SUM($F69:L69)-$E69-SUM($S69:X69)),0)</f>
        <v>4073.5420000000013</v>
      </c>
      <c r="Z69" s="5">
        <f>IF(SUM($F69:M69)-$E69-SUM($S69:Y69)&gt;0,MAX($AF69,SUM($F69:M69)-$E69-SUM($S69:Y69)),0)</f>
        <v>2117.8660000000018</v>
      </c>
      <c r="AA69" s="5">
        <f>IF(SUM($F69:N69)-$E69-SUM($S69:Z69)&gt;0,MAX($AF69,SUM($F69:N69)-$E69-SUM($S69:Z69)),0)</f>
        <v>1312.8119999999981</v>
      </c>
      <c r="AB69" s="5">
        <f>IF(SUM($F69:O69)-$E69-SUM($S69:AA69)&gt;0,MAX($AF69,SUM($F69:O69)-$E69-SUM($S69:AA69)),0)</f>
        <v>5655.8899999999994</v>
      </c>
      <c r="AC69" s="5">
        <f>IF(SUM($F69:P69)-$E69-SUM($S69:AB69)&gt;0,MAX($AF69,SUM($F69:P69)-$E69-SUM($S69:AB69)),0)</f>
        <v>5650.3139999999985</v>
      </c>
      <c r="AD69" s="5">
        <f>IF(SUM($F69:Q69)-$E69-SUM($S69:AC69)&gt;0,MAX($AF69,SUM($F69:Q69)-$E69-SUM($S69:AC69)),0)</f>
        <v>2604.4440000000031</v>
      </c>
      <c r="AE69" s="5">
        <f t="shared" si="3"/>
        <v>44722.352323466461</v>
      </c>
      <c r="AF69" s="5">
        <v>0</v>
      </c>
      <c r="AG69" s="1"/>
    </row>
    <row r="70" spans="1:33">
      <c r="A70" s="1" t="s">
        <v>197</v>
      </c>
      <c r="B70" s="1" t="s">
        <v>198</v>
      </c>
      <c r="C70" s="1" t="s">
        <v>3</v>
      </c>
      <c r="D70" s="1" t="s">
        <v>390</v>
      </c>
      <c r="E70" s="5">
        <v>1473.3357867182635</v>
      </c>
      <c r="F70" s="5">
        <v>11973.85</v>
      </c>
      <c r="G70" s="5">
        <v>25340.583839645318</v>
      </c>
      <c r="H70" s="5">
        <v>19627.824222347386</v>
      </c>
      <c r="I70" s="5">
        <v>21636.78</v>
      </c>
      <c r="J70" s="5">
        <v>20095.02632523833</v>
      </c>
      <c r="K70" s="5">
        <v>28880.671999999999</v>
      </c>
      <c r="L70" s="5">
        <v>17344.451000000001</v>
      </c>
      <c r="M70" s="5">
        <v>28293.781999999999</v>
      </c>
      <c r="N70" s="5">
        <v>7918.3440000000001</v>
      </c>
      <c r="O70" s="5">
        <v>22759.239999999998</v>
      </c>
      <c r="P70" s="5">
        <v>22436.864000000001</v>
      </c>
      <c r="Q70" s="5">
        <v>2335.6080000000002</v>
      </c>
      <c r="R70" s="5">
        <f t="shared" si="2"/>
        <v>228643.02538723106</v>
      </c>
      <c r="S70" s="5">
        <f>IF(SUM($F70:F70)-$E70-0&gt;0,MAX($AF70,SUM($F70:F70)-$E70-0),0)</f>
        <v>10500.514213281736</v>
      </c>
      <c r="T70" s="5">
        <f>IF(SUM($F70:G70)-$E70-SUM($S70:S70)&gt;0,MAX($AF70,SUM($F70:G70)-$E70-SUM($S70:S70)),0)</f>
        <v>25340.583839645318</v>
      </c>
      <c r="U70" s="5">
        <f>IF(SUM($F70:H70)-$E70-SUM($S70:T70)&gt;0,MAX($AF70,SUM($F70:H70)-$E70-SUM($S70:T70)),0)</f>
        <v>19627.824222347386</v>
      </c>
      <c r="V70" s="5">
        <f>IF(SUM($F70:I70)-$E70-SUM($S70:U70)&gt;0,MAX($AF70,SUM($F70:I70)-$E70-SUM($S70:U70)),0)</f>
        <v>21636.78</v>
      </c>
      <c r="W70" s="5">
        <f>IF(SUM($F70:J70)-$E70-SUM($S70:V70)&gt;0,MAX($AF70,SUM($F70:J70)-$E70-SUM($S70:V70)),0)</f>
        <v>20095.02632523833</v>
      </c>
      <c r="X70" s="5">
        <f>IF(SUM($F70:K70)-$E70-SUM($S70:W70)&gt;0,MAX($AF70,SUM($F70:K70)-$E70-SUM($S70:W70)),0)</f>
        <v>28880.672000000006</v>
      </c>
      <c r="Y70" s="5">
        <f>IF(SUM($F70:L70)-$E70-SUM($S70:X70)&gt;0,MAX($AF70,SUM($F70:L70)-$E70-SUM($S70:X70)),0)</f>
        <v>17344.451000000001</v>
      </c>
      <c r="Z70" s="5">
        <f>IF(SUM($F70:M70)-$E70-SUM($S70:Y70)&gt;0,MAX($AF70,SUM($F70:M70)-$E70-SUM($S70:Y70)),0)</f>
        <v>28293.782000000007</v>
      </c>
      <c r="AA70" s="5">
        <f>IF(SUM($F70:N70)-$E70-SUM($S70:Z70)&gt;0,MAX($AF70,SUM($F70:N70)-$E70-SUM($S70:Z70)),0)</f>
        <v>7918.3440000000119</v>
      </c>
      <c r="AB70" s="5">
        <f>IF(SUM($F70:O70)-$E70-SUM($S70:AA70)&gt;0,MAX($AF70,SUM($F70:O70)-$E70-SUM($S70:AA70)),0)</f>
        <v>22759.239999999991</v>
      </c>
      <c r="AC70" s="5">
        <f>IF(SUM($F70:P70)-$E70-SUM($S70:AB70)&gt;0,MAX($AF70,SUM($F70:P70)-$E70-SUM($S70:AB70)),0)</f>
        <v>22436.864000000001</v>
      </c>
      <c r="AD70" s="5">
        <f>IF(SUM($F70:Q70)-$E70-SUM($S70:AC70)&gt;0,MAX($AF70,SUM($F70:Q70)-$E70-SUM($S70:AC70)),0)</f>
        <v>2335.6080000000075</v>
      </c>
      <c r="AE70" s="5">
        <f t="shared" si="3"/>
        <v>227169.68960051279</v>
      </c>
      <c r="AF70" s="5">
        <v>0</v>
      </c>
      <c r="AG70" s="1"/>
    </row>
    <row r="71" spans="1:33">
      <c r="A71" s="1" t="s">
        <v>199</v>
      </c>
      <c r="B71" s="1" t="s">
        <v>200</v>
      </c>
      <c r="C71" s="1" t="s">
        <v>3</v>
      </c>
      <c r="D71" s="1" t="s">
        <v>390</v>
      </c>
      <c r="E71" s="5">
        <v>3754.904695841833</v>
      </c>
      <c r="F71" s="5">
        <v>1709.2075</v>
      </c>
      <c r="G71" s="5">
        <v>3913.1094240146331</v>
      </c>
      <c r="H71" s="5">
        <v>2603.3619121127122</v>
      </c>
      <c r="I71" s="5">
        <v>3065.7950000000001</v>
      </c>
      <c r="J71" s="5">
        <v>3443.6403785053235</v>
      </c>
      <c r="K71" s="5">
        <v>4961.9439999999995</v>
      </c>
      <c r="L71" s="5">
        <v>2524.5095000000001</v>
      </c>
      <c r="M71" s="5">
        <v>4232.6540000000005</v>
      </c>
      <c r="N71" s="5">
        <v>1112.8579999999999</v>
      </c>
      <c r="O71" s="5">
        <v>2976.835</v>
      </c>
      <c r="P71" s="5">
        <v>3557.0355</v>
      </c>
      <c r="Q71" s="5">
        <v>659.68599999999992</v>
      </c>
      <c r="R71" s="5">
        <f t="shared" si="2"/>
        <v>34760.636214632665</v>
      </c>
      <c r="S71" s="5">
        <f>IF(SUM($F71:F71)-$E71-0&gt;0,MAX($AF71,SUM($F71:F71)-$E71-0),0)</f>
        <v>0</v>
      </c>
      <c r="T71" s="5">
        <f>IF(SUM($F71:G71)-$E71-SUM($S71:S71)&gt;0,MAX($AF71,SUM($F71:G71)-$E71-SUM($S71:S71)),0)</f>
        <v>1867.4122281727996</v>
      </c>
      <c r="U71" s="5">
        <f>IF(SUM($F71:H71)-$E71-SUM($S71:T71)&gt;0,MAX($AF71,SUM($F71:H71)-$E71-SUM($S71:T71)),0)</f>
        <v>2603.3619121127122</v>
      </c>
      <c r="V71" s="5">
        <f>IF(SUM($F71:I71)-$E71-SUM($S71:U71)&gt;0,MAX($AF71,SUM($F71:I71)-$E71-SUM($S71:U71)),0)</f>
        <v>3065.7950000000001</v>
      </c>
      <c r="W71" s="5">
        <f>IF(SUM($F71:J71)-$E71-SUM($S71:V71)&gt;0,MAX($AF71,SUM($F71:J71)-$E71-SUM($S71:V71)),0)</f>
        <v>3443.6403785053226</v>
      </c>
      <c r="X71" s="5">
        <f>IF(SUM($F71:K71)-$E71-SUM($S71:W71)&gt;0,MAX($AF71,SUM($F71:K71)-$E71-SUM($S71:W71)),0)</f>
        <v>4961.9439999999995</v>
      </c>
      <c r="Y71" s="5">
        <f>IF(SUM($F71:L71)-$E71-SUM($S71:X71)&gt;0,MAX($AF71,SUM($F71:L71)-$E71-SUM($S71:X71)),0)</f>
        <v>2524.5095000000001</v>
      </c>
      <c r="Z71" s="5">
        <f>IF(SUM($F71:M71)-$E71-SUM($S71:Y71)&gt;0,MAX($AF71,SUM($F71:M71)-$E71-SUM($S71:Y71)),0)</f>
        <v>4232.6539999999986</v>
      </c>
      <c r="AA71" s="5">
        <f>IF(SUM($F71:N71)-$E71-SUM($S71:Z71)&gt;0,MAX($AF71,SUM($F71:N71)-$E71-SUM($S71:Z71)),0)</f>
        <v>1112.8580000000002</v>
      </c>
      <c r="AB71" s="5">
        <f>IF(SUM($F71:O71)-$E71-SUM($S71:AA71)&gt;0,MAX($AF71,SUM($F71:O71)-$E71-SUM($S71:AA71)),0)</f>
        <v>2976.8349999999991</v>
      </c>
      <c r="AC71" s="5">
        <f>IF(SUM($F71:P71)-$E71-SUM($S71:AB71)&gt;0,MAX($AF71,SUM($F71:P71)-$E71-SUM($S71:AB71)),0)</f>
        <v>3557.0354999999981</v>
      </c>
      <c r="AD71" s="5">
        <f>IF(SUM($F71:Q71)-$E71-SUM($S71:AC71)&gt;0,MAX($AF71,SUM($F71:Q71)-$E71-SUM($S71:AC71)),0)</f>
        <v>659.68600000000151</v>
      </c>
      <c r="AE71" s="5">
        <f t="shared" si="3"/>
        <v>31005.731518790832</v>
      </c>
      <c r="AF71" s="5">
        <v>0</v>
      </c>
      <c r="AG71" s="1"/>
    </row>
    <row r="72" spans="1:33">
      <c r="A72" s="1" t="s">
        <v>201</v>
      </c>
      <c r="B72" s="1" t="s">
        <v>202</v>
      </c>
      <c r="C72" s="1" t="s">
        <v>3</v>
      </c>
      <c r="D72" s="1" t="s">
        <v>390</v>
      </c>
      <c r="E72" s="5">
        <v>0</v>
      </c>
      <c r="F72" s="5">
        <v>35220.634255849764</v>
      </c>
      <c r="G72" s="5">
        <v>29718.207694968292</v>
      </c>
      <c r="H72" s="5">
        <v>14050.825000000001</v>
      </c>
      <c r="I72" s="5">
        <v>26765.53</v>
      </c>
      <c r="J72" s="5">
        <v>24391.004999999997</v>
      </c>
      <c r="K72" s="5">
        <v>37661.942999999999</v>
      </c>
      <c r="L72" s="5">
        <v>20224.64</v>
      </c>
      <c r="M72" s="5">
        <v>18855.170000000002</v>
      </c>
      <c r="N72" s="5">
        <v>7847.15</v>
      </c>
      <c r="O72" s="5">
        <v>10557.708000000001</v>
      </c>
      <c r="P72" s="5">
        <v>19656.792000000001</v>
      </c>
      <c r="Q72" s="5">
        <v>2288.5860000000002</v>
      </c>
      <c r="R72" s="5">
        <f t="shared" ref="R72:R103" si="4">SUM(F72:Q72)</f>
        <v>247238.19095081807</v>
      </c>
      <c r="S72" s="5">
        <f>IF(SUM($F72:F72)-$E72-0&gt;0,MAX($AF72,SUM($F72:F72)-$E72-0),0)</f>
        <v>35220.634255849764</v>
      </c>
      <c r="T72" s="5">
        <f>IF(SUM($F72:G72)-$E72-SUM($S72:S72)&gt;0,MAX($AF72,SUM($F72:G72)-$E72-SUM($S72:S72)),0)</f>
        <v>29718.207694968289</v>
      </c>
      <c r="U72" s="5">
        <f>IF(SUM($F72:H72)-$E72-SUM($S72:T72)&gt;0,MAX($AF72,SUM($F72:H72)-$E72-SUM($S72:T72)),0)</f>
        <v>14050.824999999997</v>
      </c>
      <c r="V72" s="5">
        <f>IF(SUM($F72:I72)-$E72-SUM($S72:U72)&gt;0,MAX($AF72,SUM($F72:I72)-$E72-SUM($S72:U72)),0)</f>
        <v>26765.53</v>
      </c>
      <c r="W72" s="5">
        <f>IF(SUM($F72:J72)-$E72-SUM($S72:V72)&gt;0,MAX($AF72,SUM($F72:J72)-$E72-SUM($S72:V72)),0)</f>
        <v>24391.00499999999</v>
      </c>
      <c r="X72" s="5">
        <f>IF(SUM($F72:K72)-$E72-SUM($S72:W72)&gt;0,MAX($AF72,SUM($F72:K72)-$E72-SUM($S72:W72)),0)</f>
        <v>37661.942999999999</v>
      </c>
      <c r="Y72" s="5">
        <f>IF(SUM($F72:L72)-$E72-SUM($S72:X72)&gt;0,MAX($AF72,SUM($F72:L72)-$E72-SUM($S72:X72)),0)</f>
        <v>20224.640000000014</v>
      </c>
      <c r="Z72" s="5">
        <f>IF(SUM($F72:M72)-$E72-SUM($S72:Y72)&gt;0,MAX($AF72,SUM($F72:M72)-$E72-SUM($S72:Y72)),0)</f>
        <v>18855.170000000013</v>
      </c>
      <c r="AA72" s="5">
        <f>IF(SUM($F72:N72)-$E72-SUM($S72:Z72)&gt;0,MAX($AF72,SUM($F72:N72)-$E72-SUM($S72:Z72)),0)</f>
        <v>7847.1499999999942</v>
      </c>
      <c r="AB72" s="5">
        <f>IF(SUM($F72:O72)-$E72-SUM($S72:AA72)&gt;0,MAX($AF72,SUM($F72:O72)-$E72-SUM($S72:AA72)),0)</f>
        <v>10557.708000000013</v>
      </c>
      <c r="AC72" s="5">
        <f>IF(SUM($F72:P72)-$E72-SUM($S72:AB72)&gt;0,MAX($AF72,SUM($F72:P72)-$E72-SUM($S72:AB72)),0)</f>
        <v>19656.791999999987</v>
      </c>
      <c r="AD72" s="5">
        <f>IF(SUM($F72:Q72)-$E72-SUM($S72:AC72)&gt;0,MAX($AF72,SUM($F72:Q72)-$E72-SUM($S72:AC72)),0)</f>
        <v>2288.5860000000102</v>
      </c>
      <c r="AE72" s="5">
        <f t="shared" ref="AE72:AE103" si="5">SUM(S72:AD72)</f>
        <v>247238.19095081807</v>
      </c>
      <c r="AF72" s="5">
        <v>0</v>
      </c>
      <c r="AG72" s="1"/>
    </row>
    <row r="73" spans="1:33">
      <c r="A73" s="1" t="s">
        <v>203</v>
      </c>
      <c r="B73" s="1" t="s">
        <v>204</v>
      </c>
      <c r="C73" s="1" t="s">
        <v>3</v>
      </c>
      <c r="D73" s="1" t="s">
        <v>390</v>
      </c>
      <c r="E73" s="5">
        <v>0</v>
      </c>
      <c r="F73" s="5">
        <v>0</v>
      </c>
      <c r="G73" s="5">
        <v>754.8</v>
      </c>
      <c r="H73" s="5">
        <v>3310.0064229033919</v>
      </c>
      <c r="I73" s="5">
        <v>164.7</v>
      </c>
      <c r="J73" s="5">
        <v>2545.6</v>
      </c>
      <c r="K73" s="5">
        <v>261.75799999999998</v>
      </c>
      <c r="L73" s="5">
        <v>0</v>
      </c>
      <c r="M73" s="5">
        <v>118.02</v>
      </c>
      <c r="N73" s="5">
        <v>739.01</v>
      </c>
      <c r="O73" s="5">
        <v>1155.68</v>
      </c>
      <c r="P73" s="5">
        <v>263.75200000000001</v>
      </c>
      <c r="Q73" s="5">
        <v>2019.54</v>
      </c>
      <c r="R73" s="5">
        <f t="shared" si="4"/>
        <v>11332.866422903393</v>
      </c>
      <c r="S73" s="5">
        <f>IF(SUM($F73:F73)-$E73-0&gt;0,MAX($AF73,SUM($F73:F73)-$E73-0),0)</f>
        <v>0</v>
      </c>
      <c r="T73" s="5">
        <f>IF(SUM($F73:G73)-$E73-SUM($S73:S73)&gt;0,MAX($AF73,SUM($F73:G73)-$E73-SUM($S73:S73)),0)</f>
        <v>754.8</v>
      </c>
      <c r="U73" s="5">
        <f>IF(SUM($F73:H73)-$E73-SUM($S73:T73)&gt;0,MAX($AF73,SUM($F73:H73)-$E73-SUM($S73:T73)),0)</f>
        <v>3310.0064229033915</v>
      </c>
      <c r="V73" s="5">
        <f>IF(SUM($F73:I73)-$E73-SUM($S73:U73)&gt;0,MAX($AF73,SUM($F73:I73)-$E73-SUM($S73:U73)),0)</f>
        <v>164.69999999999982</v>
      </c>
      <c r="W73" s="5">
        <f>IF(SUM($F73:J73)-$E73-SUM($S73:V73)&gt;0,MAX($AF73,SUM($F73:J73)-$E73-SUM($S73:V73)),0)</f>
        <v>2545.5999999999995</v>
      </c>
      <c r="X73" s="5">
        <f>IF(SUM($F73:K73)-$E73-SUM($S73:W73)&gt;0,MAX($AF73,SUM($F73:K73)-$E73-SUM($S73:W73)),0)</f>
        <v>261.75799999999981</v>
      </c>
      <c r="Y73" s="5">
        <f>IF(SUM($F73:L73)-$E73-SUM($S73:X73)&gt;0,MAX($AF73,SUM($F73:L73)-$E73-SUM($S73:X73)),0)</f>
        <v>0</v>
      </c>
      <c r="Z73" s="5">
        <f>IF(SUM($F73:M73)-$E73-SUM($S73:Y73)&gt;0,MAX($AF73,SUM($F73:M73)-$E73-SUM($S73:Y73)),0)</f>
        <v>118.02000000000044</v>
      </c>
      <c r="AA73" s="5">
        <f>IF(SUM($F73:N73)-$E73-SUM($S73:Z73)&gt;0,MAX($AF73,SUM($F73:N73)-$E73-SUM($S73:Z73)),0)</f>
        <v>739.01000000000022</v>
      </c>
      <c r="AB73" s="5">
        <f>IF(SUM($F73:O73)-$E73-SUM($S73:AA73)&gt;0,MAX($AF73,SUM($F73:O73)-$E73-SUM($S73:AA73)),0)</f>
        <v>1155.6800000000003</v>
      </c>
      <c r="AC73" s="5">
        <f>IF(SUM($F73:P73)-$E73-SUM($S73:AB73)&gt;0,MAX($AF73,SUM($F73:P73)-$E73-SUM($S73:AB73)),0)</f>
        <v>263.75200000000041</v>
      </c>
      <c r="AD73" s="5">
        <f>IF(SUM($F73:Q73)-$E73-SUM($S73:AC73)&gt;0,MAX($AF73,SUM($F73:Q73)-$E73-SUM($S73:AC73)),0)</f>
        <v>2019.5400000000009</v>
      </c>
      <c r="AE73" s="5">
        <f t="shared" si="5"/>
        <v>11332.866422903393</v>
      </c>
      <c r="AF73" s="5">
        <v>0</v>
      </c>
      <c r="AG73" s="1"/>
    </row>
    <row r="74" spans="1:33">
      <c r="A74" s="1" t="s">
        <v>205</v>
      </c>
      <c r="B74" s="1" t="s">
        <v>206</v>
      </c>
      <c r="C74" s="1" t="s">
        <v>3</v>
      </c>
      <c r="D74" s="1" t="s">
        <v>390</v>
      </c>
      <c r="E74" s="5">
        <v>2056.3898455948483</v>
      </c>
      <c r="F74" s="5">
        <v>0</v>
      </c>
      <c r="G74" s="5">
        <v>0</v>
      </c>
      <c r="H74" s="5">
        <v>102.12</v>
      </c>
      <c r="I74" s="5">
        <v>53.28</v>
      </c>
      <c r="J74" s="5">
        <v>0</v>
      </c>
      <c r="K74" s="5">
        <v>0</v>
      </c>
      <c r="L74" s="5">
        <v>105.006</v>
      </c>
      <c r="M74" s="5">
        <v>0</v>
      </c>
      <c r="N74" s="5">
        <v>0</v>
      </c>
      <c r="O74" s="5">
        <v>0</v>
      </c>
      <c r="P74" s="5">
        <v>364.08</v>
      </c>
      <c r="Q74" s="5">
        <v>44.4</v>
      </c>
      <c r="R74" s="5">
        <f t="shared" si="4"/>
        <v>668.88599999999997</v>
      </c>
      <c r="S74" s="5">
        <f>IF(SUM($F74:F74)-$E74-0&gt;0,MAX($AF74,SUM($F74:F74)-$E74-0),0)</f>
        <v>0</v>
      </c>
      <c r="T74" s="5">
        <f>IF(SUM($F74:G74)-$E74-SUM($S74:S74)&gt;0,MAX($AF74,SUM($F74:G74)-$E74-SUM($S74:S74)),0)</f>
        <v>0</v>
      </c>
      <c r="U74" s="5">
        <f>IF(SUM($F74:H74)-$E74-SUM($S74:T74)&gt;0,MAX($AF74,SUM($F74:H74)-$E74-SUM($S74:T74)),0)</f>
        <v>0</v>
      </c>
      <c r="V74" s="5">
        <f>IF(SUM($F74:I74)-$E74-SUM($S74:U74)&gt;0,MAX($AF74,SUM($F74:I74)-$E74-SUM($S74:U74)),0)</f>
        <v>0</v>
      </c>
      <c r="W74" s="5">
        <f>IF(SUM($F74:J74)-$E74-SUM($S74:V74)&gt;0,MAX($AF74,SUM($F74:J74)-$E74-SUM($S74:V74)),0)</f>
        <v>0</v>
      </c>
      <c r="X74" s="5">
        <f>IF(SUM($F74:K74)-$E74-SUM($S74:W74)&gt;0,MAX($AF74,SUM($F74:K74)-$E74-SUM($S74:W74)),0)</f>
        <v>0</v>
      </c>
      <c r="Y74" s="5">
        <f>IF(SUM($F74:L74)-$E74-SUM($S74:X74)&gt;0,MAX($AF74,SUM($F74:L74)-$E74-SUM($S74:X74)),0)</f>
        <v>0</v>
      </c>
      <c r="Z74" s="5">
        <f>IF(SUM($F74:M74)-$E74-SUM($S74:Y74)&gt;0,MAX($AF74,SUM($F74:M74)-$E74-SUM($S74:Y74)),0)</f>
        <v>0</v>
      </c>
      <c r="AA74" s="5">
        <f>IF(SUM($F74:N74)-$E74-SUM($S74:Z74)&gt;0,MAX($AF74,SUM($F74:N74)-$E74-SUM($S74:Z74)),0)</f>
        <v>0</v>
      </c>
      <c r="AB74" s="5">
        <f>IF(SUM($F74:O74)-$E74-SUM($S74:AA74)&gt;0,MAX($AF74,SUM($F74:O74)-$E74-SUM($S74:AA74)),0)</f>
        <v>0</v>
      </c>
      <c r="AC74" s="5">
        <f>IF(SUM($F74:P74)-$E74-SUM($S74:AB74)&gt;0,MAX($AF74,SUM($F74:P74)-$E74-SUM($S74:AB74)),0)</f>
        <v>0</v>
      </c>
      <c r="AD74" s="5">
        <f>IF(SUM($F74:Q74)-$E74-SUM($S74:AC74)&gt;0,MAX($AF74,SUM($F74:Q74)-$E74-SUM($S74:AC74)),0)</f>
        <v>0</v>
      </c>
      <c r="AE74" s="5">
        <f t="shared" si="5"/>
        <v>0</v>
      </c>
      <c r="AF74" s="5">
        <v>0</v>
      </c>
      <c r="AG74" s="1"/>
    </row>
    <row r="75" spans="1:33">
      <c r="A75" s="1" t="s">
        <v>207</v>
      </c>
      <c r="B75" s="1" t="s">
        <v>208</v>
      </c>
      <c r="C75" s="1" t="s">
        <v>3</v>
      </c>
      <c r="D75" s="1" t="s">
        <v>390</v>
      </c>
      <c r="E75" s="5">
        <v>6901.7295689706016</v>
      </c>
      <c r="F75" s="5">
        <v>661.2842080767864</v>
      </c>
      <c r="G75" s="5">
        <v>902.26165299242098</v>
      </c>
      <c r="H75" s="5">
        <v>2587.542171760168</v>
      </c>
      <c r="I75" s="5">
        <v>1289.7516201385085</v>
      </c>
      <c r="J75" s="5">
        <v>3956.9791048468751</v>
      </c>
      <c r="K75" s="5">
        <v>2860.6932737830061</v>
      </c>
      <c r="L75" s="5">
        <v>2025.6824739247236</v>
      </c>
      <c r="M75" s="5">
        <v>718.10257735998459</v>
      </c>
      <c r="N75" s="5">
        <v>548.77178086332947</v>
      </c>
      <c r="O75" s="5">
        <v>603.85428946674631</v>
      </c>
      <c r="P75" s="5">
        <v>1021.0245552573301</v>
      </c>
      <c r="Q75" s="5">
        <v>2270.5762162454303</v>
      </c>
      <c r="R75" s="5">
        <f t="shared" si="4"/>
        <v>19446.523924715311</v>
      </c>
      <c r="S75" s="5">
        <f>IF(SUM($F75:F75)-$E75-0&gt;0,MAX($AF75,SUM($F75:F75)-$E75-0),0)</f>
        <v>0</v>
      </c>
      <c r="T75" s="5">
        <f>IF(SUM($F75:G75)-$E75-SUM($S75:S75)&gt;0,MAX($AF75,SUM($F75:G75)-$E75-SUM($S75:S75)),0)</f>
        <v>0</v>
      </c>
      <c r="U75" s="5">
        <f>IF(SUM($F75:H75)-$E75-SUM($S75:T75)&gt;0,MAX($AF75,SUM($F75:H75)-$E75-SUM($S75:T75)),0)</f>
        <v>0</v>
      </c>
      <c r="V75" s="5">
        <f>IF(SUM($F75:I75)-$E75-SUM($S75:U75)&gt;0,MAX($AF75,SUM($F75:I75)-$E75-SUM($S75:U75)),0)</f>
        <v>0</v>
      </c>
      <c r="W75" s="5">
        <f>IF(SUM($F75:J75)-$E75-SUM($S75:V75)&gt;0,MAX($AF75,SUM($F75:J75)-$E75-SUM($S75:V75)),0)</f>
        <v>2496.0891888441574</v>
      </c>
      <c r="X75" s="5">
        <f>IF(SUM($F75:K75)-$E75-SUM($S75:W75)&gt;0,MAX($AF75,SUM($F75:K75)-$E75-SUM($S75:W75)),0)</f>
        <v>2860.6932737830066</v>
      </c>
      <c r="Y75" s="5">
        <f>IF(SUM($F75:L75)-$E75-SUM($S75:X75)&gt;0,MAX($AF75,SUM($F75:L75)-$E75-SUM($S75:X75)),0)</f>
        <v>2025.682473924724</v>
      </c>
      <c r="Z75" s="5">
        <f>IF(SUM($F75:M75)-$E75-SUM($S75:Y75)&gt;0,MAX($AF75,SUM($F75:M75)-$E75-SUM($S75:Y75)),0)</f>
        <v>718.10257735998493</v>
      </c>
      <c r="AA75" s="5">
        <f>IF(SUM($F75:N75)-$E75-SUM($S75:Z75)&gt;0,MAX($AF75,SUM($F75:N75)-$E75-SUM($S75:Z75)),0)</f>
        <v>548.7717808633306</v>
      </c>
      <c r="AB75" s="5">
        <f>IF(SUM($F75:O75)-$E75-SUM($S75:AA75)&gt;0,MAX($AF75,SUM($F75:O75)-$E75-SUM($S75:AA75)),0)</f>
        <v>603.85428946674438</v>
      </c>
      <c r="AC75" s="5">
        <f>IF(SUM($F75:P75)-$E75-SUM($S75:AB75)&gt;0,MAX($AF75,SUM($F75:P75)-$E75-SUM($S75:AB75)),0)</f>
        <v>1021.0245552573324</v>
      </c>
      <c r="AD75" s="5">
        <f>IF(SUM($F75:Q75)-$E75-SUM($S75:AC75)&gt;0,MAX($AF75,SUM($F75:Q75)-$E75-SUM($S75:AC75)),0)</f>
        <v>2270.5762162454303</v>
      </c>
      <c r="AE75" s="5">
        <f t="shared" si="5"/>
        <v>12544.794355744711</v>
      </c>
      <c r="AF75" s="5">
        <v>0</v>
      </c>
      <c r="AG75" s="1"/>
    </row>
    <row r="76" spans="1:33">
      <c r="A76" s="1" t="s">
        <v>209</v>
      </c>
      <c r="B76" s="1" t="s">
        <v>210</v>
      </c>
      <c r="C76" s="1" t="s">
        <v>3</v>
      </c>
      <c r="D76" s="1" t="s">
        <v>390</v>
      </c>
      <c r="E76" s="5">
        <v>0</v>
      </c>
      <c r="F76" s="5">
        <v>539.12684210526311</v>
      </c>
      <c r="G76" s="5">
        <v>361.34</v>
      </c>
      <c r="H76" s="5">
        <v>15.995929766543846</v>
      </c>
      <c r="I76" s="5">
        <v>553.9</v>
      </c>
      <c r="J76" s="5">
        <v>1498.7794736842106</v>
      </c>
      <c r="K76" s="5">
        <v>338.35789473684213</v>
      </c>
      <c r="L76" s="5">
        <v>390.381052631579</v>
      </c>
      <c r="M76" s="5">
        <v>178.64368421052632</v>
      </c>
      <c r="N76" s="5">
        <v>1073.8699999999999</v>
      </c>
      <c r="O76" s="5">
        <v>88.72999999999999</v>
      </c>
      <c r="P76" s="5">
        <v>130.83105263157893</v>
      </c>
      <c r="Q76" s="5">
        <v>1142.5899999999999</v>
      </c>
      <c r="R76" s="5">
        <f t="shared" si="4"/>
        <v>6312.5459297665448</v>
      </c>
      <c r="S76" s="5">
        <f>IF(SUM($F76:F76)-$E76-0&gt;0,MAX($AF76,SUM($F76:F76)-$E76-0),0)</f>
        <v>539.12684210526311</v>
      </c>
      <c r="T76" s="5">
        <f>IF(SUM($F76:G76)-$E76-SUM($S76:S76)&gt;0,MAX($AF76,SUM($F76:G76)-$E76-SUM($S76:S76)),0)</f>
        <v>361.34000000000003</v>
      </c>
      <c r="U76" s="5">
        <f>IF(SUM($F76:H76)-$E76-SUM($S76:T76)&gt;0,MAX($AF76,SUM($F76:H76)-$E76-SUM($S76:T76)),0)</f>
        <v>15.995929766543895</v>
      </c>
      <c r="V76" s="5">
        <f>IF(SUM($F76:I76)-$E76-SUM($S76:U76)&gt;0,MAX($AF76,SUM($F76:I76)-$E76-SUM($S76:U76)),0)</f>
        <v>553.90000000000009</v>
      </c>
      <c r="W76" s="5">
        <f>IF(SUM($F76:J76)-$E76-SUM($S76:V76)&gt;0,MAX($AF76,SUM($F76:J76)-$E76-SUM($S76:V76)),0)</f>
        <v>1498.7794736842106</v>
      </c>
      <c r="X76" s="5">
        <f>IF(SUM($F76:K76)-$E76-SUM($S76:W76)&gt;0,MAX($AF76,SUM($F76:K76)-$E76-SUM($S76:W76)),0)</f>
        <v>338.35789473684235</v>
      </c>
      <c r="Y76" s="5">
        <f>IF(SUM($F76:L76)-$E76-SUM($S76:X76)&gt;0,MAX($AF76,SUM($F76:L76)-$E76-SUM($S76:X76)),0)</f>
        <v>390.38105263157922</v>
      </c>
      <c r="Z76" s="5">
        <f>IF(SUM($F76:M76)-$E76-SUM($S76:Y76)&gt;0,MAX($AF76,SUM($F76:M76)-$E76-SUM($S76:Y76)),0)</f>
        <v>178.64368421052632</v>
      </c>
      <c r="AA76" s="5">
        <f>IF(SUM($F76:N76)-$E76-SUM($S76:Z76)&gt;0,MAX($AF76,SUM($F76:N76)-$E76-SUM($S76:Z76)),0)</f>
        <v>1073.8700000000003</v>
      </c>
      <c r="AB76" s="5">
        <f>IF(SUM($F76:O76)-$E76-SUM($S76:AA76)&gt;0,MAX($AF76,SUM($F76:O76)-$E76-SUM($S76:AA76)),0)</f>
        <v>88.729999999999563</v>
      </c>
      <c r="AC76" s="5">
        <f>IF(SUM($F76:P76)-$E76-SUM($S76:AB76)&gt;0,MAX($AF76,SUM($F76:P76)-$E76-SUM($S76:AB76)),0)</f>
        <v>130.83105263157904</v>
      </c>
      <c r="AD76" s="5">
        <f>IF(SUM($F76:Q76)-$E76-SUM($S76:AC76)&gt;0,MAX($AF76,SUM($F76:Q76)-$E76-SUM($S76:AC76)),0)</f>
        <v>1142.5900000000001</v>
      </c>
      <c r="AE76" s="5">
        <f t="shared" si="5"/>
        <v>6312.5459297665448</v>
      </c>
      <c r="AF76" s="5">
        <v>0</v>
      </c>
      <c r="AG76" s="1"/>
    </row>
    <row r="77" spans="1:33">
      <c r="A77" s="1" t="s">
        <v>211</v>
      </c>
      <c r="B77" s="1" t="s">
        <v>212</v>
      </c>
      <c r="C77" s="1" t="s">
        <v>3</v>
      </c>
      <c r="D77" s="1" t="s">
        <v>390</v>
      </c>
      <c r="E77" s="5">
        <v>0</v>
      </c>
      <c r="F77" s="5">
        <v>1.7639999999999998</v>
      </c>
      <c r="G77" s="5">
        <v>302.92599999999999</v>
      </c>
      <c r="H77" s="5">
        <v>30.745877377854214</v>
      </c>
      <c r="I77" s="5">
        <v>52.21</v>
      </c>
      <c r="J77" s="5">
        <v>44.93</v>
      </c>
      <c r="K77" s="5">
        <v>24.740000000000002</v>
      </c>
      <c r="L77" s="5">
        <v>35.533000000000001</v>
      </c>
      <c r="M77" s="5">
        <v>39.752000000000002</v>
      </c>
      <c r="N77" s="5">
        <v>1.38</v>
      </c>
      <c r="O77" s="5">
        <v>23.98</v>
      </c>
      <c r="P77" s="5">
        <v>64.908000000000001</v>
      </c>
      <c r="Q77" s="5">
        <v>311.43299999999999</v>
      </c>
      <c r="R77" s="5">
        <f t="shared" si="4"/>
        <v>934.30187737785423</v>
      </c>
      <c r="S77" s="5">
        <f>IF(SUM($F77:F77)-$E77-0&gt;0,MAX($AF77,SUM($F77:F77)-$E77-0),0)</f>
        <v>1.7639999999999998</v>
      </c>
      <c r="T77" s="5">
        <f>IF(SUM($F77:G77)-$E77-SUM($S77:S77)&gt;0,MAX($AF77,SUM($F77:G77)-$E77-SUM($S77:S77)),0)</f>
        <v>302.92599999999999</v>
      </c>
      <c r="U77" s="5">
        <f>IF(SUM($F77:H77)-$E77-SUM($S77:T77)&gt;0,MAX($AF77,SUM($F77:H77)-$E77-SUM($S77:T77)),0)</f>
        <v>30.745877377854242</v>
      </c>
      <c r="V77" s="5">
        <f>IF(SUM($F77:I77)-$E77-SUM($S77:U77)&gt;0,MAX($AF77,SUM($F77:I77)-$E77-SUM($S77:U77)),0)</f>
        <v>52.20999999999998</v>
      </c>
      <c r="W77" s="5">
        <f>IF(SUM($F77:J77)-$E77-SUM($S77:V77)&gt;0,MAX($AF77,SUM($F77:J77)-$E77-SUM($S77:V77)),0)</f>
        <v>44.930000000000007</v>
      </c>
      <c r="X77" s="5">
        <f>IF(SUM($F77:K77)-$E77-SUM($S77:W77)&gt;0,MAX($AF77,SUM($F77:K77)-$E77-SUM($S77:W77)),0)</f>
        <v>24.740000000000009</v>
      </c>
      <c r="Y77" s="5">
        <f>IF(SUM($F77:L77)-$E77-SUM($S77:X77)&gt;0,MAX($AF77,SUM($F77:L77)-$E77-SUM($S77:X77)),0)</f>
        <v>35.533000000000015</v>
      </c>
      <c r="Z77" s="5">
        <f>IF(SUM($F77:M77)-$E77-SUM($S77:Y77)&gt;0,MAX($AF77,SUM($F77:M77)-$E77-SUM($S77:Y77)),0)</f>
        <v>39.751999999999953</v>
      </c>
      <c r="AA77" s="5">
        <f>IF(SUM($F77:N77)-$E77-SUM($S77:Z77)&gt;0,MAX($AF77,SUM($F77:N77)-$E77-SUM($S77:Z77)),0)</f>
        <v>1.3799999999999955</v>
      </c>
      <c r="AB77" s="5">
        <f>IF(SUM($F77:O77)-$E77-SUM($S77:AA77)&gt;0,MAX($AF77,SUM($F77:O77)-$E77-SUM($S77:AA77)),0)</f>
        <v>23.980000000000018</v>
      </c>
      <c r="AC77" s="5">
        <f>IF(SUM($F77:P77)-$E77-SUM($S77:AB77)&gt;0,MAX($AF77,SUM($F77:P77)-$E77-SUM($S77:AB77)),0)</f>
        <v>64.908000000000015</v>
      </c>
      <c r="AD77" s="5">
        <f>IF(SUM($F77:Q77)-$E77-SUM($S77:AC77)&gt;0,MAX($AF77,SUM($F77:Q77)-$E77-SUM($S77:AC77)),0)</f>
        <v>311.43299999999999</v>
      </c>
      <c r="AE77" s="5">
        <f t="shared" si="5"/>
        <v>934.30187737785423</v>
      </c>
      <c r="AF77" s="5">
        <v>0</v>
      </c>
      <c r="AG77" s="1"/>
    </row>
    <row r="78" spans="1:33">
      <c r="A78" s="1" t="s">
        <v>213</v>
      </c>
      <c r="B78" s="1" t="s">
        <v>214</v>
      </c>
      <c r="C78" s="1" t="s">
        <v>3</v>
      </c>
      <c r="D78" s="1" t="s">
        <v>390</v>
      </c>
      <c r="E78" s="5">
        <v>416.79943930087359</v>
      </c>
      <c r="F78" s="5">
        <v>0</v>
      </c>
      <c r="G78" s="5">
        <v>0</v>
      </c>
      <c r="H78" s="5">
        <v>0</v>
      </c>
      <c r="I78" s="5">
        <v>0</v>
      </c>
      <c r="J78" s="5">
        <v>50</v>
      </c>
      <c r="K78" s="5">
        <v>0</v>
      </c>
      <c r="L78" s="5">
        <v>0</v>
      </c>
      <c r="M78" s="5">
        <v>0</v>
      </c>
      <c r="N78" s="5">
        <v>0</v>
      </c>
      <c r="O78" s="5">
        <v>50</v>
      </c>
      <c r="P78" s="5">
        <v>186.4</v>
      </c>
      <c r="Q78" s="5">
        <v>50</v>
      </c>
      <c r="R78" s="5">
        <f t="shared" si="4"/>
        <v>336.4</v>
      </c>
      <c r="S78" s="5">
        <f>IF(SUM($F78:F78)-$E78-0&gt;0,MAX($AF78,SUM($F78:F78)-$E78-0),0)</f>
        <v>0</v>
      </c>
      <c r="T78" s="5">
        <f>IF(SUM($F78:G78)-$E78-SUM($S78:S78)&gt;0,MAX($AF78,SUM($F78:G78)-$E78-SUM($S78:S78)),0)</f>
        <v>0</v>
      </c>
      <c r="U78" s="5">
        <f>IF(SUM($F78:H78)-$E78-SUM($S78:T78)&gt;0,MAX($AF78,SUM($F78:H78)-$E78-SUM($S78:T78)),0)</f>
        <v>0</v>
      </c>
      <c r="V78" s="5">
        <f>IF(SUM($F78:I78)-$E78-SUM($S78:U78)&gt;0,MAX($AF78,SUM($F78:I78)-$E78-SUM($S78:U78)),0)</f>
        <v>0</v>
      </c>
      <c r="W78" s="5">
        <f>IF(SUM($F78:J78)-$E78-SUM($S78:V78)&gt;0,MAX($AF78,SUM($F78:J78)-$E78-SUM($S78:V78)),0)</f>
        <v>0</v>
      </c>
      <c r="X78" s="5">
        <f>IF(SUM($F78:K78)-$E78-SUM($S78:W78)&gt;0,MAX($AF78,SUM($F78:K78)-$E78-SUM($S78:W78)),0)</f>
        <v>0</v>
      </c>
      <c r="Y78" s="5">
        <f>IF(SUM($F78:L78)-$E78-SUM($S78:X78)&gt;0,MAX($AF78,SUM($F78:L78)-$E78-SUM($S78:X78)),0)</f>
        <v>0</v>
      </c>
      <c r="Z78" s="5">
        <f>IF(SUM($F78:M78)-$E78-SUM($S78:Y78)&gt;0,MAX($AF78,SUM($F78:M78)-$E78-SUM($S78:Y78)),0)</f>
        <v>0</v>
      </c>
      <c r="AA78" s="5">
        <f>IF(SUM($F78:N78)-$E78-SUM($S78:Z78)&gt;0,MAX($AF78,SUM($F78:N78)-$E78-SUM($S78:Z78)),0)</f>
        <v>0</v>
      </c>
      <c r="AB78" s="5">
        <f>IF(SUM($F78:O78)-$E78-SUM($S78:AA78)&gt;0,MAX($AF78,SUM($F78:O78)-$E78-SUM($S78:AA78)),0)</f>
        <v>0</v>
      </c>
      <c r="AC78" s="5">
        <f>IF(SUM($F78:P78)-$E78-SUM($S78:AB78)&gt;0,MAX($AF78,SUM($F78:P78)-$E78-SUM($S78:AB78)),0)</f>
        <v>0</v>
      </c>
      <c r="AD78" s="5">
        <f>IF(SUM($F78:Q78)-$E78-SUM($S78:AC78)&gt;0,MAX($AF78,SUM($F78:Q78)-$E78-SUM($S78:AC78)),0)</f>
        <v>0</v>
      </c>
      <c r="AE78" s="5">
        <f t="shared" si="5"/>
        <v>0</v>
      </c>
      <c r="AF78" s="5">
        <v>0</v>
      </c>
      <c r="AG78" s="1"/>
    </row>
    <row r="79" spans="1:33">
      <c r="A79" s="1" t="s">
        <v>215</v>
      </c>
      <c r="B79" s="1" t="s">
        <v>216</v>
      </c>
      <c r="C79" s="1" t="s">
        <v>3</v>
      </c>
      <c r="D79" s="1" t="s">
        <v>390</v>
      </c>
      <c r="E79" s="5">
        <v>0</v>
      </c>
      <c r="F79" s="5">
        <v>6256.406583785053</v>
      </c>
      <c r="G79" s="5">
        <v>6941.6681425652851</v>
      </c>
      <c r="H79" s="5">
        <v>5275.1</v>
      </c>
      <c r="I79" s="5">
        <v>5929.92</v>
      </c>
      <c r="J79" s="5">
        <v>6103.8630541281045</v>
      </c>
      <c r="K79" s="5">
        <v>14541.626750000001</v>
      </c>
      <c r="L79" s="5">
        <v>8531.8912500000006</v>
      </c>
      <c r="M79" s="5">
        <v>4362.6460000000006</v>
      </c>
      <c r="N79" s="5">
        <v>1815.95</v>
      </c>
      <c r="O79" s="5">
        <v>6556.7</v>
      </c>
      <c r="P79" s="5">
        <v>6271.4800000000005</v>
      </c>
      <c r="Q79" s="5">
        <v>2748.5250000000001</v>
      </c>
      <c r="R79" s="5">
        <f t="shared" si="4"/>
        <v>75335.776780478438</v>
      </c>
      <c r="S79" s="5">
        <f>IF(SUM($F79:F79)-$E79-0&gt;0,MAX($AF79,SUM($F79:F79)-$E79-0),0)</f>
        <v>6256.406583785053</v>
      </c>
      <c r="T79" s="5">
        <f>IF(SUM($F79:G79)-$E79-SUM($S79:S79)&gt;0,MAX($AF79,SUM($F79:G79)-$E79-SUM($S79:S79)),0)</f>
        <v>6941.6681425652851</v>
      </c>
      <c r="U79" s="5">
        <f>IF(SUM($F79:H79)-$E79-SUM($S79:T79)&gt;0,MAX($AF79,SUM($F79:H79)-$E79-SUM($S79:T79)),0)</f>
        <v>5275.1</v>
      </c>
      <c r="V79" s="5">
        <f>IF(SUM($F79:I79)-$E79-SUM($S79:U79)&gt;0,MAX($AF79,SUM($F79:I79)-$E79-SUM($S79:U79)),0)</f>
        <v>5929.9200000000019</v>
      </c>
      <c r="W79" s="5">
        <f>IF(SUM($F79:J79)-$E79-SUM($S79:V79)&gt;0,MAX($AF79,SUM($F79:J79)-$E79-SUM($S79:V79)),0)</f>
        <v>6103.8630541281054</v>
      </c>
      <c r="X79" s="5">
        <f>IF(SUM($F79:K79)-$E79-SUM($S79:W79)&gt;0,MAX($AF79,SUM($F79:K79)-$E79-SUM($S79:W79)),0)</f>
        <v>14541.626749999999</v>
      </c>
      <c r="Y79" s="5">
        <f>IF(SUM($F79:L79)-$E79-SUM($S79:X79)&gt;0,MAX($AF79,SUM($F79:L79)-$E79-SUM($S79:X79)),0)</f>
        <v>8531.8912500000006</v>
      </c>
      <c r="Z79" s="5">
        <f>IF(SUM($F79:M79)-$E79-SUM($S79:Y79)&gt;0,MAX($AF79,SUM($F79:M79)-$E79-SUM($S79:Y79)),0)</f>
        <v>4362.6460000000006</v>
      </c>
      <c r="AA79" s="5">
        <f>IF(SUM($F79:N79)-$E79-SUM($S79:Z79)&gt;0,MAX($AF79,SUM($F79:N79)-$E79-SUM($S79:Z79)),0)</f>
        <v>1815.9499999999971</v>
      </c>
      <c r="AB79" s="5">
        <f>IF(SUM($F79:O79)-$E79-SUM($S79:AA79)&gt;0,MAX($AF79,SUM($F79:O79)-$E79-SUM($S79:AA79)),0)</f>
        <v>6556.7000000000044</v>
      </c>
      <c r="AC79" s="5">
        <f>IF(SUM($F79:P79)-$E79-SUM($S79:AB79)&gt;0,MAX($AF79,SUM($F79:P79)-$E79-SUM($S79:AB79)),0)</f>
        <v>6271.4799999999959</v>
      </c>
      <c r="AD79" s="5">
        <f>IF(SUM($F79:Q79)-$E79-SUM($S79:AC79)&gt;0,MAX($AF79,SUM($F79:Q79)-$E79-SUM($S79:AC79)),0)</f>
        <v>2748.5249999999942</v>
      </c>
      <c r="AE79" s="5">
        <f t="shared" si="5"/>
        <v>75335.776780478438</v>
      </c>
      <c r="AF79" s="5">
        <v>0</v>
      </c>
      <c r="AG79" s="1"/>
    </row>
    <row r="80" spans="1:33">
      <c r="A80" s="1" t="s">
        <v>217</v>
      </c>
      <c r="B80" s="1" t="s">
        <v>218</v>
      </c>
      <c r="C80" s="1" t="s">
        <v>3</v>
      </c>
      <c r="D80" s="1" t="s">
        <v>390</v>
      </c>
      <c r="E80" s="5">
        <v>0</v>
      </c>
      <c r="F80" s="5">
        <v>984.20642553332527</v>
      </c>
      <c r="G80" s="5">
        <v>35.9664</v>
      </c>
      <c r="H80" s="5">
        <v>18.351250664930376</v>
      </c>
      <c r="I80" s="5">
        <v>686.76</v>
      </c>
      <c r="J80" s="5">
        <v>854.98080000000004</v>
      </c>
      <c r="K80" s="5">
        <v>379.20479999999998</v>
      </c>
      <c r="L80" s="5">
        <v>1046.424</v>
      </c>
      <c r="M80" s="5">
        <v>0</v>
      </c>
      <c r="N80" s="5">
        <v>29.736000000000001</v>
      </c>
      <c r="O80" s="5">
        <v>397.89600000000002</v>
      </c>
      <c r="P80" s="5">
        <v>730.65599999999995</v>
      </c>
      <c r="Q80" s="5">
        <v>313.76549999999997</v>
      </c>
      <c r="R80" s="5">
        <f t="shared" si="4"/>
        <v>5477.947176198255</v>
      </c>
      <c r="S80" s="5">
        <f>IF(SUM($F80:F80)-$E80-0&gt;0,MAX($AF80,SUM($F80:F80)-$E80-0),0)</f>
        <v>984.20642553332527</v>
      </c>
      <c r="T80" s="5">
        <f>IF(SUM($F80:G80)-$E80-SUM($S80:S80)&gt;0,MAX($AF80,SUM($F80:G80)-$E80-SUM($S80:S80)),0)</f>
        <v>35.966400000000021</v>
      </c>
      <c r="U80" s="5">
        <f>IF(SUM($F80:H80)-$E80-SUM($S80:T80)&gt;0,MAX($AF80,SUM($F80:H80)-$E80-SUM($S80:T80)),0)</f>
        <v>18.351250664930376</v>
      </c>
      <c r="V80" s="5">
        <f>IF(SUM($F80:I80)-$E80-SUM($S80:U80)&gt;0,MAX($AF80,SUM($F80:I80)-$E80-SUM($S80:U80)),0)</f>
        <v>686.76</v>
      </c>
      <c r="W80" s="5">
        <f>IF(SUM($F80:J80)-$E80-SUM($S80:V80)&gt;0,MAX($AF80,SUM($F80:J80)-$E80-SUM($S80:V80)),0)</f>
        <v>854.98079999999982</v>
      </c>
      <c r="X80" s="5">
        <f>IF(SUM($F80:K80)-$E80-SUM($S80:W80)&gt;0,MAX($AF80,SUM($F80:K80)-$E80-SUM($S80:W80)),0)</f>
        <v>379.20479999999998</v>
      </c>
      <c r="Y80" s="5">
        <f>IF(SUM($F80:L80)-$E80-SUM($S80:X80)&gt;0,MAX($AF80,SUM($F80:L80)-$E80-SUM($S80:X80)),0)</f>
        <v>1046.424</v>
      </c>
      <c r="Z80" s="5">
        <f>IF(SUM($F80:M80)-$E80-SUM($S80:Y80)&gt;0,MAX($AF80,SUM($F80:M80)-$E80-SUM($S80:Y80)),0)</f>
        <v>0</v>
      </c>
      <c r="AA80" s="5">
        <f>IF(SUM($F80:N80)-$E80-SUM($S80:Z80)&gt;0,MAX($AF80,SUM($F80:N80)-$E80-SUM($S80:Z80)),0)</f>
        <v>29.735999999999876</v>
      </c>
      <c r="AB80" s="5">
        <f>IF(SUM($F80:O80)-$E80-SUM($S80:AA80)&gt;0,MAX($AF80,SUM($F80:O80)-$E80-SUM($S80:AA80)),0)</f>
        <v>397.89600000000019</v>
      </c>
      <c r="AC80" s="5">
        <f>IF(SUM($F80:P80)-$E80-SUM($S80:AB80)&gt;0,MAX($AF80,SUM($F80:P80)-$E80-SUM($S80:AB80)),0)</f>
        <v>730.65599999999995</v>
      </c>
      <c r="AD80" s="5">
        <f>IF(SUM($F80:Q80)-$E80-SUM($S80:AC80)&gt;0,MAX($AF80,SUM($F80:Q80)-$E80-SUM($S80:AC80)),0)</f>
        <v>313.76549999999952</v>
      </c>
      <c r="AE80" s="5">
        <f t="shared" si="5"/>
        <v>5477.947176198255</v>
      </c>
      <c r="AF80" s="5">
        <v>0</v>
      </c>
      <c r="AG80" s="1"/>
    </row>
    <row r="81" spans="1:33">
      <c r="A81" s="1" t="s">
        <v>219</v>
      </c>
      <c r="B81" s="1" t="s">
        <v>220</v>
      </c>
      <c r="C81" s="1" t="s">
        <v>3</v>
      </c>
      <c r="D81" s="1" t="s">
        <v>390</v>
      </c>
      <c r="E81" s="5">
        <v>0</v>
      </c>
      <c r="F81" s="5">
        <v>2216.259</v>
      </c>
      <c r="G81" s="5">
        <v>4310.6644958080269</v>
      </c>
      <c r="H81" s="5">
        <v>1767.4518715868016</v>
      </c>
      <c r="I81" s="5">
        <v>2499.2399999999998</v>
      </c>
      <c r="J81" s="5">
        <v>1700.0749999999998</v>
      </c>
      <c r="K81" s="5">
        <v>4553.625</v>
      </c>
      <c r="L81" s="5">
        <v>1102.922</v>
      </c>
      <c r="M81" s="5">
        <v>2635.3660000000004</v>
      </c>
      <c r="N81" s="5">
        <v>2826.7939999999999</v>
      </c>
      <c r="O81" s="5">
        <v>2493.1999999999998</v>
      </c>
      <c r="P81" s="5">
        <v>3000.0600000000004</v>
      </c>
      <c r="Q81" s="5">
        <v>5161.7780000000002</v>
      </c>
      <c r="R81" s="5">
        <f t="shared" si="4"/>
        <v>34267.435367394828</v>
      </c>
      <c r="S81" s="5">
        <f>IF(SUM($F81:F81)-$E81-0&gt;0,MAX($AF81,SUM($F81:F81)-$E81-0),0)</f>
        <v>2216.259</v>
      </c>
      <c r="T81" s="5">
        <f>IF(SUM($F81:G81)-$E81-SUM($S81:S81)&gt;0,MAX($AF81,SUM($F81:G81)-$E81-SUM($S81:S81)),0)</f>
        <v>4310.6644958080269</v>
      </c>
      <c r="U81" s="5">
        <f>IF(SUM($F81:H81)-$E81-SUM($S81:T81)&gt;0,MAX($AF81,SUM($F81:H81)-$E81-SUM($S81:T81)),0)</f>
        <v>1767.4518715868016</v>
      </c>
      <c r="V81" s="5">
        <f>IF(SUM($F81:I81)-$E81-SUM($S81:U81)&gt;0,MAX($AF81,SUM($F81:I81)-$E81-SUM($S81:U81)),0)</f>
        <v>2499.2399999999998</v>
      </c>
      <c r="W81" s="5">
        <f>IF(SUM($F81:J81)-$E81-SUM($S81:V81)&gt;0,MAX($AF81,SUM($F81:J81)-$E81-SUM($S81:V81)),0)</f>
        <v>1700.0750000000007</v>
      </c>
      <c r="X81" s="5">
        <f>IF(SUM($F81:K81)-$E81-SUM($S81:W81)&gt;0,MAX($AF81,SUM($F81:K81)-$E81-SUM($S81:W81)),0)</f>
        <v>4553.625</v>
      </c>
      <c r="Y81" s="5">
        <f>IF(SUM($F81:L81)-$E81-SUM($S81:X81)&gt;0,MAX($AF81,SUM($F81:L81)-$E81-SUM($S81:X81)),0)</f>
        <v>1102.9219999999987</v>
      </c>
      <c r="Z81" s="5">
        <f>IF(SUM($F81:M81)-$E81-SUM($S81:Y81)&gt;0,MAX($AF81,SUM($F81:M81)-$E81-SUM($S81:Y81)),0)</f>
        <v>2635.3660000000018</v>
      </c>
      <c r="AA81" s="5">
        <f>IF(SUM($F81:N81)-$E81-SUM($S81:Z81)&gt;0,MAX($AF81,SUM($F81:N81)-$E81-SUM($S81:Z81)),0)</f>
        <v>2826.7939999999981</v>
      </c>
      <c r="AB81" s="5">
        <f>IF(SUM($F81:O81)-$E81-SUM($S81:AA81)&gt;0,MAX($AF81,SUM($F81:O81)-$E81-SUM($S81:AA81)),0)</f>
        <v>2493.2000000000007</v>
      </c>
      <c r="AC81" s="5">
        <f>IF(SUM($F81:P81)-$E81-SUM($S81:AB81)&gt;0,MAX($AF81,SUM($F81:P81)-$E81-SUM($S81:AB81)),0)</f>
        <v>3000.0600000000013</v>
      </c>
      <c r="AD81" s="5">
        <f>IF(SUM($F81:Q81)-$E81-SUM($S81:AC81)&gt;0,MAX($AF81,SUM($F81:Q81)-$E81-SUM($S81:AC81)),0)</f>
        <v>5161.7779999999984</v>
      </c>
      <c r="AE81" s="5">
        <f t="shared" si="5"/>
        <v>34267.435367394828</v>
      </c>
      <c r="AF81" s="5">
        <v>0</v>
      </c>
      <c r="AG81" s="1"/>
    </row>
    <row r="82" spans="1:33">
      <c r="A82" s="1" t="s">
        <v>221</v>
      </c>
      <c r="B82" s="1" t="s">
        <v>222</v>
      </c>
      <c r="C82" s="1" t="s">
        <v>3</v>
      </c>
      <c r="D82" s="1" t="s">
        <v>390</v>
      </c>
      <c r="E82" s="5">
        <v>0</v>
      </c>
      <c r="F82" s="5">
        <v>187.24799999999999</v>
      </c>
      <c r="G82" s="5">
        <v>181.97300000000001</v>
      </c>
      <c r="H82" s="5">
        <v>30.295000000000002</v>
      </c>
      <c r="I82" s="5">
        <v>28.655000000000001</v>
      </c>
      <c r="J82" s="5">
        <v>152.30500000000001</v>
      </c>
      <c r="K82" s="5">
        <v>85.49</v>
      </c>
      <c r="L82" s="5">
        <v>28.635000000000002</v>
      </c>
      <c r="M82" s="5">
        <v>186.14299999999997</v>
      </c>
      <c r="N82" s="5">
        <v>132.80000000000001</v>
      </c>
      <c r="O82" s="5">
        <v>238.625</v>
      </c>
      <c r="P82" s="5">
        <v>34.445</v>
      </c>
      <c r="Q82" s="5">
        <v>324.41499999999996</v>
      </c>
      <c r="R82" s="5">
        <f t="shared" si="4"/>
        <v>1611.029</v>
      </c>
      <c r="S82" s="5">
        <f>IF(SUM($F82:F82)-$E82-0&gt;0,MAX($AF82,SUM($F82:F82)-$E82-0),0)</f>
        <v>187.24799999999999</v>
      </c>
      <c r="T82" s="5">
        <f>IF(SUM($F82:G82)-$E82-SUM($S82:S82)&gt;0,MAX($AF82,SUM($F82:G82)-$E82-SUM($S82:S82)),0)</f>
        <v>181.97300000000001</v>
      </c>
      <c r="U82" s="5">
        <f>IF(SUM($F82:H82)-$E82-SUM($S82:T82)&gt;0,MAX($AF82,SUM($F82:H82)-$E82-SUM($S82:T82)),0)</f>
        <v>30.295000000000016</v>
      </c>
      <c r="V82" s="5">
        <f>IF(SUM($F82:I82)-$E82-SUM($S82:U82)&gt;0,MAX($AF82,SUM($F82:I82)-$E82-SUM($S82:U82)),0)</f>
        <v>28.65500000000003</v>
      </c>
      <c r="W82" s="5">
        <f>IF(SUM($F82:J82)-$E82-SUM($S82:V82)&gt;0,MAX($AF82,SUM($F82:J82)-$E82-SUM($S82:V82)),0)</f>
        <v>152.30500000000006</v>
      </c>
      <c r="X82" s="5">
        <f>IF(SUM($F82:K82)-$E82-SUM($S82:W82)&gt;0,MAX($AF82,SUM($F82:K82)-$E82-SUM($S82:W82)),0)</f>
        <v>85.490000000000009</v>
      </c>
      <c r="Y82" s="5">
        <f>IF(SUM($F82:L82)-$E82-SUM($S82:X82)&gt;0,MAX($AF82,SUM($F82:L82)-$E82-SUM($S82:X82)),0)</f>
        <v>28.634999999999991</v>
      </c>
      <c r="Z82" s="5">
        <f>IF(SUM($F82:M82)-$E82-SUM($S82:Y82)&gt;0,MAX($AF82,SUM($F82:M82)-$E82-SUM($S82:Y82)),0)</f>
        <v>186.14300000000003</v>
      </c>
      <c r="AA82" s="5">
        <f>IF(SUM($F82:N82)-$E82-SUM($S82:Z82)&gt;0,MAX($AF82,SUM($F82:N82)-$E82-SUM($S82:Z82)),0)</f>
        <v>132.79999999999995</v>
      </c>
      <c r="AB82" s="5">
        <f>IF(SUM($F82:O82)-$E82-SUM($S82:AA82)&gt;0,MAX($AF82,SUM($F82:O82)-$E82-SUM($S82:AA82)),0)</f>
        <v>238.625</v>
      </c>
      <c r="AC82" s="5">
        <f>IF(SUM($F82:P82)-$E82-SUM($S82:AB82)&gt;0,MAX($AF82,SUM($F82:P82)-$E82-SUM($S82:AB82)),0)</f>
        <v>34.444999999999936</v>
      </c>
      <c r="AD82" s="5">
        <f>IF(SUM($F82:Q82)-$E82-SUM($S82:AC82)&gt;0,MAX($AF82,SUM($F82:Q82)-$E82-SUM($S82:AC82)),0)</f>
        <v>324.41499999999996</v>
      </c>
      <c r="AE82" s="5">
        <f t="shared" si="5"/>
        <v>1611.029</v>
      </c>
      <c r="AF82" s="5">
        <v>0</v>
      </c>
      <c r="AG82" s="1"/>
    </row>
    <row r="83" spans="1:33">
      <c r="A83" s="1" t="s">
        <v>223</v>
      </c>
      <c r="B83" s="1" t="s">
        <v>224</v>
      </c>
      <c r="C83" s="1" t="s">
        <v>3</v>
      </c>
      <c r="D83" s="1" t="s">
        <v>390</v>
      </c>
      <c r="E83" s="5">
        <v>0</v>
      </c>
      <c r="F83" s="5">
        <v>98.766000000000005</v>
      </c>
      <c r="G83" s="5">
        <v>284.13799999999998</v>
      </c>
      <c r="H83" s="5">
        <v>108.21000000000001</v>
      </c>
      <c r="I83" s="5">
        <v>168.005</v>
      </c>
      <c r="J83" s="5">
        <v>99.393000000000001</v>
      </c>
      <c r="K83" s="5">
        <v>243.21799999999999</v>
      </c>
      <c r="L83" s="5">
        <v>58.95</v>
      </c>
      <c r="M83" s="5">
        <v>197.74</v>
      </c>
      <c r="N83" s="5">
        <v>169.56</v>
      </c>
      <c r="O83" s="5">
        <v>135.63</v>
      </c>
      <c r="P83" s="5">
        <v>220.16399999999999</v>
      </c>
      <c r="Q83" s="5">
        <v>295.68</v>
      </c>
      <c r="R83" s="5">
        <f t="shared" si="4"/>
        <v>2079.4540000000002</v>
      </c>
      <c r="S83" s="5">
        <f>IF(SUM($F83:F83)-$E83-0&gt;0,MAX($AF83,SUM($F83:F83)-$E83-0),0)</f>
        <v>98.766000000000005</v>
      </c>
      <c r="T83" s="5">
        <f>IF(SUM($F83:G83)-$E83-SUM($S83:S83)&gt;0,MAX($AF83,SUM($F83:G83)-$E83-SUM($S83:S83)),0)</f>
        <v>284.13799999999998</v>
      </c>
      <c r="U83" s="5">
        <f>IF(SUM($F83:H83)-$E83-SUM($S83:T83)&gt;0,MAX($AF83,SUM($F83:H83)-$E83-SUM($S83:T83)),0)</f>
        <v>108.21000000000004</v>
      </c>
      <c r="V83" s="5">
        <f>IF(SUM($F83:I83)-$E83-SUM($S83:U83)&gt;0,MAX($AF83,SUM($F83:I83)-$E83-SUM($S83:U83)),0)</f>
        <v>168.005</v>
      </c>
      <c r="W83" s="5">
        <f>IF(SUM($F83:J83)-$E83-SUM($S83:V83)&gt;0,MAX($AF83,SUM($F83:J83)-$E83-SUM($S83:V83)),0)</f>
        <v>99.393000000000029</v>
      </c>
      <c r="X83" s="5">
        <f>IF(SUM($F83:K83)-$E83-SUM($S83:W83)&gt;0,MAX($AF83,SUM($F83:K83)-$E83-SUM($S83:W83)),0)</f>
        <v>243.21799999999996</v>
      </c>
      <c r="Y83" s="5">
        <f>IF(SUM($F83:L83)-$E83-SUM($S83:X83)&gt;0,MAX($AF83,SUM($F83:L83)-$E83-SUM($S83:X83)),0)</f>
        <v>58.950000000000045</v>
      </c>
      <c r="Z83" s="5">
        <f>IF(SUM($F83:M83)-$E83-SUM($S83:Y83)&gt;0,MAX($AF83,SUM($F83:M83)-$E83-SUM($S83:Y83)),0)</f>
        <v>197.74</v>
      </c>
      <c r="AA83" s="5">
        <f>IF(SUM($F83:N83)-$E83-SUM($S83:Z83)&gt;0,MAX($AF83,SUM($F83:N83)-$E83-SUM($S83:Z83)),0)</f>
        <v>169.55999999999995</v>
      </c>
      <c r="AB83" s="5">
        <f>IF(SUM($F83:O83)-$E83-SUM($S83:AA83)&gt;0,MAX($AF83,SUM($F83:O83)-$E83-SUM($S83:AA83)),0)</f>
        <v>135.63000000000011</v>
      </c>
      <c r="AC83" s="5">
        <f>IF(SUM($F83:P83)-$E83-SUM($S83:AB83)&gt;0,MAX($AF83,SUM($F83:P83)-$E83-SUM($S83:AB83)),0)</f>
        <v>220.16399999999999</v>
      </c>
      <c r="AD83" s="5">
        <f>IF(SUM($F83:Q83)-$E83-SUM($S83:AC83)&gt;0,MAX($AF83,SUM($F83:Q83)-$E83-SUM($S83:AC83)),0)</f>
        <v>295.68000000000006</v>
      </c>
      <c r="AE83" s="5">
        <f t="shared" si="5"/>
        <v>2079.4540000000002</v>
      </c>
      <c r="AF83" s="5">
        <v>0</v>
      </c>
      <c r="AG83" s="1"/>
    </row>
    <row r="84" spans="1:33">
      <c r="A84" s="1" t="s">
        <v>225</v>
      </c>
      <c r="B84" s="1" t="s">
        <v>226</v>
      </c>
      <c r="C84" s="1" t="s">
        <v>3</v>
      </c>
      <c r="D84" s="1" t="s">
        <v>390</v>
      </c>
      <c r="E84" s="5">
        <v>0</v>
      </c>
      <c r="F84" s="5">
        <v>385.85119972352578</v>
      </c>
      <c r="G84" s="5">
        <v>1433.4150000000002</v>
      </c>
      <c r="H84" s="5">
        <v>4285.3</v>
      </c>
      <c r="I84" s="5">
        <v>3020.34</v>
      </c>
      <c r="J84" s="5">
        <v>1929.7439999999999</v>
      </c>
      <c r="K84" s="5">
        <v>1892.6929999999998</v>
      </c>
      <c r="L84" s="5">
        <v>1197.2249999999999</v>
      </c>
      <c r="M84" s="5">
        <v>572.62399999999991</v>
      </c>
      <c r="N84" s="5">
        <v>357.58499999999998</v>
      </c>
      <c r="O84" s="5">
        <v>935.4190000000001</v>
      </c>
      <c r="P84" s="5">
        <v>379.80500000000006</v>
      </c>
      <c r="Q84" s="5">
        <v>3715.93</v>
      </c>
      <c r="R84" s="5">
        <f t="shared" si="4"/>
        <v>20105.931199723524</v>
      </c>
      <c r="S84" s="5">
        <f>IF(SUM($F84:F84)-$E84-0&gt;0,MAX($AF84,SUM($F84:F84)-$E84-0),0)</f>
        <v>385.85119972352578</v>
      </c>
      <c r="T84" s="5">
        <f>IF(SUM($F84:G84)-$E84-SUM($S84:S84)&gt;0,MAX($AF84,SUM($F84:G84)-$E84-SUM($S84:S84)),0)</f>
        <v>1433.4150000000002</v>
      </c>
      <c r="U84" s="5">
        <f>IF(SUM($F84:H84)-$E84-SUM($S84:T84)&gt;0,MAX($AF84,SUM($F84:H84)-$E84-SUM($S84:T84)),0)</f>
        <v>4285.2999999999993</v>
      </c>
      <c r="V84" s="5">
        <f>IF(SUM($F84:I84)-$E84-SUM($S84:U84)&gt;0,MAX($AF84,SUM($F84:I84)-$E84-SUM($S84:U84)),0)</f>
        <v>3020.34</v>
      </c>
      <c r="W84" s="5">
        <f>IF(SUM($F84:J84)-$E84-SUM($S84:V84)&gt;0,MAX($AF84,SUM($F84:J84)-$E84-SUM($S84:V84)),0)</f>
        <v>1929.7440000000006</v>
      </c>
      <c r="X84" s="5">
        <f>IF(SUM($F84:K84)-$E84-SUM($S84:W84)&gt;0,MAX($AF84,SUM($F84:K84)-$E84-SUM($S84:W84)),0)</f>
        <v>1892.6929999999993</v>
      </c>
      <c r="Y84" s="5">
        <f>IF(SUM($F84:L84)-$E84-SUM($S84:X84)&gt;0,MAX($AF84,SUM($F84:L84)-$E84-SUM($S84:X84)),0)</f>
        <v>1197.2250000000004</v>
      </c>
      <c r="Z84" s="5">
        <f>IF(SUM($F84:M84)-$E84-SUM($S84:Y84)&gt;0,MAX($AF84,SUM($F84:M84)-$E84-SUM($S84:Y84)),0)</f>
        <v>572.6239999999998</v>
      </c>
      <c r="AA84" s="5">
        <f>IF(SUM($F84:N84)-$E84-SUM($S84:Z84)&gt;0,MAX($AF84,SUM($F84:N84)-$E84-SUM($S84:Z84)),0)</f>
        <v>357.58499999999913</v>
      </c>
      <c r="AB84" s="5">
        <f>IF(SUM($F84:O84)-$E84-SUM($S84:AA84)&gt;0,MAX($AF84,SUM($F84:O84)-$E84-SUM($S84:AA84)),0)</f>
        <v>935.41899999999987</v>
      </c>
      <c r="AC84" s="5">
        <f>IF(SUM($F84:P84)-$E84-SUM($S84:AB84)&gt;0,MAX($AF84,SUM($F84:P84)-$E84-SUM($S84:AB84)),0)</f>
        <v>379.80499999999847</v>
      </c>
      <c r="AD84" s="5">
        <f>IF(SUM($F84:Q84)-$E84-SUM($S84:AC84)&gt;0,MAX($AF84,SUM($F84:Q84)-$E84-SUM($S84:AC84)),0)</f>
        <v>3715.9300000000003</v>
      </c>
      <c r="AE84" s="5">
        <f t="shared" si="5"/>
        <v>20105.931199723524</v>
      </c>
      <c r="AF84" s="5">
        <v>0</v>
      </c>
      <c r="AG84" s="1"/>
    </row>
    <row r="85" spans="1:33">
      <c r="A85" s="1" t="s">
        <v>227</v>
      </c>
      <c r="B85" s="1" t="s">
        <v>228</v>
      </c>
      <c r="C85" s="1" t="s">
        <v>3</v>
      </c>
      <c r="D85" s="1" t="s">
        <v>390</v>
      </c>
      <c r="E85" s="5">
        <v>3891.2566815322234</v>
      </c>
      <c r="F85" s="5">
        <v>1704.18</v>
      </c>
      <c r="G85" s="5">
        <v>1991.000340054873</v>
      </c>
      <c r="H85" s="5">
        <v>7218.875</v>
      </c>
      <c r="I85" s="5">
        <v>1362</v>
      </c>
      <c r="J85" s="5">
        <v>4081.848</v>
      </c>
      <c r="K85" s="5">
        <v>4821.2</v>
      </c>
      <c r="L85" s="5">
        <v>1345.7249999999999</v>
      </c>
      <c r="M85" s="5">
        <v>1070.8050000000001</v>
      </c>
      <c r="N85" s="5">
        <v>1224</v>
      </c>
      <c r="O85" s="5">
        <v>1733.4749999999999</v>
      </c>
      <c r="P85" s="5">
        <v>4731.9650000000001</v>
      </c>
      <c r="Q85" s="5">
        <v>1235.9250000000002</v>
      </c>
      <c r="R85" s="5">
        <f t="shared" si="4"/>
        <v>32520.99834005487</v>
      </c>
      <c r="S85" s="5">
        <f>IF(SUM($F85:F85)-$E85-0&gt;0,MAX($AF85,SUM($F85:F85)-$E85-0),0)</f>
        <v>0</v>
      </c>
      <c r="T85" s="5">
        <f>IF(SUM($F85:G85)-$E85-SUM($S85:S85)&gt;0,MAX($AF85,SUM($F85:G85)-$E85-SUM($S85:S85)),0)</f>
        <v>0</v>
      </c>
      <c r="U85" s="5">
        <f>IF(SUM($F85:H85)-$E85-SUM($S85:T85)&gt;0,MAX($AF85,SUM($F85:H85)-$E85-SUM($S85:T85)),0)</f>
        <v>7022.7986585226508</v>
      </c>
      <c r="V85" s="5">
        <f>IF(SUM($F85:I85)-$E85-SUM($S85:U85)&gt;0,MAX($AF85,SUM($F85:I85)-$E85-SUM($S85:U85)),0)</f>
        <v>1361.9999999999991</v>
      </c>
      <c r="W85" s="5">
        <f>IF(SUM($F85:J85)-$E85-SUM($S85:V85)&gt;0,MAX($AF85,SUM($F85:J85)-$E85-SUM($S85:V85)),0)</f>
        <v>4081.8480000000018</v>
      </c>
      <c r="X85" s="5">
        <f>IF(SUM($F85:K85)-$E85-SUM($S85:W85)&gt;0,MAX($AF85,SUM($F85:K85)-$E85-SUM($S85:W85)),0)</f>
        <v>4821.1999999999971</v>
      </c>
      <c r="Y85" s="5">
        <f>IF(SUM($F85:L85)-$E85-SUM($S85:X85)&gt;0,MAX($AF85,SUM($F85:L85)-$E85-SUM($S85:X85)),0)</f>
        <v>1345.7249999999985</v>
      </c>
      <c r="Z85" s="5">
        <f>IF(SUM($F85:M85)-$E85-SUM($S85:Y85)&gt;0,MAX($AF85,SUM($F85:M85)-$E85-SUM($S85:Y85)),0)</f>
        <v>1070.8050000000003</v>
      </c>
      <c r="AA85" s="5">
        <f>IF(SUM($F85:N85)-$E85-SUM($S85:Z85)&gt;0,MAX($AF85,SUM($F85:N85)-$E85-SUM($S85:Z85)),0)</f>
        <v>1224</v>
      </c>
      <c r="AB85" s="5">
        <f>IF(SUM($F85:O85)-$E85-SUM($S85:AA85)&gt;0,MAX($AF85,SUM($F85:O85)-$E85-SUM($S85:AA85)),0)</f>
        <v>1733.4749999999985</v>
      </c>
      <c r="AC85" s="5">
        <f>IF(SUM($F85:P85)-$E85-SUM($S85:AB85)&gt;0,MAX($AF85,SUM($F85:P85)-$E85-SUM($S85:AB85)),0)</f>
        <v>4731.9650000000001</v>
      </c>
      <c r="AD85" s="5">
        <f>IF(SUM($F85:Q85)-$E85-SUM($S85:AC85)&gt;0,MAX($AF85,SUM($F85:Q85)-$E85-SUM($S85:AC85)),0)</f>
        <v>1235.9249999999993</v>
      </c>
      <c r="AE85" s="5">
        <f t="shared" si="5"/>
        <v>28629.741658522646</v>
      </c>
      <c r="AF85" s="5">
        <v>0</v>
      </c>
      <c r="AG85" s="1"/>
    </row>
    <row r="86" spans="1:33">
      <c r="A86" s="1" t="s">
        <v>229</v>
      </c>
      <c r="B86" s="1" t="s">
        <v>230</v>
      </c>
      <c r="C86" s="1" t="s">
        <v>3</v>
      </c>
      <c r="D86" s="1" t="s">
        <v>390</v>
      </c>
      <c r="E86" s="5">
        <v>1710.582320527973</v>
      </c>
      <c r="F86" s="5">
        <v>83.574273368987193</v>
      </c>
      <c r="G86" s="5">
        <v>400.15999999999997</v>
      </c>
      <c r="H86" s="5">
        <v>636.31999999999994</v>
      </c>
      <c r="I86" s="5">
        <v>533</v>
      </c>
      <c r="J86" s="5">
        <v>503.23699999999997</v>
      </c>
      <c r="K86" s="5">
        <v>865.92</v>
      </c>
      <c r="L86" s="5">
        <v>111.52</v>
      </c>
      <c r="M86" s="5">
        <v>544.48</v>
      </c>
      <c r="N86" s="5">
        <v>0</v>
      </c>
      <c r="O86" s="5">
        <v>0</v>
      </c>
      <c r="P86" s="5">
        <v>42.21</v>
      </c>
      <c r="Q86" s="5">
        <v>34.44</v>
      </c>
      <c r="R86" s="5">
        <f t="shared" si="4"/>
        <v>3754.8612733689874</v>
      </c>
      <c r="S86" s="5">
        <f>IF(SUM($F86:F86)-$E86-0&gt;0,MAX($AF86,SUM($F86:F86)-$E86-0),0)</f>
        <v>0</v>
      </c>
      <c r="T86" s="5">
        <f>IF(SUM($F86:G86)-$E86-SUM($S86:S86)&gt;0,MAX($AF86,SUM($F86:G86)-$E86-SUM($S86:S86)),0)</f>
        <v>0</v>
      </c>
      <c r="U86" s="5">
        <f>IF(SUM($F86:H86)-$E86-SUM($S86:T86)&gt;0,MAX($AF86,SUM($F86:H86)-$E86-SUM($S86:T86)),0)</f>
        <v>0</v>
      </c>
      <c r="V86" s="5">
        <f>IF(SUM($F86:I86)-$E86-SUM($S86:U86)&gt;0,MAX($AF86,SUM($F86:I86)-$E86-SUM($S86:U86)),0)</f>
        <v>0</v>
      </c>
      <c r="W86" s="5">
        <f>IF(SUM($F86:J86)-$E86-SUM($S86:V86)&gt;0,MAX($AF86,SUM($F86:J86)-$E86-SUM($S86:V86)),0)</f>
        <v>445.70895284101425</v>
      </c>
      <c r="X86" s="5">
        <f>IF(SUM($F86:K86)-$E86-SUM($S86:W86)&gt;0,MAX($AF86,SUM($F86:K86)-$E86-SUM($S86:W86)),0)</f>
        <v>865.92000000000007</v>
      </c>
      <c r="Y86" s="5">
        <f>IF(SUM($F86:L86)-$E86-SUM($S86:X86)&gt;0,MAX($AF86,SUM($F86:L86)-$E86-SUM($S86:X86)),0)</f>
        <v>111.51999999999998</v>
      </c>
      <c r="Z86" s="5">
        <f>IF(SUM($F86:M86)-$E86-SUM($S86:Y86)&gt;0,MAX($AF86,SUM($F86:M86)-$E86-SUM($S86:Y86)),0)</f>
        <v>544.48</v>
      </c>
      <c r="AA86" s="5">
        <f>IF(SUM($F86:N86)-$E86-SUM($S86:Z86)&gt;0,MAX($AF86,SUM($F86:N86)-$E86-SUM($S86:Z86)),0)</f>
        <v>0</v>
      </c>
      <c r="AB86" s="5">
        <f>IF(SUM($F86:O86)-$E86-SUM($S86:AA86)&gt;0,MAX($AF86,SUM($F86:O86)-$E86-SUM($S86:AA86)),0)</f>
        <v>0</v>
      </c>
      <c r="AC86" s="5">
        <f>IF(SUM($F86:P86)-$E86-SUM($S86:AB86)&gt;0,MAX($AF86,SUM($F86:P86)-$E86-SUM($S86:AB86)),0)</f>
        <v>42.210000000000036</v>
      </c>
      <c r="AD86" s="5">
        <f>IF(SUM($F86:Q86)-$E86-SUM($S86:AC86)&gt;0,MAX($AF86,SUM($F86:Q86)-$E86-SUM($S86:AC86)),0)</f>
        <v>34.440000000000055</v>
      </c>
      <c r="AE86" s="5">
        <f t="shared" si="5"/>
        <v>2044.2789528410144</v>
      </c>
      <c r="AF86" s="5">
        <v>0</v>
      </c>
      <c r="AG86" s="1"/>
    </row>
    <row r="87" spans="1:33">
      <c r="A87" s="1" t="s">
        <v>231</v>
      </c>
      <c r="B87" s="1" t="s">
        <v>232</v>
      </c>
      <c r="C87" s="1" t="s">
        <v>3</v>
      </c>
      <c r="D87" s="1" t="s">
        <v>390</v>
      </c>
      <c r="E87" s="5">
        <v>0</v>
      </c>
      <c r="F87" s="5">
        <v>2481.5100000000002</v>
      </c>
      <c r="G87" s="5">
        <v>2255.2600000000002</v>
      </c>
      <c r="H87" s="5">
        <v>99.83666509463572</v>
      </c>
      <c r="I87" s="5">
        <v>3457.1000000000004</v>
      </c>
      <c r="J87" s="5">
        <v>8454.51</v>
      </c>
      <c r="K87" s="5">
        <v>362</v>
      </c>
      <c r="L87" s="5">
        <v>731.24</v>
      </c>
      <c r="M87" s="5">
        <v>1000.93</v>
      </c>
      <c r="N87" s="5">
        <v>6702.43</v>
      </c>
      <c r="O87" s="5">
        <v>130.32</v>
      </c>
      <c r="P87" s="5">
        <v>260.64</v>
      </c>
      <c r="Q87" s="5">
        <v>6707.86</v>
      </c>
      <c r="R87" s="5">
        <f t="shared" si="4"/>
        <v>32643.63666509464</v>
      </c>
      <c r="S87" s="5">
        <f>IF(SUM($F87:F87)-$E87-0&gt;0,MAX($AF87,SUM($F87:F87)-$E87-0),0)</f>
        <v>2481.5100000000002</v>
      </c>
      <c r="T87" s="5">
        <f>IF(SUM($F87:G87)-$E87-SUM($S87:S87)&gt;0,MAX($AF87,SUM($F87:G87)-$E87-SUM($S87:S87)),0)</f>
        <v>2255.2600000000002</v>
      </c>
      <c r="U87" s="5">
        <f>IF(SUM($F87:H87)-$E87-SUM($S87:T87)&gt;0,MAX($AF87,SUM($F87:H87)-$E87-SUM($S87:T87)),0)</f>
        <v>99.836665094635464</v>
      </c>
      <c r="V87" s="5">
        <f>IF(SUM($F87:I87)-$E87-SUM($S87:U87)&gt;0,MAX($AF87,SUM($F87:I87)-$E87-SUM($S87:U87)),0)</f>
        <v>3457.1000000000004</v>
      </c>
      <c r="W87" s="5">
        <f>IF(SUM($F87:J87)-$E87-SUM($S87:V87)&gt;0,MAX($AF87,SUM($F87:J87)-$E87-SUM($S87:V87)),0)</f>
        <v>8454.510000000002</v>
      </c>
      <c r="X87" s="5">
        <f>IF(SUM($F87:K87)-$E87-SUM($S87:W87)&gt;0,MAX($AF87,SUM($F87:K87)-$E87-SUM($S87:W87)),0)</f>
        <v>362</v>
      </c>
      <c r="Y87" s="5">
        <f>IF(SUM($F87:L87)-$E87-SUM($S87:X87)&gt;0,MAX($AF87,SUM($F87:L87)-$E87-SUM($S87:X87)),0)</f>
        <v>731.2400000000016</v>
      </c>
      <c r="Z87" s="5">
        <f>IF(SUM($F87:M87)-$E87-SUM($S87:Y87)&gt;0,MAX($AF87,SUM($F87:M87)-$E87-SUM($S87:Y87)),0)</f>
        <v>1000.9300000000003</v>
      </c>
      <c r="AA87" s="5">
        <f>IF(SUM($F87:N87)-$E87-SUM($S87:Z87)&gt;0,MAX($AF87,SUM($F87:N87)-$E87-SUM($S87:Z87)),0)</f>
        <v>6702.43</v>
      </c>
      <c r="AB87" s="5">
        <f>IF(SUM($F87:O87)-$E87-SUM($S87:AA87)&gt;0,MAX($AF87,SUM($F87:O87)-$E87-SUM($S87:AA87)),0)</f>
        <v>130.31999999999971</v>
      </c>
      <c r="AC87" s="5">
        <f>IF(SUM($F87:P87)-$E87-SUM($S87:AB87)&gt;0,MAX($AF87,SUM($F87:P87)-$E87-SUM($S87:AB87)),0)</f>
        <v>260.63999999999942</v>
      </c>
      <c r="AD87" s="5">
        <f>IF(SUM($F87:Q87)-$E87-SUM($S87:AC87)&gt;0,MAX($AF87,SUM($F87:Q87)-$E87-SUM($S87:AC87)),0)</f>
        <v>6707.8600000000006</v>
      </c>
      <c r="AE87" s="5">
        <f t="shared" si="5"/>
        <v>32643.63666509464</v>
      </c>
      <c r="AF87" s="5">
        <v>0</v>
      </c>
      <c r="AG87" s="1"/>
    </row>
    <row r="88" spans="1:33">
      <c r="A88" s="1" t="s">
        <v>233</v>
      </c>
      <c r="B88" s="1" t="s">
        <v>234</v>
      </c>
      <c r="C88" s="1" t="s">
        <v>3</v>
      </c>
      <c r="D88" s="1" t="s">
        <v>390</v>
      </c>
      <c r="E88" s="5">
        <v>0</v>
      </c>
      <c r="F88" s="5">
        <v>0</v>
      </c>
      <c r="G88" s="5">
        <v>47250</v>
      </c>
      <c r="H88" s="5">
        <v>24300</v>
      </c>
      <c r="I88" s="5">
        <v>26433</v>
      </c>
      <c r="J88" s="5">
        <v>864</v>
      </c>
      <c r="K88" s="5">
        <v>2916</v>
      </c>
      <c r="L88" s="5">
        <v>945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f t="shared" si="4"/>
        <v>102708</v>
      </c>
      <c r="S88" s="5">
        <f>IF(SUM($F88:F88)-$E88-0&gt;0,MAX($AF88,SUM($F88:F88)-$E88-0),0)</f>
        <v>0</v>
      </c>
      <c r="T88" s="5">
        <f>IF(SUM($F88:G88)-$E88-SUM($S88:S88)&gt;0,MAX($AF88,SUM($F88:G88)-$E88-SUM($S88:S88)),0)</f>
        <v>47250</v>
      </c>
      <c r="U88" s="5">
        <f>IF(SUM($F88:H88)-$E88-SUM($S88:T88)&gt;0,MAX($AF88,SUM($F88:H88)-$E88-SUM($S88:T88)),0)</f>
        <v>24300</v>
      </c>
      <c r="V88" s="5">
        <f>IF(SUM($F88:I88)-$E88-SUM($S88:U88)&gt;0,MAX($AF88,SUM($F88:I88)-$E88-SUM($S88:U88)),0)</f>
        <v>26433</v>
      </c>
      <c r="W88" s="5">
        <f>IF(SUM($F88:J88)-$E88-SUM($S88:V88)&gt;0,MAX($AF88,SUM($F88:J88)-$E88-SUM($S88:V88)),0)</f>
        <v>864</v>
      </c>
      <c r="X88" s="5">
        <f>IF(SUM($F88:K88)-$E88-SUM($S88:W88)&gt;0,MAX($AF88,SUM($F88:K88)-$E88-SUM($S88:W88)),0)</f>
        <v>2916</v>
      </c>
      <c r="Y88" s="5">
        <f>IF(SUM($F88:L88)-$E88-SUM($S88:X88)&gt;0,MAX($AF88,SUM($F88:L88)-$E88-SUM($S88:X88)),0)</f>
        <v>945</v>
      </c>
      <c r="Z88" s="5">
        <f>IF(SUM($F88:M88)-$E88-SUM($S88:Y88)&gt;0,MAX($AF88,SUM($F88:M88)-$E88-SUM($S88:Y88)),0)</f>
        <v>0</v>
      </c>
      <c r="AA88" s="5">
        <f>IF(SUM($F88:N88)-$E88-SUM($S88:Z88)&gt;0,MAX($AF88,SUM($F88:N88)-$E88-SUM($S88:Z88)),0)</f>
        <v>0</v>
      </c>
      <c r="AB88" s="5">
        <f>IF(SUM($F88:O88)-$E88-SUM($S88:AA88)&gt;0,MAX($AF88,SUM($F88:O88)-$E88-SUM($S88:AA88)),0)</f>
        <v>0</v>
      </c>
      <c r="AC88" s="5">
        <f>IF(SUM($F88:P88)-$E88-SUM($S88:AB88)&gt;0,MAX($AF88,SUM($F88:P88)-$E88-SUM($S88:AB88)),0)</f>
        <v>0</v>
      </c>
      <c r="AD88" s="5">
        <f>IF(SUM($F88:Q88)-$E88-SUM($S88:AC88)&gt;0,MAX($AF88,SUM($F88:Q88)-$E88-SUM($S88:AC88)),0)</f>
        <v>0</v>
      </c>
      <c r="AE88" s="5">
        <f t="shared" si="5"/>
        <v>102708</v>
      </c>
      <c r="AF88" s="5">
        <v>0</v>
      </c>
      <c r="AG88" s="1"/>
    </row>
    <row r="89" spans="1:33">
      <c r="A89" s="1" t="s">
        <v>235</v>
      </c>
      <c r="B89" s="1" t="s">
        <v>236</v>
      </c>
      <c r="C89" s="1" t="s">
        <v>3</v>
      </c>
      <c r="D89" s="1" t="s">
        <v>390</v>
      </c>
      <c r="E89" s="5">
        <v>944.28361536949205</v>
      </c>
      <c r="F89" s="5">
        <v>196.27199999999999</v>
      </c>
      <c r="G89" s="5">
        <v>1622.5880000000002</v>
      </c>
      <c r="H89" s="5">
        <v>560.14499999999998</v>
      </c>
      <c r="I89" s="5">
        <v>321.45</v>
      </c>
      <c r="J89" s="5">
        <v>274.41699999999997</v>
      </c>
      <c r="K89" s="5">
        <v>184.81</v>
      </c>
      <c r="L89" s="5">
        <v>30.015000000000001</v>
      </c>
      <c r="M89" s="5">
        <v>189.04700000000003</v>
      </c>
      <c r="N89" s="5">
        <v>139.19999999999999</v>
      </c>
      <c r="O89" s="5">
        <v>250.125</v>
      </c>
      <c r="P89" s="5">
        <v>54.864999999999995</v>
      </c>
      <c r="Q89" s="5">
        <v>2755.181</v>
      </c>
      <c r="R89" s="5">
        <f t="shared" si="4"/>
        <v>6578.1149999999998</v>
      </c>
      <c r="S89" s="5">
        <f>IF(SUM($F89:F89)-$E89-0&gt;0,MAX($AF89,SUM($F89:F89)-$E89-0),0)</f>
        <v>0</v>
      </c>
      <c r="T89" s="5">
        <f>IF(SUM($F89:G89)-$E89-SUM($S89:S89)&gt;0,MAX($AF89,SUM($F89:G89)-$E89-SUM($S89:S89)),0)</f>
        <v>874.57638463050807</v>
      </c>
      <c r="U89" s="5">
        <f>IF(SUM($F89:H89)-$E89-SUM($S89:T89)&gt;0,MAX($AF89,SUM($F89:H89)-$E89-SUM($S89:T89)),0)</f>
        <v>560.14499999999998</v>
      </c>
      <c r="V89" s="5">
        <f>IF(SUM($F89:I89)-$E89-SUM($S89:U89)&gt;0,MAX($AF89,SUM($F89:I89)-$E89-SUM($S89:U89)),0)</f>
        <v>321.44999999999982</v>
      </c>
      <c r="W89" s="5">
        <f>IF(SUM($F89:J89)-$E89-SUM($S89:V89)&gt;0,MAX($AF89,SUM($F89:J89)-$E89-SUM($S89:V89)),0)</f>
        <v>274.41699999999992</v>
      </c>
      <c r="X89" s="5">
        <f>IF(SUM($F89:K89)-$E89-SUM($S89:W89)&gt;0,MAX($AF89,SUM($F89:K89)-$E89-SUM($S89:W89)),0)</f>
        <v>184.80999999999995</v>
      </c>
      <c r="Y89" s="5">
        <f>IF(SUM($F89:L89)-$E89-SUM($S89:X89)&gt;0,MAX($AF89,SUM($F89:L89)-$E89-SUM($S89:X89)),0)</f>
        <v>30.014999999999873</v>
      </c>
      <c r="Z89" s="5">
        <f>IF(SUM($F89:M89)-$E89-SUM($S89:Y89)&gt;0,MAX($AF89,SUM($F89:M89)-$E89-SUM($S89:Y89)),0)</f>
        <v>189.04700000000003</v>
      </c>
      <c r="AA89" s="5">
        <f>IF(SUM($F89:N89)-$E89-SUM($S89:Z89)&gt;0,MAX($AF89,SUM($F89:N89)-$E89-SUM($S89:Z89)),0)</f>
        <v>139.19999999999982</v>
      </c>
      <c r="AB89" s="5">
        <f>IF(SUM($F89:O89)-$E89-SUM($S89:AA89)&gt;0,MAX($AF89,SUM($F89:O89)-$E89-SUM($S89:AA89)),0)</f>
        <v>250.125</v>
      </c>
      <c r="AC89" s="5">
        <f>IF(SUM($F89:P89)-$E89-SUM($S89:AB89)&gt;0,MAX($AF89,SUM($F89:P89)-$E89-SUM($S89:AB89)),0)</f>
        <v>54.864999999999782</v>
      </c>
      <c r="AD89" s="5">
        <f>IF(SUM($F89:Q89)-$E89-SUM($S89:AC89)&gt;0,MAX($AF89,SUM($F89:Q89)-$E89-SUM($S89:AC89)),0)</f>
        <v>2755.1810000000009</v>
      </c>
      <c r="AE89" s="5">
        <f t="shared" si="5"/>
        <v>5633.8313846305082</v>
      </c>
      <c r="AF89" s="5">
        <v>0</v>
      </c>
      <c r="AG89" s="1"/>
    </row>
    <row r="90" spans="1:33">
      <c r="A90" s="1" t="s">
        <v>237</v>
      </c>
      <c r="B90" s="1" t="s">
        <v>238</v>
      </c>
      <c r="C90" s="1" t="s">
        <v>3</v>
      </c>
      <c r="D90" s="1" t="s">
        <v>392</v>
      </c>
      <c r="E90" s="5">
        <v>4697.4755923542361</v>
      </c>
      <c r="F90" s="5">
        <v>1653.403</v>
      </c>
      <c r="G90" s="5">
        <v>12198.292578857023</v>
      </c>
      <c r="H90" s="5">
        <v>8740.4459999999999</v>
      </c>
      <c r="I90" s="5">
        <v>460.18299999999999</v>
      </c>
      <c r="J90" s="5">
        <v>20511.187999999998</v>
      </c>
      <c r="K90" s="5">
        <v>7860.24</v>
      </c>
      <c r="L90" s="5">
        <v>10127.987999999999</v>
      </c>
      <c r="M90" s="5">
        <v>250.25300000000001</v>
      </c>
      <c r="N90" s="5">
        <v>567.56000000000006</v>
      </c>
      <c r="O90" s="5">
        <v>5883.2300000000005</v>
      </c>
      <c r="P90" s="5">
        <v>12012.488000000001</v>
      </c>
      <c r="Q90" s="5">
        <v>0</v>
      </c>
      <c r="R90" s="5">
        <f t="shared" si="4"/>
        <v>80265.271578857006</v>
      </c>
      <c r="S90" s="5">
        <f>IF(SUM($F90:F90)-$E90-0&gt;0,MAX($AF90,SUM($F90:F90)-$E90-0),0)</f>
        <v>0</v>
      </c>
      <c r="T90" s="5">
        <f>IF(SUM($F90:G90)-$E90-SUM($S90:S90)&gt;0,MAX($AF90,SUM($F90:G90)-$E90-SUM($S90:S90)),0)</f>
        <v>9154.2199865027869</v>
      </c>
      <c r="U90" s="5">
        <f>IF(SUM($F90:H90)-$E90-SUM($S90:T90)&gt;0,MAX($AF90,SUM($F90:H90)-$E90-SUM($S90:T90)),0)</f>
        <v>8740.4459999999999</v>
      </c>
      <c r="V90" s="5">
        <f>IF(SUM($F90:I90)-$E90-SUM($S90:U90)&gt;0,MAX($AF90,SUM($F90:I90)-$E90-SUM($S90:U90)),0)</f>
        <v>460.1830000000009</v>
      </c>
      <c r="W90" s="5">
        <f>IF(SUM($F90:J90)-$E90-SUM($S90:V90)&gt;0,MAX($AF90,SUM($F90:J90)-$E90-SUM($S90:V90)),0)</f>
        <v>20511.188000000002</v>
      </c>
      <c r="X90" s="5">
        <f>IF(SUM($F90:K90)-$E90-SUM($S90:W90)&gt;0,MAX($AF90,SUM($F90:K90)-$E90-SUM($S90:W90)),0)</f>
        <v>7860.2399999999907</v>
      </c>
      <c r="Y90" s="5">
        <f>IF(SUM($F90:L90)-$E90-SUM($S90:X90)&gt;0,MAX($AF90,SUM($F90:L90)-$E90-SUM($S90:X90)),0)</f>
        <v>10127.987999999998</v>
      </c>
      <c r="Z90" s="5">
        <f>IF(SUM($F90:M90)-$E90-SUM($S90:Y90)&gt;0,MAX($AF90,SUM($F90:M90)-$E90-SUM($S90:Y90)),0)</f>
        <v>250.25299999999697</v>
      </c>
      <c r="AA90" s="5">
        <f>IF(SUM($F90:N90)-$E90-SUM($S90:Z90)&gt;0,MAX($AF90,SUM($F90:N90)-$E90-SUM($S90:Z90)),0)</f>
        <v>567.55999999999767</v>
      </c>
      <c r="AB90" s="5">
        <f>IF(SUM($F90:O90)-$E90-SUM($S90:AA90)&gt;0,MAX($AF90,SUM($F90:O90)-$E90-SUM($S90:AA90)),0)</f>
        <v>5883.2299999999959</v>
      </c>
      <c r="AC90" s="5">
        <f>IF(SUM($F90:P90)-$E90-SUM($S90:AB90)&gt;0,MAX($AF90,SUM($F90:P90)-$E90-SUM($S90:AB90)),0)</f>
        <v>12012.487999999998</v>
      </c>
      <c r="AD90" s="5">
        <f>IF(SUM($F90:Q90)-$E90-SUM($S90:AC90)&gt;0,MAX($AF90,SUM($F90:Q90)-$E90-SUM($S90:AC90)),0)</f>
        <v>0</v>
      </c>
      <c r="AE90" s="5">
        <f t="shared" si="5"/>
        <v>75567.795986502766</v>
      </c>
      <c r="AF90" s="5">
        <v>0</v>
      </c>
      <c r="AG90" s="1"/>
    </row>
    <row r="91" spans="1:33">
      <c r="A91" s="1" t="s">
        <v>239</v>
      </c>
      <c r="B91" s="1" t="s">
        <v>240</v>
      </c>
      <c r="C91" s="1" t="s">
        <v>3</v>
      </c>
      <c r="D91" s="1" t="s">
        <v>390</v>
      </c>
      <c r="E91" s="5">
        <v>0</v>
      </c>
      <c r="F91" s="5">
        <v>87.984000000000009</v>
      </c>
      <c r="G91" s="5">
        <v>3423.819</v>
      </c>
      <c r="H91" s="5">
        <v>1697.7450000000001</v>
      </c>
      <c r="I91" s="5">
        <v>259.48500000000001</v>
      </c>
      <c r="J91" s="5">
        <v>196.12300000000002</v>
      </c>
      <c r="K91" s="5">
        <v>1651.0700000000002</v>
      </c>
      <c r="L91" s="5">
        <v>13.455</v>
      </c>
      <c r="M91" s="5">
        <v>91.298999999999992</v>
      </c>
      <c r="N91" s="5">
        <v>62.4</v>
      </c>
      <c r="O91" s="5">
        <v>112.125</v>
      </c>
      <c r="P91" s="5">
        <v>44.325000000000003</v>
      </c>
      <c r="Q91" s="5">
        <v>6344.4759999999997</v>
      </c>
      <c r="R91" s="5">
        <f t="shared" si="4"/>
        <v>13984.305999999997</v>
      </c>
      <c r="S91" s="5">
        <f>IF(SUM($F91:F91)-$E91-0&gt;0,MAX($AF91,SUM($F91:F91)-$E91-0),0)</f>
        <v>87.984000000000009</v>
      </c>
      <c r="T91" s="5">
        <f>IF(SUM($F91:G91)-$E91-SUM($S91:S91)&gt;0,MAX($AF91,SUM($F91:G91)-$E91-SUM($S91:S91)),0)</f>
        <v>3423.819</v>
      </c>
      <c r="U91" s="5">
        <f>IF(SUM($F91:H91)-$E91-SUM($S91:T91)&gt;0,MAX($AF91,SUM($F91:H91)-$E91-SUM($S91:T91)),0)</f>
        <v>1697.7449999999999</v>
      </c>
      <c r="V91" s="5">
        <f>IF(SUM($F91:I91)-$E91-SUM($S91:U91)&gt;0,MAX($AF91,SUM($F91:I91)-$E91-SUM($S91:U91)),0)</f>
        <v>259.48499999999967</v>
      </c>
      <c r="W91" s="5">
        <f>IF(SUM($F91:J91)-$E91-SUM($S91:V91)&gt;0,MAX($AF91,SUM($F91:J91)-$E91-SUM($S91:V91)),0)</f>
        <v>196.12299999999959</v>
      </c>
      <c r="X91" s="5">
        <f>IF(SUM($F91:K91)-$E91-SUM($S91:W91)&gt;0,MAX($AF91,SUM($F91:K91)-$E91-SUM($S91:W91)),0)</f>
        <v>1651.0699999999997</v>
      </c>
      <c r="Y91" s="5">
        <f>IF(SUM($F91:L91)-$E91-SUM($S91:X91)&gt;0,MAX($AF91,SUM($F91:L91)-$E91-SUM($S91:X91)),0)</f>
        <v>13.454999999999927</v>
      </c>
      <c r="Z91" s="5">
        <f>IF(SUM($F91:M91)-$E91-SUM($S91:Y91)&gt;0,MAX($AF91,SUM($F91:M91)-$E91-SUM($S91:Y91)),0)</f>
        <v>91.298999999999978</v>
      </c>
      <c r="AA91" s="5">
        <f>IF(SUM($F91:N91)-$E91-SUM($S91:Z91)&gt;0,MAX($AF91,SUM($F91:N91)-$E91-SUM($S91:Z91)),0)</f>
        <v>62.399999999999636</v>
      </c>
      <c r="AB91" s="5">
        <f>IF(SUM($F91:O91)-$E91-SUM($S91:AA91)&gt;0,MAX($AF91,SUM($F91:O91)-$E91-SUM($S91:AA91)),0)</f>
        <v>112.125</v>
      </c>
      <c r="AC91" s="5">
        <f>IF(SUM($F91:P91)-$E91-SUM($S91:AB91)&gt;0,MAX($AF91,SUM($F91:P91)-$E91-SUM($S91:AB91)),0)</f>
        <v>44.324999999999818</v>
      </c>
      <c r="AD91" s="5">
        <f>IF(SUM($F91:Q91)-$E91-SUM($S91:AC91)&gt;0,MAX($AF91,SUM($F91:Q91)-$E91-SUM($S91:AC91)),0)</f>
        <v>6344.4759999999987</v>
      </c>
      <c r="AE91" s="5">
        <f t="shared" si="5"/>
        <v>13984.305999999997</v>
      </c>
      <c r="AF91" s="5">
        <v>0</v>
      </c>
      <c r="AG91" s="1"/>
    </row>
    <row r="92" spans="1:33">
      <c r="A92" s="1" t="s">
        <v>241</v>
      </c>
      <c r="B92" s="1" t="s">
        <v>242</v>
      </c>
      <c r="C92" s="1" t="s">
        <v>3</v>
      </c>
      <c r="D92" s="1" t="s">
        <v>390</v>
      </c>
      <c r="E92" s="5">
        <v>1318.8732462218795</v>
      </c>
      <c r="F92" s="5">
        <v>24.524999999999999</v>
      </c>
      <c r="G92" s="5">
        <v>0</v>
      </c>
      <c r="H92" s="5">
        <v>35.104999999999997</v>
      </c>
      <c r="I92" s="5">
        <v>142.86000000000001</v>
      </c>
      <c r="J92" s="5">
        <v>0</v>
      </c>
      <c r="K92" s="5">
        <v>1.85</v>
      </c>
      <c r="L92" s="5">
        <v>10.879</v>
      </c>
      <c r="M92" s="5">
        <v>0</v>
      </c>
      <c r="N92" s="5">
        <v>0</v>
      </c>
      <c r="O92" s="5">
        <v>0</v>
      </c>
      <c r="P92" s="5">
        <v>37.72</v>
      </c>
      <c r="Q92" s="5">
        <v>1132.75</v>
      </c>
      <c r="R92" s="5">
        <f t="shared" si="4"/>
        <v>1385.6890000000001</v>
      </c>
      <c r="S92" s="5">
        <f>IF(SUM($F92:F92)-$E92-0&gt;0,MAX($AF92,SUM($F92:F92)-$E92-0),0)</f>
        <v>0</v>
      </c>
      <c r="T92" s="5">
        <f>IF(SUM($F92:G92)-$E92-SUM($S92:S92)&gt;0,MAX($AF92,SUM($F92:G92)-$E92-SUM($S92:S92)),0)</f>
        <v>0</v>
      </c>
      <c r="U92" s="5">
        <f>IF(SUM($F92:H92)-$E92-SUM($S92:T92)&gt;0,MAX($AF92,SUM($F92:H92)-$E92-SUM($S92:T92)),0)</f>
        <v>0</v>
      </c>
      <c r="V92" s="5">
        <f>IF(SUM($F92:I92)-$E92-SUM($S92:U92)&gt;0,MAX($AF92,SUM($F92:I92)-$E92-SUM($S92:U92)),0)</f>
        <v>0</v>
      </c>
      <c r="W92" s="5">
        <f>IF(SUM($F92:J92)-$E92-SUM($S92:V92)&gt;0,MAX($AF92,SUM($F92:J92)-$E92-SUM($S92:V92)),0)</f>
        <v>0</v>
      </c>
      <c r="X92" s="5">
        <f>IF(SUM($F92:K92)-$E92-SUM($S92:W92)&gt;0,MAX($AF92,SUM($F92:K92)-$E92-SUM($S92:W92)),0)</f>
        <v>0</v>
      </c>
      <c r="Y92" s="5">
        <f>IF(SUM($F92:L92)-$E92-SUM($S92:X92)&gt;0,MAX($AF92,SUM($F92:L92)-$E92-SUM($S92:X92)),0)</f>
        <v>0</v>
      </c>
      <c r="Z92" s="5">
        <f>IF(SUM($F92:M92)-$E92-SUM($S92:Y92)&gt;0,MAX($AF92,SUM($F92:M92)-$E92-SUM($S92:Y92)),0)</f>
        <v>0</v>
      </c>
      <c r="AA92" s="5">
        <f>IF(SUM($F92:N92)-$E92-SUM($S92:Z92)&gt;0,MAX($AF92,SUM($F92:N92)-$E92-SUM($S92:Z92)),0)</f>
        <v>0</v>
      </c>
      <c r="AB92" s="5">
        <f>IF(SUM($F92:O92)-$E92-SUM($S92:AA92)&gt;0,MAX($AF92,SUM($F92:O92)-$E92-SUM($S92:AA92)),0)</f>
        <v>0</v>
      </c>
      <c r="AC92" s="5">
        <f>IF(SUM($F92:P92)-$E92-SUM($S92:AB92)&gt;0,MAX($AF92,SUM($F92:P92)-$E92-SUM($S92:AB92)),0)</f>
        <v>0</v>
      </c>
      <c r="AD92" s="5">
        <f>IF(SUM($F92:Q92)-$E92-SUM($S92:AC92)&gt;0,MAX($AF92,SUM($F92:Q92)-$E92-SUM($S92:AC92)),0)</f>
        <v>66.815753778120552</v>
      </c>
      <c r="AE92" s="5">
        <f t="shared" si="5"/>
        <v>66.815753778120552</v>
      </c>
      <c r="AF92" s="5">
        <v>0</v>
      </c>
      <c r="AG92" s="1"/>
    </row>
    <row r="93" spans="1:33">
      <c r="A93" s="1" t="s">
        <v>243</v>
      </c>
      <c r="B93" s="1" t="s">
        <v>244</v>
      </c>
      <c r="C93" s="1" t="s">
        <v>3</v>
      </c>
      <c r="D93" s="1" t="s">
        <v>392</v>
      </c>
      <c r="E93" s="5">
        <v>669.99124862038241</v>
      </c>
      <c r="F93" s="5">
        <v>80.816746188798774</v>
      </c>
      <c r="G93" s="5">
        <v>101.20878663567464</v>
      </c>
      <c r="H93" s="5">
        <v>236.19348220123152</v>
      </c>
      <c r="I93" s="5">
        <v>145.90014728531895</v>
      </c>
      <c r="J93" s="5">
        <v>429.7903731678976</v>
      </c>
      <c r="K93" s="5">
        <v>263.06302488936404</v>
      </c>
      <c r="L93" s="5">
        <v>190.21295217497487</v>
      </c>
      <c r="M93" s="5">
        <v>77.246052487271342</v>
      </c>
      <c r="N93" s="5">
        <v>105.43334371484815</v>
      </c>
      <c r="O93" s="5">
        <v>55.975844496976947</v>
      </c>
      <c r="P93" s="5">
        <v>97.419414114302739</v>
      </c>
      <c r="Q93" s="5">
        <v>268.21601965867546</v>
      </c>
      <c r="R93" s="5">
        <f t="shared" si="4"/>
        <v>2051.4761870153347</v>
      </c>
      <c r="S93" s="5">
        <f>IF(SUM($F93:F93)-$E93-0&gt;0,MAX($AF93,SUM($F93:F93)-$E93-0),0)</f>
        <v>0</v>
      </c>
      <c r="T93" s="5">
        <f>IF(SUM($F93:G93)-$E93-SUM($S93:S93)&gt;0,MAX($AF93,SUM($F93:G93)-$E93-SUM($S93:S93)),0)</f>
        <v>0</v>
      </c>
      <c r="U93" s="5">
        <f>IF(SUM($F93:H93)-$E93-SUM($S93:T93)&gt;0,MAX($AF93,SUM($F93:H93)-$E93-SUM($S93:T93)),0)</f>
        <v>0</v>
      </c>
      <c r="V93" s="5">
        <f>IF(SUM($F93:I93)-$E93-SUM($S93:U93)&gt;0,MAX($AF93,SUM($F93:I93)-$E93-SUM($S93:U93)),0)</f>
        <v>0</v>
      </c>
      <c r="W93" s="5">
        <f>IF(SUM($F93:J93)-$E93-SUM($S93:V93)&gt;0,MAX($AF93,SUM($F93:J93)-$E93-SUM($S93:V93)),0)</f>
        <v>323.91828685853909</v>
      </c>
      <c r="X93" s="5">
        <f>IF(SUM($F93:K93)-$E93-SUM($S93:W93)&gt;0,MAX($AF93,SUM($F93:K93)-$E93-SUM($S93:W93)),0)</f>
        <v>263.06302488936399</v>
      </c>
      <c r="Y93" s="5">
        <f>IF(SUM($F93:L93)-$E93-SUM($S93:X93)&gt;0,MAX($AF93,SUM($F93:L93)-$E93-SUM($S93:X93)),0)</f>
        <v>190.21295217497482</v>
      </c>
      <c r="Z93" s="5">
        <f>IF(SUM($F93:M93)-$E93-SUM($S93:Y93)&gt;0,MAX($AF93,SUM($F93:M93)-$E93-SUM($S93:Y93)),0)</f>
        <v>77.246052487271299</v>
      </c>
      <c r="AA93" s="5">
        <f>IF(SUM($F93:N93)-$E93-SUM($S93:Z93)&gt;0,MAX($AF93,SUM($F93:N93)-$E93-SUM($S93:Z93)),0)</f>
        <v>105.43334371484821</v>
      </c>
      <c r="AB93" s="5">
        <f>IF(SUM($F93:O93)-$E93-SUM($S93:AA93)&gt;0,MAX($AF93,SUM($F93:O93)-$E93-SUM($S93:AA93)),0)</f>
        <v>55.975844496976833</v>
      </c>
      <c r="AC93" s="5">
        <f>IF(SUM($F93:P93)-$E93-SUM($S93:AB93)&gt;0,MAX($AF93,SUM($F93:P93)-$E93-SUM($S93:AB93)),0)</f>
        <v>97.419414114302867</v>
      </c>
      <c r="AD93" s="5">
        <f>IF(SUM($F93:Q93)-$E93-SUM($S93:AC93)&gt;0,MAX($AF93,SUM($F93:Q93)-$E93-SUM($S93:AC93)),0)</f>
        <v>268.21601965867512</v>
      </c>
      <c r="AE93" s="5">
        <f t="shared" si="5"/>
        <v>1381.4849383949522</v>
      </c>
      <c r="AF93" s="5">
        <v>0</v>
      </c>
      <c r="AG93" s="1"/>
    </row>
    <row r="94" spans="1:33">
      <c r="A94" s="1" t="s">
        <v>245</v>
      </c>
      <c r="B94" s="1" t="s">
        <v>246</v>
      </c>
      <c r="C94" s="1" t="s">
        <v>3</v>
      </c>
      <c r="D94" s="1" t="s">
        <v>390</v>
      </c>
      <c r="E94" s="5">
        <v>0</v>
      </c>
      <c r="F94" s="5">
        <v>342.75</v>
      </c>
      <c r="G94" s="5">
        <v>336.25</v>
      </c>
      <c r="H94" s="5">
        <v>13.789594626330901</v>
      </c>
      <c r="I94" s="5">
        <v>551.62</v>
      </c>
      <c r="J94" s="5">
        <v>1167.75</v>
      </c>
      <c r="K94" s="5">
        <v>51</v>
      </c>
      <c r="L94" s="5">
        <v>101</v>
      </c>
      <c r="M94" s="5">
        <v>321.7</v>
      </c>
      <c r="N94" s="5">
        <v>925.75</v>
      </c>
      <c r="O94" s="5">
        <v>18</v>
      </c>
      <c r="P94" s="5">
        <v>157.94999999999999</v>
      </c>
      <c r="Q94" s="5">
        <v>926.5</v>
      </c>
      <c r="R94" s="5">
        <f t="shared" si="4"/>
        <v>4914.0595946263311</v>
      </c>
      <c r="S94" s="5">
        <f>IF(SUM($F94:F94)-$E94-0&gt;0,MAX($AF94,SUM($F94:F94)-$E94-0),0)</f>
        <v>342.75</v>
      </c>
      <c r="T94" s="5">
        <f>IF(SUM($F94:G94)-$E94-SUM($S94:S94)&gt;0,MAX($AF94,SUM($F94:G94)-$E94-SUM($S94:S94)),0)</f>
        <v>336.25</v>
      </c>
      <c r="U94" s="5">
        <f>IF(SUM($F94:H94)-$E94-SUM($S94:T94)&gt;0,MAX($AF94,SUM($F94:H94)-$E94-SUM($S94:T94)),0)</f>
        <v>13.789594626330882</v>
      </c>
      <c r="V94" s="5">
        <f>IF(SUM($F94:I94)-$E94-SUM($S94:U94)&gt;0,MAX($AF94,SUM($F94:I94)-$E94-SUM($S94:U94)),0)</f>
        <v>551.62000000000012</v>
      </c>
      <c r="W94" s="5">
        <f>IF(SUM($F94:J94)-$E94-SUM($S94:V94)&gt;0,MAX($AF94,SUM($F94:J94)-$E94-SUM($S94:V94)),0)</f>
        <v>1167.75</v>
      </c>
      <c r="X94" s="5">
        <f>IF(SUM($F94:K94)-$E94-SUM($S94:W94)&gt;0,MAX($AF94,SUM($F94:K94)-$E94-SUM($S94:W94)),0)</f>
        <v>51</v>
      </c>
      <c r="Y94" s="5">
        <f>IF(SUM($F94:L94)-$E94-SUM($S94:X94)&gt;0,MAX($AF94,SUM($F94:L94)-$E94-SUM($S94:X94)),0)</f>
        <v>101</v>
      </c>
      <c r="Z94" s="5">
        <f>IF(SUM($F94:M94)-$E94-SUM($S94:Y94)&gt;0,MAX($AF94,SUM($F94:M94)-$E94-SUM($S94:Y94)),0)</f>
        <v>321.69999999999982</v>
      </c>
      <c r="AA94" s="5">
        <f>IF(SUM($F94:N94)-$E94-SUM($S94:Z94)&gt;0,MAX($AF94,SUM($F94:N94)-$E94-SUM($S94:Z94)),0)</f>
        <v>925.75</v>
      </c>
      <c r="AB94" s="5">
        <f>IF(SUM($F94:O94)-$E94-SUM($S94:AA94)&gt;0,MAX($AF94,SUM($F94:O94)-$E94-SUM($S94:AA94)),0)</f>
        <v>18</v>
      </c>
      <c r="AC94" s="5">
        <f>IF(SUM($F94:P94)-$E94-SUM($S94:AB94)&gt;0,MAX($AF94,SUM($F94:P94)-$E94-SUM($S94:AB94)),0)</f>
        <v>157.94999999999982</v>
      </c>
      <c r="AD94" s="5">
        <f>IF(SUM($F94:Q94)-$E94-SUM($S94:AC94)&gt;0,MAX($AF94,SUM($F94:Q94)-$E94-SUM($S94:AC94)),0)</f>
        <v>926.50000000000045</v>
      </c>
      <c r="AE94" s="5">
        <f t="shared" si="5"/>
        <v>4914.0595946263311</v>
      </c>
      <c r="AF94" s="5">
        <v>0</v>
      </c>
      <c r="AG94" s="1"/>
    </row>
    <row r="95" spans="1:33">
      <c r="A95" s="1" t="s">
        <v>247</v>
      </c>
      <c r="B95" s="1" t="s">
        <v>248</v>
      </c>
      <c r="C95" s="1" t="s">
        <v>3</v>
      </c>
      <c r="D95" s="1" t="s">
        <v>390</v>
      </c>
      <c r="E95" s="5">
        <v>140.19347446705387</v>
      </c>
      <c r="F95" s="5">
        <v>107.4884213965352</v>
      </c>
      <c r="G95" s="5">
        <v>164.90869999999998</v>
      </c>
      <c r="H95" s="5">
        <v>151.07518227666827</v>
      </c>
      <c r="I95" s="5">
        <v>171.27199999999999</v>
      </c>
      <c r="J95" s="5">
        <v>123.43950000000001</v>
      </c>
      <c r="K95" s="5">
        <v>99.154999999999987</v>
      </c>
      <c r="L95" s="5">
        <v>236.02409999999998</v>
      </c>
      <c r="M95" s="5">
        <v>73.906999999999996</v>
      </c>
      <c r="N95" s="5">
        <v>44.871499999999997</v>
      </c>
      <c r="O95" s="5">
        <v>106.17609999999999</v>
      </c>
      <c r="P95" s="5">
        <v>63.190100000000001</v>
      </c>
      <c r="Q95" s="5">
        <v>325.68099999999998</v>
      </c>
      <c r="R95" s="5">
        <f t="shared" si="4"/>
        <v>1667.188603673203</v>
      </c>
      <c r="S95" s="5">
        <f>IF(SUM($F95:F95)-$E95-0&gt;0,MAX($AF95,SUM($F95:F95)-$E95-0),0)</f>
        <v>0</v>
      </c>
      <c r="T95" s="5">
        <f>IF(SUM($F95:G95)-$E95-SUM($S95:S95)&gt;0,MAX($AF95,SUM($F95:G95)-$E95-SUM($S95:S95)),0)</f>
        <v>132.20364692948129</v>
      </c>
      <c r="U95" s="5">
        <f>IF(SUM($F95:H95)-$E95-SUM($S95:T95)&gt;0,MAX($AF95,SUM($F95:H95)-$E95-SUM($S95:T95)),0)</f>
        <v>151.07518227666827</v>
      </c>
      <c r="V95" s="5">
        <f>IF(SUM($F95:I95)-$E95-SUM($S95:U95)&gt;0,MAX($AF95,SUM($F95:I95)-$E95-SUM($S95:U95)),0)</f>
        <v>171.27199999999993</v>
      </c>
      <c r="W95" s="5">
        <f>IF(SUM($F95:J95)-$E95-SUM($S95:V95)&gt;0,MAX($AF95,SUM($F95:J95)-$E95-SUM($S95:V95)),0)</f>
        <v>123.43949999999995</v>
      </c>
      <c r="X95" s="5">
        <f>IF(SUM($F95:K95)-$E95-SUM($S95:W95)&gt;0,MAX($AF95,SUM($F95:K95)-$E95-SUM($S95:W95)),0)</f>
        <v>99.154999999999973</v>
      </c>
      <c r="Y95" s="5">
        <f>IF(SUM($F95:L95)-$E95-SUM($S95:X95)&gt;0,MAX($AF95,SUM($F95:L95)-$E95-SUM($S95:X95)),0)</f>
        <v>236.02409999999986</v>
      </c>
      <c r="Z95" s="5">
        <f>IF(SUM($F95:M95)-$E95-SUM($S95:Y95)&gt;0,MAX($AF95,SUM($F95:M95)-$E95-SUM($S95:Y95)),0)</f>
        <v>73.906999999999925</v>
      </c>
      <c r="AA95" s="5">
        <f>IF(SUM($F95:N95)-$E95-SUM($S95:Z95)&gt;0,MAX($AF95,SUM($F95:N95)-$E95-SUM($S95:Z95)),0)</f>
        <v>44.871499999999969</v>
      </c>
      <c r="AB95" s="5">
        <f>IF(SUM($F95:O95)-$E95-SUM($S95:AA95)&gt;0,MAX($AF95,SUM($F95:O95)-$E95-SUM($S95:AA95)),0)</f>
        <v>106.17609999999991</v>
      </c>
      <c r="AC95" s="5">
        <f>IF(SUM($F95:P95)-$E95-SUM($S95:AB95)&gt;0,MAX($AF95,SUM($F95:P95)-$E95-SUM($S95:AB95)),0)</f>
        <v>63.190100000000029</v>
      </c>
      <c r="AD95" s="5">
        <f>IF(SUM($F95:Q95)-$E95-SUM($S95:AC95)&gt;0,MAX($AF95,SUM($F95:Q95)-$E95-SUM($S95:AC95)),0)</f>
        <v>325.68100000000004</v>
      </c>
      <c r="AE95" s="5">
        <f t="shared" si="5"/>
        <v>1526.9951292061492</v>
      </c>
      <c r="AF95" s="5">
        <v>0</v>
      </c>
      <c r="AG95" s="1"/>
    </row>
    <row r="96" spans="1:33">
      <c r="A96" s="1" t="s">
        <v>249</v>
      </c>
      <c r="B96" s="1" t="s">
        <v>250</v>
      </c>
      <c r="C96" s="1" t="s">
        <v>3</v>
      </c>
      <c r="D96" s="1" t="s">
        <v>390</v>
      </c>
      <c r="E96" s="5">
        <v>253.47000238095961</v>
      </c>
      <c r="F96" s="5">
        <v>22.524999999999999</v>
      </c>
      <c r="G96" s="5">
        <v>137.994</v>
      </c>
      <c r="H96" s="5">
        <v>1.325</v>
      </c>
      <c r="I96" s="5">
        <v>156.19</v>
      </c>
      <c r="J96" s="5">
        <v>0</v>
      </c>
      <c r="K96" s="5">
        <v>96.162999999999997</v>
      </c>
      <c r="L96" s="5">
        <v>98.05</v>
      </c>
      <c r="M96" s="5">
        <v>241.52999999999997</v>
      </c>
      <c r="N96" s="5">
        <v>0</v>
      </c>
      <c r="O96" s="5">
        <v>0</v>
      </c>
      <c r="P96" s="5">
        <v>94.35</v>
      </c>
      <c r="Q96" s="5">
        <v>1308.2</v>
      </c>
      <c r="R96" s="5">
        <f t="shared" si="4"/>
        <v>2156.3270000000002</v>
      </c>
      <c r="S96" s="5">
        <f>IF(SUM($F96:F96)-$E96-0&gt;0,MAX($AF96,SUM($F96:F96)-$E96-0),0)</f>
        <v>0</v>
      </c>
      <c r="T96" s="5">
        <f>IF(SUM($F96:G96)-$E96-SUM($S96:S96)&gt;0,MAX($AF96,SUM($F96:G96)-$E96-SUM($S96:S96)),0)</f>
        <v>0</v>
      </c>
      <c r="U96" s="5">
        <f>IF(SUM($F96:H96)-$E96-SUM($S96:T96)&gt;0,MAX($AF96,SUM($F96:H96)-$E96-SUM($S96:T96)),0)</f>
        <v>0</v>
      </c>
      <c r="V96" s="5">
        <f>IF(SUM($F96:I96)-$E96-SUM($S96:U96)&gt;0,MAX($AF96,SUM($F96:I96)-$E96-SUM($S96:U96)),0)</f>
        <v>64.563997619040379</v>
      </c>
      <c r="W96" s="5">
        <f>IF(SUM($F96:J96)-$E96-SUM($S96:V96)&gt;0,MAX($AF96,SUM($F96:J96)-$E96-SUM($S96:V96)),0)</f>
        <v>0</v>
      </c>
      <c r="X96" s="5">
        <f>IF(SUM($F96:K96)-$E96-SUM($S96:W96)&gt;0,MAX($AF96,SUM($F96:K96)-$E96-SUM($S96:W96)),0)</f>
        <v>96.163000000000011</v>
      </c>
      <c r="Y96" s="5">
        <f>IF(SUM($F96:L96)-$E96-SUM($S96:X96)&gt;0,MAX($AF96,SUM($F96:L96)-$E96-SUM($S96:X96)),0)</f>
        <v>98.049999999999955</v>
      </c>
      <c r="Z96" s="5">
        <f>IF(SUM($F96:M96)-$E96-SUM($S96:Y96)&gt;0,MAX($AF96,SUM($F96:M96)-$E96-SUM($S96:Y96)),0)</f>
        <v>241.52999999999997</v>
      </c>
      <c r="AA96" s="5">
        <f>IF(SUM($F96:N96)-$E96-SUM($S96:Z96)&gt;0,MAX($AF96,SUM($F96:N96)-$E96-SUM($S96:Z96)),0)</f>
        <v>0</v>
      </c>
      <c r="AB96" s="5">
        <f>IF(SUM($F96:O96)-$E96-SUM($S96:AA96)&gt;0,MAX($AF96,SUM($F96:O96)-$E96-SUM($S96:AA96)),0)</f>
        <v>0</v>
      </c>
      <c r="AC96" s="5">
        <f>IF(SUM($F96:P96)-$E96-SUM($S96:AB96)&gt;0,MAX($AF96,SUM($F96:P96)-$E96-SUM($S96:AB96)),0)</f>
        <v>94.350000000000023</v>
      </c>
      <c r="AD96" s="5">
        <f>IF(SUM($F96:Q96)-$E96-SUM($S96:AC96)&gt;0,MAX($AF96,SUM($F96:Q96)-$E96-SUM($S96:AC96)),0)</f>
        <v>1308.2000000000003</v>
      </c>
      <c r="AE96" s="5">
        <f t="shared" si="5"/>
        <v>1902.8569976190406</v>
      </c>
      <c r="AF96" s="5">
        <v>0</v>
      </c>
      <c r="AG96" s="1"/>
    </row>
    <row r="97" spans="1:33">
      <c r="A97" s="1" t="s">
        <v>251</v>
      </c>
      <c r="B97" s="1" t="s">
        <v>252</v>
      </c>
      <c r="C97" s="1" t="s">
        <v>3</v>
      </c>
      <c r="D97" s="1" t="s">
        <v>390</v>
      </c>
      <c r="E97" s="5">
        <v>0</v>
      </c>
      <c r="F97" s="5">
        <v>3133.0256909510213</v>
      </c>
      <c r="G97" s="5">
        <v>4873.7309815938861</v>
      </c>
      <c r="H97" s="5">
        <v>2329.3469921430315</v>
      </c>
      <c r="I97" s="5">
        <v>3082.192899621758</v>
      </c>
      <c r="J97" s="5">
        <v>5646.6809999999996</v>
      </c>
      <c r="K97" s="5">
        <v>6986.0159999999987</v>
      </c>
      <c r="L97" s="5">
        <v>2931.6130000000003</v>
      </c>
      <c r="M97" s="5">
        <v>2805.7660000000001</v>
      </c>
      <c r="N97" s="5">
        <v>1361.3820000000001</v>
      </c>
      <c r="O97" s="5">
        <v>4452.2949999999992</v>
      </c>
      <c r="P97" s="5">
        <v>3864.8710000000001</v>
      </c>
      <c r="Q97" s="5">
        <v>5643.3020000000006</v>
      </c>
      <c r="R97" s="5">
        <f t="shared" si="4"/>
        <v>47110.222564309697</v>
      </c>
      <c r="S97" s="5">
        <f>IF(SUM($F97:F97)-$E97-0&gt;0,MAX($AF97,SUM($F97:F97)-$E97-0),0)</f>
        <v>3133.0256909510213</v>
      </c>
      <c r="T97" s="5">
        <f>IF(SUM($F97:G97)-$E97-SUM($S97:S97)&gt;0,MAX($AF97,SUM($F97:G97)-$E97-SUM($S97:S97)),0)</f>
        <v>4873.7309815938861</v>
      </c>
      <c r="U97" s="5">
        <f>IF(SUM($F97:H97)-$E97-SUM($S97:T97)&gt;0,MAX($AF97,SUM($F97:H97)-$E97-SUM($S97:T97)),0)</f>
        <v>2329.3469921430315</v>
      </c>
      <c r="V97" s="5">
        <f>IF(SUM($F97:I97)-$E97-SUM($S97:U97)&gt;0,MAX($AF97,SUM($F97:I97)-$E97-SUM($S97:U97)),0)</f>
        <v>3082.1928996217575</v>
      </c>
      <c r="W97" s="5">
        <f>IF(SUM($F97:J97)-$E97-SUM($S97:V97)&gt;0,MAX($AF97,SUM($F97:J97)-$E97-SUM($S97:V97)),0)</f>
        <v>5646.6809999999987</v>
      </c>
      <c r="X97" s="5">
        <f>IF(SUM($F97:K97)-$E97-SUM($S97:W97)&gt;0,MAX($AF97,SUM($F97:K97)-$E97-SUM($S97:W97)),0)</f>
        <v>6986.0159999999996</v>
      </c>
      <c r="Y97" s="5">
        <f>IF(SUM($F97:L97)-$E97-SUM($S97:X97)&gt;0,MAX($AF97,SUM($F97:L97)-$E97-SUM($S97:X97)),0)</f>
        <v>2931.6130000000012</v>
      </c>
      <c r="Z97" s="5">
        <f>IF(SUM($F97:M97)-$E97-SUM($S97:Y97)&gt;0,MAX($AF97,SUM($F97:M97)-$E97-SUM($S97:Y97)),0)</f>
        <v>2805.7659999999996</v>
      </c>
      <c r="AA97" s="5">
        <f>IF(SUM($F97:N97)-$E97-SUM($S97:Z97)&gt;0,MAX($AF97,SUM($F97:N97)-$E97-SUM($S97:Z97)),0)</f>
        <v>1361.3820000000014</v>
      </c>
      <c r="AB97" s="5">
        <f>IF(SUM($F97:O97)-$E97-SUM($S97:AA97)&gt;0,MAX($AF97,SUM($F97:O97)-$E97-SUM($S97:AA97)),0)</f>
        <v>4452.2949999999983</v>
      </c>
      <c r="AC97" s="5">
        <f>IF(SUM($F97:P97)-$E97-SUM($S97:AB97)&gt;0,MAX($AF97,SUM($F97:P97)-$E97-SUM($S97:AB97)),0)</f>
        <v>3864.8709999999992</v>
      </c>
      <c r="AD97" s="5">
        <f>IF(SUM($F97:Q97)-$E97-SUM($S97:AC97)&gt;0,MAX($AF97,SUM($F97:Q97)-$E97-SUM($S97:AC97)),0)</f>
        <v>5643.3020000000033</v>
      </c>
      <c r="AE97" s="5">
        <f t="shared" si="5"/>
        <v>47110.222564309697</v>
      </c>
      <c r="AF97" s="5">
        <v>0</v>
      </c>
      <c r="AG97" s="1"/>
    </row>
    <row r="98" spans="1:33">
      <c r="A98" s="1" t="s">
        <v>253</v>
      </c>
      <c r="B98" s="1" t="s">
        <v>254</v>
      </c>
      <c r="C98" s="1" t="s">
        <v>3</v>
      </c>
      <c r="D98" s="1" t="s">
        <v>390</v>
      </c>
      <c r="E98" s="5">
        <v>0</v>
      </c>
      <c r="F98" s="5">
        <v>181.13079546109745</v>
      </c>
      <c r="G98" s="5">
        <v>1250.8595717529154</v>
      </c>
      <c r="H98" s="5">
        <v>593.9190000000001</v>
      </c>
      <c r="I98" s="5">
        <v>580.72949999999992</v>
      </c>
      <c r="J98" s="5">
        <v>898.1191</v>
      </c>
      <c r="K98" s="5">
        <v>978.44180000000006</v>
      </c>
      <c r="L98" s="5">
        <v>961.51449999999988</v>
      </c>
      <c r="M98" s="5">
        <v>454.00600000000003</v>
      </c>
      <c r="N98" s="5">
        <v>309.077</v>
      </c>
      <c r="O98" s="5">
        <v>613.77599999999995</v>
      </c>
      <c r="P98" s="5">
        <v>410.23209999999995</v>
      </c>
      <c r="Q98" s="5">
        <v>2966.0844999999999</v>
      </c>
      <c r="R98" s="5">
        <f t="shared" si="4"/>
        <v>10197.889867214013</v>
      </c>
      <c r="S98" s="5">
        <f>IF(SUM($F98:F98)-$E98-0&gt;0,MAX($AF98,SUM($F98:F98)-$E98-0),0)</f>
        <v>181.13079546109745</v>
      </c>
      <c r="T98" s="5">
        <f>IF(SUM($F98:G98)-$E98-SUM($S98:S98)&gt;0,MAX($AF98,SUM($F98:G98)-$E98-SUM($S98:S98)),0)</f>
        <v>1250.8595717529154</v>
      </c>
      <c r="U98" s="5">
        <f>IF(SUM($F98:H98)-$E98-SUM($S98:T98)&gt;0,MAX($AF98,SUM($F98:H98)-$E98-SUM($S98:T98)),0)</f>
        <v>593.9190000000001</v>
      </c>
      <c r="V98" s="5">
        <f>IF(SUM($F98:I98)-$E98-SUM($S98:U98)&gt;0,MAX($AF98,SUM($F98:I98)-$E98-SUM($S98:U98)),0)</f>
        <v>580.72949999999992</v>
      </c>
      <c r="W98" s="5">
        <f>IF(SUM($F98:J98)-$E98-SUM($S98:V98)&gt;0,MAX($AF98,SUM($F98:J98)-$E98-SUM($S98:V98)),0)</f>
        <v>898.11909999999989</v>
      </c>
      <c r="X98" s="5">
        <f>IF(SUM($F98:K98)-$E98-SUM($S98:W98)&gt;0,MAX($AF98,SUM($F98:K98)-$E98-SUM($S98:W98)),0)</f>
        <v>978.44180000000051</v>
      </c>
      <c r="Y98" s="5">
        <f>IF(SUM($F98:L98)-$E98-SUM($S98:X98)&gt;0,MAX($AF98,SUM($F98:L98)-$E98-SUM($S98:X98)),0)</f>
        <v>961.51450000000023</v>
      </c>
      <c r="Z98" s="5">
        <f>IF(SUM($F98:M98)-$E98-SUM($S98:Y98)&gt;0,MAX($AF98,SUM($F98:M98)-$E98-SUM($S98:Y98)),0)</f>
        <v>454.00600000000031</v>
      </c>
      <c r="AA98" s="5">
        <f>IF(SUM($F98:N98)-$E98-SUM($S98:Z98)&gt;0,MAX($AF98,SUM($F98:N98)-$E98-SUM($S98:Z98)),0)</f>
        <v>309.07700000000023</v>
      </c>
      <c r="AB98" s="5">
        <f>IF(SUM($F98:O98)-$E98-SUM($S98:AA98)&gt;0,MAX($AF98,SUM($F98:O98)-$E98-SUM($S98:AA98)),0)</f>
        <v>613.77599999999984</v>
      </c>
      <c r="AC98" s="5">
        <f>IF(SUM($F98:P98)-$E98-SUM($S98:AB98)&gt;0,MAX($AF98,SUM($F98:P98)-$E98-SUM($S98:AB98)),0)</f>
        <v>410.23210000000017</v>
      </c>
      <c r="AD98" s="5">
        <f>IF(SUM($F98:Q98)-$E98-SUM($S98:AC98)&gt;0,MAX($AF98,SUM($F98:Q98)-$E98-SUM($S98:AC98)),0)</f>
        <v>2966.084499999999</v>
      </c>
      <c r="AE98" s="5">
        <f t="shared" si="5"/>
        <v>10197.889867214013</v>
      </c>
      <c r="AF98" s="5">
        <v>0</v>
      </c>
      <c r="AG98" s="1"/>
    </row>
    <row r="99" spans="1:33">
      <c r="A99" s="1" t="s">
        <v>255</v>
      </c>
      <c r="B99" s="1" t="s">
        <v>256</v>
      </c>
      <c r="C99" s="1" t="s">
        <v>3</v>
      </c>
      <c r="D99" s="1" t="s">
        <v>390</v>
      </c>
      <c r="E99" s="5">
        <v>0</v>
      </c>
      <c r="F99" s="5">
        <v>1722.96</v>
      </c>
      <c r="G99" s="5">
        <v>3368.88</v>
      </c>
      <c r="H99" s="5">
        <v>86.4</v>
      </c>
      <c r="I99" s="5">
        <v>2726.64</v>
      </c>
      <c r="J99" s="5">
        <v>241.20000000000002</v>
      </c>
      <c r="K99" s="5">
        <v>309.60000000000002</v>
      </c>
      <c r="L99" s="5">
        <v>75.599999999999994</v>
      </c>
      <c r="M99" s="5">
        <v>2159.2800000000002</v>
      </c>
      <c r="N99" s="5">
        <v>1685.52</v>
      </c>
      <c r="O99" s="5">
        <v>0</v>
      </c>
      <c r="P99" s="5">
        <v>0</v>
      </c>
      <c r="Q99" s="5">
        <v>2629.44</v>
      </c>
      <c r="R99" s="5">
        <f t="shared" si="4"/>
        <v>15005.52</v>
      </c>
      <c r="S99" s="5">
        <f>IF(SUM($F99:F99)-$E99-0&gt;0,MAX($AF99,SUM($F99:F99)-$E99-0),0)</f>
        <v>1722.96</v>
      </c>
      <c r="T99" s="5">
        <f>IF(SUM($F99:G99)-$E99-SUM($S99:S99)&gt;0,MAX($AF99,SUM($F99:G99)-$E99-SUM($S99:S99)),0)</f>
        <v>3368.88</v>
      </c>
      <c r="U99" s="5">
        <f>IF(SUM($F99:H99)-$E99-SUM($S99:T99)&gt;0,MAX($AF99,SUM($F99:H99)-$E99-SUM($S99:T99)),0)</f>
        <v>86.399999999999636</v>
      </c>
      <c r="V99" s="5">
        <f>IF(SUM($F99:I99)-$E99-SUM($S99:U99)&gt;0,MAX($AF99,SUM($F99:I99)-$E99-SUM($S99:U99)),0)</f>
        <v>2726.6399999999994</v>
      </c>
      <c r="W99" s="5">
        <f>IF(SUM($F99:J99)-$E99-SUM($S99:V99)&gt;0,MAX($AF99,SUM($F99:J99)-$E99-SUM($S99:V99)),0)</f>
        <v>241.19999999999982</v>
      </c>
      <c r="X99" s="5">
        <f>IF(SUM($F99:K99)-$E99-SUM($S99:W99)&gt;0,MAX($AF99,SUM($F99:K99)-$E99-SUM($S99:W99)),0)</f>
        <v>309.59999999999945</v>
      </c>
      <c r="Y99" s="5">
        <f>IF(SUM($F99:L99)-$E99-SUM($S99:X99)&gt;0,MAX($AF99,SUM($F99:L99)-$E99-SUM($S99:X99)),0)</f>
        <v>75.600000000000364</v>
      </c>
      <c r="Z99" s="5">
        <f>IF(SUM($F99:M99)-$E99-SUM($S99:Y99)&gt;0,MAX($AF99,SUM($F99:M99)-$E99-SUM($S99:Y99)),0)</f>
        <v>2159.2800000000007</v>
      </c>
      <c r="AA99" s="5">
        <f>IF(SUM($F99:N99)-$E99-SUM($S99:Z99)&gt;0,MAX($AF99,SUM($F99:N99)-$E99-SUM($S99:Z99)),0)</f>
        <v>1685.5200000000004</v>
      </c>
      <c r="AB99" s="5">
        <f>IF(SUM($F99:O99)-$E99-SUM($S99:AA99)&gt;0,MAX($AF99,SUM($F99:O99)-$E99-SUM($S99:AA99)),0)</f>
        <v>0</v>
      </c>
      <c r="AC99" s="5">
        <f>IF(SUM($F99:P99)-$E99-SUM($S99:AB99)&gt;0,MAX($AF99,SUM($F99:P99)-$E99-SUM($S99:AB99)),0)</f>
        <v>0</v>
      </c>
      <c r="AD99" s="5">
        <f>IF(SUM($F99:Q99)-$E99-SUM($S99:AC99)&gt;0,MAX($AF99,SUM($F99:Q99)-$E99-SUM($S99:AC99)),0)</f>
        <v>2629.4400000000005</v>
      </c>
      <c r="AE99" s="5">
        <f t="shared" si="5"/>
        <v>15005.52</v>
      </c>
      <c r="AF99" s="5">
        <v>0</v>
      </c>
      <c r="AG99" s="1"/>
    </row>
    <row r="100" spans="1:33">
      <c r="A100" s="1" t="s">
        <v>257</v>
      </c>
      <c r="B100" s="1" t="s">
        <v>258</v>
      </c>
      <c r="C100" s="1" t="s">
        <v>4</v>
      </c>
      <c r="D100" s="1" t="s">
        <v>393</v>
      </c>
      <c r="E100" s="5">
        <v>0</v>
      </c>
      <c r="F100" s="5">
        <v>33</v>
      </c>
      <c r="G100" s="5">
        <v>9</v>
      </c>
      <c r="H100" s="5">
        <v>51</v>
      </c>
      <c r="I100" s="5">
        <v>13</v>
      </c>
      <c r="J100" s="5">
        <v>70.543891900354907</v>
      </c>
      <c r="K100" s="5">
        <v>109</v>
      </c>
      <c r="L100" s="5">
        <v>30</v>
      </c>
      <c r="M100" s="5">
        <v>32</v>
      </c>
      <c r="N100" s="5">
        <v>14</v>
      </c>
      <c r="O100" s="5">
        <v>70</v>
      </c>
      <c r="P100" s="5">
        <v>46</v>
      </c>
      <c r="Q100" s="5">
        <v>42</v>
      </c>
      <c r="R100" s="5">
        <f t="shared" si="4"/>
        <v>519.54389190035488</v>
      </c>
      <c r="S100" s="5">
        <f>IF(SUM($F100:F100)-$E100-0&gt;0,MAX($AF100,SUM($F100:F100)-$E100-0),0)</f>
        <v>33</v>
      </c>
      <c r="T100" s="5">
        <f>IF(SUM($F100:G100)-$E100-SUM($S100:S100)&gt;0,MAX($AF100,SUM($F100:G100)-$E100-SUM($S100:S100)),0)</f>
        <v>9</v>
      </c>
      <c r="U100" s="5">
        <f>IF(SUM($F100:H100)-$E100-SUM($S100:T100)&gt;0,MAX($AF100,SUM($F100:H100)-$E100-SUM($S100:T100)),0)</f>
        <v>51</v>
      </c>
      <c r="V100" s="5">
        <f>IF(SUM($F100:I100)-$E100-SUM($S100:U100)&gt;0,MAX($AF100,SUM($F100:I100)-$E100-SUM($S100:U100)),0)</f>
        <v>13</v>
      </c>
      <c r="W100" s="5">
        <f>IF(SUM($F100:J100)-$E100-SUM($S100:V100)&gt;0,MAX($AF100,SUM($F100:J100)-$E100-SUM($S100:V100)),0)</f>
        <v>70.543891900354907</v>
      </c>
      <c r="X100" s="5">
        <f>IF(SUM($F100:K100)-$E100-SUM($S100:W100)&gt;0,MAX($AF100,SUM($F100:K100)-$E100-SUM($S100:W100)),0)</f>
        <v>108.99999999999997</v>
      </c>
      <c r="Y100" s="5">
        <f>IF(SUM($F100:L100)-$E100-SUM($S100:X100)&gt;0,MAX($AF100,SUM($F100:L100)-$E100-SUM($S100:X100)),0)</f>
        <v>30</v>
      </c>
      <c r="Z100" s="5">
        <f>IF(SUM($F100:M100)-$E100-SUM($S100:Y100)&gt;0,MAX($AF100,SUM($F100:M100)-$E100-SUM($S100:Y100)),0)</f>
        <v>32</v>
      </c>
      <c r="AA100" s="5">
        <f>IF(SUM($F100:N100)-$E100-SUM($S100:Z100)&gt;0,MAX($AF100,SUM($F100:N100)-$E100-SUM($S100:Z100)),0)</f>
        <v>14</v>
      </c>
      <c r="AB100" s="5">
        <f>IF(SUM($F100:O100)-$E100-SUM($S100:AA100)&gt;0,MAX($AF100,SUM($F100:O100)-$E100-SUM($S100:AA100)),0)</f>
        <v>70</v>
      </c>
      <c r="AC100" s="5">
        <f>IF(SUM($F100:P100)-$E100-SUM($S100:AB100)&gt;0,MAX($AF100,SUM($F100:P100)-$E100-SUM($S100:AB100)),0)</f>
        <v>46</v>
      </c>
      <c r="AD100" s="5">
        <f>IF(SUM($F100:Q100)-$E100-SUM($S100:AC100)&gt;0,MAX($AF100,SUM($F100:Q100)-$E100-SUM($S100:AC100)),0)</f>
        <v>42</v>
      </c>
      <c r="AE100" s="5">
        <f t="shared" si="5"/>
        <v>519.54389190035488</v>
      </c>
      <c r="AF100" s="5">
        <v>0</v>
      </c>
      <c r="AG100" s="1"/>
    </row>
    <row r="101" spans="1:33">
      <c r="A101" s="1" t="s">
        <v>259</v>
      </c>
      <c r="B101" s="1" t="s">
        <v>260</v>
      </c>
      <c r="C101" s="1" t="s">
        <v>4</v>
      </c>
      <c r="D101" s="1" t="s">
        <v>393</v>
      </c>
      <c r="E101" s="5">
        <v>0</v>
      </c>
      <c r="F101" s="5">
        <v>33</v>
      </c>
      <c r="G101" s="5">
        <v>9</v>
      </c>
      <c r="H101" s="5">
        <v>51</v>
      </c>
      <c r="I101" s="5">
        <v>13</v>
      </c>
      <c r="J101" s="5">
        <v>70.543891900354907</v>
      </c>
      <c r="K101" s="5">
        <v>109</v>
      </c>
      <c r="L101" s="5">
        <v>30</v>
      </c>
      <c r="M101" s="5">
        <v>32</v>
      </c>
      <c r="N101" s="5">
        <v>14</v>
      </c>
      <c r="O101" s="5">
        <v>70</v>
      </c>
      <c r="P101" s="5">
        <v>46</v>
      </c>
      <c r="Q101" s="5">
        <v>42</v>
      </c>
      <c r="R101" s="5">
        <f t="shared" si="4"/>
        <v>519.54389190035488</v>
      </c>
      <c r="S101" s="5">
        <f>IF(SUM($F101:F101)-$E101-0&gt;0,MAX($AF101,SUM($F101:F101)-$E101-0),0)</f>
        <v>33</v>
      </c>
      <c r="T101" s="5">
        <f>IF(SUM($F101:G101)-$E101-SUM($S101:S101)&gt;0,MAX($AF101,SUM($F101:G101)-$E101-SUM($S101:S101)),0)</f>
        <v>9</v>
      </c>
      <c r="U101" s="5">
        <f>IF(SUM($F101:H101)-$E101-SUM($S101:T101)&gt;0,MAX($AF101,SUM($F101:H101)-$E101-SUM($S101:T101)),0)</f>
        <v>51</v>
      </c>
      <c r="V101" s="5">
        <f>IF(SUM($F101:I101)-$E101-SUM($S101:U101)&gt;0,MAX($AF101,SUM($F101:I101)-$E101-SUM($S101:U101)),0)</f>
        <v>13</v>
      </c>
      <c r="W101" s="5">
        <f>IF(SUM($F101:J101)-$E101-SUM($S101:V101)&gt;0,MAX($AF101,SUM($F101:J101)-$E101-SUM($S101:V101)),0)</f>
        <v>70.543891900354907</v>
      </c>
      <c r="X101" s="5">
        <f>IF(SUM($F101:K101)-$E101-SUM($S101:W101)&gt;0,MAX($AF101,SUM($F101:K101)-$E101-SUM($S101:W101)),0)</f>
        <v>108.99999999999997</v>
      </c>
      <c r="Y101" s="5">
        <f>IF(SUM($F101:L101)-$E101-SUM($S101:X101)&gt;0,MAX($AF101,SUM($F101:L101)-$E101-SUM($S101:X101)),0)</f>
        <v>30</v>
      </c>
      <c r="Z101" s="5">
        <f>IF(SUM($F101:M101)-$E101-SUM($S101:Y101)&gt;0,MAX($AF101,SUM($F101:M101)-$E101-SUM($S101:Y101)),0)</f>
        <v>32</v>
      </c>
      <c r="AA101" s="5">
        <f>IF(SUM($F101:N101)-$E101-SUM($S101:Z101)&gt;0,MAX($AF101,SUM($F101:N101)-$E101-SUM($S101:Z101)),0)</f>
        <v>14</v>
      </c>
      <c r="AB101" s="5">
        <f>IF(SUM($F101:O101)-$E101-SUM($S101:AA101)&gt;0,MAX($AF101,SUM($F101:O101)-$E101-SUM($S101:AA101)),0)</f>
        <v>70</v>
      </c>
      <c r="AC101" s="5">
        <f>IF(SUM($F101:P101)-$E101-SUM($S101:AB101)&gt;0,MAX($AF101,SUM($F101:P101)-$E101-SUM($S101:AB101)),0)</f>
        <v>46</v>
      </c>
      <c r="AD101" s="5">
        <f>IF(SUM($F101:Q101)-$E101-SUM($S101:AC101)&gt;0,MAX($AF101,SUM($F101:Q101)-$E101-SUM($S101:AC101)),0)</f>
        <v>42</v>
      </c>
      <c r="AE101" s="5">
        <f t="shared" si="5"/>
        <v>519.54389190035488</v>
      </c>
      <c r="AF101" s="5">
        <v>0</v>
      </c>
      <c r="AG101" s="1"/>
    </row>
    <row r="102" spans="1:33">
      <c r="A102" s="1" t="s">
        <v>261</v>
      </c>
      <c r="B102" s="1" t="s">
        <v>262</v>
      </c>
      <c r="C102" s="1" t="s">
        <v>4</v>
      </c>
      <c r="D102" s="1" t="s">
        <v>394</v>
      </c>
      <c r="E102" s="5">
        <v>0</v>
      </c>
      <c r="F102" s="5">
        <v>31.4</v>
      </c>
      <c r="G102" s="5">
        <v>9</v>
      </c>
      <c r="H102" s="5">
        <v>51</v>
      </c>
      <c r="I102" s="5">
        <v>13</v>
      </c>
      <c r="J102" s="5">
        <v>69.743891900354896</v>
      </c>
      <c r="K102" s="5">
        <v>109</v>
      </c>
      <c r="L102" s="5">
        <v>30</v>
      </c>
      <c r="M102" s="5">
        <v>12</v>
      </c>
      <c r="N102" s="5">
        <v>14</v>
      </c>
      <c r="O102" s="5">
        <v>60.4</v>
      </c>
      <c r="P102" s="5">
        <v>46</v>
      </c>
      <c r="Q102" s="5">
        <v>32.4</v>
      </c>
      <c r="R102" s="5">
        <f t="shared" si="4"/>
        <v>477.94389190035486</v>
      </c>
      <c r="S102" s="5">
        <f>IF(SUM($F102:F102)-$E102-0&gt;0,MAX($AF102,SUM($F102:F102)-$E102-0),0)</f>
        <v>31.4</v>
      </c>
      <c r="T102" s="5">
        <f>IF(SUM($F102:G102)-$E102-SUM($S102:S102)&gt;0,MAX($AF102,SUM($F102:G102)-$E102-SUM($S102:S102)),0)</f>
        <v>9</v>
      </c>
      <c r="U102" s="5">
        <f>IF(SUM($F102:H102)-$E102-SUM($S102:T102)&gt;0,MAX($AF102,SUM($F102:H102)-$E102-SUM($S102:T102)),0)</f>
        <v>51.000000000000007</v>
      </c>
      <c r="V102" s="5">
        <f>IF(SUM($F102:I102)-$E102-SUM($S102:U102)&gt;0,MAX($AF102,SUM($F102:I102)-$E102-SUM($S102:U102)),0)</f>
        <v>13</v>
      </c>
      <c r="W102" s="5">
        <f>IF(SUM($F102:J102)-$E102-SUM($S102:V102)&gt;0,MAX($AF102,SUM($F102:J102)-$E102-SUM($S102:V102)),0)</f>
        <v>69.743891900354896</v>
      </c>
      <c r="X102" s="5">
        <f>IF(SUM($F102:K102)-$E102-SUM($S102:W102)&gt;0,MAX($AF102,SUM($F102:K102)-$E102-SUM($S102:W102)),0)</f>
        <v>109</v>
      </c>
      <c r="Y102" s="5">
        <f>IF(SUM($F102:L102)-$E102-SUM($S102:X102)&gt;0,MAX($AF102,SUM($F102:L102)-$E102-SUM($S102:X102)),0)</f>
        <v>30</v>
      </c>
      <c r="Z102" s="5">
        <f>IF(SUM($F102:M102)-$E102-SUM($S102:Y102)&gt;0,MAX($AF102,SUM($F102:M102)-$E102-SUM($S102:Y102)),0)</f>
        <v>12</v>
      </c>
      <c r="AA102" s="5">
        <f>IF(SUM($F102:N102)-$E102-SUM($S102:Z102)&gt;0,MAX($AF102,SUM($F102:N102)-$E102-SUM($S102:Z102)),0)</f>
        <v>14</v>
      </c>
      <c r="AB102" s="5">
        <f>IF(SUM($F102:O102)-$E102-SUM($S102:AA102)&gt;0,MAX($AF102,SUM($F102:O102)-$E102-SUM($S102:AA102)),0)</f>
        <v>60.399999999999977</v>
      </c>
      <c r="AC102" s="5">
        <f>IF(SUM($F102:P102)-$E102-SUM($S102:AB102)&gt;0,MAX($AF102,SUM($F102:P102)-$E102-SUM($S102:AB102)),0)</f>
        <v>46</v>
      </c>
      <c r="AD102" s="5">
        <f>IF(SUM($F102:Q102)-$E102-SUM($S102:AC102)&gt;0,MAX($AF102,SUM($F102:Q102)-$E102-SUM($S102:AC102)),0)</f>
        <v>32.399999999999977</v>
      </c>
      <c r="AE102" s="5">
        <f t="shared" si="5"/>
        <v>477.94389190035486</v>
      </c>
      <c r="AF102" s="5">
        <v>0</v>
      </c>
      <c r="AG102" s="1"/>
    </row>
    <row r="103" spans="1:33">
      <c r="A103" s="1" t="s">
        <v>263</v>
      </c>
      <c r="B103" s="1" t="s">
        <v>264</v>
      </c>
      <c r="C103" s="1" t="s">
        <v>4</v>
      </c>
      <c r="D103" s="1" t="s">
        <v>393</v>
      </c>
      <c r="E103" s="5">
        <v>15643.115360895437</v>
      </c>
      <c r="F103" s="5">
        <v>4365</v>
      </c>
      <c r="G103" s="5">
        <v>1676.7341896440748</v>
      </c>
      <c r="H103" s="5">
        <v>17552</v>
      </c>
      <c r="I103" s="5">
        <v>7378.9785136298797</v>
      </c>
      <c r="J103" s="5">
        <v>21548.13978766141</v>
      </c>
      <c r="K103" s="5">
        <v>19172</v>
      </c>
      <c r="L103" s="5">
        <v>11699</v>
      </c>
      <c r="M103" s="5">
        <v>3142</v>
      </c>
      <c r="N103" s="5">
        <v>2809</v>
      </c>
      <c r="O103" s="5">
        <v>3240</v>
      </c>
      <c r="P103" s="5">
        <v>4745</v>
      </c>
      <c r="Q103" s="5">
        <v>15099</v>
      </c>
      <c r="R103" s="5">
        <f t="shared" si="4"/>
        <v>112426.85249093536</v>
      </c>
      <c r="S103" s="5">
        <f>IF(SUM($F103:F103)-$E103-0&gt;0,MAX($AF103,SUM($F103:F103)-$E103-0),0)</f>
        <v>0</v>
      </c>
      <c r="T103" s="5">
        <f>IF(SUM($F103:G103)-$E103-SUM($S103:S103)&gt;0,MAX($AF103,SUM($F103:G103)-$E103-SUM($S103:S103)),0)</f>
        <v>0</v>
      </c>
      <c r="U103" s="5">
        <f>IF(SUM($F103:H103)-$E103-SUM($S103:T103)&gt;0,MAX($AF103,SUM($F103:H103)-$E103-SUM($S103:T103)),0)</f>
        <v>7950.6188287486366</v>
      </c>
      <c r="V103" s="5">
        <f>IF(SUM($F103:I103)-$E103-SUM($S103:U103)&gt;0,MAX($AF103,SUM($F103:I103)-$E103-SUM($S103:U103)),0)</f>
        <v>7378.9785136298779</v>
      </c>
      <c r="W103" s="5">
        <f>IF(SUM($F103:J103)-$E103-SUM($S103:V103)&gt;0,MAX($AF103,SUM($F103:J103)-$E103-SUM($S103:V103)),0)</f>
        <v>21548.13978766141</v>
      </c>
      <c r="X103" s="5">
        <f>IF(SUM($F103:K103)-$E103-SUM($S103:W103)&gt;0,MAX($AF103,SUM($F103:K103)-$E103-SUM($S103:W103)),0)</f>
        <v>19172</v>
      </c>
      <c r="Y103" s="5">
        <f>IF(SUM($F103:L103)-$E103-SUM($S103:X103)&gt;0,MAX($AF103,SUM($F103:L103)-$E103-SUM($S103:X103)),0)</f>
        <v>11699</v>
      </c>
      <c r="Z103" s="5">
        <f>IF(SUM($F103:M103)-$E103-SUM($S103:Y103)&gt;0,MAX($AF103,SUM($F103:M103)-$E103-SUM($S103:Y103)),0)</f>
        <v>3142</v>
      </c>
      <c r="AA103" s="5">
        <f>IF(SUM($F103:N103)-$E103-SUM($S103:Z103)&gt;0,MAX($AF103,SUM($F103:N103)-$E103-SUM($S103:Z103)),0)</f>
        <v>2809</v>
      </c>
      <c r="AB103" s="5">
        <f>IF(SUM($F103:O103)-$E103-SUM($S103:AA103)&gt;0,MAX($AF103,SUM($F103:O103)-$E103-SUM($S103:AA103)),0)</f>
        <v>3240</v>
      </c>
      <c r="AC103" s="5">
        <f>IF(SUM($F103:P103)-$E103-SUM($S103:AB103)&gt;0,MAX($AF103,SUM($F103:P103)-$E103-SUM($S103:AB103)),0)</f>
        <v>4745</v>
      </c>
      <c r="AD103" s="5">
        <f>IF(SUM($F103:Q103)-$E103-SUM($S103:AC103)&gt;0,MAX($AF103,SUM($F103:Q103)-$E103-SUM($S103:AC103)),0)</f>
        <v>15099</v>
      </c>
      <c r="AE103" s="5">
        <f t="shared" si="5"/>
        <v>96783.737130039925</v>
      </c>
      <c r="AF103" s="5">
        <v>0</v>
      </c>
      <c r="AG103" s="1"/>
    </row>
    <row r="104" spans="1:33">
      <c r="A104" s="1" t="s">
        <v>265</v>
      </c>
      <c r="B104" s="1" t="s">
        <v>266</v>
      </c>
      <c r="C104" s="1" t="s">
        <v>4</v>
      </c>
      <c r="D104" s="1" t="s">
        <v>393</v>
      </c>
      <c r="E104" s="5">
        <v>18205.863315506416</v>
      </c>
      <c r="F104" s="5">
        <v>2881</v>
      </c>
      <c r="G104" s="5">
        <v>10895</v>
      </c>
      <c r="H104" s="5">
        <v>2260.1583785053235</v>
      </c>
      <c r="I104" s="5">
        <v>4789</v>
      </c>
      <c r="J104" s="5">
        <v>27147</v>
      </c>
      <c r="K104" s="5">
        <v>4662</v>
      </c>
      <c r="L104" s="5">
        <v>13701</v>
      </c>
      <c r="M104" s="5">
        <v>4121</v>
      </c>
      <c r="N104" s="5">
        <v>6287</v>
      </c>
      <c r="O104" s="5">
        <v>5153</v>
      </c>
      <c r="P104" s="5">
        <v>7458</v>
      </c>
      <c r="Q104" s="5">
        <v>8372</v>
      </c>
      <c r="R104" s="5">
        <f t="shared" ref="R104:R135" si="6">SUM(F104:Q104)</f>
        <v>97726.158378505323</v>
      </c>
      <c r="S104" s="5">
        <f>IF(SUM($F104:F104)-$E104-0&gt;0,MAX($AF104,SUM($F104:F104)-$E104-0),0)</f>
        <v>0</v>
      </c>
      <c r="T104" s="5">
        <f>IF(SUM($F104:G104)-$E104-SUM($S104:S104)&gt;0,MAX($AF104,SUM($F104:G104)-$E104-SUM($S104:S104)),0)</f>
        <v>0</v>
      </c>
      <c r="U104" s="5">
        <f>IF(SUM($F104:H104)-$E104-SUM($S104:T104)&gt;0,MAX($AF104,SUM($F104:H104)-$E104-SUM($S104:T104)),0)</f>
        <v>0</v>
      </c>
      <c r="V104" s="5">
        <f>IF(SUM($F104:I104)-$E104-SUM($S104:U104)&gt;0,MAX($AF104,SUM($F104:I104)-$E104-SUM($S104:U104)),0)</f>
        <v>2619.2950629989064</v>
      </c>
      <c r="W104" s="5">
        <f>IF(SUM($F104:J104)-$E104-SUM($S104:V104)&gt;0,MAX($AF104,SUM($F104:J104)-$E104-SUM($S104:V104)),0)</f>
        <v>27147</v>
      </c>
      <c r="X104" s="5">
        <f>IF(SUM($F104:K104)-$E104-SUM($S104:W104)&gt;0,MAX($AF104,SUM($F104:K104)-$E104-SUM($S104:W104)),0)</f>
        <v>4662</v>
      </c>
      <c r="Y104" s="5">
        <f>IF(SUM($F104:L104)-$E104-SUM($S104:X104)&gt;0,MAX($AF104,SUM($F104:L104)-$E104-SUM($S104:X104)),0)</f>
        <v>13701</v>
      </c>
      <c r="Z104" s="5">
        <f>IF(SUM($F104:M104)-$E104-SUM($S104:Y104)&gt;0,MAX($AF104,SUM($F104:M104)-$E104-SUM($S104:Y104)),0)</f>
        <v>4121</v>
      </c>
      <c r="AA104" s="5">
        <f>IF(SUM($F104:N104)-$E104-SUM($S104:Z104)&gt;0,MAX($AF104,SUM($F104:N104)-$E104-SUM($S104:Z104)),0)</f>
        <v>6287</v>
      </c>
      <c r="AB104" s="5">
        <f>IF(SUM($F104:O104)-$E104-SUM($S104:AA104)&gt;0,MAX($AF104,SUM($F104:O104)-$E104-SUM($S104:AA104)),0)</f>
        <v>5153</v>
      </c>
      <c r="AC104" s="5">
        <f>IF(SUM($F104:P104)-$E104-SUM($S104:AB104)&gt;0,MAX($AF104,SUM($F104:P104)-$E104-SUM($S104:AB104)),0)</f>
        <v>7458</v>
      </c>
      <c r="AD104" s="5">
        <f>IF(SUM($F104:Q104)-$E104-SUM($S104:AC104)&gt;0,MAX($AF104,SUM($F104:Q104)-$E104-SUM($S104:AC104)),0)</f>
        <v>8372</v>
      </c>
      <c r="AE104" s="5">
        <f t="shared" ref="AE104:AE135" si="7">SUM(S104:AD104)</f>
        <v>79520.295062998906</v>
      </c>
      <c r="AF104" s="5">
        <v>0</v>
      </c>
      <c r="AG104" s="1"/>
    </row>
    <row r="105" spans="1:33">
      <c r="A105" s="1" t="s">
        <v>267</v>
      </c>
      <c r="B105" s="1" t="s">
        <v>268</v>
      </c>
      <c r="C105" s="1" t="s">
        <v>4</v>
      </c>
      <c r="D105" s="1" t="s">
        <v>393</v>
      </c>
      <c r="E105" s="5">
        <v>0</v>
      </c>
      <c r="F105" s="5">
        <v>19</v>
      </c>
      <c r="G105" s="5">
        <v>38</v>
      </c>
      <c r="H105" s="5">
        <v>36</v>
      </c>
      <c r="I105" s="5">
        <v>26</v>
      </c>
      <c r="J105" s="5">
        <v>36</v>
      </c>
      <c r="K105" s="5">
        <v>39</v>
      </c>
      <c r="L105" s="5">
        <v>22</v>
      </c>
      <c r="M105" s="5">
        <v>49</v>
      </c>
      <c r="N105" s="5">
        <v>29</v>
      </c>
      <c r="O105" s="5">
        <v>50</v>
      </c>
      <c r="P105" s="5">
        <v>55</v>
      </c>
      <c r="Q105" s="5">
        <v>9</v>
      </c>
      <c r="R105" s="5">
        <f t="shared" si="6"/>
        <v>408</v>
      </c>
      <c r="S105" s="5">
        <f>IF(SUM($F105:F105)-$E105-0&gt;0,MAX($AF105,SUM($F105:F105)-$E105-0),0)</f>
        <v>19</v>
      </c>
      <c r="T105" s="5">
        <f>IF(SUM($F105:G105)-$E105-SUM($S105:S105)&gt;0,MAX($AF105,SUM($F105:G105)-$E105-SUM($S105:S105)),0)</f>
        <v>38</v>
      </c>
      <c r="U105" s="5">
        <f>IF(SUM($F105:H105)-$E105-SUM($S105:T105)&gt;0,MAX($AF105,SUM($F105:H105)-$E105-SUM($S105:T105)),0)</f>
        <v>36</v>
      </c>
      <c r="V105" s="5">
        <f>IF(SUM($F105:I105)-$E105-SUM($S105:U105)&gt;0,MAX($AF105,SUM($F105:I105)-$E105-SUM($S105:U105)),0)</f>
        <v>26</v>
      </c>
      <c r="W105" s="5">
        <f>IF(SUM($F105:J105)-$E105-SUM($S105:V105)&gt;0,MAX($AF105,SUM($F105:J105)-$E105-SUM($S105:V105)),0)</f>
        <v>36</v>
      </c>
      <c r="X105" s="5">
        <f>IF(SUM($F105:K105)-$E105-SUM($S105:W105)&gt;0,MAX($AF105,SUM($F105:K105)-$E105-SUM($S105:W105)),0)</f>
        <v>39</v>
      </c>
      <c r="Y105" s="5">
        <f>IF(SUM($F105:L105)-$E105-SUM($S105:X105)&gt;0,MAX($AF105,SUM($F105:L105)-$E105-SUM($S105:X105)),0)</f>
        <v>22</v>
      </c>
      <c r="Z105" s="5">
        <f>IF(SUM($F105:M105)-$E105-SUM($S105:Y105)&gt;0,MAX($AF105,SUM($F105:M105)-$E105-SUM($S105:Y105)),0)</f>
        <v>49</v>
      </c>
      <c r="AA105" s="5">
        <f>IF(SUM($F105:N105)-$E105-SUM($S105:Z105)&gt;0,MAX($AF105,SUM($F105:N105)-$E105-SUM($S105:Z105)),0)</f>
        <v>29</v>
      </c>
      <c r="AB105" s="5">
        <f>IF(SUM($F105:O105)-$E105-SUM($S105:AA105)&gt;0,MAX($AF105,SUM($F105:O105)-$E105-SUM($S105:AA105)),0)</f>
        <v>50</v>
      </c>
      <c r="AC105" s="5">
        <f>IF(SUM($F105:P105)-$E105-SUM($S105:AB105)&gt;0,MAX($AF105,SUM($F105:P105)-$E105-SUM($S105:AB105)),0)</f>
        <v>55</v>
      </c>
      <c r="AD105" s="5">
        <f>IF(SUM($F105:Q105)-$E105-SUM($S105:AC105)&gt;0,MAX($AF105,SUM($F105:Q105)-$E105-SUM($S105:AC105)),0)</f>
        <v>9</v>
      </c>
      <c r="AE105" s="5">
        <f t="shared" si="7"/>
        <v>408</v>
      </c>
      <c r="AF105" s="5">
        <v>0</v>
      </c>
      <c r="AG105" s="1"/>
    </row>
    <row r="106" spans="1:33">
      <c r="A106" s="1" t="s">
        <v>269</v>
      </c>
      <c r="B106" s="1" t="s">
        <v>270</v>
      </c>
      <c r="C106" s="1" t="s">
        <v>4</v>
      </c>
      <c r="D106" s="1" t="s">
        <v>393</v>
      </c>
      <c r="E106" s="5">
        <v>0</v>
      </c>
      <c r="F106" s="5">
        <v>0</v>
      </c>
      <c r="G106" s="5">
        <v>37</v>
      </c>
      <c r="H106" s="5">
        <v>27</v>
      </c>
      <c r="I106" s="5">
        <v>23</v>
      </c>
      <c r="J106" s="5">
        <v>8</v>
      </c>
      <c r="K106" s="5">
        <v>6</v>
      </c>
      <c r="L106" s="5">
        <v>2</v>
      </c>
      <c r="M106" s="5">
        <v>0</v>
      </c>
      <c r="N106" s="5">
        <v>2</v>
      </c>
      <c r="O106" s="5">
        <v>8</v>
      </c>
      <c r="P106" s="5">
        <v>6</v>
      </c>
      <c r="Q106" s="5">
        <v>8</v>
      </c>
      <c r="R106" s="5">
        <f t="shared" si="6"/>
        <v>127</v>
      </c>
      <c r="S106" s="5">
        <f>IF(SUM($F106:F106)-$E106-0&gt;0,MAX($AF106,SUM($F106:F106)-$E106-0),0)</f>
        <v>0</v>
      </c>
      <c r="T106" s="5">
        <f>IF(SUM($F106:G106)-$E106-SUM($S106:S106)&gt;0,MAX($AF106,SUM($F106:G106)-$E106-SUM($S106:S106)),0)</f>
        <v>37</v>
      </c>
      <c r="U106" s="5">
        <f>IF(SUM($F106:H106)-$E106-SUM($S106:T106)&gt;0,MAX($AF106,SUM($F106:H106)-$E106-SUM($S106:T106)),0)</f>
        <v>27</v>
      </c>
      <c r="V106" s="5">
        <f>IF(SUM($F106:I106)-$E106-SUM($S106:U106)&gt;0,MAX($AF106,SUM($F106:I106)-$E106-SUM($S106:U106)),0)</f>
        <v>23</v>
      </c>
      <c r="W106" s="5">
        <f>IF(SUM($F106:J106)-$E106-SUM($S106:V106)&gt;0,MAX($AF106,SUM($F106:J106)-$E106-SUM($S106:V106)),0)</f>
        <v>8</v>
      </c>
      <c r="X106" s="5">
        <f>IF(SUM($F106:K106)-$E106-SUM($S106:W106)&gt;0,MAX($AF106,SUM($F106:K106)-$E106-SUM($S106:W106)),0)</f>
        <v>6</v>
      </c>
      <c r="Y106" s="5">
        <f>IF(SUM($F106:L106)-$E106-SUM($S106:X106)&gt;0,MAX($AF106,SUM($F106:L106)-$E106-SUM($S106:X106)),0)</f>
        <v>2</v>
      </c>
      <c r="Z106" s="5">
        <f>IF(SUM($F106:M106)-$E106-SUM($S106:Y106)&gt;0,MAX($AF106,SUM($F106:M106)-$E106-SUM($S106:Y106)),0)</f>
        <v>0</v>
      </c>
      <c r="AA106" s="5">
        <f>IF(SUM($F106:N106)-$E106-SUM($S106:Z106)&gt;0,MAX($AF106,SUM($F106:N106)-$E106-SUM($S106:Z106)),0)</f>
        <v>2</v>
      </c>
      <c r="AB106" s="5">
        <f>IF(SUM($F106:O106)-$E106-SUM($S106:AA106)&gt;0,MAX($AF106,SUM($F106:O106)-$E106-SUM($S106:AA106)),0)</f>
        <v>8</v>
      </c>
      <c r="AC106" s="5">
        <f>IF(SUM($F106:P106)-$E106-SUM($S106:AB106)&gt;0,MAX($AF106,SUM($F106:P106)-$E106-SUM($S106:AB106)),0)</f>
        <v>6</v>
      </c>
      <c r="AD106" s="5">
        <f>IF(SUM($F106:Q106)-$E106-SUM($S106:AC106)&gt;0,MAX($AF106,SUM($F106:Q106)-$E106-SUM($S106:AC106)),0)</f>
        <v>8</v>
      </c>
      <c r="AE106" s="5">
        <f t="shared" si="7"/>
        <v>127</v>
      </c>
      <c r="AF106" s="5">
        <v>0</v>
      </c>
      <c r="AG106" s="1"/>
    </row>
    <row r="107" spans="1:33">
      <c r="A107" s="1" t="s">
        <v>271</v>
      </c>
      <c r="B107" s="1" t="s">
        <v>272</v>
      </c>
      <c r="C107" s="1" t="s">
        <v>4</v>
      </c>
      <c r="D107" s="1" t="s">
        <v>393</v>
      </c>
      <c r="E107" s="5">
        <v>0</v>
      </c>
      <c r="F107" s="5">
        <v>0</v>
      </c>
      <c r="G107" s="5">
        <v>36.92307692307692</v>
      </c>
      <c r="H107" s="5">
        <v>18.46153846153846</v>
      </c>
      <c r="I107" s="5">
        <v>18.46153846153846</v>
      </c>
      <c r="J107" s="5">
        <v>18.46153846153846</v>
      </c>
      <c r="K107" s="5">
        <v>0</v>
      </c>
      <c r="L107" s="5">
        <v>0</v>
      </c>
      <c r="M107" s="5">
        <v>18.46153846153846</v>
      </c>
      <c r="N107" s="5">
        <v>0</v>
      </c>
      <c r="O107" s="5">
        <v>0</v>
      </c>
      <c r="P107" s="5">
        <v>16.153846153846153</v>
      </c>
      <c r="Q107" s="5">
        <v>0</v>
      </c>
      <c r="R107" s="5">
        <f t="shared" si="6"/>
        <v>126.92307692307691</v>
      </c>
      <c r="S107" s="5">
        <f>IF(SUM($F107:F107)-$E107-0&gt;0,MAX($AF107,SUM($F107:F107)-$E107-0),0)</f>
        <v>0</v>
      </c>
      <c r="T107" s="5">
        <f>IF(SUM($F107:G107)-$E107-SUM($S107:S107)&gt;0,MAX($AF107,SUM($F107:G107)-$E107-SUM($S107:S107)),0)</f>
        <v>36.92307692307692</v>
      </c>
      <c r="U107" s="5">
        <f>IF(SUM($F107:H107)-$E107-SUM($S107:T107)&gt;0,MAX($AF107,SUM($F107:H107)-$E107-SUM($S107:T107)),0)</f>
        <v>18.46153846153846</v>
      </c>
      <c r="V107" s="5">
        <f>IF(SUM($F107:I107)-$E107-SUM($S107:U107)&gt;0,MAX($AF107,SUM($F107:I107)-$E107-SUM($S107:U107)),0)</f>
        <v>18.46153846153846</v>
      </c>
      <c r="W107" s="5">
        <f>IF(SUM($F107:J107)-$E107-SUM($S107:V107)&gt;0,MAX($AF107,SUM($F107:J107)-$E107-SUM($S107:V107)),0)</f>
        <v>18.461538461538453</v>
      </c>
      <c r="X107" s="5">
        <f>IF(SUM($F107:K107)-$E107-SUM($S107:W107)&gt;0,MAX($AF107,SUM($F107:K107)-$E107-SUM($S107:W107)),0)</f>
        <v>0</v>
      </c>
      <c r="Y107" s="5">
        <f>IF(SUM($F107:L107)-$E107-SUM($S107:X107)&gt;0,MAX($AF107,SUM($F107:L107)-$E107-SUM($S107:X107)),0)</f>
        <v>0</v>
      </c>
      <c r="Z107" s="5">
        <f>IF(SUM($F107:M107)-$E107-SUM($S107:Y107)&gt;0,MAX($AF107,SUM($F107:M107)-$E107-SUM($S107:Y107)),0)</f>
        <v>18.461538461538453</v>
      </c>
      <c r="AA107" s="5">
        <f>IF(SUM($F107:N107)-$E107-SUM($S107:Z107)&gt;0,MAX($AF107,SUM($F107:N107)-$E107-SUM($S107:Z107)),0)</f>
        <v>0</v>
      </c>
      <c r="AB107" s="5">
        <f>IF(SUM($F107:O107)-$E107-SUM($S107:AA107)&gt;0,MAX($AF107,SUM($F107:O107)-$E107-SUM($S107:AA107)),0)</f>
        <v>0</v>
      </c>
      <c r="AC107" s="5">
        <f>IF(SUM($F107:P107)-$E107-SUM($S107:AB107)&gt;0,MAX($AF107,SUM($F107:P107)-$E107-SUM($S107:AB107)),0)</f>
        <v>16.15384615384616</v>
      </c>
      <c r="AD107" s="5">
        <f>IF(SUM($F107:Q107)-$E107-SUM($S107:AC107)&gt;0,MAX($AF107,SUM($F107:Q107)-$E107-SUM($S107:AC107)),0)</f>
        <v>0</v>
      </c>
      <c r="AE107" s="5">
        <f t="shared" si="7"/>
        <v>126.92307692307691</v>
      </c>
      <c r="AF107" s="5">
        <v>0</v>
      </c>
      <c r="AG107" s="1"/>
    </row>
    <row r="108" spans="1:33">
      <c r="A108" s="1" t="s">
        <v>273</v>
      </c>
      <c r="B108" s="1" t="s">
        <v>274</v>
      </c>
      <c r="C108" s="1" t="s">
        <v>4</v>
      </c>
      <c r="D108" s="1" t="s">
        <v>393</v>
      </c>
      <c r="E108" s="5">
        <v>987.26339779929913</v>
      </c>
      <c r="F108" s="5">
        <v>1189.2930971740375</v>
      </c>
      <c r="G108" s="5">
        <v>5987.8125</v>
      </c>
      <c r="H108" s="5">
        <v>1833.9245971740377</v>
      </c>
      <c r="I108" s="5">
        <v>170.63233333333335</v>
      </c>
      <c r="J108" s="5">
        <v>4383.1549999999997</v>
      </c>
      <c r="K108" s="5">
        <v>3338.7183333333332</v>
      </c>
      <c r="L108" s="5">
        <v>1557.2801666666664</v>
      </c>
      <c r="M108" s="5">
        <v>1965.798</v>
      </c>
      <c r="N108" s="5">
        <v>203.25</v>
      </c>
      <c r="O108" s="5">
        <v>1134.8333333333333</v>
      </c>
      <c r="P108" s="5">
        <v>4214.979166666667</v>
      </c>
      <c r="Q108" s="5">
        <v>3218.291666666667</v>
      </c>
      <c r="R108" s="5">
        <f t="shared" si="6"/>
        <v>29197.968194348075</v>
      </c>
      <c r="S108" s="5">
        <f>IF(SUM($F108:F108)-$E108-0&gt;0,MAX($AF108,SUM($F108:F108)-$E108-0),0)</f>
        <v>202.02969937473836</v>
      </c>
      <c r="T108" s="5">
        <f>IF(SUM($F108:G108)-$E108-SUM($S108:S108)&gt;0,MAX($AF108,SUM($F108:G108)-$E108-SUM($S108:S108)),0)</f>
        <v>5987.8125</v>
      </c>
      <c r="U108" s="5">
        <f>IF(SUM($F108:H108)-$E108-SUM($S108:T108)&gt;0,MAX($AF108,SUM($F108:H108)-$E108-SUM($S108:T108)),0)</f>
        <v>1833.9245971740384</v>
      </c>
      <c r="V108" s="5">
        <f>IF(SUM($F108:I108)-$E108-SUM($S108:U108)&gt;0,MAX($AF108,SUM($F108:I108)-$E108-SUM($S108:U108)),0)</f>
        <v>170.63233333333301</v>
      </c>
      <c r="W108" s="5">
        <f>IF(SUM($F108:J108)-$E108-SUM($S108:V108)&gt;0,MAX($AF108,SUM($F108:J108)-$E108-SUM($S108:V108)),0)</f>
        <v>4383.1549999999988</v>
      </c>
      <c r="X108" s="5">
        <f>IF(SUM($F108:K108)-$E108-SUM($S108:W108)&gt;0,MAX($AF108,SUM($F108:K108)-$E108-SUM($S108:W108)),0)</f>
        <v>3338.7183333333342</v>
      </c>
      <c r="Y108" s="5">
        <f>IF(SUM($F108:L108)-$E108-SUM($S108:X108)&gt;0,MAX($AF108,SUM($F108:L108)-$E108-SUM($S108:X108)),0)</f>
        <v>1557.2801666666674</v>
      </c>
      <c r="Z108" s="5">
        <f>IF(SUM($F108:M108)-$E108-SUM($S108:Y108)&gt;0,MAX($AF108,SUM($F108:M108)-$E108-SUM($S108:Y108)),0)</f>
        <v>1965.7979999999989</v>
      </c>
      <c r="AA108" s="5">
        <f>IF(SUM($F108:N108)-$E108-SUM($S108:Z108)&gt;0,MAX($AF108,SUM($F108:N108)-$E108-SUM($S108:Z108)),0)</f>
        <v>203.25</v>
      </c>
      <c r="AB108" s="5">
        <f>IF(SUM($F108:O108)-$E108-SUM($S108:AA108)&gt;0,MAX($AF108,SUM($F108:O108)-$E108-SUM($S108:AA108)),0)</f>
        <v>1134.8333333333321</v>
      </c>
      <c r="AC108" s="5">
        <f>IF(SUM($F108:P108)-$E108-SUM($S108:AB108)&gt;0,MAX($AF108,SUM($F108:P108)-$E108-SUM($S108:AB108)),0)</f>
        <v>4214.9791666666679</v>
      </c>
      <c r="AD108" s="5">
        <f>IF(SUM($F108:Q108)-$E108-SUM($S108:AC108)&gt;0,MAX($AF108,SUM($F108:Q108)-$E108-SUM($S108:AC108)),0)</f>
        <v>3218.2916666666679</v>
      </c>
      <c r="AE108" s="5">
        <f t="shared" si="7"/>
        <v>28210.704796548776</v>
      </c>
      <c r="AF108" s="5">
        <v>0</v>
      </c>
      <c r="AG108" s="1"/>
    </row>
    <row r="109" spans="1:33">
      <c r="A109" s="1" t="s">
        <v>275</v>
      </c>
      <c r="B109" s="1" t="s">
        <v>276</v>
      </c>
      <c r="C109" s="1" t="s">
        <v>4</v>
      </c>
      <c r="D109" s="1" t="s">
        <v>393</v>
      </c>
      <c r="E109" s="5">
        <v>2761.8700481537685</v>
      </c>
      <c r="F109" s="5">
        <v>5777.9767993217993</v>
      </c>
      <c r="G109" s="5">
        <v>6523.16610439551</v>
      </c>
      <c r="H109" s="5">
        <v>3000.6224479196699</v>
      </c>
      <c r="I109" s="5">
        <v>3764.1889034824599</v>
      </c>
      <c r="J109" s="5">
        <v>4357.4865791835246</v>
      </c>
      <c r="K109" s="5">
        <v>9652.3000000000011</v>
      </c>
      <c r="L109" s="5">
        <v>3722.65</v>
      </c>
      <c r="M109" s="5">
        <v>3561.2</v>
      </c>
      <c r="N109" s="5">
        <v>1258.4000000000001</v>
      </c>
      <c r="O109" s="5">
        <v>1838.2</v>
      </c>
      <c r="P109" s="5">
        <v>3545.55</v>
      </c>
      <c r="Q109" s="5">
        <v>3134.7499999999995</v>
      </c>
      <c r="R109" s="5">
        <f t="shared" si="6"/>
        <v>50136.490834302967</v>
      </c>
      <c r="S109" s="5">
        <f>IF(SUM($F109:F109)-$E109-0&gt;0,MAX($AF109,SUM($F109:F109)-$E109-0),0)</f>
        <v>3016.1067511680308</v>
      </c>
      <c r="T109" s="5">
        <f>IF(SUM($F109:G109)-$E109-SUM($S109:S109)&gt;0,MAX($AF109,SUM($F109:G109)-$E109-SUM($S109:S109)),0)</f>
        <v>6523.16610439551</v>
      </c>
      <c r="U109" s="5">
        <f>IF(SUM($F109:H109)-$E109-SUM($S109:T109)&gt;0,MAX($AF109,SUM($F109:H109)-$E109-SUM($S109:T109)),0)</f>
        <v>3000.6224479196699</v>
      </c>
      <c r="V109" s="5">
        <f>IF(SUM($F109:I109)-$E109-SUM($S109:U109)&gt;0,MAX($AF109,SUM($F109:I109)-$E109-SUM($S109:U109)),0)</f>
        <v>3764.1889034824599</v>
      </c>
      <c r="W109" s="5">
        <f>IF(SUM($F109:J109)-$E109-SUM($S109:V109)&gt;0,MAX($AF109,SUM($F109:J109)-$E109-SUM($S109:V109)),0)</f>
        <v>4357.4865791835273</v>
      </c>
      <c r="X109" s="5">
        <f>IF(SUM($F109:K109)-$E109-SUM($S109:W109)&gt;0,MAX($AF109,SUM($F109:K109)-$E109-SUM($S109:W109)),0)</f>
        <v>9652.3000000000029</v>
      </c>
      <c r="Y109" s="5">
        <f>IF(SUM($F109:L109)-$E109-SUM($S109:X109)&gt;0,MAX($AF109,SUM($F109:L109)-$E109-SUM($S109:X109)),0)</f>
        <v>3722.6500000000015</v>
      </c>
      <c r="Z109" s="5">
        <f>IF(SUM($F109:M109)-$E109-SUM($S109:Y109)&gt;0,MAX($AF109,SUM($F109:M109)-$E109-SUM($S109:Y109)),0)</f>
        <v>3561.1999999999971</v>
      </c>
      <c r="AA109" s="5">
        <f>IF(SUM($F109:N109)-$E109-SUM($S109:Z109)&gt;0,MAX($AF109,SUM($F109:N109)-$E109-SUM($S109:Z109)),0)</f>
        <v>1258.4000000000015</v>
      </c>
      <c r="AB109" s="5">
        <f>IF(SUM($F109:O109)-$E109-SUM($S109:AA109)&gt;0,MAX($AF109,SUM($F109:O109)-$E109-SUM($S109:AA109)),0)</f>
        <v>1838.1999999999971</v>
      </c>
      <c r="AC109" s="5">
        <f>IF(SUM($F109:P109)-$E109-SUM($S109:AB109)&gt;0,MAX($AF109,SUM($F109:P109)-$E109-SUM($S109:AB109)),0)</f>
        <v>3545.5500000000029</v>
      </c>
      <c r="AD109" s="5">
        <f>IF(SUM($F109:Q109)-$E109-SUM($S109:AC109)&gt;0,MAX($AF109,SUM($F109:Q109)-$E109-SUM($S109:AC109)),0)</f>
        <v>3134.75</v>
      </c>
      <c r="AE109" s="5">
        <f t="shared" si="7"/>
        <v>47374.6207861492</v>
      </c>
      <c r="AF109" s="5">
        <v>0</v>
      </c>
      <c r="AG109" s="1"/>
    </row>
    <row r="110" spans="1:33">
      <c r="A110" s="1" t="s">
        <v>277</v>
      </c>
      <c r="B110" s="1" t="s">
        <v>278</v>
      </c>
      <c r="C110" s="1" t="s">
        <v>4</v>
      </c>
      <c r="D110" s="1" t="s">
        <v>393</v>
      </c>
      <c r="E110" s="5">
        <v>5368.8797405295345</v>
      </c>
      <c r="F110" s="5">
        <v>1685.674850943215</v>
      </c>
      <c r="G110" s="5">
        <v>2152.6327477303707</v>
      </c>
      <c r="H110" s="5">
        <v>3128.2082913226527</v>
      </c>
      <c r="I110" s="5">
        <v>1838.4535764567052</v>
      </c>
      <c r="J110" s="5">
        <v>5062.3221337179011</v>
      </c>
      <c r="K110" s="5">
        <v>5009.5600093434332</v>
      </c>
      <c r="L110" s="5">
        <v>3009.4323601515139</v>
      </c>
      <c r="M110" s="5">
        <v>1410.3826897474753</v>
      </c>
      <c r="N110" s="5">
        <v>881.01470303030305</v>
      </c>
      <c r="O110" s="5">
        <v>1005.7704848484849</v>
      </c>
      <c r="P110" s="5">
        <v>1772.6797371212115</v>
      </c>
      <c r="Q110" s="5">
        <v>3509.6986237373735</v>
      </c>
      <c r="R110" s="5">
        <f t="shared" si="6"/>
        <v>30465.830208150641</v>
      </c>
      <c r="S110" s="5">
        <f>IF(SUM($F110:F110)-$E110-0&gt;0,MAX($AF110,SUM($F110:F110)-$E110-0),0)</f>
        <v>0</v>
      </c>
      <c r="T110" s="5">
        <f>IF(SUM($F110:G110)-$E110-SUM($S110:S110)&gt;0,MAX($AF110,SUM($F110:G110)-$E110-SUM($S110:S110)),0)</f>
        <v>0</v>
      </c>
      <c r="U110" s="5">
        <f>IF(SUM($F110:H110)-$E110-SUM($S110:T110)&gt;0,MAX($AF110,SUM($F110:H110)-$E110-SUM($S110:T110)),0)</f>
        <v>1597.6361494667044</v>
      </c>
      <c r="V110" s="5">
        <f>IF(SUM($F110:I110)-$E110-SUM($S110:U110)&gt;0,MAX($AF110,SUM($F110:I110)-$E110-SUM($S110:U110)),0)</f>
        <v>1838.4535764567045</v>
      </c>
      <c r="W110" s="5">
        <f>IF(SUM($F110:J110)-$E110-SUM($S110:V110)&gt;0,MAX($AF110,SUM($F110:J110)-$E110-SUM($S110:V110)),0)</f>
        <v>5062.3221337179011</v>
      </c>
      <c r="X110" s="5">
        <f>IF(SUM($F110:K110)-$E110-SUM($S110:W110)&gt;0,MAX($AF110,SUM($F110:K110)-$E110-SUM($S110:W110)),0)</f>
        <v>5009.5600093434332</v>
      </c>
      <c r="Y110" s="5">
        <f>IF(SUM($F110:L110)-$E110-SUM($S110:X110)&gt;0,MAX($AF110,SUM($F110:L110)-$E110-SUM($S110:X110)),0)</f>
        <v>3009.4323601515134</v>
      </c>
      <c r="Z110" s="5">
        <f>IF(SUM($F110:M110)-$E110-SUM($S110:Y110)&gt;0,MAX($AF110,SUM($F110:M110)-$E110-SUM($S110:Y110)),0)</f>
        <v>1410.3826897474755</v>
      </c>
      <c r="AA110" s="5">
        <f>IF(SUM($F110:N110)-$E110-SUM($S110:Z110)&gt;0,MAX($AF110,SUM($F110:N110)-$E110-SUM($S110:Z110)),0)</f>
        <v>881.01470303030146</v>
      </c>
      <c r="AB110" s="5">
        <f>IF(SUM($F110:O110)-$E110-SUM($S110:AA110)&gt;0,MAX($AF110,SUM($F110:O110)-$E110-SUM($S110:AA110)),0)</f>
        <v>1005.7704848484864</v>
      </c>
      <c r="AC110" s="5">
        <f>IF(SUM($F110:P110)-$E110-SUM($S110:AB110)&gt;0,MAX($AF110,SUM($F110:P110)-$E110-SUM($S110:AB110)),0)</f>
        <v>1772.6797371212124</v>
      </c>
      <c r="AD110" s="5">
        <f>IF(SUM($F110:Q110)-$E110-SUM($S110:AC110)&gt;0,MAX($AF110,SUM($F110:Q110)-$E110-SUM($S110:AC110)),0)</f>
        <v>3509.6986237373749</v>
      </c>
      <c r="AE110" s="5">
        <f t="shared" si="7"/>
        <v>25096.950467621107</v>
      </c>
      <c r="AF110" s="5">
        <v>0</v>
      </c>
      <c r="AG110" s="1"/>
    </row>
    <row r="111" spans="1:33">
      <c r="A111" s="1" t="s">
        <v>279</v>
      </c>
      <c r="B111" s="1" t="s">
        <v>280</v>
      </c>
      <c r="C111" s="1" t="s">
        <v>4</v>
      </c>
      <c r="D111" s="1" t="s">
        <v>393</v>
      </c>
      <c r="E111" s="5">
        <v>0</v>
      </c>
      <c r="F111" s="5">
        <v>800.88579272368952</v>
      </c>
      <c r="G111" s="5">
        <v>804.23880946753752</v>
      </c>
      <c r="H111" s="5">
        <v>1992.1608953009036</v>
      </c>
      <c r="I111" s="5">
        <v>1945.7514583333332</v>
      </c>
      <c r="J111" s="5">
        <v>1231.1075000000001</v>
      </c>
      <c r="K111" s="5">
        <v>1604.8924999999999</v>
      </c>
      <c r="L111" s="5">
        <v>1237.2497916666666</v>
      </c>
      <c r="M111" s="5">
        <v>489.54593750000004</v>
      </c>
      <c r="N111" s="5">
        <v>426.4921875</v>
      </c>
      <c r="O111" s="5">
        <v>879.14374999999995</v>
      </c>
      <c r="P111" s="5">
        <v>944.13031249999995</v>
      </c>
      <c r="Q111" s="5">
        <v>952.95156250000002</v>
      </c>
      <c r="R111" s="5">
        <f t="shared" si="6"/>
        <v>13308.550497492131</v>
      </c>
      <c r="S111" s="5">
        <f>IF(SUM($F111:F111)-$E111-0&gt;0,MAX($AF111,SUM($F111:F111)-$E111-0),0)</f>
        <v>800.88579272368952</v>
      </c>
      <c r="T111" s="5">
        <f>IF(SUM($F111:G111)-$E111-SUM($S111:S111)&gt;0,MAX($AF111,SUM($F111:G111)-$E111-SUM($S111:S111)),0)</f>
        <v>804.23880946753752</v>
      </c>
      <c r="U111" s="5">
        <f>IF(SUM($F111:H111)-$E111-SUM($S111:T111)&gt;0,MAX($AF111,SUM($F111:H111)-$E111-SUM($S111:T111)),0)</f>
        <v>1992.1608953009036</v>
      </c>
      <c r="V111" s="5">
        <f>IF(SUM($F111:I111)-$E111-SUM($S111:U111)&gt;0,MAX($AF111,SUM($F111:I111)-$E111-SUM($S111:U111)),0)</f>
        <v>1945.7514583333336</v>
      </c>
      <c r="W111" s="5">
        <f>IF(SUM($F111:J111)-$E111-SUM($S111:V111)&gt;0,MAX($AF111,SUM($F111:J111)-$E111-SUM($S111:V111)),0)</f>
        <v>1231.1075000000001</v>
      </c>
      <c r="X111" s="5">
        <f>IF(SUM($F111:K111)-$E111-SUM($S111:W111)&gt;0,MAX($AF111,SUM($F111:K111)-$E111-SUM($S111:W111)),0)</f>
        <v>1604.8924999999999</v>
      </c>
      <c r="Y111" s="5">
        <f>IF(SUM($F111:L111)-$E111-SUM($S111:X111)&gt;0,MAX($AF111,SUM($F111:L111)-$E111-SUM($S111:X111)),0)</f>
        <v>1237.2497916666671</v>
      </c>
      <c r="Z111" s="5">
        <f>IF(SUM($F111:M111)-$E111-SUM($S111:Y111)&gt;0,MAX($AF111,SUM($F111:M111)-$E111-SUM($S111:Y111)),0)</f>
        <v>489.54593750000095</v>
      </c>
      <c r="AA111" s="5">
        <f>IF(SUM($F111:N111)-$E111-SUM($S111:Z111)&gt;0,MAX($AF111,SUM($F111:N111)-$E111-SUM($S111:Z111)),0)</f>
        <v>426.4921875</v>
      </c>
      <c r="AB111" s="5">
        <f>IF(SUM($F111:O111)-$E111-SUM($S111:AA111)&gt;0,MAX($AF111,SUM($F111:O111)-$E111-SUM($S111:AA111)),0)</f>
        <v>879.14374999999927</v>
      </c>
      <c r="AC111" s="5">
        <f>IF(SUM($F111:P111)-$E111-SUM($S111:AB111)&gt;0,MAX($AF111,SUM($F111:P111)-$E111-SUM($S111:AB111)),0)</f>
        <v>944.13031249999949</v>
      </c>
      <c r="AD111" s="5">
        <f>IF(SUM($F111:Q111)-$E111-SUM($S111:AC111)&gt;0,MAX($AF111,SUM($F111:Q111)-$E111-SUM($S111:AC111)),0)</f>
        <v>952.95156250000036</v>
      </c>
      <c r="AE111" s="5">
        <f t="shared" si="7"/>
        <v>13308.550497492131</v>
      </c>
      <c r="AF111" s="5">
        <v>0</v>
      </c>
      <c r="AG111" s="1"/>
    </row>
    <row r="112" spans="1:33">
      <c r="A112" s="1" t="s">
        <v>281</v>
      </c>
      <c r="B112" s="1" t="s">
        <v>282</v>
      </c>
      <c r="C112" s="1" t="s">
        <v>4</v>
      </c>
      <c r="D112" s="1" t="s">
        <v>393</v>
      </c>
      <c r="E112" s="5">
        <v>3443.9840521710339</v>
      </c>
      <c r="F112" s="5">
        <v>2109.5</v>
      </c>
      <c r="G112" s="5">
        <v>3779.2341896440748</v>
      </c>
      <c r="H112" s="5">
        <v>18103.25</v>
      </c>
      <c r="I112" s="5">
        <v>8098.7285136298797</v>
      </c>
      <c r="J112" s="5">
        <v>20521.75</v>
      </c>
      <c r="K112" s="5">
        <v>17551.75</v>
      </c>
      <c r="L112" s="5">
        <v>13676.5</v>
      </c>
      <c r="M112" s="5">
        <v>2344.5</v>
      </c>
      <c r="N112" s="5">
        <v>990</v>
      </c>
      <c r="O112" s="5">
        <v>3190.75</v>
      </c>
      <c r="P112" s="5">
        <v>4092</v>
      </c>
      <c r="Q112" s="5">
        <v>2034</v>
      </c>
      <c r="R112" s="5">
        <f t="shared" si="6"/>
        <v>96491.962703273952</v>
      </c>
      <c r="S112" s="5">
        <f>IF(SUM($F112:F112)-$E112-0&gt;0,MAX($AF112,SUM($F112:F112)-$E112-0),0)</f>
        <v>0</v>
      </c>
      <c r="T112" s="5">
        <f>IF(SUM($F112:G112)-$E112-SUM($S112:S112)&gt;0,MAX($AF112,SUM($F112:G112)-$E112-SUM($S112:S112)),0)</f>
        <v>2444.7501374730409</v>
      </c>
      <c r="U112" s="5">
        <f>IF(SUM($F112:H112)-$E112-SUM($S112:T112)&gt;0,MAX($AF112,SUM($F112:H112)-$E112-SUM($S112:T112)),0)</f>
        <v>18103.25</v>
      </c>
      <c r="V112" s="5">
        <f>IF(SUM($F112:I112)-$E112-SUM($S112:U112)&gt;0,MAX($AF112,SUM($F112:I112)-$E112-SUM($S112:U112)),0)</f>
        <v>8098.7285136298742</v>
      </c>
      <c r="W112" s="5">
        <f>IF(SUM($F112:J112)-$E112-SUM($S112:V112)&gt;0,MAX($AF112,SUM($F112:J112)-$E112-SUM($S112:V112)),0)</f>
        <v>20521.75</v>
      </c>
      <c r="X112" s="5">
        <f>IF(SUM($F112:K112)-$E112-SUM($S112:W112)&gt;0,MAX($AF112,SUM($F112:K112)-$E112-SUM($S112:W112)),0)</f>
        <v>17551.750000000007</v>
      </c>
      <c r="Y112" s="5">
        <f>IF(SUM($F112:L112)-$E112-SUM($S112:X112)&gt;0,MAX($AF112,SUM($F112:L112)-$E112-SUM($S112:X112)),0)</f>
        <v>13676.5</v>
      </c>
      <c r="Z112" s="5">
        <f>IF(SUM($F112:M112)-$E112-SUM($S112:Y112)&gt;0,MAX($AF112,SUM($F112:M112)-$E112-SUM($S112:Y112)),0)</f>
        <v>2344.5</v>
      </c>
      <c r="AA112" s="5">
        <f>IF(SUM($F112:N112)-$E112-SUM($S112:Z112)&gt;0,MAX($AF112,SUM($F112:N112)-$E112-SUM($S112:Z112)),0)</f>
        <v>990</v>
      </c>
      <c r="AB112" s="5">
        <f>IF(SUM($F112:O112)-$E112-SUM($S112:AA112)&gt;0,MAX($AF112,SUM($F112:O112)-$E112-SUM($S112:AA112)),0)</f>
        <v>3190.75</v>
      </c>
      <c r="AC112" s="5">
        <f>IF(SUM($F112:P112)-$E112-SUM($S112:AB112)&gt;0,MAX($AF112,SUM($F112:P112)-$E112-SUM($S112:AB112)),0)</f>
        <v>4092</v>
      </c>
      <c r="AD112" s="5">
        <f>IF(SUM($F112:Q112)-$E112-SUM($S112:AC112)&gt;0,MAX($AF112,SUM($F112:Q112)-$E112-SUM($S112:AC112)),0)</f>
        <v>2034</v>
      </c>
      <c r="AE112" s="5">
        <f t="shared" si="7"/>
        <v>93047.978651102923</v>
      </c>
      <c r="AF112" s="5">
        <v>0</v>
      </c>
      <c r="AG112" s="1"/>
    </row>
    <row r="113" spans="1:33">
      <c r="A113" s="1" t="s">
        <v>283</v>
      </c>
      <c r="B113" s="1" t="s">
        <v>284</v>
      </c>
      <c r="C113" s="1" t="s">
        <v>4</v>
      </c>
      <c r="D113" s="1" t="s">
        <v>393</v>
      </c>
      <c r="E113" s="5">
        <v>6265.0212338588608</v>
      </c>
      <c r="F113" s="5">
        <v>2513</v>
      </c>
      <c r="G113" s="5">
        <v>0</v>
      </c>
      <c r="H113" s="5">
        <v>0</v>
      </c>
      <c r="I113" s="5">
        <v>0</v>
      </c>
      <c r="J113" s="5">
        <v>2512</v>
      </c>
      <c r="K113" s="5">
        <v>440</v>
      </c>
      <c r="L113" s="5">
        <v>120</v>
      </c>
      <c r="M113" s="5">
        <v>1320</v>
      </c>
      <c r="N113" s="5">
        <v>2406</v>
      </c>
      <c r="O113" s="5">
        <v>1203</v>
      </c>
      <c r="P113" s="5">
        <v>2406</v>
      </c>
      <c r="Q113" s="5">
        <v>2406</v>
      </c>
      <c r="R113" s="5">
        <f t="shared" si="6"/>
        <v>15326</v>
      </c>
      <c r="S113" s="5">
        <f>IF(SUM($F113:F113)-$E113-0&gt;0,MAX($AF113,SUM($F113:F113)-$E113-0),0)</f>
        <v>0</v>
      </c>
      <c r="T113" s="5">
        <f>IF(SUM($F113:G113)-$E113-SUM($S113:S113)&gt;0,MAX($AF113,SUM($F113:G113)-$E113-SUM($S113:S113)),0)</f>
        <v>0</v>
      </c>
      <c r="U113" s="5">
        <f>IF(SUM($F113:H113)-$E113-SUM($S113:T113)&gt;0,MAX($AF113,SUM($F113:H113)-$E113-SUM($S113:T113)),0)</f>
        <v>0</v>
      </c>
      <c r="V113" s="5">
        <f>IF(SUM($F113:I113)-$E113-SUM($S113:U113)&gt;0,MAX($AF113,SUM($F113:I113)-$E113-SUM($S113:U113)),0)</f>
        <v>0</v>
      </c>
      <c r="W113" s="5">
        <f>IF(SUM($F113:J113)-$E113-SUM($S113:V113)&gt;0,MAX($AF113,SUM($F113:J113)-$E113-SUM($S113:V113)),0)</f>
        <v>0</v>
      </c>
      <c r="X113" s="5">
        <f>IF(SUM($F113:K113)-$E113-SUM($S113:W113)&gt;0,MAX($AF113,SUM($F113:K113)-$E113-SUM($S113:W113)),0)</f>
        <v>0</v>
      </c>
      <c r="Y113" s="5">
        <f>IF(SUM($F113:L113)-$E113-SUM($S113:X113)&gt;0,MAX($AF113,SUM($F113:L113)-$E113-SUM($S113:X113)),0)</f>
        <v>0</v>
      </c>
      <c r="Z113" s="5">
        <f>IF(SUM($F113:M113)-$E113-SUM($S113:Y113)&gt;0,MAX($AF113,SUM($F113:M113)-$E113-SUM($S113:Y113)),0)</f>
        <v>639.9787661411392</v>
      </c>
      <c r="AA113" s="5">
        <f>IF(SUM($F113:N113)-$E113-SUM($S113:Z113)&gt;0,MAX($AF113,SUM($F113:N113)-$E113-SUM($S113:Z113)),0)</f>
        <v>2406</v>
      </c>
      <c r="AB113" s="5">
        <f>IF(SUM($F113:O113)-$E113-SUM($S113:AA113)&gt;0,MAX($AF113,SUM($F113:O113)-$E113-SUM($S113:AA113)),0)</f>
        <v>1203</v>
      </c>
      <c r="AC113" s="5">
        <f>IF(SUM($F113:P113)-$E113-SUM($S113:AB113)&gt;0,MAX($AF113,SUM($F113:P113)-$E113-SUM($S113:AB113)),0)</f>
        <v>2406</v>
      </c>
      <c r="AD113" s="5">
        <f>IF(SUM($F113:Q113)-$E113-SUM($S113:AC113)&gt;0,MAX($AF113,SUM($F113:Q113)-$E113-SUM($S113:AC113)),0)</f>
        <v>2406</v>
      </c>
      <c r="AE113" s="5">
        <f t="shared" si="7"/>
        <v>9060.9787661411392</v>
      </c>
      <c r="AF113" s="5">
        <v>0</v>
      </c>
      <c r="AG113" s="1"/>
    </row>
    <row r="114" spans="1:33">
      <c r="A114" s="1" t="s">
        <v>285</v>
      </c>
      <c r="B114" s="1" t="s">
        <v>286</v>
      </c>
      <c r="C114" s="1" t="s">
        <v>4</v>
      </c>
      <c r="D114" s="1" t="s">
        <v>393</v>
      </c>
      <c r="E114" s="5">
        <v>0</v>
      </c>
      <c r="F114" s="5">
        <v>66</v>
      </c>
      <c r="G114" s="5">
        <v>18</v>
      </c>
      <c r="H114" s="5">
        <v>102</v>
      </c>
      <c r="I114" s="5">
        <v>26</v>
      </c>
      <c r="J114" s="5">
        <v>141.08778380070981</v>
      </c>
      <c r="K114" s="5">
        <v>218</v>
      </c>
      <c r="L114" s="5">
        <v>60</v>
      </c>
      <c r="M114" s="5">
        <v>64</v>
      </c>
      <c r="N114" s="5">
        <v>28</v>
      </c>
      <c r="O114" s="5">
        <v>140</v>
      </c>
      <c r="P114" s="5">
        <v>92</v>
      </c>
      <c r="Q114" s="5">
        <v>84</v>
      </c>
      <c r="R114" s="5">
        <f t="shared" si="6"/>
        <v>1039.0877838007098</v>
      </c>
      <c r="S114" s="5">
        <f>IF(SUM($F114:F114)-$E114-0&gt;0,MAX($AF114,SUM($F114:F114)-$E114-0),0)</f>
        <v>66</v>
      </c>
      <c r="T114" s="5">
        <f>IF(SUM($F114:G114)-$E114-SUM($S114:S114)&gt;0,MAX($AF114,SUM($F114:G114)-$E114-SUM($S114:S114)),0)</f>
        <v>18</v>
      </c>
      <c r="U114" s="5">
        <f>IF(SUM($F114:H114)-$E114-SUM($S114:T114)&gt;0,MAX($AF114,SUM($F114:H114)-$E114-SUM($S114:T114)),0)</f>
        <v>102</v>
      </c>
      <c r="V114" s="5">
        <f>IF(SUM($F114:I114)-$E114-SUM($S114:U114)&gt;0,MAX($AF114,SUM($F114:I114)-$E114-SUM($S114:U114)),0)</f>
        <v>26</v>
      </c>
      <c r="W114" s="5">
        <f>IF(SUM($F114:J114)-$E114-SUM($S114:V114)&gt;0,MAX($AF114,SUM($F114:J114)-$E114-SUM($S114:V114)),0)</f>
        <v>141.08778380070981</v>
      </c>
      <c r="X114" s="5">
        <f>IF(SUM($F114:K114)-$E114-SUM($S114:W114)&gt;0,MAX($AF114,SUM($F114:K114)-$E114-SUM($S114:W114)),0)</f>
        <v>217.99999999999994</v>
      </c>
      <c r="Y114" s="5">
        <f>IF(SUM($F114:L114)-$E114-SUM($S114:X114)&gt;0,MAX($AF114,SUM($F114:L114)-$E114-SUM($S114:X114)),0)</f>
        <v>60</v>
      </c>
      <c r="Z114" s="5">
        <f>IF(SUM($F114:M114)-$E114-SUM($S114:Y114)&gt;0,MAX($AF114,SUM($F114:M114)-$E114-SUM($S114:Y114)),0)</f>
        <v>64</v>
      </c>
      <c r="AA114" s="5">
        <f>IF(SUM($F114:N114)-$E114-SUM($S114:Z114)&gt;0,MAX($AF114,SUM($F114:N114)-$E114-SUM($S114:Z114)),0)</f>
        <v>28</v>
      </c>
      <c r="AB114" s="5">
        <f>IF(SUM($F114:O114)-$E114-SUM($S114:AA114)&gt;0,MAX($AF114,SUM($F114:O114)-$E114-SUM($S114:AA114)),0)</f>
        <v>140</v>
      </c>
      <c r="AC114" s="5">
        <f>IF(SUM($F114:P114)-$E114-SUM($S114:AB114)&gt;0,MAX($AF114,SUM($F114:P114)-$E114-SUM($S114:AB114)),0)</f>
        <v>92</v>
      </c>
      <c r="AD114" s="5">
        <f>IF(SUM($F114:Q114)-$E114-SUM($S114:AC114)&gt;0,MAX($AF114,SUM($F114:Q114)-$E114-SUM($S114:AC114)),0)</f>
        <v>84</v>
      </c>
      <c r="AE114" s="5">
        <f t="shared" si="7"/>
        <v>1039.0877838007098</v>
      </c>
      <c r="AF114" s="5">
        <v>0</v>
      </c>
      <c r="AG114" s="1"/>
    </row>
    <row r="115" spans="1:33">
      <c r="A115" s="1" t="s">
        <v>287</v>
      </c>
      <c r="B115" s="1" t="s">
        <v>288</v>
      </c>
      <c r="C115" s="1" t="s">
        <v>4</v>
      </c>
      <c r="D115" s="1" t="s">
        <v>390</v>
      </c>
      <c r="E115" s="5">
        <v>0</v>
      </c>
      <c r="F115" s="5">
        <v>123.57373352214384</v>
      </c>
      <c r="G115" s="5">
        <v>147.74914222270243</v>
      </c>
      <c r="H115" s="5">
        <v>255.28781739797856</v>
      </c>
      <c r="I115" s="5">
        <v>188.0400767564027</v>
      </c>
      <c r="J115" s="5">
        <v>314.45609340249592</v>
      </c>
      <c r="K115" s="5">
        <v>329.31539112121243</v>
      </c>
      <c r="L115" s="5">
        <v>211.619369630303</v>
      </c>
      <c r="M115" s="5">
        <v>94.65651276969696</v>
      </c>
      <c r="N115" s="5">
        <v>65.071913409090911</v>
      </c>
      <c r="O115" s="5">
        <v>93.899239090909077</v>
      </c>
      <c r="P115" s="5">
        <v>135.85652804545455</v>
      </c>
      <c r="Q115" s="5">
        <v>222.82467780303031</v>
      </c>
      <c r="R115" s="5">
        <f t="shared" si="6"/>
        <v>2182.3504951714208</v>
      </c>
      <c r="S115" s="5">
        <f>IF(SUM($F115:F115)-$E115-0&gt;0,MAX($AF115,SUM($F115:F115)-$E115-0),0)</f>
        <v>123.57373352214384</v>
      </c>
      <c r="T115" s="5">
        <f>IF(SUM($F115:G115)-$E115-SUM($S115:S115)&gt;0,MAX($AF115,SUM($F115:G115)-$E115-SUM($S115:S115)),0)</f>
        <v>147.74914222270243</v>
      </c>
      <c r="U115" s="5">
        <f>IF(SUM($F115:H115)-$E115-SUM($S115:T115)&gt;0,MAX($AF115,SUM($F115:H115)-$E115-SUM($S115:T115)),0)</f>
        <v>255.28781739797859</v>
      </c>
      <c r="V115" s="5">
        <f>IF(SUM($F115:I115)-$E115-SUM($S115:U115)&gt;0,MAX($AF115,SUM($F115:I115)-$E115-SUM($S115:U115)),0)</f>
        <v>188.04007675640264</v>
      </c>
      <c r="W115" s="5">
        <f>IF(SUM($F115:J115)-$E115-SUM($S115:V115)&gt;0,MAX($AF115,SUM($F115:J115)-$E115-SUM($S115:V115)),0)</f>
        <v>314.45609340249598</v>
      </c>
      <c r="X115" s="5">
        <f>IF(SUM($F115:K115)-$E115-SUM($S115:W115)&gt;0,MAX($AF115,SUM($F115:K115)-$E115-SUM($S115:W115)),0)</f>
        <v>329.31539112121254</v>
      </c>
      <c r="Y115" s="5">
        <f>IF(SUM($F115:L115)-$E115-SUM($S115:X115)&gt;0,MAX($AF115,SUM($F115:L115)-$E115-SUM($S115:X115)),0)</f>
        <v>211.61936963030303</v>
      </c>
      <c r="Z115" s="5">
        <f>IF(SUM($F115:M115)-$E115-SUM($S115:Y115)&gt;0,MAX($AF115,SUM($F115:M115)-$E115-SUM($S115:Y115)),0)</f>
        <v>94.656512769696974</v>
      </c>
      <c r="AA115" s="5">
        <f>IF(SUM($F115:N115)-$E115-SUM($S115:Z115)&gt;0,MAX($AF115,SUM($F115:N115)-$E115-SUM($S115:Z115)),0)</f>
        <v>65.071913409090939</v>
      </c>
      <c r="AB115" s="5">
        <f>IF(SUM($F115:O115)-$E115-SUM($S115:AA115)&gt;0,MAX($AF115,SUM($F115:O115)-$E115-SUM($S115:AA115)),0)</f>
        <v>93.899239090909077</v>
      </c>
      <c r="AC115" s="5">
        <f>IF(SUM($F115:P115)-$E115-SUM($S115:AB115)&gt;0,MAX($AF115,SUM($F115:P115)-$E115-SUM($S115:AB115)),0)</f>
        <v>135.85652804545452</v>
      </c>
      <c r="AD115" s="5">
        <f>IF(SUM($F115:Q115)-$E115-SUM($S115:AC115)&gt;0,MAX($AF115,SUM($F115:Q115)-$E115-SUM($S115:AC115)),0)</f>
        <v>222.82467780303023</v>
      </c>
      <c r="AE115" s="5">
        <f t="shared" si="7"/>
        <v>2182.3504951714208</v>
      </c>
      <c r="AF115" s="5">
        <v>0</v>
      </c>
      <c r="AG115" s="1"/>
    </row>
    <row r="116" spans="1:33">
      <c r="A116" s="1" t="s">
        <v>289</v>
      </c>
      <c r="B116" s="1" t="s">
        <v>290</v>
      </c>
      <c r="C116" s="1" t="s">
        <v>4</v>
      </c>
      <c r="D116" s="1" t="s">
        <v>393</v>
      </c>
      <c r="E116" s="5">
        <v>14684.32590374215</v>
      </c>
      <c r="F116" s="5">
        <v>462.75</v>
      </c>
      <c r="G116" s="5">
        <v>621.25</v>
      </c>
      <c r="H116" s="5">
        <v>13.789594626330901</v>
      </c>
      <c r="I116" s="5">
        <v>477.5</v>
      </c>
      <c r="J116" s="5">
        <v>5301.1397876614119</v>
      </c>
      <c r="K116" s="5">
        <v>2345.75</v>
      </c>
      <c r="L116" s="5">
        <v>1327.75</v>
      </c>
      <c r="M116" s="5">
        <v>507.75</v>
      </c>
      <c r="N116" s="5">
        <v>984.75</v>
      </c>
      <c r="O116" s="5">
        <v>134.5</v>
      </c>
      <c r="P116" s="5">
        <v>111.5</v>
      </c>
      <c r="Q116" s="5">
        <v>12752</v>
      </c>
      <c r="R116" s="5">
        <f t="shared" si="6"/>
        <v>25040.429382287744</v>
      </c>
      <c r="S116" s="5">
        <f>IF(SUM($F116:F116)-$E116-0&gt;0,MAX($AF116,SUM($F116:F116)-$E116-0),0)</f>
        <v>0</v>
      </c>
      <c r="T116" s="5">
        <f>IF(SUM($F116:G116)-$E116-SUM($S116:S116)&gt;0,MAX($AF116,SUM($F116:G116)-$E116-SUM($S116:S116)),0)</f>
        <v>0</v>
      </c>
      <c r="U116" s="5">
        <f>IF(SUM($F116:H116)-$E116-SUM($S116:T116)&gt;0,MAX($AF116,SUM($F116:H116)-$E116-SUM($S116:T116)),0)</f>
        <v>0</v>
      </c>
      <c r="V116" s="5">
        <f>IF(SUM($F116:I116)-$E116-SUM($S116:U116)&gt;0,MAX($AF116,SUM($F116:I116)-$E116-SUM($S116:U116)),0)</f>
        <v>0</v>
      </c>
      <c r="W116" s="5">
        <f>IF(SUM($F116:J116)-$E116-SUM($S116:V116)&gt;0,MAX($AF116,SUM($F116:J116)-$E116-SUM($S116:V116)),0)</f>
        <v>0</v>
      </c>
      <c r="X116" s="5">
        <f>IF(SUM($F116:K116)-$E116-SUM($S116:W116)&gt;0,MAX($AF116,SUM($F116:K116)-$E116-SUM($S116:W116)),0)</f>
        <v>0</v>
      </c>
      <c r="Y116" s="5">
        <f>IF(SUM($F116:L116)-$E116-SUM($S116:X116)&gt;0,MAX($AF116,SUM($F116:L116)-$E116-SUM($S116:X116)),0)</f>
        <v>0</v>
      </c>
      <c r="Z116" s="5">
        <f>IF(SUM($F116:M116)-$E116-SUM($S116:Y116)&gt;0,MAX($AF116,SUM($F116:M116)-$E116-SUM($S116:Y116)),0)</f>
        <v>0</v>
      </c>
      <c r="AA116" s="5">
        <f>IF(SUM($F116:N116)-$E116-SUM($S116:Z116)&gt;0,MAX($AF116,SUM($F116:N116)-$E116-SUM($S116:Z116)),0)</f>
        <v>0</v>
      </c>
      <c r="AB116" s="5">
        <f>IF(SUM($F116:O116)-$E116-SUM($S116:AA116)&gt;0,MAX($AF116,SUM($F116:O116)-$E116-SUM($S116:AA116)),0)</f>
        <v>0</v>
      </c>
      <c r="AC116" s="5">
        <f>IF(SUM($F116:P116)-$E116-SUM($S116:AB116)&gt;0,MAX($AF116,SUM($F116:P116)-$E116-SUM($S116:AB116)),0)</f>
        <v>0</v>
      </c>
      <c r="AD116" s="5">
        <f>IF(SUM($F116:Q116)-$E116-SUM($S116:AC116)&gt;0,MAX($AF116,SUM($F116:Q116)-$E116-SUM($S116:AC116)),0)</f>
        <v>10356.103478545594</v>
      </c>
      <c r="AE116" s="5">
        <f t="shared" si="7"/>
        <v>10356.103478545594</v>
      </c>
      <c r="AF116" s="5">
        <v>0</v>
      </c>
      <c r="AG116" s="1"/>
    </row>
    <row r="117" spans="1:33">
      <c r="A117" s="1" t="s">
        <v>291</v>
      </c>
      <c r="B117" s="1" t="s">
        <v>292</v>
      </c>
      <c r="C117" s="1" t="s">
        <v>4</v>
      </c>
      <c r="D117" s="1" t="s">
        <v>393</v>
      </c>
      <c r="E117" s="5">
        <v>977.2820129874417</v>
      </c>
      <c r="F117" s="5">
        <v>1690.7671660884521</v>
      </c>
      <c r="G117" s="5">
        <v>22974</v>
      </c>
      <c r="H117" s="5">
        <v>13330.767166088452</v>
      </c>
      <c r="I117" s="5">
        <v>856</v>
      </c>
      <c r="J117" s="5">
        <v>24392</v>
      </c>
      <c r="K117" s="5">
        <v>3116</v>
      </c>
      <c r="L117" s="5">
        <v>12478</v>
      </c>
      <c r="M117" s="5">
        <v>1344</v>
      </c>
      <c r="N117" s="5">
        <v>0</v>
      </c>
      <c r="O117" s="5">
        <v>7752</v>
      </c>
      <c r="P117" s="5">
        <v>15422</v>
      </c>
      <c r="Q117" s="5">
        <v>12379</v>
      </c>
      <c r="R117" s="5">
        <f t="shared" si="6"/>
        <v>115734.5343321769</v>
      </c>
      <c r="S117" s="5">
        <f>IF(SUM($F117:F117)-$E117-0&gt;0,MAX($AF117,SUM($F117:F117)-$E117-0),0)</f>
        <v>713.48515310101038</v>
      </c>
      <c r="T117" s="5">
        <f>IF(SUM($F117:G117)-$E117-SUM($S117:S117)&gt;0,MAX($AF117,SUM($F117:G117)-$E117-SUM($S117:S117)),0)</f>
        <v>22974</v>
      </c>
      <c r="U117" s="5">
        <f>IF(SUM($F117:H117)-$E117-SUM($S117:T117)&gt;0,MAX($AF117,SUM($F117:H117)-$E117-SUM($S117:T117)),0)</f>
        <v>13330.767166088448</v>
      </c>
      <c r="V117" s="5">
        <f>IF(SUM($F117:I117)-$E117-SUM($S117:U117)&gt;0,MAX($AF117,SUM($F117:I117)-$E117-SUM($S117:U117)),0)</f>
        <v>856</v>
      </c>
      <c r="W117" s="5">
        <f>IF(SUM($F117:J117)-$E117-SUM($S117:V117)&gt;0,MAX($AF117,SUM($F117:J117)-$E117-SUM($S117:V117)),0)</f>
        <v>24392</v>
      </c>
      <c r="X117" s="5">
        <f>IF(SUM($F117:K117)-$E117-SUM($S117:W117)&gt;0,MAX($AF117,SUM($F117:K117)-$E117-SUM($S117:W117)),0)</f>
        <v>3116</v>
      </c>
      <c r="Y117" s="5">
        <f>IF(SUM($F117:L117)-$E117-SUM($S117:X117)&gt;0,MAX($AF117,SUM($F117:L117)-$E117-SUM($S117:X117)),0)</f>
        <v>12478</v>
      </c>
      <c r="Z117" s="5">
        <f>IF(SUM($F117:M117)-$E117-SUM($S117:Y117)&gt;0,MAX($AF117,SUM($F117:M117)-$E117-SUM($S117:Y117)),0)</f>
        <v>1344</v>
      </c>
      <c r="AA117" s="5">
        <f>IF(SUM($F117:N117)-$E117-SUM($S117:Z117)&gt;0,MAX($AF117,SUM($F117:N117)-$E117-SUM($S117:Z117)),0)</f>
        <v>0</v>
      </c>
      <c r="AB117" s="5">
        <f>IF(SUM($F117:O117)-$E117-SUM($S117:AA117)&gt;0,MAX($AF117,SUM($F117:O117)-$E117-SUM($S117:AA117)),0)</f>
        <v>7752</v>
      </c>
      <c r="AC117" s="5">
        <f>IF(SUM($F117:P117)-$E117-SUM($S117:AB117)&gt;0,MAX($AF117,SUM($F117:P117)-$E117-SUM($S117:AB117)),0)</f>
        <v>15422</v>
      </c>
      <c r="AD117" s="5">
        <f>IF(SUM($F117:Q117)-$E117-SUM($S117:AC117)&gt;0,MAX($AF117,SUM($F117:Q117)-$E117-SUM($S117:AC117)),0)</f>
        <v>12379</v>
      </c>
      <c r="AE117" s="5">
        <f t="shared" si="7"/>
        <v>114757.25231918946</v>
      </c>
      <c r="AF117" s="5">
        <v>0</v>
      </c>
      <c r="AG117" s="1"/>
    </row>
    <row r="118" spans="1:33">
      <c r="A118" s="1" t="s">
        <v>293</v>
      </c>
      <c r="B118" s="1" t="s">
        <v>294</v>
      </c>
      <c r="C118" s="1" t="s">
        <v>4</v>
      </c>
      <c r="D118" s="1" t="s">
        <v>393</v>
      </c>
      <c r="E118" s="5">
        <v>0</v>
      </c>
      <c r="F118" s="5">
        <v>9712</v>
      </c>
      <c r="G118" s="5">
        <v>38115</v>
      </c>
      <c r="H118" s="5">
        <v>7072</v>
      </c>
      <c r="I118" s="5">
        <v>1089</v>
      </c>
      <c r="J118" s="5">
        <v>14002</v>
      </c>
      <c r="K118" s="5">
        <v>29408</v>
      </c>
      <c r="L118" s="5">
        <v>5358</v>
      </c>
      <c r="M118" s="5">
        <v>17325</v>
      </c>
      <c r="N118" s="5">
        <v>2439</v>
      </c>
      <c r="O118" s="5">
        <v>3433</v>
      </c>
      <c r="P118" s="5">
        <v>30618</v>
      </c>
      <c r="Q118" s="5">
        <v>16831</v>
      </c>
      <c r="R118" s="5">
        <f t="shared" si="6"/>
        <v>175402</v>
      </c>
      <c r="S118" s="5">
        <f>IF(SUM($F118:F118)-$E118-0&gt;0,MAX($AF118,SUM($F118:F118)-$E118-0),0)</f>
        <v>9712</v>
      </c>
      <c r="T118" s="5">
        <f>IF(SUM($F118:G118)-$E118-SUM($S118:S118)&gt;0,MAX($AF118,SUM($F118:G118)-$E118-SUM($S118:S118)),0)</f>
        <v>38115</v>
      </c>
      <c r="U118" s="5">
        <f>IF(SUM($F118:H118)-$E118-SUM($S118:T118)&gt;0,MAX($AF118,SUM($F118:H118)-$E118-SUM($S118:T118)),0)</f>
        <v>7072</v>
      </c>
      <c r="V118" s="5">
        <f>IF(SUM($F118:I118)-$E118-SUM($S118:U118)&gt;0,MAX($AF118,SUM($F118:I118)-$E118-SUM($S118:U118)),0)</f>
        <v>1089</v>
      </c>
      <c r="W118" s="5">
        <f>IF(SUM($F118:J118)-$E118-SUM($S118:V118)&gt;0,MAX($AF118,SUM($F118:J118)-$E118-SUM($S118:V118)),0)</f>
        <v>14002</v>
      </c>
      <c r="X118" s="5">
        <f>IF(SUM($F118:K118)-$E118-SUM($S118:W118)&gt;0,MAX($AF118,SUM($F118:K118)-$E118-SUM($S118:W118)),0)</f>
        <v>29408</v>
      </c>
      <c r="Y118" s="5">
        <f>IF(SUM($F118:L118)-$E118-SUM($S118:X118)&gt;0,MAX($AF118,SUM($F118:L118)-$E118-SUM($S118:X118)),0)</f>
        <v>5358</v>
      </c>
      <c r="Z118" s="5">
        <f>IF(SUM($F118:M118)-$E118-SUM($S118:Y118)&gt;0,MAX($AF118,SUM($F118:M118)-$E118-SUM($S118:Y118)),0)</f>
        <v>17325</v>
      </c>
      <c r="AA118" s="5">
        <f>IF(SUM($F118:N118)-$E118-SUM($S118:Z118)&gt;0,MAX($AF118,SUM($F118:N118)-$E118-SUM($S118:Z118)),0)</f>
        <v>2439</v>
      </c>
      <c r="AB118" s="5">
        <f>IF(SUM($F118:O118)-$E118-SUM($S118:AA118)&gt;0,MAX($AF118,SUM($F118:O118)-$E118-SUM($S118:AA118)),0)</f>
        <v>3433</v>
      </c>
      <c r="AC118" s="5">
        <f>IF(SUM($F118:P118)-$E118-SUM($S118:AB118)&gt;0,MAX($AF118,SUM($F118:P118)-$E118-SUM($S118:AB118)),0)</f>
        <v>30618</v>
      </c>
      <c r="AD118" s="5">
        <f>IF(SUM($F118:Q118)-$E118-SUM($S118:AC118)&gt;0,MAX($AF118,SUM($F118:Q118)-$E118-SUM($S118:AC118)),0)</f>
        <v>16831</v>
      </c>
      <c r="AE118" s="5">
        <f t="shared" si="7"/>
        <v>175402</v>
      </c>
      <c r="AF118" s="5">
        <v>0</v>
      </c>
      <c r="AG118" s="1"/>
    </row>
    <row r="119" spans="1:33">
      <c r="A119" s="1" t="s">
        <v>295</v>
      </c>
      <c r="B119" s="1" t="s">
        <v>296</v>
      </c>
      <c r="C119" s="1" t="s">
        <v>4</v>
      </c>
      <c r="D119" s="1" t="s">
        <v>393</v>
      </c>
      <c r="E119" s="5">
        <v>0</v>
      </c>
      <c r="F119" s="5">
        <v>2520.0152587452903</v>
      </c>
      <c r="G119" s="5">
        <v>2239.4704016695332</v>
      </c>
      <c r="H119" s="5">
        <v>10992.01525874529</v>
      </c>
      <c r="I119" s="5">
        <v>10199</v>
      </c>
      <c r="J119" s="5">
        <v>5659</v>
      </c>
      <c r="K119" s="5">
        <v>6180</v>
      </c>
      <c r="L119" s="5">
        <v>6056</v>
      </c>
      <c r="M119" s="5">
        <v>1973</v>
      </c>
      <c r="N119" s="5">
        <v>1513</v>
      </c>
      <c r="O119" s="5">
        <v>3675</v>
      </c>
      <c r="P119" s="5">
        <v>3824</v>
      </c>
      <c r="Q119" s="5">
        <v>2538</v>
      </c>
      <c r="R119" s="5">
        <f t="shared" si="6"/>
        <v>57368.500919160113</v>
      </c>
      <c r="S119" s="5">
        <f>IF(SUM($F119:F119)-$E119-0&gt;0,MAX($AF119,SUM($F119:F119)-$E119-0),0)</f>
        <v>2520.0152587452903</v>
      </c>
      <c r="T119" s="5">
        <f>IF(SUM($F119:G119)-$E119-SUM($S119:S119)&gt;0,MAX($AF119,SUM($F119:G119)-$E119-SUM($S119:S119)),0)</f>
        <v>2239.4704016695332</v>
      </c>
      <c r="U119" s="5">
        <f>IF(SUM($F119:H119)-$E119-SUM($S119:T119)&gt;0,MAX($AF119,SUM($F119:H119)-$E119-SUM($S119:T119)),0)</f>
        <v>10992.01525874529</v>
      </c>
      <c r="V119" s="5">
        <f>IF(SUM($F119:I119)-$E119-SUM($S119:U119)&gt;0,MAX($AF119,SUM($F119:I119)-$E119-SUM($S119:U119)),0)</f>
        <v>10199</v>
      </c>
      <c r="W119" s="5">
        <f>IF(SUM($F119:J119)-$E119-SUM($S119:V119)&gt;0,MAX($AF119,SUM($F119:J119)-$E119-SUM($S119:V119)),0)</f>
        <v>5659</v>
      </c>
      <c r="X119" s="5">
        <f>IF(SUM($F119:K119)-$E119-SUM($S119:W119)&gt;0,MAX($AF119,SUM($F119:K119)-$E119-SUM($S119:W119)),0)</f>
        <v>6180</v>
      </c>
      <c r="Y119" s="5">
        <f>IF(SUM($F119:L119)-$E119-SUM($S119:X119)&gt;0,MAX($AF119,SUM($F119:L119)-$E119-SUM($S119:X119)),0)</f>
        <v>6056</v>
      </c>
      <c r="Z119" s="5">
        <f>IF(SUM($F119:M119)-$E119-SUM($S119:Y119)&gt;0,MAX($AF119,SUM($F119:M119)-$E119-SUM($S119:Y119)),0)</f>
        <v>1973</v>
      </c>
      <c r="AA119" s="5">
        <f>IF(SUM($F119:N119)-$E119-SUM($S119:Z119)&gt;0,MAX($AF119,SUM($F119:N119)-$E119-SUM($S119:Z119)),0)</f>
        <v>1513</v>
      </c>
      <c r="AB119" s="5">
        <f>IF(SUM($F119:O119)-$E119-SUM($S119:AA119)&gt;0,MAX($AF119,SUM($F119:O119)-$E119-SUM($S119:AA119)),0)</f>
        <v>3675</v>
      </c>
      <c r="AC119" s="5">
        <f>IF(SUM($F119:P119)-$E119-SUM($S119:AB119)&gt;0,MAX($AF119,SUM($F119:P119)-$E119-SUM($S119:AB119)),0)</f>
        <v>3824</v>
      </c>
      <c r="AD119" s="5">
        <f>IF(SUM($F119:Q119)-$E119-SUM($S119:AC119)&gt;0,MAX($AF119,SUM($F119:Q119)-$E119-SUM($S119:AC119)),0)</f>
        <v>2538</v>
      </c>
      <c r="AE119" s="5">
        <f t="shared" si="7"/>
        <v>57368.500919160113</v>
      </c>
      <c r="AF119" s="5">
        <v>0</v>
      </c>
      <c r="AG119" s="1"/>
    </row>
    <row r="120" spans="1:33">
      <c r="A120" s="1" t="s">
        <v>297</v>
      </c>
      <c r="B120" s="1" t="s">
        <v>298</v>
      </c>
      <c r="C120" s="1" t="s">
        <v>4</v>
      </c>
      <c r="D120" s="1" t="s">
        <v>393</v>
      </c>
      <c r="E120" s="5">
        <v>0</v>
      </c>
      <c r="F120" s="5">
        <v>781</v>
      </c>
      <c r="G120" s="5">
        <v>1346</v>
      </c>
      <c r="H120" s="5">
        <v>494</v>
      </c>
      <c r="I120" s="5">
        <v>829</v>
      </c>
      <c r="J120" s="5">
        <v>326</v>
      </c>
      <c r="K120" s="5">
        <v>1535</v>
      </c>
      <c r="L120" s="5">
        <v>240</v>
      </c>
      <c r="M120" s="5">
        <v>503</v>
      </c>
      <c r="N120" s="5">
        <v>745</v>
      </c>
      <c r="O120" s="5">
        <v>536</v>
      </c>
      <c r="P120" s="5">
        <v>477</v>
      </c>
      <c r="Q120" s="5">
        <v>2344</v>
      </c>
      <c r="R120" s="5">
        <f t="shared" si="6"/>
        <v>10156</v>
      </c>
      <c r="S120" s="5">
        <f>IF(SUM($F120:F120)-$E120-0&gt;0,MAX($AF120,SUM($F120:F120)-$E120-0),0)</f>
        <v>781</v>
      </c>
      <c r="T120" s="5">
        <f>IF(SUM($F120:G120)-$E120-SUM($S120:S120)&gt;0,MAX($AF120,SUM($F120:G120)-$E120-SUM($S120:S120)),0)</f>
        <v>1346</v>
      </c>
      <c r="U120" s="5">
        <f>IF(SUM($F120:H120)-$E120-SUM($S120:T120)&gt;0,MAX($AF120,SUM($F120:H120)-$E120-SUM($S120:T120)),0)</f>
        <v>494</v>
      </c>
      <c r="V120" s="5">
        <f>IF(SUM($F120:I120)-$E120-SUM($S120:U120)&gt;0,MAX($AF120,SUM($F120:I120)-$E120-SUM($S120:U120)),0)</f>
        <v>829</v>
      </c>
      <c r="W120" s="5">
        <f>IF(SUM($F120:J120)-$E120-SUM($S120:V120)&gt;0,MAX($AF120,SUM($F120:J120)-$E120-SUM($S120:V120)),0)</f>
        <v>326</v>
      </c>
      <c r="X120" s="5">
        <f>IF(SUM($F120:K120)-$E120-SUM($S120:W120)&gt;0,MAX($AF120,SUM($F120:K120)-$E120-SUM($S120:W120)),0)</f>
        <v>1535</v>
      </c>
      <c r="Y120" s="5">
        <f>IF(SUM($F120:L120)-$E120-SUM($S120:X120)&gt;0,MAX($AF120,SUM($F120:L120)-$E120-SUM($S120:X120)),0)</f>
        <v>240</v>
      </c>
      <c r="Z120" s="5">
        <f>IF(SUM($F120:M120)-$E120-SUM($S120:Y120)&gt;0,MAX($AF120,SUM($F120:M120)-$E120-SUM($S120:Y120)),0)</f>
        <v>503</v>
      </c>
      <c r="AA120" s="5">
        <f>IF(SUM($F120:N120)-$E120-SUM($S120:Z120)&gt;0,MAX($AF120,SUM($F120:N120)-$E120-SUM($S120:Z120)),0)</f>
        <v>745</v>
      </c>
      <c r="AB120" s="5">
        <f>IF(SUM($F120:O120)-$E120-SUM($S120:AA120)&gt;0,MAX($AF120,SUM($F120:O120)-$E120-SUM($S120:AA120)),0)</f>
        <v>536</v>
      </c>
      <c r="AC120" s="5">
        <f>IF(SUM($F120:P120)-$E120-SUM($S120:AB120)&gt;0,MAX($AF120,SUM($F120:P120)-$E120-SUM($S120:AB120)),0)</f>
        <v>477</v>
      </c>
      <c r="AD120" s="5">
        <f>IF(SUM($F120:Q120)-$E120-SUM($S120:AC120)&gt;0,MAX($AF120,SUM($F120:Q120)-$E120-SUM($S120:AC120)),0)</f>
        <v>2344</v>
      </c>
      <c r="AE120" s="5">
        <f t="shared" si="7"/>
        <v>10156</v>
      </c>
      <c r="AF120" s="5">
        <v>0</v>
      </c>
      <c r="AG120" s="1"/>
    </row>
    <row r="121" spans="1:33">
      <c r="A121" s="1" t="s">
        <v>299</v>
      </c>
      <c r="B121" s="1" t="s">
        <v>300</v>
      </c>
      <c r="C121" s="1" t="s">
        <v>4</v>
      </c>
      <c r="D121" s="1" t="s">
        <v>393</v>
      </c>
      <c r="E121" s="5">
        <v>0</v>
      </c>
      <c r="F121" s="5">
        <v>6410.9476605713899</v>
      </c>
      <c r="G121" s="5">
        <v>12326</v>
      </c>
      <c r="H121" s="5">
        <v>2212.8225020477748</v>
      </c>
      <c r="I121" s="5">
        <v>2578.959922785968</v>
      </c>
      <c r="J121" s="5">
        <v>5371</v>
      </c>
      <c r="K121" s="5">
        <v>19798</v>
      </c>
      <c r="L121" s="5">
        <v>4673</v>
      </c>
      <c r="M121" s="5">
        <v>5296</v>
      </c>
      <c r="N121" s="5">
        <v>1148</v>
      </c>
      <c r="O121" s="5">
        <v>1460</v>
      </c>
      <c r="P121" s="5">
        <v>4083</v>
      </c>
      <c r="Q121" s="5">
        <v>7615</v>
      </c>
      <c r="R121" s="5">
        <f t="shared" si="6"/>
        <v>72972.730085405128</v>
      </c>
      <c r="S121" s="5">
        <f>IF(SUM($F121:F121)-$E121-0&gt;0,MAX($AF121,SUM($F121:F121)-$E121-0),0)</f>
        <v>6410.9476605713899</v>
      </c>
      <c r="T121" s="5">
        <f>IF(SUM($F121:G121)-$E121-SUM($S121:S121)&gt;0,MAX($AF121,SUM($F121:G121)-$E121-SUM($S121:S121)),0)</f>
        <v>12326</v>
      </c>
      <c r="U121" s="5">
        <f>IF(SUM($F121:H121)-$E121-SUM($S121:T121)&gt;0,MAX($AF121,SUM($F121:H121)-$E121-SUM($S121:T121)),0)</f>
        <v>2212.822502047773</v>
      </c>
      <c r="V121" s="5">
        <f>IF(SUM($F121:I121)-$E121-SUM($S121:U121)&gt;0,MAX($AF121,SUM($F121:I121)-$E121-SUM($S121:U121)),0)</f>
        <v>2578.959922785969</v>
      </c>
      <c r="W121" s="5">
        <f>IF(SUM($F121:J121)-$E121-SUM($S121:V121)&gt;0,MAX($AF121,SUM($F121:J121)-$E121-SUM($S121:V121)),0)</f>
        <v>5371</v>
      </c>
      <c r="X121" s="5">
        <f>IF(SUM($F121:K121)-$E121-SUM($S121:W121)&gt;0,MAX($AF121,SUM($F121:K121)-$E121-SUM($S121:W121)),0)</f>
        <v>19797.999999999996</v>
      </c>
      <c r="Y121" s="5">
        <f>IF(SUM($F121:L121)-$E121-SUM($S121:X121)&gt;0,MAX($AF121,SUM($F121:L121)-$E121-SUM($S121:X121)),0)</f>
        <v>4673</v>
      </c>
      <c r="Z121" s="5">
        <f>IF(SUM($F121:M121)-$E121-SUM($S121:Y121)&gt;0,MAX($AF121,SUM($F121:M121)-$E121-SUM($S121:Y121)),0)</f>
        <v>5296</v>
      </c>
      <c r="AA121" s="5">
        <f>IF(SUM($F121:N121)-$E121-SUM($S121:Z121)&gt;0,MAX($AF121,SUM($F121:N121)-$E121-SUM($S121:Z121)),0)</f>
        <v>1148</v>
      </c>
      <c r="AB121" s="5">
        <f>IF(SUM($F121:O121)-$E121-SUM($S121:AA121)&gt;0,MAX($AF121,SUM($F121:O121)-$E121-SUM($S121:AA121)),0)</f>
        <v>1460</v>
      </c>
      <c r="AC121" s="5">
        <f>IF(SUM($F121:P121)-$E121-SUM($S121:AB121)&gt;0,MAX($AF121,SUM($F121:P121)-$E121-SUM($S121:AB121)),0)</f>
        <v>4083</v>
      </c>
      <c r="AD121" s="5">
        <f>IF(SUM($F121:Q121)-$E121-SUM($S121:AC121)&gt;0,MAX($AF121,SUM($F121:Q121)-$E121-SUM($S121:AC121)),0)</f>
        <v>7615</v>
      </c>
      <c r="AE121" s="5">
        <f t="shared" si="7"/>
        <v>72972.730085405128</v>
      </c>
      <c r="AF121" s="5">
        <v>0</v>
      </c>
      <c r="AG121" s="1"/>
    </row>
    <row r="122" spans="1:33">
      <c r="A122" s="1" t="s">
        <v>301</v>
      </c>
      <c r="B122" s="1" t="s">
        <v>302</v>
      </c>
      <c r="C122" s="1" t="s">
        <v>4</v>
      </c>
      <c r="D122" s="1" t="s">
        <v>393</v>
      </c>
      <c r="E122" s="5">
        <v>0</v>
      </c>
      <c r="F122" s="5">
        <v>1852</v>
      </c>
      <c r="G122" s="5">
        <v>1552.7341896440748</v>
      </c>
      <c r="H122" s="5">
        <v>17552</v>
      </c>
      <c r="I122" s="5">
        <v>7378.9785136298797</v>
      </c>
      <c r="J122" s="5">
        <v>18572</v>
      </c>
      <c r="K122" s="5">
        <v>16704</v>
      </c>
      <c r="L122" s="5">
        <v>10704</v>
      </c>
      <c r="M122" s="5">
        <v>1468</v>
      </c>
      <c r="N122" s="5">
        <v>344</v>
      </c>
      <c r="O122" s="5">
        <v>1978</v>
      </c>
      <c r="P122" s="5">
        <v>2339</v>
      </c>
      <c r="Q122" s="5">
        <v>787</v>
      </c>
      <c r="R122" s="5">
        <f t="shared" si="6"/>
        <v>81231.712703273952</v>
      </c>
      <c r="S122" s="5">
        <f>IF(SUM($F122:F122)-$E122-0&gt;0,MAX($AF122,SUM($F122:F122)-$E122-0),0)</f>
        <v>1852</v>
      </c>
      <c r="T122" s="5">
        <f>IF(SUM($F122:G122)-$E122-SUM($S122:S122)&gt;0,MAX($AF122,SUM($F122:G122)-$E122-SUM($S122:S122)),0)</f>
        <v>1552.7341896440748</v>
      </c>
      <c r="U122" s="5">
        <f>IF(SUM($F122:H122)-$E122-SUM($S122:T122)&gt;0,MAX($AF122,SUM($F122:H122)-$E122-SUM($S122:T122)),0)</f>
        <v>17552</v>
      </c>
      <c r="V122" s="5">
        <f>IF(SUM($F122:I122)-$E122-SUM($S122:U122)&gt;0,MAX($AF122,SUM($F122:I122)-$E122-SUM($S122:U122)),0)</f>
        <v>7378.9785136298779</v>
      </c>
      <c r="W122" s="5">
        <f>IF(SUM($F122:J122)-$E122-SUM($S122:V122)&gt;0,MAX($AF122,SUM($F122:J122)-$E122-SUM($S122:V122)),0)</f>
        <v>18572</v>
      </c>
      <c r="X122" s="5">
        <f>IF(SUM($F122:K122)-$E122-SUM($S122:W122)&gt;0,MAX($AF122,SUM($F122:K122)-$E122-SUM($S122:W122)),0)</f>
        <v>16704</v>
      </c>
      <c r="Y122" s="5">
        <f>IF(SUM($F122:L122)-$E122-SUM($S122:X122)&gt;0,MAX($AF122,SUM($F122:L122)-$E122-SUM($S122:X122)),0)</f>
        <v>10704</v>
      </c>
      <c r="Z122" s="5">
        <f>IF(SUM($F122:M122)-$E122-SUM($S122:Y122)&gt;0,MAX($AF122,SUM($F122:M122)-$E122-SUM($S122:Y122)),0)</f>
        <v>1468</v>
      </c>
      <c r="AA122" s="5">
        <f>IF(SUM($F122:N122)-$E122-SUM($S122:Z122)&gt;0,MAX($AF122,SUM($F122:N122)-$E122-SUM($S122:Z122)),0)</f>
        <v>344</v>
      </c>
      <c r="AB122" s="5">
        <f>IF(SUM($F122:O122)-$E122-SUM($S122:AA122)&gt;0,MAX($AF122,SUM($F122:O122)-$E122-SUM($S122:AA122)),0)</f>
        <v>1978</v>
      </c>
      <c r="AC122" s="5">
        <f>IF(SUM($F122:P122)-$E122-SUM($S122:AB122)&gt;0,MAX($AF122,SUM($F122:P122)-$E122-SUM($S122:AB122)),0)</f>
        <v>2339</v>
      </c>
      <c r="AD122" s="5">
        <f>IF(SUM($F122:Q122)-$E122-SUM($S122:AC122)&gt;0,MAX($AF122,SUM($F122:Q122)-$E122-SUM($S122:AC122)),0)</f>
        <v>787</v>
      </c>
      <c r="AE122" s="5">
        <f t="shared" si="7"/>
        <v>81231.712703273952</v>
      </c>
      <c r="AF122" s="5">
        <v>0</v>
      </c>
      <c r="AG122" s="1"/>
    </row>
    <row r="123" spans="1:33">
      <c r="A123" s="1" t="s">
        <v>303</v>
      </c>
      <c r="B123" s="1" t="s">
        <v>304</v>
      </c>
      <c r="C123" s="1" t="s">
        <v>4</v>
      </c>
      <c r="D123" s="1" t="s">
        <v>394</v>
      </c>
      <c r="E123" s="5">
        <v>0</v>
      </c>
      <c r="F123" s="5">
        <v>0</v>
      </c>
      <c r="G123" s="5">
        <v>0</v>
      </c>
      <c r="H123" s="5">
        <v>7378.583333333333</v>
      </c>
      <c r="I123" s="5">
        <v>0</v>
      </c>
      <c r="J123" s="5">
        <v>0</v>
      </c>
      <c r="K123" s="5">
        <v>7378.583333333333</v>
      </c>
      <c r="L123" s="5">
        <v>0</v>
      </c>
      <c r="M123" s="5">
        <v>0</v>
      </c>
      <c r="N123" s="5">
        <v>0</v>
      </c>
      <c r="O123" s="5">
        <v>0</v>
      </c>
      <c r="P123" s="5">
        <v>8837.8333333333339</v>
      </c>
      <c r="Q123" s="5">
        <v>0</v>
      </c>
      <c r="R123" s="5">
        <f t="shared" si="6"/>
        <v>23595</v>
      </c>
      <c r="S123" s="5">
        <f>IF(SUM($F123:F123)-$E123-0&gt;0,MAX($AF123,SUM($F123:F123)-$E123-0),0)</f>
        <v>0</v>
      </c>
      <c r="T123" s="5">
        <f>IF(SUM($F123:G123)-$E123-SUM($S123:S123)&gt;0,MAX($AF123,SUM($F123:G123)-$E123-SUM($S123:S123)),0)</f>
        <v>0</v>
      </c>
      <c r="U123" s="5">
        <f>IF(SUM($F123:H123)-$E123-SUM($S123:T123)&gt;0,MAX($AF123,SUM($F123:H123)-$E123-SUM($S123:T123)),0)</f>
        <v>7378.583333333333</v>
      </c>
      <c r="V123" s="5">
        <f>IF(SUM($F123:I123)-$E123-SUM($S123:U123)&gt;0,MAX($AF123,SUM($F123:I123)-$E123-SUM($S123:U123)),0)</f>
        <v>0</v>
      </c>
      <c r="W123" s="5">
        <f>IF(SUM($F123:J123)-$E123-SUM($S123:V123)&gt;0,MAX($AF123,SUM($F123:J123)-$E123-SUM($S123:V123)),0)</f>
        <v>0</v>
      </c>
      <c r="X123" s="5">
        <f>IF(SUM($F123:K123)-$E123-SUM($S123:W123)&gt;0,MAX($AF123,SUM($F123:K123)-$E123-SUM($S123:W123)),0)</f>
        <v>7378.583333333333</v>
      </c>
      <c r="Y123" s="5">
        <f>IF(SUM($F123:L123)-$E123-SUM($S123:X123)&gt;0,MAX($AF123,SUM($F123:L123)-$E123-SUM($S123:X123)),0)</f>
        <v>0</v>
      </c>
      <c r="Z123" s="5">
        <f>IF(SUM($F123:M123)-$E123-SUM($S123:Y123)&gt;0,MAX($AF123,SUM($F123:M123)-$E123-SUM($S123:Y123)),0)</f>
        <v>0</v>
      </c>
      <c r="AA123" s="5">
        <f>IF(SUM($F123:N123)-$E123-SUM($S123:Z123)&gt;0,MAX($AF123,SUM($F123:N123)-$E123-SUM($S123:Z123)),0)</f>
        <v>0</v>
      </c>
      <c r="AB123" s="5">
        <f>IF(SUM($F123:O123)-$E123-SUM($S123:AA123)&gt;0,MAX($AF123,SUM($F123:O123)-$E123-SUM($S123:AA123)),0)</f>
        <v>0</v>
      </c>
      <c r="AC123" s="5">
        <f>IF(SUM($F123:P123)-$E123-SUM($S123:AB123)&gt;0,MAX($AF123,SUM($F123:P123)-$E123-SUM($S123:AB123)),0)</f>
        <v>8837.8333333333339</v>
      </c>
      <c r="AD123" s="5">
        <f>IF(SUM($F123:Q123)-$E123-SUM($S123:AC123)&gt;0,MAX($AF123,SUM($F123:Q123)-$E123-SUM($S123:AC123)),0)</f>
        <v>0</v>
      </c>
      <c r="AE123" s="5">
        <f t="shared" si="7"/>
        <v>23595</v>
      </c>
      <c r="AF123" s="5">
        <v>0</v>
      </c>
      <c r="AG123" s="1"/>
    </row>
    <row r="124" spans="1:33">
      <c r="A124" s="1" t="s">
        <v>305</v>
      </c>
      <c r="B124" s="1" t="s">
        <v>306</v>
      </c>
      <c r="C124" s="1" t="s">
        <v>4</v>
      </c>
      <c r="D124" s="1" t="s">
        <v>393</v>
      </c>
      <c r="E124" s="5">
        <v>3490.0424677177198</v>
      </c>
      <c r="F124" s="5">
        <v>5026</v>
      </c>
      <c r="G124" s="5">
        <v>0</v>
      </c>
      <c r="H124" s="5">
        <v>0</v>
      </c>
      <c r="I124" s="5">
        <v>0</v>
      </c>
      <c r="J124" s="5">
        <v>5024</v>
      </c>
      <c r="K124" s="5">
        <v>880</v>
      </c>
      <c r="L124" s="5">
        <v>0</v>
      </c>
      <c r="M124" s="5">
        <v>2640</v>
      </c>
      <c r="N124" s="5">
        <v>4812</v>
      </c>
      <c r="O124" s="5">
        <v>2406</v>
      </c>
      <c r="P124" s="5">
        <v>4812</v>
      </c>
      <c r="Q124" s="5">
        <v>4812</v>
      </c>
      <c r="R124" s="5">
        <f t="shared" si="6"/>
        <v>30412</v>
      </c>
      <c r="S124" s="5">
        <f>IF(SUM($F124:F124)-$E124-0&gt;0,MAX($AF124,SUM($F124:F124)-$E124-0),0)</f>
        <v>1535.9575322822802</v>
      </c>
      <c r="T124" s="5">
        <f>IF(SUM($F124:G124)-$E124-SUM($S124:S124)&gt;0,MAX($AF124,SUM($F124:G124)-$E124-SUM($S124:S124)),0)</f>
        <v>0</v>
      </c>
      <c r="U124" s="5">
        <f>IF(SUM($F124:H124)-$E124-SUM($S124:T124)&gt;0,MAX($AF124,SUM($F124:H124)-$E124-SUM($S124:T124)),0)</f>
        <v>0</v>
      </c>
      <c r="V124" s="5">
        <f>IF(SUM($F124:I124)-$E124-SUM($S124:U124)&gt;0,MAX($AF124,SUM($F124:I124)-$E124-SUM($S124:U124)),0)</f>
        <v>0</v>
      </c>
      <c r="W124" s="5">
        <f>IF(SUM($F124:J124)-$E124-SUM($S124:V124)&gt;0,MAX($AF124,SUM($F124:J124)-$E124-SUM($S124:V124)),0)</f>
        <v>5024</v>
      </c>
      <c r="X124" s="5">
        <f>IF(SUM($F124:K124)-$E124-SUM($S124:W124)&gt;0,MAX($AF124,SUM($F124:K124)-$E124-SUM($S124:W124)),0)</f>
        <v>880</v>
      </c>
      <c r="Y124" s="5">
        <f>IF(SUM($F124:L124)-$E124-SUM($S124:X124)&gt;0,MAX($AF124,SUM($F124:L124)-$E124-SUM($S124:X124)),0)</f>
        <v>0</v>
      </c>
      <c r="Z124" s="5">
        <f>IF(SUM($F124:M124)-$E124-SUM($S124:Y124)&gt;0,MAX($AF124,SUM($F124:M124)-$E124-SUM($S124:Y124)),0)</f>
        <v>2640</v>
      </c>
      <c r="AA124" s="5">
        <f>IF(SUM($F124:N124)-$E124-SUM($S124:Z124)&gt;0,MAX($AF124,SUM($F124:N124)-$E124-SUM($S124:Z124)),0)</f>
        <v>4812</v>
      </c>
      <c r="AB124" s="5">
        <f>IF(SUM($F124:O124)-$E124-SUM($S124:AA124)&gt;0,MAX($AF124,SUM($F124:O124)-$E124-SUM($S124:AA124)),0)</f>
        <v>2405.9999999999982</v>
      </c>
      <c r="AC124" s="5">
        <f>IF(SUM($F124:P124)-$E124-SUM($S124:AB124)&gt;0,MAX($AF124,SUM($F124:P124)-$E124-SUM($S124:AB124)),0)</f>
        <v>4812</v>
      </c>
      <c r="AD124" s="5">
        <f>IF(SUM($F124:Q124)-$E124-SUM($S124:AC124)&gt;0,MAX($AF124,SUM($F124:Q124)-$E124-SUM($S124:AC124)),0)</f>
        <v>4812</v>
      </c>
      <c r="AE124" s="5">
        <f t="shared" si="7"/>
        <v>26921.957532282278</v>
      </c>
      <c r="AF124" s="5">
        <v>0</v>
      </c>
      <c r="AG124" s="1"/>
    </row>
    <row r="125" spans="1:33">
      <c r="A125" s="1" t="s">
        <v>307</v>
      </c>
      <c r="B125" s="1" t="s">
        <v>308</v>
      </c>
      <c r="C125" s="1" t="s">
        <v>4</v>
      </c>
      <c r="D125" s="1" t="s">
        <v>393</v>
      </c>
      <c r="E125" s="5">
        <v>21568</v>
      </c>
      <c r="F125" s="5">
        <v>0</v>
      </c>
      <c r="G125" s="5">
        <v>0</v>
      </c>
      <c r="H125" s="5">
        <v>6420</v>
      </c>
      <c r="I125" s="5">
        <v>4279</v>
      </c>
      <c r="J125" s="5">
        <v>1069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f t="shared" si="6"/>
        <v>11768</v>
      </c>
      <c r="S125" s="5">
        <f>IF(SUM($F125:F125)-$E125-0&gt;0,MAX($AF125,SUM($F125:F125)-$E125-0),0)</f>
        <v>0</v>
      </c>
      <c r="T125" s="5">
        <f>IF(SUM($F125:G125)-$E125-SUM($S125:S125)&gt;0,MAX($AF125,SUM($F125:G125)-$E125-SUM($S125:S125)),0)</f>
        <v>0</v>
      </c>
      <c r="U125" s="5">
        <f>IF(SUM($F125:H125)-$E125-SUM($S125:T125)&gt;0,MAX($AF125,SUM($F125:H125)-$E125-SUM($S125:T125)),0)</f>
        <v>0</v>
      </c>
      <c r="V125" s="5">
        <f>IF(SUM($F125:I125)-$E125-SUM($S125:U125)&gt;0,MAX($AF125,SUM($F125:I125)-$E125-SUM($S125:U125)),0)</f>
        <v>0</v>
      </c>
      <c r="W125" s="5">
        <f>IF(SUM($F125:J125)-$E125-SUM($S125:V125)&gt;0,MAX($AF125,SUM($F125:J125)-$E125-SUM($S125:V125)),0)</f>
        <v>0</v>
      </c>
      <c r="X125" s="5">
        <f>IF(SUM($F125:K125)-$E125-SUM($S125:W125)&gt;0,MAX($AF125,SUM($F125:K125)-$E125-SUM($S125:W125)),0)</f>
        <v>0</v>
      </c>
      <c r="Y125" s="5">
        <f>IF(SUM($F125:L125)-$E125-SUM($S125:X125)&gt;0,MAX($AF125,SUM($F125:L125)-$E125-SUM($S125:X125)),0)</f>
        <v>0</v>
      </c>
      <c r="Z125" s="5">
        <f>IF(SUM($F125:M125)-$E125-SUM($S125:Y125)&gt;0,MAX($AF125,SUM($F125:M125)-$E125-SUM($S125:Y125)),0)</f>
        <v>0</v>
      </c>
      <c r="AA125" s="5">
        <f>IF(SUM($F125:N125)-$E125-SUM($S125:Z125)&gt;0,MAX($AF125,SUM($F125:N125)-$E125-SUM($S125:Z125)),0)</f>
        <v>0</v>
      </c>
      <c r="AB125" s="5">
        <f>IF(SUM($F125:O125)-$E125-SUM($S125:AA125)&gt;0,MAX($AF125,SUM($F125:O125)-$E125-SUM($S125:AA125)),0)</f>
        <v>0</v>
      </c>
      <c r="AC125" s="5">
        <f>IF(SUM($F125:P125)-$E125-SUM($S125:AB125)&gt;0,MAX($AF125,SUM($F125:P125)-$E125-SUM($S125:AB125)),0)</f>
        <v>0</v>
      </c>
      <c r="AD125" s="5">
        <f>IF(SUM($F125:Q125)-$E125-SUM($S125:AC125)&gt;0,MAX($AF125,SUM($F125:Q125)-$E125-SUM($S125:AC125)),0)</f>
        <v>0</v>
      </c>
      <c r="AE125" s="5">
        <f t="shared" si="7"/>
        <v>0</v>
      </c>
      <c r="AF125" s="5">
        <v>0</v>
      </c>
      <c r="AG125" s="1"/>
    </row>
    <row r="126" spans="1:33">
      <c r="A126" s="1" t="s">
        <v>309</v>
      </c>
      <c r="B126" s="1" t="s">
        <v>310</v>
      </c>
      <c r="C126" s="1" t="s">
        <v>4</v>
      </c>
      <c r="D126" s="1" t="s">
        <v>393</v>
      </c>
      <c r="E126" s="5">
        <v>0</v>
      </c>
      <c r="F126" s="5">
        <v>0</v>
      </c>
      <c r="G126" s="5">
        <v>6032</v>
      </c>
      <c r="H126" s="5">
        <v>0</v>
      </c>
      <c r="I126" s="5">
        <v>0</v>
      </c>
      <c r="J126" s="5">
        <v>7238</v>
      </c>
      <c r="K126" s="5">
        <v>0</v>
      </c>
      <c r="L126" s="5">
        <v>0</v>
      </c>
      <c r="M126" s="5">
        <v>4825</v>
      </c>
      <c r="N126" s="5">
        <v>0</v>
      </c>
      <c r="O126" s="5">
        <v>0</v>
      </c>
      <c r="P126" s="5">
        <v>0</v>
      </c>
      <c r="Q126" s="5">
        <v>5474</v>
      </c>
      <c r="R126" s="5">
        <f t="shared" si="6"/>
        <v>23569</v>
      </c>
      <c r="S126" s="5">
        <f>IF(SUM($F126:F126)-$E126-0&gt;0,MAX($AF126,SUM($F126:F126)-$E126-0),0)</f>
        <v>0</v>
      </c>
      <c r="T126" s="5">
        <f>IF(SUM($F126:G126)-$E126-SUM($S126:S126)&gt;0,MAX($AF126,SUM($F126:G126)-$E126-SUM($S126:S126)),0)</f>
        <v>6032</v>
      </c>
      <c r="U126" s="5">
        <f>IF(SUM($F126:H126)-$E126-SUM($S126:T126)&gt;0,MAX($AF126,SUM($F126:H126)-$E126-SUM($S126:T126)),0)</f>
        <v>0</v>
      </c>
      <c r="V126" s="5">
        <f>IF(SUM($F126:I126)-$E126-SUM($S126:U126)&gt;0,MAX($AF126,SUM($F126:I126)-$E126-SUM($S126:U126)),0)</f>
        <v>0</v>
      </c>
      <c r="W126" s="5">
        <f>IF(SUM($F126:J126)-$E126-SUM($S126:V126)&gt;0,MAX($AF126,SUM($F126:J126)-$E126-SUM($S126:V126)),0)</f>
        <v>7238</v>
      </c>
      <c r="X126" s="5">
        <f>IF(SUM($F126:K126)-$E126-SUM($S126:W126)&gt;0,MAX($AF126,SUM($F126:K126)-$E126-SUM($S126:W126)),0)</f>
        <v>0</v>
      </c>
      <c r="Y126" s="5">
        <f>IF(SUM($F126:L126)-$E126-SUM($S126:X126)&gt;0,MAX($AF126,SUM($F126:L126)-$E126-SUM($S126:X126)),0)</f>
        <v>0</v>
      </c>
      <c r="Z126" s="5">
        <f>IF(SUM($F126:M126)-$E126-SUM($S126:Y126)&gt;0,MAX($AF126,SUM($F126:M126)-$E126-SUM($S126:Y126)),0)</f>
        <v>4825</v>
      </c>
      <c r="AA126" s="5">
        <f>IF(SUM($F126:N126)-$E126-SUM($S126:Z126)&gt;0,MAX($AF126,SUM($F126:N126)-$E126-SUM($S126:Z126)),0)</f>
        <v>0</v>
      </c>
      <c r="AB126" s="5">
        <f>IF(SUM($F126:O126)-$E126-SUM($S126:AA126)&gt;0,MAX($AF126,SUM($F126:O126)-$E126-SUM($S126:AA126)),0)</f>
        <v>0</v>
      </c>
      <c r="AC126" s="5">
        <f>IF(SUM($F126:P126)-$E126-SUM($S126:AB126)&gt;0,MAX($AF126,SUM($F126:P126)-$E126-SUM($S126:AB126)),0)</f>
        <v>0</v>
      </c>
      <c r="AD126" s="5">
        <f>IF(SUM($F126:Q126)-$E126-SUM($S126:AC126)&gt;0,MAX($AF126,SUM($F126:Q126)-$E126-SUM($S126:AC126)),0)</f>
        <v>5474</v>
      </c>
      <c r="AE126" s="5">
        <f t="shared" si="7"/>
        <v>23569</v>
      </c>
      <c r="AF126" s="5">
        <v>0</v>
      </c>
      <c r="AG126" s="1"/>
    </row>
    <row r="127" spans="1:33">
      <c r="A127" s="1" t="s">
        <v>311</v>
      </c>
      <c r="B127" s="1" t="s">
        <v>312</v>
      </c>
      <c r="C127" s="1" t="s">
        <v>4</v>
      </c>
      <c r="D127" s="1" t="s">
        <v>393</v>
      </c>
      <c r="E127" s="5">
        <v>17990.298281777781</v>
      </c>
      <c r="F127" s="5">
        <v>18120.400000000001</v>
      </c>
      <c r="G127" s="5">
        <v>15854.4</v>
      </c>
      <c r="H127" s="5">
        <v>4602</v>
      </c>
      <c r="I127" s="5">
        <v>15294.400000000001</v>
      </c>
      <c r="J127" s="5">
        <v>11557.6</v>
      </c>
      <c r="K127" s="5">
        <v>19886.400000000001</v>
      </c>
      <c r="L127" s="5">
        <v>12560.4</v>
      </c>
      <c r="M127" s="5">
        <v>9973.2000000000007</v>
      </c>
      <c r="N127" s="5">
        <v>5014.8</v>
      </c>
      <c r="O127" s="5">
        <v>5016</v>
      </c>
      <c r="P127" s="5">
        <v>8597.6</v>
      </c>
      <c r="Q127" s="5">
        <v>0</v>
      </c>
      <c r="R127" s="5">
        <f t="shared" si="6"/>
        <v>126477.20000000001</v>
      </c>
      <c r="S127" s="5">
        <f>IF(SUM($F127:F127)-$E127-0&gt;0,MAX($AF127,SUM($F127:F127)-$E127-0),0)</f>
        <v>130.10171822222037</v>
      </c>
      <c r="T127" s="5">
        <f>IF(SUM($F127:G127)-$E127-SUM($S127:S127)&gt;0,MAX($AF127,SUM($F127:G127)-$E127-SUM($S127:S127)),0)</f>
        <v>15854.400000000001</v>
      </c>
      <c r="U127" s="5">
        <f>IF(SUM($F127:H127)-$E127-SUM($S127:T127)&gt;0,MAX($AF127,SUM($F127:H127)-$E127-SUM($S127:T127)),0)</f>
        <v>4602</v>
      </c>
      <c r="V127" s="5">
        <f>IF(SUM($F127:I127)-$E127-SUM($S127:U127)&gt;0,MAX($AF127,SUM($F127:I127)-$E127-SUM($S127:U127)),0)</f>
        <v>15294.400000000001</v>
      </c>
      <c r="W127" s="5">
        <f>IF(SUM($F127:J127)-$E127-SUM($S127:V127)&gt;0,MAX($AF127,SUM($F127:J127)-$E127-SUM($S127:V127)),0)</f>
        <v>11557.599999999999</v>
      </c>
      <c r="X127" s="5">
        <f>IF(SUM($F127:K127)-$E127-SUM($S127:W127)&gt;0,MAX($AF127,SUM($F127:K127)-$E127-SUM($S127:W127)),0)</f>
        <v>19886.400000000009</v>
      </c>
      <c r="Y127" s="5">
        <f>IF(SUM($F127:L127)-$E127-SUM($S127:X127)&gt;0,MAX($AF127,SUM($F127:L127)-$E127-SUM($S127:X127)),0)</f>
        <v>12560.399999999994</v>
      </c>
      <c r="Z127" s="5">
        <f>IF(SUM($F127:M127)-$E127-SUM($S127:Y127)&gt;0,MAX($AF127,SUM($F127:M127)-$E127-SUM($S127:Y127)),0)</f>
        <v>9973.1999999999971</v>
      </c>
      <c r="AA127" s="5">
        <f>IF(SUM($F127:N127)-$E127-SUM($S127:Z127)&gt;0,MAX($AF127,SUM($F127:N127)-$E127-SUM($S127:Z127)),0)</f>
        <v>5014.8000000000029</v>
      </c>
      <c r="AB127" s="5">
        <f>IF(SUM($F127:O127)-$E127-SUM($S127:AA127)&gt;0,MAX($AF127,SUM($F127:O127)-$E127-SUM($S127:AA127)),0)</f>
        <v>5016</v>
      </c>
      <c r="AC127" s="5">
        <f>IF(SUM($F127:P127)-$E127-SUM($S127:AB127)&gt;0,MAX($AF127,SUM($F127:P127)-$E127-SUM($S127:AB127)),0)</f>
        <v>8597.6000000000058</v>
      </c>
      <c r="AD127" s="5">
        <f>IF(SUM($F127:Q127)-$E127-SUM($S127:AC127)&gt;0,MAX($AF127,SUM($F127:Q127)-$E127-SUM($S127:AC127)),0)</f>
        <v>0</v>
      </c>
      <c r="AE127" s="5">
        <f t="shared" si="7"/>
        <v>108486.90171822223</v>
      </c>
      <c r="AF127" s="5">
        <v>0</v>
      </c>
      <c r="AG127" s="1"/>
    </row>
    <row r="128" spans="1:33">
      <c r="A128" s="1" t="s">
        <v>313</v>
      </c>
      <c r="B128" s="1" t="s">
        <v>314</v>
      </c>
      <c r="C128" s="1" t="s">
        <v>4</v>
      </c>
      <c r="D128" s="1" t="s">
        <v>393</v>
      </c>
      <c r="E128" s="5">
        <v>20824.477802111385</v>
      </c>
      <c r="F128" s="5">
        <v>3825</v>
      </c>
      <c r="G128" s="5">
        <v>8321</v>
      </c>
      <c r="H128" s="5">
        <v>2033.2938688927106</v>
      </c>
      <c r="I128" s="5">
        <v>605</v>
      </c>
      <c r="J128" s="5">
        <v>11761</v>
      </c>
      <c r="K128" s="5">
        <v>10059</v>
      </c>
      <c r="L128" s="5">
        <v>2563</v>
      </c>
      <c r="M128" s="5">
        <v>2165</v>
      </c>
      <c r="N128" s="5">
        <v>69</v>
      </c>
      <c r="O128" s="5">
        <v>3505</v>
      </c>
      <c r="P128" s="5">
        <v>7193</v>
      </c>
      <c r="Q128" s="5">
        <v>7523</v>
      </c>
      <c r="R128" s="5">
        <f t="shared" si="6"/>
        <v>59622.29386889271</v>
      </c>
      <c r="S128" s="5">
        <f>IF(SUM($F128:F128)-$E128-0&gt;0,MAX($AF128,SUM($F128:F128)-$E128-0),0)</f>
        <v>0</v>
      </c>
      <c r="T128" s="5">
        <f>IF(SUM($F128:G128)-$E128-SUM($S128:S128)&gt;0,MAX($AF128,SUM($F128:G128)-$E128-SUM($S128:S128)),0)</f>
        <v>0</v>
      </c>
      <c r="U128" s="5">
        <f>IF(SUM($F128:H128)-$E128-SUM($S128:T128)&gt;0,MAX($AF128,SUM($F128:H128)-$E128-SUM($S128:T128)),0)</f>
        <v>0</v>
      </c>
      <c r="V128" s="5">
        <f>IF(SUM($F128:I128)-$E128-SUM($S128:U128)&gt;0,MAX($AF128,SUM($F128:I128)-$E128-SUM($S128:U128)),0)</f>
        <v>0</v>
      </c>
      <c r="W128" s="5">
        <f>IF(SUM($F128:J128)-$E128-SUM($S128:V128)&gt;0,MAX($AF128,SUM($F128:J128)-$E128-SUM($S128:V128)),0)</f>
        <v>5720.8160667813245</v>
      </c>
      <c r="X128" s="5">
        <f>IF(SUM($F128:K128)-$E128-SUM($S128:W128)&gt;0,MAX($AF128,SUM($F128:K128)-$E128-SUM($S128:W128)),0)</f>
        <v>10059</v>
      </c>
      <c r="Y128" s="5">
        <f>IF(SUM($F128:L128)-$E128-SUM($S128:X128)&gt;0,MAX($AF128,SUM($F128:L128)-$E128-SUM($S128:X128)),0)</f>
        <v>2563</v>
      </c>
      <c r="Z128" s="5">
        <f>IF(SUM($F128:M128)-$E128-SUM($S128:Y128)&gt;0,MAX($AF128,SUM($F128:M128)-$E128-SUM($S128:Y128)),0)</f>
        <v>2165</v>
      </c>
      <c r="AA128" s="5">
        <f>IF(SUM($F128:N128)-$E128-SUM($S128:Z128)&gt;0,MAX($AF128,SUM($F128:N128)-$E128-SUM($S128:Z128)),0)</f>
        <v>69</v>
      </c>
      <c r="AB128" s="5">
        <f>IF(SUM($F128:O128)-$E128-SUM($S128:AA128)&gt;0,MAX($AF128,SUM($F128:O128)-$E128-SUM($S128:AA128)),0)</f>
        <v>3505</v>
      </c>
      <c r="AC128" s="5">
        <f>IF(SUM($F128:P128)-$E128-SUM($S128:AB128)&gt;0,MAX($AF128,SUM($F128:P128)-$E128-SUM($S128:AB128)),0)</f>
        <v>7193</v>
      </c>
      <c r="AD128" s="5">
        <f>IF(SUM($F128:Q128)-$E128-SUM($S128:AC128)&gt;0,MAX($AF128,SUM($F128:Q128)-$E128-SUM($S128:AC128)),0)</f>
        <v>7522.9999999999964</v>
      </c>
      <c r="AE128" s="5">
        <f t="shared" si="7"/>
        <v>38797.816066781321</v>
      </c>
      <c r="AF128" s="5">
        <v>0</v>
      </c>
      <c r="AG128" s="1"/>
    </row>
    <row r="129" spans="1:33">
      <c r="A129" s="1" t="s">
        <v>315</v>
      </c>
      <c r="B129" s="1" t="s">
        <v>316</v>
      </c>
      <c r="C129" s="1" t="s">
        <v>4</v>
      </c>
      <c r="D129" s="1" t="s">
        <v>393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23536</v>
      </c>
      <c r="R129" s="5">
        <f t="shared" si="6"/>
        <v>23536</v>
      </c>
      <c r="S129" s="5">
        <f>IF(SUM($F129:F129)-$E129-0&gt;0,MAX($AF129,SUM($F129:F129)-$E129-0),0)</f>
        <v>0</v>
      </c>
      <c r="T129" s="5">
        <f>IF(SUM($F129:G129)-$E129-SUM($S129:S129)&gt;0,MAX($AF129,SUM($F129:G129)-$E129-SUM($S129:S129)),0)</f>
        <v>0</v>
      </c>
      <c r="U129" s="5">
        <f>IF(SUM($F129:H129)-$E129-SUM($S129:T129)&gt;0,MAX($AF129,SUM($F129:H129)-$E129-SUM($S129:T129)),0)</f>
        <v>0</v>
      </c>
      <c r="V129" s="5">
        <f>IF(SUM($F129:I129)-$E129-SUM($S129:U129)&gt;0,MAX($AF129,SUM($F129:I129)-$E129-SUM($S129:U129)),0)</f>
        <v>0</v>
      </c>
      <c r="W129" s="5">
        <f>IF(SUM($F129:J129)-$E129-SUM($S129:V129)&gt;0,MAX($AF129,SUM($F129:J129)-$E129-SUM($S129:V129)),0)</f>
        <v>0</v>
      </c>
      <c r="X129" s="5">
        <f>IF(SUM($F129:K129)-$E129-SUM($S129:W129)&gt;0,MAX($AF129,SUM($F129:K129)-$E129-SUM($S129:W129)),0)</f>
        <v>0</v>
      </c>
      <c r="Y129" s="5">
        <f>IF(SUM($F129:L129)-$E129-SUM($S129:X129)&gt;0,MAX($AF129,SUM($F129:L129)-$E129-SUM($S129:X129)),0)</f>
        <v>0</v>
      </c>
      <c r="Z129" s="5">
        <f>IF(SUM($F129:M129)-$E129-SUM($S129:Y129)&gt;0,MAX($AF129,SUM($F129:M129)-$E129-SUM($S129:Y129)),0)</f>
        <v>0</v>
      </c>
      <c r="AA129" s="5">
        <f>IF(SUM($F129:N129)-$E129-SUM($S129:Z129)&gt;0,MAX($AF129,SUM($F129:N129)-$E129-SUM($S129:Z129)),0)</f>
        <v>0</v>
      </c>
      <c r="AB129" s="5">
        <f>IF(SUM($F129:O129)-$E129-SUM($S129:AA129)&gt;0,MAX($AF129,SUM($F129:O129)-$E129-SUM($S129:AA129)),0)</f>
        <v>0</v>
      </c>
      <c r="AC129" s="5">
        <f>IF(SUM($F129:P129)-$E129-SUM($S129:AB129)&gt;0,MAX($AF129,SUM($F129:P129)-$E129-SUM($S129:AB129)),0)</f>
        <v>0</v>
      </c>
      <c r="AD129" s="5">
        <f>IF(SUM($F129:Q129)-$E129-SUM($S129:AC129)&gt;0,MAX($AF129,SUM($F129:Q129)-$E129-SUM($S129:AC129)),0)</f>
        <v>23536</v>
      </c>
      <c r="AE129" s="5">
        <f t="shared" si="7"/>
        <v>23536</v>
      </c>
      <c r="AF129" s="5">
        <v>0</v>
      </c>
      <c r="AG129" s="1"/>
    </row>
    <row r="130" spans="1:33">
      <c r="A130" s="1" t="s">
        <v>317</v>
      </c>
      <c r="B130" s="1" t="s">
        <v>318</v>
      </c>
      <c r="C130" s="1" t="s">
        <v>4</v>
      </c>
      <c r="D130" s="1" t="s">
        <v>390</v>
      </c>
      <c r="E130" s="5">
        <v>0</v>
      </c>
      <c r="F130" s="5">
        <v>175.07200835918761</v>
      </c>
      <c r="G130" s="5">
        <v>225.7967937788971</v>
      </c>
      <c r="H130" s="5">
        <v>304.81996544201178</v>
      </c>
      <c r="I130" s="5">
        <v>244.6840174979427</v>
      </c>
      <c r="J130" s="5">
        <v>363.4386299935947</v>
      </c>
      <c r="K130" s="5">
        <v>433.87197876262616</v>
      </c>
      <c r="L130" s="5">
        <v>260.65998297878787</v>
      </c>
      <c r="M130" s="5">
        <v>135.51120673434346</v>
      </c>
      <c r="N130" s="5">
        <v>80.843218560606061</v>
      </c>
      <c r="O130" s="5">
        <v>123.08674151515149</v>
      </c>
      <c r="P130" s="5">
        <v>186.04651436363639</v>
      </c>
      <c r="Q130" s="5">
        <v>266.86199906565656</v>
      </c>
      <c r="R130" s="5">
        <f t="shared" si="6"/>
        <v>2800.6930570524423</v>
      </c>
      <c r="S130" s="5">
        <f>IF(SUM($F130:F130)-$E130-0&gt;0,MAX($AF130,SUM($F130:F130)-$E130-0),0)</f>
        <v>175.07200835918761</v>
      </c>
      <c r="T130" s="5">
        <f>IF(SUM($F130:G130)-$E130-SUM($S130:S130)&gt;0,MAX($AF130,SUM($F130:G130)-$E130-SUM($S130:S130)),0)</f>
        <v>225.79679377889707</v>
      </c>
      <c r="U130" s="5">
        <f>IF(SUM($F130:H130)-$E130-SUM($S130:T130)&gt;0,MAX($AF130,SUM($F130:H130)-$E130-SUM($S130:T130)),0)</f>
        <v>304.81996544201183</v>
      </c>
      <c r="V130" s="5">
        <f>IF(SUM($F130:I130)-$E130-SUM($S130:U130)&gt;0,MAX($AF130,SUM($F130:I130)-$E130-SUM($S130:U130)),0)</f>
        <v>244.6840174979427</v>
      </c>
      <c r="W130" s="5">
        <f>IF(SUM($F130:J130)-$E130-SUM($S130:V130)&gt;0,MAX($AF130,SUM($F130:J130)-$E130-SUM($S130:V130)),0)</f>
        <v>363.43862999359476</v>
      </c>
      <c r="X130" s="5">
        <f>IF(SUM($F130:K130)-$E130-SUM($S130:W130)&gt;0,MAX($AF130,SUM($F130:K130)-$E130-SUM($S130:W130)),0)</f>
        <v>433.87197876262621</v>
      </c>
      <c r="Y130" s="5">
        <f>IF(SUM($F130:L130)-$E130-SUM($S130:X130)&gt;0,MAX($AF130,SUM($F130:L130)-$E130-SUM($S130:X130)),0)</f>
        <v>260.65998297878787</v>
      </c>
      <c r="Z130" s="5">
        <f>IF(SUM($F130:M130)-$E130-SUM($S130:Y130)&gt;0,MAX($AF130,SUM($F130:M130)-$E130-SUM($S130:Y130)),0)</f>
        <v>135.51120673434343</v>
      </c>
      <c r="AA130" s="5">
        <f>IF(SUM($F130:N130)-$E130-SUM($S130:Z130)&gt;0,MAX($AF130,SUM($F130:N130)-$E130-SUM($S130:Z130)),0)</f>
        <v>80.843218560606147</v>
      </c>
      <c r="AB130" s="5">
        <f>IF(SUM($F130:O130)-$E130-SUM($S130:AA130)&gt;0,MAX($AF130,SUM($F130:O130)-$E130-SUM($S130:AA130)),0)</f>
        <v>123.08674151515152</v>
      </c>
      <c r="AC130" s="5">
        <f>IF(SUM($F130:P130)-$E130-SUM($S130:AB130)&gt;0,MAX($AF130,SUM($F130:P130)-$E130-SUM($S130:AB130)),0)</f>
        <v>186.04651436363656</v>
      </c>
      <c r="AD130" s="5">
        <f>IF(SUM($F130:Q130)-$E130-SUM($S130:AC130)&gt;0,MAX($AF130,SUM($F130:Q130)-$E130-SUM($S130:AC130)),0)</f>
        <v>266.86199906565662</v>
      </c>
      <c r="AE130" s="5">
        <f t="shared" si="7"/>
        <v>2800.6930570524423</v>
      </c>
      <c r="AF130" s="5">
        <v>0</v>
      </c>
      <c r="AG130" s="1" t="s">
        <v>395</v>
      </c>
    </row>
    <row r="131" spans="1:33">
      <c r="A131" s="1" t="s">
        <v>319</v>
      </c>
      <c r="B131" s="1" t="s">
        <v>320</v>
      </c>
      <c r="C131" s="1" t="s">
        <v>4</v>
      </c>
      <c r="D131" s="1" t="s">
        <v>393</v>
      </c>
      <c r="E131" s="5">
        <v>0</v>
      </c>
      <c r="F131" s="5">
        <v>17994.429944106116</v>
      </c>
      <c r="G131" s="5">
        <v>80279.815568587146</v>
      </c>
      <c r="H131" s="5">
        <v>21641.473787241208</v>
      </c>
      <c r="I131" s="5">
        <v>9131.743717012354</v>
      </c>
      <c r="J131" s="5">
        <v>79776.580011083599</v>
      </c>
      <c r="K131" s="5">
        <v>42866.288003096226</v>
      </c>
      <c r="L131" s="5">
        <v>37296.696833333335</v>
      </c>
      <c r="M131" s="5">
        <v>28967.547999999999</v>
      </c>
      <c r="N131" s="5">
        <v>11265.85</v>
      </c>
      <c r="O131" s="5">
        <v>19840.290188091931</v>
      </c>
      <c r="P131" s="5">
        <v>52171.546626846161</v>
      </c>
      <c r="Q131" s="5">
        <v>49030.085928703891</v>
      </c>
      <c r="R131" s="5">
        <f t="shared" si="6"/>
        <v>450262.34860810195</v>
      </c>
      <c r="S131" s="5">
        <f>IF(SUM($F131:F131)-$E131-0&gt;0,MAX($AF131,SUM($F131:F131)-$E131-0),0)</f>
        <v>17994.429944106116</v>
      </c>
      <c r="T131" s="5">
        <f>IF(SUM($F131:G131)-$E131-SUM($S131:S131)&gt;0,MAX($AF131,SUM($F131:G131)-$E131-SUM($S131:S131)),0)</f>
        <v>80279.815568587146</v>
      </c>
      <c r="U131" s="5">
        <f>IF(SUM($F131:H131)-$E131-SUM($S131:T131)&gt;0,MAX($AF131,SUM($F131:H131)-$E131-SUM($S131:T131)),0)</f>
        <v>21641.473787241208</v>
      </c>
      <c r="V131" s="5">
        <f>IF(SUM($F131:I131)-$E131-SUM($S131:U131)&gt;0,MAX($AF131,SUM($F131:I131)-$E131-SUM($S131:U131)),0)</f>
        <v>9131.7437170123594</v>
      </c>
      <c r="W131" s="5">
        <f>IF(SUM($F131:J131)-$E131-SUM($S131:V131)&gt;0,MAX($AF131,SUM($F131:J131)-$E131-SUM($S131:V131)),0)</f>
        <v>79776.580011083599</v>
      </c>
      <c r="X131" s="5">
        <f>IF(SUM($F131:K131)-$E131-SUM($S131:W131)&gt;0,MAX($AF131,SUM($F131:K131)-$E131-SUM($S131:W131)),0)</f>
        <v>42866.288003096241</v>
      </c>
      <c r="Y131" s="5">
        <f>IF(SUM($F131:L131)-$E131-SUM($S131:X131)&gt;0,MAX($AF131,SUM($F131:L131)-$E131-SUM($S131:X131)),0)</f>
        <v>37296.69683333335</v>
      </c>
      <c r="Z131" s="5">
        <f>IF(SUM($F131:M131)-$E131-SUM($S131:Y131)&gt;0,MAX($AF131,SUM($F131:M131)-$E131-SUM($S131:Y131)),0)</f>
        <v>28967.54800000001</v>
      </c>
      <c r="AA131" s="5">
        <f>IF(SUM($F131:N131)-$E131-SUM($S131:Z131)&gt;0,MAX($AF131,SUM($F131:N131)-$E131-SUM($S131:Z131)),0)</f>
        <v>11265.849999999977</v>
      </c>
      <c r="AB131" s="5">
        <f>IF(SUM($F131:O131)-$E131-SUM($S131:AA131)&gt;0,MAX($AF131,SUM($F131:O131)-$E131-SUM($S131:AA131)),0)</f>
        <v>19840.290188091923</v>
      </c>
      <c r="AC131" s="5">
        <f>IF(SUM($F131:P131)-$E131-SUM($S131:AB131)&gt;0,MAX($AF131,SUM($F131:P131)-$E131-SUM($S131:AB131)),0)</f>
        <v>52171.546626846131</v>
      </c>
      <c r="AD131" s="5">
        <f>IF(SUM($F131:Q131)-$E131-SUM($S131:AC131)&gt;0,MAX($AF131,SUM($F131:Q131)-$E131-SUM($S131:AC131)),0)</f>
        <v>49030.085928703891</v>
      </c>
      <c r="AE131" s="5">
        <f t="shared" si="7"/>
        <v>450262.34860810195</v>
      </c>
      <c r="AF131" s="5">
        <v>0</v>
      </c>
      <c r="AG131" s="1"/>
    </row>
    <row r="132" spans="1:33">
      <c r="A132" s="1" t="s">
        <v>321</v>
      </c>
      <c r="B132" s="1" t="s">
        <v>322</v>
      </c>
      <c r="C132" s="1" t="s">
        <v>4</v>
      </c>
      <c r="D132" s="1" t="s">
        <v>393</v>
      </c>
      <c r="E132" s="5">
        <v>0</v>
      </c>
      <c r="F132" s="5">
        <v>226</v>
      </c>
      <c r="G132" s="5">
        <v>44.158378505323498</v>
      </c>
      <c r="H132" s="5">
        <v>495</v>
      </c>
      <c r="I132" s="5">
        <v>22</v>
      </c>
      <c r="J132" s="5">
        <v>140</v>
      </c>
      <c r="K132" s="5">
        <v>546</v>
      </c>
      <c r="L132" s="5">
        <v>168</v>
      </c>
      <c r="M132" s="5">
        <v>46</v>
      </c>
      <c r="N132" s="5">
        <v>0</v>
      </c>
      <c r="O132" s="5">
        <v>368</v>
      </c>
      <c r="P132" s="5">
        <v>237</v>
      </c>
      <c r="Q132" s="5">
        <v>41</v>
      </c>
      <c r="R132" s="5">
        <f t="shared" si="6"/>
        <v>2333.1583785053235</v>
      </c>
      <c r="S132" s="5">
        <f>IF(SUM($F132:F132)-$E132-0&gt;0,MAX($AF132,SUM($F132:F132)-$E132-0),0)</f>
        <v>226</v>
      </c>
      <c r="T132" s="5">
        <f>IF(SUM($F132:G132)-$E132-SUM($S132:S132)&gt;0,MAX($AF132,SUM($F132:G132)-$E132-SUM($S132:S132)),0)</f>
        <v>44.158378505323526</v>
      </c>
      <c r="U132" s="5">
        <f>IF(SUM($F132:H132)-$E132-SUM($S132:T132)&gt;0,MAX($AF132,SUM($F132:H132)-$E132-SUM($S132:T132)),0)</f>
        <v>495</v>
      </c>
      <c r="V132" s="5">
        <f>IF(SUM($F132:I132)-$E132-SUM($S132:U132)&gt;0,MAX($AF132,SUM($F132:I132)-$E132-SUM($S132:U132)),0)</f>
        <v>22</v>
      </c>
      <c r="W132" s="5">
        <f>IF(SUM($F132:J132)-$E132-SUM($S132:V132)&gt;0,MAX($AF132,SUM($F132:J132)-$E132-SUM($S132:V132)),0)</f>
        <v>140</v>
      </c>
      <c r="X132" s="5">
        <f>IF(SUM($F132:K132)-$E132-SUM($S132:W132)&gt;0,MAX($AF132,SUM($F132:K132)-$E132-SUM($S132:W132)),0)</f>
        <v>546</v>
      </c>
      <c r="Y132" s="5">
        <f>IF(SUM($F132:L132)-$E132-SUM($S132:X132)&gt;0,MAX($AF132,SUM($F132:L132)-$E132-SUM($S132:X132)),0)</f>
        <v>168</v>
      </c>
      <c r="Z132" s="5">
        <f>IF(SUM($F132:M132)-$E132-SUM($S132:Y132)&gt;0,MAX($AF132,SUM($F132:M132)-$E132-SUM($S132:Y132)),0)</f>
        <v>46</v>
      </c>
      <c r="AA132" s="5">
        <f>IF(SUM($F132:N132)-$E132-SUM($S132:Z132)&gt;0,MAX($AF132,SUM($F132:N132)-$E132-SUM($S132:Z132)),0)</f>
        <v>0</v>
      </c>
      <c r="AB132" s="5">
        <f>IF(SUM($F132:O132)-$E132-SUM($S132:AA132)&gt;0,MAX($AF132,SUM($F132:O132)-$E132-SUM($S132:AA132)),0)</f>
        <v>368</v>
      </c>
      <c r="AC132" s="5">
        <f>IF(SUM($F132:P132)-$E132-SUM($S132:AB132)&gt;0,MAX($AF132,SUM($F132:P132)-$E132-SUM($S132:AB132)),0)</f>
        <v>237</v>
      </c>
      <c r="AD132" s="5">
        <f>IF(SUM($F132:Q132)-$E132-SUM($S132:AC132)&gt;0,MAX($AF132,SUM($F132:Q132)-$E132-SUM($S132:AC132)),0)</f>
        <v>41</v>
      </c>
      <c r="AE132" s="5">
        <f t="shared" si="7"/>
        <v>2333.1583785053235</v>
      </c>
      <c r="AF132" s="5">
        <v>0</v>
      </c>
      <c r="AG132" s="1"/>
    </row>
    <row r="133" spans="1:33">
      <c r="A133" s="1" t="s">
        <v>323</v>
      </c>
      <c r="B133" s="1" t="s">
        <v>324</v>
      </c>
      <c r="C133" s="1" t="s">
        <v>4</v>
      </c>
      <c r="D133" s="1" t="s">
        <v>393</v>
      </c>
      <c r="E133" s="5">
        <v>8223.7843440736578</v>
      </c>
      <c r="F133" s="5">
        <v>11314.949834459527</v>
      </c>
      <c r="G133" s="5">
        <v>18930.89347859261</v>
      </c>
      <c r="H133" s="5">
        <v>7960.5049247665484</v>
      </c>
      <c r="I133" s="5">
        <v>9660.6614419439975</v>
      </c>
      <c r="J133" s="5">
        <v>10988.255430361893</v>
      </c>
      <c r="K133" s="5">
        <v>32608.846153846152</v>
      </c>
      <c r="L133" s="5">
        <v>12736.583333333332</v>
      </c>
      <c r="M133" s="5">
        <v>9202.2948717948711</v>
      </c>
      <c r="N133" s="5">
        <v>3682.5</v>
      </c>
      <c r="O133" s="5">
        <v>6157</v>
      </c>
      <c r="P133" s="5">
        <v>9523.9038461538457</v>
      </c>
      <c r="Q133" s="5">
        <v>14186.5</v>
      </c>
      <c r="R133" s="5">
        <f t="shared" si="6"/>
        <v>146952.89331525279</v>
      </c>
      <c r="S133" s="5">
        <f>IF(SUM($F133:F133)-$E133-0&gt;0,MAX($AF133,SUM($F133:F133)-$E133-0),0)</f>
        <v>3091.1654903858689</v>
      </c>
      <c r="T133" s="5">
        <f>IF(SUM($F133:G133)-$E133-SUM($S133:S133)&gt;0,MAX($AF133,SUM($F133:G133)-$E133-SUM($S133:S133)),0)</f>
        <v>18930.89347859261</v>
      </c>
      <c r="U133" s="5">
        <f>IF(SUM($F133:H133)-$E133-SUM($S133:T133)&gt;0,MAX($AF133,SUM($F133:H133)-$E133-SUM($S133:T133)),0)</f>
        <v>7960.504924766552</v>
      </c>
      <c r="V133" s="5">
        <f>IF(SUM($F133:I133)-$E133-SUM($S133:U133)&gt;0,MAX($AF133,SUM($F133:I133)-$E133-SUM($S133:U133)),0)</f>
        <v>9660.6614419439975</v>
      </c>
      <c r="W133" s="5">
        <f>IF(SUM($F133:J133)-$E133-SUM($S133:V133)&gt;0,MAX($AF133,SUM($F133:J133)-$E133-SUM($S133:V133)),0)</f>
        <v>10988.255430361896</v>
      </c>
      <c r="X133" s="5">
        <f>IF(SUM($F133:K133)-$E133-SUM($S133:W133)&gt;0,MAX($AF133,SUM($F133:K133)-$E133-SUM($S133:W133)),0)</f>
        <v>32608.846153846156</v>
      </c>
      <c r="Y133" s="5">
        <f>IF(SUM($F133:L133)-$E133-SUM($S133:X133)&gt;0,MAX($AF133,SUM($F133:L133)-$E133-SUM($S133:X133)),0)</f>
        <v>12736.583333333328</v>
      </c>
      <c r="Z133" s="5">
        <f>IF(SUM($F133:M133)-$E133-SUM($S133:Y133)&gt;0,MAX($AF133,SUM($F133:M133)-$E133-SUM($S133:Y133)),0)</f>
        <v>9202.2948717948748</v>
      </c>
      <c r="AA133" s="5">
        <f>IF(SUM($F133:N133)-$E133-SUM($S133:Z133)&gt;0,MAX($AF133,SUM($F133:N133)-$E133-SUM($S133:Z133)),0)</f>
        <v>3682.5</v>
      </c>
      <c r="AB133" s="5">
        <f>IF(SUM($F133:O133)-$E133-SUM($S133:AA133)&gt;0,MAX($AF133,SUM($F133:O133)-$E133-SUM($S133:AA133)),0)</f>
        <v>6157</v>
      </c>
      <c r="AC133" s="5">
        <f>IF(SUM($F133:P133)-$E133-SUM($S133:AB133)&gt;0,MAX($AF133,SUM($F133:P133)-$E133-SUM($S133:AB133)),0)</f>
        <v>9523.9038461538439</v>
      </c>
      <c r="AD133" s="5">
        <f>IF(SUM($F133:Q133)-$E133-SUM($S133:AC133)&gt;0,MAX($AF133,SUM($F133:Q133)-$E133-SUM($S133:AC133)),0)</f>
        <v>14186.500000000015</v>
      </c>
      <c r="AE133" s="5">
        <f t="shared" si="7"/>
        <v>138729.10897117914</v>
      </c>
      <c r="AF133" s="5">
        <v>0</v>
      </c>
      <c r="AG133" s="1"/>
    </row>
    <row r="134" spans="1:33">
      <c r="A134" s="1" t="s">
        <v>45</v>
      </c>
      <c r="B134" s="1" t="s">
        <v>325</v>
      </c>
      <c r="C134" s="1" t="s">
        <v>4</v>
      </c>
      <c r="D134" s="1" t="s">
        <v>390</v>
      </c>
      <c r="E134" s="5">
        <v>724.813316750936</v>
      </c>
      <c r="F134" s="5">
        <v>76.427556818181813</v>
      </c>
      <c r="G134" s="5">
        <v>247.74517045454547</v>
      </c>
      <c r="H134" s="5">
        <v>41.241798125497603</v>
      </c>
      <c r="I134" s="5">
        <v>12.251330303030304</v>
      </c>
      <c r="J134" s="5">
        <v>327.47562121212127</v>
      </c>
      <c r="K134" s="5">
        <v>200.98996212121216</v>
      </c>
      <c r="L134" s="5">
        <v>41.71032196969697</v>
      </c>
      <c r="M134" s="5">
        <v>105.04119318181819</v>
      </c>
      <c r="N134" s="5">
        <v>1.385227272727273</v>
      </c>
      <c r="O134" s="5">
        <v>70.058333333333337</v>
      </c>
      <c r="P134" s="5">
        <v>124.72982954545456</v>
      </c>
      <c r="Q134" s="5">
        <v>205.64857954545454</v>
      </c>
      <c r="R134" s="5">
        <f t="shared" si="6"/>
        <v>1454.7049238830734</v>
      </c>
      <c r="S134" s="5">
        <f>IF(SUM($F134:F134)-$E134-0&gt;0,MAX($AF134,SUM($F134:F134)-$E134-0),0)</f>
        <v>0</v>
      </c>
      <c r="T134" s="5">
        <f>IF(SUM($F134:G134)-$E134-SUM($S134:S134)&gt;0,MAX($AF134,SUM($F134:G134)-$E134-SUM($S134:S134)),0)</f>
        <v>0</v>
      </c>
      <c r="U134" s="5">
        <f>IF(SUM($F134:H134)-$E134-SUM($S134:T134)&gt;0,MAX($AF134,SUM($F134:H134)-$E134-SUM($S134:T134)),0)</f>
        <v>0</v>
      </c>
      <c r="V134" s="5">
        <f>IF(SUM($F134:I134)-$E134-SUM($S134:U134)&gt;0,MAX($AF134,SUM($F134:I134)-$E134-SUM($S134:U134)),0)</f>
        <v>0</v>
      </c>
      <c r="W134" s="5">
        <f>IF(SUM($F134:J134)-$E134-SUM($S134:V134)&gt;0,MAX($AF134,SUM($F134:J134)-$E134-SUM($S134:V134)),0)</f>
        <v>0</v>
      </c>
      <c r="X134" s="5">
        <f>IF(SUM($F134:K134)-$E134-SUM($S134:W134)&gt;0,MAX($AF134,SUM($F134:K134)-$E134-SUM($S134:W134)),0)</f>
        <v>181.31812228365254</v>
      </c>
      <c r="Y134" s="5">
        <f>IF(SUM($F134:L134)-$E134-SUM($S134:X134)&gt;0,MAX($AF134,SUM($F134:L134)-$E134-SUM($S134:X134)),0)</f>
        <v>41.71032196969702</v>
      </c>
      <c r="Z134" s="5">
        <f>IF(SUM($F134:M134)-$E134-SUM($S134:Y134)&gt;0,MAX($AF134,SUM($F134:M134)-$E134-SUM($S134:Y134)),0)</f>
        <v>105.04119318181813</v>
      </c>
      <c r="AA134" s="5">
        <f>IF(SUM($F134:N134)-$E134-SUM($S134:Z134)&gt;0,MAX($AF134,SUM($F134:N134)-$E134-SUM($S134:Z134)),0)</f>
        <v>1.3852272727272066</v>
      </c>
      <c r="AB134" s="5">
        <f>IF(SUM($F134:O134)-$E134-SUM($S134:AA134)&gt;0,MAX($AF134,SUM($F134:O134)-$E134-SUM($S134:AA134)),0)</f>
        <v>70.058333333333394</v>
      </c>
      <c r="AC134" s="5">
        <f>IF(SUM($F134:P134)-$E134-SUM($S134:AB134)&gt;0,MAX($AF134,SUM($F134:P134)-$E134-SUM($S134:AB134)),0)</f>
        <v>124.72982954545455</v>
      </c>
      <c r="AD134" s="5">
        <f>IF(SUM($F134:Q134)-$E134-SUM($S134:AC134)&gt;0,MAX($AF134,SUM($F134:Q134)-$E134-SUM($S134:AC134)),0)</f>
        <v>205.6485795454546</v>
      </c>
      <c r="AE134" s="5">
        <f t="shared" si="7"/>
        <v>729.89160713213744</v>
      </c>
      <c r="AF134" s="5">
        <v>0</v>
      </c>
      <c r="AG134" s="1" t="s">
        <v>396</v>
      </c>
    </row>
    <row r="135" spans="1:33">
      <c r="A135" s="1" t="s">
        <v>326</v>
      </c>
      <c r="B135" s="1" t="s">
        <v>327</v>
      </c>
      <c r="C135" s="1" t="s">
        <v>4</v>
      </c>
      <c r="D135" s="1" t="s">
        <v>390</v>
      </c>
      <c r="E135" s="5">
        <v>3609.5164969536359</v>
      </c>
      <c r="F135" s="5">
        <v>557.26437857310611</v>
      </c>
      <c r="G135" s="5">
        <v>485.71892928968435</v>
      </c>
      <c r="H135" s="5">
        <v>223.8884471454293</v>
      </c>
      <c r="I135" s="5">
        <v>471.00258571540405</v>
      </c>
      <c r="J135" s="5">
        <v>377.12834214895202</v>
      </c>
      <c r="K135" s="5">
        <v>750.69299999999998</v>
      </c>
      <c r="L135" s="5">
        <v>463.68399999999997</v>
      </c>
      <c r="M135" s="5">
        <v>393.34699999999998</v>
      </c>
      <c r="N135" s="5">
        <v>177.67399999999998</v>
      </c>
      <c r="O135" s="5">
        <v>193.917</v>
      </c>
      <c r="P135" s="5">
        <v>299.84800000000001</v>
      </c>
      <c r="Q135" s="5">
        <v>220.15</v>
      </c>
      <c r="R135" s="5">
        <f t="shared" si="6"/>
        <v>4614.315682872576</v>
      </c>
      <c r="S135" s="5">
        <f>IF(SUM($F135:F135)-$E135-0&gt;0,MAX($AF135,SUM($F135:F135)-$E135-0),0)</f>
        <v>0</v>
      </c>
      <c r="T135" s="5">
        <f>IF(SUM($F135:G135)-$E135-SUM($S135:S135)&gt;0,MAX($AF135,SUM($F135:G135)-$E135-SUM($S135:S135)),0)</f>
        <v>0</v>
      </c>
      <c r="U135" s="5">
        <f>IF(SUM($F135:H135)-$E135-SUM($S135:T135)&gt;0,MAX($AF135,SUM($F135:H135)-$E135-SUM($S135:T135)),0)</f>
        <v>0</v>
      </c>
      <c r="V135" s="5">
        <f>IF(SUM($F135:I135)-$E135-SUM($S135:U135)&gt;0,MAX($AF135,SUM($F135:I135)-$E135-SUM($S135:U135)),0)</f>
        <v>0</v>
      </c>
      <c r="W135" s="5">
        <f>IF(SUM($F135:J135)-$E135-SUM($S135:V135)&gt;0,MAX($AF135,SUM($F135:J135)-$E135-SUM($S135:V135)),0)</f>
        <v>0</v>
      </c>
      <c r="X135" s="5">
        <f>IF(SUM($F135:K135)-$E135-SUM($S135:W135)&gt;0,MAX($AF135,SUM($F135:K135)-$E135-SUM($S135:W135)),0)</f>
        <v>0</v>
      </c>
      <c r="Y135" s="5">
        <f>IF(SUM($F135:L135)-$E135-SUM($S135:X135)&gt;0,MAX($AF135,SUM($F135:L135)-$E135-SUM($S135:X135)),0)</f>
        <v>0</v>
      </c>
      <c r="Z135" s="5">
        <f>IF(SUM($F135:M135)-$E135-SUM($S135:Y135)&gt;0,MAX($AF135,SUM($F135:M135)-$E135-SUM($S135:Y135)),0)</f>
        <v>113.21018591894017</v>
      </c>
      <c r="AA135" s="5">
        <f>IF(SUM($F135:N135)-$E135-SUM($S135:Z135)&gt;0,MAX($AF135,SUM($F135:N135)-$E135-SUM($S135:Z135)),0)</f>
        <v>177.67399999999998</v>
      </c>
      <c r="AB135" s="5">
        <f>IF(SUM($F135:O135)-$E135-SUM($S135:AA135)&gt;0,MAX($AF135,SUM($F135:O135)-$E135-SUM($S135:AA135)),0)</f>
        <v>193.91699999999992</v>
      </c>
      <c r="AC135" s="5">
        <f>IF(SUM($F135:P135)-$E135-SUM($S135:AB135)&gt;0,MAX($AF135,SUM($F135:P135)-$E135-SUM($S135:AB135)),0)</f>
        <v>299.84800000000041</v>
      </c>
      <c r="AD135" s="5">
        <f>IF(SUM($F135:Q135)-$E135-SUM($S135:AC135)&gt;0,MAX($AF135,SUM($F135:Q135)-$E135-SUM($S135:AC135)),0)</f>
        <v>220.14999999999964</v>
      </c>
      <c r="AE135" s="5">
        <f t="shared" si="7"/>
        <v>1004.7991859189401</v>
      </c>
      <c r="AF135" s="5">
        <v>0</v>
      </c>
      <c r="AG135" s="1"/>
    </row>
    <row r="136" spans="1:33">
      <c r="A136" s="1" t="s">
        <v>328</v>
      </c>
      <c r="B136" s="1" t="s">
        <v>329</v>
      </c>
      <c r="C136" s="1" t="s">
        <v>4</v>
      </c>
      <c r="D136" s="1" t="s">
        <v>390</v>
      </c>
      <c r="E136" s="5">
        <v>2002.629431018122</v>
      </c>
      <c r="F136" s="5">
        <v>110.48499999999999</v>
      </c>
      <c r="G136" s="5">
        <v>77.535045958005725</v>
      </c>
      <c r="H136" s="5">
        <v>114.285</v>
      </c>
      <c r="I136" s="5">
        <v>53.864999999999995</v>
      </c>
      <c r="J136" s="5">
        <v>92.53</v>
      </c>
      <c r="K136" s="5">
        <v>61.274999999999999</v>
      </c>
      <c r="L136" s="5">
        <v>4.5599999999999996</v>
      </c>
      <c r="M136" s="5">
        <v>10.545</v>
      </c>
      <c r="N136" s="5">
        <v>1.0449999999999999</v>
      </c>
      <c r="O136" s="5">
        <v>40.375</v>
      </c>
      <c r="P136" s="5">
        <v>85.88</v>
      </c>
      <c r="Q136" s="5">
        <v>3.895</v>
      </c>
      <c r="R136" s="5">
        <f t="shared" ref="R136:R167" si="8">SUM(F136:Q136)</f>
        <v>656.27504595800553</v>
      </c>
      <c r="S136" s="5">
        <f>IF(SUM($F136:F136)-$E136-0&gt;0,MAX($AF136,SUM($F136:F136)-$E136-0),0)</f>
        <v>0</v>
      </c>
      <c r="T136" s="5">
        <f>IF(SUM($F136:G136)-$E136-SUM($S136:S136)&gt;0,MAX($AF136,SUM($F136:G136)-$E136-SUM($S136:S136)),0)</f>
        <v>0</v>
      </c>
      <c r="U136" s="5">
        <f>IF(SUM($F136:H136)-$E136-SUM($S136:T136)&gt;0,MAX($AF136,SUM($F136:H136)-$E136-SUM($S136:T136)),0)</f>
        <v>0</v>
      </c>
      <c r="V136" s="5">
        <f>IF(SUM($F136:I136)-$E136-SUM($S136:U136)&gt;0,MAX($AF136,SUM($F136:I136)-$E136-SUM($S136:U136)),0)</f>
        <v>0</v>
      </c>
      <c r="W136" s="5">
        <f>IF(SUM($F136:J136)-$E136-SUM($S136:V136)&gt;0,MAX($AF136,SUM($F136:J136)-$E136-SUM($S136:V136)),0)</f>
        <v>0</v>
      </c>
      <c r="X136" s="5">
        <f>IF(SUM($F136:K136)-$E136-SUM($S136:W136)&gt;0,MAX($AF136,SUM($F136:K136)-$E136-SUM($S136:W136)),0)</f>
        <v>0</v>
      </c>
      <c r="Y136" s="5">
        <f>IF(SUM($F136:L136)-$E136-SUM($S136:X136)&gt;0,MAX($AF136,SUM($F136:L136)-$E136-SUM($S136:X136)),0)</f>
        <v>0</v>
      </c>
      <c r="Z136" s="5">
        <f>IF(SUM($F136:M136)-$E136-SUM($S136:Y136)&gt;0,MAX($AF136,SUM($F136:M136)-$E136-SUM($S136:Y136)),0)</f>
        <v>0</v>
      </c>
      <c r="AA136" s="5">
        <f>IF(SUM($F136:N136)-$E136-SUM($S136:Z136)&gt;0,MAX($AF136,SUM($F136:N136)-$E136-SUM($S136:Z136)),0)</f>
        <v>0</v>
      </c>
      <c r="AB136" s="5">
        <f>IF(SUM($F136:O136)-$E136-SUM($S136:AA136)&gt;0,MAX($AF136,SUM($F136:O136)-$E136-SUM($S136:AA136)),0)</f>
        <v>0</v>
      </c>
      <c r="AC136" s="5">
        <f>IF(SUM($F136:P136)-$E136-SUM($S136:AB136)&gt;0,MAX($AF136,SUM($F136:P136)-$E136-SUM($S136:AB136)),0)</f>
        <v>0</v>
      </c>
      <c r="AD136" s="5">
        <f>IF(SUM($F136:Q136)-$E136-SUM($S136:AC136)&gt;0,MAX($AF136,SUM($F136:Q136)-$E136-SUM($S136:AC136)),0)</f>
        <v>0</v>
      </c>
      <c r="AE136" s="5">
        <f t="shared" ref="AE136:AE167" si="9">SUM(S136:AD136)</f>
        <v>0</v>
      </c>
      <c r="AF136" s="5">
        <v>0</v>
      </c>
      <c r="AG136" s="1"/>
    </row>
    <row r="137" spans="1:33">
      <c r="A137" s="1" t="s">
        <v>330</v>
      </c>
      <c r="B137" s="1" t="s">
        <v>331</v>
      </c>
      <c r="C137" s="1" t="s">
        <v>4</v>
      </c>
      <c r="D137" s="1" t="s">
        <v>393</v>
      </c>
      <c r="E137" s="5">
        <v>0</v>
      </c>
      <c r="F137" s="5">
        <v>380.69920942718227</v>
      </c>
      <c r="G137" s="5">
        <v>480.26261291679532</v>
      </c>
      <c r="H137" s="5">
        <v>748.80184416591999</v>
      </c>
      <c r="I137" s="5">
        <v>560.53006504947962</v>
      </c>
      <c r="J137" s="5">
        <v>902.58213791545438</v>
      </c>
      <c r="K137" s="5">
        <v>984.67961767676786</v>
      </c>
      <c r="L137" s="5">
        <v>614.78590545454563</v>
      </c>
      <c r="M137" s="5">
        <v>299.74799414141427</v>
      </c>
      <c r="N137" s="5">
        <v>192.37627575757577</v>
      </c>
      <c r="O137" s="5">
        <v>302.53130303030304</v>
      </c>
      <c r="P137" s="5">
        <v>438.72007121212101</v>
      </c>
      <c r="Q137" s="5">
        <v>646.74090252525252</v>
      </c>
      <c r="R137" s="5">
        <f t="shared" si="8"/>
        <v>6552.4579392728128</v>
      </c>
      <c r="S137" s="5">
        <f>IF(SUM($F137:F137)-$E137-0&gt;0,MAX($AF137,SUM($F137:F137)-$E137-0),0)</f>
        <v>380.69920942718227</v>
      </c>
      <c r="T137" s="5">
        <f>IF(SUM($F137:G137)-$E137-SUM($S137:S137)&gt;0,MAX($AF137,SUM($F137:G137)-$E137-SUM($S137:S137)),0)</f>
        <v>480.26261291679532</v>
      </c>
      <c r="U137" s="5">
        <f>IF(SUM($F137:H137)-$E137-SUM($S137:T137)&gt;0,MAX($AF137,SUM($F137:H137)-$E137-SUM($S137:T137)),0)</f>
        <v>748.80184416591999</v>
      </c>
      <c r="V137" s="5">
        <f>IF(SUM($F137:I137)-$E137-SUM($S137:U137)&gt;0,MAX($AF137,SUM($F137:I137)-$E137-SUM($S137:U137)),0)</f>
        <v>560.53006504947962</v>
      </c>
      <c r="W137" s="5">
        <f>IF(SUM($F137:J137)-$E137-SUM($S137:V137)&gt;0,MAX($AF137,SUM($F137:J137)-$E137-SUM($S137:V137)),0)</f>
        <v>902.5821379154545</v>
      </c>
      <c r="X137" s="5">
        <f>IF(SUM($F137:K137)-$E137-SUM($S137:W137)&gt;0,MAX($AF137,SUM($F137:K137)-$E137-SUM($S137:W137)),0)</f>
        <v>984.67961767676798</v>
      </c>
      <c r="Y137" s="5">
        <f>IF(SUM($F137:L137)-$E137-SUM($S137:X137)&gt;0,MAX($AF137,SUM($F137:L137)-$E137-SUM($S137:X137)),0)</f>
        <v>614.78590545454608</v>
      </c>
      <c r="Z137" s="5">
        <f>IF(SUM($F137:M137)-$E137-SUM($S137:Y137)&gt;0,MAX($AF137,SUM($F137:M137)-$E137-SUM($S137:Y137)),0)</f>
        <v>299.74799414141398</v>
      </c>
      <c r="AA137" s="5">
        <f>IF(SUM($F137:N137)-$E137-SUM($S137:Z137)&gt;0,MAX($AF137,SUM($F137:N137)-$E137-SUM($S137:Z137)),0)</f>
        <v>192.37627575757597</v>
      </c>
      <c r="AB137" s="5">
        <f>IF(SUM($F137:O137)-$E137-SUM($S137:AA137)&gt;0,MAX($AF137,SUM($F137:O137)-$E137-SUM($S137:AA137)),0)</f>
        <v>302.53130303030321</v>
      </c>
      <c r="AC137" s="5">
        <f>IF(SUM($F137:P137)-$E137-SUM($S137:AB137)&gt;0,MAX($AF137,SUM($F137:P137)-$E137-SUM($S137:AB137)),0)</f>
        <v>438.72007121212118</v>
      </c>
      <c r="AD137" s="5">
        <f>IF(SUM($F137:Q137)-$E137-SUM($S137:AC137)&gt;0,MAX($AF137,SUM($F137:Q137)-$E137-SUM($S137:AC137)),0)</f>
        <v>646.74090252525275</v>
      </c>
      <c r="AE137" s="5">
        <f t="shared" si="9"/>
        <v>6552.4579392728128</v>
      </c>
      <c r="AF137" s="5">
        <v>0</v>
      </c>
      <c r="AG137" s="1"/>
    </row>
    <row r="138" spans="1:33">
      <c r="A138" s="1" t="s">
        <v>332</v>
      </c>
      <c r="B138" s="1" t="s">
        <v>333</v>
      </c>
      <c r="C138" s="1" t="s">
        <v>4</v>
      </c>
      <c r="D138" s="1" t="s">
        <v>393</v>
      </c>
      <c r="E138" s="5">
        <v>0</v>
      </c>
      <c r="F138" s="5">
        <v>4.5924269166403837</v>
      </c>
      <c r="G138" s="5">
        <v>9.9902243307149501</v>
      </c>
      <c r="H138" s="5">
        <v>11.809632845404376</v>
      </c>
      <c r="I138" s="5">
        <v>6.7506834316769044</v>
      </c>
      <c r="J138" s="5">
        <v>28.835311096300167</v>
      </c>
      <c r="K138" s="5">
        <v>14.80349216666667</v>
      </c>
      <c r="L138" s="5">
        <v>14.810329027272727</v>
      </c>
      <c r="M138" s="5">
        <v>5.0170702787878776</v>
      </c>
      <c r="N138" s="5">
        <v>5.0749318181818186</v>
      </c>
      <c r="O138" s="5">
        <v>5.1884545454545439</v>
      </c>
      <c r="P138" s="5">
        <v>8.9679784090909074</v>
      </c>
      <c r="Q138" s="5">
        <v>15.062391666666665</v>
      </c>
      <c r="R138" s="5">
        <f t="shared" si="8"/>
        <v>130.902926532858</v>
      </c>
      <c r="S138" s="5">
        <f>IF(SUM($F138:F138)-$E138-0&gt;0,MAX($AF138,SUM($F138:F138)-$E138-0),0)</f>
        <v>4.5924269166403837</v>
      </c>
      <c r="T138" s="5">
        <f>IF(SUM($F138:G138)-$E138-SUM($S138:S138)&gt;0,MAX($AF138,SUM($F138:G138)-$E138-SUM($S138:S138)),0)</f>
        <v>9.9902243307149483</v>
      </c>
      <c r="U138" s="5">
        <f>IF(SUM($F138:H138)-$E138-SUM($S138:T138)&gt;0,MAX($AF138,SUM($F138:H138)-$E138-SUM($S138:T138)),0)</f>
        <v>11.809632845404376</v>
      </c>
      <c r="V138" s="5">
        <f>IF(SUM($F138:I138)-$E138-SUM($S138:U138)&gt;0,MAX($AF138,SUM($F138:I138)-$E138-SUM($S138:U138)),0)</f>
        <v>6.7506834316769044</v>
      </c>
      <c r="W138" s="5">
        <f>IF(SUM($F138:J138)-$E138-SUM($S138:V138)&gt;0,MAX($AF138,SUM($F138:J138)-$E138-SUM($S138:V138)),0)</f>
        <v>28.835311096300167</v>
      </c>
      <c r="X138" s="5">
        <f>IF(SUM($F138:K138)-$E138-SUM($S138:W138)&gt;0,MAX($AF138,SUM($F138:K138)-$E138-SUM($S138:W138)),0)</f>
        <v>14.803492166666665</v>
      </c>
      <c r="Y138" s="5">
        <f>IF(SUM($F138:L138)-$E138-SUM($S138:X138)&gt;0,MAX($AF138,SUM($F138:L138)-$E138-SUM($S138:X138)),0)</f>
        <v>14.810329027272729</v>
      </c>
      <c r="Z138" s="5">
        <f>IF(SUM($F138:M138)-$E138-SUM($S138:Y138)&gt;0,MAX($AF138,SUM($F138:M138)-$E138-SUM($S138:Y138)),0)</f>
        <v>5.0170702787878838</v>
      </c>
      <c r="AA138" s="5">
        <f>IF(SUM($F138:N138)-$E138-SUM($S138:Z138)&gt;0,MAX($AF138,SUM($F138:N138)-$E138-SUM($S138:Z138)),0)</f>
        <v>5.0749318181818239</v>
      </c>
      <c r="AB138" s="5">
        <f>IF(SUM($F138:O138)-$E138-SUM($S138:AA138)&gt;0,MAX($AF138,SUM($F138:O138)-$E138-SUM($S138:AA138)),0)</f>
        <v>5.1884545454545474</v>
      </c>
      <c r="AC138" s="5">
        <f>IF(SUM($F138:P138)-$E138-SUM($S138:AB138)&gt;0,MAX($AF138,SUM($F138:P138)-$E138-SUM($S138:AB138)),0)</f>
        <v>8.9679784090909038</v>
      </c>
      <c r="AD138" s="5">
        <f>IF(SUM($F138:Q138)-$E138-SUM($S138:AC138)&gt;0,MAX($AF138,SUM($F138:Q138)-$E138-SUM($S138:AC138)),0)</f>
        <v>15.06239166666667</v>
      </c>
      <c r="AE138" s="5">
        <f t="shared" si="9"/>
        <v>130.902926532858</v>
      </c>
      <c r="AF138" s="5">
        <v>0</v>
      </c>
      <c r="AG138" s="1"/>
    </row>
    <row r="139" spans="1:33">
      <c r="A139" s="1" t="s">
        <v>334</v>
      </c>
      <c r="B139" s="1" t="s">
        <v>335</v>
      </c>
      <c r="C139" s="1" t="s">
        <v>4</v>
      </c>
      <c r="D139" s="1" t="s">
        <v>393</v>
      </c>
      <c r="E139" s="5">
        <v>0</v>
      </c>
      <c r="F139" s="5">
        <v>26.485763646676428</v>
      </c>
      <c r="G139" s="5">
        <v>32.590380471383973</v>
      </c>
      <c r="H139" s="5">
        <v>21.324111978558527</v>
      </c>
      <c r="I139" s="5">
        <v>26.835053672848503</v>
      </c>
      <c r="J139" s="5">
        <v>23.654392282039968</v>
      </c>
      <c r="K139" s="5">
        <v>55.964671166666683</v>
      </c>
      <c r="L139" s="5">
        <v>25.331324166666665</v>
      </c>
      <c r="M139" s="5">
        <v>19.9002585</v>
      </c>
      <c r="N139" s="5">
        <v>8.526489999999999</v>
      </c>
      <c r="O139" s="5">
        <v>12.156220000000001</v>
      </c>
      <c r="P139" s="5">
        <v>18.422744833333336</v>
      </c>
      <c r="Q139" s="5">
        <v>21.838098333333331</v>
      </c>
      <c r="R139" s="5">
        <f t="shared" si="8"/>
        <v>293.02950905150743</v>
      </c>
      <c r="S139" s="5">
        <f>IF(SUM($F139:F139)-$E139-0&gt;0,MAX($AF139,SUM($F139:F139)-$E139-0),0)</f>
        <v>26.485763646676428</v>
      </c>
      <c r="T139" s="5">
        <f>IF(SUM($F139:G139)-$E139-SUM($S139:S139)&gt;0,MAX($AF139,SUM($F139:G139)-$E139-SUM($S139:S139)),0)</f>
        <v>32.590380471383966</v>
      </c>
      <c r="U139" s="5">
        <f>IF(SUM($F139:H139)-$E139-SUM($S139:T139)&gt;0,MAX($AF139,SUM($F139:H139)-$E139-SUM($S139:T139)),0)</f>
        <v>21.324111978558534</v>
      </c>
      <c r="V139" s="5">
        <f>IF(SUM($F139:I139)-$E139-SUM($S139:U139)&gt;0,MAX($AF139,SUM($F139:I139)-$E139-SUM($S139:U139)),0)</f>
        <v>26.835053672848503</v>
      </c>
      <c r="W139" s="5">
        <f>IF(SUM($F139:J139)-$E139-SUM($S139:V139)&gt;0,MAX($AF139,SUM($F139:J139)-$E139-SUM($S139:V139)),0)</f>
        <v>23.654392282039979</v>
      </c>
      <c r="X139" s="5">
        <f>IF(SUM($F139:K139)-$E139-SUM($S139:W139)&gt;0,MAX($AF139,SUM($F139:K139)-$E139-SUM($S139:W139)),0)</f>
        <v>55.964671166666676</v>
      </c>
      <c r="Y139" s="5">
        <f>IF(SUM($F139:L139)-$E139-SUM($S139:X139)&gt;0,MAX($AF139,SUM($F139:L139)-$E139-SUM($S139:X139)),0)</f>
        <v>25.331324166666661</v>
      </c>
      <c r="Z139" s="5">
        <f>IF(SUM($F139:M139)-$E139-SUM($S139:Y139)&gt;0,MAX($AF139,SUM($F139:M139)-$E139-SUM($S139:Y139)),0)</f>
        <v>19.900258500000007</v>
      </c>
      <c r="AA139" s="5">
        <f>IF(SUM($F139:N139)-$E139-SUM($S139:Z139)&gt;0,MAX($AF139,SUM($F139:N139)-$E139-SUM($S139:Z139)),0)</f>
        <v>8.5264899999999955</v>
      </c>
      <c r="AB139" s="5">
        <f>IF(SUM($F139:O139)-$E139-SUM($S139:AA139)&gt;0,MAX($AF139,SUM($F139:O139)-$E139-SUM($S139:AA139)),0)</f>
        <v>12.15621999999999</v>
      </c>
      <c r="AC139" s="5">
        <f>IF(SUM($F139:P139)-$E139-SUM($S139:AB139)&gt;0,MAX($AF139,SUM($F139:P139)-$E139-SUM($S139:AB139)),0)</f>
        <v>18.422744833333354</v>
      </c>
      <c r="AD139" s="5">
        <f>IF(SUM($F139:Q139)-$E139-SUM($S139:AC139)&gt;0,MAX($AF139,SUM($F139:Q139)-$E139-SUM($S139:AC139)),0)</f>
        <v>21.838098333333335</v>
      </c>
      <c r="AE139" s="5">
        <f t="shared" si="9"/>
        <v>293.02950905150743</v>
      </c>
      <c r="AF139" s="5">
        <v>0</v>
      </c>
      <c r="AG139" s="1"/>
    </row>
    <row r="140" spans="1:33">
      <c r="A140" s="1" t="s">
        <v>336</v>
      </c>
      <c r="B140" s="1" t="s">
        <v>337</v>
      </c>
      <c r="C140" s="1" t="s">
        <v>4</v>
      </c>
      <c r="D140" s="1" t="s">
        <v>393</v>
      </c>
      <c r="E140" s="5">
        <v>0</v>
      </c>
      <c r="F140" s="5">
        <v>34.088135037503655</v>
      </c>
      <c r="G140" s="5">
        <v>44.273179399673651</v>
      </c>
      <c r="H140" s="5">
        <v>56.656072570354212</v>
      </c>
      <c r="I140" s="5">
        <v>33.311570880674793</v>
      </c>
      <c r="J140" s="5">
        <v>89.686494139217217</v>
      </c>
      <c r="K140" s="5">
        <v>91.274839722222268</v>
      </c>
      <c r="L140" s="5">
        <v>52.251614742424245</v>
      </c>
      <c r="M140" s="5">
        <v>26.597326277777778</v>
      </c>
      <c r="N140" s="5">
        <v>15.205667575757577</v>
      </c>
      <c r="O140" s="5">
        <v>19.27503484848485</v>
      </c>
      <c r="P140" s="5">
        <v>35.623770984848484</v>
      </c>
      <c r="Q140" s="5">
        <v>61.003272979797984</v>
      </c>
      <c r="R140" s="5">
        <f t="shared" si="8"/>
        <v>559.24697915873662</v>
      </c>
      <c r="S140" s="5">
        <f>IF(SUM($F140:F140)-$E140-0&gt;0,MAX($AF140,SUM($F140:F140)-$E140-0),0)</f>
        <v>34.088135037503655</v>
      </c>
      <c r="T140" s="5">
        <f>IF(SUM($F140:G140)-$E140-SUM($S140:S140)&gt;0,MAX($AF140,SUM($F140:G140)-$E140-SUM($S140:S140)),0)</f>
        <v>44.273179399673644</v>
      </c>
      <c r="U140" s="5">
        <f>IF(SUM($F140:H140)-$E140-SUM($S140:T140)&gt;0,MAX($AF140,SUM($F140:H140)-$E140-SUM($S140:T140)),0)</f>
        <v>56.656072570354212</v>
      </c>
      <c r="V140" s="5">
        <f>IF(SUM($F140:I140)-$E140-SUM($S140:U140)&gt;0,MAX($AF140,SUM($F140:I140)-$E140-SUM($S140:U140)),0)</f>
        <v>33.311570880674793</v>
      </c>
      <c r="W140" s="5">
        <f>IF(SUM($F140:J140)-$E140-SUM($S140:V140)&gt;0,MAX($AF140,SUM($F140:J140)-$E140-SUM($S140:V140)),0)</f>
        <v>89.686494139217217</v>
      </c>
      <c r="X140" s="5">
        <f>IF(SUM($F140:K140)-$E140-SUM($S140:W140)&gt;0,MAX($AF140,SUM($F140:K140)-$E140-SUM($S140:W140)),0)</f>
        <v>91.274839722222282</v>
      </c>
      <c r="Y140" s="5">
        <f>IF(SUM($F140:L140)-$E140-SUM($S140:X140)&gt;0,MAX($AF140,SUM($F140:L140)-$E140-SUM($S140:X140)),0)</f>
        <v>52.251614742424238</v>
      </c>
      <c r="Z140" s="5">
        <f>IF(SUM($F140:M140)-$E140-SUM($S140:Y140)&gt;0,MAX($AF140,SUM($F140:M140)-$E140-SUM($S140:Y140)),0)</f>
        <v>26.597326277777768</v>
      </c>
      <c r="AA140" s="5">
        <f>IF(SUM($F140:N140)-$E140-SUM($S140:Z140)&gt;0,MAX($AF140,SUM($F140:N140)-$E140-SUM($S140:Z140)),0)</f>
        <v>15.205667575757559</v>
      </c>
      <c r="AB140" s="5">
        <f>IF(SUM($F140:O140)-$E140-SUM($S140:AA140)&gt;0,MAX($AF140,SUM($F140:O140)-$E140-SUM($S140:AA140)),0)</f>
        <v>19.275034848484836</v>
      </c>
      <c r="AC140" s="5">
        <f>IF(SUM($F140:P140)-$E140-SUM($S140:AB140)&gt;0,MAX($AF140,SUM($F140:P140)-$E140-SUM($S140:AB140)),0)</f>
        <v>35.623770984848477</v>
      </c>
      <c r="AD140" s="5">
        <f>IF(SUM($F140:Q140)-$E140-SUM($S140:AC140)&gt;0,MAX($AF140,SUM($F140:Q140)-$E140-SUM($S140:AC140)),0)</f>
        <v>61.003272979797941</v>
      </c>
      <c r="AE140" s="5">
        <f t="shared" si="9"/>
        <v>559.24697915873662</v>
      </c>
      <c r="AF140" s="5">
        <v>0</v>
      </c>
      <c r="AG140" s="1"/>
    </row>
    <row r="141" spans="1:33">
      <c r="A141" s="1" t="s">
        <v>338</v>
      </c>
      <c r="B141" s="1" t="s">
        <v>339</v>
      </c>
      <c r="C141" s="1" t="s">
        <v>4</v>
      </c>
      <c r="D141" s="1" t="s">
        <v>393</v>
      </c>
      <c r="E141" s="5">
        <v>0</v>
      </c>
      <c r="F141" s="5">
        <v>531.08368964694751</v>
      </c>
      <c r="G141" s="5">
        <v>660.81764827418613</v>
      </c>
      <c r="H141" s="5">
        <v>951.25160115286519</v>
      </c>
      <c r="I141" s="5">
        <v>793.71845477972579</v>
      </c>
      <c r="J141" s="5">
        <v>1066.5672608754642</v>
      </c>
      <c r="K141" s="5">
        <v>1285.9285349949494</v>
      </c>
      <c r="L141" s="5">
        <v>787.05687819696971</v>
      </c>
      <c r="M141" s="5">
        <v>407.73894055050494</v>
      </c>
      <c r="N141" s="5">
        <v>247.64046575757578</v>
      </c>
      <c r="O141" s="5">
        <v>389.77178303030314</v>
      </c>
      <c r="P141" s="5">
        <v>561.29576334848468</v>
      </c>
      <c r="Q141" s="5">
        <v>785.23901934343428</v>
      </c>
      <c r="R141" s="5">
        <f t="shared" si="8"/>
        <v>8468.1100399514107</v>
      </c>
      <c r="S141" s="5">
        <f>IF(SUM($F141:F141)-$E141-0&gt;0,MAX($AF141,SUM($F141:F141)-$E141-0),0)</f>
        <v>531.08368964694751</v>
      </c>
      <c r="T141" s="5">
        <f>IF(SUM($F141:G141)-$E141-SUM($S141:S141)&gt;0,MAX($AF141,SUM($F141:G141)-$E141-SUM($S141:S141)),0)</f>
        <v>660.81764827418624</v>
      </c>
      <c r="U141" s="5">
        <f>IF(SUM($F141:H141)-$E141-SUM($S141:T141)&gt;0,MAX($AF141,SUM($F141:H141)-$E141-SUM($S141:T141)),0)</f>
        <v>951.25160115286508</v>
      </c>
      <c r="V141" s="5">
        <f>IF(SUM($F141:I141)-$E141-SUM($S141:U141)&gt;0,MAX($AF141,SUM($F141:I141)-$E141-SUM($S141:U141)),0)</f>
        <v>793.71845477972602</v>
      </c>
      <c r="W141" s="5">
        <f>IF(SUM($F141:J141)-$E141-SUM($S141:V141)&gt;0,MAX($AF141,SUM($F141:J141)-$E141-SUM($S141:V141)),0)</f>
        <v>1066.5672608754639</v>
      </c>
      <c r="X141" s="5">
        <f>IF(SUM($F141:K141)-$E141-SUM($S141:W141)&gt;0,MAX($AF141,SUM($F141:K141)-$E141-SUM($S141:W141)),0)</f>
        <v>1285.9285349949496</v>
      </c>
      <c r="Y141" s="5">
        <f>IF(SUM($F141:L141)-$E141-SUM($S141:X141)&gt;0,MAX($AF141,SUM($F141:L141)-$E141-SUM($S141:X141)),0)</f>
        <v>787.05687819696959</v>
      </c>
      <c r="Z141" s="5">
        <f>IF(SUM($F141:M141)-$E141-SUM($S141:Y141)&gt;0,MAX($AF141,SUM($F141:M141)-$E141-SUM($S141:Y141)),0)</f>
        <v>407.73894055050459</v>
      </c>
      <c r="AA141" s="5">
        <f>IF(SUM($F141:N141)-$E141-SUM($S141:Z141)&gt;0,MAX($AF141,SUM($F141:N141)-$E141-SUM($S141:Z141)),0)</f>
        <v>247.64046575757584</v>
      </c>
      <c r="AB141" s="5">
        <f>IF(SUM($F141:O141)-$E141-SUM($S141:AA141)&gt;0,MAX($AF141,SUM($F141:O141)-$E141-SUM($S141:AA141)),0)</f>
        <v>389.7717830303036</v>
      </c>
      <c r="AC141" s="5">
        <f>IF(SUM($F141:P141)-$E141-SUM($S141:AB141)&gt;0,MAX($AF141,SUM($F141:P141)-$E141-SUM($S141:AB141)),0)</f>
        <v>561.2957633484848</v>
      </c>
      <c r="AD141" s="5">
        <f>IF(SUM($F141:Q141)-$E141-SUM($S141:AC141)&gt;0,MAX($AF141,SUM($F141:Q141)-$E141-SUM($S141:AC141)),0)</f>
        <v>785.23901934343394</v>
      </c>
      <c r="AE141" s="5">
        <f t="shared" si="9"/>
        <v>8468.1100399514107</v>
      </c>
      <c r="AF141" s="5">
        <v>0</v>
      </c>
      <c r="AG141" s="1"/>
    </row>
    <row r="142" spans="1:33">
      <c r="A142" s="1" t="s">
        <v>340</v>
      </c>
      <c r="B142" s="1" t="s">
        <v>341</v>
      </c>
      <c r="C142" s="1" t="s">
        <v>4</v>
      </c>
      <c r="D142" s="1" t="s">
        <v>393</v>
      </c>
      <c r="E142" s="5">
        <v>0</v>
      </c>
      <c r="F142" s="5">
        <v>7522.7671660884516</v>
      </c>
      <c r="G142" s="5">
        <v>44944</v>
      </c>
      <c r="H142" s="5">
        <v>13591.767166088452</v>
      </c>
      <c r="I142" s="5">
        <v>958</v>
      </c>
      <c r="J142" s="5">
        <v>32262</v>
      </c>
      <c r="K142" s="5">
        <v>18586</v>
      </c>
      <c r="L142" s="5">
        <v>13993</v>
      </c>
      <c r="M142" s="5">
        <v>16414</v>
      </c>
      <c r="N142" s="5">
        <v>98</v>
      </c>
      <c r="O142" s="5">
        <v>7752</v>
      </c>
      <c r="P142" s="5">
        <v>34335</v>
      </c>
      <c r="Q142" s="5">
        <v>3920</v>
      </c>
      <c r="R142" s="5">
        <f t="shared" si="8"/>
        <v>194376.5343321769</v>
      </c>
      <c r="S142" s="5">
        <f>IF(SUM($F142:F142)-$E142-0&gt;0,MAX($AF142,SUM($F142:F142)-$E142-0),0)</f>
        <v>7522.7671660884516</v>
      </c>
      <c r="T142" s="5">
        <f>IF(SUM($F142:G142)-$E142-SUM($S142:S142)&gt;0,MAX($AF142,SUM($F142:G142)-$E142-SUM($S142:S142)),0)</f>
        <v>44944</v>
      </c>
      <c r="U142" s="5">
        <f>IF(SUM($F142:H142)-$E142-SUM($S142:T142)&gt;0,MAX($AF142,SUM($F142:H142)-$E142-SUM($S142:T142)),0)</f>
        <v>13591.767166088452</v>
      </c>
      <c r="V142" s="5">
        <f>IF(SUM($F142:I142)-$E142-SUM($S142:U142)&gt;0,MAX($AF142,SUM($F142:I142)-$E142-SUM($S142:U142)),0)</f>
        <v>958</v>
      </c>
      <c r="W142" s="5">
        <f>IF(SUM($F142:J142)-$E142-SUM($S142:V142)&gt;0,MAX($AF142,SUM($F142:J142)-$E142-SUM($S142:V142)),0)</f>
        <v>32262</v>
      </c>
      <c r="X142" s="5">
        <f>IF(SUM($F142:K142)-$E142-SUM($S142:W142)&gt;0,MAX($AF142,SUM($F142:K142)-$E142-SUM($S142:W142)),0)</f>
        <v>18586</v>
      </c>
      <c r="Y142" s="5">
        <f>IF(SUM($F142:L142)-$E142-SUM($S142:X142)&gt;0,MAX($AF142,SUM($F142:L142)-$E142-SUM($S142:X142)),0)</f>
        <v>13993</v>
      </c>
      <c r="Z142" s="5">
        <f>IF(SUM($F142:M142)-$E142-SUM($S142:Y142)&gt;0,MAX($AF142,SUM($F142:M142)-$E142-SUM($S142:Y142)),0)</f>
        <v>16414</v>
      </c>
      <c r="AA142" s="5">
        <f>IF(SUM($F142:N142)-$E142-SUM($S142:Z142)&gt;0,MAX($AF142,SUM($F142:N142)-$E142-SUM($S142:Z142)),0)</f>
        <v>98</v>
      </c>
      <c r="AB142" s="5">
        <f>IF(SUM($F142:O142)-$E142-SUM($S142:AA142)&gt;0,MAX($AF142,SUM($F142:O142)-$E142-SUM($S142:AA142)),0)</f>
        <v>7752</v>
      </c>
      <c r="AC142" s="5">
        <f>IF(SUM($F142:P142)-$E142-SUM($S142:AB142)&gt;0,MAX($AF142,SUM($F142:P142)-$E142-SUM($S142:AB142)),0)</f>
        <v>34335</v>
      </c>
      <c r="AD142" s="5">
        <f>IF(SUM($F142:Q142)-$E142-SUM($S142:AC142)&gt;0,MAX($AF142,SUM($F142:Q142)-$E142-SUM($S142:AC142)),0)</f>
        <v>3920</v>
      </c>
      <c r="AE142" s="5">
        <f t="shared" si="9"/>
        <v>194376.5343321769</v>
      </c>
      <c r="AF142" s="5">
        <v>0</v>
      </c>
      <c r="AG142" s="1"/>
    </row>
    <row r="143" spans="1:33">
      <c r="A143" s="1" t="s">
        <v>342</v>
      </c>
      <c r="B143" s="1" t="s">
        <v>343</v>
      </c>
      <c r="C143" s="1" t="s">
        <v>4</v>
      </c>
      <c r="D143" s="1" t="s">
        <v>393</v>
      </c>
      <c r="E143" s="5">
        <v>0</v>
      </c>
      <c r="F143" s="5">
        <v>3880</v>
      </c>
      <c r="G143" s="5">
        <v>16145</v>
      </c>
      <c r="H143" s="5">
        <v>6811</v>
      </c>
      <c r="I143" s="5">
        <v>987</v>
      </c>
      <c r="J143" s="5">
        <v>6132</v>
      </c>
      <c r="K143" s="5">
        <v>13938</v>
      </c>
      <c r="L143" s="5">
        <v>3843</v>
      </c>
      <c r="M143" s="5">
        <v>2255</v>
      </c>
      <c r="N143" s="5">
        <v>2341</v>
      </c>
      <c r="O143" s="5">
        <v>3433</v>
      </c>
      <c r="P143" s="5">
        <v>11705</v>
      </c>
      <c r="Q143" s="5">
        <v>25290</v>
      </c>
      <c r="R143" s="5">
        <f t="shared" si="8"/>
        <v>96760</v>
      </c>
      <c r="S143" s="5">
        <f>IF(SUM($F143:F143)-$E143-0&gt;0,MAX($AF143,SUM($F143:F143)-$E143-0),0)</f>
        <v>3880</v>
      </c>
      <c r="T143" s="5">
        <f>IF(SUM($F143:G143)-$E143-SUM($S143:S143)&gt;0,MAX($AF143,SUM($F143:G143)-$E143-SUM($S143:S143)),0)</f>
        <v>16145</v>
      </c>
      <c r="U143" s="5">
        <f>IF(SUM($F143:H143)-$E143-SUM($S143:T143)&gt;0,MAX($AF143,SUM($F143:H143)-$E143-SUM($S143:T143)),0)</f>
        <v>6811</v>
      </c>
      <c r="V143" s="5">
        <f>IF(SUM($F143:I143)-$E143-SUM($S143:U143)&gt;0,MAX($AF143,SUM($F143:I143)-$E143-SUM($S143:U143)),0)</f>
        <v>987</v>
      </c>
      <c r="W143" s="5">
        <f>IF(SUM($F143:J143)-$E143-SUM($S143:V143)&gt;0,MAX($AF143,SUM($F143:J143)-$E143-SUM($S143:V143)),0)</f>
        <v>6132</v>
      </c>
      <c r="X143" s="5">
        <f>IF(SUM($F143:K143)-$E143-SUM($S143:W143)&gt;0,MAX($AF143,SUM($F143:K143)-$E143-SUM($S143:W143)),0)</f>
        <v>13938</v>
      </c>
      <c r="Y143" s="5">
        <f>IF(SUM($F143:L143)-$E143-SUM($S143:X143)&gt;0,MAX($AF143,SUM($F143:L143)-$E143-SUM($S143:X143)),0)</f>
        <v>3843</v>
      </c>
      <c r="Z143" s="5">
        <f>IF(SUM($F143:M143)-$E143-SUM($S143:Y143)&gt;0,MAX($AF143,SUM($F143:M143)-$E143-SUM($S143:Y143)),0)</f>
        <v>2255</v>
      </c>
      <c r="AA143" s="5">
        <f>IF(SUM($F143:N143)-$E143-SUM($S143:Z143)&gt;0,MAX($AF143,SUM($F143:N143)-$E143-SUM($S143:Z143)),0)</f>
        <v>2341</v>
      </c>
      <c r="AB143" s="5">
        <f>IF(SUM($F143:O143)-$E143-SUM($S143:AA143)&gt;0,MAX($AF143,SUM($F143:O143)-$E143-SUM($S143:AA143)),0)</f>
        <v>3433</v>
      </c>
      <c r="AC143" s="5">
        <f>IF(SUM($F143:P143)-$E143-SUM($S143:AB143)&gt;0,MAX($AF143,SUM($F143:P143)-$E143-SUM($S143:AB143)),0)</f>
        <v>11705</v>
      </c>
      <c r="AD143" s="5">
        <f>IF(SUM($F143:Q143)-$E143-SUM($S143:AC143)&gt;0,MAX($AF143,SUM($F143:Q143)-$E143-SUM($S143:AC143)),0)</f>
        <v>25290</v>
      </c>
      <c r="AE143" s="5">
        <f t="shared" si="9"/>
        <v>96760</v>
      </c>
      <c r="AF143" s="5">
        <v>0</v>
      </c>
      <c r="AG143" s="1"/>
    </row>
    <row r="144" spans="1:33">
      <c r="A144" s="1" t="s">
        <v>344</v>
      </c>
      <c r="B144" s="1" t="s">
        <v>345</v>
      </c>
      <c r="C144" s="1" t="s">
        <v>4</v>
      </c>
      <c r="D144" s="1" t="s">
        <v>393</v>
      </c>
      <c r="E144" s="5">
        <v>612.48690168195458</v>
      </c>
      <c r="F144" s="5">
        <v>1884</v>
      </c>
      <c r="G144" s="5">
        <v>1557.3358764575485</v>
      </c>
      <c r="H144" s="5">
        <v>2943</v>
      </c>
      <c r="I144" s="5">
        <v>4440</v>
      </c>
      <c r="J144" s="5">
        <v>2972</v>
      </c>
      <c r="K144" s="5">
        <v>3604</v>
      </c>
      <c r="L144" s="5">
        <v>4910</v>
      </c>
      <c r="M144" s="5">
        <v>1347</v>
      </c>
      <c r="N144" s="5">
        <v>842</v>
      </c>
      <c r="O144" s="5">
        <v>2517</v>
      </c>
      <c r="P144" s="5">
        <v>2453</v>
      </c>
      <c r="Q144" s="5">
        <v>1344</v>
      </c>
      <c r="R144" s="5">
        <f t="shared" si="8"/>
        <v>30813.33587645755</v>
      </c>
      <c r="S144" s="5">
        <f>IF(SUM($F144:F144)-$E144-0&gt;0,MAX($AF144,SUM($F144:F144)-$E144-0),0)</f>
        <v>1271.5130983180454</v>
      </c>
      <c r="T144" s="5">
        <f>IF(SUM($F144:G144)-$E144-SUM($S144:S144)&gt;0,MAX($AF144,SUM($F144:G144)-$E144-SUM($S144:S144)),0)</f>
        <v>1557.3358764575485</v>
      </c>
      <c r="U144" s="5">
        <f>IF(SUM($F144:H144)-$E144-SUM($S144:T144)&gt;0,MAX($AF144,SUM($F144:H144)-$E144-SUM($S144:T144)),0)</f>
        <v>2943</v>
      </c>
      <c r="V144" s="5">
        <f>IF(SUM($F144:I144)-$E144-SUM($S144:U144)&gt;0,MAX($AF144,SUM($F144:I144)-$E144-SUM($S144:U144)),0)</f>
        <v>4440.0000000000018</v>
      </c>
      <c r="W144" s="5">
        <f>IF(SUM($F144:J144)-$E144-SUM($S144:V144)&gt;0,MAX($AF144,SUM($F144:J144)-$E144-SUM($S144:V144)),0)</f>
        <v>2972</v>
      </c>
      <c r="X144" s="5">
        <f>IF(SUM($F144:K144)-$E144-SUM($S144:W144)&gt;0,MAX($AF144,SUM($F144:K144)-$E144-SUM($S144:W144)),0)</f>
        <v>3604</v>
      </c>
      <c r="Y144" s="5">
        <f>IF(SUM($F144:L144)-$E144-SUM($S144:X144)&gt;0,MAX($AF144,SUM($F144:L144)-$E144-SUM($S144:X144)),0)</f>
        <v>4910</v>
      </c>
      <c r="Z144" s="5">
        <f>IF(SUM($F144:M144)-$E144-SUM($S144:Y144)&gt;0,MAX($AF144,SUM($F144:M144)-$E144-SUM($S144:Y144)),0)</f>
        <v>1347</v>
      </c>
      <c r="AA144" s="5">
        <f>IF(SUM($F144:N144)-$E144-SUM($S144:Z144)&gt;0,MAX($AF144,SUM($F144:N144)-$E144-SUM($S144:Z144)),0)</f>
        <v>842</v>
      </c>
      <c r="AB144" s="5">
        <f>IF(SUM($F144:O144)-$E144-SUM($S144:AA144)&gt;0,MAX($AF144,SUM($F144:O144)-$E144-SUM($S144:AA144)),0)</f>
        <v>2517</v>
      </c>
      <c r="AC144" s="5">
        <f>IF(SUM($F144:P144)-$E144-SUM($S144:AB144)&gt;0,MAX($AF144,SUM($F144:P144)-$E144-SUM($S144:AB144)),0)</f>
        <v>2453</v>
      </c>
      <c r="AD144" s="5">
        <f>IF(SUM($F144:Q144)-$E144-SUM($S144:AC144)&gt;0,MAX($AF144,SUM($F144:Q144)-$E144-SUM($S144:AC144)),0)</f>
        <v>1344</v>
      </c>
      <c r="AE144" s="5">
        <f t="shared" si="9"/>
        <v>30200.848974775596</v>
      </c>
      <c r="AF144" s="5">
        <v>0</v>
      </c>
      <c r="AG144" s="1"/>
    </row>
    <row r="145" spans="1:33">
      <c r="A145" s="1" t="s">
        <v>346</v>
      </c>
      <c r="B145" s="1" t="s">
        <v>347</v>
      </c>
      <c r="C145" s="1" t="s">
        <v>4</v>
      </c>
      <c r="D145" s="1" t="s">
        <v>393</v>
      </c>
      <c r="E145" s="5">
        <v>8965.2701996605247</v>
      </c>
      <c r="F145" s="5">
        <v>893</v>
      </c>
      <c r="G145" s="5">
        <v>1480.7833900091455</v>
      </c>
      <c r="H145" s="5">
        <v>8138</v>
      </c>
      <c r="I145" s="5">
        <v>5737</v>
      </c>
      <c r="J145" s="5">
        <v>3090</v>
      </c>
      <c r="K145" s="5">
        <v>2360</v>
      </c>
      <c r="L145" s="5">
        <v>1533</v>
      </c>
      <c r="M145" s="5">
        <v>773</v>
      </c>
      <c r="N145" s="5">
        <v>904</v>
      </c>
      <c r="O145" s="5">
        <v>715</v>
      </c>
      <c r="P145" s="5">
        <v>813</v>
      </c>
      <c r="Q145" s="5">
        <v>2980</v>
      </c>
      <c r="R145" s="5">
        <f t="shared" si="8"/>
        <v>29416.783390009146</v>
      </c>
      <c r="S145" s="5">
        <f>IF(SUM($F145:F145)-$E145-0&gt;0,MAX($AF145,SUM($F145:F145)-$E145-0),0)</f>
        <v>0</v>
      </c>
      <c r="T145" s="5">
        <f>IF(SUM($F145:G145)-$E145-SUM($S145:S145)&gt;0,MAX($AF145,SUM($F145:G145)-$E145-SUM($S145:S145)),0)</f>
        <v>0</v>
      </c>
      <c r="U145" s="5">
        <f>IF(SUM($F145:H145)-$E145-SUM($S145:T145)&gt;0,MAX($AF145,SUM($F145:H145)-$E145-SUM($S145:T145)),0)</f>
        <v>1546.5131903486217</v>
      </c>
      <c r="V145" s="5">
        <f>IF(SUM($F145:I145)-$E145-SUM($S145:U145)&gt;0,MAX($AF145,SUM($F145:I145)-$E145-SUM($S145:U145)),0)</f>
        <v>5737</v>
      </c>
      <c r="W145" s="5">
        <f>IF(SUM($F145:J145)-$E145-SUM($S145:V145)&gt;0,MAX($AF145,SUM($F145:J145)-$E145-SUM($S145:V145)),0)</f>
        <v>3090</v>
      </c>
      <c r="X145" s="5">
        <f>IF(SUM($F145:K145)-$E145-SUM($S145:W145)&gt;0,MAX($AF145,SUM($F145:K145)-$E145-SUM($S145:W145)),0)</f>
        <v>2360</v>
      </c>
      <c r="Y145" s="5">
        <f>IF(SUM($F145:L145)-$E145-SUM($S145:X145)&gt;0,MAX($AF145,SUM($F145:L145)-$E145-SUM($S145:X145)),0)</f>
        <v>1533</v>
      </c>
      <c r="Z145" s="5">
        <f>IF(SUM($F145:M145)-$E145-SUM($S145:Y145)&gt;0,MAX($AF145,SUM($F145:M145)-$E145-SUM($S145:Y145)),0)</f>
        <v>773</v>
      </c>
      <c r="AA145" s="5">
        <f>IF(SUM($F145:N145)-$E145-SUM($S145:Z145)&gt;0,MAX($AF145,SUM($F145:N145)-$E145-SUM($S145:Z145)),0)</f>
        <v>904</v>
      </c>
      <c r="AB145" s="5">
        <f>IF(SUM($F145:O145)-$E145-SUM($S145:AA145)&gt;0,MAX($AF145,SUM($F145:O145)-$E145-SUM($S145:AA145)),0)</f>
        <v>715</v>
      </c>
      <c r="AC145" s="5">
        <f>IF(SUM($F145:P145)-$E145-SUM($S145:AB145)&gt;0,MAX($AF145,SUM($F145:P145)-$E145-SUM($S145:AB145)),0)</f>
        <v>813</v>
      </c>
      <c r="AD145" s="5">
        <f>IF(SUM($F145:Q145)-$E145-SUM($S145:AC145)&gt;0,MAX($AF145,SUM($F145:Q145)-$E145-SUM($S145:AC145)),0)</f>
        <v>2980</v>
      </c>
      <c r="AE145" s="5">
        <f t="shared" si="9"/>
        <v>20451.513190348622</v>
      </c>
      <c r="AF145" s="5">
        <v>0</v>
      </c>
      <c r="AG145" s="1"/>
    </row>
    <row r="146" spans="1:33">
      <c r="A146" s="1" t="s">
        <v>348</v>
      </c>
      <c r="B146" s="1" t="s">
        <v>349</v>
      </c>
      <c r="C146" s="1" t="s">
        <v>4</v>
      </c>
      <c r="D146" s="1" t="s">
        <v>393</v>
      </c>
      <c r="E146" s="5">
        <v>2528.923269701133</v>
      </c>
      <c r="F146" s="5">
        <v>524.01525874529057</v>
      </c>
      <c r="G146" s="5">
        <v>547.35113520283937</v>
      </c>
      <c r="H146" s="5">
        <v>633.01525874529068</v>
      </c>
      <c r="I146" s="5">
        <v>851</v>
      </c>
      <c r="J146" s="5">
        <v>873</v>
      </c>
      <c r="K146" s="5">
        <v>1751</v>
      </c>
      <c r="L146" s="5">
        <v>575</v>
      </c>
      <c r="M146" s="5">
        <v>356</v>
      </c>
      <c r="N146" s="5">
        <v>512</v>
      </c>
      <c r="O146" s="5">
        <v>979</v>
      </c>
      <c r="P146" s="5">
        <v>1035</v>
      </c>
      <c r="Q146" s="5">
        <v>558</v>
      </c>
      <c r="R146" s="5">
        <f t="shared" si="8"/>
        <v>9194.3816526934206</v>
      </c>
      <c r="S146" s="5">
        <f>IF(SUM($F146:F146)-$E146-0&gt;0,MAX($AF146,SUM($F146:F146)-$E146-0),0)</f>
        <v>0</v>
      </c>
      <c r="T146" s="5">
        <f>IF(SUM($F146:G146)-$E146-SUM($S146:S146)&gt;0,MAX($AF146,SUM($F146:G146)-$E146-SUM($S146:S146)),0)</f>
        <v>0</v>
      </c>
      <c r="U146" s="5">
        <f>IF(SUM($F146:H146)-$E146-SUM($S146:T146)&gt;0,MAX($AF146,SUM($F146:H146)-$E146-SUM($S146:T146)),0)</f>
        <v>0</v>
      </c>
      <c r="V146" s="5">
        <f>IF(SUM($F146:I146)-$E146-SUM($S146:U146)&gt;0,MAX($AF146,SUM($F146:I146)-$E146-SUM($S146:U146)),0)</f>
        <v>26.458382992287625</v>
      </c>
      <c r="W146" s="5">
        <f>IF(SUM($F146:J146)-$E146-SUM($S146:V146)&gt;0,MAX($AF146,SUM($F146:J146)-$E146-SUM($S146:V146)),0)</f>
        <v>873</v>
      </c>
      <c r="X146" s="5">
        <f>IF(SUM($F146:K146)-$E146-SUM($S146:W146)&gt;0,MAX($AF146,SUM($F146:K146)-$E146-SUM($S146:W146)),0)</f>
        <v>1751</v>
      </c>
      <c r="Y146" s="5">
        <f>IF(SUM($F146:L146)-$E146-SUM($S146:X146)&gt;0,MAX($AF146,SUM($F146:L146)-$E146-SUM($S146:X146)),0)</f>
        <v>575</v>
      </c>
      <c r="Z146" s="5">
        <f>IF(SUM($F146:M146)-$E146-SUM($S146:Y146)&gt;0,MAX($AF146,SUM($F146:M146)-$E146-SUM($S146:Y146)),0)</f>
        <v>356</v>
      </c>
      <c r="AA146" s="5">
        <f>IF(SUM($F146:N146)-$E146-SUM($S146:Z146)&gt;0,MAX($AF146,SUM($F146:N146)-$E146-SUM($S146:Z146)),0)</f>
        <v>512</v>
      </c>
      <c r="AB146" s="5">
        <f>IF(SUM($F146:O146)-$E146-SUM($S146:AA146)&gt;0,MAX($AF146,SUM($F146:O146)-$E146-SUM($S146:AA146)),0)</f>
        <v>979</v>
      </c>
      <c r="AC146" s="5">
        <f>IF(SUM($F146:P146)-$E146-SUM($S146:AB146)&gt;0,MAX($AF146,SUM($F146:P146)-$E146-SUM($S146:AB146)),0)</f>
        <v>1035</v>
      </c>
      <c r="AD146" s="5">
        <f>IF(SUM($F146:Q146)-$E146-SUM($S146:AC146)&gt;0,MAX($AF146,SUM($F146:Q146)-$E146-SUM($S146:AC146)),0)</f>
        <v>558</v>
      </c>
      <c r="AE146" s="5">
        <f t="shared" si="9"/>
        <v>6665.4583829922876</v>
      </c>
      <c r="AF146" s="5">
        <v>0</v>
      </c>
      <c r="AG146" s="1"/>
    </row>
    <row r="147" spans="1:33">
      <c r="A147" s="1" t="s">
        <v>350</v>
      </c>
      <c r="B147" s="1" t="s">
        <v>351</v>
      </c>
      <c r="C147" s="1" t="s">
        <v>4</v>
      </c>
      <c r="D147" s="1" t="s">
        <v>393</v>
      </c>
      <c r="E147" s="5">
        <v>21605.326592825822</v>
      </c>
      <c r="F147" s="5">
        <v>3899.9106719186461</v>
      </c>
      <c r="G147" s="5">
        <v>9309</v>
      </c>
      <c r="H147" s="5">
        <v>1707.862579261807</v>
      </c>
      <c r="I147" s="5">
        <v>1372.9599227859678</v>
      </c>
      <c r="J147" s="5">
        <v>2602</v>
      </c>
      <c r="K147" s="5">
        <v>16919</v>
      </c>
      <c r="L147" s="5">
        <v>2252</v>
      </c>
      <c r="M147" s="5">
        <v>3672</v>
      </c>
      <c r="N147" s="5">
        <v>481</v>
      </c>
      <c r="O147" s="5">
        <v>548</v>
      </c>
      <c r="P147" s="5">
        <v>3217</v>
      </c>
      <c r="Q147" s="5">
        <v>3356</v>
      </c>
      <c r="R147" s="5">
        <f t="shared" si="8"/>
        <v>49336.733173966422</v>
      </c>
      <c r="S147" s="5">
        <f>IF(SUM($F147:F147)-$E147-0&gt;0,MAX($AF147,SUM($F147:F147)-$E147-0),0)</f>
        <v>0</v>
      </c>
      <c r="T147" s="5">
        <f>IF(SUM($F147:G147)-$E147-SUM($S147:S147)&gt;0,MAX($AF147,SUM($F147:G147)-$E147-SUM($S147:S147)),0)</f>
        <v>0</v>
      </c>
      <c r="U147" s="5">
        <f>IF(SUM($F147:H147)-$E147-SUM($S147:T147)&gt;0,MAX($AF147,SUM($F147:H147)-$E147-SUM($S147:T147)),0)</f>
        <v>0</v>
      </c>
      <c r="V147" s="5">
        <f>IF(SUM($F147:I147)-$E147-SUM($S147:U147)&gt;0,MAX($AF147,SUM($F147:I147)-$E147-SUM($S147:U147)),0)</f>
        <v>0</v>
      </c>
      <c r="W147" s="5">
        <f>IF(SUM($F147:J147)-$E147-SUM($S147:V147)&gt;0,MAX($AF147,SUM($F147:J147)-$E147-SUM($S147:V147)),0)</f>
        <v>0</v>
      </c>
      <c r="X147" s="5">
        <f>IF(SUM($F147:K147)-$E147-SUM($S147:W147)&gt;0,MAX($AF147,SUM($F147:K147)-$E147-SUM($S147:W147)),0)</f>
        <v>14205.4065811406</v>
      </c>
      <c r="Y147" s="5">
        <f>IF(SUM($F147:L147)-$E147-SUM($S147:X147)&gt;0,MAX($AF147,SUM($F147:L147)-$E147-SUM($S147:X147)),0)</f>
        <v>2252</v>
      </c>
      <c r="Z147" s="5">
        <f>IF(SUM($F147:M147)-$E147-SUM($S147:Y147)&gt;0,MAX($AF147,SUM($F147:M147)-$E147-SUM($S147:Y147)),0)</f>
        <v>3672</v>
      </c>
      <c r="AA147" s="5">
        <f>IF(SUM($F147:N147)-$E147-SUM($S147:Z147)&gt;0,MAX($AF147,SUM($F147:N147)-$E147-SUM($S147:Z147)),0)</f>
        <v>481</v>
      </c>
      <c r="AB147" s="5">
        <f>IF(SUM($F147:O147)-$E147-SUM($S147:AA147)&gt;0,MAX($AF147,SUM($F147:O147)-$E147-SUM($S147:AA147)),0)</f>
        <v>548</v>
      </c>
      <c r="AC147" s="5">
        <f>IF(SUM($F147:P147)-$E147-SUM($S147:AB147)&gt;0,MAX($AF147,SUM($F147:P147)-$E147-SUM($S147:AB147)),0)</f>
        <v>3217</v>
      </c>
      <c r="AD147" s="5">
        <f>IF(SUM($F147:Q147)-$E147-SUM($S147:AC147)&gt;0,MAX($AF147,SUM($F147:Q147)-$E147-SUM($S147:AC147)),0)</f>
        <v>3356</v>
      </c>
      <c r="AE147" s="5">
        <f t="shared" si="9"/>
        <v>27731.4065811406</v>
      </c>
      <c r="AF147" s="5">
        <v>0</v>
      </c>
      <c r="AG147" s="1"/>
    </row>
    <row r="148" spans="1:33">
      <c r="A148" s="1" t="s">
        <v>352</v>
      </c>
      <c r="B148" s="1" t="s">
        <v>353</v>
      </c>
      <c r="C148" s="1" t="s">
        <v>4</v>
      </c>
      <c r="D148" s="1" t="s">
        <v>393</v>
      </c>
      <c r="E148" s="5">
        <v>0</v>
      </c>
      <c r="F148" s="5">
        <v>593.83698865274368</v>
      </c>
      <c r="G148" s="5">
        <v>1302</v>
      </c>
      <c r="H148" s="5">
        <v>978</v>
      </c>
      <c r="I148" s="5">
        <v>2113</v>
      </c>
      <c r="J148" s="5">
        <v>7272</v>
      </c>
      <c r="K148" s="5">
        <v>4685</v>
      </c>
      <c r="L148" s="5">
        <v>5183</v>
      </c>
      <c r="M148" s="5">
        <v>6086</v>
      </c>
      <c r="N148" s="5">
        <v>437</v>
      </c>
      <c r="O148" s="5">
        <v>678</v>
      </c>
      <c r="P148" s="5">
        <v>1596</v>
      </c>
      <c r="Q148" s="5">
        <v>7218</v>
      </c>
      <c r="R148" s="5">
        <f t="shared" si="8"/>
        <v>38141.836988652743</v>
      </c>
      <c r="S148" s="5">
        <f>IF(SUM($F148:F148)-$E148-0&gt;0,MAX($AF148,SUM($F148:F148)-$E148-0),0)</f>
        <v>593.83698865274368</v>
      </c>
      <c r="T148" s="5">
        <f>IF(SUM($F148:G148)-$E148-SUM($S148:S148)&gt;0,MAX($AF148,SUM($F148:G148)-$E148-SUM($S148:S148)),0)</f>
        <v>1302</v>
      </c>
      <c r="U148" s="5">
        <f>IF(SUM($F148:H148)-$E148-SUM($S148:T148)&gt;0,MAX($AF148,SUM($F148:H148)-$E148-SUM($S148:T148)),0)</f>
        <v>977.99999999999977</v>
      </c>
      <c r="V148" s="5">
        <f>IF(SUM($F148:I148)-$E148-SUM($S148:U148)&gt;0,MAX($AF148,SUM($F148:I148)-$E148-SUM($S148:U148)),0)</f>
        <v>2113</v>
      </c>
      <c r="W148" s="5">
        <f>IF(SUM($F148:J148)-$E148-SUM($S148:V148)&gt;0,MAX($AF148,SUM($F148:J148)-$E148-SUM($S148:V148)),0)</f>
        <v>7272</v>
      </c>
      <c r="X148" s="5">
        <f>IF(SUM($F148:K148)-$E148-SUM($S148:W148)&gt;0,MAX($AF148,SUM($F148:K148)-$E148-SUM($S148:W148)),0)</f>
        <v>4685</v>
      </c>
      <c r="Y148" s="5">
        <f>IF(SUM($F148:L148)-$E148-SUM($S148:X148)&gt;0,MAX($AF148,SUM($F148:L148)-$E148-SUM($S148:X148)),0)</f>
        <v>5183</v>
      </c>
      <c r="Z148" s="5">
        <f>IF(SUM($F148:M148)-$E148-SUM($S148:Y148)&gt;0,MAX($AF148,SUM($F148:M148)-$E148-SUM($S148:Y148)),0)</f>
        <v>6086</v>
      </c>
      <c r="AA148" s="5">
        <f>IF(SUM($F148:N148)-$E148-SUM($S148:Z148)&gt;0,MAX($AF148,SUM($F148:N148)-$E148-SUM($S148:Z148)),0)</f>
        <v>437</v>
      </c>
      <c r="AB148" s="5">
        <f>IF(SUM($F148:O148)-$E148-SUM($S148:AA148)&gt;0,MAX($AF148,SUM($F148:O148)-$E148-SUM($S148:AA148)),0)</f>
        <v>678</v>
      </c>
      <c r="AC148" s="5">
        <f>IF(SUM($F148:P148)-$E148-SUM($S148:AB148)&gt;0,MAX($AF148,SUM($F148:P148)-$E148-SUM($S148:AB148)),0)</f>
        <v>1596</v>
      </c>
      <c r="AD148" s="5">
        <f>IF(SUM($F148:Q148)-$E148-SUM($S148:AC148)&gt;0,MAX($AF148,SUM($F148:Q148)-$E148-SUM($S148:AC148)),0)</f>
        <v>7218</v>
      </c>
      <c r="AE148" s="5">
        <f t="shared" si="9"/>
        <v>38141.836988652743</v>
      </c>
      <c r="AF148" s="5">
        <v>0</v>
      </c>
      <c r="AG148" s="1"/>
    </row>
    <row r="149" spans="1:33">
      <c r="A149" s="1" t="s">
        <v>354</v>
      </c>
      <c r="B149" s="1" t="s">
        <v>355</v>
      </c>
      <c r="C149" s="1" t="s">
        <v>4</v>
      </c>
      <c r="D149" s="1" t="s">
        <v>393</v>
      </c>
      <c r="E149" s="5">
        <v>0</v>
      </c>
      <c r="F149" s="5">
        <v>1917.2</v>
      </c>
      <c r="G149" s="5">
        <v>1715</v>
      </c>
      <c r="H149" s="5">
        <v>396.95992278596776</v>
      </c>
      <c r="I149" s="5">
        <v>778</v>
      </c>
      <c r="J149" s="5">
        <v>1077</v>
      </c>
      <c r="K149" s="5">
        <v>859</v>
      </c>
      <c r="L149" s="5">
        <v>813</v>
      </c>
      <c r="M149" s="5">
        <v>1023</v>
      </c>
      <c r="N149" s="5">
        <v>230</v>
      </c>
      <c r="O149" s="5">
        <v>339</v>
      </c>
      <c r="P149" s="5">
        <v>420</v>
      </c>
      <c r="Q149" s="5">
        <v>1569</v>
      </c>
      <c r="R149" s="5">
        <f t="shared" si="8"/>
        <v>11137.159922785968</v>
      </c>
      <c r="S149" s="5">
        <f>IF(SUM($F149:F149)-$E149-0&gt;0,MAX($AF149,SUM($F149:F149)-$E149-0),0)</f>
        <v>1917.2</v>
      </c>
      <c r="T149" s="5">
        <f>IF(SUM($F149:G149)-$E149-SUM($S149:S149)&gt;0,MAX($AF149,SUM($F149:G149)-$E149-SUM($S149:S149)),0)</f>
        <v>1714.9999999999998</v>
      </c>
      <c r="U149" s="5">
        <f>IF(SUM($F149:H149)-$E149-SUM($S149:T149)&gt;0,MAX($AF149,SUM($F149:H149)-$E149-SUM($S149:T149)),0)</f>
        <v>396.95992278596759</v>
      </c>
      <c r="V149" s="5">
        <f>IF(SUM($F149:I149)-$E149-SUM($S149:U149)&gt;0,MAX($AF149,SUM($F149:I149)-$E149-SUM($S149:U149)),0)</f>
        <v>778.00000000000045</v>
      </c>
      <c r="W149" s="5">
        <f>IF(SUM($F149:J149)-$E149-SUM($S149:V149)&gt;0,MAX($AF149,SUM($F149:J149)-$E149-SUM($S149:V149)),0)</f>
        <v>1077</v>
      </c>
      <c r="X149" s="5">
        <f>IF(SUM($F149:K149)-$E149-SUM($S149:W149)&gt;0,MAX($AF149,SUM($F149:K149)-$E149-SUM($S149:W149)),0)</f>
        <v>859</v>
      </c>
      <c r="Y149" s="5">
        <f>IF(SUM($F149:L149)-$E149-SUM($S149:X149)&gt;0,MAX($AF149,SUM($F149:L149)-$E149-SUM($S149:X149)),0)</f>
        <v>813</v>
      </c>
      <c r="Z149" s="5">
        <f>IF(SUM($F149:M149)-$E149-SUM($S149:Y149)&gt;0,MAX($AF149,SUM($F149:M149)-$E149-SUM($S149:Y149)),0)</f>
        <v>1023</v>
      </c>
      <c r="AA149" s="5">
        <f>IF(SUM($F149:N149)-$E149-SUM($S149:Z149)&gt;0,MAX($AF149,SUM($F149:N149)-$E149-SUM($S149:Z149)),0)</f>
        <v>230</v>
      </c>
      <c r="AB149" s="5">
        <f>IF(SUM($F149:O149)-$E149-SUM($S149:AA149)&gt;0,MAX($AF149,SUM($F149:O149)-$E149-SUM($S149:AA149)),0)</f>
        <v>339</v>
      </c>
      <c r="AC149" s="5">
        <f>IF(SUM($F149:P149)-$E149-SUM($S149:AB149)&gt;0,MAX($AF149,SUM($F149:P149)-$E149-SUM($S149:AB149)),0)</f>
        <v>420</v>
      </c>
      <c r="AD149" s="5">
        <f>IF(SUM($F149:Q149)-$E149-SUM($S149:AC149)&gt;0,MAX($AF149,SUM($F149:Q149)-$E149-SUM($S149:AC149)),0)</f>
        <v>1569</v>
      </c>
      <c r="AE149" s="5">
        <f t="shared" si="9"/>
        <v>11137.159922785968</v>
      </c>
      <c r="AF149" s="5">
        <v>0</v>
      </c>
      <c r="AG14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5A7"/>
  </sheetPr>
  <dimension ref="A2:J149"/>
  <sheetViews>
    <sheetView showGridLines="0" workbookViewId="0">
      <pane ySplit="7" topLeftCell="A8" activePane="bottomLeft" state="frozen"/>
      <selection pane="bottomLeft"/>
    </sheetView>
  </sheetViews>
  <sheetFormatPr baseColWidth="10" defaultColWidth="8.6640625" defaultRowHeight="14"/>
  <cols>
    <col min="1" max="1" width="17" customWidth="1"/>
    <col min="2" max="2" width="45" customWidth="1"/>
    <col min="3" max="8" width="18" customWidth="1"/>
    <col min="9" max="10" width="23" customWidth="1"/>
  </cols>
  <sheetData>
    <row r="2" spans="1:10" ht="28" customHeight="1">
      <c r="A2" s="2" t="s">
        <v>397</v>
      </c>
      <c r="B2" s="1"/>
      <c r="C2" s="1"/>
      <c r="D2" s="1"/>
      <c r="E2" s="1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1" t="s">
        <v>398</v>
      </c>
      <c r="C4" s="9">
        <f>Supuestos!B5</f>
        <v>0.1</v>
      </c>
      <c r="D4" s="1"/>
      <c r="E4" s="1"/>
      <c r="F4" s="1"/>
      <c r="G4" s="1"/>
      <c r="H4" s="1"/>
      <c r="I4" s="1"/>
      <c r="J4" s="1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1" t="s">
        <v>399</v>
      </c>
      <c r="B6" s="1"/>
      <c r="C6" s="1"/>
      <c r="D6" s="1"/>
      <c r="E6" s="1"/>
      <c r="F6" s="1"/>
      <c r="G6" s="1"/>
      <c r="H6" s="1"/>
      <c r="I6" s="1"/>
      <c r="J6" s="1"/>
    </row>
    <row r="7" spans="1:10" ht="26" customHeight="1">
      <c r="A7" s="3" t="s">
        <v>70</v>
      </c>
      <c r="B7" s="3" t="s">
        <v>71</v>
      </c>
      <c r="C7" s="3" t="s">
        <v>30</v>
      </c>
      <c r="D7" s="3" t="s">
        <v>400</v>
      </c>
      <c r="E7" s="3" t="s">
        <v>401</v>
      </c>
      <c r="F7" s="3" t="s">
        <v>402</v>
      </c>
      <c r="G7" s="3" t="s">
        <v>403</v>
      </c>
      <c r="H7" s="3" t="s">
        <v>72</v>
      </c>
      <c r="I7" s="3" t="s">
        <v>404</v>
      </c>
      <c r="J7" s="3" t="s">
        <v>39</v>
      </c>
    </row>
    <row r="8" spans="1:10">
      <c r="A8" s="1" t="s">
        <v>74</v>
      </c>
      <c r="B8" s="1" t="s">
        <v>75</v>
      </c>
      <c r="C8" s="1" t="s">
        <v>3</v>
      </c>
      <c r="D8" s="1" t="s">
        <v>74</v>
      </c>
      <c r="E8" s="1" t="s">
        <v>405</v>
      </c>
      <c r="F8" s="10">
        <v>37.200000000000003</v>
      </c>
      <c r="G8" s="11"/>
      <c r="H8" s="10">
        <f t="shared" ref="H8:H39" si="0">IF(ISNUMBER(G8),G8*(1+$C$4),IF(ISNUMBER(F8),F8*(1+$C$4),""))</f>
        <v>40.920000000000009</v>
      </c>
      <c r="I8" s="1" t="str">
        <f>IF(Unidades!AE8=0,"SIN COMPRA",IF(ISNUMBER(H8),"VALORADO","FALTA PRECIO"))</f>
        <v>VALORADO</v>
      </c>
      <c r="J8" s="1" t="s">
        <v>406</v>
      </c>
    </row>
    <row r="9" spans="1:10">
      <c r="A9" s="1" t="s">
        <v>76</v>
      </c>
      <c r="B9" s="1" t="s">
        <v>77</v>
      </c>
      <c r="C9" s="1" t="s">
        <v>3</v>
      </c>
      <c r="D9" s="1" t="s">
        <v>76</v>
      </c>
      <c r="E9" s="1" t="s">
        <v>407</v>
      </c>
      <c r="F9" s="10">
        <v>1.3</v>
      </c>
      <c r="G9" s="11"/>
      <c r="H9" s="10">
        <f t="shared" si="0"/>
        <v>1.4300000000000002</v>
      </c>
      <c r="I9" s="1" t="str">
        <f>IF(Unidades!AE9=0,"SIN COMPRA",IF(ISNUMBER(H9),"VALORADO","FALTA PRECIO"))</f>
        <v>VALORADO</v>
      </c>
      <c r="J9" s="1" t="s">
        <v>406</v>
      </c>
    </row>
    <row r="10" spans="1:10">
      <c r="A10" s="1" t="s">
        <v>78</v>
      </c>
      <c r="B10" s="1" t="s">
        <v>79</v>
      </c>
      <c r="C10" s="1" t="s">
        <v>3</v>
      </c>
      <c r="D10" s="1" t="s">
        <v>78</v>
      </c>
      <c r="E10" s="1" t="s">
        <v>408</v>
      </c>
      <c r="F10" s="10">
        <v>2.46</v>
      </c>
      <c r="G10" s="11"/>
      <c r="H10" s="10">
        <f t="shared" si="0"/>
        <v>2.706</v>
      </c>
      <c r="I10" s="1" t="str">
        <f>IF(Unidades!AE10=0,"SIN COMPRA",IF(ISNUMBER(H10),"VALORADO","FALTA PRECIO"))</f>
        <v>VALORADO</v>
      </c>
      <c r="J10" s="1" t="s">
        <v>406</v>
      </c>
    </row>
    <row r="11" spans="1:10">
      <c r="A11" s="1" t="s">
        <v>80</v>
      </c>
      <c r="B11" s="1" t="s">
        <v>81</v>
      </c>
      <c r="C11" s="1" t="s">
        <v>3</v>
      </c>
      <c r="D11" s="1" t="s">
        <v>80</v>
      </c>
      <c r="E11" s="1"/>
      <c r="F11" s="10"/>
      <c r="G11" s="11"/>
      <c r="H11" s="10" t="str">
        <f t="shared" si="0"/>
        <v/>
      </c>
      <c r="I11" s="1" t="str">
        <f>IF(Unidades!AE11=0,"SIN COMPRA",IF(ISNUMBER(H11),"VALORADO","FALTA PRECIO"))</f>
        <v>SIN COMPRA</v>
      </c>
      <c r="J11" s="1" t="s">
        <v>409</v>
      </c>
    </row>
    <row r="12" spans="1:10">
      <c r="A12" s="1" t="s">
        <v>82</v>
      </c>
      <c r="B12" s="1" t="s">
        <v>83</v>
      </c>
      <c r="C12" s="1" t="s">
        <v>3</v>
      </c>
      <c r="D12" s="1" t="s">
        <v>82</v>
      </c>
      <c r="E12" s="1" t="s">
        <v>407</v>
      </c>
      <c r="F12" s="10">
        <v>0.38</v>
      </c>
      <c r="G12" s="11"/>
      <c r="H12" s="10">
        <f t="shared" si="0"/>
        <v>0.41800000000000004</v>
      </c>
      <c r="I12" s="1" t="str">
        <f>IF(Unidades!AE12=0,"SIN COMPRA",IF(ISNUMBER(H12),"VALORADO","FALTA PRECIO"))</f>
        <v>VALORADO</v>
      </c>
      <c r="J12" s="1" t="s">
        <v>406</v>
      </c>
    </row>
    <row r="13" spans="1:10">
      <c r="A13" s="1" t="s">
        <v>84</v>
      </c>
      <c r="B13" s="1" t="s">
        <v>85</v>
      </c>
      <c r="C13" s="1" t="s">
        <v>3</v>
      </c>
      <c r="D13" s="1" t="s">
        <v>84</v>
      </c>
      <c r="E13" s="1" t="s">
        <v>410</v>
      </c>
      <c r="F13" s="10">
        <v>7.75</v>
      </c>
      <c r="G13" s="11"/>
      <c r="H13" s="10">
        <f t="shared" si="0"/>
        <v>8.5250000000000004</v>
      </c>
      <c r="I13" s="1" t="str">
        <f>IF(Unidades!AE13=0,"SIN COMPRA",IF(ISNUMBER(H13),"VALORADO","FALTA PRECIO"))</f>
        <v>SIN COMPRA</v>
      </c>
      <c r="J13" s="1" t="s">
        <v>406</v>
      </c>
    </row>
    <row r="14" spans="1:10">
      <c r="A14" s="1" t="s">
        <v>86</v>
      </c>
      <c r="B14" s="1" t="s">
        <v>87</v>
      </c>
      <c r="C14" s="1" t="s">
        <v>3</v>
      </c>
      <c r="D14" s="1" t="s">
        <v>86</v>
      </c>
      <c r="E14" s="1" t="s">
        <v>411</v>
      </c>
      <c r="F14" s="10">
        <v>2.9</v>
      </c>
      <c r="G14" s="11"/>
      <c r="H14" s="10">
        <f t="shared" si="0"/>
        <v>3.19</v>
      </c>
      <c r="I14" s="1" t="str">
        <f>IF(Unidades!AE14=0,"SIN COMPRA",IF(ISNUMBER(H14),"VALORADO","FALTA PRECIO"))</f>
        <v>VALORADO</v>
      </c>
      <c r="J14" s="1" t="s">
        <v>412</v>
      </c>
    </row>
    <row r="15" spans="1:10">
      <c r="A15" s="1" t="s">
        <v>88</v>
      </c>
      <c r="B15" s="1" t="s">
        <v>89</v>
      </c>
      <c r="C15" s="1" t="s">
        <v>3</v>
      </c>
      <c r="D15" s="1" t="s">
        <v>88</v>
      </c>
      <c r="E15" s="1" t="s">
        <v>408</v>
      </c>
      <c r="F15" s="10">
        <v>31.9</v>
      </c>
      <c r="G15" s="11"/>
      <c r="H15" s="10">
        <f t="shared" si="0"/>
        <v>35.090000000000003</v>
      </c>
      <c r="I15" s="1" t="str">
        <f>IF(Unidades!AE15=0,"SIN COMPRA",IF(ISNUMBER(H15),"VALORADO","FALTA PRECIO"))</f>
        <v>VALORADO</v>
      </c>
      <c r="J15" s="1" t="s">
        <v>406</v>
      </c>
    </row>
    <row r="16" spans="1:10">
      <c r="A16" s="1" t="s">
        <v>90</v>
      </c>
      <c r="B16" s="1" t="s">
        <v>90</v>
      </c>
      <c r="C16" s="1" t="s">
        <v>3</v>
      </c>
      <c r="D16" s="1" t="s">
        <v>90</v>
      </c>
      <c r="E16" s="1" t="s">
        <v>413</v>
      </c>
      <c r="F16" s="10">
        <v>1.55</v>
      </c>
      <c r="G16" s="11"/>
      <c r="H16" s="10">
        <f t="shared" si="0"/>
        <v>1.7050000000000003</v>
      </c>
      <c r="I16" s="1" t="str">
        <f>IF(Unidades!AE16=0,"SIN COMPRA",IF(ISNUMBER(H16),"VALORADO","FALTA PRECIO"))</f>
        <v>VALORADO</v>
      </c>
      <c r="J16" s="1" t="s">
        <v>406</v>
      </c>
    </row>
    <row r="17" spans="1:10">
      <c r="A17" s="1" t="s">
        <v>91</v>
      </c>
      <c r="B17" s="1" t="s">
        <v>92</v>
      </c>
      <c r="C17" s="1" t="s">
        <v>3</v>
      </c>
      <c r="D17" s="1" t="s">
        <v>91</v>
      </c>
      <c r="E17" s="1" t="s">
        <v>405</v>
      </c>
      <c r="F17" s="10">
        <v>5.15</v>
      </c>
      <c r="G17" s="11"/>
      <c r="H17" s="10">
        <f t="shared" si="0"/>
        <v>5.6650000000000009</v>
      </c>
      <c r="I17" s="1" t="str">
        <f>IF(Unidades!AE17=0,"SIN COMPRA",IF(ISNUMBER(H17),"VALORADO","FALTA PRECIO"))</f>
        <v>VALORADO</v>
      </c>
      <c r="J17" s="1" t="s">
        <v>406</v>
      </c>
    </row>
    <row r="18" spans="1:10">
      <c r="A18" s="1" t="s">
        <v>93</v>
      </c>
      <c r="B18" s="1" t="s">
        <v>94</v>
      </c>
      <c r="C18" s="1" t="s">
        <v>3</v>
      </c>
      <c r="D18" s="1" t="s">
        <v>93</v>
      </c>
      <c r="E18" s="1" t="s">
        <v>414</v>
      </c>
      <c r="F18" s="10">
        <v>0.47</v>
      </c>
      <c r="G18" s="11"/>
      <c r="H18" s="10">
        <f t="shared" si="0"/>
        <v>0.51700000000000002</v>
      </c>
      <c r="I18" s="1" t="str">
        <f>IF(Unidades!AE18=0,"SIN COMPRA",IF(ISNUMBER(H18),"VALORADO","FALTA PRECIO"))</f>
        <v>SIN COMPRA</v>
      </c>
      <c r="J18" s="1" t="s">
        <v>406</v>
      </c>
    </row>
    <row r="19" spans="1:10">
      <c r="A19" s="1" t="s">
        <v>95</v>
      </c>
      <c r="B19" s="1" t="s">
        <v>96</v>
      </c>
      <c r="C19" s="1" t="s">
        <v>3</v>
      </c>
      <c r="D19" s="1" t="s">
        <v>95</v>
      </c>
      <c r="E19" s="1" t="s">
        <v>407</v>
      </c>
      <c r="F19" s="10">
        <v>0.4</v>
      </c>
      <c r="G19" s="11"/>
      <c r="H19" s="10">
        <f t="shared" si="0"/>
        <v>0.44000000000000006</v>
      </c>
      <c r="I19" s="1" t="str">
        <f>IF(Unidades!AE19=0,"SIN COMPRA",IF(ISNUMBER(H19),"VALORADO","FALTA PRECIO"))</f>
        <v>SIN COMPRA</v>
      </c>
      <c r="J19" s="1" t="s">
        <v>406</v>
      </c>
    </row>
    <row r="20" spans="1:10">
      <c r="A20" s="1" t="s">
        <v>97</v>
      </c>
      <c r="B20" s="1" t="s">
        <v>98</v>
      </c>
      <c r="C20" s="1" t="s">
        <v>3</v>
      </c>
      <c r="D20" s="1" t="s">
        <v>97</v>
      </c>
      <c r="E20" s="1" t="s">
        <v>415</v>
      </c>
      <c r="F20" s="10">
        <v>1.07</v>
      </c>
      <c r="G20" s="11"/>
      <c r="H20" s="10">
        <f t="shared" si="0"/>
        <v>1.1770000000000003</v>
      </c>
      <c r="I20" s="1" t="str">
        <f>IF(Unidades!AE20=0,"SIN COMPRA",IF(ISNUMBER(H20),"VALORADO","FALTA PRECIO"))</f>
        <v>VALORADO</v>
      </c>
      <c r="J20" s="1" t="s">
        <v>406</v>
      </c>
    </row>
    <row r="21" spans="1:10">
      <c r="A21" s="1" t="s">
        <v>99</v>
      </c>
      <c r="B21" s="1" t="s">
        <v>100</v>
      </c>
      <c r="C21" s="1" t="s">
        <v>3</v>
      </c>
      <c r="D21" s="1" t="s">
        <v>99</v>
      </c>
      <c r="E21" s="1" t="s">
        <v>411</v>
      </c>
      <c r="F21" s="10">
        <v>1.0445</v>
      </c>
      <c r="G21" s="11"/>
      <c r="H21" s="10">
        <f t="shared" si="0"/>
        <v>1.1489500000000001</v>
      </c>
      <c r="I21" s="1" t="str">
        <f>IF(Unidades!AE21=0,"SIN COMPRA",IF(ISNUMBER(H21),"VALORADO","FALTA PRECIO"))</f>
        <v>VALORADO</v>
      </c>
      <c r="J21" s="1" t="s">
        <v>406</v>
      </c>
    </row>
    <row r="22" spans="1:10">
      <c r="A22" s="1" t="s">
        <v>101</v>
      </c>
      <c r="B22" s="1" t="s">
        <v>102</v>
      </c>
      <c r="C22" s="1" t="s">
        <v>3</v>
      </c>
      <c r="D22" s="1" t="s">
        <v>101</v>
      </c>
      <c r="E22" s="1"/>
      <c r="F22" s="10"/>
      <c r="G22" s="11"/>
      <c r="H22" s="10" t="str">
        <f t="shared" si="0"/>
        <v/>
      </c>
      <c r="I22" s="1" t="str">
        <f>IF(Unidades!AE22=0,"SIN COMPRA",IF(ISNUMBER(H22),"VALORADO","FALTA PRECIO"))</f>
        <v>SIN COMPRA</v>
      </c>
      <c r="J22" s="1" t="s">
        <v>409</v>
      </c>
    </row>
    <row r="23" spans="1:10">
      <c r="A23" s="1" t="s">
        <v>103</v>
      </c>
      <c r="B23" s="1" t="s">
        <v>104</v>
      </c>
      <c r="C23" s="1" t="s">
        <v>3</v>
      </c>
      <c r="D23" s="1" t="s">
        <v>103</v>
      </c>
      <c r="E23" s="1" t="s">
        <v>416</v>
      </c>
      <c r="F23" s="10">
        <v>1.2</v>
      </c>
      <c r="G23" s="11"/>
      <c r="H23" s="10">
        <f t="shared" si="0"/>
        <v>1.32</v>
      </c>
      <c r="I23" s="1" t="str">
        <f>IF(Unidades!AE23=0,"SIN COMPRA",IF(ISNUMBER(H23),"VALORADO","FALTA PRECIO"))</f>
        <v>VALORADO</v>
      </c>
      <c r="J23" s="1" t="s">
        <v>406</v>
      </c>
    </row>
    <row r="24" spans="1:10">
      <c r="A24" s="1" t="s">
        <v>105</v>
      </c>
      <c r="B24" s="1" t="s">
        <v>106</v>
      </c>
      <c r="C24" s="1" t="s">
        <v>3</v>
      </c>
      <c r="D24" s="1" t="s">
        <v>105</v>
      </c>
      <c r="E24" s="1" t="s">
        <v>417</v>
      </c>
      <c r="F24" s="10">
        <v>0.60272063492063488</v>
      </c>
      <c r="G24" s="11"/>
      <c r="H24" s="10">
        <f t="shared" si="0"/>
        <v>0.66299269841269837</v>
      </c>
      <c r="I24" s="1" t="str">
        <f>IF(Unidades!AE24=0,"SIN COMPRA",IF(ISNUMBER(H24),"VALORADO","FALTA PRECIO"))</f>
        <v>VALORADO</v>
      </c>
      <c r="J24" s="1" t="s">
        <v>406</v>
      </c>
    </row>
    <row r="25" spans="1:10">
      <c r="A25" s="1" t="s">
        <v>107</v>
      </c>
      <c r="B25" s="1" t="s">
        <v>108</v>
      </c>
      <c r="C25" s="1" t="s">
        <v>3</v>
      </c>
      <c r="D25" s="1" t="s">
        <v>107</v>
      </c>
      <c r="E25" s="1" t="s">
        <v>405</v>
      </c>
      <c r="F25" s="10">
        <v>0.124</v>
      </c>
      <c r="G25" s="11"/>
      <c r="H25" s="10">
        <f t="shared" si="0"/>
        <v>0.13640000000000002</v>
      </c>
      <c r="I25" s="1" t="str">
        <f>IF(Unidades!AE25=0,"SIN COMPRA",IF(ISNUMBER(H25),"VALORADO","FALTA PRECIO"))</f>
        <v>VALORADO</v>
      </c>
      <c r="J25" s="1" t="s">
        <v>406</v>
      </c>
    </row>
    <row r="26" spans="1:10">
      <c r="A26" s="1" t="s">
        <v>109</v>
      </c>
      <c r="B26" s="1" t="s">
        <v>110</v>
      </c>
      <c r="C26" s="1" t="s">
        <v>3</v>
      </c>
      <c r="D26" s="1" t="s">
        <v>109</v>
      </c>
      <c r="E26" s="1" t="s">
        <v>407</v>
      </c>
      <c r="F26" s="10">
        <v>0.128</v>
      </c>
      <c r="G26" s="11"/>
      <c r="H26" s="10">
        <f t="shared" si="0"/>
        <v>0.14080000000000001</v>
      </c>
      <c r="I26" s="1" t="str">
        <f>IF(Unidades!AE26=0,"SIN COMPRA",IF(ISNUMBER(H26),"VALORADO","FALTA PRECIO"))</f>
        <v>VALORADO</v>
      </c>
      <c r="J26" s="1" t="s">
        <v>406</v>
      </c>
    </row>
    <row r="27" spans="1:10">
      <c r="A27" s="1" t="s">
        <v>111</v>
      </c>
      <c r="B27" s="1" t="s">
        <v>112</v>
      </c>
      <c r="C27" s="1" t="s">
        <v>3</v>
      </c>
      <c r="D27" s="1" t="s">
        <v>111</v>
      </c>
      <c r="E27" s="1" t="s">
        <v>417</v>
      </c>
      <c r="F27" s="10">
        <v>0.25593165699548681</v>
      </c>
      <c r="G27" s="11"/>
      <c r="H27" s="10">
        <f t="shared" si="0"/>
        <v>0.28152482269503554</v>
      </c>
      <c r="I27" s="1" t="str">
        <f>IF(Unidades!AE27=0,"SIN COMPRA",IF(ISNUMBER(H27),"VALORADO","FALTA PRECIO"))</f>
        <v>VALORADO</v>
      </c>
      <c r="J27" s="1" t="s">
        <v>412</v>
      </c>
    </row>
    <row r="28" spans="1:10">
      <c r="A28" s="1" t="s">
        <v>113</v>
      </c>
      <c r="B28" s="1" t="s">
        <v>114</v>
      </c>
      <c r="C28" s="1" t="s">
        <v>3</v>
      </c>
      <c r="D28" s="1" t="s">
        <v>113</v>
      </c>
      <c r="E28" s="1" t="s">
        <v>411</v>
      </c>
      <c r="F28" s="10">
        <v>0.52</v>
      </c>
      <c r="G28" s="11"/>
      <c r="H28" s="10">
        <f t="shared" si="0"/>
        <v>0.57200000000000006</v>
      </c>
      <c r="I28" s="1" t="str">
        <f>IF(Unidades!AE28=0,"SIN COMPRA",IF(ISNUMBER(H28),"VALORADO","FALTA PRECIO"))</f>
        <v>VALORADO</v>
      </c>
      <c r="J28" s="1" t="s">
        <v>406</v>
      </c>
    </row>
    <row r="29" spans="1:10">
      <c r="A29" s="1" t="s">
        <v>115</v>
      </c>
      <c r="B29" s="1" t="s">
        <v>116</v>
      </c>
      <c r="C29" s="1" t="s">
        <v>3</v>
      </c>
      <c r="D29" s="1" t="s">
        <v>115</v>
      </c>
      <c r="E29" s="1"/>
      <c r="F29" s="10">
        <v>0.26</v>
      </c>
      <c r="G29" s="11"/>
      <c r="H29" s="10">
        <f t="shared" si="0"/>
        <v>0.28600000000000003</v>
      </c>
      <c r="I29" s="1" t="str">
        <f>IF(Unidades!AE29=0,"SIN COMPRA",IF(ISNUMBER(H29),"VALORADO","FALTA PRECIO"))</f>
        <v>VALORADO</v>
      </c>
      <c r="J29" s="1" t="s">
        <v>418</v>
      </c>
    </row>
    <row r="30" spans="1:10">
      <c r="A30" s="1" t="s">
        <v>117</v>
      </c>
      <c r="B30" s="1" t="s">
        <v>118</v>
      </c>
      <c r="C30" s="1" t="s">
        <v>3</v>
      </c>
      <c r="D30" s="1" t="s">
        <v>117</v>
      </c>
      <c r="E30" s="1" t="s">
        <v>407</v>
      </c>
      <c r="F30" s="10">
        <v>5.95</v>
      </c>
      <c r="G30" s="11"/>
      <c r="H30" s="10">
        <f t="shared" si="0"/>
        <v>6.5450000000000008</v>
      </c>
      <c r="I30" s="1" t="str">
        <f>IF(Unidades!AE30=0,"SIN COMPRA",IF(ISNUMBER(H30),"VALORADO","FALTA PRECIO"))</f>
        <v>VALORADO</v>
      </c>
      <c r="J30" s="1" t="s">
        <v>406</v>
      </c>
    </row>
    <row r="31" spans="1:10">
      <c r="A31" s="1" t="s">
        <v>119</v>
      </c>
      <c r="B31" s="1" t="s">
        <v>120</v>
      </c>
      <c r="C31" s="1" t="s">
        <v>3</v>
      </c>
      <c r="D31" s="1" t="s">
        <v>119</v>
      </c>
      <c r="E31" s="1" t="s">
        <v>407</v>
      </c>
      <c r="F31" s="10">
        <v>2.65</v>
      </c>
      <c r="G31" s="11"/>
      <c r="H31" s="10">
        <f t="shared" si="0"/>
        <v>2.915</v>
      </c>
      <c r="I31" s="1" t="str">
        <f>IF(Unidades!AE31=0,"SIN COMPRA",IF(ISNUMBER(H31),"VALORADO","FALTA PRECIO"))</f>
        <v>VALORADO</v>
      </c>
      <c r="J31" s="1" t="s">
        <v>406</v>
      </c>
    </row>
    <row r="32" spans="1:10">
      <c r="A32" s="1" t="s">
        <v>121</v>
      </c>
      <c r="B32" s="1" t="s">
        <v>122</v>
      </c>
      <c r="C32" s="1" t="s">
        <v>3</v>
      </c>
      <c r="D32" s="1" t="s">
        <v>121</v>
      </c>
      <c r="E32" s="1" t="s">
        <v>408</v>
      </c>
      <c r="F32" s="10">
        <v>0.56999999999999995</v>
      </c>
      <c r="G32" s="11"/>
      <c r="H32" s="10">
        <f t="shared" si="0"/>
        <v>0.627</v>
      </c>
      <c r="I32" s="1" t="str">
        <f>IF(Unidades!AE32=0,"SIN COMPRA",IF(ISNUMBER(H32),"VALORADO","FALTA PRECIO"))</f>
        <v>VALORADO</v>
      </c>
      <c r="J32" s="1" t="s">
        <v>406</v>
      </c>
    </row>
    <row r="33" spans="1:10">
      <c r="A33" s="1" t="s">
        <v>123</v>
      </c>
      <c r="B33" s="1" t="s">
        <v>124</v>
      </c>
      <c r="C33" s="1" t="s">
        <v>3</v>
      </c>
      <c r="D33" s="1" t="s">
        <v>123</v>
      </c>
      <c r="E33" s="1" t="s">
        <v>405</v>
      </c>
      <c r="F33" s="10">
        <v>0.89500000000000002</v>
      </c>
      <c r="G33" s="11"/>
      <c r="H33" s="10">
        <f t="shared" si="0"/>
        <v>0.98450000000000015</v>
      </c>
      <c r="I33" s="1" t="str">
        <f>IF(Unidades!AE33=0,"SIN COMPRA",IF(ISNUMBER(H33),"VALORADO","FALTA PRECIO"))</f>
        <v>VALORADO</v>
      </c>
      <c r="J33" s="1" t="s">
        <v>406</v>
      </c>
    </row>
    <row r="34" spans="1:10">
      <c r="A34" s="1" t="s">
        <v>125</v>
      </c>
      <c r="B34" s="1" t="s">
        <v>126</v>
      </c>
      <c r="C34" s="1" t="s">
        <v>3</v>
      </c>
      <c r="D34" s="1" t="s">
        <v>125</v>
      </c>
      <c r="E34" s="1" t="s">
        <v>419</v>
      </c>
      <c r="F34" s="10">
        <v>1.75</v>
      </c>
      <c r="G34" s="11"/>
      <c r="H34" s="10">
        <f t="shared" si="0"/>
        <v>1.9250000000000003</v>
      </c>
      <c r="I34" s="1" t="str">
        <f>IF(Unidades!AE34=0,"SIN COMPRA",IF(ISNUMBER(H34),"VALORADO","FALTA PRECIO"))</f>
        <v>VALORADO</v>
      </c>
      <c r="J34" s="1" t="s">
        <v>406</v>
      </c>
    </row>
    <row r="35" spans="1:10">
      <c r="A35" s="1" t="s">
        <v>127</v>
      </c>
      <c r="B35" s="1" t="s">
        <v>128</v>
      </c>
      <c r="C35" s="1" t="s">
        <v>3</v>
      </c>
      <c r="D35" s="1" t="s">
        <v>127</v>
      </c>
      <c r="E35" s="1" t="s">
        <v>408</v>
      </c>
      <c r="F35" s="10">
        <v>1.1000000000000001</v>
      </c>
      <c r="G35" s="11"/>
      <c r="H35" s="10">
        <f t="shared" si="0"/>
        <v>1.2100000000000002</v>
      </c>
      <c r="I35" s="1" t="str">
        <f>IF(Unidades!AE35=0,"SIN COMPRA",IF(ISNUMBER(H35),"VALORADO","FALTA PRECIO"))</f>
        <v>VALORADO</v>
      </c>
      <c r="J35" s="1" t="s">
        <v>406</v>
      </c>
    </row>
    <row r="36" spans="1:10">
      <c r="A36" s="1" t="s">
        <v>129</v>
      </c>
      <c r="B36" s="1" t="s">
        <v>130</v>
      </c>
      <c r="C36" s="1" t="s">
        <v>3</v>
      </c>
      <c r="D36" s="1" t="s">
        <v>129</v>
      </c>
      <c r="E36" s="1" t="s">
        <v>417</v>
      </c>
      <c r="F36" s="10">
        <v>3.95</v>
      </c>
      <c r="G36" s="11"/>
      <c r="H36" s="10">
        <f t="shared" si="0"/>
        <v>4.3450000000000006</v>
      </c>
      <c r="I36" s="1" t="str">
        <f>IF(Unidades!AE36=0,"SIN COMPRA",IF(ISNUMBER(H36),"VALORADO","FALTA PRECIO"))</f>
        <v>VALORADO</v>
      </c>
      <c r="J36" s="1" t="s">
        <v>406</v>
      </c>
    </row>
    <row r="37" spans="1:10">
      <c r="A37" s="1" t="s">
        <v>131</v>
      </c>
      <c r="B37" s="1" t="s">
        <v>132</v>
      </c>
      <c r="C37" s="1" t="s">
        <v>3</v>
      </c>
      <c r="D37" s="1" t="s">
        <v>131</v>
      </c>
      <c r="E37" s="1"/>
      <c r="F37" s="10"/>
      <c r="G37" s="11"/>
      <c r="H37" s="10" t="str">
        <f t="shared" si="0"/>
        <v/>
      </c>
      <c r="I37" s="1" t="str">
        <f>IF(Unidades!AE37=0,"SIN COMPRA",IF(ISNUMBER(H37),"VALORADO","FALTA PRECIO"))</f>
        <v>SIN COMPRA</v>
      </c>
      <c r="J37" s="1" t="s">
        <v>409</v>
      </c>
    </row>
    <row r="38" spans="1:10">
      <c r="A38" s="1" t="s">
        <v>133</v>
      </c>
      <c r="B38" s="1" t="s">
        <v>134</v>
      </c>
      <c r="C38" s="1" t="s">
        <v>3</v>
      </c>
      <c r="D38" s="1" t="s">
        <v>133</v>
      </c>
      <c r="E38" s="1"/>
      <c r="F38" s="10"/>
      <c r="G38" s="11"/>
      <c r="H38" s="10" t="str">
        <f t="shared" si="0"/>
        <v/>
      </c>
      <c r="I38" s="1" t="str">
        <f>IF(Unidades!AE38=0,"SIN COMPRA",IF(ISNUMBER(H38),"VALORADO","FALTA PRECIO"))</f>
        <v>SIN COMPRA</v>
      </c>
      <c r="J38" s="1" t="s">
        <v>409</v>
      </c>
    </row>
    <row r="39" spans="1:10">
      <c r="A39" s="1" t="s">
        <v>135</v>
      </c>
      <c r="B39" s="1" t="s">
        <v>136</v>
      </c>
      <c r="C39" s="1" t="s">
        <v>3</v>
      </c>
      <c r="D39" s="1" t="s">
        <v>135</v>
      </c>
      <c r="E39" s="1" t="s">
        <v>411</v>
      </c>
      <c r="F39" s="10">
        <v>5.35</v>
      </c>
      <c r="G39" s="11"/>
      <c r="H39" s="10">
        <f t="shared" si="0"/>
        <v>5.8849999999999998</v>
      </c>
      <c r="I39" s="1" t="str">
        <f>IF(Unidades!AE39=0,"SIN COMPRA",IF(ISNUMBER(H39),"VALORADO","FALTA PRECIO"))</f>
        <v>VALORADO</v>
      </c>
      <c r="J39" s="1" t="s">
        <v>406</v>
      </c>
    </row>
    <row r="40" spans="1:10">
      <c r="A40" s="1" t="s">
        <v>137</v>
      </c>
      <c r="B40" s="1" t="s">
        <v>138</v>
      </c>
      <c r="C40" s="1" t="s">
        <v>3</v>
      </c>
      <c r="D40" s="1" t="s">
        <v>137</v>
      </c>
      <c r="E40" s="1" t="s">
        <v>407</v>
      </c>
      <c r="F40" s="10">
        <v>1.25</v>
      </c>
      <c r="G40" s="11"/>
      <c r="H40" s="10">
        <f t="shared" ref="H40:H71" si="1">IF(ISNUMBER(G40),G40*(1+$C$4),IF(ISNUMBER(F40),F40*(1+$C$4),""))</f>
        <v>1.375</v>
      </c>
      <c r="I40" s="1" t="str">
        <f>IF(Unidades!AE40=0,"SIN COMPRA",IF(ISNUMBER(H40),"VALORADO","FALTA PRECIO"))</f>
        <v>VALORADO</v>
      </c>
      <c r="J40" s="1" t="s">
        <v>406</v>
      </c>
    </row>
    <row r="41" spans="1:10">
      <c r="A41" s="1" t="s">
        <v>139</v>
      </c>
      <c r="B41" s="1" t="s">
        <v>140</v>
      </c>
      <c r="C41" s="1" t="s">
        <v>3</v>
      </c>
      <c r="D41" s="1" t="s">
        <v>139</v>
      </c>
      <c r="E41" s="1" t="s">
        <v>405</v>
      </c>
      <c r="F41" s="10">
        <v>1.78</v>
      </c>
      <c r="G41" s="11"/>
      <c r="H41" s="10">
        <f t="shared" si="1"/>
        <v>1.9580000000000002</v>
      </c>
      <c r="I41" s="1" t="str">
        <f>IF(Unidades!AE41=0,"SIN COMPRA",IF(ISNUMBER(H41),"VALORADO","FALTA PRECIO"))</f>
        <v>VALORADO</v>
      </c>
      <c r="J41" s="1" t="s">
        <v>406</v>
      </c>
    </row>
    <row r="42" spans="1:10">
      <c r="A42" s="1" t="s">
        <v>141</v>
      </c>
      <c r="B42" s="1" t="s">
        <v>142</v>
      </c>
      <c r="C42" s="1" t="s">
        <v>3</v>
      </c>
      <c r="D42" s="1" t="s">
        <v>141</v>
      </c>
      <c r="E42" s="1" t="s">
        <v>420</v>
      </c>
      <c r="F42" s="10">
        <v>0.69499999999999995</v>
      </c>
      <c r="G42" s="11"/>
      <c r="H42" s="10">
        <f t="shared" si="1"/>
        <v>0.76449999999999996</v>
      </c>
      <c r="I42" s="1" t="str">
        <f>IF(Unidades!AE42=0,"SIN COMPRA",IF(ISNUMBER(H42),"VALORADO","FALTA PRECIO"))</f>
        <v>VALORADO</v>
      </c>
      <c r="J42" s="1" t="s">
        <v>406</v>
      </c>
    </row>
    <row r="43" spans="1:10">
      <c r="A43" s="1" t="s">
        <v>143</v>
      </c>
      <c r="B43" s="1" t="s">
        <v>144</v>
      </c>
      <c r="C43" s="1" t="s">
        <v>3</v>
      </c>
      <c r="D43" s="1" t="s">
        <v>143</v>
      </c>
      <c r="E43" s="1" t="s">
        <v>419</v>
      </c>
      <c r="F43" s="10">
        <v>3.24</v>
      </c>
      <c r="G43" s="11"/>
      <c r="H43" s="10">
        <f t="shared" si="1"/>
        <v>3.5640000000000005</v>
      </c>
      <c r="I43" s="1" t="str">
        <f>IF(Unidades!AE43=0,"SIN COMPRA",IF(ISNUMBER(H43),"VALORADO","FALTA PRECIO"))</f>
        <v>VALORADO</v>
      </c>
      <c r="J43" s="1" t="s">
        <v>412</v>
      </c>
    </row>
    <row r="44" spans="1:10">
      <c r="A44" s="1" t="s">
        <v>145</v>
      </c>
      <c r="B44" s="1" t="s">
        <v>146</v>
      </c>
      <c r="C44" s="1" t="s">
        <v>3</v>
      </c>
      <c r="D44" s="1" t="s">
        <v>145</v>
      </c>
      <c r="E44" s="1" t="s">
        <v>405</v>
      </c>
      <c r="F44" s="10">
        <v>1.51</v>
      </c>
      <c r="G44" s="11"/>
      <c r="H44" s="10">
        <f t="shared" si="1"/>
        <v>1.6610000000000003</v>
      </c>
      <c r="I44" s="1" t="str">
        <f>IF(Unidades!AE44=0,"SIN COMPRA",IF(ISNUMBER(H44),"VALORADO","FALTA PRECIO"))</f>
        <v>VALORADO</v>
      </c>
      <c r="J44" s="1" t="s">
        <v>406</v>
      </c>
    </row>
    <row r="45" spans="1:10">
      <c r="A45" s="1" t="s">
        <v>147</v>
      </c>
      <c r="B45" s="1" t="s">
        <v>148</v>
      </c>
      <c r="C45" s="1" t="s">
        <v>3</v>
      </c>
      <c r="D45" s="1" t="s">
        <v>147</v>
      </c>
      <c r="E45" s="1" t="s">
        <v>405</v>
      </c>
      <c r="F45" s="10">
        <v>1.0617391304347825</v>
      </c>
      <c r="G45" s="11"/>
      <c r="H45" s="10">
        <f t="shared" si="1"/>
        <v>1.167913043478261</v>
      </c>
      <c r="I45" s="1" t="str">
        <f>IF(Unidades!AE45=0,"SIN COMPRA",IF(ISNUMBER(H45),"VALORADO","FALTA PRECIO"))</f>
        <v>VALORADO</v>
      </c>
      <c r="J45" s="1" t="s">
        <v>406</v>
      </c>
    </row>
    <row r="46" spans="1:10">
      <c r="A46" s="1" t="s">
        <v>149</v>
      </c>
      <c r="B46" s="1" t="s">
        <v>150</v>
      </c>
      <c r="C46" s="1" t="s">
        <v>3</v>
      </c>
      <c r="D46" s="1" t="s">
        <v>149</v>
      </c>
      <c r="E46" s="1" t="s">
        <v>419</v>
      </c>
      <c r="F46" s="10">
        <v>2.1640000000000001</v>
      </c>
      <c r="G46" s="11"/>
      <c r="H46" s="10">
        <f t="shared" si="1"/>
        <v>2.3804000000000003</v>
      </c>
      <c r="I46" s="1" t="str">
        <f>IF(Unidades!AE46=0,"SIN COMPRA",IF(ISNUMBER(H46),"VALORADO","FALTA PRECIO"))</f>
        <v>VALORADO</v>
      </c>
      <c r="J46" s="1" t="s">
        <v>406</v>
      </c>
    </row>
    <row r="47" spans="1:10">
      <c r="A47" s="1" t="s">
        <v>151</v>
      </c>
      <c r="B47" s="1" t="s">
        <v>152</v>
      </c>
      <c r="C47" s="1" t="s">
        <v>3</v>
      </c>
      <c r="D47" s="1" t="s">
        <v>151</v>
      </c>
      <c r="E47" s="1" t="s">
        <v>405</v>
      </c>
      <c r="F47" s="10">
        <v>3.33</v>
      </c>
      <c r="G47" s="11"/>
      <c r="H47" s="10">
        <f t="shared" si="1"/>
        <v>3.6630000000000003</v>
      </c>
      <c r="I47" s="1" t="str">
        <f>IF(Unidades!AE47=0,"SIN COMPRA",IF(ISNUMBER(H47),"VALORADO","FALTA PRECIO"))</f>
        <v>VALORADO</v>
      </c>
      <c r="J47" s="1" t="s">
        <v>406</v>
      </c>
    </row>
    <row r="48" spans="1:10">
      <c r="A48" s="1" t="s">
        <v>153</v>
      </c>
      <c r="B48" s="1" t="s">
        <v>154</v>
      </c>
      <c r="C48" s="1" t="s">
        <v>3</v>
      </c>
      <c r="D48" s="1" t="s">
        <v>153</v>
      </c>
      <c r="E48" s="1" t="s">
        <v>405</v>
      </c>
      <c r="F48" s="10">
        <v>1.6129729729729729</v>
      </c>
      <c r="G48" s="11"/>
      <c r="H48" s="10">
        <f t="shared" si="1"/>
        <v>1.7742702702702704</v>
      </c>
      <c r="I48" s="1" t="str">
        <f>IF(Unidades!AE48=0,"SIN COMPRA",IF(ISNUMBER(H48),"VALORADO","FALTA PRECIO"))</f>
        <v>VALORADO</v>
      </c>
      <c r="J48" s="1" t="s">
        <v>406</v>
      </c>
    </row>
    <row r="49" spans="1:10">
      <c r="A49" s="1" t="s">
        <v>155</v>
      </c>
      <c r="B49" s="1" t="s">
        <v>156</v>
      </c>
      <c r="C49" s="1" t="s">
        <v>3</v>
      </c>
      <c r="D49" s="1" t="s">
        <v>155</v>
      </c>
      <c r="E49" s="1" t="s">
        <v>411</v>
      </c>
      <c r="F49" s="10">
        <v>1.7200000000000002</v>
      </c>
      <c r="G49" s="11"/>
      <c r="H49" s="10">
        <f t="shared" si="1"/>
        <v>1.8920000000000003</v>
      </c>
      <c r="I49" s="1" t="str">
        <f>IF(Unidades!AE49=0,"SIN COMPRA",IF(ISNUMBER(H49),"VALORADO","FALTA PRECIO"))</f>
        <v>VALORADO</v>
      </c>
      <c r="J49" s="1" t="s">
        <v>406</v>
      </c>
    </row>
    <row r="50" spans="1:10">
      <c r="A50" s="1" t="s">
        <v>157</v>
      </c>
      <c r="B50" s="1" t="s">
        <v>158</v>
      </c>
      <c r="C50" s="1" t="s">
        <v>3</v>
      </c>
      <c r="D50" s="1" t="s">
        <v>157</v>
      </c>
      <c r="E50" s="1" t="s">
        <v>408</v>
      </c>
      <c r="F50" s="10">
        <v>1.1499999999999999</v>
      </c>
      <c r="G50" s="11"/>
      <c r="H50" s="10">
        <f t="shared" si="1"/>
        <v>1.2649999999999999</v>
      </c>
      <c r="I50" s="1" t="str">
        <f>IF(Unidades!AE50=0,"SIN COMPRA",IF(ISNUMBER(H50),"VALORADO","FALTA PRECIO"))</f>
        <v>VALORADO</v>
      </c>
      <c r="J50" s="1" t="s">
        <v>406</v>
      </c>
    </row>
    <row r="51" spans="1:10">
      <c r="A51" s="1" t="s">
        <v>159</v>
      </c>
      <c r="B51" s="1" t="s">
        <v>160</v>
      </c>
      <c r="C51" s="1" t="s">
        <v>3</v>
      </c>
      <c r="D51" s="1" t="s">
        <v>159</v>
      </c>
      <c r="E51" s="1" t="s">
        <v>419</v>
      </c>
      <c r="F51" s="10">
        <v>1.6</v>
      </c>
      <c r="G51" s="11"/>
      <c r="H51" s="10">
        <f t="shared" si="1"/>
        <v>1.7600000000000002</v>
      </c>
      <c r="I51" s="1" t="str">
        <f>IF(Unidades!AE51=0,"SIN COMPRA",IF(ISNUMBER(H51),"VALORADO","FALTA PRECIO"))</f>
        <v>VALORADO</v>
      </c>
      <c r="J51" s="1" t="s">
        <v>406</v>
      </c>
    </row>
    <row r="52" spans="1:10">
      <c r="A52" s="1" t="s">
        <v>161</v>
      </c>
      <c r="B52" s="1" t="s">
        <v>162</v>
      </c>
      <c r="C52" s="1" t="s">
        <v>3</v>
      </c>
      <c r="D52" s="1" t="s">
        <v>161</v>
      </c>
      <c r="E52" s="1" t="s">
        <v>411</v>
      </c>
      <c r="F52" s="10">
        <v>0.88500000000000001</v>
      </c>
      <c r="G52" s="11"/>
      <c r="H52" s="10">
        <f t="shared" si="1"/>
        <v>0.97350000000000014</v>
      </c>
      <c r="I52" s="1" t="str">
        <f>IF(Unidades!AE52=0,"SIN COMPRA",IF(ISNUMBER(H52),"VALORADO","FALTA PRECIO"))</f>
        <v>VALORADO</v>
      </c>
      <c r="J52" s="1" t="s">
        <v>406</v>
      </c>
    </row>
    <row r="53" spans="1:10">
      <c r="A53" s="1" t="s">
        <v>163</v>
      </c>
      <c r="B53" s="1" t="s">
        <v>164</v>
      </c>
      <c r="C53" s="1" t="s">
        <v>3</v>
      </c>
      <c r="D53" s="1" t="s">
        <v>163</v>
      </c>
      <c r="E53" s="1" t="s">
        <v>405</v>
      </c>
      <c r="F53" s="10">
        <v>0.16499999999999998</v>
      </c>
      <c r="G53" s="11"/>
      <c r="H53" s="10">
        <f t="shared" si="1"/>
        <v>0.18149999999999999</v>
      </c>
      <c r="I53" s="1" t="str">
        <f>IF(Unidades!AE53=0,"SIN COMPRA",IF(ISNUMBER(H53),"VALORADO","FALTA PRECIO"))</f>
        <v>VALORADO</v>
      </c>
      <c r="J53" s="1" t="s">
        <v>406</v>
      </c>
    </row>
    <row r="54" spans="1:10">
      <c r="A54" s="1" t="s">
        <v>165</v>
      </c>
      <c r="B54" s="1" t="s">
        <v>166</v>
      </c>
      <c r="C54" s="1" t="s">
        <v>3</v>
      </c>
      <c r="D54" s="1" t="s">
        <v>165</v>
      </c>
      <c r="E54" s="1"/>
      <c r="F54" s="10">
        <v>3.69</v>
      </c>
      <c r="G54" s="11"/>
      <c r="H54" s="10">
        <f t="shared" si="1"/>
        <v>4.0590000000000002</v>
      </c>
      <c r="I54" s="1" t="str">
        <f>IF(Unidades!AE54=0,"SIN COMPRA",IF(ISNUMBER(H54),"VALORADO","FALTA PRECIO"))</f>
        <v>VALORADO</v>
      </c>
      <c r="J54" s="1" t="s">
        <v>418</v>
      </c>
    </row>
    <row r="55" spans="1:10">
      <c r="A55" s="1" t="s">
        <v>167</v>
      </c>
      <c r="B55" s="1" t="s">
        <v>168</v>
      </c>
      <c r="C55" s="1" t="s">
        <v>3</v>
      </c>
      <c r="D55" s="1" t="s">
        <v>167</v>
      </c>
      <c r="E55" s="1" t="s">
        <v>408</v>
      </c>
      <c r="F55" s="10">
        <v>1.1499999999999999</v>
      </c>
      <c r="G55" s="11"/>
      <c r="H55" s="10">
        <f t="shared" si="1"/>
        <v>1.2649999999999999</v>
      </c>
      <c r="I55" s="1" t="str">
        <f>IF(Unidades!AE55=0,"SIN COMPRA",IF(ISNUMBER(H55),"VALORADO","FALTA PRECIO"))</f>
        <v>VALORADO</v>
      </c>
      <c r="J55" s="1" t="s">
        <v>406</v>
      </c>
    </row>
    <row r="56" spans="1:10">
      <c r="A56" s="1" t="s">
        <v>169</v>
      </c>
      <c r="B56" s="1" t="s">
        <v>170</v>
      </c>
      <c r="C56" s="1" t="s">
        <v>3</v>
      </c>
      <c r="D56" s="1" t="s">
        <v>169</v>
      </c>
      <c r="E56" s="1"/>
      <c r="F56" s="10">
        <v>1.43</v>
      </c>
      <c r="G56" s="11"/>
      <c r="H56" s="10">
        <f t="shared" si="1"/>
        <v>1.573</v>
      </c>
      <c r="I56" s="1" t="str">
        <f>IF(Unidades!AE56=0,"SIN COMPRA",IF(ISNUMBER(H56),"VALORADO","FALTA PRECIO"))</f>
        <v>VALORADO</v>
      </c>
      <c r="J56" s="1" t="s">
        <v>418</v>
      </c>
    </row>
    <row r="57" spans="1:10">
      <c r="A57" s="1" t="s">
        <v>171</v>
      </c>
      <c r="B57" s="1" t="s">
        <v>172</v>
      </c>
      <c r="C57" s="1" t="s">
        <v>3</v>
      </c>
      <c r="D57" s="1" t="s">
        <v>171</v>
      </c>
      <c r="E57" s="1" t="s">
        <v>405</v>
      </c>
      <c r="F57" s="10">
        <v>1.68</v>
      </c>
      <c r="G57" s="11"/>
      <c r="H57" s="10">
        <f t="shared" si="1"/>
        <v>1.8480000000000001</v>
      </c>
      <c r="I57" s="1" t="str">
        <f>IF(Unidades!AE57=0,"SIN COMPRA",IF(ISNUMBER(H57),"VALORADO","FALTA PRECIO"))</f>
        <v>VALORADO</v>
      </c>
      <c r="J57" s="1" t="s">
        <v>406</v>
      </c>
    </row>
    <row r="58" spans="1:10">
      <c r="A58" s="1" t="s">
        <v>173</v>
      </c>
      <c r="B58" s="1" t="s">
        <v>174</v>
      </c>
      <c r="C58" s="1" t="s">
        <v>3</v>
      </c>
      <c r="D58" s="1" t="s">
        <v>173</v>
      </c>
      <c r="E58" s="1" t="s">
        <v>405</v>
      </c>
      <c r="F58" s="10">
        <v>0.4153241895261845</v>
      </c>
      <c r="G58" s="11"/>
      <c r="H58" s="10">
        <f t="shared" si="1"/>
        <v>0.45685660847880299</v>
      </c>
      <c r="I58" s="1" t="str">
        <f>IF(Unidades!AE58=0,"SIN COMPRA",IF(ISNUMBER(H58),"VALORADO","FALTA PRECIO"))</f>
        <v>VALORADO</v>
      </c>
      <c r="J58" s="1" t="s">
        <v>406</v>
      </c>
    </row>
    <row r="59" spans="1:10">
      <c r="A59" s="1" t="s">
        <v>175</v>
      </c>
      <c r="B59" s="1" t="s">
        <v>176</v>
      </c>
      <c r="C59" s="1" t="s">
        <v>3</v>
      </c>
      <c r="D59" s="1" t="s">
        <v>175</v>
      </c>
      <c r="E59" s="1" t="s">
        <v>421</v>
      </c>
      <c r="F59" s="10">
        <v>1.26</v>
      </c>
      <c r="G59" s="11"/>
      <c r="H59" s="10">
        <f t="shared" si="1"/>
        <v>1.3860000000000001</v>
      </c>
      <c r="I59" s="1" t="str">
        <f>IF(Unidades!AE59=0,"SIN COMPRA",IF(ISNUMBER(H59),"VALORADO","FALTA PRECIO"))</f>
        <v>VALORADO</v>
      </c>
      <c r="J59" s="1" t="s">
        <v>406</v>
      </c>
    </row>
    <row r="60" spans="1:10">
      <c r="A60" s="1" t="s">
        <v>177</v>
      </c>
      <c r="B60" s="1" t="s">
        <v>178</v>
      </c>
      <c r="C60" s="1" t="s">
        <v>3</v>
      </c>
      <c r="D60" s="1" t="s">
        <v>177</v>
      </c>
      <c r="E60" s="1" t="s">
        <v>405</v>
      </c>
      <c r="F60" s="10">
        <v>4.88</v>
      </c>
      <c r="G60" s="11"/>
      <c r="H60" s="10">
        <f t="shared" si="1"/>
        <v>5.3680000000000003</v>
      </c>
      <c r="I60" s="1" t="str">
        <f>IF(Unidades!AE60=0,"SIN COMPRA",IF(ISNUMBER(H60),"VALORADO","FALTA PRECIO"))</f>
        <v>VALORADO</v>
      </c>
      <c r="J60" s="1" t="s">
        <v>406</v>
      </c>
    </row>
    <row r="61" spans="1:10">
      <c r="A61" s="1" t="s">
        <v>179</v>
      </c>
      <c r="B61" s="1" t="s">
        <v>180</v>
      </c>
      <c r="C61" s="1" t="s">
        <v>3</v>
      </c>
      <c r="D61" s="1" t="s">
        <v>179</v>
      </c>
      <c r="E61" s="1" t="s">
        <v>408</v>
      </c>
      <c r="F61" s="10">
        <v>145</v>
      </c>
      <c r="G61" s="11"/>
      <c r="H61" s="10">
        <f t="shared" si="1"/>
        <v>159.5</v>
      </c>
      <c r="I61" s="1" t="str">
        <f>IF(Unidades!AE61=0,"SIN COMPRA",IF(ISNUMBER(H61),"VALORADO","FALTA PRECIO"))</f>
        <v>VALORADO</v>
      </c>
      <c r="J61" s="1" t="s">
        <v>406</v>
      </c>
    </row>
    <row r="62" spans="1:10">
      <c r="A62" s="1" t="s">
        <v>181</v>
      </c>
      <c r="B62" s="1" t="s">
        <v>182</v>
      </c>
      <c r="C62" s="1" t="s">
        <v>3</v>
      </c>
      <c r="D62" s="1" t="s">
        <v>181</v>
      </c>
      <c r="E62" s="1" t="s">
        <v>407</v>
      </c>
      <c r="F62" s="10">
        <v>0.73499999999999999</v>
      </c>
      <c r="G62" s="11"/>
      <c r="H62" s="10">
        <f t="shared" si="1"/>
        <v>0.8085</v>
      </c>
      <c r="I62" s="1" t="str">
        <f>IF(Unidades!AE62=0,"SIN COMPRA",IF(ISNUMBER(H62),"VALORADO","FALTA PRECIO"))</f>
        <v>VALORADO</v>
      </c>
      <c r="J62" s="1" t="s">
        <v>406</v>
      </c>
    </row>
    <row r="63" spans="1:10">
      <c r="A63" s="1" t="s">
        <v>183</v>
      </c>
      <c r="B63" s="1" t="s">
        <v>184</v>
      </c>
      <c r="C63" s="1" t="s">
        <v>3</v>
      </c>
      <c r="D63" s="1" t="s">
        <v>183</v>
      </c>
      <c r="E63" s="1" t="s">
        <v>405</v>
      </c>
      <c r="F63" s="10">
        <v>2.283579130434783</v>
      </c>
      <c r="G63" s="11"/>
      <c r="H63" s="10">
        <f t="shared" si="1"/>
        <v>2.5119370434782615</v>
      </c>
      <c r="I63" s="1" t="str">
        <f>IF(Unidades!AE63=0,"SIN COMPRA",IF(ISNUMBER(H63),"VALORADO","FALTA PRECIO"))</f>
        <v>VALORADO</v>
      </c>
      <c r="J63" s="1" t="s">
        <v>406</v>
      </c>
    </row>
    <row r="64" spans="1:10">
      <c r="A64" s="1" t="s">
        <v>185</v>
      </c>
      <c r="B64" s="1" t="s">
        <v>186</v>
      </c>
      <c r="C64" s="1" t="s">
        <v>3</v>
      </c>
      <c r="D64" s="1" t="s">
        <v>185</v>
      </c>
      <c r="E64" s="1" t="s">
        <v>422</v>
      </c>
      <c r="F64" s="10">
        <v>6.4</v>
      </c>
      <c r="G64" s="11"/>
      <c r="H64" s="10">
        <f t="shared" si="1"/>
        <v>7.0400000000000009</v>
      </c>
      <c r="I64" s="1" t="str">
        <f>IF(Unidades!AE64=0,"SIN COMPRA",IF(ISNUMBER(H64),"VALORADO","FALTA PRECIO"))</f>
        <v>VALORADO</v>
      </c>
      <c r="J64" s="1" t="s">
        <v>406</v>
      </c>
    </row>
    <row r="65" spans="1:10">
      <c r="A65" s="1" t="s">
        <v>187</v>
      </c>
      <c r="B65" s="1" t="s">
        <v>188</v>
      </c>
      <c r="C65" s="1" t="s">
        <v>3</v>
      </c>
      <c r="D65" s="1" t="s">
        <v>187</v>
      </c>
      <c r="E65" s="1" t="s">
        <v>407</v>
      </c>
      <c r="F65" s="10">
        <v>2.3200000000000003</v>
      </c>
      <c r="G65" s="11"/>
      <c r="H65" s="10">
        <f t="shared" si="1"/>
        <v>2.5520000000000005</v>
      </c>
      <c r="I65" s="1" t="str">
        <f>IF(Unidades!AE65=0,"SIN COMPRA",IF(ISNUMBER(H65),"VALORADO","FALTA PRECIO"))</f>
        <v>VALORADO</v>
      </c>
      <c r="J65" s="1" t="s">
        <v>406</v>
      </c>
    </row>
    <row r="66" spans="1:10">
      <c r="A66" s="1" t="s">
        <v>189</v>
      </c>
      <c r="B66" s="1" t="s">
        <v>190</v>
      </c>
      <c r="C66" s="1" t="s">
        <v>3</v>
      </c>
      <c r="D66" s="1" t="s">
        <v>189</v>
      </c>
      <c r="E66" s="1" t="s">
        <v>419</v>
      </c>
      <c r="F66" s="10">
        <v>1.73</v>
      </c>
      <c r="G66" s="11"/>
      <c r="H66" s="10">
        <f t="shared" si="1"/>
        <v>1.903</v>
      </c>
      <c r="I66" s="1" t="str">
        <f>IF(Unidades!AE66=0,"SIN COMPRA",IF(ISNUMBER(H66),"VALORADO","FALTA PRECIO"))</f>
        <v>VALORADO</v>
      </c>
      <c r="J66" s="1" t="s">
        <v>406</v>
      </c>
    </row>
    <row r="67" spans="1:10">
      <c r="A67" s="1" t="s">
        <v>191</v>
      </c>
      <c r="B67" s="1" t="s">
        <v>192</v>
      </c>
      <c r="C67" s="1" t="s">
        <v>3</v>
      </c>
      <c r="D67" s="1" t="s">
        <v>191</v>
      </c>
      <c r="E67" s="1" t="s">
        <v>405</v>
      </c>
      <c r="F67" s="10">
        <v>28.5</v>
      </c>
      <c r="G67" s="11"/>
      <c r="H67" s="10">
        <f t="shared" si="1"/>
        <v>31.35</v>
      </c>
      <c r="I67" s="1" t="str">
        <f>IF(Unidades!AE67=0,"SIN COMPRA",IF(ISNUMBER(H67),"VALORADO","FALTA PRECIO"))</f>
        <v>VALORADO</v>
      </c>
      <c r="J67" s="1" t="s">
        <v>406</v>
      </c>
    </row>
    <row r="68" spans="1:10">
      <c r="A68" s="1" t="s">
        <v>193</v>
      </c>
      <c r="B68" s="1" t="s">
        <v>194</v>
      </c>
      <c r="C68" s="1" t="s">
        <v>3</v>
      </c>
      <c r="D68" s="1" t="s">
        <v>193</v>
      </c>
      <c r="E68" s="1" t="s">
        <v>423</v>
      </c>
      <c r="F68" s="10">
        <v>0.53</v>
      </c>
      <c r="G68" s="11"/>
      <c r="H68" s="10">
        <f t="shared" si="1"/>
        <v>0.58300000000000007</v>
      </c>
      <c r="I68" s="1" t="str">
        <f>IF(Unidades!AE68=0,"SIN COMPRA",IF(ISNUMBER(H68),"VALORADO","FALTA PRECIO"))</f>
        <v>VALORADO</v>
      </c>
      <c r="J68" s="1" t="s">
        <v>406</v>
      </c>
    </row>
    <row r="69" spans="1:10">
      <c r="A69" s="1" t="s">
        <v>195</v>
      </c>
      <c r="B69" s="1" t="s">
        <v>196</v>
      </c>
      <c r="C69" s="1" t="s">
        <v>3</v>
      </c>
      <c r="D69" s="1" t="s">
        <v>195</v>
      </c>
      <c r="E69" s="1" t="s">
        <v>405</v>
      </c>
      <c r="F69" s="10">
        <v>0.55000000000000004</v>
      </c>
      <c r="G69" s="11"/>
      <c r="H69" s="10">
        <f t="shared" si="1"/>
        <v>0.60500000000000009</v>
      </c>
      <c r="I69" s="1" t="str">
        <f>IF(Unidades!AE69=0,"SIN COMPRA",IF(ISNUMBER(H69),"VALORADO","FALTA PRECIO"))</f>
        <v>VALORADO</v>
      </c>
      <c r="J69" s="1" t="s">
        <v>406</v>
      </c>
    </row>
    <row r="70" spans="1:10">
      <c r="A70" s="1" t="s">
        <v>197</v>
      </c>
      <c r="B70" s="1" t="s">
        <v>198</v>
      </c>
      <c r="C70" s="1" t="s">
        <v>3</v>
      </c>
      <c r="D70" s="1" t="s">
        <v>197</v>
      </c>
      <c r="E70" s="1" t="s">
        <v>405</v>
      </c>
      <c r="F70" s="10">
        <v>0.33100000000000002</v>
      </c>
      <c r="G70" s="11"/>
      <c r="H70" s="10">
        <f t="shared" si="1"/>
        <v>0.36410000000000003</v>
      </c>
      <c r="I70" s="1" t="str">
        <f>IF(Unidades!AE70=0,"SIN COMPRA",IF(ISNUMBER(H70),"VALORADO","FALTA PRECIO"))</f>
        <v>VALORADO</v>
      </c>
      <c r="J70" s="1" t="s">
        <v>406</v>
      </c>
    </row>
    <row r="71" spans="1:10">
      <c r="A71" s="1" t="s">
        <v>199</v>
      </c>
      <c r="B71" s="1" t="s">
        <v>200</v>
      </c>
      <c r="C71" s="1" t="s">
        <v>3</v>
      </c>
      <c r="D71" s="1" t="s">
        <v>199</v>
      </c>
      <c r="E71" s="1" t="s">
        <v>408</v>
      </c>
      <c r="F71" s="10">
        <v>0.33299999999999996</v>
      </c>
      <c r="G71" s="11"/>
      <c r="H71" s="10">
        <f t="shared" si="1"/>
        <v>0.36630000000000001</v>
      </c>
      <c r="I71" s="1" t="str">
        <f>IF(Unidades!AE71=0,"SIN COMPRA",IF(ISNUMBER(H71),"VALORADO","FALTA PRECIO"))</f>
        <v>VALORADO</v>
      </c>
      <c r="J71" s="1" t="s">
        <v>406</v>
      </c>
    </row>
    <row r="72" spans="1:10">
      <c r="A72" s="1" t="s">
        <v>201</v>
      </c>
      <c r="B72" s="1" t="s">
        <v>202</v>
      </c>
      <c r="C72" s="1" t="s">
        <v>3</v>
      </c>
      <c r="D72" s="1" t="s">
        <v>201</v>
      </c>
      <c r="E72" s="1" t="s">
        <v>405</v>
      </c>
      <c r="F72" s="10">
        <v>0.98</v>
      </c>
      <c r="G72" s="11"/>
      <c r="H72" s="10">
        <f t="shared" ref="H72:H103" si="2">IF(ISNUMBER(G72),G72*(1+$C$4),IF(ISNUMBER(F72),F72*(1+$C$4),""))</f>
        <v>1.0780000000000001</v>
      </c>
      <c r="I72" s="1" t="str">
        <f>IF(Unidades!AE72=0,"SIN COMPRA",IF(ISNUMBER(H72),"VALORADO","FALTA PRECIO"))</f>
        <v>VALORADO</v>
      </c>
      <c r="J72" s="1" t="s">
        <v>406</v>
      </c>
    </row>
    <row r="73" spans="1:10">
      <c r="A73" s="1" t="s">
        <v>203</v>
      </c>
      <c r="B73" s="1" t="s">
        <v>204</v>
      </c>
      <c r="C73" s="1" t="s">
        <v>3</v>
      </c>
      <c r="D73" s="1" t="s">
        <v>203</v>
      </c>
      <c r="E73" s="1" t="s">
        <v>411</v>
      </c>
      <c r="F73" s="10">
        <v>3.22</v>
      </c>
      <c r="G73" s="11"/>
      <c r="H73" s="10">
        <f t="shared" si="2"/>
        <v>3.5420000000000007</v>
      </c>
      <c r="I73" s="1" t="str">
        <f>IF(Unidades!AE73=0,"SIN COMPRA",IF(ISNUMBER(H73),"VALORADO","FALTA PRECIO"))</f>
        <v>VALORADO</v>
      </c>
      <c r="J73" s="1" t="s">
        <v>406</v>
      </c>
    </row>
    <row r="74" spans="1:10">
      <c r="A74" s="1" t="s">
        <v>205</v>
      </c>
      <c r="B74" s="1" t="s">
        <v>206</v>
      </c>
      <c r="C74" s="1" t="s">
        <v>3</v>
      </c>
      <c r="D74" s="1" t="s">
        <v>205</v>
      </c>
      <c r="E74" s="1" t="s">
        <v>424</v>
      </c>
      <c r="F74" s="10">
        <v>1.36</v>
      </c>
      <c r="G74" s="11"/>
      <c r="H74" s="10">
        <f t="shared" si="2"/>
        <v>1.4960000000000002</v>
      </c>
      <c r="I74" s="1" t="str">
        <f>IF(Unidades!AE74=0,"SIN COMPRA",IF(ISNUMBER(H74),"VALORADO","FALTA PRECIO"))</f>
        <v>SIN COMPRA</v>
      </c>
      <c r="J74" s="1" t="s">
        <v>406</v>
      </c>
    </row>
    <row r="75" spans="1:10">
      <c r="A75" s="1" t="s">
        <v>207</v>
      </c>
      <c r="B75" s="1" t="s">
        <v>208</v>
      </c>
      <c r="C75" s="1" t="s">
        <v>3</v>
      </c>
      <c r="D75" s="1" t="s">
        <v>207</v>
      </c>
      <c r="E75" s="1" t="s">
        <v>407</v>
      </c>
      <c r="F75" s="10">
        <v>2.82</v>
      </c>
      <c r="G75" s="11"/>
      <c r="H75" s="10">
        <f t="shared" si="2"/>
        <v>3.1019999999999999</v>
      </c>
      <c r="I75" s="1" t="str">
        <f>IF(Unidades!AE75=0,"SIN COMPRA",IF(ISNUMBER(H75),"VALORADO","FALTA PRECIO"))</f>
        <v>VALORADO</v>
      </c>
      <c r="J75" s="1" t="s">
        <v>406</v>
      </c>
    </row>
    <row r="76" spans="1:10">
      <c r="A76" s="1" t="s">
        <v>209</v>
      </c>
      <c r="B76" s="1" t="s">
        <v>210</v>
      </c>
      <c r="C76" s="1" t="s">
        <v>3</v>
      </c>
      <c r="D76" s="1" t="s">
        <v>209</v>
      </c>
      <c r="E76" s="1" t="s">
        <v>419</v>
      </c>
      <c r="F76" s="10">
        <v>2.2000000000000002</v>
      </c>
      <c r="G76" s="11"/>
      <c r="H76" s="10">
        <f t="shared" si="2"/>
        <v>2.4200000000000004</v>
      </c>
      <c r="I76" s="1" t="str">
        <f>IF(Unidades!AE76=0,"SIN COMPRA",IF(ISNUMBER(H76),"VALORADO","FALTA PRECIO"))</f>
        <v>VALORADO</v>
      </c>
      <c r="J76" s="1" t="s">
        <v>406</v>
      </c>
    </row>
    <row r="77" spans="1:10">
      <c r="A77" s="1" t="s">
        <v>211</v>
      </c>
      <c r="B77" s="1" t="s">
        <v>212</v>
      </c>
      <c r="C77" s="1" t="s">
        <v>3</v>
      </c>
      <c r="D77" s="1" t="s">
        <v>211</v>
      </c>
      <c r="E77" s="1" t="s">
        <v>411</v>
      </c>
      <c r="F77" s="10">
        <v>13.879999999999999</v>
      </c>
      <c r="G77" s="11"/>
      <c r="H77" s="10">
        <f t="shared" si="2"/>
        <v>15.268000000000001</v>
      </c>
      <c r="I77" s="1" t="str">
        <f>IF(Unidades!AE77=0,"SIN COMPRA",IF(ISNUMBER(H77),"VALORADO","FALTA PRECIO"))</f>
        <v>VALORADO</v>
      </c>
      <c r="J77" s="1" t="s">
        <v>406</v>
      </c>
    </row>
    <row r="78" spans="1:10">
      <c r="A78" s="1" t="s">
        <v>213</v>
      </c>
      <c r="B78" s="1" t="s">
        <v>214</v>
      </c>
      <c r="C78" s="1" t="s">
        <v>3</v>
      </c>
      <c r="D78" s="1" t="s">
        <v>213</v>
      </c>
      <c r="E78" s="1" t="s">
        <v>415</v>
      </c>
      <c r="F78" s="10">
        <v>2.95</v>
      </c>
      <c r="G78" s="11"/>
      <c r="H78" s="10">
        <f t="shared" si="2"/>
        <v>3.2450000000000006</v>
      </c>
      <c r="I78" s="1" t="str">
        <f>IF(Unidades!AE78=0,"SIN COMPRA",IF(ISNUMBER(H78),"VALORADO","FALTA PRECIO"))</f>
        <v>SIN COMPRA</v>
      </c>
      <c r="J78" s="1" t="s">
        <v>406</v>
      </c>
    </row>
    <row r="79" spans="1:10">
      <c r="A79" s="1" t="s">
        <v>215</v>
      </c>
      <c r="B79" s="1" t="s">
        <v>216</v>
      </c>
      <c r="C79" s="1" t="s">
        <v>3</v>
      </c>
      <c r="D79" s="1" t="s">
        <v>215</v>
      </c>
      <c r="E79" s="1" t="s">
        <v>405</v>
      </c>
      <c r="F79" s="10">
        <v>1.875</v>
      </c>
      <c r="G79" s="11"/>
      <c r="H79" s="10">
        <f t="shared" si="2"/>
        <v>2.0625</v>
      </c>
      <c r="I79" s="1" t="str">
        <f>IF(Unidades!AE79=0,"SIN COMPRA",IF(ISNUMBER(H79),"VALORADO","FALTA PRECIO"))</f>
        <v>VALORADO</v>
      </c>
      <c r="J79" s="1" t="s">
        <v>406</v>
      </c>
    </row>
    <row r="80" spans="1:10">
      <c r="A80" s="1" t="s">
        <v>217</v>
      </c>
      <c r="B80" s="1" t="s">
        <v>218</v>
      </c>
      <c r="C80" s="1" t="s">
        <v>3</v>
      </c>
      <c r="D80" s="1" t="s">
        <v>217</v>
      </c>
      <c r="E80" s="1" t="s">
        <v>408</v>
      </c>
      <c r="F80" s="10">
        <v>1.08</v>
      </c>
      <c r="G80" s="11"/>
      <c r="H80" s="10">
        <f t="shared" si="2"/>
        <v>1.1880000000000002</v>
      </c>
      <c r="I80" s="1" t="str">
        <f>IF(Unidades!AE80=0,"SIN COMPRA",IF(ISNUMBER(H80),"VALORADO","FALTA PRECIO"))</f>
        <v>VALORADO</v>
      </c>
      <c r="J80" s="1" t="s">
        <v>406</v>
      </c>
    </row>
    <row r="81" spans="1:10">
      <c r="A81" s="1" t="s">
        <v>219</v>
      </c>
      <c r="B81" s="1" t="s">
        <v>220</v>
      </c>
      <c r="C81" s="1" t="s">
        <v>3</v>
      </c>
      <c r="D81" s="1" t="s">
        <v>219</v>
      </c>
      <c r="E81" s="1" t="s">
        <v>407</v>
      </c>
      <c r="F81" s="10">
        <v>0.67500000000000004</v>
      </c>
      <c r="G81" s="11"/>
      <c r="H81" s="10">
        <f t="shared" si="2"/>
        <v>0.74250000000000016</v>
      </c>
      <c r="I81" s="1" t="str">
        <f>IF(Unidades!AE81=0,"SIN COMPRA",IF(ISNUMBER(H81),"VALORADO","FALTA PRECIO"))</f>
        <v>VALORADO</v>
      </c>
      <c r="J81" s="1" t="s">
        <v>406</v>
      </c>
    </row>
    <row r="82" spans="1:10">
      <c r="A82" s="1" t="s">
        <v>221</v>
      </c>
      <c r="B82" s="1" t="s">
        <v>222</v>
      </c>
      <c r="C82" s="1" t="s">
        <v>3</v>
      </c>
      <c r="D82" s="1" t="s">
        <v>221</v>
      </c>
      <c r="E82" s="1" t="s">
        <v>425</v>
      </c>
      <c r="F82" s="10">
        <v>0.45</v>
      </c>
      <c r="G82" s="11"/>
      <c r="H82" s="10">
        <f t="shared" si="2"/>
        <v>0.49500000000000005</v>
      </c>
      <c r="I82" s="1" t="str">
        <f>IF(Unidades!AE82=0,"SIN COMPRA",IF(ISNUMBER(H82),"VALORADO","FALTA PRECIO"))</f>
        <v>VALORADO</v>
      </c>
      <c r="J82" s="1" t="s">
        <v>406</v>
      </c>
    </row>
    <row r="83" spans="1:10">
      <c r="A83" s="1" t="s">
        <v>223</v>
      </c>
      <c r="B83" s="1" t="s">
        <v>224</v>
      </c>
      <c r="C83" s="1" t="s">
        <v>3</v>
      </c>
      <c r="D83" s="1" t="s">
        <v>223</v>
      </c>
      <c r="E83" s="1" t="s">
        <v>408</v>
      </c>
      <c r="F83" s="10">
        <v>4.0378787878787881</v>
      </c>
      <c r="G83" s="11"/>
      <c r="H83" s="10">
        <f t="shared" si="2"/>
        <v>4.4416666666666673</v>
      </c>
      <c r="I83" s="1" t="str">
        <f>IF(Unidades!AE83=0,"SIN COMPRA",IF(ISNUMBER(H83),"VALORADO","FALTA PRECIO"))</f>
        <v>VALORADO</v>
      </c>
      <c r="J83" s="1" t="s">
        <v>406</v>
      </c>
    </row>
    <row r="84" spans="1:10">
      <c r="A84" s="1" t="s">
        <v>225</v>
      </c>
      <c r="B84" s="1" t="s">
        <v>226</v>
      </c>
      <c r="C84" s="1" t="s">
        <v>3</v>
      </c>
      <c r="D84" s="1" t="s">
        <v>225</v>
      </c>
      <c r="E84" s="1" t="s">
        <v>405</v>
      </c>
      <c r="F84" s="10">
        <v>1.1890000000000001</v>
      </c>
      <c r="G84" s="11"/>
      <c r="H84" s="10">
        <f t="shared" si="2"/>
        <v>1.3079000000000001</v>
      </c>
      <c r="I84" s="1" t="str">
        <f>IF(Unidades!AE84=0,"SIN COMPRA",IF(ISNUMBER(H84),"VALORADO","FALTA PRECIO"))</f>
        <v>VALORADO</v>
      </c>
      <c r="J84" s="1" t="s">
        <v>406</v>
      </c>
    </row>
    <row r="85" spans="1:10">
      <c r="A85" s="1" t="s">
        <v>227</v>
      </c>
      <c r="B85" s="1" t="s">
        <v>228</v>
      </c>
      <c r="C85" s="1" t="s">
        <v>3</v>
      </c>
      <c r="D85" s="1" t="s">
        <v>227</v>
      </c>
      <c r="E85" s="1" t="s">
        <v>407</v>
      </c>
      <c r="F85" s="10">
        <v>3.62</v>
      </c>
      <c r="G85" s="11"/>
      <c r="H85" s="10">
        <f t="shared" si="2"/>
        <v>3.9820000000000007</v>
      </c>
      <c r="I85" s="1" t="str">
        <f>IF(Unidades!AE85=0,"SIN COMPRA",IF(ISNUMBER(H85),"VALORADO","FALTA PRECIO"))</f>
        <v>VALORADO</v>
      </c>
      <c r="J85" s="1" t="s">
        <v>406</v>
      </c>
    </row>
    <row r="86" spans="1:10">
      <c r="A86" s="1" t="s">
        <v>229</v>
      </c>
      <c r="B86" s="1" t="s">
        <v>230</v>
      </c>
      <c r="C86" s="1" t="s">
        <v>3</v>
      </c>
      <c r="D86" s="1" t="s">
        <v>229</v>
      </c>
      <c r="E86" s="1" t="s">
        <v>408</v>
      </c>
      <c r="F86" s="10">
        <v>0.64</v>
      </c>
      <c r="G86" s="11"/>
      <c r="H86" s="10">
        <f t="shared" si="2"/>
        <v>0.70400000000000007</v>
      </c>
      <c r="I86" s="1" t="str">
        <f>IF(Unidades!AE86=0,"SIN COMPRA",IF(ISNUMBER(H86),"VALORADO","FALTA PRECIO"))</f>
        <v>VALORADO</v>
      </c>
      <c r="J86" s="1" t="s">
        <v>406</v>
      </c>
    </row>
    <row r="87" spans="1:10">
      <c r="A87" s="1" t="s">
        <v>231</v>
      </c>
      <c r="B87" s="1" t="s">
        <v>232</v>
      </c>
      <c r="C87" s="1" t="s">
        <v>3</v>
      </c>
      <c r="D87" s="1" t="s">
        <v>231</v>
      </c>
      <c r="E87" s="1" t="s">
        <v>405</v>
      </c>
      <c r="F87" s="10">
        <v>0.72</v>
      </c>
      <c r="G87" s="11"/>
      <c r="H87" s="10">
        <f t="shared" si="2"/>
        <v>0.79200000000000004</v>
      </c>
      <c r="I87" s="1" t="str">
        <f>IF(Unidades!AE87=0,"SIN COMPRA",IF(ISNUMBER(H87),"VALORADO","FALTA PRECIO"))</f>
        <v>VALORADO</v>
      </c>
      <c r="J87" s="1" t="s">
        <v>406</v>
      </c>
    </row>
    <row r="88" spans="1:10">
      <c r="A88" s="1" t="s">
        <v>233</v>
      </c>
      <c r="B88" s="1" t="s">
        <v>234</v>
      </c>
      <c r="C88" s="1" t="s">
        <v>3</v>
      </c>
      <c r="D88" s="1" t="s">
        <v>233</v>
      </c>
      <c r="E88" s="1" t="s">
        <v>417</v>
      </c>
      <c r="F88" s="10">
        <v>0.85</v>
      </c>
      <c r="G88" s="11"/>
      <c r="H88" s="10">
        <f t="shared" si="2"/>
        <v>0.93500000000000005</v>
      </c>
      <c r="I88" s="1" t="str">
        <f>IF(Unidades!AE88=0,"SIN COMPRA",IF(ISNUMBER(H88),"VALORADO","FALTA PRECIO"))</f>
        <v>VALORADO</v>
      </c>
      <c r="J88" s="1" t="s">
        <v>406</v>
      </c>
    </row>
    <row r="89" spans="1:10">
      <c r="A89" s="1" t="s">
        <v>235</v>
      </c>
      <c r="B89" s="1" t="s">
        <v>236</v>
      </c>
      <c r="C89" s="1" t="s">
        <v>3</v>
      </c>
      <c r="D89" s="1" t="s">
        <v>235</v>
      </c>
      <c r="E89" s="1" t="s">
        <v>413</v>
      </c>
      <c r="F89" s="10">
        <v>0.67500000000000004</v>
      </c>
      <c r="G89" s="11"/>
      <c r="H89" s="10">
        <f t="shared" si="2"/>
        <v>0.74250000000000016</v>
      </c>
      <c r="I89" s="1" t="str">
        <f>IF(Unidades!AE89=0,"SIN COMPRA",IF(ISNUMBER(H89),"VALORADO","FALTA PRECIO"))</f>
        <v>VALORADO</v>
      </c>
      <c r="J89" s="1" t="s">
        <v>406</v>
      </c>
    </row>
    <row r="90" spans="1:10">
      <c r="A90" s="1" t="s">
        <v>237</v>
      </c>
      <c r="B90" s="1" t="s">
        <v>238</v>
      </c>
      <c r="C90" s="1" t="s">
        <v>3</v>
      </c>
      <c r="D90" s="1" t="s">
        <v>237</v>
      </c>
      <c r="E90" s="1" t="s">
        <v>408</v>
      </c>
      <c r="F90" s="10">
        <v>5.15</v>
      </c>
      <c r="G90" s="11"/>
      <c r="H90" s="10">
        <f t="shared" si="2"/>
        <v>5.6650000000000009</v>
      </c>
      <c r="I90" s="1" t="str">
        <f>IF(Unidades!AE90=0,"SIN COMPRA",IF(ISNUMBER(H90),"VALORADO","FALTA PRECIO"))</f>
        <v>VALORADO</v>
      </c>
      <c r="J90" s="1" t="s">
        <v>406</v>
      </c>
    </row>
    <row r="91" spans="1:10">
      <c r="A91" s="1" t="s">
        <v>239</v>
      </c>
      <c r="B91" s="1" t="s">
        <v>240</v>
      </c>
      <c r="C91" s="1" t="s">
        <v>3</v>
      </c>
      <c r="D91" s="1" t="s">
        <v>239</v>
      </c>
      <c r="E91" s="1" t="s">
        <v>411</v>
      </c>
      <c r="F91" s="10">
        <v>1.155</v>
      </c>
      <c r="G91" s="11"/>
      <c r="H91" s="10">
        <f t="shared" si="2"/>
        <v>1.2705000000000002</v>
      </c>
      <c r="I91" s="1" t="str">
        <f>IF(Unidades!AE91=0,"SIN COMPRA",IF(ISNUMBER(H91),"VALORADO","FALTA PRECIO"))</f>
        <v>VALORADO</v>
      </c>
      <c r="J91" s="1" t="s">
        <v>406</v>
      </c>
    </row>
    <row r="92" spans="1:10">
      <c r="A92" s="1" t="s">
        <v>241</v>
      </c>
      <c r="B92" s="1" t="s">
        <v>242</v>
      </c>
      <c r="C92" s="1" t="s">
        <v>3</v>
      </c>
      <c r="D92" s="1" t="s">
        <v>241</v>
      </c>
      <c r="E92" s="1" t="s">
        <v>416</v>
      </c>
      <c r="F92" s="10">
        <v>2.15</v>
      </c>
      <c r="G92" s="11"/>
      <c r="H92" s="10">
        <f t="shared" si="2"/>
        <v>2.3650000000000002</v>
      </c>
      <c r="I92" s="1" t="str">
        <f>IF(Unidades!AE92=0,"SIN COMPRA",IF(ISNUMBER(H92),"VALORADO","FALTA PRECIO"))</f>
        <v>VALORADO</v>
      </c>
      <c r="J92" s="1" t="s">
        <v>406</v>
      </c>
    </row>
    <row r="93" spans="1:10">
      <c r="A93" s="1" t="s">
        <v>243</v>
      </c>
      <c r="B93" s="1" t="s">
        <v>244</v>
      </c>
      <c r="C93" s="1" t="s">
        <v>3</v>
      </c>
      <c r="D93" s="1" t="s">
        <v>243</v>
      </c>
      <c r="E93" s="1" t="s">
        <v>405</v>
      </c>
      <c r="F93" s="10">
        <v>3.85</v>
      </c>
      <c r="G93" s="11"/>
      <c r="H93" s="10">
        <f t="shared" si="2"/>
        <v>4.2350000000000003</v>
      </c>
      <c r="I93" s="1" t="str">
        <f>IF(Unidades!AE93=0,"SIN COMPRA",IF(ISNUMBER(H93),"VALORADO","FALTA PRECIO"))</f>
        <v>VALORADO</v>
      </c>
      <c r="J93" s="1" t="s">
        <v>406</v>
      </c>
    </row>
    <row r="94" spans="1:10">
      <c r="A94" s="1" t="s">
        <v>245</v>
      </c>
      <c r="B94" s="1" t="s">
        <v>246</v>
      </c>
      <c r="C94" s="1" t="s">
        <v>3</v>
      </c>
      <c r="D94" s="1" t="s">
        <v>245</v>
      </c>
      <c r="E94" s="1" t="s">
        <v>408</v>
      </c>
      <c r="F94" s="10">
        <v>2.59</v>
      </c>
      <c r="G94" s="11"/>
      <c r="H94" s="10">
        <f t="shared" si="2"/>
        <v>2.8490000000000002</v>
      </c>
      <c r="I94" s="1" t="str">
        <f>IF(Unidades!AE94=0,"SIN COMPRA",IF(ISNUMBER(H94),"VALORADO","FALTA PRECIO"))</f>
        <v>VALORADO</v>
      </c>
      <c r="J94" s="1" t="s">
        <v>406</v>
      </c>
    </row>
    <row r="95" spans="1:10">
      <c r="A95" s="1" t="s">
        <v>247</v>
      </c>
      <c r="B95" s="1" t="s">
        <v>248</v>
      </c>
      <c r="C95" s="1" t="s">
        <v>3</v>
      </c>
      <c r="D95" s="1" t="s">
        <v>247</v>
      </c>
      <c r="E95" s="1" t="s">
        <v>407</v>
      </c>
      <c r="F95" s="10">
        <v>8.85</v>
      </c>
      <c r="G95" s="11"/>
      <c r="H95" s="10">
        <f t="shared" si="2"/>
        <v>9.7350000000000012</v>
      </c>
      <c r="I95" s="1" t="str">
        <f>IF(Unidades!AE95=0,"SIN COMPRA",IF(ISNUMBER(H95),"VALORADO","FALTA PRECIO"))</f>
        <v>VALORADO</v>
      </c>
      <c r="J95" s="1" t="s">
        <v>406</v>
      </c>
    </row>
    <row r="96" spans="1:10">
      <c r="A96" s="1" t="s">
        <v>249</v>
      </c>
      <c r="B96" s="1" t="s">
        <v>250</v>
      </c>
      <c r="C96" s="1" t="s">
        <v>3</v>
      </c>
      <c r="D96" s="1" t="s">
        <v>249</v>
      </c>
      <c r="E96" s="1" t="s">
        <v>414</v>
      </c>
      <c r="F96" s="10">
        <v>1.08</v>
      </c>
      <c r="G96" s="11"/>
      <c r="H96" s="10">
        <f t="shared" si="2"/>
        <v>1.1880000000000002</v>
      </c>
      <c r="I96" s="1" t="str">
        <f>IF(Unidades!AE96=0,"SIN COMPRA",IF(ISNUMBER(H96),"VALORADO","FALTA PRECIO"))</f>
        <v>VALORADO</v>
      </c>
      <c r="J96" s="1" t="s">
        <v>406</v>
      </c>
    </row>
    <row r="97" spans="1:10">
      <c r="A97" s="1" t="s">
        <v>251</v>
      </c>
      <c r="B97" s="1" t="s">
        <v>252</v>
      </c>
      <c r="C97" s="1" t="s">
        <v>3</v>
      </c>
      <c r="D97" s="1" t="s">
        <v>251</v>
      </c>
      <c r="E97" s="1" t="s">
        <v>408</v>
      </c>
      <c r="F97" s="10">
        <v>0.433</v>
      </c>
      <c r="G97" s="11"/>
      <c r="H97" s="10">
        <f t="shared" si="2"/>
        <v>0.47630000000000006</v>
      </c>
      <c r="I97" s="1" t="str">
        <f>IF(Unidades!AE97=0,"SIN COMPRA",IF(ISNUMBER(H97),"VALORADO","FALTA PRECIO"))</f>
        <v>VALORADO</v>
      </c>
      <c r="J97" s="1" t="s">
        <v>406</v>
      </c>
    </row>
    <row r="98" spans="1:10">
      <c r="A98" s="1" t="s">
        <v>253</v>
      </c>
      <c r="B98" s="1" t="s">
        <v>254</v>
      </c>
      <c r="C98" s="1" t="s">
        <v>3</v>
      </c>
      <c r="D98" s="1" t="s">
        <v>253</v>
      </c>
      <c r="E98" s="1" t="s">
        <v>408</v>
      </c>
      <c r="F98" s="10">
        <v>8.8000000000000007</v>
      </c>
      <c r="G98" s="11"/>
      <c r="H98" s="10">
        <f t="shared" si="2"/>
        <v>9.6800000000000015</v>
      </c>
      <c r="I98" s="1" t="str">
        <f>IF(Unidades!AE98=0,"SIN COMPRA",IF(ISNUMBER(H98),"VALORADO","FALTA PRECIO"))</f>
        <v>VALORADO</v>
      </c>
      <c r="J98" s="1" t="s">
        <v>406</v>
      </c>
    </row>
    <row r="99" spans="1:10">
      <c r="A99" s="1" t="s">
        <v>255</v>
      </c>
      <c r="B99" s="1" t="s">
        <v>256</v>
      </c>
      <c r="C99" s="1" t="s">
        <v>3</v>
      </c>
      <c r="D99" s="1" t="s">
        <v>255</v>
      </c>
      <c r="E99" s="1" t="s">
        <v>417</v>
      </c>
      <c r="F99" s="10">
        <v>4.3934385245901639</v>
      </c>
      <c r="G99" s="11"/>
      <c r="H99" s="10">
        <f t="shared" si="2"/>
        <v>4.8327823770491811</v>
      </c>
      <c r="I99" s="1" t="str">
        <f>IF(Unidades!AE99=0,"SIN COMPRA",IF(ISNUMBER(H99),"VALORADO","FALTA PRECIO"))</f>
        <v>VALORADO</v>
      </c>
      <c r="J99" s="1" t="s">
        <v>406</v>
      </c>
    </row>
    <row r="100" spans="1:10">
      <c r="A100" s="1" t="s">
        <v>257</v>
      </c>
      <c r="B100" s="1" t="s">
        <v>258</v>
      </c>
      <c r="C100" s="1" t="s">
        <v>4</v>
      </c>
      <c r="D100" s="1" t="s">
        <v>257</v>
      </c>
      <c r="E100" s="1" t="s">
        <v>405</v>
      </c>
      <c r="F100" s="10">
        <v>33.531576086956527</v>
      </c>
      <c r="G100" s="11"/>
      <c r="H100" s="10">
        <f t="shared" si="2"/>
        <v>36.88473369565218</v>
      </c>
      <c r="I100" s="1" t="str">
        <f>IF(Unidades!AE100=0,"SIN COMPRA",IF(ISNUMBER(H100),"VALORADO","FALTA PRECIO"))</f>
        <v>VALORADO</v>
      </c>
      <c r="J100" s="1" t="s">
        <v>406</v>
      </c>
    </row>
    <row r="101" spans="1:10">
      <c r="A101" s="1" t="s">
        <v>259</v>
      </c>
      <c r="B101" s="1" t="s">
        <v>260</v>
      </c>
      <c r="C101" s="1" t="s">
        <v>4</v>
      </c>
      <c r="D101" s="1" t="s">
        <v>259</v>
      </c>
      <c r="E101" s="1" t="s">
        <v>413</v>
      </c>
      <c r="F101" s="10">
        <v>0.7</v>
      </c>
      <c r="G101" s="11"/>
      <c r="H101" s="10">
        <f t="shared" si="2"/>
        <v>0.77</v>
      </c>
      <c r="I101" s="1" t="str">
        <f>IF(Unidades!AE101=0,"SIN COMPRA",IF(ISNUMBER(H101),"VALORADO","FALTA PRECIO"))</f>
        <v>VALORADO</v>
      </c>
      <c r="J101" s="1" t="s">
        <v>406</v>
      </c>
    </row>
    <row r="102" spans="1:10">
      <c r="A102" s="1" t="s">
        <v>261</v>
      </c>
      <c r="B102" s="1" t="s">
        <v>262</v>
      </c>
      <c r="C102" s="1" t="s">
        <v>4</v>
      </c>
      <c r="D102" s="1" t="s">
        <v>261</v>
      </c>
      <c r="E102" s="1" t="s">
        <v>413</v>
      </c>
      <c r="F102" s="10">
        <v>0.45</v>
      </c>
      <c r="G102" s="11"/>
      <c r="H102" s="10">
        <f t="shared" si="2"/>
        <v>0.49500000000000005</v>
      </c>
      <c r="I102" s="1" t="str">
        <f>IF(Unidades!AE102=0,"SIN COMPRA",IF(ISNUMBER(H102),"VALORADO","FALTA PRECIO"))</f>
        <v>VALORADO</v>
      </c>
      <c r="J102" s="1" t="s">
        <v>406</v>
      </c>
    </row>
    <row r="103" spans="1:10">
      <c r="A103" s="1" t="s">
        <v>263</v>
      </c>
      <c r="B103" s="1" t="s">
        <v>264</v>
      </c>
      <c r="C103" s="1" t="s">
        <v>4</v>
      </c>
      <c r="D103" s="1" t="s">
        <v>263</v>
      </c>
      <c r="E103" s="1" t="s">
        <v>407</v>
      </c>
      <c r="F103" s="10">
        <v>0.87</v>
      </c>
      <c r="G103" s="11"/>
      <c r="H103" s="10">
        <f t="shared" si="2"/>
        <v>0.95700000000000007</v>
      </c>
      <c r="I103" s="1" t="str">
        <f>IF(Unidades!AE103=0,"SIN COMPRA",IF(ISNUMBER(H103),"VALORADO","FALTA PRECIO"))</f>
        <v>VALORADO</v>
      </c>
      <c r="J103" s="1" t="s">
        <v>406</v>
      </c>
    </row>
    <row r="104" spans="1:10">
      <c r="A104" s="1" t="s">
        <v>265</v>
      </c>
      <c r="B104" s="1" t="s">
        <v>266</v>
      </c>
      <c r="C104" s="1" t="s">
        <v>4</v>
      </c>
      <c r="D104" s="1" t="s">
        <v>265</v>
      </c>
      <c r="E104" s="1" t="s">
        <v>405</v>
      </c>
      <c r="F104" s="10">
        <v>0.6</v>
      </c>
      <c r="G104" s="11"/>
      <c r="H104" s="10">
        <f t="shared" ref="H104:H135" si="3">IF(ISNUMBER(G104),G104*(1+$C$4),IF(ISNUMBER(F104),F104*(1+$C$4),""))</f>
        <v>0.66</v>
      </c>
      <c r="I104" s="1" t="str">
        <f>IF(Unidades!AE104=0,"SIN COMPRA",IF(ISNUMBER(H104),"VALORADO","FALTA PRECIO"))</f>
        <v>VALORADO</v>
      </c>
      <c r="J104" s="1" t="s">
        <v>406</v>
      </c>
    </row>
    <row r="105" spans="1:10">
      <c r="A105" s="1" t="s">
        <v>267</v>
      </c>
      <c r="B105" s="1" t="s">
        <v>268</v>
      </c>
      <c r="C105" s="1" t="s">
        <v>4</v>
      </c>
      <c r="D105" s="1" t="s">
        <v>267</v>
      </c>
      <c r="E105" s="1" t="s">
        <v>405</v>
      </c>
      <c r="F105" s="10">
        <v>117</v>
      </c>
      <c r="G105" s="11"/>
      <c r="H105" s="10">
        <f t="shared" si="3"/>
        <v>128.70000000000002</v>
      </c>
      <c r="I105" s="1" t="str">
        <f>IF(Unidades!AE105=0,"SIN COMPRA",IF(ISNUMBER(H105),"VALORADO","FALTA PRECIO"))</f>
        <v>VALORADO</v>
      </c>
      <c r="J105" s="1" t="s">
        <v>406</v>
      </c>
    </row>
    <row r="106" spans="1:10">
      <c r="A106" s="1" t="s">
        <v>269</v>
      </c>
      <c r="B106" s="1" t="s">
        <v>270</v>
      </c>
      <c r="C106" s="1" t="s">
        <v>4</v>
      </c>
      <c r="D106" s="1" t="s">
        <v>269</v>
      </c>
      <c r="E106" s="1" t="s">
        <v>407</v>
      </c>
      <c r="F106" s="10">
        <v>69.92307692307692</v>
      </c>
      <c r="G106" s="11"/>
      <c r="H106" s="10">
        <f t="shared" si="3"/>
        <v>76.915384615384625</v>
      </c>
      <c r="I106" s="1" t="str">
        <f>IF(Unidades!AE106=0,"SIN COMPRA",IF(ISNUMBER(H106),"VALORADO","FALTA PRECIO"))</f>
        <v>VALORADO</v>
      </c>
      <c r="J106" s="1" t="s">
        <v>406</v>
      </c>
    </row>
    <row r="107" spans="1:10">
      <c r="A107" s="1" t="s">
        <v>271</v>
      </c>
      <c r="B107" s="1" t="s">
        <v>272</v>
      </c>
      <c r="C107" s="1" t="s">
        <v>4</v>
      </c>
      <c r="D107" s="1" t="s">
        <v>271</v>
      </c>
      <c r="E107" s="1" t="s">
        <v>407</v>
      </c>
      <c r="F107" s="10">
        <v>73</v>
      </c>
      <c r="G107" s="11"/>
      <c r="H107" s="10">
        <f t="shared" si="3"/>
        <v>80.300000000000011</v>
      </c>
      <c r="I107" s="1" t="str">
        <f>IF(Unidades!AE107=0,"SIN COMPRA",IF(ISNUMBER(H107),"VALORADO","FALTA PRECIO"))</f>
        <v>VALORADO</v>
      </c>
      <c r="J107" s="1" t="s">
        <v>406</v>
      </c>
    </row>
    <row r="108" spans="1:10">
      <c r="A108" s="1" t="s">
        <v>273</v>
      </c>
      <c r="B108" s="1" t="s">
        <v>274</v>
      </c>
      <c r="C108" s="1" t="s">
        <v>4</v>
      </c>
      <c r="D108" s="1" t="s">
        <v>273</v>
      </c>
      <c r="E108" s="1" t="s">
        <v>405</v>
      </c>
      <c r="F108" s="10">
        <v>0.70901000000000003</v>
      </c>
      <c r="G108" s="11"/>
      <c r="H108" s="10">
        <f t="shared" si="3"/>
        <v>0.77991100000000013</v>
      </c>
      <c r="I108" s="1" t="str">
        <f>IF(Unidades!AE108=0,"SIN COMPRA",IF(ISNUMBER(H108),"VALORADO","FALTA PRECIO"))</f>
        <v>VALORADO</v>
      </c>
      <c r="J108" s="1" t="s">
        <v>406</v>
      </c>
    </row>
    <row r="109" spans="1:10">
      <c r="A109" s="1" t="s">
        <v>275</v>
      </c>
      <c r="B109" s="1" t="s">
        <v>276</v>
      </c>
      <c r="C109" s="1" t="s">
        <v>4</v>
      </c>
      <c r="D109" s="1" t="s">
        <v>275</v>
      </c>
      <c r="E109" s="1" t="s">
        <v>405</v>
      </c>
      <c r="F109" s="10">
        <v>0.73900015183723056</v>
      </c>
      <c r="G109" s="11"/>
      <c r="H109" s="10">
        <f t="shared" si="3"/>
        <v>0.81290016702095369</v>
      </c>
      <c r="I109" s="1" t="str">
        <f>IF(Unidades!AE109=0,"SIN COMPRA",IF(ISNUMBER(H109),"VALORADO","FALTA PRECIO"))</f>
        <v>VALORADO</v>
      </c>
      <c r="J109" s="1" t="s">
        <v>406</v>
      </c>
    </row>
    <row r="110" spans="1:10">
      <c r="A110" s="1" t="s">
        <v>277</v>
      </c>
      <c r="B110" s="1" t="s">
        <v>278</v>
      </c>
      <c r="C110" s="1" t="s">
        <v>4</v>
      </c>
      <c r="D110" s="1" t="s">
        <v>277</v>
      </c>
      <c r="E110" s="1" t="s">
        <v>407</v>
      </c>
      <c r="F110" s="10">
        <v>0.14426008597883599</v>
      </c>
      <c r="G110" s="11"/>
      <c r="H110" s="10">
        <f t="shared" si="3"/>
        <v>0.15868609457671962</v>
      </c>
      <c r="I110" s="1" t="str">
        <f>IF(Unidades!AE110=0,"SIN COMPRA",IF(ISNUMBER(H110),"VALORADO","FALTA PRECIO"))</f>
        <v>VALORADO</v>
      </c>
      <c r="J110" s="1" t="s">
        <v>412</v>
      </c>
    </row>
    <row r="111" spans="1:10">
      <c r="A111" s="1" t="s">
        <v>279</v>
      </c>
      <c r="B111" s="1" t="s">
        <v>280</v>
      </c>
      <c r="C111" s="1" t="s">
        <v>4</v>
      </c>
      <c r="D111" s="1" t="s">
        <v>279</v>
      </c>
      <c r="E111" s="1" t="s">
        <v>407</v>
      </c>
      <c r="F111" s="10">
        <v>0.4</v>
      </c>
      <c r="G111" s="11"/>
      <c r="H111" s="10">
        <f t="shared" si="3"/>
        <v>0.44000000000000006</v>
      </c>
      <c r="I111" s="1" t="str">
        <f>IF(Unidades!AE111=0,"SIN COMPRA",IF(ISNUMBER(H111),"VALORADO","FALTA PRECIO"))</f>
        <v>VALORADO</v>
      </c>
      <c r="J111" s="1" t="s">
        <v>412</v>
      </c>
    </row>
    <row r="112" spans="1:10">
      <c r="A112" s="1" t="s">
        <v>281</v>
      </c>
      <c r="B112" s="1" t="s">
        <v>282</v>
      </c>
      <c r="C112" s="1" t="s">
        <v>4</v>
      </c>
      <c r="D112" s="1" t="s">
        <v>281</v>
      </c>
      <c r="E112" s="1" t="s">
        <v>407</v>
      </c>
      <c r="F112" s="10">
        <v>0.95525024154589377</v>
      </c>
      <c r="G112" s="11"/>
      <c r="H112" s="10">
        <f t="shared" si="3"/>
        <v>1.0507752657004832</v>
      </c>
      <c r="I112" s="1" t="str">
        <f>IF(Unidades!AE112=0,"SIN COMPRA",IF(ISNUMBER(H112),"VALORADO","FALTA PRECIO"))</f>
        <v>VALORADO</v>
      </c>
      <c r="J112" s="1" t="s">
        <v>406</v>
      </c>
    </row>
    <row r="113" spans="1:10">
      <c r="A113" s="1" t="s">
        <v>283</v>
      </c>
      <c r="B113" s="1" t="s">
        <v>284</v>
      </c>
      <c r="C113" s="1" t="s">
        <v>4</v>
      </c>
      <c r="D113" s="1" t="s">
        <v>283</v>
      </c>
      <c r="E113" s="1" t="s">
        <v>408</v>
      </c>
      <c r="F113" s="10">
        <v>0.90118019801980198</v>
      </c>
      <c r="G113" s="11"/>
      <c r="H113" s="10">
        <f t="shared" si="3"/>
        <v>0.99129821782178229</v>
      </c>
      <c r="I113" s="1" t="str">
        <f>IF(Unidades!AE113=0,"SIN COMPRA",IF(ISNUMBER(H113),"VALORADO","FALTA PRECIO"))</f>
        <v>VALORADO</v>
      </c>
      <c r="J113" s="1" t="s">
        <v>406</v>
      </c>
    </row>
    <row r="114" spans="1:10">
      <c r="A114" s="1" t="s">
        <v>285</v>
      </c>
      <c r="B114" s="1" t="s">
        <v>286</v>
      </c>
      <c r="C114" s="1" t="s">
        <v>4</v>
      </c>
      <c r="D114" s="1" t="s">
        <v>285</v>
      </c>
      <c r="E114" s="1" t="s">
        <v>405</v>
      </c>
      <c r="F114" s="10">
        <v>0.21875</v>
      </c>
      <c r="G114" s="11"/>
      <c r="H114" s="10">
        <f t="shared" si="3"/>
        <v>0.24062500000000003</v>
      </c>
      <c r="I114" s="1" t="str">
        <f>IF(Unidades!AE114=0,"SIN COMPRA",IF(ISNUMBER(H114),"VALORADO","FALTA PRECIO"))</f>
        <v>VALORADO</v>
      </c>
      <c r="J114" s="1" t="s">
        <v>406</v>
      </c>
    </row>
    <row r="115" spans="1:10">
      <c r="A115" s="1" t="s">
        <v>287</v>
      </c>
      <c r="B115" s="1" t="s">
        <v>288</v>
      </c>
      <c r="C115" s="1" t="s">
        <v>4</v>
      </c>
      <c r="D115" s="1" t="s">
        <v>287</v>
      </c>
      <c r="E115" s="1" t="s">
        <v>407</v>
      </c>
      <c r="F115" s="10">
        <v>1.9499903316252536</v>
      </c>
      <c r="G115" s="11"/>
      <c r="H115" s="10">
        <f t="shared" si="3"/>
        <v>2.1449893647877789</v>
      </c>
      <c r="I115" s="1" t="str">
        <f>IF(Unidades!AE115=0,"SIN COMPRA",IF(ISNUMBER(H115),"VALORADO","FALTA PRECIO"))</f>
        <v>VALORADO</v>
      </c>
      <c r="J115" s="1" t="s">
        <v>412</v>
      </c>
    </row>
    <row r="116" spans="1:10">
      <c r="A116" s="1" t="s">
        <v>289</v>
      </c>
      <c r="B116" s="1" t="s">
        <v>290</v>
      </c>
      <c r="C116" s="1" t="s">
        <v>4</v>
      </c>
      <c r="D116" s="1" t="s">
        <v>289</v>
      </c>
      <c r="E116" s="1" t="s">
        <v>405</v>
      </c>
      <c r="F116" s="10">
        <v>0.629</v>
      </c>
      <c r="G116" s="11"/>
      <c r="H116" s="10">
        <f t="shared" si="3"/>
        <v>0.69190000000000007</v>
      </c>
      <c r="I116" s="1" t="str">
        <f>IF(Unidades!AE116=0,"SIN COMPRA",IF(ISNUMBER(H116),"VALORADO","FALTA PRECIO"))</f>
        <v>VALORADO</v>
      </c>
      <c r="J116" s="1" t="s">
        <v>406</v>
      </c>
    </row>
    <row r="117" spans="1:10">
      <c r="A117" s="1" t="s">
        <v>291</v>
      </c>
      <c r="B117" s="1" t="s">
        <v>292</v>
      </c>
      <c r="C117" s="1" t="s">
        <v>4</v>
      </c>
      <c r="D117" s="1" t="s">
        <v>291</v>
      </c>
      <c r="E117" s="1" t="s">
        <v>405</v>
      </c>
      <c r="F117" s="10">
        <v>0.59068001033057849</v>
      </c>
      <c r="G117" s="11"/>
      <c r="H117" s="10">
        <f t="shared" si="3"/>
        <v>0.64974801136363636</v>
      </c>
      <c r="I117" s="1" t="str">
        <f>IF(Unidades!AE117=0,"SIN COMPRA",IF(ISNUMBER(H117),"VALORADO","FALTA PRECIO"))</f>
        <v>VALORADO</v>
      </c>
      <c r="J117" s="1" t="s">
        <v>406</v>
      </c>
    </row>
    <row r="118" spans="1:10">
      <c r="A118" s="1" t="s">
        <v>293</v>
      </c>
      <c r="B118" s="1" t="s">
        <v>294</v>
      </c>
      <c r="C118" s="1" t="s">
        <v>4</v>
      </c>
      <c r="D118" s="1" t="s">
        <v>293</v>
      </c>
      <c r="E118" s="1" t="s">
        <v>405</v>
      </c>
      <c r="F118" s="10">
        <v>0.41922992424242422</v>
      </c>
      <c r="G118" s="11"/>
      <c r="H118" s="10">
        <f t="shared" si="3"/>
        <v>0.46115291666666669</v>
      </c>
      <c r="I118" s="1" t="str">
        <f>IF(Unidades!AE118=0,"SIN COMPRA",IF(ISNUMBER(H118),"VALORADO","FALTA PRECIO"))</f>
        <v>VALORADO</v>
      </c>
      <c r="J118" s="1" t="s">
        <v>406</v>
      </c>
    </row>
    <row r="119" spans="1:10">
      <c r="A119" s="1" t="s">
        <v>295</v>
      </c>
      <c r="B119" s="1" t="s">
        <v>296</v>
      </c>
      <c r="C119" s="1" t="s">
        <v>4</v>
      </c>
      <c r="D119" s="1" t="s">
        <v>295</v>
      </c>
      <c r="E119" s="1" t="s">
        <v>405</v>
      </c>
      <c r="F119" s="10">
        <v>3.6150062613843352</v>
      </c>
      <c r="G119" s="11"/>
      <c r="H119" s="10">
        <f t="shared" si="3"/>
        <v>3.9765068875227692</v>
      </c>
      <c r="I119" s="1" t="str">
        <f>IF(Unidades!AE119=0,"SIN COMPRA",IF(ISNUMBER(H119),"VALORADO","FALTA PRECIO"))</f>
        <v>VALORADO</v>
      </c>
      <c r="J119" s="1" t="s">
        <v>406</v>
      </c>
    </row>
    <row r="120" spans="1:10">
      <c r="A120" s="1" t="s">
        <v>297</v>
      </c>
      <c r="B120" s="1" t="s">
        <v>298</v>
      </c>
      <c r="C120" s="1" t="s">
        <v>4</v>
      </c>
      <c r="D120" s="1" t="s">
        <v>297</v>
      </c>
      <c r="E120" s="1" t="s">
        <v>407</v>
      </c>
      <c r="F120" s="10">
        <v>3.35</v>
      </c>
      <c r="G120" s="11"/>
      <c r="H120" s="10">
        <f t="shared" si="3"/>
        <v>3.6850000000000005</v>
      </c>
      <c r="I120" s="1" t="str">
        <f>IF(Unidades!AE120=0,"SIN COMPRA",IF(ISNUMBER(H120),"VALORADO","FALTA PRECIO"))</f>
        <v>VALORADO</v>
      </c>
      <c r="J120" s="1" t="s">
        <v>406</v>
      </c>
    </row>
    <row r="121" spans="1:10">
      <c r="A121" s="1" t="s">
        <v>299</v>
      </c>
      <c r="B121" s="1" t="s">
        <v>300</v>
      </c>
      <c r="C121" s="1" t="s">
        <v>4</v>
      </c>
      <c r="D121" s="1" t="s">
        <v>299</v>
      </c>
      <c r="E121" s="1" t="s">
        <v>405</v>
      </c>
      <c r="F121" s="10">
        <v>0.86999999999999988</v>
      </c>
      <c r="G121" s="11"/>
      <c r="H121" s="10">
        <f t="shared" si="3"/>
        <v>0.95699999999999996</v>
      </c>
      <c r="I121" s="1" t="str">
        <f>IF(Unidades!AE121=0,"SIN COMPRA",IF(ISNUMBER(H121),"VALORADO","FALTA PRECIO"))</f>
        <v>VALORADO</v>
      </c>
      <c r="J121" s="1" t="s">
        <v>406</v>
      </c>
    </row>
    <row r="122" spans="1:10">
      <c r="A122" s="1" t="s">
        <v>301</v>
      </c>
      <c r="B122" s="1" t="s">
        <v>302</v>
      </c>
      <c r="C122" s="1" t="s">
        <v>4</v>
      </c>
      <c r="D122" s="1" t="s">
        <v>301</v>
      </c>
      <c r="E122" s="1" t="s">
        <v>423</v>
      </c>
      <c r="F122" s="10">
        <v>4.0289999999999999E-2</v>
      </c>
      <c r="G122" s="11"/>
      <c r="H122" s="10">
        <f t="shared" si="3"/>
        <v>4.4319000000000004E-2</v>
      </c>
      <c r="I122" s="1" t="str">
        <f>IF(Unidades!AE122=0,"SIN COMPRA",IF(ISNUMBER(H122),"VALORADO","FALTA PRECIO"))</f>
        <v>VALORADO</v>
      </c>
      <c r="J122" s="1" t="s">
        <v>406</v>
      </c>
    </row>
    <row r="123" spans="1:10">
      <c r="A123" s="1" t="s">
        <v>303</v>
      </c>
      <c r="B123" s="1" t="s">
        <v>304</v>
      </c>
      <c r="C123" s="1" t="s">
        <v>4</v>
      </c>
      <c r="D123" s="1" t="s">
        <v>303</v>
      </c>
      <c r="E123" s="1" t="s">
        <v>419</v>
      </c>
      <c r="F123" s="10">
        <v>9.0999999999999998E-2</v>
      </c>
      <c r="G123" s="11"/>
      <c r="H123" s="10">
        <f t="shared" si="3"/>
        <v>0.10010000000000001</v>
      </c>
      <c r="I123" s="1" t="str">
        <f>IF(Unidades!AE123=0,"SIN COMPRA",IF(ISNUMBER(H123),"VALORADO","FALTA PRECIO"))</f>
        <v>VALORADO</v>
      </c>
      <c r="J123" s="1" t="s">
        <v>406</v>
      </c>
    </row>
    <row r="124" spans="1:10">
      <c r="A124" s="1" t="s">
        <v>305</v>
      </c>
      <c r="B124" s="1" t="s">
        <v>306</v>
      </c>
      <c r="C124" s="1" t="s">
        <v>4</v>
      </c>
      <c r="D124" s="1" t="s">
        <v>305</v>
      </c>
      <c r="E124" s="1" t="s">
        <v>410</v>
      </c>
      <c r="F124" s="10">
        <v>4.6469999999999997E-2</v>
      </c>
      <c r="G124" s="11"/>
      <c r="H124" s="10">
        <f t="shared" si="3"/>
        <v>5.1117000000000003E-2</v>
      </c>
      <c r="I124" s="1" t="str">
        <f>IF(Unidades!AE124=0,"SIN COMPRA",IF(ISNUMBER(H124),"VALORADO","FALTA PRECIO"))</f>
        <v>VALORADO</v>
      </c>
      <c r="J124" s="1" t="s">
        <v>406</v>
      </c>
    </row>
    <row r="125" spans="1:10">
      <c r="A125" s="1" t="s">
        <v>307</v>
      </c>
      <c r="B125" s="1" t="s">
        <v>308</v>
      </c>
      <c r="C125" s="1" t="s">
        <v>4</v>
      </c>
      <c r="D125" s="1" t="s">
        <v>307</v>
      </c>
      <c r="E125" s="1" t="s">
        <v>411</v>
      </c>
      <c r="F125" s="10">
        <v>8.9150505050505049E-2</v>
      </c>
      <c r="G125" s="11"/>
      <c r="H125" s="10">
        <f t="shared" si="3"/>
        <v>9.8065555555555559E-2</v>
      </c>
      <c r="I125" s="1" t="str">
        <f>IF(Unidades!AE125=0,"SIN COMPRA",IF(ISNUMBER(H125),"VALORADO","FALTA PRECIO"))</f>
        <v>SIN COMPRA</v>
      </c>
      <c r="J125" s="1" t="s">
        <v>412</v>
      </c>
    </row>
    <row r="126" spans="1:10">
      <c r="A126" s="1" t="s">
        <v>309</v>
      </c>
      <c r="B126" s="1" t="s">
        <v>310</v>
      </c>
      <c r="C126" s="1" t="s">
        <v>4</v>
      </c>
      <c r="D126" s="1" t="s">
        <v>309</v>
      </c>
      <c r="E126" s="1" t="s">
        <v>417</v>
      </c>
      <c r="F126" s="10">
        <v>4.9949908925318767E-2</v>
      </c>
      <c r="G126" s="11"/>
      <c r="H126" s="10">
        <f t="shared" si="3"/>
        <v>5.4944899817850647E-2</v>
      </c>
      <c r="I126" s="1" t="str">
        <f>IF(Unidades!AE126=0,"SIN COMPRA",IF(ISNUMBER(H126),"VALORADO","FALTA PRECIO"))</f>
        <v>VALORADO</v>
      </c>
      <c r="J126" s="1" t="s">
        <v>406</v>
      </c>
    </row>
    <row r="127" spans="1:10">
      <c r="A127" s="1" t="s">
        <v>311</v>
      </c>
      <c r="B127" s="1" t="s">
        <v>312</v>
      </c>
      <c r="C127" s="1" t="s">
        <v>4</v>
      </c>
      <c r="D127" s="1" t="s">
        <v>311</v>
      </c>
      <c r="E127" s="1" t="s">
        <v>417</v>
      </c>
      <c r="F127" s="10">
        <v>5.2639999999999999E-2</v>
      </c>
      <c r="G127" s="11"/>
      <c r="H127" s="10">
        <f t="shared" si="3"/>
        <v>5.7904000000000004E-2</v>
      </c>
      <c r="I127" s="1" t="str">
        <f>IF(Unidades!AE127=0,"SIN COMPRA",IF(ISNUMBER(H127),"VALORADO","FALTA PRECIO"))</f>
        <v>VALORADO</v>
      </c>
      <c r="J127" s="1" t="s">
        <v>406</v>
      </c>
    </row>
    <row r="128" spans="1:10">
      <c r="A128" s="1" t="s">
        <v>313</v>
      </c>
      <c r="B128" s="1" t="s">
        <v>314</v>
      </c>
      <c r="C128" s="1" t="s">
        <v>4</v>
      </c>
      <c r="D128" s="1" t="s">
        <v>313</v>
      </c>
      <c r="E128" s="1" t="s">
        <v>408</v>
      </c>
      <c r="F128" s="10">
        <v>3.9889583333333332E-2</v>
      </c>
      <c r="G128" s="11"/>
      <c r="H128" s="10">
        <f t="shared" si="3"/>
        <v>4.3878541666666666E-2</v>
      </c>
      <c r="I128" s="1" t="str">
        <f>IF(Unidades!AE128=0,"SIN COMPRA",IF(ISNUMBER(H128),"VALORADO","FALTA PRECIO"))</f>
        <v>VALORADO</v>
      </c>
      <c r="J128" s="1" t="s">
        <v>412</v>
      </c>
    </row>
    <row r="129" spans="1:10">
      <c r="A129" s="1" t="s">
        <v>315</v>
      </c>
      <c r="B129" s="1" t="s">
        <v>316</v>
      </c>
      <c r="C129" s="1" t="s">
        <v>4</v>
      </c>
      <c r="D129" s="1" t="s">
        <v>315</v>
      </c>
      <c r="E129" s="1" t="s">
        <v>426</v>
      </c>
      <c r="F129" s="10">
        <v>4.2639999999999997E-2</v>
      </c>
      <c r="G129" s="11"/>
      <c r="H129" s="10">
        <f t="shared" si="3"/>
        <v>4.6904000000000001E-2</v>
      </c>
      <c r="I129" s="1" t="str">
        <f>IF(Unidades!AE129=0,"SIN COMPRA",IF(ISNUMBER(H129),"VALORADO","FALTA PRECIO"))</f>
        <v>VALORADO</v>
      </c>
      <c r="J129" s="1" t="s">
        <v>406</v>
      </c>
    </row>
    <row r="130" spans="1:10">
      <c r="A130" s="1" t="s">
        <v>317</v>
      </c>
      <c r="B130" s="1" t="s">
        <v>318</v>
      </c>
      <c r="C130" s="1" t="s">
        <v>4</v>
      </c>
      <c r="D130" s="1" t="s">
        <v>317</v>
      </c>
      <c r="E130" s="1" t="s">
        <v>407</v>
      </c>
      <c r="F130" s="10">
        <v>1.89</v>
      </c>
      <c r="G130" s="11"/>
      <c r="H130" s="10">
        <f t="shared" si="3"/>
        <v>2.0790000000000002</v>
      </c>
      <c r="I130" s="1" t="str">
        <f>IF(Unidades!AE130=0,"SIN COMPRA",IF(ISNUMBER(H130),"VALORADO","FALTA PRECIO"))</f>
        <v>VALORADO</v>
      </c>
      <c r="J130" s="1" t="s">
        <v>412</v>
      </c>
    </row>
    <row r="131" spans="1:10">
      <c r="A131" s="1" t="s">
        <v>319</v>
      </c>
      <c r="B131" s="1" t="s">
        <v>320</v>
      </c>
      <c r="C131" s="1" t="s">
        <v>4</v>
      </c>
      <c r="D131" s="1" t="s">
        <v>319</v>
      </c>
      <c r="E131" s="1" t="s">
        <v>405</v>
      </c>
      <c r="F131" s="10">
        <v>9.1549999999999992E-2</v>
      </c>
      <c r="G131" s="11"/>
      <c r="H131" s="10">
        <f t="shared" si="3"/>
        <v>0.100705</v>
      </c>
      <c r="I131" s="1" t="str">
        <f>IF(Unidades!AE131=0,"SIN COMPRA",IF(ISNUMBER(H131),"VALORADO","FALTA PRECIO"))</f>
        <v>VALORADO</v>
      </c>
      <c r="J131" s="1" t="s">
        <v>412</v>
      </c>
    </row>
    <row r="132" spans="1:10">
      <c r="A132" s="1" t="s">
        <v>321</v>
      </c>
      <c r="B132" s="1" t="s">
        <v>322</v>
      </c>
      <c r="C132" s="1" t="s">
        <v>4</v>
      </c>
      <c r="D132" s="1" t="s">
        <v>321</v>
      </c>
      <c r="E132" s="1" t="s">
        <v>427</v>
      </c>
      <c r="F132" s="10">
        <v>4.4539936941671049E-2</v>
      </c>
      <c r="G132" s="11"/>
      <c r="H132" s="10">
        <f t="shared" si="3"/>
        <v>4.8993930635838158E-2</v>
      </c>
      <c r="I132" s="1" t="str">
        <f>IF(Unidades!AE132=0,"SIN COMPRA",IF(ISNUMBER(H132),"VALORADO","FALTA PRECIO"))</f>
        <v>VALORADO</v>
      </c>
      <c r="J132" s="1" t="s">
        <v>412</v>
      </c>
    </row>
    <row r="133" spans="1:10">
      <c r="A133" s="1" t="s">
        <v>323</v>
      </c>
      <c r="B133" s="1" t="s">
        <v>324</v>
      </c>
      <c r="C133" s="1" t="s">
        <v>4</v>
      </c>
      <c r="D133" s="1" t="s">
        <v>323</v>
      </c>
      <c r="E133" s="1" t="s">
        <v>405</v>
      </c>
      <c r="F133" s="10">
        <v>0.10143993558776168</v>
      </c>
      <c r="G133" s="11"/>
      <c r="H133" s="10">
        <f t="shared" si="3"/>
        <v>0.11158392914653786</v>
      </c>
      <c r="I133" s="1" t="str">
        <f>IF(Unidades!AE133=0,"SIN COMPRA",IF(ISNUMBER(H133),"VALORADO","FALTA PRECIO"))</f>
        <v>VALORADO</v>
      </c>
      <c r="J133" s="1" t="s">
        <v>412</v>
      </c>
    </row>
    <row r="134" spans="1:10">
      <c r="A134" s="1" t="s">
        <v>45</v>
      </c>
      <c r="B134" s="1" t="s">
        <v>325</v>
      </c>
      <c r="C134" s="1" t="s">
        <v>4</v>
      </c>
      <c r="D134" s="1" t="s">
        <v>45</v>
      </c>
      <c r="E134" s="1" t="s">
        <v>422</v>
      </c>
      <c r="F134" s="10">
        <v>3.17</v>
      </c>
      <c r="G134" s="11"/>
      <c r="H134" s="10">
        <f t="shared" si="3"/>
        <v>3.4870000000000001</v>
      </c>
      <c r="I134" s="1" t="str">
        <f>IF(Unidades!AE134=0,"SIN COMPRA",IF(ISNUMBER(H134),"VALORADO","FALTA PRECIO"))</f>
        <v>VALORADO</v>
      </c>
      <c r="J134" s="1" t="s">
        <v>406</v>
      </c>
    </row>
    <row r="135" spans="1:10">
      <c r="A135" s="1" t="s">
        <v>326</v>
      </c>
      <c r="B135" s="1" t="s">
        <v>327</v>
      </c>
      <c r="C135" s="1" t="s">
        <v>4</v>
      </c>
      <c r="D135" s="1" t="s">
        <v>326</v>
      </c>
      <c r="E135" s="1" t="s">
        <v>407</v>
      </c>
      <c r="F135" s="10">
        <v>3.81</v>
      </c>
      <c r="G135" s="11"/>
      <c r="H135" s="10">
        <f t="shared" si="3"/>
        <v>4.1910000000000007</v>
      </c>
      <c r="I135" s="1" t="str">
        <f>IF(Unidades!AE135=0,"SIN COMPRA",IF(ISNUMBER(H135),"VALORADO","FALTA PRECIO"))</f>
        <v>VALORADO</v>
      </c>
      <c r="J135" s="1" t="s">
        <v>406</v>
      </c>
    </row>
    <row r="136" spans="1:10">
      <c r="A136" s="1" t="s">
        <v>328</v>
      </c>
      <c r="B136" s="1" t="s">
        <v>329</v>
      </c>
      <c r="C136" s="1" t="s">
        <v>4</v>
      </c>
      <c r="D136" s="1" t="s">
        <v>328</v>
      </c>
      <c r="E136" s="1" t="s">
        <v>426</v>
      </c>
      <c r="F136" s="10">
        <v>3.17</v>
      </c>
      <c r="G136" s="11"/>
      <c r="H136" s="10">
        <f t="shared" ref="H136:H167" si="4">IF(ISNUMBER(G136),G136*(1+$C$4),IF(ISNUMBER(F136),F136*(1+$C$4),""))</f>
        <v>3.4870000000000001</v>
      </c>
      <c r="I136" s="1" t="str">
        <f>IF(Unidades!AE136=0,"SIN COMPRA",IF(ISNUMBER(H136),"VALORADO","FALTA PRECIO"))</f>
        <v>SIN COMPRA</v>
      </c>
      <c r="J136" s="1" t="s">
        <v>406</v>
      </c>
    </row>
    <row r="137" spans="1:10">
      <c r="A137" s="1" t="s">
        <v>330</v>
      </c>
      <c r="B137" s="1" t="s">
        <v>331</v>
      </c>
      <c r="C137" s="1" t="s">
        <v>4</v>
      </c>
      <c r="D137" s="1" t="s">
        <v>330</v>
      </c>
      <c r="E137" s="1" t="s">
        <v>405</v>
      </c>
      <c r="F137" s="10">
        <v>15.47</v>
      </c>
      <c r="G137" s="11"/>
      <c r="H137" s="10">
        <f t="shared" si="4"/>
        <v>17.017000000000003</v>
      </c>
      <c r="I137" s="1" t="str">
        <f>IF(Unidades!AE137=0,"SIN COMPRA",IF(ISNUMBER(H137),"VALORADO","FALTA PRECIO"))</f>
        <v>VALORADO</v>
      </c>
      <c r="J137" s="1" t="s">
        <v>406</v>
      </c>
    </row>
    <row r="138" spans="1:10">
      <c r="A138" s="1" t="s">
        <v>332</v>
      </c>
      <c r="B138" s="1" t="s">
        <v>333</v>
      </c>
      <c r="C138" s="1" t="s">
        <v>4</v>
      </c>
      <c r="D138" s="1" t="s">
        <v>332</v>
      </c>
      <c r="E138" s="1" t="s">
        <v>425</v>
      </c>
      <c r="F138" s="10">
        <v>11.979999999999999</v>
      </c>
      <c r="G138" s="11"/>
      <c r="H138" s="10">
        <f t="shared" si="4"/>
        <v>13.177999999999999</v>
      </c>
      <c r="I138" s="1" t="str">
        <f>IF(Unidades!AE138=0,"SIN COMPRA",IF(ISNUMBER(H138),"VALORADO","FALTA PRECIO"))</f>
        <v>VALORADO</v>
      </c>
      <c r="J138" s="1" t="s">
        <v>412</v>
      </c>
    </row>
    <row r="139" spans="1:10">
      <c r="A139" s="1" t="s">
        <v>334</v>
      </c>
      <c r="B139" s="1" t="s">
        <v>335</v>
      </c>
      <c r="C139" s="1" t="s">
        <v>4</v>
      </c>
      <c r="D139" s="1" t="s">
        <v>334</v>
      </c>
      <c r="E139" s="1" t="s">
        <v>408</v>
      </c>
      <c r="F139" s="10">
        <v>25.98</v>
      </c>
      <c r="G139" s="11"/>
      <c r="H139" s="10">
        <f t="shared" si="4"/>
        <v>28.578000000000003</v>
      </c>
      <c r="I139" s="1" t="str">
        <f>IF(Unidades!AE139=0,"SIN COMPRA",IF(ISNUMBER(H139),"VALORADO","FALTA PRECIO"))</f>
        <v>VALORADO</v>
      </c>
      <c r="J139" s="1" t="s">
        <v>412</v>
      </c>
    </row>
    <row r="140" spans="1:10">
      <c r="A140" s="1" t="s">
        <v>336</v>
      </c>
      <c r="B140" s="1" t="s">
        <v>337</v>
      </c>
      <c r="C140" s="1" t="s">
        <v>4</v>
      </c>
      <c r="D140" s="1" t="s">
        <v>336</v>
      </c>
      <c r="E140" s="1" t="s">
        <v>405</v>
      </c>
      <c r="F140" s="10">
        <v>18.7</v>
      </c>
      <c r="G140" s="11"/>
      <c r="H140" s="10">
        <f t="shared" si="4"/>
        <v>20.57</v>
      </c>
      <c r="I140" s="1" t="str">
        <f>IF(Unidades!AE140=0,"SIN COMPRA",IF(ISNUMBER(H140),"VALORADO","FALTA PRECIO"))</f>
        <v>VALORADO</v>
      </c>
      <c r="J140" s="1" t="s">
        <v>412</v>
      </c>
    </row>
    <row r="141" spans="1:10">
      <c r="A141" s="1" t="s">
        <v>338</v>
      </c>
      <c r="B141" s="1" t="s">
        <v>339</v>
      </c>
      <c r="C141" s="1" t="s">
        <v>4</v>
      </c>
      <c r="D141" s="1" t="s">
        <v>338</v>
      </c>
      <c r="E141" s="1" t="s">
        <v>405</v>
      </c>
      <c r="F141" s="10">
        <v>0.46499999999999997</v>
      </c>
      <c r="G141" s="11"/>
      <c r="H141" s="10">
        <f t="shared" si="4"/>
        <v>0.51149999999999995</v>
      </c>
      <c r="I141" s="1" t="str">
        <f>IF(Unidades!AE141=0,"SIN COMPRA",IF(ISNUMBER(H141),"VALORADO","FALTA PRECIO"))</f>
        <v>VALORADO</v>
      </c>
      <c r="J141" s="1" t="s">
        <v>412</v>
      </c>
    </row>
    <row r="142" spans="1:10">
      <c r="A142" s="1" t="s">
        <v>340</v>
      </c>
      <c r="B142" s="1" t="s">
        <v>341</v>
      </c>
      <c r="C142" s="1" t="s">
        <v>4</v>
      </c>
      <c r="D142" s="1" t="s">
        <v>340</v>
      </c>
      <c r="E142" s="1" t="s">
        <v>405</v>
      </c>
      <c r="F142" s="10">
        <v>0.11874999999999999</v>
      </c>
      <c r="G142" s="11"/>
      <c r="H142" s="10">
        <f t="shared" si="4"/>
        <v>0.13062499999999999</v>
      </c>
      <c r="I142" s="1" t="str">
        <f>IF(Unidades!AE142=0,"SIN COMPRA",IF(ISNUMBER(H142),"VALORADO","FALTA PRECIO"))</f>
        <v>VALORADO</v>
      </c>
      <c r="J142" s="1" t="s">
        <v>406</v>
      </c>
    </row>
    <row r="143" spans="1:10">
      <c r="A143" s="1" t="s">
        <v>342</v>
      </c>
      <c r="B143" s="1" t="s">
        <v>343</v>
      </c>
      <c r="C143" s="1" t="s">
        <v>4</v>
      </c>
      <c r="D143" s="1" t="s">
        <v>342</v>
      </c>
      <c r="E143" s="1" t="s">
        <v>411</v>
      </c>
      <c r="F143" s="10">
        <v>0.14599999999999999</v>
      </c>
      <c r="G143" s="11"/>
      <c r="H143" s="10">
        <f t="shared" si="4"/>
        <v>0.16059999999999999</v>
      </c>
      <c r="I143" s="1" t="str">
        <f>IF(Unidades!AE143=0,"SIN COMPRA",IF(ISNUMBER(H143),"VALORADO","FALTA PRECIO"))</f>
        <v>VALORADO</v>
      </c>
      <c r="J143" s="1" t="s">
        <v>406</v>
      </c>
    </row>
    <row r="144" spans="1:10">
      <c r="A144" s="1" t="s">
        <v>344</v>
      </c>
      <c r="B144" s="1" t="s">
        <v>345</v>
      </c>
      <c r="C144" s="1" t="s">
        <v>4</v>
      </c>
      <c r="D144" s="1" t="s">
        <v>344</v>
      </c>
      <c r="E144" s="1" t="s">
        <v>407</v>
      </c>
      <c r="F144" s="10">
        <v>0.2535008976660682</v>
      </c>
      <c r="G144" s="11"/>
      <c r="H144" s="10">
        <f t="shared" si="4"/>
        <v>0.27885098743267506</v>
      </c>
      <c r="I144" s="1" t="str">
        <f>IF(Unidades!AE144=0,"SIN COMPRA",IF(ISNUMBER(H144),"VALORADO","FALTA PRECIO"))</f>
        <v>VALORADO</v>
      </c>
      <c r="J144" s="1" t="s">
        <v>406</v>
      </c>
    </row>
    <row r="145" spans="1:10">
      <c r="A145" s="1" t="s">
        <v>346</v>
      </c>
      <c r="B145" s="1" t="s">
        <v>347</v>
      </c>
      <c r="C145" s="1" t="s">
        <v>4</v>
      </c>
      <c r="D145" s="1" t="s">
        <v>346</v>
      </c>
      <c r="E145" s="1" t="s">
        <v>408</v>
      </c>
      <c r="F145" s="10">
        <v>0.26374999999999998</v>
      </c>
      <c r="G145" s="11"/>
      <c r="H145" s="10">
        <f t="shared" si="4"/>
        <v>0.29012500000000002</v>
      </c>
      <c r="I145" s="1" t="str">
        <f>IF(Unidades!AE145=0,"SIN COMPRA",IF(ISNUMBER(H145),"VALORADO","FALTA PRECIO"))</f>
        <v>VALORADO</v>
      </c>
      <c r="J145" s="1" t="s">
        <v>406</v>
      </c>
    </row>
    <row r="146" spans="1:10">
      <c r="A146" s="1" t="s">
        <v>348</v>
      </c>
      <c r="B146" s="1" t="s">
        <v>349</v>
      </c>
      <c r="C146" s="1" t="s">
        <v>4</v>
      </c>
      <c r="D146" s="1" t="s">
        <v>348</v>
      </c>
      <c r="E146" s="1" t="s">
        <v>407</v>
      </c>
      <c r="F146" s="10">
        <v>0.39363380281690141</v>
      </c>
      <c r="G146" s="11"/>
      <c r="H146" s="10">
        <f t="shared" si="4"/>
        <v>0.43299718309859159</v>
      </c>
      <c r="I146" s="1" t="str">
        <f>IF(Unidades!AE146=0,"SIN COMPRA",IF(ISNUMBER(H146),"VALORADO","FALTA PRECIO"))</f>
        <v>VALORADO</v>
      </c>
      <c r="J146" s="1" t="s">
        <v>406</v>
      </c>
    </row>
    <row r="147" spans="1:10">
      <c r="A147" s="1" t="s">
        <v>350</v>
      </c>
      <c r="B147" s="1" t="s">
        <v>351</v>
      </c>
      <c r="C147" s="1" t="s">
        <v>4</v>
      </c>
      <c r="D147" s="1" t="s">
        <v>350</v>
      </c>
      <c r="E147" s="1" t="s">
        <v>405</v>
      </c>
      <c r="F147" s="10">
        <v>0.17100000000000001</v>
      </c>
      <c r="G147" s="11"/>
      <c r="H147" s="10">
        <f t="shared" si="4"/>
        <v>0.18810000000000002</v>
      </c>
      <c r="I147" s="1" t="str">
        <f>IF(Unidades!AE147=0,"SIN COMPRA",IF(ISNUMBER(H147),"VALORADO","FALTA PRECIO"))</f>
        <v>VALORADO</v>
      </c>
      <c r="J147" s="1" t="s">
        <v>406</v>
      </c>
    </row>
    <row r="148" spans="1:10">
      <c r="A148" s="1" t="s">
        <v>352</v>
      </c>
      <c r="B148" s="1" t="s">
        <v>353</v>
      </c>
      <c r="C148" s="1" t="s">
        <v>4</v>
      </c>
      <c r="D148" s="1" t="s">
        <v>352</v>
      </c>
      <c r="E148" s="1" t="s">
        <v>421</v>
      </c>
      <c r="F148" s="10">
        <v>0.2</v>
      </c>
      <c r="G148" s="11"/>
      <c r="H148" s="10">
        <f t="shared" si="4"/>
        <v>0.22000000000000003</v>
      </c>
      <c r="I148" s="1" t="str">
        <f>IF(Unidades!AE148=0,"SIN COMPRA",IF(ISNUMBER(H148),"VALORADO","FALTA PRECIO"))</f>
        <v>VALORADO</v>
      </c>
      <c r="J148" s="1" t="s">
        <v>406</v>
      </c>
    </row>
    <row r="149" spans="1:10">
      <c r="A149" s="1" t="s">
        <v>354</v>
      </c>
      <c r="B149" s="1" t="s">
        <v>355</v>
      </c>
      <c r="C149" s="1" t="s">
        <v>4</v>
      </c>
      <c r="D149" s="1" t="s">
        <v>354</v>
      </c>
      <c r="E149" s="1" t="s">
        <v>417</v>
      </c>
      <c r="F149" s="10">
        <v>0.28899999999999998</v>
      </c>
      <c r="G149" s="11"/>
      <c r="H149" s="10">
        <f t="shared" si="4"/>
        <v>0.31790000000000002</v>
      </c>
      <c r="I149" s="1" t="str">
        <f>IF(Unidades!AE149=0,"SIN COMPRA",IF(ISNUMBER(H149),"VALORADO","FALTA PRECIO"))</f>
        <v>VALORADO</v>
      </c>
      <c r="J149" s="1" t="s">
        <v>406</v>
      </c>
    </row>
  </sheetData>
  <conditionalFormatting sqref="I8:I149">
    <cfRule type="containsText" dxfId="0" priority="1" operator="containsText" text="FALTA PRECIO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161"/>
  <sheetViews>
    <sheetView showGridLines="0" workbookViewId="0">
      <pane ySplit="6" topLeftCell="A7" activePane="bottomLeft" state="frozen"/>
      <selection pane="bottomLeft"/>
    </sheetView>
  </sheetViews>
  <sheetFormatPr baseColWidth="10" defaultColWidth="8.6640625" defaultRowHeight="14"/>
  <cols>
    <col min="1" max="1" width="20" customWidth="1"/>
    <col min="2" max="3" width="15" customWidth="1"/>
    <col min="4" max="4" width="45" customWidth="1"/>
    <col min="5" max="5" width="15" customWidth="1"/>
    <col min="6" max="9" width="20" customWidth="1"/>
    <col min="10" max="10" width="32" customWidth="1"/>
  </cols>
  <sheetData>
    <row r="2" spans="1:10" ht="28" customHeight="1">
      <c r="A2" s="2" t="s">
        <v>428</v>
      </c>
      <c r="B2" s="1"/>
      <c r="C2" s="1"/>
      <c r="D2" s="1"/>
      <c r="E2" s="1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 t="s">
        <v>429</v>
      </c>
      <c r="B4" s="1"/>
      <c r="C4" s="1"/>
      <c r="D4" s="1"/>
      <c r="E4" s="1"/>
      <c r="F4" s="1"/>
      <c r="G4" s="1"/>
      <c r="H4" s="1"/>
      <c r="I4" s="1"/>
      <c r="J4" s="1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26" customHeight="1">
      <c r="A6" s="3" t="s">
        <v>430</v>
      </c>
      <c r="B6" s="3" t="s">
        <v>431</v>
      </c>
      <c r="C6" s="3" t="s">
        <v>70</v>
      </c>
      <c r="D6" s="3" t="s">
        <v>71</v>
      </c>
      <c r="E6" s="3" t="s">
        <v>360</v>
      </c>
      <c r="F6" s="3" t="s">
        <v>432</v>
      </c>
      <c r="G6" s="3" t="s">
        <v>433</v>
      </c>
      <c r="H6" s="3" t="s">
        <v>361</v>
      </c>
      <c r="I6" s="3" t="s">
        <v>434</v>
      </c>
      <c r="J6" s="3" t="s">
        <v>435</v>
      </c>
    </row>
    <row r="7" spans="1:10">
      <c r="A7" s="1" t="s">
        <v>3</v>
      </c>
      <c r="B7" s="1">
        <v>2</v>
      </c>
      <c r="C7" s="1" t="s">
        <v>74</v>
      </c>
      <c r="D7" s="1" t="s">
        <v>75</v>
      </c>
      <c r="E7" s="1" t="s">
        <v>390</v>
      </c>
      <c r="F7" s="5">
        <v>370</v>
      </c>
      <c r="G7" s="5">
        <v>131.44345669827885</v>
      </c>
      <c r="H7" s="5">
        <v>238.55654330172115</v>
      </c>
      <c r="I7" s="5">
        <v>447.23518085248571</v>
      </c>
      <c r="J7" s="1" t="s">
        <v>436</v>
      </c>
    </row>
    <row r="8" spans="1:10">
      <c r="A8" s="1" t="s">
        <v>3</v>
      </c>
      <c r="B8" s="1">
        <v>3</v>
      </c>
      <c r="C8" s="1" t="s">
        <v>76</v>
      </c>
      <c r="D8" s="1" t="s">
        <v>77</v>
      </c>
      <c r="E8" s="1" t="s">
        <v>390</v>
      </c>
      <c r="F8" s="5">
        <v>3406</v>
      </c>
      <c r="G8" s="5">
        <v>5991.0796414082106</v>
      </c>
      <c r="H8" s="5">
        <v>0</v>
      </c>
      <c r="I8" s="5">
        <v>22406.939999999995</v>
      </c>
      <c r="J8" s="1" t="s">
        <v>436</v>
      </c>
    </row>
    <row r="9" spans="1:10">
      <c r="A9" s="1" t="s">
        <v>3</v>
      </c>
      <c r="B9" s="1">
        <v>4</v>
      </c>
      <c r="C9" s="1" t="s">
        <v>78</v>
      </c>
      <c r="D9" s="1" t="s">
        <v>79</v>
      </c>
      <c r="E9" s="1" t="s">
        <v>390</v>
      </c>
      <c r="F9" s="5">
        <v>5900</v>
      </c>
      <c r="G9" s="5">
        <v>947.99613929838927</v>
      </c>
      <c r="H9" s="5">
        <v>4952.0038607016104</v>
      </c>
      <c r="I9" s="5">
        <v>8825.0523347125163</v>
      </c>
      <c r="J9" s="1" t="s">
        <v>436</v>
      </c>
    </row>
    <row r="10" spans="1:10">
      <c r="A10" s="1" t="s">
        <v>3</v>
      </c>
      <c r="B10" s="1">
        <v>5</v>
      </c>
      <c r="C10" s="1" t="s">
        <v>80</v>
      </c>
      <c r="D10" s="1" t="s">
        <v>81</v>
      </c>
      <c r="E10" s="1" t="s">
        <v>390</v>
      </c>
      <c r="F10" s="5">
        <v>3</v>
      </c>
      <c r="G10" s="5">
        <v>6.920371816878243E-2</v>
      </c>
      <c r="H10" s="5">
        <v>2.9307962818312179</v>
      </c>
      <c r="I10" s="5">
        <v>0.54837000000000002</v>
      </c>
      <c r="J10" s="1" t="s">
        <v>436</v>
      </c>
    </row>
    <row r="11" spans="1:10">
      <c r="A11" s="1" t="s">
        <v>3</v>
      </c>
      <c r="B11" s="1">
        <v>6</v>
      </c>
      <c r="C11" s="1" t="s">
        <v>82</v>
      </c>
      <c r="D11" s="1" t="s">
        <v>83</v>
      </c>
      <c r="E11" s="1" t="s">
        <v>390</v>
      </c>
      <c r="F11" s="5">
        <v>3200</v>
      </c>
      <c r="G11" s="5">
        <v>2147.6890455650582</v>
      </c>
      <c r="H11" s="5">
        <v>1052.3109544349418</v>
      </c>
      <c r="I11" s="5">
        <v>20113.937473081056</v>
      </c>
      <c r="J11" s="1" t="s">
        <v>436</v>
      </c>
    </row>
    <row r="12" spans="1:10">
      <c r="A12" s="1" t="s">
        <v>3</v>
      </c>
      <c r="B12" s="1">
        <v>7</v>
      </c>
      <c r="C12" s="1" t="s">
        <v>84</v>
      </c>
      <c r="D12" s="1" t="s">
        <v>85</v>
      </c>
      <c r="E12" s="1" t="s">
        <v>390</v>
      </c>
      <c r="F12" s="5">
        <v>90</v>
      </c>
      <c r="G12" s="5">
        <v>11.368369702466286</v>
      </c>
      <c r="H12" s="5">
        <v>78.631630297533704</v>
      </c>
      <c r="I12" s="5">
        <v>24.964914679640046</v>
      </c>
      <c r="J12" s="1" t="s">
        <v>436</v>
      </c>
    </row>
    <row r="13" spans="1:10">
      <c r="A13" s="1" t="s">
        <v>3</v>
      </c>
      <c r="B13" s="1">
        <v>8</v>
      </c>
      <c r="C13" s="1" t="s">
        <v>86</v>
      </c>
      <c r="D13" s="1" t="s">
        <v>87</v>
      </c>
      <c r="E13" s="1" t="s">
        <v>390</v>
      </c>
      <c r="F13" s="5">
        <v>0</v>
      </c>
      <c r="G13" s="5">
        <v>2230.7547103411666</v>
      </c>
      <c r="H13" s="5">
        <v>0</v>
      </c>
      <c r="I13" s="5">
        <v>14001.497225795023</v>
      </c>
      <c r="J13" s="1" t="s">
        <v>436</v>
      </c>
    </row>
    <row r="14" spans="1:10">
      <c r="A14" s="1" t="s">
        <v>3</v>
      </c>
      <c r="B14" s="1">
        <v>9</v>
      </c>
      <c r="C14" s="1" t="s">
        <v>88</v>
      </c>
      <c r="D14" s="1" t="s">
        <v>89</v>
      </c>
      <c r="E14" s="1" t="s">
        <v>390</v>
      </c>
      <c r="F14" s="5">
        <v>0</v>
      </c>
      <c r="G14" s="5">
        <v>12.627308575454546</v>
      </c>
      <c r="H14" s="5">
        <v>0</v>
      </c>
      <c r="I14" s="5">
        <v>88.490999999999985</v>
      </c>
      <c r="J14" s="1" t="s">
        <v>436</v>
      </c>
    </row>
    <row r="15" spans="1:10">
      <c r="A15" s="1" t="s">
        <v>3</v>
      </c>
      <c r="B15" s="1">
        <v>10</v>
      </c>
      <c r="C15" s="1" t="s">
        <v>90</v>
      </c>
      <c r="D15" s="1" t="s">
        <v>90</v>
      </c>
      <c r="E15" s="1" t="s">
        <v>390</v>
      </c>
      <c r="F15" s="5">
        <v>0</v>
      </c>
      <c r="G15" s="5">
        <v>3407.0981246384113</v>
      </c>
      <c r="H15" s="5">
        <v>0</v>
      </c>
      <c r="I15" s="5">
        <v>8785.5340000000015</v>
      </c>
      <c r="J15" s="1" t="s">
        <v>436</v>
      </c>
    </row>
    <row r="16" spans="1:10">
      <c r="A16" s="1" t="s">
        <v>3</v>
      </c>
      <c r="B16" s="1">
        <v>11</v>
      </c>
      <c r="C16" s="1" t="s">
        <v>91</v>
      </c>
      <c r="D16" s="1" t="s">
        <v>92</v>
      </c>
      <c r="E16" s="1" t="s">
        <v>390</v>
      </c>
      <c r="F16" s="5">
        <v>750</v>
      </c>
      <c r="G16" s="5">
        <v>1980.8606849713271</v>
      </c>
      <c r="H16" s="5">
        <v>0</v>
      </c>
      <c r="I16" s="5">
        <v>13852.012293822878</v>
      </c>
      <c r="J16" s="1" t="s">
        <v>436</v>
      </c>
    </row>
    <row r="17" spans="1:10">
      <c r="A17" s="1" t="s">
        <v>3</v>
      </c>
      <c r="B17" s="1">
        <v>12</v>
      </c>
      <c r="C17" s="1" t="s">
        <v>93</v>
      </c>
      <c r="D17" s="1" t="s">
        <v>94</v>
      </c>
      <c r="E17" s="1" t="s">
        <v>390</v>
      </c>
      <c r="F17" s="5">
        <v>3485</v>
      </c>
      <c r="G17" s="5">
        <v>0</v>
      </c>
      <c r="H17" s="5">
        <v>3485</v>
      </c>
      <c r="I17" s="5">
        <v>1488.998069649195</v>
      </c>
      <c r="J17" s="1" t="s">
        <v>436</v>
      </c>
    </row>
    <row r="18" spans="1:10">
      <c r="A18" s="1" t="s">
        <v>3</v>
      </c>
      <c r="B18" s="1">
        <v>13</v>
      </c>
      <c r="C18" s="1" t="s">
        <v>95</v>
      </c>
      <c r="D18" s="1" t="s">
        <v>96</v>
      </c>
      <c r="E18" s="1" t="s">
        <v>390</v>
      </c>
      <c r="F18" s="5">
        <v>22445</v>
      </c>
      <c r="G18" s="5">
        <v>2464.3273400598341</v>
      </c>
      <c r="H18" s="5">
        <v>19980.672659940166</v>
      </c>
      <c r="I18" s="5">
        <v>17434.25876549579</v>
      </c>
      <c r="J18" s="1" t="s">
        <v>436</v>
      </c>
    </row>
    <row r="19" spans="1:10">
      <c r="A19" s="1" t="s">
        <v>3</v>
      </c>
      <c r="B19" s="1">
        <v>14</v>
      </c>
      <c r="C19" s="1" t="s">
        <v>97</v>
      </c>
      <c r="D19" s="1" t="s">
        <v>98</v>
      </c>
      <c r="E19" s="1" t="s">
        <v>390</v>
      </c>
      <c r="F19" s="5">
        <v>4128</v>
      </c>
      <c r="G19" s="5">
        <v>878.05298414095398</v>
      </c>
      <c r="H19" s="5">
        <v>3249.9470158590457</v>
      </c>
      <c r="I19" s="5">
        <v>5008.6578167064126</v>
      </c>
      <c r="J19" s="1" t="s">
        <v>436</v>
      </c>
    </row>
    <row r="20" spans="1:10">
      <c r="A20" s="1" t="s">
        <v>3</v>
      </c>
      <c r="B20" s="1">
        <v>15</v>
      </c>
      <c r="C20" s="1" t="s">
        <v>99</v>
      </c>
      <c r="D20" s="1" t="s">
        <v>100</v>
      </c>
      <c r="E20" s="1" t="s">
        <v>390</v>
      </c>
      <c r="F20" s="5">
        <v>0</v>
      </c>
      <c r="G20" s="5">
        <v>10745.017438580049</v>
      </c>
      <c r="H20" s="5">
        <v>0</v>
      </c>
      <c r="I20" s="5">
        <v>48747.157244957445</v>
      </c>
      <c r="J20" s="1" t="s">
        <v>436</v>
      </c>
    </row>
    <row r="21" spans="1:10">
      <c r="A21" s="1" t="s">
        <v>3</v>
      </c>
      <c r="B21" s="1">
        <v>16</v>
      </c>
      <c r="C21" s="1" t="s">
        <v>101</v>
      </c>
      <c r="D21" s="1" t="s">
        <v>102</v>
      </c>
      <c r="E21" s="1" t="s">
        <v>390</v>
      </c>
      <c r="F21" s="5">
        <v>587</v>
      </c>
      <c r="G21" s="5">
        <v>81.338068751801814</v>
      </c>
      <c r="H21" s="5">
        <v>505.66193124819819</v>
      </c>
      <c r="I21" s="5">
        <v>161.35499999999999</v>
      </c>
      <c r="J21" s="1" t="s">
        <v>436</v>
      </c>
    </row>
    <row r="22" spans="1:10">
      <c r="A22" s="1" t="s">
        <v>3</v>
      </c>
      <c r="B22" s="1">
        <v>17</v>
      </c>
      <c r="C22" s="1" t="s">
        <v>103</v>
      </c>
      <c r="D22" s="1" t="s">
        <v>104</v>
      </c>
      <c r="E22" s="1" t="s">
        <v>390</v>
      </c>
      <c r="F22" s="5">
        <v>85</v>
      </c>
      <c r="G22" s="5">
        <v>0</v>
      </c>
      <c r="H22" s="5">
        <v>85</v>
      </c>
      <c r="I22" s="5">
        <v>104.25</v>
      </c>
      <c r="J22" s="1" t="s">
        <v>436</v>
      </c>
    </row>
    <row r="23" spans="1:10">
      <c r="A23" s="1" t="s">
        <v>3</v>
      </c>
      <c r="B23" s="1">
        <v>18</v>
      </c>
      <c r="C23" s="1" t="s">
        <v>105</v>
      </c>
      <c r="D23" s="1" t="s">
        <v>106</v>
      </c>
      <c r="E23" s="1" t="s">
        <v>390</v>
      </c>
      <c r="F23" s="5">
        <v>4424</v>
      </c>
      <c r="G23" s="5">
        <v>1400.4291927708241</v>
      </c>
      <c r="H23" s="5">
        <v>3023.5708072291759</v>
      </c>
      <c r="I23" s="5">
        <v>8943.4617905960786</v>
      </c>
      <c r="J23" s="1" t="s">
        <v>436</v>
      </c>
    </row>
    <row r="24" spans="1:10">
      <c r="A24" s="1" t="s">
        <v>3</v>
      </c>
      <c r="B24" s="1">
        <v>19</v>
      </c>
      <c r="C24" s="1" t="s">
        <v>107</v>
      </c>
      <c r="D24" s="1" t="s">
        <v>108</v>
      </c>
      <c r="E24" s="1" t="s">
        <v>390</v>
      </c>
      <c r="F24" s="5">
        <v>2794</v>
      </c>
      <c r="G24" s="5">
        <v>18894.9357546266</v>
      </c>
      <c r="H24" s="5">
        <v>0</v>
      </c>
      <c r="I24" s="5">
        <v>180246.48991592569</v>
      </c>
      <c r="J24" s="1" t="s">
        <v>436</v>
      </c>
    </row>
    <row r="25" spans="1:10">
      <c r="A25" s="1" t="s">
        <v>3</v>
      </c>
      <c r="B25" s="1">
        <v>20</v>
      </c>
      <c r="C25" s="1" t="s">
        <v>109</v>
      </c>
      <c r="D25" s="1" t="s">
        <v>110</v>
      </c>
      <c r="E25" s="1" t="s">
        <v>390</v>
      </c>
      <c r="F25" s="5">
        <v>9025</v>
      </c>
      <c r="G25" s="5">
        <v>19134.259275984761</v>
      </c>
      <c r="H25" s="5">
        <v>0</v>
      </c>
      <c r="I25" s="5">
        <v>34636.75</v>
      </c>
      <c r="J25" s="1" t="s">
        <v>436</v>
      </c>
    </row>
    <row r="26" spans="1:10">
      <c r="A26" s="1" t="s">
        <v>3</v>
      </c>
      <c r="B26" s="1">
        <v>21</v>
      </c>
      <c r="C26" s="1" t="s">
        <v>111</v>
      </c>
      <c r="D26" s="1" t="s">
        <v>112</v>
      </c>
      <c r="E26" s="1" t="s">
        <v>390</v>
      </c>
      <c r="F26" s="5">
        <v>0</v>
      </c>
      <c r="G26" s="5">
        <v>0</v>
      </c>
      <c r="H26" s="5">
        <v>0</v>
      </c>
      <c r="I26" s="5">
        <v>263603.20000000001</v>
      </c>
      <c r="J26" s="1" t="s">
        <v>436</v>
      </c>
    </row>
    <row r="27" spans="1:10">
      <c r="A27" s="1" t="s">
        <v>3</v>
      </c>
      <c r="B27" s="1">
        <v>22</v>
      </c>
      <c r="C27" s="1" t="s">
        <v>113</v>
      </c>
      <c r="D27" s="1" t="s">
        <v>114</v>
      </c>
      <c r="E27" s="1" t="s">
        <v>390</v>
      </c>
      <c r="F27" s="5">
        <v>134</v>
      </c>
      <c r="G27" s="5">
        <v>966.00048197594435</v>
      </c>
      <c r="H27" s="5">
        <v>0</v>
      </c>
      <c r="I27" s="5">
        <v>6232.2128446172601</v>
      </c>
      <c r="J27" s="1" t="s">
        <v>436</v>
      </c>
    </row>
    <row r="28" spans="1:10">
      <c r="A28" s="1" t="s">
        <v>3</v>
      </c>
      <c r="B28" s="1">
        <v>23</v>
      </c>
      <c r="C28" s="1" t="s">
        <v>437</v>
      </c>
      <c r="D28" s="1" t="s">
        <v>438</v>
      </c>
      <c r="E28" s="1" t="s">
        <v>390</v>
      </c>
      <c r="F28" s="5">
        <v>17</v>
      </c>
      <c r="G28" s="5">
        <v>13.992423016044226</v>
      </c>
      <c r="H28" s="5">
        <v>3.007576983955774</v>
      </c>
      <c r="I28" s="5">
        <v>18.902200000000001</v>
      </c>
      <c r="J28" s="1" t="s">
        <v>439</v>
      </c>
    </row>
    <row r="29" spans="1:10">
      <c r="A29" s="1" t="s">
        <v>3</v>
      </c>
      <c r="B29" s="1">
        <v>24</v>
      </c>
      <c r="C29" s="1" t="s">
        <v>115</v>
      </c>
      <c r="D29" s="1" t="s">
        <v>116</v>
      </c>
      <c r="E29" s="1" t="s">
        <v>390</v>
      </c>
      <c r="F29" s="5">
        <v>0</v>
      </c>
      <c r="G29" s="5">
        <v>0</v>
      </c>
      <c r="H29" s="5">
        <v>0</v>
      </c>
      <c r="I29" s="5">
        <v>20.223186873614527</v>
      </c>
      <c r="J29" s="1" t="s">
        <v>436</v>
      </c>
    </row>
    <row r="30" spans="1:10">
      <c r="A30" s="1" t="s">
        <v>3</v>
      </c>
      <c r="B30" s="1">
        <v>25</v>
      </c>
      <c r="C30" s="1" t="s">
        <v>117</v>
      </c>
      <c r="D30" s="1" t="s">
        <v>118</v>
      </c>
      <c r="E30" s="1" t="s">
        <v>390</v>
      </c>
      <c r="F30" s="5">
        <v>305</v>
      </c>
      <c r="G30" s="5">
        <v>138.4832760287087</v>
      </c>
      <c r="H30" s="5">
        <v>166.51672397129133</v>
      </c>
      <c r="I30" s="5">
        <v>626.38400000000001</v>
      </c>
      <c r="J30" s="1" t="s">
        <v>436</v>
      </c>
    </row>
    <row r="31" spans="1:10">
      <c r="A31" s="1" t="s">
        <v>3</v>
      </c>
      <c r="B31" s="1">
        <v>26</v>
      </c>
      <c r="C31" s="1" t="s">
        <v>440</v>
      </c>
      <c r="D31" s="1" t="s">
        <v>441</v>
      </c>
      <c r="E31" s="1" t="s">
        <v>390</v>
      </c>
      <c r="F31" s="5">
        <v>0</v>
      </c>
      <c r="G31" s="5">
        <v>4.3516056381441821</v>
      </c>
      <c r="H31" s="5">
        <v>0</v>
      </c>
      <c r="I31" s="5">
        <v>35.683920000000001</v>
      </c>
      <c r="J31" s="1" t="s">
        <v>439</v>
      </c>
    </row>
    <row r="32" spans="1:10">
      <c r="A32" s="1" t="s">
        <v>3</v>
      </c>
      <c r="B32" s="1">
        <v>27</v>
      </c>
      <c r="C32" s="1" t="s">
        <v>119</v>
      </c>
      <c r="D32" s="1" t="s">
        <v>120</v>
      </c>
      <c r="E32" s="1" t="s">
        <v>390</v>
      </c>
      <c r="F32" s="5">
        <v>239</v>
      </c>
      <c r="G32" s="5">
        <v>81.831026744236951</v>
      </c>
      <c r="H32" s="5">
        <v>157.16897325576304</v>
      </c>
      <c r="I32" s="5">
        <v>370.13600000000008</v>
      </c>
      <c r="J32" s="1" t="s">
        <v>436</v>
      </c>
    </row>
    <row r="33" spans="1:10">
      <c r="A33" s="1" t="s">
        <v>3</v>
      </c>
      <c r="B33" s="1">
        <v>28</v>
      </c>
      <c r="C33" s="1" t="s">
        <v>121</v>
      </c>
      <c r="D33" s="1" t="s">
        <v>122</v>
      </c>
      <c r="E33" s="1" t="s">
        <v>390</v>
      </c>
      <c r="F33" s="5">
        <v>3270</v>
      </c>
      <c r="G33" s="5">
        <v>4568.5829945067971</v>
      </c>
      <c r="H33" s="5">
        <v>0</v>
      </c>
      <c r="I33" s="5">
        <v>19315.996888431066</v>
      </c>
      <c r="J33" s="1" t="s">
        <v>436</v>
      </c>
    </row>
    <row r="34" spans="1:10">
      <c r="A34" s="1" t="s">
        <v>3</v>
      </c>
      <c r="B34" s="1">
        <v>29</v>
      </c>
      <c r="C34" s="1" t="s">
        <v>123</v>
      </c>
      <c r="D34" s="1" t="s">
        <v>124</v>
      </c>
      <c r="E34" s="1" t="s">
        <v>390</v>
      </c>
      <c r="F34" s="5">
        <v>37184</v>
      </c>
      <c r="G34" s="5">
        <v>76217.452603323181</v>
      </c>
      <c r="H34" s="5">
        <v>0</v>
      </c>
      <c r="I34" s="5">
        <v>478384.48854799662</v>
      </c>
      <c r="J34" s="1" t="s">
        <v>436</v>
      </c>
    </row>
    <row r="35" spans="1:10">
      <c r="A35" s="1" t="s">
        <v>3</v>
      </c>
      <c r="B35" s="1">
        <v>30</v>
      </c>
      <c r="C35" s="1" t="s">
        <v>125</v>
      </c>
      <c r="D35" s="1" t="s">
        <v>126</v>
      </c>
      <c r="E35" s="1" t="s">
        <v>390</v>
      </c>
      <c r="F35" s="5">
        <v>0</v>
      </c>
      <c r="G35" s="5">
        <v>323.6079621108982</v>
      </c>
      <c r="H35" s="5">
        <v>0</v>
      </c>
      <c r="I35" s="5">
        <v>1284.7137963031205</v>
      </c>
      <c r="J35" s="1" t="s">
        <v>436</v>
      </c>
    </row>
    <row r="36" spans="1:10">
      <c r="A36" s="1" t="s">
        <v>3</v>
      </c>
      <c r="B36" s="1">
        <v>31</v>
      </c>
      <c r="C36" s="1" t="s">
        <v>127</v>
      </c>
      <c r="D36" s="1" t="s">
        <v>128</v>
      </c>
      <c r="E36" s="1" t="s">
        <v>390</v>
      </c>
      <c r="F36" s="5">
        <v>1048</v>
      </c>
      <c r="G36" s="5">
        <v>1863.9651770267214</v>
      </c>
      <c r="H36" s="5">
        <v>0</v>
      </c>
      <c r="I36" s="5">
        <v>7427.3828568446115</v>
      </c>
      <c r="J36" s="1" t="s">
        <v>436</v>
      </c>
    </row>
    <row r="37" spans="1:10">
      <c r="A37" s="1" t="s">
        <v>3</v>
      </c>
      <c r="B37" s="1">
        <v>32</v>
      </c>
      <c r="C37" s="1" t="s">
        <v>129</v>
      </c>
      <c r="D37" s="1" t="s">
        <v>130</v>
      </c>
      <c r="E37" s="1" t="s">
        <v>390</v>
      </c>
      <c r="F37" s="5">
        <v>475</v>
      </c>
      <c r="G37" s="5">
        <v>410.50128823898859</v>
      </c>
      <c r="H37" s="5">
        <v>64.498711761011421</v>
      </c>
      <c r="I37" s="5">
        <v>545.46199999999999</v>
      </c>
      <c r="J37" s="1" t="s">
        <v>436</v>
      </c>
    </row>
    <row r="38" spans="1:10">
      <c r="A38" s="1" t="s">
        <v>3</v>
      </c>
      <c r="B38" s="1">
        <v>33</v>
      </c>
      <c r="C38" s="1" t="s">
        <v>131</v>
      </c>
      <c r="D38" s="1" t="s">
        <v>132</v>
      </c>
      <c r="E38" s="1" t="s">
        <v>390</v>
      </c>
      <c r="F38" s="5">
        <v>40</v>
      </c>
      <c r="G38" s="5">
        <v>2.1803911203862953</v>
      </c>
      <c r="H38" s="5">
        <v>37.819608879613703</v>
      </c>
      <c r="I38" s="5">
        <v>7.2220000000000004</v>
      </c>
      <c r="J38" s="1" t="s">
        <v>436</v>
      </c>
    </row>
    <row r="39" spans="1:10">
      <c r="A39" s="1" t="s">
        <v>3</v>
      </c>
      <c r="B39" s="1">
        <v>34</v>
      </c>
      <c r="C39" s="1" t="s">
        <v>133</v>
      </c>
      <c r="D39" s="1" t="s">
        <v>134</v>
      </c>
      <c r="E39" s="1" t="s">
        <v>390</v>
      </c>
      <c r="F39" s="5">
        <v>513</v>
      </c>
      <c r="G39" s="5">
        <v>1.2323949810879062</v>
      </c>
      <c r="H39" s="5">
        <v>511.76760501891209</v>
      </c>
      <c r="I39" s="5">
        <v>4.0819999999999999</v>
      </c>
      <c r="J39" s="1" t="s">
        <v>436</v>
      </c>
    </row>
    <row r="40" spans="1:10">
      <c r="A40" s="1" t="s">
        <v>3</v>
      </c>
      <c r="B40" s="1">
        <v>35</v>
      </c>
      <c r="C40" s="1" t="s">
        <v>135</v>
      </c>
      <c r="D40" s="1" t="s">
        <v>136</v>
      </c>
      <c r="E40" s="1" t="s">
        <v>390</v>
      </c>
      <c r="F40" s="5">
        <v>149</v>
      </c>
      <c r="G40" s="5">
        <v>409.55329209969022</v>
      </c>
      <c r="H40" s="5">
        <v>0</v>
      </c>
      <c r="I40" s="5">
        <v>542.322</v>
      </c>
      <c r="J40" s="1" t="s">
        <v>436</v>
      </c>
    </row>
    <row r="41" spans="1:10">
      <c r="A41" s="1" t="s">
        <v>3</v>
      </c>
      <c r="B41" s="1">
        <v>36</v>
      </c>
      <c r="C41" s="1" t="s">
        <v>137</v>
      </c>
      <c r="D41" s="1" t="s">
        <v>138</v>
      </c>
      <c r="E41" s="1" t="s">
        <v>390</v>
      </c>
      <c r="F41" s="5">
        <v>2360</v>
      </c>
      <c r="G41" s="5">
        <v>1634.1557449225634</v>
      </c>
      <c r="H41" s="5">
        <v>725.84425507743663</v>
      </c>
      <c r="I41" s="5">
        <v>10113.239899632257</v>
      </c>
      <c r="J41" s="1" t="s">
        <v>436</v>
      </c>
    </row>
    <row r="42" spans="1:10">
      <c r="A42" s="1" t="s">
        <v>3</v>
      </c>
      <c r="B42" s="1">
        <v>37</v>
      </c>
      <c r="C42" s="1" t="s">
        <v>139</v>
      </c>
      <c r="D42" s="1" t="s">
        <v>140</v>
      </c>
      <c r="E42" s="1" t="s">
        <v>390</v>
      </c>
      <c r="F42" s="5">
        <v>6738</v>
      </c>
      <c r="G42" s="5">
        <v>16639.057597660256</v>
      </c>
      <c r="H42" s="5">
        <v>0</v>
      </c>
      <c r="I42" s="5">
        <v>69990.421639415814</v>
      </c>
      <c r="J42" s="1" t="s">
        <v>436</v>
      </c>
    </row>
    <row r="43" spans="1:10">
      <c r="A43" s="1" t="s">
        <v>3</v>
      </c>
      <c r="B43" s="1">
        <v>38</v>
      </c>
      <c r="C43" s="1" t="s">
        <v>141</v>
      </c>
      <c r="D43" s="1" t="s">
        <v>142</v>
      </c>
      <c r="E43" s="1" t="s">
        <v>390</v>
      </c>
      <c r="F43" s="5">
        <v>4320</v>
      </c>
      <c r="G43" s="5">
        <v>9321.6763735975182</v>
      </c>
      <c r="H43" s="5">
        <v>0</v>
      </c>
      <c r="I43" s="5">
        <v>16601.739322457368</v>
      </c>
      <c r="J43" s="1" t="s">
        <v>436</v>
      </c>
    </row>
    <row r="44" spans="1:10">
      <c r="A44" s="1" t="s">
        <v>3</v>
      </c>
      <c r="B44" s="1">
        <v>39</v>
      </c>
      <c r="C44" s="1" t="s">
        <v>143</v>
      </c>
      <c r="D44" s="1" t="s">
        <v>144</v>
      </c>
      <c r="E44" s="1" t="s">
        <v>390</v>
      </c>
      <c r="F44" s="5">
        <v>2161</v>
      </c>
      <c r="G44" s="5">
        <v>2918.220117987561</v>
      </c>
      <c r="H44" s="5">
        <v>0</v>
      </c>
      <c r="I44" s="5">
        <v>11830.104572000002</v>
      </c>
      <c r="J44" s="1" t="s">
        <v>436</v>
      </c>
    </row>
    <row r="45" spans="1:10">
      <c r="A45" s="1" t="s">
        <v>3</v>
      </c>
      <c r="B45" s="1">
        <v>40</v>
      </c>
      <c r="C45" s="1" t="s">
        <v>145</v>
      </c>
      <c r="D45" s="1" t="s">
        <v>146</v>
      </c>
      <c r="E45" s="1" t="s">
        <v>390</v>
      </c>
      <c r="F45" s="5">
        <v>2395</v>
      </c>
      <c r="G45" s="5">
        <v>8396.6975805612965</v>
      </c>
      <c r="H45" s="5">
        <v>0</v>
      </c>
      <c r="I45" s="5">
        <v>31553.213581360182</v>
      </c>
      <c r="J45" s="1" t="s">
        <v>436</v>
      </c>
    </row>
    <row r="46" spans="1:10">
      <c r="A46" s="1" t="s">
        <v>3</v>
      </c>
      <c r="B46" s="1">
        <v>41</v>
      </c>
      <c r="C46" s="1" t="s">
        <v>147</v>
      </c>
      <c r="D46" s="1" t="s">
        <v>148</v>
      </c>
      <c r="E46" s="1" t="s">
        <v>390</v>
      </c>
      <c r="F46" s="5">
        <v>60432</v>
      </c>
      <c r="G46" s="5">
        <v>93839.502399880308</v>
      </c>
      <c r="H46" s="5">
        <v>0</v>
      </c>
      <c r="I46" s="5">
        <v>468395.41658928402</v>
      </c>
      <c r="J46" s="1" t="s">
        <v>436</v>
      </c>
    </row>
    <row r="47" spans="1:10">
      <c r="A47" s="1" t="s">
        <v>3</v>
      </c>
      <c r="B47" s="1">
        <v>42</v>
      </c>
      <c r="C47" s="1" t="s">
        <v>149</v>
      </c>
      <c r="D47" s="1" t="s">
        <v>150</v>
      </c>
      <c r="E47" s="1" t="s">
        <v>390</v>
      </c>
      <c r="F47" s="5">
        <v>14675</v>
      </c>
      <c r="G47" s="5">
        <v>12609.012249966088</v>
      </c>
      <c r="H47" s="5">
        <v>2065.9877500339117</v>
      </c>
      <c r="I47" s="5">
        <v>47284.999999999993</v>
      </c>
      <c r="J47" s="1" t="s">
        <v>436</v>
      </c>
    </row>
    <row r="48" spans="1:10">
      <c r="A48" s="1" t="s">
        <v>3</v>
      </c>
      <c r="B48" s="1">
        <v>43</v>
      </c>
      <c r="C48" s="1" t="s">
        <v>151</v>
      </c>
      <c r="D48" s="1" t="s">
        <v>152</v>
      </c>
      <c r="E48" s="1" t="s">
        <v>390</v>
      </c>
      <c r="F48" s="5">
        <v>2000</v>
      </c>
      <c r="G48" s="5">
        <v>1491.499389888663</v>
      </c>
      <c r="H48" s="5">
        <v>508.50061011133693</v>
      </c>
      <c r="I48" s="5">
        <v>6229.2619706502674</v>
      </c>
      <c r="J48" s="1" t="s">
        <v>436</v>
      </c>
    </row>
    <row r="49" spans="1:10">
      <c r="A49" s="1" t="s">
        <v>3</v>
      </c>
      <c r="B49" s="1">
        <v>44</v>
      </c>
      <c r="C49" s="1" t="s">
        <v>153</v>
      </c>
      <c r="D49" s="1" t="s">
        <v>154</v>
      </c>
      <c r="E49" s="1" t="s">
        <v>390</v>
      </c>
      <c r="F49" s="5">
        <v>4940</v>
      </c>
      <c r="G49" s="5">
        <v>13496.211500858988</v>
      </c>
      <c r="H49" s="5">
        <v>0</v>
      </c>
      <c r="I49" s="5">
        <v>88772.442184679006</v>
      </c>
      <c r="J49" s="1" t="s">
        <v>436</v>
      </c>
    </row>
    <row r="50" spans="1:10">
      <c r="A50" s="1" t="s">
        <v>3</v>
      </c>
      <c r="B50" s="1">
        <v>45</v>
      </c>
      <c r="C50" s="1" t="s">
        <v>155</v>
      </c>
      <c r="D50" s="1" t="s">
        <v>156</v>
      </c>
      <c r="E50" s="1" t="s">
        <v>390</v>
      </c>
      <c r="F50" s="5">
        <v>380</v>
      </c>
      <c r="G50" s="5">
        <v>349.24177771752665</v>
      </c>
      <c r="H50" s="5">
        <v>30.758222282473355</v>
      </c>
      <c r="I50" s="5">
        <v>5431.9110464964406</v>
      </c>
      <c r="J50" s="1" t="s">
        <v>436</v>
      </c>
    </row>
    <row r="51" spans="1:10">
      <c r="A51" s="1" t="s">
        <v>3</v>
      </c>
      <c r="B51" s="1">
        <v>46</v>
      </c>
      <c r="C51" s="1" t="s">
        <v>157</v>
      </c>
      <c r="D51" s="1" t="s">
        <v>158</v>
      </c>
      <c r="E51" s="1" t="s">
        <v>390</v>
      </c>
      <c r="F51" s="5">
        <v>1590</v>
      </c>
      <c r="G51" s="5">
        <v>4009.1894326296042</v>
      </c>
      <c r="H51" s="5">
        <v>0</v>
      </c>
      <c r="I51" s="5">
        <v>10822.279999999999</v>
      </c>
      <c r="J51" s="1" t="s">
        <v>436</v>
      </c>
    </row>
    <row r="52" spans="1:10">
      <c r="A52" s="1" t="s">
        <v>3</v>
      </c>
      <c r="B52" s="1">
        <v>47</v>
      </c>
      <c r="C52" s="1" t="s">
        <v>159</v>
      </c>
      <c r="D52" s="1" t="s">
        <v>160</v>
      </c>
      <c r="E52" s="1" t="s">
        <v>390</v>
      </c>
      <c r="F52" s="5">
        <v>515</v>
      </c>
      <c r="G52" s="5">
        <v>1681.4417923507669</v>
      </c>
      <c r="H52" s="5">
        <v>0</v>
      </c>
      <c r="I52" s="5">
        <v>5378.6253160161832</v>
      </c>
      <c r="J52" s="1" t="s">
        <v>436</v>
      </c>
    </row>
    <row r="53" spans="1:10">
      <c r="A53" s="1" t="s">
        <v>3</v>
      </c>
      <c r="B53" s="1">
        <v>48</v>
      </c>
      <c r="C53" s="1" t="s">
        <v>161</v>
      </c>
      <c r="D53" s="1" t="s">
        <v>162</v>
      </c>
      <c r="E53" s="1" t="s">
        <v>390</v>
      </c>
      <c r="F53" s="5">
        <v>1384</v>
      </c>
      <c r="G53" s="5">
        <v>6499.7933296785122</v>
      </c>
      <c r="H53" s="5">
        <v>0</v>
      </c>
      <c r="I53" s="5">
        <v>33265.738512353004</v>
      </c>
      <c r="J53" s="1" t="s">
        <v>436</v>
      </c>
    </row>
    <row r="54" spans="1:10">
      <c r="A54" s="1" t="s">
        <v>3</v>
      </c>
      <c r="B54" s="1">
        <v>49</v>
      </c>
      <c r="C54" s="1" t="s">
        <v>163</v>
      </c>
      <c r="D54" s="1" t="s">
        <v>164</v>
      </c>
      <c r="E54" s="1" t="s">
        <v>390</v>
      </c>
      <c r="F54" s="5">
        <v>21430</v>
      </c>
      <c r="G54" s="5">
        <v>206013.55167356634</v>
      </c>
      <c r="H54" s="5">
        <v>0</v>
      </c>
      <c r="I54" s="5">
        <v>1361481.8980111456</v>
      </c>
      <c r="J54" s="1" t="s">
        <v>436</v>
      </c>
    </row>
    <row r="55" spans="1:10">
      <c r="A55" s="1" t="s">
        <v>3</v>
      </c>
      <c r="B55" s="1">
        <v>50</v>
      </c>
      <c r="C55" s="1" t="s">
        <v>165</v>
      </c>
      <c r="D55" s="1" t="s">
        <v>166</v>
      </c>
      <c r="E55" s="1" t="s">
        <v>390</v>
      </c>
      <c r="F55" s="5">
        <v>315</v>
      </c>
      <c r="G55" s="5">
        <v>0</v>
      </c>
      <c r="H55" s="5">
        <v>315</v>
      </c>
      <c r="I55" s="5">
        <v>681</v>
      </c>
      <c r="J55" s="1" t="s">
        <v>436</v>
      </c>
    </row>
    <row r="56" spans="1:10">
      <c r="A56" s="1" t="s">
        <v>3</v>
      </c>
      <c r="B56" s="1">
        <v>51</v>
      </c>
      <c r="C56" s="1" t="s">
        <v>167</v>
      </c>
      <c r="D56" s="1" t="s">
        <v>168</v>
      </c>
      <c r="E56" s="1" t="s">
        <v>390</v>
      </c>
      <c r="F56" s="5">
        <v>1000</v>
      </c>
      <c r="G56" s="5">
        <v>479.26892818369367</v>
      </c>
      <c r="H56" s="5">
        <v>520.73107181630633</v>
      </c>
      <c r="I56" s="5">
        <v>1931.154</v>
      </c>
      <c r="J56" s="1" t="s">
        <v>436</v>
      </c>
    </row>
    <row r="57" spans="1:10">
      <c r="A57" s="1" t="s">
        <v>3</v>
      </c>
      <c r="B57" s="1">
        <v>52</v>
      </c>
      <c r="C57" s="1" t="s">
        <v>169</v>
      </c>
      <c r="D57" s="1" t="s">
        <v>170</v>
      </c>
      <c r="E57" s="1" t="s">
        <v>390</v>
      </c>
      <c r="F57" s="5">
        <v>0</v>
      </c>
      <c r="G57" s="5">
        <v>0</v>
      </c>
      <c r="H57" s="5">
        <v>0</v>
      </c>
      <c r="I57" s="5">
        <v>25.7</v>
      </c>
      <c r="J57" s="1" t="s">
        <v>436</v>
      </c>
    </row>
    <row r="58" spans="1:10">
      <c r="A58" s="1" t="s">
        <v>3</v>
      </c>
      <c r="B58" s="1">
        <v>53</v>
      </c>
      <c r="C58" s="1" t="s">
        <v>171</v>
      </c>
      <c r="D58" s="1" t="s">
        <v>172</v>
      </c>
      <c r="E58" s="1" t="s">
        <v>390</v>
      </c>
      <c r="F58" s="5">
        <v>913</v>
      </c>
      <c r="G58" s="5">
        <v>1687.4331279511327</v>
      </c>
      <c r="H58" s="5">
        <v>0</v>
      </c>
      <c r="I58" s="5">
        <v>3013</v>
      </c>
      <c r="J58" s="1" t="s">
        <v>436</v>
      </c>
    </row>
    <row r="59" spans="1:10">
      <c r="A59" s="1" t="s">
        <v>3</v>
      </c>
      <c r="B59" s="1">
        <v>54</v>
      </c>
      <c r="C59" s="1" t="s">
        <v>173</v>
      </c>
      <c r="D59" s="1" t="s">
        <v>174</v>
      </c>
      <c r="E59" s="1" t="s">
        <v>390</v>
      </c>
      <c r="F59" s="5">
        <v>24544</v>
      </c>
      <c r="G59" s="5">
        <v>48560.556189783747</v>
      </c>
      <c r="H59" s="5">
        <v>0</v>
      </c>
      <c r="I59" s="5">
        <v>214723.20544790241</v>
      </c>
      <c r="J59" s="1" t="s">
        <v>436</v>
      </c>
    </row>
    <row r="60" spans="1:10">
      <c r="A60" s="1" t="s">
        <v>3</v>
      </c>
      <c r="B60" s="1">
        <v>55</v>
      </c>
      <c r="C60" s="1" t="s">
        <v>175</v>
      </c>
      <c r="D60" s="1" t="s">
        <v>176</v>
      </c>
      <c r="E60" s="1" t="s">
        <v>392</v>
      </c>
      <c r="F60" s="5">
        <v>0</v>
      </c>
      <c r="G60" s="5">
        <v>2369.9903482459736</v>
      </c>
      <c r="H60" s="5">
        <v>0</v>
      </c>
      <c r="I60" s="5">
        <v>2581</v>
      </c>
      <c r="J60" s="1" t="s">
        <v>436</v>
      </c>
    </row>
    <row r="61" spans="1:10">
      <c r="A61" s="1" t="s">
        <v>3</v>
      </c>
      <c r="B61" s="1">
        <v>56</v>
      </c>
      <c r="C61" s="1" t="s">
        <v>177</v>
      </c>
      <c r="D61" s="1" t="s">
        <v>178</v>
      </c>
      <c r="E61" s="1" t="s">
        <v>390</v>
      </c>
      <c r="F61" s="5">
        <v>988</v>
      </c>
      <c r="G61" s="5">
        <v>744.18265732607142</v>
      </c>
      <c r="H61" s="5">
        <v>243.81734267392852</v>
      </c>
      <c r="I61" s="5">
        <v>3540.7470312834266</v>
      </c>
      <c r="J61" s="1" t="s">
        <v>436</v>
      </c>
    </row>
    <row r="62" spans="1:10">
      <c r="A62" s="1" t="s">
        <v>3</v>
      </c>
      <c r="B62" s="1">
        <v>57</v>
      </c>
      <c r="C62" s="1" t="s">
        <v>179</v>
      </c>
      <c r="D62" s="1" t="s">
        <v>180</v>
      </c>
      <c r="E62" s="1" t="s">
        <v>390</v>
      </c>
      <c r="F62" s="5">
        <v>0</v>
      </c>
      <c r="G62" s="5">
        <v>18.893563056216898</v>
      </c>
      <c r="H62" s="5">
        <v>0</v>
      </c>
      <c r="I62" s="5">
        <v>58.775092471631865</v>
      </c>
      <c r="J62" s="1" t="s">
        <v>436</v>
      </c>
    </row>
    <row r="63" spans="1:10">
      <c r="A63" s="1" t="s">
        <v>3</v>
      </c>
      <c r="B63" s="1">
        <v>58</v>
      </c>
      <c r="C63" s="1" t="s">
        <v>45</v>
      </c>
      <c r="D63" s="1" t="s">
        <v>325</v>
      </c>
      <c r="E63" s="1" t="s">
        <v>390</v>
      </c>
      <c r="F63" s="5">
        <v>1066</v>
      </c>
      <c r="G63" s="5">
        <v>53.037511278171259</v>
      </c>
      <c r="H63" s="5">
        <v>1012.9624887218289</v>
      </c>
      <c r="I63" s="5">
        <v>195.01515151515153</v>
      </c>
      <c r="J63" s="1" t="s">
        <v>442</v>
      </c>
    </row>
    <row r="64" spans="1:10">
      <c r="A64" s="1" t="s">
        <v>3</v>
      </c>
      <c r="B64" s="1">
        <v>59</v>
      </c>
      <c r="C64" s="1" t="s">
        <v>443</v>
      </c>
      <c r="D64" s="1" t="s">
        <v>444</v>
      </c>
      <c r="E64" s="1" t="s">
        <v>390</v>
      </c>
      <c r="F64" s="5">
        <v>0</v>
      </c>
      <c r="G64" s="5">
        <v>204.76716608845206</v>
      </c>
      <c r="H64" s="5">
        <v>0</v>
      </c>
      <c r="I64" s="5">
        <v>5892.4800000000005</v>
      </c>
      <c r="J64" s="1" t="s">
        <v>439</v>
      </c>
    </row>
    <row r="65" spans="1:10">
      <c r="A65" s="1" t="s">
        <v>3</v>
      </c>
      <c r="B65" s="1">
        <v>60</v>
      </c>
      <c r="C65" s="1" t="s">
        <v>181</v>
      </c>
      <c r="D65" s="1" t="s">
        <v>182</v>
      </c>
      <c r="E65" s="1" t="s">
        <v>390</v>
      </c>
      <c r="F65" s="5">
        <v>2120</v>
      </c>
      <c r="G65" s="5">
        <v>1416.1735126522915</v>
      </c>
      <c r="H65" s="5">
        <v>703.82648734770851</v>
      </c>
      <c r="I65" s="5">
        <v>4531.3969999999999</v>
      </c>
      <c r="J65" s="1" t="s">
        <v>436</v>
      </c>
    </row>
    <row r="66" spans="1:10">
      <c r="A66" s="1" t="s">
        <v>3</v>
      </c>
      <c r="B66" s="1">
        <v>61</v>
      </c>
      <c r="C66" s="1" t="s">
        <v>445</v>
      </c>
      <c r="D66" s="1" t="s">
        <v>446</v>
      </c>
      <c r="E66" s="1" t="s">
        <v>393</v>
      </c>
      <c r="F66" s="5">
        <v>0</v>
      </c>
      <c r="G66" s="5">
        <v>53.037511278171259</v>
      </c>
      <c r="H66" s="5">
        <v>0</v>
      </c>
      <c r="I66" s="5">
        <v>195.01515151515153</v>
      </c>
      <c r="J66" s="1" t="s">
        <v>439</v>
      </c>
    </row>
    <row r="67" spans="1:10">
      <c r="A67" s="1" t="s">
        <v>3</v>
      </c>
      <c r="B67" s="1">
        <v>62</v>
      </c>
      <c r="C67" s="1" t="s">
        <v>183</v>
      </c>
      <c r="D67" s="1" t="s">
        <v>184</v>
      </c>
      <c r="E67" s="1" t="s">
        <v>390</v>
      </c>
      <c r="F67" s="5">
        <v>6905</v>
      </c>
      <c r="G67" s="5">
        <v>33765.1709637924</v>
      </c>
      <c r="H67" s="5">
        <v>0</v>
      </c>
      <c r="I67" s="5">
        <v>259708.21032252465</v>
      </c>
      <c r="J67" s="1" t="s">
        <v>436</v>
      </c>
    </row>
    <row r="68" spans="1:10">
      <c r="A68" s="1" t="s">
        <v>3</v>
      </c>
      <c r="B68" s="1">
        <v>63</v>
      </c>
      <c r="C68" s="1" t="s">
        <v>185</v>
      </c>
      <c r="D68" s="1" t="s">
        <v>186</v>
      </c>
      <c r="E68" s="1" t="s">
        <v>390</v>
      </c>
      <c r="F68" s="5">
        <v>170</v>
      </c>
      <c r="G68" s="5">
        <v>27.946926186516521</v>
      </c>
      <c r="H68" s="5">
        <v>142.05307381348348</v>
      </c>
      <c r="I68" s="5">
        <v>155.72793868892711</v>
      </c>
      <c r="J68" s="1" t="s">
        <v>436</v>
      </c>
    </row>
    <row r="69" spans="1:10">
      <c r="A69" s="1" t="s">
        <v>3</v>
      </c>
      <c r="B69" s="1">
        <v>64</v>
      </c>
      <c r="C69" s="1" t="s">
        <v>187</v>
      </c>
      <c r="D69" s="1" t="s">
        <v>188</v>
      </c>
      <c r="E69" s="1" t="s">
        <v>390</v>
      </c>
      <c r="F69" s="5">
        <v>2480</v>
      </c>
      <c r="G69" s="5">
        <v>2832.9537428337344</v>
      </c>
      <c r="H69" s="5">
        <v>0</v>
      </c>
      <c r="I69" s="5">
        <v>11591.346126662327</v>
      </c>
      <c r="J69" s="1" t="s">
        <v>436</v>
      </c>
    </row>
    <row r="70" spans="1:10">
      <c r="A70" s="1" t="s">
        <v>3</v>
      </c>
      <c r="B70" s="1">
        <v>65</v>
      </c>
      <c r="C70" s="1" t="s">
        <v>189</v>
      </c>
      <c r="D70" s="1" t="s">
        <v>190</v>
      </c>
      <c r="E70" s="1" t="s">
        <v>390</v>
      </c>
      <c r="F70" s="5">
        <v>1939</v>
      </c>
      <c r="G70" s="5">
        <v>1674.1866282131159</v>
      </c>
      <c r="H70" s="5">
        <v>264.81337178688409</v>
      </c>
      <c r="I70" s="5">
        <v>5026.9056876226514</v>
      </c>
      <c r="J70" s="1" t="s">
        <v>436</v>
      </c>
    </row>
    <row r="71" spans="1:10">
      <c r="A71" s="1" t="s">
        <v>3</v>
      </c>
      <c r="B71" s="1">
        <v>66</v>
      </c>
      <c r="C71" s="1" t="s">
        <v>191</v>
      </c>
      <c r="D71" s="1" t="s">
        <v>192</v>
      </c>
      <c r="E71" s="1" t="s">
        <v>390</v>
      </c>
      <c r="F71" s="5">
        <v>0</v>
      </c>
      <c r="G71" s="5">
        <v>321.22849180125917</v>
      </c>
      <c r="H71" s="5">
        <v>0</v>
      </c>
      <c r="I71" s="5">
        <v>3125.1681159249165</v>
      </c>
      <c r="J71" s="1" t="s">
        <v>436</v>
      </c>
    </row>
    <row r="72" spans="1:10">
      <c r="A72" s="1" t="s">
        <v>3</v>
      </c>
      <c r="B72" s="1">
        <v>67</v>
      </c>
      <c r="C72" s="1" t="s">
        <v>193</v>
      </c>
      <c r="D72" s="1" t="s">
        <v>194</v>
      </c>
      <c r="E72" s="1" t="s">
        <v>390</v>
      </c>
      <c r="F72" s="5">
        <v>300</v>
      </c>
      <c r="G72" s="5">
        <v>788.73278789625965</v>
      </c>
      <c r="H72" s="5">
        <v>0</v>
      </c>
      <c r="I72" s="5">
        <v>1749</v>
      </c>
      <c r="J72" s="1" t="s">
        <v>436</v>
      </c>
    </row>
    <row r="73" spans="1:10">
      <c r="A73" s="1" t="s">
        <v>3</v>
      </c>
      <c r="B73" s="1">
        <v>68</v>
      </c>
      <c r="C73" s="1" t="s">
        <v>195</v>
      </c>
      <c r="D73" s="1" t="s">
        <v>196</v>
      </c>
      <c r="E73" s="1" t="s">
        <v>390</v>
      </c>
      <c r="F73" s="5">
        <v>8359</v>
      </c>
      <c r="G73" s="5">
        <v>11380.807411813879</v>
      </c>
      <c r="H73" s="5">
        <v>0</v>
      </c>
      <c r="I73" s="5">
        <v>44722.352323466461</v>
      </c>
      <c r="J73" s="1" t="s">
        <v>436</v>
      </c>
    </row>
    <row r="74" spans="1:10">
      <c r="A74" s="1" t="s">
        <v>3</v>
      </c>
      <c r="B74" s="1">
        <v>69</v>
      </c>
      <c r="C74" s="1" t="s">
        <v>197</v>
      </c>
      <c r="D74" s="1" t="s">
        <v>198</v>
      </c>
      <c r="E74" s="1" t="s">
        <v>390</v>
      </c>
      <c r="F74" s="5">
        <v>40709</v>
      </c>
      <c r="G74" s="5">
        <v>39235.664213281736</v>
      </c>
      <c r="H74" s="5">
        <v>1473.3357867182635</v>
      </c>
      <c r="I74" s="5">
        <v>228643.02538723106</v>
      </c>
      <c r="J74" s="1" t="s">
        <v>436</v>
      </c>
    </row>
    <row r="75" spans="1:10">
      <c r="A75" s="1" t="s">
        <v>3</v>
      </c>
      <c r="B75" s="1">
        <v>70</v>
      </c>
      <c r="C75" s="1" t="s">
        <v>199</v>
      </c>
      <c r="D75" s="1" t="s">
        <v>200</v>
      </c>
      <c r="E75" s="1" t="s">
        <v>390</v>
      </c>
      <c r="F75" s="5">
        <v>9652</v>
      </c>
      <c r="G75" s="5">
        <v>5897.095304158167</v>
      </c>
      <c r="H75" s="5">
        <v>3754.904695841833</v>
      </c>
      <c r="I75" s="5">
        <v>34760.636214632665</v>
      </c>
      <c r="J75" s="1" t="s">
        <v>436</v>
      </c>
    </row>
    <row r="76" spans="1:10">
      <c r="A76" s="1" t="s">
        <v>3</v>
      </c>
      <c r="B76" s="1">
        <v>71</v>
      </c>
      <c r="C76" s="1" t="s">
        <v>201</v>
      </c>
      <c r="D76" s="1" t="s">
        <v>202</v>
      </c>
      <c r="E76" s="1" t="s">
        <v>390</v>
      </c>
      <c r="F76" s="5">
        <v>19408</v>
      </c>
      <c r="G76" s="5">
        <v>26698.650374103083</v>
      </c>
      <c r="H76" s="5">
        <v>0</v>
      </c>
      <c r="I76" s="5">
        <v>247238.19095081807</v>
      </c>
      <c r="J76" s="1" t="s">
        <v>436</v>
      </c>
    </row>
    <row r="77" spans="1:10">
      <c r="A77" s="1" t="s">
        <v>3</v>
      </c>
      <c r="B77" s="1">
        <v>72</v>
      </c>
      <c r="C77" s="1" t="s">
        <v>203</v>
      </c>
      <c r="D77" s="1" t="s">
        <v>204</v>
      </c>
      <c r="E77" s="1" t="s">
        <v>390</v>
      </c>
      <c r="F77" s="5">
        <v>1240</v>
      </c>
      <c r="G77" s="5">
        <v>2666.7055558772545</v>
      </c>
      <c r="H77" s="5">
        <v>0</v>
      </c>
      <c r="I77" s="5">
        <v>11332.866422903393</v>
      </c>
      <c r="J77" s="1" t="s">
        <v>436</v>
      </c>
    </row>
    <row r="78" spans="1:10">
      <c r="A78" s="1" t="s">
        <v>3</v>
      </c>
      <c r="B78" s="1">
        <v>73</v>
      </c>
      <c r="C78" s="1" t="s">
        <v>205</v>
      </c>
      <c r="D78" s="1" t="s">
        <v>206</v>
      </c>
      <c r="E78" s="1" t="s">
        <v>390</v>
      </c>
      <c r="F78" s="5">
        <v>2431</v>
      </c>
      <c r="G78" s="5">
        <v>374.61015440515149</v>
      </c>
      <c r="H78" s="5">
        <v>2056.3898455948483</v>
      </c>
      <c r="I78" s="5">
        <v>668.88599999999997</v>
      </c>
      <c r="J78" s="1" t="s">
        <v>436</v>
      </c>
    </row>
    <row r="79" spans="1:10">
      <c r="A79" s="1" t="s">
        <v>3</v>
      </c>
      <c r="B79" s="1">
        <v>74</v>
      </c>
      <c r="C79" s="1" t="s">
        <v>207</v>
      </c>
      <c r="D79" s="1" t="s">
        <v>208</v>
      </c>
      <c r="E79" s="1" t="s">
        <v>390</v>
      </c>
      <c r="F79" s="5">
        <v>10000</v>
      </c>
      <c r="G79" s="5">
        <v>3098.2704310293984</v>
      </c>
      <c r="H79" s="5">
        <v>6901.7295689706016</v>
      </c>
      <c r="I79" s="5">
        <v>19446.523924715311</v>
      </c>
      <c r="J79" s="1" t="s">
        <v>436</v>
      </c>
    </row>
    <row r="80" spans="1:10">
      <c r="A80" s="1" t="s">
        <v>3</v>
      </c>
      <c r="B80" s="1">
        <v>75</v>
      </c>
      <c r="C80" s="1" t="s">
        <v>209</v>
      </c>
      <c r="D80" s="1" t="s">
        <v>210</v>
      </c>
      <c r="E80" s="1" t="s">
        <v>390</v>
      </c>
      <c r="F80" s="5">
        <v>275</v>
      </c>
      <c r="G80" s="5">
        <v>982.10903195303717</v>
      </c>
      <c r="H80" s="5">
        <v>0</v>
      </c>
      <c r="I80" s="5">
        <v>6312.5459297665448</v>
      </c>
      <c r="J80" s="1" t="s">
        <v>436</v>
      </c>
    </row>
    <row r="81" spans="1:10">
      <c r="A81" s="1" t="s">
        <v>3</v>
      </c>
      <c r="B81" s="1">
        <v>76</v>
      </c>
      <c r="C81" s="1" t="s">
        <v>211</v>
      </c>
      <c r="D81" s="1" t="s">
        <v>212</v>
      </c>
      <c r="E81" s="1" t="s">
        <v>390</v>
      </c>
      <c r="F81" s="5">
        <v>125</v>
      </c>
      <c r="G81" s="5">
        <v>343.26940203994673</v>
      </c>
      <c r="H81" s="5">
        <v>0</v>
      </c>
      <c r="I81" s="5">
        <v>934.30187737785423</v>
      </c>
      <c r="J81" s="1" t="s">
        <v>436</v>
      </c>
    </row>
    <row r="82" spans="1:10">
      <c r="A82" s="1" t="s">
        <v>3</v>
      </c>
      <c r="B82" s="1">
        <v>77</v>
      </c>
      <c r="C82" s="1" t="s">
        <v>213</v>
      </c>
      <c r="D82" s="1" t="s">
        <v>214</v>
      </c>
      <c r="E82" s="1" t="s">
        <v>390</v>
      </c>
      <c r="F82" s="5">
        <v>672</v>
      </c>
      <c r="G82" s="5">
        <v>255.20056069912641</v>
      </c>
      <c r="H82" s="5">
        <v>416.79943930087359</v>
      </c>
      <c r="I82" s="5">
        <v>336.4</v>
      </c>
      <c r="J82" s="1" t="s">
        <v>436</v>
      </c>
    </row>
    <row r="83" spans="1:10">
      <c r="A83" s="1" t="s">
        <v>3</v>
      </c>
      <c r="B83" s="1">
        <v>78</v>
      </c>
      <c r="C83" s="1" t="s">
        <v>215</v>
      </c>
      <c r="D83" s="1" t="s">
        <v>216</v>
      </c>
      <c r="E83" s="1" t="s">
        <v>390</v>
      </c>
      <c r="F83" s="5">
        <v>3140</v>
      </c>
      <c r="G83" s="5">
        <v>13889.366355741098</v>
      </c>
      <c r="H83" s="5">
        <v>0</v>
      </c>
      <c r="I83" s="5">
        <v>75335.776780478438</v>
      </c>
      <c r="J83" s="1" t="s">
        <v>436</v>
      </c>
    </row>
    <row r="84" spans="1:10">
      <c r="A84" s="1" t="s">
        <v>3</v>
      </c>
      <c r="B84" s="1">
        <v>79</v>
      </c>
      <c r="C84" s="1" t="s">
        <v>447</v>
      </c>
      <c r="D84" s="1" t="s">
        <v>448</v>
      </c>
      <c r="E84" s="1" t="s">
        <v>449</v>
      </c>
      <c r="F84" s="5">
        <v>0</v>
      </c>
      <c r="G84" s="5">
        <v>0.34601859084391223</v>
      </c>
      <c r="H84" s="5">
        <v>0</v>
      </c>
      <c r="I84" s="5">
        <v>1.5227499999999998</v>
      </c>
      <c r="J84" s="1" t="s">
        <v>450</v>
      </c>
    </row>
    <row r="85" spans="1:10">
      <c r="A85" s="1" t="s">
        <v>3</v>
      </c>
      <c r="B85" s="1">
        <v>80</v>
      </c>
      <c r="C85" s="1" t="s">
        <v>447</v>
      </c>
      <c r="D85" s="1" t="s">
        <v>448</v>
      </c>
      <c r="E85" s="1" t="s">
        <v>390</v>
      </c>
      <c r="F85" s="5">
        <v>0</v>
      </c>
      <c r="G85" s="5">
        <v>0</v>
      </c>
      <c r="H85" s="5">
        <v>0</v>
      </c>
      <c r="I85" s="5">
        <v>0.24382000000000001</v>
      </c>
      <c r="J85" s="1" t="s">
        <v>450</v>
      </c>
    </row>
    <row r="86" spans="1:10">
      <c r="A86" s="1" t="s">
        <v>3</v>
      </c>
      <c r="B86" s="1">
        <v>81</v>
      </c>
      <c r="C86" s="1" t="s">
        <v>217</v>
      </c>
      <c r="D86" s="1" t="s">
        <v>218</v>
      </c>
      <c r="E86" s="1" t="s">
        <v>390</v>
      </c>
      <c r="F86" s="5">
        <v>0</v>
      </c>
      <c r="G86" s="5">
        <v>277.85766842835795</v>
      </c>
      <c r="H86" s="5">
        <v>0</v>
      </c>
      <c r="I86" s="5">
        <v>5477.947176198255</v>
      </c>
      <c r="J86" s="1" t="s">
        <v>436</v>
      </c>
    </row>
    <row r="87" spans="1:10">
      <c r="A87" s="1" t="s">
        <v>3</v>
      </c>
      <c r="B87" s="1">
        <v>82</v>
      </c>
      <c r="C87" s="1" t="s">
        <v>219</v>
      </c>
      <c r="D87" s="1" t="s">
        <v>220</v>
      </c>
      <c r="E87" s="1" t="s">
        <v>390</v>
      </c>
      <c r="F87" s="5">
        <v>800</v>
      </c>
      <c r="G87" s="5">
        <v>8562.4717694481242</v>
      </c>
      <c r="H87" s="5">
        <v>0</v>
      </c>
      <c r="I87" s="5">
        <v>34267.435367394828</v>
      </c>
      <c r="J87" s="1" t="s">
        <v>436</v>
      </c>
    </row>
    <row r="88" spans="1:10">
      <c r="A88" s="1" t="s">
        <v>3</v>
      </c>
      <c r="B88" s="1">
        <v>83</v>
      </c>
      <c r="C88" s="1" t="s">
        <v>221</v>
      </c>
      <c r="D88" s="1" t="s">
        <v>222</v>
      </c>
      <c r="E88" s="1" t="s">
        <v>390</v>
      </c>
      <c r="F88" s="5">
        <v>0</v>
      </c>
      <c r="G88" s="5">
        <v>416.43574407099646</v>
      </c>
      <c r="H88" s="5">
        <v>0</v>
      </c>
      <c r="I88" s="5">
        <v>1611.029</v>
      </c>
      <c r="J88" s="1" t="s">
        <v>436</v>
      </c>
    </row>
    <row r="89" spans="1:10">
      <c r="A89" s="1" t="s">
        <v>3</v>
      </c>
      <c r="B89" s="1">
        <v>84</v>
      </c>
      <c r="C89" s="1" t="s">
        <v>223</v>
      </c>
      <c r="D89" s="1" t="s">
        <v>224</v>
      </c>
      <c r="E89" s="1" t="s">
        <v>390</v>
      </c>
      <c r="F89" s="5">
        <v>225</v>
      </c>
      <c r="G89" s="5">
        <v>523.16494141776639</v>
      </c>
      <c r="H89" s="5">
        <v>0</v>
      </c>
      <c r="I89" s="5">
        <v>2079.4540000000002</v>
      </c>
      <c r="J89" s="1" t="s">
        <v>436</v>
      </c>
    </row>
    <row r="90" spans="1:10">
      <c r="A90" s="1" t="s">
        <v>3</v>
      </c>
      <c r="B90" s="1">
        <v>85</v>
      </c>
      <c r="C90" s="1" t="s">
        <v>225</v>
      </c>
      <c r="D90" s="1" t="s">
        <v>226</v>
      </c>
      <c r="E90" s="1" t="s">
        <v>390</v>
      </c>
      <c r="F90" s="5">
        <v>3500</v>
      </c>
      <c r="G90" s="5">
        <v>4110.7766989168194</v>
      </c>
      <c r="H90" s="5">
        <v>0</v>
      </c>
      <c r="I90" s="5">
        <v>20105.931199723524</v>
      </c>
      <c r="J90" s="1" t="s">
        <v>436</v>
      </c>
    </row>
    <row r="91" spans="1:10">
      <c r="A91" s="1" t="s">
        <v>3</v>
      </c>
      <c r="B91" s="1">
        <v>86</v>
      </c>
      <c r="C91" s="1" t="s">
        <v>227</v>
      </c>
      <c r="D91" s="1" t="s">
        <v>228</v>
      </c>
      <c r="E91" s="1" t="s">
        <v>390</v>
      </c>
      <c r="F91" s="5">
        <v>9500</v>
      </c>
      <c r="G91" s="5">
        <v>5608.7433184677766</v>
      </c>
      <c r="H91" s="5">
        <v>3891.2566815322234</v>
      </c>
      <c r="I91" s="5">
        <v>32520.99834005487</v>
      </c>
      <c r="J91" s="1" t="s">
        <v>436</v>
      </c>
    </row>
    <row r="92" spans="1:10">
      <c r="A92" s="1" t="s">
        <v>3</v>
      </c>
      <c r="B92" s="1">
        <v>87</v>
      </c>
      <c r="C92" s="1" t="s">
        <v>229</v>
      </c>
      <c r="D92" s="1" t="s">
        <v>230</v>
      </c>
      <c r="E92" s="1" t="s">
        <v>390</v>
      </c>
      <c r="F92" s="5">
        <v>1750</v>
      </c>
      <c r="G92" s="5">
        <v>39.417679472027025</v>
      </c>
      <c r="H92" s="5">
        <v>1710.582320527973</v>
      </c>
      <c r="I92" s="5">
        <v>3754.8612733689874</v>
      </c>
      <c r="J92" s="1" t="s">
        <v>436</v>
      </c>
    </row>
    <row r="93" spans="1:10">
      <c r="A93" s="1" t="s">
        <v>3</v>
      </c>
      <c r="B93" s="1">
        <v>88</v>
      </c>
      <c r="C93" s="1" t="s">
        <v>231</v>
      </c>
      <c r="D93" s="1" t="s">
        <v>232</v>
      </c>
      <c r="E93" s="1" t="s">
        <v>390</v>
      </c>
      <c r="F93" s="5">
        <v>1450</v>
      </c>
      <c r="G93" s="5">
        <v>4873.0793544494409</v>
      </c>
      <c r="H93" s="5">
        <v>0</v>
      </c>
      <c r="I93" s="5">
        <v>32643.63666509464</v>
      </c>
      <c r="J93" s="1" t="s">
        <v>436</v>
      </c>
    </row>
    <row r="94" spans="1:10">
      <c r="A94" s="1" t="s">
        <v>3</v>
      </c>
      <c r="B94" s="1">
        <v>89</v>
      </c>
      <c r="C94" s="1" t="s">
        <v>233</v>
      </c>
      <c r="D94" s="1" t="s">
        <v>234</v>
      </c>
      <c r="E94" s="1" t="s">
        <v>390</v>
      </c>
      <c r="F94" s="5">
        <v>0</v>
      </c>
      <c r="G94" s="5">
        <v>0</v>
      </c>
      <c r="H94" s="5">
        <v>0</v>
      </c>
      <c r="I94" s="5">
        <v>102708</v>
      </c>
      <c r="J94" s="1" t="s">
        <v>436</v>
      </c>
    </row>
    <row r="95" spans="1:10">
      <c r="A95" s="1" t="s">
        <v>3</v>
      </c>
      <c r="B95" s="1">
        <v>90</v>
      </c>
      <c r="C95" s="1" t="s">
        <v>235</v>
      </c>
      <c r="D95" s="1" t="s">
        <v>236</v>
      </c>
      <c r="E95" s="1" t="s">
        <v>390</v>
      </c>
      <c r="F95" s="5">
        <v>3600</v>
      </c>
      <c r="G95" s="5">
        <v>2655.7163846305079</v>
      </c>
      <c r="H95" s="5">
        <v>944.28361536949205</v>
      </c>
      <c r="I95" s="5">
        <v>6578.1149999999998</v>
      </c>
      <c r="J95" s="1" t="s">
        <v>436</v>
      </c>
    </row>
    <row r="96" spans="1:10">
      <c r="A96" s="1" t="s">
        <v>3</v>
      </c>
      <c r="B96" s="1">
        <v>91</v>
      </c>
      <c r="C96" s="1" t="s">
        <v>237</v>
      </c>
      <c r="D96" s="1" t="s">
        <v>238</v>
      </c>
      <c r="E96" s="1" t="s">
        <v>392</v>
      </c>
      <c r="F96" s="5">
        <v>19959</v>
      </c>
      <c r="G96" s="5">
        <v>15261.524407645764</v>
      </c>
      <c r="H96" s="5">
        <v>4697.4755923542361</v>
      </c>
      <c r="I96" s="5">
        <v>80265.271578857006</v>
      </c>
      <c r="J96" s="1" t="s">
        <v>436</v>
      </c>
    </row>
    <row r="97" spans="1:10">
      <c r="A97" s="1" t="s">
        <v>3</v>
      </c>
      <c r="B97" s="1">
        <v>92</v>
      </c>
      <c r="C97" s="1" t="s">
        <v>239</v>
      </c>
      <c r="D97" s="1" t="s">
        <v>240</v>
      </c>
      <c r="E97" s="1" t="s">
        <v>390</v>
      </c>
      <c r="F97" s="5">
        <v>1100</v>
      </c>
      <c r="G97" s="5">
        <v>5782.738529874604</v>
      </c>
      <c r="H97" s="5">
        <v>0</v>
      </c>
      <c r="I97" s="5">
        <v>13984.305999999997</v>
      </c>
      <c r="J97" s="1" t="s">
        <v>436</v>
      </c>
    </row>
    <row r="98" spans="1:10">
      <c r="A98" s="1" t="s">
        <v>3</v>
      </c>
      <c r="B98" s="1">
        <v>93</v>
      </c>
      <c r="C98" s="1" t="s">
        <v>241</v>
      </c>
      <c r="D98" s="1" t="s">
        <v>242</v>
      </c>
      <c r="E98" s="1" t="s">
        <v>390</v>
      </c>
      <c r="F98" s="5">
        <v>2391</v>
      </c>
      <c r="G98" s="5">
        <v>1072.1267537781205</v>
      </c>
      <c r="H98" s="5">
        <v>1318.8732462218795</v>
      </c>
      <c r="I98" s="5">
        <v>1385.6890000000001</v>
      </c>
      <c r="J98" s="1" t="s">
        <v>436</v>
      </c>
    </row>
    <row r="99" spans="1:10">
      <c r="A99" s="1" t="s">
        <v>3</v>
      </c>
      <c r="B99" s="1">
        <v>94</v>
      </c>
      <c r="C99" s="1" t="s">
        <v>243</v>
      </c>
      <c r="D99" s="1" t="s">
        <v>244</v>
      </c>
      <c r="E99" s="1" t="s">
        <v>392</v>
      </c>
      <c r="F99" s="5">
        <v>1000</v>
      </c>
      <c r="G99" s="5">
        <v>330.00875137961771</v>
      </c>
      <c r="H99" s="5">
        <v>669.99124862038241</v>
      </c>
      <c r="I99" s="5">
        <v>2051.4761870153347</v>
      </c>
      <c r="J99" s="1" t="s">
        <v>436</v>
      </c>
    </row>
    <row r="100" spans="1:10">
      <c r="A100" s="1" t="s">
        <v>3</v>
      </c>
      <c r="B100" s="1">
        <v>95</v>
      </c>
      <c r="C100" s="1" t="s">
        <v>245</v>
      </c>
      <c r="D100" s="1" t="s">
        <v>246</v>
      </c>
      <c r="E100" s="1" t="s">
        <v>390</v>
      </c>
      <c r="F100" s="5">
        <v>450</v>
      </c>
      <c r="G100" s="5">
        <v>786.83679561766303</v>
      </c>
      <c r="H100" s="5">
        <v>0</v>
      </c>
      <c r="I100" s="5">
        <v>4914.0595946263311</v>
      </c>
      <c r="J100" s="1" t="s">
        <v>436</v>
      </c>
    </row>
    <row r="101" spans="1:10">
      <c r="A101" s="1" t="s">
        <v>3</v>
      </c>
      <c r="B101" s="1">
        <v>96</v>
      </c>
      <c r="C101" s="1" t="s">
        <v>247</v>
      </c>
      <c r="D101" s="1" t="s">
        <v>248</v>
      </c>
      <c r="E101" s="1" t="s">
        <v>390</v>
      </c>
      <c r="F101" s="5">
        <v>516</v>
      </c>
      <c r="G101" s="5">
        <v>375.80652553294613</v>
      </c>
      <c r="H101" s="5">
        <v>140.19347446705387</v>
      </c>
      <c r="I101" s="5">
        <v>1667.188603673203</v>
      </c>
      <c r="J101" s="1" t="s">
        <v>436</v>
      </c>
    </row>
    <row r="102" spans="1:10">
      <c r="A102" s="1" t="s">
        <v>3</v>
      </c>
      <c r="B102" s="1">
        <v>97</v>
      </c>
      <c r="C102" s="1" t="s">
        <v>249</v>
      </c>
      <c r="D102" s="1" t="s">
        <v>250</v>
      </c>
      <c r="E102" s="1" t="s">
        <v>390</v>
      </c>
      <c r="F102" s="5">
        <v>1747</v>
      </c>
      <c r="G102" s="5">
        <v>1493.5299976190404</v>
      </c>
      <c r="H102" s="5">
        <v>253.47000238095961</v>
      </c>
      <c r="I102" s="5">
        <v>2156.3270000000002</v>
      </c>
      <c r="J102" s="1" t="s">
        <v>436</v>
      </c>
    </row>
    <row r="103" spans="1:10">
      <c r="A103" s="1" t="s">
        <v>3</v>
      </c>
      <c r="B103" s="1">
        <v>98</v>
      </c>
      <c r="C103" s="1" t="s">
        <v>251</v>
      </c>
      <c r="D103" s="1" t="s">
        <v>252</v>
      </c>
      <c r="E103" s="1" t="s">
        <v>390</v>
      </c>
      <c r="F103" s="5">
        <v>7094</v>
      </c>
      <c r="G103" s="5">
        <v>9285.8345355629262</v>
      </c>
      <c r="H103" s="5">
        <v>0</v>
      </c>
      <c r="I103" s="5">
        <v>47110.222564309697</v>
      </c>
      <c r="J103" s="1" t="s">
        <v>436</v>
      </c>
    </row>
    <row r="104" spans="1:10">
      <c r="A104" s="1" t="s">
        <v>3</v>
      </c>
      <c r="B104" s="1">
        <v>99</v>
      </c>
      <c r="C104" s="1" t="s">
        <v>451</v>
      </c>
      <c r="D104" s="1" t="s">
        <v>452</v>
      </c>
      <c r="E104" s="1" t="s">
        <v>390</v>
      </c>
      <c r="F104" s="5">
        <v>0</v>
      </c>
      <c r="G104" s="5">
        <v>7.3488660718411147E-2</v>
      </c>
      <c r="H104" s="5">
        <v>0</v>
      </c>
      <c r="I104" s="5">
        <v>1.2073941915534259</v>
      </c>
      <c r="J104" s="1" t="s">
        <v>450</v>
      </c>
    </row>
    <row r="105" spans="1:10">
      <c r="A105" s="1" t="s">
        <v>3</v>
      </c>
      <c r="B105" s="1">
        <v>100</v>
      </c>
      <c r="C105" s="1" t="s">
        <v>253</v>
      </c>
      <c r="D105" s="1" t="s">
        <v>254</v>
      </c>
      <c r="E105" s="1" t="s">
        <v>390</v>
      </c>
      <c r="F105" s="5">
        <v>158</v>
      </c>
      <c r="G105" s="5">
        <v>3404.6037571966895</v>
      </c>
      <c r="H105" s="5">
        <v>0</v>
      </c>
      <c r="I105" s="5">
        <v>10197.889867214013</v>
      </c>
      <c r="J105" s="1" t="s">
        <v>436</v>
      </c>
    </row>
    <row r="106" spans="1:10">
      <c r="A106" s="1" t="s">
        <v>3</v>
      </c>
      <c r="B106" s="1">
        <v>101</v>
      </c>
      <c r="C106" s="1" t="s">
        <v>255</v>
      </c>
      <c r="D106" s="1" t="s">
        <v>256</v>
      </c>
      <c r="E106" s="1" t="s">
        <v>390</v>
      </c>
      <c r="F106" s="5"/>
      <c r="G106" s="5">
        <v>1993.0670832609339</v>
      </c>
      <c r="H106" s="5">
        <v>0</v>
      </c>
      <c r="I106" s="5">
        <v>15005.52</v>
      </c>
      <c r="J106" s="1" t="s">
        <v>436</v>
      </c>
    </row>
    <row r="107" spans="1:10">
      <c r="A107" s="1" t="s">
        <v>4</v>
      </c>
      <c r="B107" s="1">
        <v>2</v>
      </c>
      <c r="C107" s="1" t="s">
        <v>257</v>
      </c>
      <c r="D107" s="1" t="s">
        <v>258</v>
      </c>
      <c r="E107" s="1" t="s">
        <v>393</v>
      </c>
      <c r="F107" s="5">
        <v>61</v>
      </c>
      <c r="G107" s="5">
        <v>115.65552899440351</v>
      </c>
      <c r="H107" s="5">
        <v>0</v>
      </c>
      <c r="I107" s="5">
        <v>519.54389190035488</v>
      </c>
      <c r="J107" s="1" t="s">
        <v>436</v>
      </c>
    </row>
    <row r="108" spans="1:10">
      <c r="A108" s="1" t="s">
        <v>4</v>
      </c>
      <c r="B108" s="1">
        <v>3</v>
      </c>
      <c r="C108" s="1" t="s">
        <v>259</v>
      </c>
      <c r="D108" s="1" t="s">
        <v>260</v>
      </c>
      <c r="E108" s="1" t="s">
        <v>393</v>
      </c>
      <c r="F108" s="5">
        <v>0</v>
      </c>
      <c r="G108" s="5">
        <v>115.65552899440351</v>
      </c>
      <c r="H108" s="5">
        <v>0</v>
      </c>
      <c r="I108" s="5">
        <v>519.54389190035488</v>
      </c>
      <c r="J108" s="1" t="s">
        <v>436</v>
      </c>
    </row>
    <row r="109" spans="1:10">
      <c r="A109" s="1" t="s">
        <v>4</v>
      </c>
      <c r="B109" s="1">
        <v>4</v>
      </c>
      <c r="C109" s="1" t="s">
        <v>261</v>
      </c>
      <c r="D109" s="1" t="s">
        <v>262</v>
      </c>
      <c r="E109" s="1" t="s">
        <v>394</v>
      </c>
      <c r="F109" s="5">
        <v>0</v>
      </c>
      <c r="G109" s="5">
        <v>100.48759076562928</v>
      </c>
      <c r="H109" s="5">
        <v>0</v>
      </c>
      <c r="I109" s="5">
        <v>477.94389190035486</v>
      </c>
      <c r="J109" s="1" t="s">
        <v>436</v>
      </c>
    </row>
    <row r="110" spans="1:10">
      <c r="A110" s="1" t="s">
        <v>4</v>
      </c>
      <c r="B110" s="1">
        <v>5</v>
      </c>
      <c r="C110" s="1" t="s">
        <v>263</v>
      </c>
      <c r="D110" s="1" t="s">
        <v>264</v>
      </c>
      <c r="E110" s="1" t="s">
        <v>393</v>
      </c>
      <c r="F110" s="5">
        <v>34148</v>
      </c>
      <c r="G110" s="5">
        <v>18504.884639104563</v>
      </c>
      <c r="H110" s="5">
        <v>15643.115360895437</v>
      </c>
      <c r="I110" s="5">
        <v>112426.85249093536</v>
      </c>
      <c r="J110" s="1" t="s">
        <v>436</v>
      </c>
    </row>
    <row r="111" spans="1:10">
      <c r="A111" s="1" t="s">
        <v>4</v>
      </c>
      <c r="B111" s="1">
        <v>6</v>
      </c>
      <c r="C111" s="1" t="s">
        <v>265</v>
      </c>
      <c r="D111" s="1" t="s">
        <v>266</v>
      </c>
      <c r="E111" s="1" t="s">
        <v>393</v>
      </c>
      <c r="F111" s="5">
        <v>33753</v>
      </c>
      <c r="G111" s="5">
        <v>15547.136684493586</v>
      </c>
      <c r="H111" s="5">
        <v>18205.863315506416</v>
      </c>
      <c r="I111" s="5">
        <v>97726.158378505323</v>
      </c>
      <c r="J111" s="1" t="s">
        <v>436</v>
      </c>
    </row>
    <row r="112" spans="1:10">
      <c r="A112" s="1" t="s">
        <v>4</v>
      </c>
      <c r="B112" s="1">
        <v>7</v>
      </c>
      <c r="C112" s="1" t="s">
        <v>453</v>
      </c>
      <c r="D112" s="1" t="s">
        <v>454</v>
      </c>
      <c r="E112" s="1" t="s">
        <v>393</v>
      </c>
      <c r="F112" s="5">
        <v>0</v>
      </c>
      <c r="G112" s="5">
        <v>0</v>
      </c>
      <c r="H112" s="5">
        <v>0</v>
      </c>
      <c r="I112" s="5">
        <v>13.846153846153847</v>
      </c>
      <c r="J112" s="1" t="s">
        <v>439</v>
      </c>
    </row>
    <row r="113" spans="1:10">
      <c r="A113" s="1" t="s">
        <v>4</v>
      </c>
      <c r="B113" s="1">
        <v>8</v>
      </c>
      <c r="C113" s="1" t="s">
        <v>267</v>
      </c>
      <c r="D113" s="1" t="s">
        <v>268</v>
      </c>
      <c r="E113" s="1" t="s">
        <v>393</v>
      </c>
      <c r="F113" s="5">
        <v>61</v>
      </c>
      <c r="G113" s="5">
        <v>105.70156953177042</v>
      </c>
      <c r="H113" s="5">
        <v>0</v>
      </c>
      <c r="I113" s="5">
        <v>408</v>
      </c>
      <c r="J113" s="1" t="s">
        <v>436</v>
      </c>
    </row>
    <row r="114" spans="1:10">
      <c r="A114" s="1" t="s">
        <v>4</v>
      </c>
      <c r="B114" s="1">
        <v>9</v>
      </c>
      <c r="C114" s="1" t="s">
        <v>269</v>
      </c>
      <c r="D114" s="1" t="s">
        <v>270</v>
      </c>
      <c r="E114" s="1" t="s">
        <v>393</v>
      </c>
      <c r="F114" s="5">
        <v>0</v>
      </c>
      <c r="G114" s="5">
        <v>20.855915064564567</v>
      </c>
      <c r="H114" s="5">
        <v>0</v>
      </c>
      <c r="I114" s="5">
        <v>127</v>
      </c>
      <c r="J114" s="1" t="s">
        <v>436</v>
      </c>
    </row>
    <row r="115" spans="1:10">
      <c r="A115" s="1" t="s">
        <v>4</v>
      </c>
      <c r="B115" s="1">
        <v>10</v>
      </c>
      <c r="C115" s="1" t="s">
        <v>271</v>
      </c>
      <c r="D115" s="1" t="s">
        <v>272</v>
      </c>
      <c r="E115" s="1" t="s">
        <v>393</v>
      </c>
      <c r="F115" s="5">
        <v>0</v>
      </c>
      <c r="G115" s="5">
        <v>14.584555989205986</v>
      </c>
      <c r="H115" s="5">
        <v>0</v>
      </c>
      <c r="I115" s="5">
        <v>126.92307692307691</v>
      </c>
      <c r="J115" s="1" t="s">
        <v>436</v>
      </c>
    </row>
    <row r="116" spans="1:10">
      <c r="A116" s="1" t="s">
        <v>4</v>
      </c>
      <c r="B116" s="1">
        <v>11</v>
      </c>
      <c r="C116" s="1" t="s">
        <v>273</v>
      </c>
      <c r="D116" s="1" t="s">
        <v>274</v>
      </c>
      <c r="E116" s="1" t="s">
        <v>393</v>
      </c>
      <c r="F116" s="5">
        <v>8697</v>
      </c>
      <c r="G116" s="5">
        <v>7709.7366022007009</v>
      </c>
      <c r="H116" s="5">
        <v>987.26339779929913</v>
      </c>
      <c r="I116" s="5">
        <v>29197.968194348075</v>
      </c>
      <c r="J116" s="1" t="s">
        <v>436</v>
      </c>
    </row>
    <row r="117" spans="1:10">
      <c r="A117" s="1" t="s">
        <v>4</v>
      </c>
      <c r="B117" s="1">
        <v>12</v>
      </c>
      <c r="C117" s="1" t="s">
        <v>275</v>
      </c>
      <c r="D117" s="1" t="s">
        <v>276</v>
      </c>
      <c r="E117" s="1" t="s">
        <v>393</v>
      </c>
      <c r="F117" s="5">
        <v>9158</v>
      </c>
      <c r="G117" s="5">
        <v>6396.1299518462311</v>
      </c>
      <c r="H117" s="5">
        <v>2761.8700481537685</v>
      </c>
      <c r="I117" s="5">
        <v>50136.490834302967</v>
      </c>
      <c r="J117" s="1" t="s">
        <v>436</v>
      </c>
    </row>
    <row r="118" spans="1:10">
      <c r="A118" s="1" t="s">
        <v>4</v>
      </c>
      <c r="B118" s="1">
        <v>13</v>
      </c>
      <c r="C118" s="1" t="s">
        <v>277</v>
      </c>
      <c r="D118" s="1" t="s">
        <v>278</v>
      </c>
      <c r="E118" s="1" t="s">
        <v>393</v>
      </c>
      <c r="F118" s="5">
        <v>10392</v>
      </c>
      <c r="G118" s="5">
        <v>5023.1202594704655</v>
      </c>
      <c r="H118" s="5">
        <v>5368.8797405295345</v>
      </c>
      <c r="I118" s="5">
        <v>30465.830208150641</v>
      </c>
      <c r="J118" s="1" t="s">
        <v>436</v>
      </c>
    </row>
    <row r="119" spans="1:10">
      <c r="A119" s="1" t="s">
        <v>4</v>
      </c>
      <c r="B119" s="1">
        <v>14</v>
      </c>
      <c r="C119" s="1" t="s">
        <v>279</v>
      </c>
      <c r="D119" s="1" t="s">
        <v>280</v>
      </c>
      <c r="E119" s="1" t="s">
        <v>393</v>
      </c>
      <c r="F119" s="5">
        <v>0</v>
      </c>
      <c r="G119" s="5">
        <v>2205.857555424579</v>
      </c>
      <c r="H119" s="5">
        <v>0</v>
      </c>
      <c r="I119" s="5">
        <v>13308.550497492131</v>
      </c>
      <c r="J119" s="1" t="s">
        <v>436</v>
      </c>
    </row>
    <row r="120" spans="1:10">
      <c r="A120" s="1" t="s">
        <v>4</v>
      </c>
      <c r="B120" s="1">
        <v>15</v>
      </c>
      <c r="C120" s="1" t="s">
        <v>281</v>
      </c>
      <c r="D120" s="1" t="s">
        <v>282</v>
      </c>
      <c r="E120" s="1" t="s">
        <v>393</v>
      </c>
      <c r="F120" s="5">
        <v>9350</v>
      </c>
      <c r="G120" s="5">
        <v>5906.0159478289661</v>
      </c>
      <c r="H120" s="5">
        <v>3443.9840521710339</v>
      </c>
      <c r="I120" s="5">
        <v>96491.962703273952</v>
      </c>
      <c r="J120" s="1" t="s">
        <v>436</v>
      </c>
    </row>
    <row r="121" spans="1:10">
      <c r="A121" s="1" t="s">
        <v>4</v>
      </c>
      <c r="B121" s="1">
        <v>16</v>
      </c>
      <c r="C121" s="1" t="s">
        <v>283</v>
      </c>
      <c r="D121" s="1" t="s">
        <v>284</v>
      </c>
      <c r="E121" s="1" t="s">
        <v>393</v>
      </c>
      <c r="F121" s="5">
        <v>11479</v>
      </c>
      <c r="G121" s="5">
        <v>5213.9787661411401</v>
      </c>
      <c r="H121" s="5">
        <v>6265.0212338588608</v>
      </c>
      <c r="I121" s="5">
        <v>15326</v>
      </c>
      <c r="J121" s="1" t="s">
        <v>436</v>
      </c>
    </row>
    <row r="122" spans="1:10">
      <c r="A122" s="1" t="s">
        <v>4</v>
      </c>
      <c r="B122" s="1">
        <v>17</v>
      </c>
      <c r="C122" s="1" t="s">
        <v>285</v>
      </c>
      <c r="D122" s="1" t="s">
        <v>286</v>
      </c>
      <c r="E122" s="1" t="s">
        <v>393</v>
      </c>
      <c r="F122" s="5">
        <v>0</v>
      </c>
      <c r="G122" s="5">
        <v>231.31105798880702</v>
      </c>
      <c r="H122" s="5">
        <v>0</v>
      </c>
      <c r="I122" s="5">
        <v>1039.0877838007098</v>
      </c>
      <c r="J122" s="1" t="s">
        <v>436</v>
      </c>
    </row>
    <row r="123" spans="1:10">
      <c r="A123" s="1" t="s">
        <v>4</v>
      </c>
      <c r="B123" s="1">
        <v>18</v>
      </c>
      <c r="C123" s="1" t="s">
        <v>455</v>
      </c>
      <c r="D123" s="1" t="s">
        <v>456</v>
      </c>
      <c r="E123" s="1" t="s">
        <v>393</v>
      </c>
      <c r="F123" s="5">
        <v>0</v>
      </c>
      <c r="G123" s="5">
        <v>0</v>
      </c>
      <c r="H123" s="5">
        <v>0</v>
      </c>
      <c r="I123" s="5">
        <v>13.846153846153847</v>
      </c>
      <c r="J123" s="1" t="s">
        <v>450</v>
      </c>
    </row>
    <row r="124" spans="1:10">
      <c r="A124" s="1" t="s">
        <v>4</v>
      </c>
      <c r="B124" s="1">
        <v>19</v>
      </c>
      <c r="C124" s="1" t="s">
        <v>287</v>
      </c>
      <c r="D124" s="1" t="s">
        <v>288</v>
      </c>
      <c r="E124" s="1" t="s">
        <v>390</v>
      </c>
      <c r="F124" s="5">
        <v>0</v>
      </c>
      <c r="G124" s="5">
        <v>361.1194892131598</v>
      </c>
      <c r="H124" s="5">
        <v>0</v>
      </c>
      <c r="I124" s="5">
        <v>2182.3504951714208</v>
      </c>
      <c r="J124" s="1" t="s">
        <v>436</v>
      </c>
    </row>
    <row r="125" spans="1:10">
      <c r="A125" s="1" t="s">
        <v>4</v>
      </c>
      <c r="B125" s="1">
        <v>20</v>
      </c>
      <c r="C125" s="1" t="s">
        <v>289</v>
      </c>
      <c r="D125" s="1" t="s">
        <v>290</v>
      </c>
      <c r="E125" s="1" t="s">
        <v>393</v>
      </c>
      <c r="F125" s="5">
        <v>25956</v>
      </c>
      <c r="G125" s="5">
        <v>11271.674096257851</v>
      </c>
      <c r="H125" s="5">
        <v>14684.32590374215</v>
      </c>
      <c r="I125" s="5">
        <v>25040.429382287744</v>
      </c>
      <c r="J125" s="1" t="s">
        <v>436</v>
      </c>
    </row>
    <row r="126" spans="1:10">
      <c r="A126" s="1" t="s">
        <v>4</v>
      </c>
      <c r="B126" s="1">
        <v>21</v>
      </c>
      <c r="C126" s="1" t="s">
        <v>291</v>
      </c>
      <c r="D126" s="1" t="s">
        <v>292</v>
      </c>
      <c r="E126" s="1" t="s">
        <v>393</v>
      </c>
      <c r="F126" s="5">
        <v>32902</v>
      </c>
      <c r="G126" s="5">
        <v>31924.717987012558</v>
      </c>
      <c r="H126" s="5">
        <v>977.2820129874417</v>
      </c>
      <c r="I126" s="5">
        <v>115734.5343321769</v>
      </c>
      <c r="J126" s="1" t="s">
        <v>436</v>
      </c>
    </row>
    <row r="127" spans="1:10">
      <c r="A127" s="1" t="s">
        <v>4</v>
      </c>
      <c r="B127" s="1">
        <v>22</v>
      </c>
      <c r="C127" s="1" t="s">
        <v>293</v>
      </c>
      <c r="D127" s="1" t="s">
        <v>294</v>
      </c>
      <c r="E127" s="1" t="s">
        <v>393</v>
      </c>
      <c r="F127" s="5">
        <v>29784</v>
      </c>
      <c r="G127" s="5">
        <v>46429.058918277908</v>
      </c>
      <c r="H127" s="5">
        <v>0</v>
      </c>
      <c r="I127" s="5">
        <v>175402</v>
      </c>
      <c r="J127" s="1" t="s">
        <v>436</v>
      </c>
    </row>
    <row r="128" spans="1:10">
      <c r="A128" s="1" t="s">
        <v>4</v>
      </c>
      <c r="B128" s="1">
        <v>23</v>
      </c>
      <c r="C128" s="1" t="s">
        <v>295</v>
      </c>
      <c r="D128" s="1" t="s">
        <v>296</v>
      </c>
      <c r="E128" s="1" t="s">
        <v>393</v>
      </c>
      <c r="F128" s="5">
        <v>2676</v>
      </c>
      <c r="G128" s="5">
        <v>8294.9662188609054</v>
      </c>
      <c r="H128" s="5">
        <v>0</v>
      </c>
      <c r="I128" s="5">
        <v>57368.500919160113</v>
      </c>
      <c r="J128" s="1" t="s">
        <v>436</v>
      </c>
    </row>
    <row r="129" spans="1:10">
      <c r="A129" s="1" t="s">
        <v>4</v>
      </c>
      <c r="B129" s="1">
        <v>24</v>
      </c>
      <c r="C129" s="1" t="s">
        <v>297</v>
      </c>
      <c r="D129" s="1" t="s">
        <v>298</v>
      </c>
      <c r="E129" s="1" t="s">
        <v>393</v>
      </c>
      <c r="F129" s="5">
        <v>450</v>
      </c>
      <c r="G129" s="5">
        <v>2600.3534100954816</v>
      </c>
      <c r="H129" s="5">
        <v>0</v>
      </c>
      <c r="I129" s="5">
        <v>10156</v>
      </c>
      <c r="J129" s="1" t="s">
        <v>436</v>
      </c>
    </row>
    <row r="130" spans="1:10">
      <c r="A130" s="1" t="s">
        <v>4</v>
      </c>
      <c r="B130" s="1">
        <v>25</v>
      </c>
      <c r="C130" s="1" t="s">
        <v>299</v>
      </c>
      <c r="D130" s="1" t="s">
        <v>300</v>
      </c>
      <c r="E130" s="1" t="s">
        <v>393</v>
      </c>
      <c r="F130" s="5">
        <v>3889</v>
      </c>
      <c r="G130" s="5">
        <v>9536.8411613417957</v>
      </c>
      <c r="H130" s="5">
        <v>0</v>
      </c>
      <c r="I130" s="5">
        <v>72972.730085405128</v>
      </c>
      <c r="J130" s="1" t="s">
        <v>436</v>
      </c>
    </row>
    <row r="131" spans="1:10">
      <c r="A131" s="1" t="s">
        <v>4</v>
      </c>
      <c r="B131" s="1">
        <v>26</v>
      </c>
      <c r="C131" s="1" t="s">
        <v>301</v>
      </c>
      <c r="D131" s="1" t="s">
        <v>302</v>
      </c>
      <c r="E131" s="1" t="s">
        <v>393</v>
      </c>
      <c r="F131" s="5">
        <v>627</v>
      </c>
      <c r="G131" s="5">
        <v>2758.6687653583131</v>
      </c>
      <c r="H131" s="5">
        <v>0</v>
      </c>
      <c r="I131" s="5">
        <v>81231.712703273952</v>
      </c>
      <c r="J131" s="1" t="s">
        <v>436</v>
      </c>
    </row>
    <row r="132" spans="1:10">
      <c r="A132" s="1" t="s">
        <v>4</v>
      </c>
      <c r="B132" s="1">
        <v>27</v>
      </c>
      <c r="C132" s="1" t="s">
        <v>303</v>
      </c>
      <c r="D132" s="1" t="s">
        <v>304</v>
      </c>
      <c r="E132" s="1" t="s">
        <v>394</v>
      </c>
      <c r="F132" s="5">
        <v>0</v>
      </c>
      <c r="G132" s="5">
        <v>8133.8068751801802</v>
      </c>
      <c r="H132" s="5">
        <v>0</v>
      </c>
      <c r="I132" s="5">
        <v>23595</v>
      </c>
      <c r="J132" s="1" t="s">
        <v>436</v>
      </c>
    </row>
    <row r="133" spans="1:10">
      <c r="A133" s="1" t="s">
        <v>4</v>
      </c>
      <c r="B133" s="1">
        <v>28</v>
      </c>
      <c r="C133" s="1" t="s">
        <v>305</v>
      </c>
      <c r="D133" s="1" t="s">
        <v>306</v>
      </c>
      <c r="E133" s="1" t="s">
        <v>393</v>
      </c>
      <c r="F133" s="5">
        <v>13918</v>
      </c>
      <c r="G133" s="5">
        <v>10427.95753228228</v>
      </c>
      <c r="H133" s="5">
        <v>3490.0424677177198</v>
      </c>
      <c r="I133" s="5">
        <v>30412</v>
      </c>
      <c r="J133" s="1" t="s">
        <v>436</v>
      </c>
    </row>
    <row r="134" spans="1:10">
      <c r="A134" s="1" t="s">
        <v>4</v>
      </c>
      <c r="B134" s="1">
        <v>29</v>
      </c>
      <c r="C134" s="1" t="s">
        <v>307</v>
      </c>
      <c r="D134" s="1" t="s">
        <v>308</v>
      </c>
      <c r="E134" s="1" t="s">
        <v>393</v>
      </c>
      <c r="F134" s="5">
        <v>21568</v>
      </c>
      <c r="G134" s="5">
        <v>0</v>
      </c>
      <c r="H134" s="5">
        <v>21568</v>
      </c>
      <c r="I134" s="5">
        <v>11768</v>
      </c>
      <c r="J134" s="1" t="s">
        <v>436</v>
      </c>
    </row>
    <row r="135" spans="1:10">
      <c r="A135" s="1" t="s">
        <v>4</v>
      </c>
      <c r="B135" s="1">
        <v>30</v>
      </c>
      <c r="C135" s="1" t="s">
        <v>309</v>
      </c>
      <c r="D135" s="1" t="s">
        <v>310</v>
      </c>
      <c r="E135" s="1" t="s">
        <v>393</v>
      </c>
      <c r="F135" s="5">
        <v>4644</v>
      </c>
      <c r="G135" s="5">
        <v>4739.9806964919462</v>
      </c>
      <c r="H135" s="5">
        <v>0</v>
      </c>
      <c r="I135" s="5">
        <v>23569</v>
      </c>
      <c r="J135" s="1" t="s">
        <v>436</v>
      </c>
    </row>
    <row r="136" spans="1:10">
      <c r="A136" s="1" t="s">
        <v>4</v>
      </c>
      <c r="B136" s="1">
        <v>31</v>
      </c>
      <c r="C136" s="1" t="s">
        <v>311</v>
      </c>
      <c r="D136" s="1" t="s">
        <v>312</v>
      </c>
      <c r="E136" s="1" t="s">
        <v>393</v>
      </c>
      <c r="F136" s="5">
        <v>30337</v>
      </c>
      <c r="G136" s="5">
        <v>12346.701718222221</v>
      </c>
      <c r="H136" s="5">
        <v>17990.298281777781</v>
      </c>
      <c r="I136" s="5">
        <v>126477.20000000001</v>
      </c>
      <c r="J136" s="1" t="s">
        <v>436</v>
      </c>
    </row>
    <row r="137" spans="1:10">
      <c r="A137" s="1" t="s">
        <v>4</v>
      </c>
      <c r="B137" s="1">
        <v>32</v>
      </c>
      <c r="C137" s="1" t="s">
        <v>313</v>
      </c>
      <c r="D137" s="1" t="s">
        <v>314</v>
      </c>
      <c r="E137" s="1" t="s">
        <v>393</v>
      </c>
      <c r="F137" s="5">
        <v>36000</v>
      </c>
      <c r="G137" s="5">
        <v>15175.522197888615</v>
      </c>
      <c r="H137" s="5">
        <v>20824.477802111385</v>
      </c>
      <c r="I137" s="5">
        <v>59622.29386889271</v>
      </c>
      <c r="J137" s="1" t="s">
        <v>436</v>
      </c>
    </row>
    <row r="138" spans="1:10">
      <c r="A138" s="1" t="s">
        <v>4</v>
      </c>
      <c r="B138" s="1">
        <v>33</v>
      </c>
      <c r="C138" s="1" t="s">
        <v>315</v>
      </c>
      <c r="D138" s="1" t="s">
        <v>316</v>
      </c>
      <c r="E138" s="1" t="s">
        <v>393</v>
      </c>
      <c r="F138" s="5">
        <v>1000</v>
      </c>
      <c r="G138" s="5">
        <v>20855.915064564571</v>
      </c>
      <c r="H138" s="5">
        <v>0</v>
      </c>
      <c r="I138" s="5">
        <v>23536</v>
      </c>
      <c r="J138" s="1" t="s">
        <v>436</v>
      </c>
    </row>
    <row r="139" spans="1:10">
      <c r="A139" s="1" t="s">
        <v>4</v>
      </c>
      <c r="B139" s="1">
        <v>34</v>
      </c>
      <c r="C139" s="1" t="s">
        <v>317</v>
      </c>
      <c r="D139" s="1" t="s">
        <v>318</v>
      </c>
      <c r="E139" s="1" t="s">
        <v>390</v>
      </c>
      <c r="F139" s="5">
        <v>0</v>
      </c>
      <c r="G139" s="5">
        <v>63.001793365432249</v>
      </c>
      <c r="H139" s="5">
        <v>0</v>
      </c>
      <c r="I139" s="5">
        <v>277.35977052155471</v>
      </c>
      <c r="J139" s="1" t="s">
        <v>436</v>
      </c>
    </row>
    <row r="140" spans="1:10">
      <c r="A140" s="1" t="s">
        <v>4</v>
      </c>
      <c r="B140" s="1">
        <v>35</v>
      </c>
      <c r="C140" s="1" t="s">
        <v>47</v>
      </c>
      <c r="D140" s="1" t="s">
        <v>457</v>
      </c>
      <c r="E140" s="1" t="s">
        <v>390</v>
      </c>
      <c r="F140" s="5">
        <v>0</v>
      </c>
      <c r="G140" s="5">
        <v>397.92183188011109</v>
      </c>
      <c r="H140" s="5">
        <v>0</v>
      </c>
      <c r="I140" s="5">
        <v>2523.3332865308871</v>
      </c>
      <c r="J140" s="1" t="s">
        <v>458</v>
      </c>
    </row>
    <row r="141" spans="1:10">
      <c r="A141" s="1" t="s">
        <v>4</v>
      </c>
      <c r="B141" s="1">
        <v>36</v>
      </c>
      <c r="C141" s="1" t="s">
        <v>459</v>
      </c>
      <c r="D141" s="1" t="s">
        <v>460</v>
      </c>
      <c r="E141" s="1" t="s">
        <v>393</v>
      </c>
      <c r="F141" s="5">
        <v>0</v>
      </c>
      <c r="G141" s="5">
        <v>0</v>
      </c>
      <c r="H141" s="5">
        <v>0</v>
      </c>
      <c r="I141" s="5">
        <v>13.846153846153847</v>
      </c>
      <c r="J141" s="1" t="s">
        <v>450</v>
      </c>
    </row>
    <row r="142" spans="1:10">
      <c r="A142" s="1" t="s">
        <v>4</v>
      </c>
      <c r="B142" s="1">
        <v>37</v>
      </c>
      <c r="C142" s="1" t="s">
        <v>319</v>
      </c>
      <c r="D142" s="1" t="s">
        <v>320</v>
      </c>
      <c r="E142" s="1" t="s">
        <v>393</v>
      </c>
      <c r="F142" s="5">
        <v>0</v>
      </c>
      <c r="G142" s="5">
        <v>102554.40097364681</v>
      </c>
      <c r="H142" s="5">
        <v>0</v>
      </c>
      <c r="I142" s="5">
        <v>450262.34860810195</v>
      </c>
      <c r="J142" s="1" t="s">
        <v>436</v>
      </c>
    </row>
    <row r="143" spans="1:10">
      <c r="A143" s="1" t="s">
        <v>4</v>
      </c>
      <c r="B143" s="1">
        <v>38</v>
      </c>
      <c r="C143" s="1" t="s">
        <v>321</v>
      </c>
      <c r="D143" s="1" t="s">
        <v>322</v>
      </c>
      <c r="E143" s="1" t="s">
        <v>393</v>
      </c>
      <c r="F143" s="5">
        <v>0</v>
      </c>
      <c r="G143" s="5">
        <v>197.18319697406497</v>
      </c>
      <c r="H143" s="5">
        <v>0</v>
      </c>
      <c r="I143" s="5">
        <v>2333.1583785053235</v>
      </c>
      <c r="J143" s="1" t="s">
        <v>436</v>
      </c>
    </row>
    <row r="144" spans="1:10">
      <c r="A144" s="1" t="s">
        <v>4</v>
      </c>
      <c r="B144" s="1">
        <v>39</v>
      </c>
      <c r="C144" s="1" t="s">
        <v>323</v>
      </c>
      <c r="D144" s="1" t="s">
        <v>324</v>
      </c>
      <c r="E144" s="1" t="s">
        <v>393</v>
      </c>
      <c r="F144" s="5">
        <v>31050</v>
      </c>
      <c r="G144" s="5">
        <v>22826.215655926346</v>
      </c>
      <c r="H144" s="5">
        <v>8223.7843440736578</v>
      </c>
      <c r="I144" s="5">
        <v>146952.89331525279</v>
      </c>
      <c r="J144" s="1" t="s">
        <v>436</v>
      </c>
    </row>
    <row r="145" spans="1:10">
      <c r="A145" s="1" t="s">
        <v>4</v>
      </c>
      <c r="B145" s="1">
        <v>40</v>
      </c>
      <c r="C145" s="1" t="s">
        <v>45</v>
      </c>
      <c r="D145" s="1" t="s">
        <v>325</v>
      </c>
      <c r="E145" s="1" t="s">
        <v>390</v>
      </c>
      <c r="F145" s="5">
        <v>1066</v>
      </c>
      <c r="G145" s="5">
        <v>341.186683249064</v>
      </c>
      <c r="H145" s="5">
        <v>724.813316750936</v>
      </c>
      <c r="I145" s="5">
        <v>1454.7049238830734</v>
      </c>
      <c r="J145" s="1" t="s">
        <v>436</v>
      </c>
    </row>
    <row r="146" spans="1:10">
      <c r="A146" s="1" t="s">
        <v>4</v>
      </c>
      <c r="B146" s="1">
        <v>41</v>
      </c>
      <c r="C146" s="1" t="s">
        <v>326</v>
      </c>
      <c r="D146" s="1" t="s">
        <v>327</v>
      </c>
      <c r="E146" s="1" t="s">
        <v>390</v>
      </c>
      <c r="F146" s="5">
        <v>4203</v>
      </c>
      <c r="G146" s="5">
        <v>593.48350304636369</v>
      </c>
      <c r="H146" s="5">
        <v>3609.5164969536359</v>
      </c>
      <c r="I146" s="5">
        <v>4614.315682872576</v>
      </c>
      <c r="J146" s="1" t="s">
        <v>436</v>
      </c>
    </row>
    <row r="147" spans="1:10">
      <c r="A147" s="1" t="s">
        <v>4</v>
      </c>
      <c r="B147" s="1">
        <v>42</v>
      </c>
      <c r="C147" s="1" t="s">
        <v>328</v>
      </c>
      <c r="D147" s="1" t="s">
        <v>329</v>
      </c>
      <c r="E147" s="1" t="s">
        <v>390</v>
      </c>
      <c r="F147" s="5">
        <v>2079</v>
      </c>
      <c r="G147" s="5">
        <v>76.37056898187825</v>
      </c>
      <c r="H147" s="5">
        <v>2002.629431018122</v>
      </c>
      <c r="I147" s="5">
        <v>656.27504595800553</v>
      </c>
      <c r="J147" s="1" t="s">
        <v>436</v>
      </c>
    </row>
    <row r="148" spans="1:10">
      <c r="A148" s="1" t="s">
        <v>4</v>
      </c>
      <c r="B148" s="1">
        <v>43</v>
      </c>
      <c r="C148" s="1" t="s">
        <v>445</v>
      </c>
      <c r="D148" s="1" t="s">
        <v>446</v>
      </c>
      <c r="E148" s="1" t="s">
        <v>393</v>
      </c>
      <c r="F148" s="5">
        <v>0</v>
      </c>
      <c r="G148" s="5">
        <v>11.518153092475432</v>
      </c>
      <c r="H148" s="5">
        <v>0</v>
      </c>
      <c r="I148" s="5">
        <v>193.81192928968434</v>
      </c>
      <c r="J148" s="1" t="s">
        <v>439</v>
      </c>
    </row>
    <row r="149" spans="1:10">
      <c r="A149" s="1" t="s">
        <v>4</v>
      </c>
      <c r="B149" s="1">
        <v>44</v>
      </c>
      <c r="C149" s="1" t="s">
        <v>330</v>
      </c>
      <c r="D149" s="1" t="s">
        <v>331</v>
      </c>
      <c r="E149" s="1" t="s">
        <v>393</v>
      </c>
      <c r="F149" s="5">
        <v>131</v>
      </c>
      <c r="G149" s="5">
        <v>1110.2995194533758</v>
      </c>
      <c r="H149" s="5">
        <v>0</v>
      </c>
      <c r="I149" s="5">
        <v>6552.4579392728128</v>
      </c>
      <c r="J149" s="1" t="s">
        <v>436</v>
      </c>
    </row>
    <row r="150" spans="1:10">
      <c r="A150" s="1" t="s">
        <v>4</v>
      </c>
      <c r="B150" s="1">
        <v>45</v>
      </c>
      <c r="C150" s="1" t="s">
        <v>332</v>
      </c>
      <c r="D150" s="1" t="s">
        <v>333</v>
      </c>
      <c r="E150" s="1" t="s">
        <v>393</v>
      </c>
      <c r="F150" s="5">
        <v>0</v>
      </c>
      <c r="G150" s="5">
        <v>23.209502206885102</v>
      </c>
      <c r="H150" s="5">
        <v>0</v>
      </c>
      <c r="I150" s="5">
        <v>130.902926532858</v>
      </c>
      <c r="J150" s="1" t="s">
        <v>436</v>
      </c>
    </row>
    <row r="151" spans="1:10">
      <c r="A151" s="1" t="s">
        <v>4</v>
      </c>
      <c r="B151" s="1">
        <v>46</v>
      </c>
      <c r="C151" s="1" t="s">
        <v>334</v>
      </c>
      <c r="D151" s="1" t="s">
        <v>335</v>
      </c>
      <c r="E151" s="1" t="s">
        <v>393</v>
      </c>
      <c r="F151" s="5">
        <v>0</v>
      </c>
      <c r="G151" s="5">
        <v>40.958340045707423</v>
      </c>
      <c r="H151" s="5">
        <v>0</v>
      </c>
      <c r="I151" s="5">
        <v>293.02950905150743</v>
      </c>
      <c r="J151" s="1" t="s">
        <v>436</v>
      </c>
    </row>
    <row r="152" spans="1:10">
      <c r="A152" s="1" t="s">
        <v>4</v>
      </c>
      <c r="B152" s="1">
        <v>47</v>
      </c>
      <c r="C152" s="1" t="s">
        <v>336</v>
      </c>
      <c r="D152" s="1" t="s">
        <v>337</v>
      </c>
      <c r="E152" s="1" t="s">
        <v>393</v>
      </c>
      <c r="F152" s="5">
        <v>0</v>
      </c>
      <c r="G152" s="5">
        <v>92.01902395072419</v>
      </c>
      <c r="H152" s="5">
        <v>0</v>
      </c>
      <c r="I152" s="5">
        <v>559.24697915873662</v>
      </c>
      <c r="J152" s="1" t="s">
        <v>436</v>
      </c>
    </row>
    <row r="153" spans="1:10">
      <c r="A153" s="1" t="s">
        <v>4</v>
      </c>
      <c r="B153" s="1">
        <v>48</v>
      </c>
      <c r="C153" s="1" t="s">
        <v>338</v>
      </c>
      <c r="D153" s="1" t="s">
        <v>339</v>
      </c>
      <c r="E153" s="1" t="s">
        <v>393</v>
      </c>
      <c r="F153" s="5">
        <v>0</v>
      </c>
      <c r="G153" s="5">
        <v>1384.2283460629801</v>
      </c>
      <c r="H153" s="5">
        <v>0</v>
      </c>
      <c r="I153" s="5">
        <v>8468.1100399514107</v>
      </c>
      <c r="J153" s="1" t="s">
        <v>436</v>
      </c>
    </row>
    <row r="154" spans="1:10">
      <c r="A154" s="1" t="s">
        <v>4</v>
      </c>
      <c r="B154" s="1">
        <v>49</v>
      </c>
      <c r="C154" s="1" t="s">
        <v>340</v>
      </c>
      <c r="D154" s="1" t="s">
        <v>341</v>
      </c>
      <c r="E154" s="1" t="s">
        <v>393</v>
      </c>
      <c r="F154" s="5">
        <v>30156</v>
      </c>
      <c r="G154" s="5">
        <v>41218.872136693972</v>
      </c>
      <c r="H154" s="5">
        <v>0</v>
      </c>
      <c r="I154" s="5">
        <v>194376.5343321769</v>
      </c>
      <c r="J154" s="1" t="s">
        <v>436</v>
      </c>
    </row>
    <row r="155" spans="1:10">
      <c r="A155" s="1" t="s">
        <v>4</v>
      </c>
      <c r="B155" s="1">
        <v>50</v>
      </c>
      <c r="C155" s="1" t="s">
        <v>342</v>
      </c>
      <c r="D155" s="1" t="s">
        <v>343</v>
      </c>
      <c r="E155" s="1" t="s">
        <v>393</v>
      </c>
      <c r="F155" s="5">
        <v>17799</v>
      </c>
      <c r="G155" s="5">
        <v>37134.904768596505</v>
      </c>
      <c r="H155" s="5">
        <v>0</v>
      </c>
      <c r="I155" s="5">
        <v>96760</v>
      </c>
      <c r="J155" s="1" t="s">
        <v>436</v>
      </c>
    </row>
    <row r="156" spans="1:10">
      <c r="A156" s="1" t="s">
        <v>4</v>
      </c>
      <c r="B156" s="1">
        <v>51</v>
      </c>
      <c r="C156" s="1" t="s">
        <v>344</v>
      </c>
      <c r="D156" s="1" t="s">
        <v>345</v>
      </c>
      <c r="E156" s="1" t="s">
        <v>393</v>
      </c>
      <c r="F156" s="5">
        <v>6236</v>
      </c>
      <c r="G156" s="5">
        <v>5623.5130983180452</v>
      </c>
      <c r="H156" s="5">
        <v>612.48690168195458</v>
      </c>
      <c r="I156" s="5">
        <v>30813.33587645755</v>
      </c>
      <c r="J156" s="1" t="s">
        <v>436</v>
      </c>
    </row>
    <row r="157" spans="1:10">
      <c r="A157" s="1" t="s">
        <v>4</v>
      </c>
      <c r="B157" s="1">
        <v>52</v>
      </c>
      <c r="C157" s="1" t="s">
        <v>346</v>
      </c>
      <c r="D157" s="1" t="s">
        <v>347</v>
      </c>
      <c r="E157" s="1" t="s">
        <v>393</v>
      </c>
      <c r="F157" s="5">
        <v>12452</v>
      </c>
      <c r="G157" s="5">
        <v>3486.7298003394758</v>
      </c>
      <c r="H157" s="5">
        <v>8965.2701996605247</v>
      </c>
      <c r="I157" s="5">
        <v>29416.783390009146</v>
      </c>
      <c r="J157" s="1" t="s">
        <v>436</v>
      </c>
    </row>
    <row r="158" spans="1:10">
      <c r="A158" s="1" t="s">
        <v>4</v>
      </c>
      <c r="B158" s="1">
        <v>53</v>
      </c>
      <c r="C158" s="1" t="s">
        <v>348</v>
      </c>
      <c r="D158" s="1" t="s">
        <v>349</v>
      </c>
      <c r="E158" s="1" t="s">
        <v>393</v>
      </c>
      <c r="F158" s="5">
        <v>4314</v>
      </c>
      <c r="G158" s="5">
        <v>1785.076730298867</v>
      </c>
      <c r="H158" s="5">
        <v>2528.923269701133</v>
      </c>
      <c r="I158" s="5">
        <v>9194.3816526934206</v>
      </c>
      <c r="J158" s="1" t="s">
        <v>436</v>
      </c>
    </row>
    <row r="159" spans="1:10">
      <c r="A159" s="1" t="s">
        <v>4</v>
      </c>
      <c r="B159" s="1">
        <v>54</v>
      </c>
      <c r="C159" s="1" t="s">
        <v>350</v>
      </c>
      <c r="D159" s="1" t="s">
        <v>351</v>
      </c>
      <c r="E159" s="1" t="s">
        <v>393</v>
      </c>
      <c r="F159" s="5">
        <v>27153</v>
      </c>
      <c r="G159" s="5">
        <v>5547.6734071741739</v>
      </c>
      <c r="H159" s="5">
        <v>21605.326592825822</v>
      </c>
      <c r="I159" s="5">
        <v>49336.733173966422</v>
      </c>
      <c r="J159" s="1" t="s">
        <v>436</v>
      </c>
    </row>
    <row r="160" spans="1:10">
      <c r="A160" s="1" t="s">
        <v>4</v>
      </c>
      <c r="B160" s="1">
        <v>55</v>
      </c>
      <c r="C160" s="1" t="s">
        <v>352</v>
      </c>
      <c r="D160" s="1" t="s">
        <v>353</v>
      </c>
      <c r="E160" s="1" t="s">
        <v>393</v>
      </c>
      <c r="F160" s="5">
        <v>700</v>
      </c>
      <c r="G160" s="5">
        <v>6848.3241102915636</v>
      </c>
      <c r="H160" s="5">
        <v>0</v>
      </c>
      <c r="I160" s="5">
        <v>38141.836988652743</v>
      </c>
      <c r="J160" s="1" t="s">
        <v>436</v>
      </c>
    </row>
    <row r="161" spans="1:10">
      <c r="A161" s="1" t="s">
        <v>4</v>
      </c>
      <c r="B161" s="1">
        <v>56</v>
      </c>
      <c r="C161" s="1" t="s">
        <v>354</v>
      </c>
      <c r="D161" s="1" t="s">
        <v>355</v>
      </c>
      <c r="E161" s="1" t="s">
        <v>393</v>
      </c>
      <c r="F161" s="5">
        <v>1550</v>
      </c>
      <c r="G161" s="5">
        <v>1691.2251125083267</v>
      </c>
      <c r="H161" s="5">
        <v>0</v>
      </c>
      <c r="I161" s="5">
        <v>11137.159922785968</v>
      </c>
      <c r="J161" s="1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 mensual</vt:lpstr>
      <vt:lpstr>Resumen anual</vt:lpstr>
      <vt:lpstr>Supuestos</vt:lpstr>
      <vt:lpstr>Importes</vt:lpstr>
      <vt:lpstr>Unidades</vt:lpstr>
      <vt:lpstr>Precios</vt:lpstr>
      <vt:lpstr>Origen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2026-09-29T09:22:49Z</dcterms:created>
  <dcterms:modified xsi:type="dcterms:W3CDTF">2026-09-29T09:26:03Z</dcterms:modified>
</cp:coreProperties>
</file>