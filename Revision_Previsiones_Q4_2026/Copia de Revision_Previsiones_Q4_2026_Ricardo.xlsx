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0" documentId="13_ncr:1_{4D857F04-83DC-4AB3-8339-F921168DD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visiones_Ricar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1" i="1" l="1"/>
  <c r="O111" i="1"/>
  <c r="N111" i="1"/>
  <c r="M111" i="1"/>
  <c r="L111" i="1"/>
  <c r="K111" i="1"/>
  <c r="I111" i="1"/>
  <c r="G111" i="1"/>
  <c r="E6" i="1" s="1"/>
  <c r="F111" i="1"/>
  <c r="R110" i="1"/>
  <c r="Q110" i="1"/>
  <c r="S110" i="1" s="1"/>
  <c r="I110" i="1"/>
  <c r="H110" i="1"/>
  <c r="R109" i="1"/>
  <c r="S109" i="1" s="1"/>
  <c r="Q109" i="1"/>
  <c r="I109" i="1"/>
  <c r="H109" i="1"/>
  <c r="R108" i="1"/>
  <c r="Q108" i="1"/>
  <c r="S108" i="1" s="1"/>
  <c r="I108" i="1"/>
  <c r="H108" i="1"/>
  <c r="R107" i="1"/>
  <c r="S107" i="1" s="1"/>
  <c r="Q107" i="1"/>
  <c r="I107" i="1"/>
  <c r="H107" i="1"/>
  <c r="S106" i="1"/>
  <c r="R106" i="1"/>
  <c r="Q106" i="1"/>
  <c r="I106" i="1"/>
  <c r="H106" i="1"/>
  <c r="R105" i="1"/>
  <c r="S105" i="1" s="1"/>
  <c r="Q105" i="1"/>
  <c r="I105" i="1"/>
  <c r="H105" i="1"/>
  <c r="S104" i="1"/>
  <c r="R104" i="1"/>
  <c r="Q104" i="1"/>
  <c r="I104" i="1"/>
  <c r="H104" i="1"/>
  <c r="R103" i="1"/>
  <c r="S103" i="1" s="1"/>
  <c r="Q103" i="1"/>
  <c r="I103" i="1"/>
  <c r="H103" i="1"/>
  <c r="R102" i="1"/>
  <c r="Q102" i="1"/>
  <c r="S102" i="1" s="1"/>
  <c r="I102" i="1"/>
  <c r="H102" i="1"/>
  <c r="R101" i="1"/>
  <c r="S101" i="1" s="1"/>
  <c r="Q101" i="1"/>
  <c r="I101" i="1"/>
  <c r="H101" i="1"/>
  <c r="R100" i="1"/>
  <c r="Q100" i="1"/>
  <c r="S100" i="1" s="1"/>
  <c r="I100" i="1"/>
  <c r="H100" i="1"/>
  <c r="R99" i="1"/>
  <c r="S99" i="1" s="1"/>
  <c r="Q99" i="1"/>
  <c r="I99" i="1"/>
  <c r="H99" i="1"/>
  <c r="R98" i="1"/>
  <c r="S98" i="1" s="1"/>
  <c r="Q98" i="1"/>
  <c r="I98" i="1"/>
  <c r="H98" i="1"/>
  <c r="R97" i="1"/>
  <c r="S97" i="1" s="1"/>
  <c r="Q97" i="1"/>
  <c r="I97" i="1"/>
  <c r="H97" i="1"/>
  <c r="R96" i="1"/>
  <c r="S96" i="1" s="1"/>
  <c r="Q96" i="1"/>
  <c r="I96" i="1"/>
  <c r="H96" i="1"/>
  <c r="R95" i="1"/>
  <c r="S95" i="1" s="1"/>
  <c r="Q95" i="1"/>
  <c r="I95" i="1"/>
  <c r="H95" i="1"/>
  <c r="R94" i="1"/>
  <c r="Q94" i="1"/>
  <c r="I94" i="1"/>
  <c r="H94" i="1"/>
  <c r="R93" i="1"/>
  <c r="S93" i="1" s="1"/>
  <c r="Q93" i="1"/>
  <c r="I93" i="1"/>
  <c r="H93" i="1"/>
  <c r="R92" i="1"/>
  <c r="Q92" i="1"/>
  <c r="S92" i="1" s="1"/>
  <c r="I92" i="1"/>
  <c r="H92" i="1"/>
  <c r="R91" i="1"/>
  <c r="S91" i="1" s="1"/>
  <c r="Q91" i="1"/>
  <c r="I91" i="1"/>
  <c r="H91" i="1"/>
  <c r="R90" i="1"/>
  <c r="S90" i="1" s="1"/>
  <c r="Q90" i="1"/>
  <c r="I90" i="1"/>
  <c r="H90" i="1"/>
  <c r="R89" i="1"/>
  <c r="S89" i="1" s="1"/>
  <c r="Q89" i="1"/>
  <c r="I89" i="1"/>
  <c r="H89" i="1"/>
  <c r="S88" i="1"/>
  <c r="R88" i="1"/>
  <c r="Q88" i="1"/>
  <c r="I88" i="1"/>
  <c r="H88" i="1"/>
  <c r="R87" i="1"/>
  <c r="S87" i="1" s="1"/>
  <c r="Q87" i="1"/>
  <c r="I87" i="1"/>
  <c r="H87" i="1"/>
  <c r="R86" i="1"/>
  <c r="Q86" i="1"/>
  <c r="S86" i="1" s="1"/>
  <c r="I86" i="1"/>
  <c r="H86" i="1"/>
  <c r="R85" i="1"/>
  <c r="S85" i="1" s="1"/>
  <c r="Q85" i="1"/>
  <c r="I85" i="1"/>
  <c r="H85" i="1"/>
  <c r="R84" i="1"/>
  <c r="Q84" i="1"/>
  <c r="S84" i="1" s="1"/>
  <c r="I84" i="1"/>
  <c r="H84" i="1"/>
  <c r="R83" i="1"/>
  <c r="S83" i="1" s="1"/>
  <c r="Q83" i="1"/>
  <c r="I83" i="1"/>
  <c r="H83" i="1"/>
  <c r="S82" i="1"/>
  <c r="R82" i="1"/>
  <c r="Q82" i="1"/>
  <c r="I82" i="1"/>
  <c r="H82" i="1"/>
  <c r="R81" i="1"/>
  <c r="S81" i="1" s="1"/>
  <c r="Q81" i="1"/>
  <c r="I81" i="1"/>
  <c r="H81" i="1"/>
  <c r="S80" i="1"/>
  <c r="R80" i="1"/>
  <c r="Q80" i="1"/>
  <c r="I80" i="1"/>
  <c r="H80" i="1"/>
  <c r="R79" i="1"/>
  <c r="S79" i="1" s="1"/>
  <c r="Q79" i="1"/>
  <c r="I79" i="1"/>
  <c r="H79" i="1"/>
  <c r="R78" i="1"/>
  <c r="Q78" i="1"/>
  <c r="S78" i="1" s="1"/>
  <c r="I78" i="1"/>
  <c r="H78" i="1"/>
  <c r="R77" i="1"/>
  <c r="S77" i="1" s="1"/>
  <c r="Q77" i="1"/>
  <c r="I77" i="1"/>
  <c r="H77" i="1"/>
  <c r="R76" i="1"/>
  <c r="Q76" i="1"/>
  <c r="S76" i="1" s="1"/>
  <c r="I76" i="1"/>
  <c r="H76" i="1"/>
  <c r="R75" i="1"/>
  <c r="S75" i="1" s="1"/>
  <c r="Q75" i="1"/>
  <c r="I75" i="1"/>
  <c r="H75" i="1"/>
  <c r="S74" i="1"/>
  <c r="R74" i="1"/>
  <c r="Q74" i="1"/>
  <c r="I74" i="1"/>
  <c r="H74" i="1"/>
  <c r="R73" i="1"/>
  <c r="S73" i="1" s="1"/>
  <c r="Q73" i="1"/>
  <c r="I73" i="1"/>
  <c r="H73" i="1"/>
  <c r="S72" i="1"/>
  <c r="R72" i="1"/>
  <c r="Q72" i="1"/>
  <c r="I72" i="1"/>
  <c r="H72" i="1"/>
  <c r="R71" i="1"/>
  <c r="S71" i="1" s="1"/>
  <c r="Q71" i="1"/>
  <c r="I71" i="1"/>
  <c r="H71" i="1"/>
  <c r="R70" i="1"/>
  <c r="Q70" i="1"/>
  <c r="S70" i="1" s="1"/>
  <c r="I70" i="1"/>
  <c r="H70" i="1"/>
  <c r="R69" i="1"/>
  <c r="S69" i="1" s="1"/>
  <c r="Q69" i="1"/>
  <c r="I69" i="1"/>
  <c r="H69" i="1"/>
  <c r="R68" i="1"/>
  <c r="Q68" i="1"/>
  <c r="S68" i="1" s="1"/>
  <c r="I68" i="1"/>
  <c r="H68" i="1"/>
  <c r="R67" i="1"/>
  <c r="S67" i="1" s="1"/>
  <c r="Q67" i="1"/>
  <c r="I67" i="1"/>
  <c r="H67" i="1"/>
  <c r="S66" i="1"/>
  <c r="R66" i="1"/>
  <c r="Q66" i="1"/>
  <c r="I66" i="1"/>
  <c r="H66" i="1"/>
  <c r="R65" i="1"/>
  <c r="S65" i="1" s="1"/>
  <c r="Q65" i="1"/>
  <c r="I65" i="1"/>
  <c r="H65" i="1"/>
  <c r="S64" i="1"/>
  <c r="R64" i="1"/>
  <c r="Q64" i="1"/>
  <c r="I64" i="1"/>
  <c r="H64" i="1"/>
  <c r="R63" i="1"/>
  <c r="S63" i="1" s="1"/>
  <c r="Q63" i="1"/>
  <c r="I63" i="1"/>
  <c r="H63" i="1"/>
  <c r="R62" i="1"/>
  <c r="Q62" i="1"/>
  <c r="S62" i="1" s="1"/>
  <c r="I62" i="1"/>
  <c r="H62" i="1"/>
  <c r="R61" i="1"/>
  <c r="S61" i="1" s="1"/>
  <c r="Q61" i="1"/>
  <c r="I61" i="1"/>
  <c r="H61" i="1"/>
  <c r="R60" i="1"/>
  <c r="Q60" i="1"/>
  <c r="S60" i="1" s="1"/>
  <c r="I60" i="1"/>
  <c r="H60" i="1"/>
  <c r="R59" i="1"/>
  <c r="S59" i="1" s="1"/>
  <c r="Q59" i="1"/>
  <c r="I59" i="1"/>
  <c r="H59" i="1"/>
  <c r="S58" i="1"/>
  <c r="R58" i="1"/>
  <c r="Q58" i="1"/>
  <c r="I58" i="1"/>
  <c r="H58" i="1"/>
  <c r="R57" i="1"/>
  <c r="S57" i="1" s="1"/>
  <c r="Q57" i="1"/>
  <c r="I57" i="1"/>
  <c r="H57" i="1"/>
  <c r="S56" i="1"/>
  <c r="R56" i="1"/>
  <c r="Q56" i="1"/>
  <c r="I56" i="1"/>
  <c r="H56" i="1"/>
  <c r="R55" i="1"/>
  <c r="S55" i="1" s="1"/>
  <c r="Q55" i="1"/>
  <c r="I55" i="1"/>
  <c r="H55" i="1"/>
  <c r="R54" i="1"/>
  <c r="Q54" i="1"/>
  <c r="S54" i="1" s="1"/>
  <c r="I54" i="1"/>
  <c r="H54" i="1"/>
  <c r="R53" i="1"/>
  <c r="S53" i="1" s="1"/>
  <c r="Q53" i="1"/>
  <c r="I53" i="1"/>
  <c r="H53" i="1"/>
  <c r="R52" i="1"/>
  <c r="Q52" i="1"/>
  <c r="S52" i="1" s="1"/>
  <c r="I52" i="1"/>
  <c r="H52" i="1"/>
  <c r="R51" i="1"/>
  <c r="S51" i="1" s="1"/>
  <c r="Q51" i="1"/>
  <c r="I51" i="1"/>
  <c r="H51" i="1"/>
  <c r="S50" i="1"/>
  <c r="R50" i="1"/>
  <c r="Q50" i="1"/>
  <c r="I50" i="1"/>
  <c r="H50" i="1"/>
  <c r="R49" i="1"/>
  <c r="S49" i="1" s="1"/>
  <c r="Q49" i="1"/>
  <c r="I49" i="1"/>
  <c r="H49" i="1"/>
  <c r="S48" i="1"/>
  <c r="R48" i="1"/>
  <c r="Q48" i="1"/>
  <c r="I48" i="1"/>
  <c r="H48" i="1"/>
  <c r="R47" i="1"/>
  <c r="S47" i="1" s="1"/>
  <c r="Q47" i="1"/>
  <c r="I47" i="1"/>
  <c r="H47" i="1"/>
  <c r="R46" i="1"/>
  <c r="Q46" i="1"/>
  <c r="S46" i="1" s="1"/>
  <c r="I46" i="1"/>
  <c r="H46" i="1"/>
  <c r="R45" i="1"/>
  <c r="S45" i="1" s="1"/>
  <c r="Q45" i="1"/>
  <c r="I45" i="1"/>
  <c r="H45" i="1"/>
  <c r="R44" i="1"/>
  <c r="S44" i="1" s="1"/>
  <c r="Q44" i="1"/>
  <c r="I44" i="1"/>
  <c r="H44" i="1"/>
  <c r="R43" i="1"/>
  <c r="S43" i="1" s="1"/>
  <c r="Q43" i="1"/>
  <c r="I43" i="1"/>
  <c r="H43" i="1"/>
  <c r="S42" i="1"/>
  <c r="R42" i="1"/>
  <c r="Q42" i="1"/>
  <c r="I42" i="1"/>
  <c r="H42" i="1"/>
  <c r="R41" i="1"/>
  <c r="S41" i="1" s="1"/>
  <c r="Q41" i="1"/>
  <c r="I41" i="1"/>
  <c r="H41" i="1"/>
  <c r="S40" i="1"/>
  <c r="R40" i="1"/>
  <c r="Q40" i="1"/>
  <c r="I40" i="1"/>
  <c r="H40" i="1"/>
  <c r="R39" i="1"/>
  <c r="S39" i="1" s="1"/>
  <c r="Q39" i="1"/>
  <c r="I39" i="1"/>
  <c r="H39" i="1"/>
  <c r="R38" i="1"/>
  <c r="Q38" i="1"/>
  <c r="S38" i="1" s="1"/>
  <c r="I38" i="1"/>
  <c r="H38" i="1"/>
  <c r="R37" i="1"/>
  <c r="S37" i="1" s="1"/>
  <c r="Q37" i="1"/>
  <c r="I37" i="1"/>
  <c r="H37" i="1"/>
  <c r="R36" i="1"/>
  <c r="S36" i="1" s="1"/>
  <c r="Q36" i="1"/>
  <c r="I36" i="1"/>
  <c r="H36" i="1"/>
  <c r="R35" i="1"/>
  <c r="S35" i="1" s="1"/>
  <c r="Q35" i="1"/>
  <c r="I35" i="1"/>
  <c r="H35" i="1"/>
  <c r="S34" i="1"/>
  <c r="R34" i="1"/>
  <c r="Q34" i="1"/>
  <c r="I34" i="1"/>
  <c r="H34" i="1"/>
  <c r="R33" i="1"/>
  <c r="S33" i="1" s="1"/>
  <c r="Q33" i="1"/>
  <c r="I33" i="1"/>
  <c r="H33" i="1"/>
  <c r="S32" i="1"/>
  <c r="R32" i="1"/>
  <c r="Q32" i="1"/>
  <c r="I32" i="1"/>
  <c r="H32" i="1"/>
  <c r="R31" i="1"/>
  <c r="S31" i="1" s="1"/>
  <c r="Q31" i="1"/>
  <c r="I31" i="1"/>
  <c r="H31" i="1"/>
  <c r="R30" i="1"/>
  <c r="Q30" i="1"/>
  <c r="S30" i="1" s="1"/>
  <c r="I30" i="1"/>
  <c r="H30" i="1"/>
  <c r="R29" i="1"/>
  <c r="S29" i="1" s="1"/>
  <c r="Q29" i="1"/>
  <c r="I29" i="1"/>
  <c r="H29" i="1"/>
  <c r="R28" i="1"/>
  <c r="S28" i="1" s="1"/>
  <c r="Q28" i="1"/>
  <c r="I28" i="1"/>
  <c r="H28" i="1"/>
  <c r="R27" i="1"/>
  <c r="S27" i="1" s="1"/>
  <c r="Q27" i="1"/>
  <c r="I27" i="1"/>
  <c r="H27" i="1"/>
  <c r="R26" i="1"/>
  <c r="S26" i="1" s="1"/>
  <c r="Q26" i="1"/>
  <c r="I26" i="1"/>
  <c r="H26" i="1"/>
  <c r="R25" i="1"/>
  <c r="S25" i="1" s="1"/>
  <c r="Q25" i="1"/>
  <c r="I25" i="1"/>
  <c r="H25" i="1"/>
  <c r="R24" i="1"/>
  <c r="S24" i="1" s="1"/>
  <c r="Q24" i="1"/>
  <c r="I24" i="1"/>
  <c r="H24" i="1"/>
  <c r="R23" i="1"/>
  <c r="S23" i="1" s="1"/>
  <c r="Q23" i="1"/>
  <c r="I23" i="1"/>
  <c r="H23" i="1"/>
  <c r="R22" i="1"/>
  <c r="Q22" i="1"/>
  <c r="S22" i="1" s="1"/>
  <c r="I22" i="1"/>
  <c r="H22" i="1"/>
  <c r="R21" i="1"/>
  <c r="S21" i="1" s="1"/>
  <c r="Q21" i="1"/>
  <c r="I21" i="1"/>
  <c r="H21" i="1"/>
  <c r="R20" i="1"/>
  <c r="S20" i="1" s="1"/>
  <c r="Q20" i="1"/>
  <c r="I20" i="1"/>
  <c r="H20" i="1"/>
  <c r="R19" i="1"/>
  <c r="S19" i="1" s="1"/>
  <c r="Q19" i="1"/>
  <c r="I19" i="1"/>
  <c r="H19" i="1"/>
  <c r="S18" i="1"/>
  <c r="R18" i="1"/>
  <c r="Q18" i="1"/>
  <c r="I18" i="1"/>
  <c r="H18" i="1"/>
  <c r="R17" i="1"/>
  <c r="S17" i="1" s="1"/>
  <c r="Q17" i="1"/>
  <c r="I17" i="1"/>
  <c r="H17" i="1"/>
  <c r="R16" i="1"/>
  <c r="S16" i="1" s="1"/>
  <c r="Q16" i="1"/>
  <c r="I16" i="1"/>
  <c r="H16" i="1"/>
  <c r="R15" i="1"/>
  <c r="Q15" i="1"/>
  <c r="I15" i="1"/>
  <c r="H15" i="1"/>
  <c r="R14" i="1"/>
  <c r="Q14" i="1"/>
  <c r="I14" i="1"/>
  <c r="H14" i="1"/>
  <c r="R13" i="1"/>
  <c r="Q13" i="1"/>
  <c r="I13" i="1"/>
  <c r="H13" i="1"/>
  <c r="R12" i="1"/>
  <c r="S12" i="1" s="1"/>
  <c r="Q12" i="1"/>
  <c r="I12" i="1"/>
  <c r="H12" i="1"/>
  <c r="R11" i="1"/>
  <c r="Q11" i="1"/>
  <c r="I11" i="1"/>
  <c r="H11" i="1"/>
  <c r="S10" i="1"/>
  <c r="R10" i="1"/>
  <c r="Q10" i="1"/>
  <c r="I10" i="1"/>
  <c r="H10" i="1"/>
  <c r="H111" i="1" s="1"/>
  <c r="H6" i="1"/>
  <c r="B6" i="1"/>
  <c r="S94" i="1" l="1"/>
  <c r="S15" i="1"/>
  <c r="S14" i="1"/>
  <c r="R111" i="1"/>
  <c r="N6" i="1" s="1"/>
  <c r="S13" i="1"/>
  <c r="Q111" i="1"/>
  <c r="K6" i="1" s="1"/>
  <c r="S11" i="1"/>
  <c r="S111" i="1" l="1"/>
  <c r="Q6" i="1" s="1"/>
</calcChain>
</file>

<file path=xl/sharedStrings.xml><?xml version="1.0" encoding="utf-8"?>
<sst xmlns="http://schemas.openxmlformats.org/spreadsheetml/2006/main" count="469" uniqueCount="200">
  <si>
    <t>CODIAGRO · ACTUALIZACIÓN DE PREVISIONES COMERCIALES Q4 2026 (OCTUBRE - DICIEMBRE)</t>
  </si>
  <si>
    <t>DELEGADO COMERCIAL: RICARDO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</si>
  <si>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</si>
  <si>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</si>
  <si>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</si>
  <si>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</si>
  <si>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</si>
  <si>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</si>
  <si>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</si>
  <si>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</si>
  <si>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</si>
  <si>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</si>
  <si>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</si>
  <si>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</si>
  <si>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</si>
  <si>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</si>
  <si>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</si>
  <si>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</si>
  <si>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</si>
  <si>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</si>
  <si>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</si>
  <si>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</si>
  <si>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</si>
  <si>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</si>
  <si>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</si>
  <si>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</si>
  <si>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</si>
  <si>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</si>
  <si>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</si>
  <si>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</si>
  <si>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</si>
  <si>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</si>
  <si>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ITALIA</t>
  </si>
  <si>
    <t>AIFAR S.P.A</t>
  </si>
  <si>
    <t>AN0005</t>
  </si>
  <si>
    <t>ALCAPLANT NEW, 5 KG</t>
  </si>
  <si>
    <t>FIORI1000</t>
  </si>
  <si>
    <t>RADIFIORI, 1000 L</t>
  </si>
  <si>
    <t>CHILE</t>
  </si>
  <si>
    <t>BAYER, S.A.</t>
  </si>
  <si>
    <t>W330020</t>
  </si>
  <si>
    <t>BAYFOLAN SUN, 20 KG</t>
  </si>
  <si>
    <t>COLOMBIA</t>
  </si>
  <si>
    <t>CAMPO ABIERTO, S.A.S.</t>
  </si>
  <si>
    <t>AGXCR0001</t>
  </si>
  <si>
    <t>AGROXILATO-K</t>
  </si>
  <si>
    <t>AGXCR0005</t>
  </si>
  <si>
    <t>AGXCR0020</t>
  </si>
  <si>
    <t>ALCAPLANT NEW</t>
  </si>
  <si>
    <t>AN0020</t>
  </si>
  <si>
    <t>BPLUS0001</t>
  </si>
  <si>
    <t>BOROCAL PLUS, 1 KG</t>
  </si>
  <si>
    <t>BR-590005</t>
  </si>
  <si>
    <t>BR-59</t>
  </si>
  <si>
    <t>F-A0001</t>
  </si>
  <si>
    <t>FITOLIN-AGRO, 1 L</t>
  </si>
  <si>
    <t>F-A0005</t>
  </si>
  <si>
    <t>FITOLIN-AGRO, 5 L</t>
  </si>
  <si>
    <t>FLORCR0001</t>
  </si>
  <si>
    <t>FLORAMEC CR, 1 L</t>
  </si>
  <si>
    <t>FLORCR0005</t>
  </si>
  <si>
    <t>FLORAMEC</t>
  </si>
  <si>
    <t>G30001</t>
  </si>
  <si>
    <t>GREEN-UP, 1 L</t>
  </si>
  <si>
    <t>G30005</t>
  </si>
  <si>
    <t>GREEN-UP, 5 L</t>
  </si>
  <si>
    <t>SSEG0001</t>
  </si>
  <si>
    <t>SALWAX CALCIO</t>
  </si>
  <si>
    <t>SSEG0005</t>
  </si>
  <si>
    <t>SALWAX CALCIO EGIPTO, 5 KG</t>
  </si>
  <si>
    <t>ESPAÑA</t>
  </si>
  <si>
    <t>SSEG0020</t>
  </si>
  <si>
    <t>SALWAX CALCIO EGIPTO, 20 KG</t>
  </si>
  <si>
    <t>ECUADOR (incluidas las Islas Galápagos)</t>
  </si>
  <si>
    <t>ECUAQUIMICA</t>
  </si>
  <si>
    <t>C-CU0001</t>
  </si>
  <si>
    <t>CODICOBRE</t>
  </si>
  <si>
    <t>COSTA RICA</t>
  </si>
  <si>
    <t>EUROFERTIL, S.A.</t>
  </si>
  <si>
    <t>A-500005</t>
  </si>
  <si>
    <t>CODIORGAN-A50, 5 KG</t>
  </si>
  <si>
    <t>A-500020</t>
  </si>
  <si>
    <t>CODIORGAN  A-50</t>
  </si>
  <si>
    <t>AGMG0005</t>
  </si>
  <si>
    <t>AGROXILATO-MG, 5 KG (EXPORT)</t>
  </si>
  <si>
    <t>AGMG0020</t>
  </si>
  <si>
    <t>AGROXILATO MG, 20 KG (EXPORT)</t>
  </si>
  <si>
    <t>AGXCR1000</t>
  </si>
  <si>
    <t>AGZN0001</t>
  </si>
  <si>
    <t>AGROXILATO Zn</t>
  </si>
  <si>
    <t>AGZN0005</t>
  </si>
  <si>
    <t>AGROXILATO-ZN 16%,  5 KG (EXPORT)</t>
  </si>
  <si>
    <t>ALCAPLANT</t>
  </si>
  <si>
    <t>B1000</t>
  </si>
  <si>
    <t>BOROCAL, 1000 L</t>
  </si>
  <si>
    <t>C-CU1000</t>
  </si>
  <si>
    <t>CODIR1000</t>
  </si>
  <si>
    <t>CODIRESIST</t>
  </si>
  <si>
    <t>DECA0005</t>
  </si>
  <si>
    <t>DEFENS-CA-AE</t>
  </si>
  <si>
    <t>F-A1000</t>
  </si>
  <si>
    <t>FITOLIN AGRO</t>
  </si>
  <si>
    <t>FLORCR1000</t>
  </si>
  <si>
    <t>G1000</t>
  </si>
  <si>
    <t>TRANSLOCADOR</t>
  </si>
  <si>
    <t>PT1000</t>
  </si>
  <si>
    <t>POTASION PLUS</t>
  </si>
  <si>
    <t>SPCE20001</t>
  </si>
  <si>
    <t>SPRINTENE ZNMN 1L</t>
  </si>
  <si>
    <t>SPCE20005</t>
  </si>
  <si>
    <t>SPRINTENE ZNMN 5L</t>
  </si>
  <si>
    <t>SS0001</t>
  </si>
  <si>
    <t>SALWAX-CA, 1 KG</t>
  </si>
  <si>
    <t>SS0005</t>
  </si>
  <si>
    <t>SALWAX-CA, 5 KG</t>
  </si>
  <si>
    <t>SS0020</t>
  </si>
  <si>
    <t>SAL WAX MAX</t>
  </si>
  <si>
    <t xml:space="preserve">EUROFERTIL, S.A.    </t>
  </si>
  <si>
    <t>AGROXILATO-K, 1000 L</t>
  </si>
  <si>
    <t>ALCAPLANT, 5 KG</t>
  </si>
  <si>
    <t>ALCAPLANT, 20 KG</t>
  </si>
  <si>
    <t>FORTALEZA, 1000 L</t>
  </si>
  <si>
    <t>CODICOBRE, 1000 L</t>
  </si>
  <si>
    <t>CODIRESIST, 1000 L</t>
  </si>
  <si>
    <t>DEFENS-CA-AE, 5 KG</t>
  </si>
  <si>
    <t xml:space="preserve">FITOLIN AGRO, 1000 L </t>
  </si>
  <si>
    <t>NB1000</t>
  </si>
  <si>
    <t>NITROBALANCE, 1000 L</t>
  </si>
  <si>
    <t>SAL WAX MAX, 20 KG</t>
  </si>
  <si>
    <t>PERÚ</t>
  </si>
  <si>
    <t>HORTIFRUT - PERU, S.A.C.</t>
  </si>
  <si>
    <t>ALCAPLANT NEW, 20 KG</t>
  </si>
  <si>
    <t>DOMINICANA, REPÚBLICA</t>
  </si>
  <si>
    <t>JUAN JIMENEZ, SRL</t>
  </si>
  <si>
    <t>A-50(2)0001</t>
  </si>
  <si>
    <t>CODIORGAN A-50</t>
  </si>
  <si>
    <t>AGXK0001</t>
  </si>
  <si>
    <t>B0001</t>
  </si>
  <si>
    <t>BOROCAL</t>
  </si>
  <si>
    <t>BIO0001</t>
  </si>
  <si>
    <t>BIORAD-20</t>
  </si>
  <si>
    <t>BIO0005</t>
  </si>
  <si>
    <t>BIO0020</t>
  </si>
  <si>
    <t>C-L0001</t>
  </si>
  <si>
    <t>CODIBOR-L, 1 L</t>
  </si>
  <si>
    <t>FITOLIN-AGRO</t>
  </si>
  <si>
    <t>FLOR0001</t>
  </si>
  <si>
    <t>FU0001</t>
  </si>
  <si>
    <t>FULVIGIN</t>
  </si>
  <si>
    <t>LP0001</t>
  </si>
  <si>
    <t>LAVAPLANT GRANEL</t>
  </si>
  <si>
    <t>LP0005</t>
  </si>
  <si>
    <t>LAVAPLANT, 5 L</t>
  </si>
  <si>
    <t>MPH0001</t>
  </si>
  <si>
    <t>MOJALINE</t>
  </si>
  <si>
    <t>MPH0005</t>
  </si>
  <si>
    <t>MOJALINE NL, 5 L</t>
  </si>
  <si>
    <t>PT0001</t>
  </si>
  <si>
    <t>AGROPOTASION</t>
  </si>
  <si>
    <t>PT0005</t>
  </si>
  <si>
    <t>AGROPOTASION, 5 L</t>
  </si>
  <si>
    <t>SPCE2B0001</t>
  </si>
  <si>
    <t>SPRINTENE</t>
  </si>
  <si>
    <t>SAL-WAX</t>
  </si>
  <si>
    <t>START20001</t>
  </si>
  <si>
    <t>RADISOL</t>
  </si>
  <si>
    <t>NETHERLANS</t>
  </si>
  <si>
    <t>LEKKERBIO B.V.</t>
  </si>
  <si>
    <t>AGXK0020</t>
  </si>
  <si>
    <t>AO0020</t>
  </si>
  <si>
    <t>SAL-WAX-Ca</t>
  </si>
  <si>
    <t>PANAMÁ</t>
  </si>
  <si>
    <t>SERVICIOS AGROPECUARIOS EL LLANO, S. A.</t>
  </si>
  <si>
    <t>AGROXILATO-K  (0-5-20), 1 L</t>
  </si>
  <si>
    <t>AGROXILATO-K (0-5-20), 5 Lts.</t>
  </si>
  <si>
    <t>CODIR0001</t>
  </si>
  <si>
    <t>CODIRESIST, 1 L</t>
  </si>
  <si>
    <t>CODIR0005</t>
  </si>
  <si>
    <t>CODIRESIST, 5 L</t>
  </si>
  <si>
    <t>G0001</t>
  </si>
  <si>
    <t>G0005</t>
  </si>
  <si>
    <t xml:space="preserve">SERVICIOS AGROPECUARIOS EL LLANO, S. A. </t>
  </si>
  <si>
    <t>A-500001</t>
  </si>
  <si>
    <t>CODIORGAN-A50, 1 KG</t>
  </si>
  <si>
    <t>AGROXILATO-K, 1 L</t>
  </si>
  <si>
    <t>AGROXILATO-K, 5 L</t>
  </si>
  <si>
    <t>FORTALEZA,1 L</t>
  </si>
  <si>
    <t>CODICOBRE, 1 L</t>
  </si>
  <si>
    <t>C-CU0005</t>
  </si>
  <si>
    <t>CODICOBRE, 5 L</t>
  </si>
  <si>
    <t>SERVFLETE</t>
  </si>
  <si>
    <t>FREIGHT</t>
  </si>
  <si>
    <t>SERVSEGURO</t>
  </si>
  <si>
    <t>INSURANCE</t>
  </si>
  <si>
    <t>SPCE0001</t>
  </si>
  <si>
    <t>SPRINTENE ABONO CE, 1 L</t>
  </si>
  <si>
    <t>SAL WAX MAX, 1 KG</t>
  </si>
  <si>
    <t>TOTAL CONSOLIDADO - RICARDO (UNIDADES)</t>
  </si>
  <si>
    <t>Adelanto de pedidos</t>
  </si>
  <si>
    <t>Campaña habitual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</si>
</sst>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10"/>
      <color rgb="FF94A3B8"/>
      <name val="Segoe UI"/>
      <family val="2"/>
    </font>
    <font>
      <b/>
      <sz val="9"/>
      <color rgb="FF1E293B"/>
      <name val="Segoe UI"/>
      <family val="2"/>
    </font>
    <font>
      <b/>
      <sz val="10"/>
      <color rgb="FFFFFFFF"/>
      <name val="Segoe UI"/>
      <family val="2"/>
    </font>
    <font>
      <b/>
      <sz val="9"/>
      <color rgb="FFFFFFFF"/>
      <name val="Segoe UI"/>
      <family val="2"/>
    </font>
    <font>
      <sz val="9"/>
      <color rgb="FF1E293B"/>
      <name val="Segoe UI"/>
      <family val="2"/>
    </font>
    <font>
      <b/>
      <sz val="9"/>
      <color rgb="FF0F172A"/>
      <name val="Segoe UI"/>
      <family val="2"/>
    </font>
    <font>
      <b/>
      <sz val="9"/>
      <color rgb="FF065F46"/>
      <name val="Segoe UI"/>
      <family val="2"/>
    </font>
    <font>
      <b/>
      <sz val="10"/>
      <color rgb="FF0F172A"/>
      <name val="Segoe UI"/>
      <family val="2"/>
    </font>
    <font>
      <b/>
      <sz val="9"/>
      <color rgb="FF64748B"/>
      <name val="Segoe UI"/>
      <family val="2"/>
    </font>
    <font>
      <b/>
      <sz val="13"/>
      <color rgb="FF1D4ED8"/>
      <name val="Segoe UI"/>
      <family val="2"/>
    </font>
    <font>
      <b/>
      <sz val="13"/>
      <color rgb="FF047857"/>
      <name val="Segoe UI"/>
      <family val="2"/>
    </font>
    <font>
      <b/>
      <sz val="13"/>
      <color rgb="FF0F172A"/>
      <name val="Segoe UI"/>
      <family val="2"/>
    </font>
    <font>
      <b/>
      <sz val="13"/>
      <color rgb="FFB45309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/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166" fontId="11" fillId="4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0" fontId="1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167" fontId="14" fillId="16" borderId="1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11"/>
  <sheetViews>
    <sheetView tabSelected="1" topLeftCell="C85" zoomScale="60" zoomScaleNormal="60" workbookViewId="0">
      <selection activeCell="O105" sqref="O105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34" customWidth="1"/>
    <col min="4" max="4" width="14" customWidth="1"/>
    <col min="5" max="5" width="32" customWidth="1"/>
    <col min="6" max="6" width="16" customWidth="1"/>
    <col min="7" max="7" width="15" customWidth="1"/>
    <col min="8" max="8" width="14" customWidth="1"/>
    <col min="9" max="9" width="13" customWidth="1"/>
    <col min="10" max="10" width="32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8" width="17" customWidth="1"/>
    <col min="19" max="19" width="15" customWidth="1"/>
    <col min="20" max="20" width="34" customWidth="1"/>
  </cols>
  <sheetData>
    <row r="2" spans="2:20" ht="36" customHeight="1" x14ac:dyDescent="0.25">
      <c r="B2" s="33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2:20" ht="20.100000000000001" customHeight="1" x14ac:dyDescent="0.25">
      <c r="B3" s="26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2:20" ht="26.1" customHeight="1" x14ac:dyDescent="0.25">
      <c r="B4" s="23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2:20" ht="15.95" customHeight="1" x14ac:dyDescent="0.25">
      <c r="B5" s="27" t="s">
        <v>3</v>
      </c>
      <c r="C5" s="19"/>
      <c r="D5" s="19"/>
      <c r="E5" s="18" t="s">
        <v>4</v>
      </c>
      <c r="F5" s="19"/>
      <c r="G5" s="19"/>
      <c r="H5" s="29" t="s">
        <v>5</v>
      </c>
      <c r="I5" s="19"/>
      <c r="J5" s="19"/>
      <c r="K5" s="27" t="s">
        <v>6</v>
      </c>
      <c r="L5" s="19"/>
      <c r="M5" s="19"/>
      <c r="N5" s="18" t="s">
        <v>7</v>
      </c>
      <c r="O5" s="19"/>
      <c r="P5" s="19"/>
      <c r="Q5" s="30" t="s">
        <v>8</v>
      </c>
      <c r="R5" s="19"/>
      <c r="S5" s="19"/>
      <c r="T5" s="19"/>
    </row>
    <row r="6" spans="2:20" ht="26.1" customHeight="1" x14ac:dyDescent="0.25">
      <c r="B6" s="24">
        <f>F111</f>
        <v>46000</v>
      </c>
      <c r="C6" s="19"/>
      <c r="D6" s="19"/>
      <c r="E6" s="20">
        <f>G111</f>
        <v>54908</v>
      </c>
      <c r="F6" s="19"/>
      <c r="G6" s="19"/>
      <c r="H6" s="36">
        <f>I111</f>
        <v>1.1936521739130435</v>
      </c>
      <c r="I6" s="19"/>
      <c r="J6" s="19"/>
      <c r="K6" s="24">
        <f>Q111</f>
        <v>553572</v>
      </c>
      <c r="L6" s="19"/>
      <c r="M6" s="19"/>
      <c r="N6" s="20">
        <f>R111</f>
        <v>564792</v>
      </c>
      <c r="O6" s="19"/>
      <c r="P6" s="19"/>
      <c r="Q6" s="35">
        <f>S111</f>
        <v>11220</v>
      </c>
      <c r="R6" s="19"/>
      <c r="S6" s="19"/>
      <c r="T6" s="19"/>
    </row>
    <row r="8" spans="2:20" ht="21.95" customHeight="1" x14ac:dyDescent="0.25">
      <c r="B8" s="34" t="s">
        <v>9</v>
      </c>
      <c r="C8" s="22"/>
      <c r="D8" s="22"/>
      <c r="E8" s="22"/>
      <c r="F8" s="25" t="s">
        <v>10</v>
      </c>
      <c r="G8" s="22"/>
      <c r="H8" s="22"/>
      <c r="I8" s="22"/>
      <c r="J8" s="22"/>
      <c r="K8" s="21" t="s">
        <v>11</v>
      </c>
      <c r="L8" s="22"/>
      <c r="M8" s="22"/>
      <c r="N8" s="22"/>
      <c r="O8" s="22"/>
      <c r="P8" s="22"/>
      <c r="Q8" s="28" t="s">
        <v>12</v>
      </c>
      <c r="R8" s="22"/>
      <c r="S8" s="22"/>
      <c r="T8" s="22"/>
    </row>
    <row r="9" spans="2:20" ht="27.95" customHeight="1" x14ac:dyDescent="0.25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2:20" ht="20.100000000000001" customHeight="1" x14ac:dyDescent="0.25">
      <c r="B10" s="4" t="s">
        <v>32</v>
      </c>
      <c r="C10" s="5" t="s">
        <v>33</v>
      </c>
      <c r="D10" s="4" t="s">
        <v>34</v>
      </c>
      <c r="E10" s="5" t="s">
        <v>35</v>
      </c>
      <c r="F10" s="6">
        <v>0</v>
      </c>
      <c r="G10" s="7">
        <v>0</v>
      </c>
      <c r="H10" s="6">
        <f t="shared" ref="H10:H41" si="0">ABS(G10-F10)</f>
        <v>0</v>
      </c>
      <c r="I10" s="8">
        <f t="shared" ref="I10:I41" si="1">IF(F10&gt;0, G10/F10, IF(G10&gt;0, 1, 0))</f>
        <v>0</v>
      </c>
      <c r="J10" s="9"/>
      <c r="K10" s="10">
        <v>200</v>
      </c>
      <c r="L10" s="11">
        <v>200</v>
      </c>
      <c r="M10" s="10">
        <v>0</v>
      </c>
      <c r="N10" s="11">
        <v>0</v>
      </c>
      <c r="O10" s="10">
        <v>0</v>
      </c>
      <c r="P10" s="11">
        <v>0</v>
      </c>
      <c r="Q10" s="6">
        <f t="shared" ref="Q10:Q41" si="2">K10+M10+O10</f>
        <v>200</v>
      </c>
      <c r="R10" s="7">
        <f t="shared" ref="R10:R41" si="3">L10+N10+P10</f>
        <v>200</v>
      </c>
      <c r="S10" s="12">
        <f t="shared" ref="S10:S41" si="4">R10-Q10</f>
        <v>0</v>
      </c>
      <c r="T10" s="13"/>
    </row>
    <row r="11" spans="2:20" ht="20.100000000000001" customHeight="1" x14ac:dyDescent="0.25">
      <c r="B11" s="4" t="s">
        <v>32</v>
      </c>
      <c r="C11" s="5" t="s">
        <v>33</v>
      </c>
      <c r="D11" s="4" t="s">
        <v>36</v>
      </c>
      <c r="E11" s="5" t="s">
        <v>37</v>
      </c>
      <c r="F11" s="6">
        <v>0</v>
      </c>
      <c r="G11" s="7">
        <v>3000</v>
      </c>
      <c r="H11" s="6">
        <f t="shared" si="0"/>
        <v>3000</v>
      </c>
      <c r="I11" s="8">
        <f t="shared" si="1"/>
        <v>1</v>
      </c>
      <c r="J11" s="9" t="s">
        <v>198</v>
      </c>
      <c r="K11" s="10">
        <v>3000</v>
      </c>
      <c r="L11" s="11">
        <v>0</v>
      </c>
      <c r="M11" s="10">
        <v>0</v>
      </c>
      <c r="N11" s="11">
        <v>0</v>
      </c>
      <c r="O11" s="10">
        <v>3000</v>
      </c>
      <c r="P11" s="11">
        <v>3000</v>
      </c>
      <c r="Q11" s="6">
        <f t="shared" si="2"/>
        <v>6000</v>
      </c>
      <c r="R11" s="7">
        <f t="shared" si="3"/>
        <v>3000</v>
      </c>
      <c r="S11" s="12">
        <f t="shared" si="4"/>
        <v>-3000</v>
      </c>
      <c r="T11" s="13"/>
    </row>
    <row r="12" spans="2:20" ht="20.100000000000001" customHeight="1" x14ac:dyDescent="0.25">
      <c r="B12" s="4" t="s">
        <v>38</v>
      </c>
      <c r="C12" s="5" t="s">
        <v>39</v>
      </c>
      <c r="D12" s="4" t="s">
        <v>40</v>
      </c>
      <c r="E12" s="5" t="s">
        <v>41</v>
      </c>
      <c r="F12" s="6">
        <v>0</v>
      </c>
      <c r="G12" s="7">
        <v>0</v>
      </c>
      <c r="H12" s="6">
        <f t="shared" si="0"/>
        <v>0</v>
      </c>
      <c r="I12" s="8">
        <f t="shared" si="1"/>
        <v>0</v>
      </c>
      <c r="J12" s="9"/>
      <c r="K12" s="10">
        <v>0</v>
      </c>
      <c r="L12" s="11">
        <v>0</v>
      </c>
      <c r="M12" s="10">
        <v>0</v>
      </c>
      <c r="N12" s="11">
        <v>0</v>
      </c>
      <c r="O12" s="10">
        <v>220000</v>
      </c>
      <c r="P12" s="11">
        <v>220000</v>
      </c>
      <c r="Q12" s="6">
        <f t="shared" si="2"/>
        <v>220000</v>
      </c>
      <c r="R12" s="7">
        <f t="shared" si="3"/>
        <v>220000</v>
      </c>
      <c r="S12" s="12">
        <f t="shared" si="4"/>
        <v>0</v>
      </c>
      <c r="T12" s="13"/>
    </row>
    <row r="13" spans="2:20" ht="20.100000000000001" customHeight="1" x14ac:dyDescent="0.25">
      <c r="B13" s="4" t="s">
        <v>42</v>
      </c>
      <c r="C13" s="5" t="s">
        <v>43</v>
      </c>
      <c r="D13" s="4" t="s">
        <v>44</v>
      </c>
      <c r="E13" s="5" t="s">
        <v>45</v>
      </c>
      <c r="F13" s="6">
        <v>0</v>
      </c>
      <c r="G13" s="7">
        <v>840</v>
      </c>
      <c r="H13" s="6">
        <f t="shared" si="0"/>
        <v>840</v>
      </c>
      <c r="I13" s="8">
        <f t="shared" si="1"/>
        <v>1</v>
      </c>
      <c r="J13" s="9" t="s">
        <v>198</v>
      </c>
      <c r="K13" s="10">
        <v>0</v>
      </c>
      <c r="L13" s="11">
        <v>0</v>
      </c>
      <c r="M13" s="10">
        <v>600</v>
      </c>
      <c r="N13" s="11">
        <v>0</v>
      </c>
      <c r="O13" s="10">
        <v>0</v>
      </c>
      <c r="P13" s="11">
        <v>600</v>
      </c>
      <c r="Q13" s="6">
        <f t="shared" si="2"/>
        <v>600</v>
      </c>
      <c r="R13" s="7">
        <f t="shared" si="3"/>
        <v>600</v>
      </c>
      <c r="S13" s="12">
        <f t="shared" si="4"/>
        <v>0</v>
      </c>
      <c r="T13" s="13"/>
    </row>
    <row r="14" spans="2:20" ht="20.100000000000001" customHeight="1" x14ac:dyDescent="0.25">
      <c r="B14" s="4" t="s">
        <v>42</v>
      </c>
      <c r="C14" s="5" t="s">
        <v>43</v>
      </c>
      <c r="D14" s="4" t="s">
        <v>46</v>
      </c>
      <c r="E14" s="5" t="s">
        <v>45</v>
      </c>
      <c r="F14" s="6">
        <v>0</v>
      </c>
      <c r="G14" s="7">
        <v>0</v>
      </c>
      <c r="H14" s="6">
        <f t="shared" si="0"/>
        <v>0</v>
      </c>
      <c r="I14" s="8">
        <f t="shared" si="1"/>
        <v>0</v>
      </c>
      <c r="J14" s="9"/>
      <c r="K14" s="10">
        <v>0</v>
      </c>
      <c r="L14" s="11">
        <v>0</v>
      </c>
      <c r="M14" s="10">
        <v>1000</v>
      </c>
      <c r="N14" s="11">
        <v>0</v>
      </c>
      <c r="O14" s="10">
        <v>0</v>
      </c>
      <c r="P14" s="11">
        <v>1000</v>
      </c>
      <c r="Q14" s="6">
        <f t="shared" si="2"/>
        <v>1000</v>
      </c>
      <c r="R14" s="7">
        <f t="shared" si="3"/>
        <v>1000</v>
      </c>
      <c r="S14" s="12">
        <f t="shared" si="4"/>
        <v>0</v>
      </c>
      <c r="T14" s="13"/>
    </row>
    <row r="15" spans="2:20" ht="20.100000000000001" customHeight="1" x14ac:dyDescent="0.25">
      <c r="B15" s="4" t="s">
        <v>42</v>
      </c>
      <c r="C15" s="5" t="s">
        <v>43</v>
      </c>
      <c r="D15" s="4" t="s">
        <v>47</v>
      </c>
      <c r="E15" s="5" t="s">
        <v>45</v>
      </c>
      <c r="F15" s="6">
        <v>0</v>
      </c>
      <c r="G15" s="7">
        <v>2000</v>
      </c>
      <c r="H15" s="6">
        <f t="shared" si="0"/>
        <v>2000</v>
      </c>
      <c r="I15" s="8">
        <f t="shared" si="1"/>
        <v>1</v>
      </c>
      <c r="J15" s="9" t="s">
        <v>198</v>
      </c>
      <c r="K15" s="10">
        <v>0</v>
      </c>
      <c r="L15" s="11">
        <v>0</v>
      </c>
      <c r="M15" s="10">
        <v>800</v>
      </c>
      <c r="N15" s="11">
        <v>0</v>
      </c>
      <c r="O15" s="10">
        <v>0</v>
      </c>
      <c r="P15" s="11">
        <v>0</v>
      </c>
      <c r="Q15" s="6">
        <f t="shared" si="2"/>
        <v>800</v>
      </c>
      <c r="R15" s="7">
        <f t="shared" si="3"/>
        <v>0</v>
      </c>
      <c r="S15" s="12">
        <f t="shared" si="4"/>
        <v>-800</v>
      </c>
      <c r="T15" s="13"/>
    </row>
    <row r="16" spans="2:20" ht="20.100000000000001" customHeight="1" x14ac:dyDescent="0.25">
      <c r="B16" s="4" t="s">
        <v>42</v>
      </c>
      <c r="C16" s="5" t="s">
        <v>43</v>
      </c>
      <c r="D16" s="4" t="s">
        <v>34</v>
      </c>
      <c r="E16" s="5" t="s">
        <v>48</v>
      </c>
      <c r="F16" s="6">
        <v>0</v>
      </c>
      <c r="G16" s="7">
        <v>0</v>
      </c>
      <c r="H16" s="6">
        <f t="shared" si="0"/>
        <v>0</v>
      </c>
      <c r="I16" s="8">
        <f t="shared" si="1"/>
        <v>0</v>
      </c>
      <c r="J16" s="9"/>
      <c r="K16" s="10">
        <v>0</v>
      </c>
      <c r="L16" s="11">
        <v>0</v>
      </c>
      <c r="M16" s="10">
        <v>15400</v>
      </c>
      <c r="N16" s="11">
        <v>0</v>
      </c>
      <c r="O16" s="10">
        <v>0</v>
      </c>
      <c r="P16" s="11">
        <v>11000</v>
      </c>
      <c r="Q16" s="6">
        <f t="shared" si="2"/>
        <v>15400</v>
      </c>
      <c r="R16" s="7">
        <f t="shared" si="3"/>
        <v>11000</v>
      </c>
      <c r="S16" s="12">
        <f t="shared" si="4"/>
        <v>-4400</v>
      </c>
      <c r="T16" s="13"/>
    </row>
    <row r="17" spans="2:20" ht="20.100000000000001" customHeight="1" x14ac:dyDescent="0.25">
      <c r="B17" s="4" t="s">
        <v>42</v>
      </c>
      <c r="C17" s="5" t="s">
        <v>43</v>
      </c>
      <c r="D17" s="4" t="s">
        <v>49</v>
      </c>
      <c r="E17" s="5" t="s">
        <v>48</v>
      </c>
      <c r="F17" s="6">
        <v>0</v>
      </c>
      <c r="G17" s="7">
        <v>4000</v>
      </c>
      <c r="H17" s="6">
        <f t="shared" si="0"/>
        <v>4000</v>
      </c>
      <c r="I17" s="8">
        <f t="shared" si="1"/>
        <v>1</v>
      </c>
      <c r="J17" s="9" t="s">
        <v>198</v>
      </c>
      <c r="K17" s="10">
        <v>0</v>
      </c>
      <c r="L17" s="11">
        <v>0</v>
      </c>
      <c r="M17" s="10">
        <v>7000</v>
      </c>
      <c r="N17" s="11">
        <v>0</v>
      </c>
      <c r="O17" s="10">
        <v>0</v>
      </c>
      <c r="P17" s="11">
        <v>5000</v>
      </c>
      <c r="Q17" s="6">
        <f t="shared" si="2"/>
        <v>7000</v>
      </c>
      <c r="R17" s="7">
        <f t="shared" si="3"/>
        <v>5000</v>
      </c>
      <c r="S17" s="12">
        <f t="shared" si="4"/>
        <v>-2000</v>
      </c>
      <c r="T17" s="13"/>
    </row>
    <row r="18" spans="2:20" ht="20.100000000000001" customHeight="1" x14ac:dyDescent="0.25">
      <c r="B18" s="4" t="s">
        <v>42</v>
      </c>
      <c r="C18" s="5" t="s">
        <v>43</v>
      </c>
      <c r="D18" s="4" t="s">
        <v>50</v>
      </c>
      <c r="E18" s="5" t="s">
        <v>51</v>
      </c>
      <c r="F18" s="6">
        <v>0</v>
      </c>
      <c r="G18" s="7">
        <v>0</v>
      </c>
      <c r="H18" s="6">
        <f t="shared" si="0"/>
        <v>0</v>
      </c>
      <c r="I18" s="8">
        <f t="shared" si="1"/>
        <v>0</v>
      </c>
      <c r="J18" s="9"/>
      <c r="K18" s="10">
        <v>0</v>
      </c>
      <c r="L18" s="11">
        <v>0</v>
      </c>
      <c r="M18" s="10">
        <v>320</v>
      </c>
      <c r="N18" s="11">
        <v>320</v>
      </c>
      <c r="O18" s="10">
        <v>0</v>
      </c>
      <c r="P18" s="11">
        <v>0</v>
      </c>
      <c r="Q18" s="6">
        <f t="shared" si="2"/>
        <v>320</v>
      </c>
      <c r="R18" s="7">
        <f t="shared" si="3"/>
        <v>320</v>
      </c>
      <c r="S18" s="12">
        <f t="shared" si="4"/>
        <v>0</v>
      </c>
      <c r="T18" s="13"/>
    </row>
    <row r="19" spans="2:20" ht="20.100000000000001" customHeight="1" x14ac:dyDescent="0.25">
      <c r="B19" s="4" t="s">
        <v>42</v>
      </c>
      <c r="C19" s="5" t="s">
        <v>43</v>
      </c>
      <c r="D19" s="4" t="s">
        <v>52</v>
      </c>
      <c r="E19" s="5" t="s">
        <v>53</v>
      </c>
      <c r="F19" s="6">
        <v>0</v>
      </c>
      <c r="G19" s="7">
        <v>0</v>
      </c>
      <c r="H19" s="6">
        <f t="shared" si="0"/>
        <v>0</v>
      </c>
      <c r="I19" s="8">
        <f t="shared" si="1"/>
        <v>0</v>
      </c>
      <c r="J19" s="9"/>
      <c r="K19" s="10">
        <v>0</v>
      </c>
      <c r="L19" s="11">
        <v>0</v>
      </c>
      <c r="M19" s="10">
        <v>300</v>
      </c>
      <c r="N19" s="11">
        <v>300</v>
      </c>
      <c r="O19" s="10">
        <v>0</v>
      </c>
      <c r="P19" s="11">
        <v>0</v>
      </c>
      <c r="Q19" s="6">
        <f t="shared" si="2"/>
        <v>300</v>
      </c>
      <c r="R19" s="7">
        <f t="shared" si="3"/>
        <v>300</v>
      </c>
      <c r="S19" s="12">
        <f t="shared" si="4"/>
        <v>0</v>
      </c>
      <c r="T19" s="13"/>
    </row>
    <row r="20" spans="2:20" ht="20.100000000000001" customHeight="1" x14ac:dyDescent="0.25">
      <c r="B20" s="4" t="s">
        <v>42</v>
      </c>
      <c r="C20" s="5" t="s">
        <v>43</v>
      </c>
      <c r="D20" s="4" t="s">
        <v>54</v>
      </c>
      <c r="E20" s="5" t="s">
        <v>55</v>
      </c>
      <c r="F20" s="6">
        <v>0</v>
      </c>
      <c r="G20" s="7">
        <v>0</v>
      </c>
      <c r="H20" s="6">
        <f t="shared" si="0"/>
        <v>0</v>
      </c>
      <c r="I20" s="8">
        <f t="shared" si="1"/>
        <v>0</v>
      </c>
      <c r="J20" s="9"/>
      <c r="K20" s="10">
        <v>0</v>
      </c>
      <c r="L20" s="11">
        <v>0</v>
      </c>
      <c r="M20" s="10">
        <v>240</v>
      </c>
      <c r="N20" s="11">
        <v>240</v>
      </c>
      <c r="O20" s="10">
        <v>0</v>
      </c>
      <c r="P20" s="11">
        <v>0</v>
      </c>
      <c r="Q20" s="6">
        <f t="shared" si="2"/>
        <v>240</v>
      </c>
      <c r="R20" s="7">
        <f t="shared" si="3"/>
        <v>240</v>
      </c>
      <c r="S20" s="12">
        <f t="shared" si="4"/>
        <v>0</v>
      </c>
      <c r="T20" s="13"/>
    </row>
    <row r="21" spans="2:20" ht="20.100000000000001" customHeight="1" x14ac:dyDescent="0.25">
      <c r="B21" s="4" t="s">
        <v>42</v>
      </c>
      <c r="C21" s="5" t="s">
        <v>43</v>
      </c>
      <c r="D21" s="4" t="s">
        <v>56</v>
      </c>
      <c r="E21" s="5" t="s">
        <v>57</v>
      </c>
      <c r="F21" s="6">
        <v>0</v>
      </c>
      <c r="G21" s="7">
        <v>0</v>
      </c>
      <c r="H21" s="6">
        <f t="shared" si="0"/>
        <v>0</v>
      </c>
      <c r="I21" s="8">
        <f t="shared" si="1"/>
        <v>0</v>
      </c>
      <c r="J21" s="9"/>
      <c r="K21" s="10">
        <v>0</v>
      </c>
      <c r="L21" s="11">
        <v>0</v>
      </c>
      <c r="M21" s="10">
        <v>200</v>
      </c>
      <c r="N21" s="11">
        <v>200</v>
      </c>
      <c r="O21" s="10">
        <v>0</v>
      </c>
      <c r="P21" s="11">
        <v>0</v>
      </c>
      <c r="Q21" s="6">
        <f t="shared" si="2"/>
        <v>200</v>
      </c>
      <c r="R21" s="7">
        <f t="shared" si="3"/>
        <v>200</v>
      </c>
      <c r="S21" s="12">
        <f t="shared" si="4"/>
        <v>0</v>
      </c>
      <c r="T21" s="13"/>
    </row>
    <row r="22" spans="2:20" ht="20.100000000000001" customHeight="1" x14ac:dyDescent="0.25">
      <c r="B22" s="4" t="s">
        <v>42</v>
      </c>
      <c r="C22" s="5" t="s">
        <v>43</v>
      </c>
      <c r="D22" s="4" t="s">
        <v>58</v>
      </c>
      <c r="E22" s="5" t="s">
        <v>59</v>
      </c>
      <c r="F22" s="6">
        <v>0</v>
      </c>
      <c r="G22" s="7">
        <v>0</v>
      </c>
      <c r="H22" s="6">
        <f t="shared" si="0"/>
        <v>0</v>
      </c>
      <c r="I22" s="8">
        <f t="shared" si="1"/>
        <v>0</v>
      </c>
      <c r="J22" s="9"/>
      <c r="K22" s="10">
        <v>0</v>
      </c>
      <c r="L22" s="11">
        <v>0</v>
      </c>
      <c r="M22" s="10">
        <v>200</v>
      </c>
      <c r="N22" s="11">
        <v>200</v>
      </c>
      <c r="O22" s="10">
        <v>0</v>
      </c>
      <c r="P22" s="11">
        <v>0</v>
      </c>
      <c r="Q22" s="6">
        <f t="shared" si="2"/>
        <v>200</v>
      </c>
      <c r="R22" s="7">
        <f t="shared" si="3"/>
        <v>200</v>
      </c>
      <c r="S22" s="12">
        <f t="shared" si="4"/>
        <v>0</v>
      </c>
      <c r="T22" s="13"/>
    </row>
    <row r="23" spans="2:20" ht="20.100000000000001" customHeight="1" x14ac:dyDescent="0.25">
      <c r="B23" s="4" t="s">
        <v>42</v>
      </c>
      <c r="C23" s="5" t="s">
        <v>43</v>
      </c>
      <c r="D23" s="4" t="s">
        <v>60</v>
      </c>
      <c r="E23" s="5" t="s">
        <v>61</v>
      </c>
      <c r="F23" s="6">
        <v>0</v>
      </c>
      <c r="G23" s="7">
        <v>0</v>
      </c>
      <c r="H23" s="6">
        <f t="shared" si="0"/>
        <v>0</v>
      </c>
      <c r="I23" s="8">
        <f t="shared" si="1"/>
        <v>0</v>
      </c>
      <c r="J23" s="9"/>
      <c r="K23" s="10">
        <v>0</v>
      </c>
      <c r="L23" s="11">
        <v>0</v>
      </c>
      <c r="M23" s="10">
        <v>200</v>
      </c>
      <c r="N23" s="11">
        <v>200</v>
      </c>
      <c r="O23" s="10">
        <v>0</v>
      </c>
      <c r="P23" s="11">
        <v>0</v>
      </c>
      <c r="Q23" s="6">
        <f t="shared" si="2"/>
        <v>200</v>
      </c>
      <c r="R23" s="7">
        <f t="shared" si="3"/>
        <v>200</v>
      </c>
      <c r="S23" s="12">
        <f t="shared" si="4"/>
        <v>0</v>
      </c>
      <c r="T23" s="13"/>
    </row>
    <row r="24" spans="2:20" ht="20.100000000000001" customHeight="1" x14ac:dyDescent="0.25">
      <c r="B24" s="4" t="s">
        <v>42</v>
      </c>
      <c r="C24" s="5" t="s">
        <v>43</v>
      </c>
      <c r="D24" s="4" t="s">
        <v>62</v>
      </c>
      <c r="E24" s="5" t="s">
        <v>63</v>
      </c>
      <c r="F24" s="6">
        <v>0</v>
      </c>
      <c r="G24" s="7">
        <v>240</v>
      </c>
      <c r="H24" s="6">
        <f t="shared" si="0"/>
        <v>240</v>
      </c>
      <c r="I24" s="8">
        <f t="shared" si="1"/>
        <v>1</v>
      </c>
      <c r="J24" s="9" t="s">
        <v>198</v>
      </c>
      <c r="K24" s="10">
        <v>0</v>
      </c>
      <c r="L24" s="11">
        <v>0</v>
      </c>
      <c r="M24" s="10">
        <v>240</v>
      </c>
      <c r="N24" s="11">
        <v>0</v>
      </c>
      <c r="O24" s="10">
        <v>0</v>
      </c>
      <c r="P24" s="11">
        <v>0</v>
      </c>
      <c r="Q24" s="6">
        <f t="shared" si="2"/>
        <v>240</v>
      </c>
      <c r="R24" s="7">
        <f t="shared" si="3"/>
        <v>0</v>
      </c>
      <c r="S24" s="12">
        <f t="shared" si="4"/>
        <v>-240</v>
      </c>
      <c r="T24" s="13"/>
    </row>
    <row r="25" spans="2:20" ht="20.100000000000001" customHeight="1" x14ac:dyDescent="0.25">
      <c r="B25" s="4" t="s">
        <v>42</v>
      </c>
      <c r="C25" s="5" t="s">
        <v>43</v>
      </c>
      <c r="D25" s="4" t="s">
        <v>64</v>
      </c>
      <c r="E25" s="5" t="s">
        <v>65</v>
      </c>
      <c r="F25" s="6">
        <v>0</v>
      </c>
      <c r="G25" s="7">
        <v>0</v>
      </c>
      <c r="H25" s="6">
        <f t="shared" si="0"/>
        <v>0</v>
      </c>
      <c r="I25" s="8">
        <f t="shared" si="1"/>
        <v>0</v>
      </c>
      <c r="J25" s="9"/>
      <c r="K25" s="10">
        <v>0</v>
      </c>
      <c r="L25" s="11">
        <v>0</v>
      </c>
      <c r="M25" s="10">
        <v>240</v>
      </c>
      <c r="N25" s="11">
        <v>0</v>
      </c>
      <c r="O25" s="10">
        <v>0</v>
      </c>
      <c r="P25" s="11">
        <v>240</v>
      </c>
      <c r="Q25" s="6">
        <f t="shared" si="2"/>
        <v>240</v>
      </c>
      <c r="R25" s="7">
        <f t="shared" si="3"/>
        <v>240</v>
      </c>
      <c r="S25" s="12">
        <f t="shared" si="4"/>
        <v>0</v>
      </c>
      <c r="T25" s="13"/>
    </row>
    <row r="26" spans="2:20" ht="20.100000000000001" customHeight="1" x14ac:dyDescent="0.25">
      <c r="B26" s="4" t="s">
        <v>42</v>
      </c>
      <c r="C26" s="5" t="s">
        <v>43</v>
      </c>
      <c r="D26" s="4" t="s">
        <v>66</v>
      </c>
      <c r="E26" s="5" t="s">
        <v>67</v>
      </c>
      <c r="F26" s="6">
        <v>0</v>
      </c>
      <c r="G26" s="7">
        <v>324</v>
      </c>
      <c r="H26" s="6">
        <f t="shared" si="0"/>
        <v>324</v>
      </c>
      <c r="I26" s="8">
        <f t="shared" si="1"/>
        <v>1</v>
      </c>
      <c r="J26" s="9" t="s">
        <v>198</v>
      </c>
      <c r="K26" s="10">
        <v>0</v>
      </c>
      <c r="L26" s="11">
        <v>0</v>
      </c>
      <c r="M26" s="10">
        <v>240</v>
      </c>
      <c r="N26" s="11">
        <v>0</v>
      </c>
      <c r="O26" s="10">
        <v>0</v>
      </c>
      <c r="P26" s="11">
        <v>0</v>
      </c>
      <c r="Q26" s="6">
        <f t="shared" si="2"/>
        <v>240</v>
      </c>
      <c r="R26" s="7">
        <f t="shared" si="3"/>
        <v>0</v>
      </c>
      <c r="S26" s="12">
        <f t="shared" si="4"/>
        <v>-240</v>
      </c>
      <c r="T26" s="13"/>
    </row>
    <row r="27" spans="2:20" ht="20.100000000000001" customHeight="1" x14ac:dyDescent="0.25">
      <c r="B27" s="4" t="s">
        <v>42</v>
      </c>
      <c r="C27" s="5" t="s">
        <v>43</v>
      </c>
      <c r="D27" s="4" t="s">
        <v>68</v>
      </c>
      <c r="E27" s="5" t="s">
        <v>69</v>
      </c>
      <c r="F27" s="6">
        <v>0</v>
      </c>
      <c r="G27" s="7">
        <v>480</v>
      </c>
      <c r="H27" s="6">
        <f t="shared" si="0"/>
        <v>480</v>
      </c>
      <c r="I27" s="8">
        <f t="shared" si="1"/>
        <v>1</v>
      </c>
      <c r="J27" s="9" t="s">
        <v>198</v>
      </c>
      <c r="K27" s="10">
        <v>0</v>
      </c>
      <c r="L27" s="11">
        <v>0</v>
      </c>
      <c r="M27" s="10">
        <v>100</v>
      </c>
      <c r="N27" s="11">
        <v>0</v>
      </c>
      <c r="O27" s="10">
        <v>0</v>
      </c>
      <c r="P27" s="11">
        <v>0</v>
      </c>
      <c r="Q27" s="6">
        <f t="shared" si="2"/>
        <v>100</v>
      </c>
      <c r="R27" s="7">
        <f t="shared" si="3"/>
        <v>0</v>
      </c>
      <c r="S27" s="12">
        <f t="shared" si="4"/>
        <v>-100</v>
      </c>
      <c r="T27" s="13"/>
    </row>
    <row r="28" spans="2:20" ht="20.100000000000001" customHeight="1" x14ac:dyDescent="0.25">
      <c r="B28" s="4" t="s">
        <v>70</v>
      </c>
      <c r="C28" s="5" t="s">
        <v>43</v>
      </c>
      <c r="D28" s="4" t="s">
        <v>71</v>
      </c>
      <c r="E28" s="5" t="s">
        <v>72</v>
      </c>
      <c r="F28" s="6">
        <v>0</v>
      </c>
      <c r="G28" s="7">
        <v>1200</v>
      </c>
      <c r="H28" s="6">
        <f t="shared" si="0"/>
        <v>1200</v>
      </c>
      <c r="I28" s="8">
        <f t="shared" si="1"/>
        <v>1</v>
      </c>
      <c r="J28" s="9" t="s">
        <v>198</v>
      </c>
      <c r="K28" s="10">
        <v>0</v>
      </c>
      <c r="L28" s="11">
        <v>0</v>
      </c>
      <c r="M28" s="10">
        <v>0</v>
      </c>
      <c r="N28" s="11">
        <v>0</v>
      </c>
      <c r="O28" s="10">
        <v>0</v>
      </c>
      <c r="P28" s="11">
        <v>0</v>
      </c>
      <c r="Q28" s="6">
        <f t="shared" si="2"/>
        <v>0</v>
      </c>
      <c r="R28" s="7">
        <f t="shared" si="3"/>
        <v>0</v>
      </c>
      <c r="S28" s="12">
        <f t="shared" si="4"/>
        <v>0</v>
      </c>
      <c r="T28" s="13"/>
    </row>
    <row r="29" spans="2:20" ht="20.100000000000001" customHeight="1" x14ac:dyDescent="0.25">
      <c r="B29" s="4" t="s">
        <v>73</v>
      </c>
      <c r="C29" s="5" t="s">
        <v>74</v>
      </c>
      <c r="D29" s="4" t="s">
        <v>34</v>
      </c>
      <c r="E29" s="5" t="s">
        <v>48</v>
      </c>
      <c r="F29" s="6">
        <v>0</v>
      </c>
      <c r="G29" s="7">
        <v>2200</v>
      </c>
      <c r="H29" s="6">
        <f t="shared" si="0"/>
        <v>2200</v>
      </c>
      <c r="I29" s="8">
        <f t="shared" si="1"/>
        <v>1</v>
      </c>
      <c r="J29" s="9" t="s">
        <v>198</v>
      </c>
      <c r="K29" s="10">
        <v>4400</v>
      </c>
      <c r="L29" s="11">
        <v>4400</v>
      </c>
      <c r="M29" s="10">
        <v>0</v>
      </c>
      <c r="N29" s="11">
        <v>0</v>
      </c>
      <c r="O29" s="10">
        <v>0</v>
      </c>
      <c r="P29" s="11">
        <v>0</v>
      </c>
      <c r="Q29" s="6">
        <f t="shared" si="2"/>
        <v>4400</v>
      </c>
      <c r="R29" s="7">
        <f t="shared" si="3"/>
        <v>4400</v>
      </c>
      <c r="S29" s="12">
        <f t="shared" si="4"/>
        <v>0</v>
      </c>
      <c r="T29" s="13"/>
    </row>
    <row r="30" spans="2:20" ht="20.100000000000001" customHeight="1" x14ac:dyDescent="0.25">
      <c r="B30" s="4" t="s">
        <v>73</v>
      </c>
      <c r="C30" s="5" t="s">
        <v>74</v>
      </c>
      <c r="D30" s="4" t="s">
        <v>49</v>
      </c>
      <c r="E30" s="5" t="s">
        <v>48</v>
      </c>
      <c r="F30" s="6">
        <v>0</v>
      </c>
      <c r="G30" s="7">
        <v>6600</v>
      </c>
      <c r="H30" s="6">
        <f t="shared" si="0"/>
        <v>6600</v>
      </c>
      <c r="I30" s="8">
        <f t="shared" si="1"/>
        <v>1</v>
      </c>
      <c r="J30" s="9" t="s">
        <v>198</v>
      </c>
      <c r="K30" s="10">
        <v>10000</v>
      </c>
      <c r="L30" s="11">
        <v>10000</v>
      </c>
      <c r="M30" s="10">
        <v>0</v>
      </c>
      <c r="N30" s="11">
        <v>0</v>
      </c>
      <c r="O30" s="10">
        <v>0</v>
      </c>
      <c r="P30" s="11">
        <v>0</v>
      </c>
      <c r="Q30" s="6">
        <f t="shared" si="2"/>
        <v>10000</v>
      </c>
      <c r="R30" s="7">
        <f t="shared" si="3"/>
        <v>10000</v>
      </c>
      <c r="S30" s="12">
        <f t="shared" si="4"/>
        <v>0</v>
      </c>
      <c r="T30" s="13"/>
    </row>
    <row r="31" spans="2:20" ht="20.100000000000001" customHeight="1" x14ac:dyDescent="0.25">
      <c r="B31" s="4" t="s">
        <v>73</v>
      </c>
      <c r="C31" s="5" t="s">
        <v>74</v>
      </c>
      <c r="D31" s="4" t="s">
        <v>75</v>
      </c>
      <c r="E31" s="5" t="s">
        <v>76</v>
      </c>
      <c r="F31" s="6">
        <v>0</v>
      </c>
      <c r="G31" s="7">
        <v>0</v>
      </c>
      <c r="H31" s="6">
        <f t="shared" si="0"/>
        <v>0</v>
      </c>
      <c r="I31" s="8">
        <f t="shared" si="1"/>
        <v>0</v>
      </c>
      <c r="J31" s="9"/>
      <c r="K31" s="10">
        <v>2376</v>
      </c>
      <c r="L31" s="11">
        <v>2376</v>
      </c>
      <c r="M31" s="10">
        <v>0</v>
      </c>
      <c r="N31" s="11">
        <v>0</v>
      </c>
      <c r="O31" s="10">
        <v>0</v>
      </c>
      <c r="P31" s="11">
        <v>0</v>
      </c>
      <c r="Q31" s="6">
        <f t="shared" si="2"/>
        <v>2376</v>
      </c>
      <c r="R31" s="7">
        <f t="shared" si="3"/>
        <v>2376</v>
      </c>
      <c r="S31" s="12">
        <f t="shared" si="4"/>
        <v>0</v>
      </c>
      <c r="T31" s="13"/>
    </row>
    <row r="32" spans="2:20" ht="20.100000000000001" customHeight="1" x14ac:dyDescent="0.25">
      <c r="B32" s="4" t="s">
        <v>77</v>
      </c>
      <c r="C32" s="5" t="s">
        <v>78</v>
      </c>
      <c r="D32" s="4" t="s">
        <v>79</v>
      </c>
      <c r="E32" s="5" t="s">
        <v>80</v>
      </c>
      <c r="F32" s="6">
        <v>0</v>
      </c>
      <c r="G32" s="7">
        <v>0</v>
      </c>
      <c r="H32" s="6">
        <f t="shared" si="0"/>
        <v>0</v>
      </c>
      <c r="I32" s="8">
        <f t="shared" si="1"/>
        <v>0</v>
      </c>
      <c r="J32" s="9"/>
      <c r="K32" s="10">
        <v>1000</v>
      </c>
      <c r="L32" s="11">
        <v>1000</v>
      </c>
      <c r="M32" s="10">
        <v>1000</v>
      </c>
      <c r="N32" s="11">
        <v>1000</v>
      </c>
      <c r="O32" s="10">
        <v>0</v>
      </c>
      <c r="P32" s="11">
        <v>0</v>
      </c>
      <c r="Q32" s="6">
        <f t="shared" si="2"/>
        <v>2000</v>
      </c>
      <c r="R32" s="7">
        <f t="shared" si="3"/>
        <v>2000</v>
      </c>
      <c r="S32" s="12">
        <f t="shared" si="4"/>
        <v>0</v>
      </c>
      <c r="T32" s="13"/>
    </row>
    <row r="33" spans="2:20" ht="20.100000000000001" customHeight="1" x14ac:dyDescent="0.25">
      <c r="B33" s="4" t="s">
        <v>77</v>
      </c>
      <c r="C33" s="5" t="s">
        <v>78</v>
      </c>
      <c r="D33" s="4" t="s">
        <v>81</v>
      </c>
      <c r="E33" s="5" t="s">
        <v>82</v>
      </c>
      <c r="F33" s="6">
        <v>0</v>
      </c>
      <c r="G33" s="7">
        <v>0</v>
      </c>
      <c r="H33" s="6">
        <f t="shared" si="0"/>
        <v>0</v>
      </c>
      <c r="I33" s="8">
        <f t="shared" si="1"/>
        <v>0</v>
      </c>
      <c r="J33" s="9"/>
      <c r="K33" s="10">
        <v>0</v>
      </c>
      <c r="L33" s="11">
        <v>0</v>
      </c>
      <c r="M33" s="10">
        <v>1000</v>
      </c>
      <c r="N33" s="11">
        <v>1000</v>
      </c>
      <c r="O33" s="10">
        <v>0</v>
      </c>
      <c r="P33" s="11">
        <v>0</v>
      </c>
      <c r="Q33" s="6">
        <f t="shared" si="2"/>
        <v>1000</v>
      </c>
      <c r="R33" s="7">
        <f t="shared" si="3"/>
        <v>1000</v>
      </c>
      <c r="S33" s="12">
        <f t="shared" si="4"/>
        <v>0</v>
      </c>
      <c r="T33" s="13"/>
    </row>
    <row r="34" spans="2:20" ht="20.100000000000001" customHeight="1" x14ac:dyDescent="0.25">
      <c r="B34" s="4" t="s">
        <v>77</v>
      </c>
      <c r="C34" s="5" t="s">
        <v>78</v>
      </c>
      <c r="D34" s="4" t="s">
        <v>83</v>
      </c>
      <c r="E34" s="5" t="s">
        <v>84</v>
      </c>
      <c r="F34" s="6">
        <v>0</v>
      </c>
      <c r="G34" s="7">
        <v>0</v>
      </c>
      <c r="H34" s="6">
        <f t="shared" si="0"/>
        <v>0</v>
      </c>
      <c r="I34" s="8">
        <f t="shared" si="1"/>
        <v>0</v>
      </c>
      <c r="J34" s="9"/>
      <c r="K34" s="10">
        <v>500</v>
      </c>
      <c r="L34" s="11">
        <v>500</v>
      </c>
      <c r="M34" s="10">
        <v>0</v>
      </c>
      <c r="N34" s="11">
        <v>0</v>
      </c>
      <c r="O34" s="10">
        <v>500</v>
      </c>
      <c r="P34" s="11">
        <v>500</v>
      </c>
      <c r="Q34" s="6">
        <f t="shared" si="2"/>
        <v>1000</v>
      </c>
      <c r="R34" s="7">
        <f t="shared" si="3"/>
        <v>1000</v>
      </c>
      <c r="S34" s="12">
        <f t="shared" si="4"/>
        <v>0</v>
      </c>
      <c r="T34" s="13"/>
    </row>
    <row r="35" spans="2:20" ht="20.100000000000001" customHeight="1" x14ac:dyDescent="0.25">
      <c r="B35" s="4" t="s">
        <v>77</v>
      </c>
      <c r="C35" s="5" t="s">
        <v>78</v>
      </c>
      <c r="D35" s="4" t="s">
        <v>85</v>
      </c>
      <c r="E35" s="5" t="s">
        <v>86</v>
      </c>
      <c r="F35" s="6">
        <v>0</v>
      </c>
      <c r="G35" s="7">
        <v>0</v>
      </c>
      <c r="H35" s="6">
        <f t="shared" si="0"/>
        <v>0</v>
      </c>
      <c r="I35" s="8">
        <f t="shared" si="1"/>
        <v>0</v>
      </c>
      <c r="J35" s="9"/>
      <c r="K35" s="10">
        <v>0</v>
      </c>
      <c r="L35" s="11">
        <v>0</v>
      </c>
      <c r="M35" s="10">
        <v>800</v>
      </c>
      <c r="N35" s="11">
        <v>800</v>
      </c>
      <c r="O35" s="10">
        <v>0</v>
      </c>
      <c r="P35" s="11">
        <v>0</v>
      </c>
      <c r="Q35" s="6">
        <f t="shared" si="2"/>
        <v>800</v>
      </c>
      <c r="R35" s="7">
        <f t="shared" si="3"/>
        <v>800</v>
      </c>
      <c r="S35" s="12">
        <f t="shared" si="4"/>
        <v>0</v>
      </c>
      <c r="T35" s="13"/>
    </row>
    <row r="36" spans="2:20" ht="20.100000000000001" customHeight="1" x14ac:dyDescent="0.25">
      <c r="B36" s="4" t="s">
        <v>77</v>
      </c>
      <c r="C36" s="5" t="s">
        <v>78</v>
      </c>
      <c r="D36" s="4" t="s">
        <v>87</v>
      </c>
      <c r="E36" s="5" t="s">
        <v>45</v>
      </c>
      <c r="F36" s="6">
        <v>0</v>
      </c>
      <c r="G36" s="7">
        <v>0</v>
      </c>
      <c r="H36" s="6">
        <f t="shared" si="0"/>
        <v>0</v>
      </c>
      <c r="I36" s="8">
        <f t="shared" si="1"/>
        <v>0</v>
      </c>
      <c r="J36" s="9"/>
      <c r="K36" s="10">
        <v>4000</v>
      </c>
      <c r="L36" s="11">
        <v>4000</v>
      </c>
      <c r="M36" s="10">
        <v>4000</v>
      </c>
      <c r="N36" s="11">
        <v>4000</v>
      </c>
      <c r="O36" s="10">
        <v>4000</v>
      </c>
      <c r="P36" s="11">
        <v>4000</v>
      </c>
      <c r="Q36" s="6">
        <f t="shared" si="2"/>
        <v>12000</v>
      </c>
      <c r="R36" s="7">
        <f t="shared" si="3"/>
        <v>12000</v>
      </c>
      <c r="S36" s="12">
        <f t="shared" si="4"/>
        <v>0</v>
      </c>
      <c r="T36" s="13"/>
    </row>
    <row r="37" spans="2:20" ht="20.100000000000001" customHeight="1" x14ac:dyDescent="0.25">
      <c r="B37" s="4" t="s">
        <v>77</v>
      </c>
      <c r="C37" s="5" t="s">
        <v>78</v>
      </c>
      <c r="D37" s="4" t="s">
        <v>88</v>
      </c>
      <c r="E37" s="5" t="s">
        <v>89</v>
      </c>
      <c r="F37" s="6">
        <v>0</v>
      </c>
      <c r="G37" s="7">
        <v>0</v>
      </c>
      <c r="H37" s="6">
        <f t="shared" si="0"/>
        <v>0</v>
      </c>
      <c r="I37" s="8">
        <f t="shared" si="1"/>
        <v>0</v>
      </c>
      <c r="J37" s="9"/>
      <c r="K37" s="10">
        <v>0</v>
      </c>
      <c r="L37" s="11">
        <v>0</v>
      </c>
      <c r="M37" s="10">
        <v>1056</v>
      </c>
      <c r="N37" s="11">
        <v>1056</v>
      </c>
      <c r="O37" s="10">
        <v>0</v>
      </c>
      <c r="P37" s="11">
        <v>0</v>
      </c>
      <c r="Q37" s="6">
        <f t="shared" si="2"/>
        <v>1056</v>
      </c>
      <c r="R37" s="7">
        <f t="shared" si="3"/>
        <v>1056</v>
      </c>
      <c r="S37" s="12">
        <f t="shared" si="4"/>
        <v>0</v>
      </c>
      <c r="T37" s="13"/>
    </row>
    <row r="38" spans="2:20" ht="20.100000000000001" customHeight="1" x14ac:dyDescent="0.25">
      <c r="B38" s="4" t="s">
        <v>77</v>
      </c>
      <c r="C38" s="5" t="s">
        <v>78</v>
      </c>
      <c r="D38" s="4" t="s">
        <v>90</v>
      </c>
      <c r="E38" s="5" t="s">
        <v>91</v>
      </c>
      <c r="F38" s="6">
        <v>0</v>
      </c>
      <c r="G38" s="7">
        <v>0</v>
      </c>
      <c r="H38" s="6">
        <f t="shared" si="0"/>
        <v>0</v>
      </c>
      <c r="I38" s="8">
        <f t="shared" si="1"/>
        <v>0</v>
      </c>
      <c r="J38" s="9"/>
      <c r="K38" s="10">
        <v>1000</v>
      </c>
      <c r="L38" s="11">
        <v>1000</v>
      </c>
      <c r="M38" s="10">
        <v>0</v>
      </c>
      <c r="N38" s="11">
        <v>0</v>
      </c>
      <c r="O38" s="10">
        <v>500</v>
      </c>
      <c r="P38" s="11">
        <v>500</v>
      </c>
      <c r="Q38" s="6">
        <f t="shared" si="2"/>
        <v>1500</v>
      </c>
      <c r="R38" s="7">
        <f t="shared" si="3"/>
        <v>1500</v>
      </c>
      <c r="S38" s="12">
        <f t="shared" si="4"/>
        <v>0</v>
      </c>
      <c r="T38" s="13"/>
    </row>
    <row r="39" spans="2:20" ht="20.100000000000001" customHeight="1" x14ac:dyDescent="0.25">
      <c r="B39" s="4" t="s">
        <v>77</v>
      </c>
      <c r="C39" s="5" t="s">
        <v>78</v>
      </c>
      <c r="D39" s="4" t="s">
        <v>34</v>
      </c>
      <c r="E39" s="5" t="s">
        <v>92</v>
      </c>
      <c r="F39" s="6">
        <v>0</v>
      </c>
      <c r="G39" s="7">
        <v>0</v>
      </c>
      <c r="H39" s="6">
        <f t="shared" si="0"/>
        <v>0</v>
      </c>
      <c r="I39" s="8">
        <f t="shared" si="1"/>
        <v>0</v>
      </c>
      <c r="J39" s="9"/>
      <c r="K39" s="10">
        <v>11000</v>
      </c>
      <c r="L39" s="11">
        <v>11000</v>
      </c>
      <c r="M39" s="10">
        <v>0</v>
      </c>
      <c r="N39" s="11">
        <v>0</v>
      </c>
      <c r="O39" s="10">
        <v>7000</v>
      </c>
      <c r="P39" s="11">
        <v>7000</v>
      </c>
      <c r="Q39" s="6">
        <f t="shared" si="2"/>
        <v>18000</v>
      </c>
      <c r="R39" s="7">
        <f t="shared" si="3"/>
        <v>18000</v>
      </c>
      <c r="S39" s="12">
        <f t="shared" si="4"/>
        <v>0</v>
      </c>
      <c r="T39" s="13"/>
    </row>
    <row r="40" spans="2:20" ht="20.100000000000001" customHeight="1" x14ac:dyDescent="0.25">
      <c r="B40" s="4" t="s">
        <v>77</v>
      </c>
      <c r="C40" s="5" t="s">
        <v>78</v>
      </c>
      <c r="D40" s="4" t="s">
        <v>49</v>
      </c>
      <c r="E40" s="5" t="s">
        <v>92</v>
      </c>
      <c r="F40" s="6">
        <v>0</v>
      </c>
      <c r="G40" s="7">
        <v>0</v>
      </c>
      <c r="H40" s="6">
        <f t="shared" si="0"/>
        <v>0</v>
      </c>
      <c r="I40" s="8">
        <f t="shared" si="1"/>
        <v>0</v>
      </c>
      <c r="J40" s="9"/>
      <c r="K40" s="10">
        <v>11000</v>
      </c>
      <c r="L40" s="11">
        <v>11000</v>
      </c>
      <c r="M40" s="10">
        <v>15400</v>
      </c>
      <c r="N40" s="11">
        <v>15400</v>
      </c>
      <c r="O40" s="10">
        <v>0</v>
      </c>
      <c r="P40" s="11">
        <v>0</v>
      </c>
      <c r="Q40" s="6">
        <f t="shared" si="2"/>
        <v>26400</v>
      </c>
      <c r="R40" s="7">
        <f t="shared" si="3"/>
        <v>26400</v>
      </c>
      <c r="S40" s="12">
        <f t="shared" si="4"/>
        <v>0</v>
      </c>
      <c r="T40" s="13"/>
    </row>
    <row r="41" spans="2:20" ht="20.100000000000001" customHeight="1" x14ac:dyDescent="0.25">
      <c r="B41" s="4" t="s">
        <v>77</v>
      </c>
      <c r="C41" s="5" t="s">
        <v>78</v>
      </c>
      <c r="D41" s="4" t="s">
        <v>93</v>
      </c>
      <c r="E41" s="5" t="s">
        <v>94</v>
      </c>
      <c r="F41" s="6">
        <v>0</v>
      </c>
      <c r="G41" s="7">
        <v>0</v>
      </c>
      <c r="H41" s="6">
        <f t="shared" si="0"/>
        <v>0</v>
      </c>
      <c r="I41" s="8">
        <f t="shared" si="1"/>
        <v>0</v>
      </c>
      <c r="J41" s="9"/>
      <c r="K41" s="10">
        <v>3000</v>
      </c>
      <c r="L41" s="11">
        <v>3000</v>
      </c>
      <c r="M41" s="10">
        <v>0</v>
      </c>
      <c r="N41" s="11">
        <v>0</v>
      </c>
      <c r="O41" s="10">
        <v>3000</v>
      </c>
      <c r="P41" s="11">
        <v>3000</v>
      </c>
      <c r="Q41" s="6">
        <f t="shared" si="2"/>
        <v>6000</v>
      </c>
      <c r="R41" s="7">
        <f t="shared" si="3"/>
        <v>6000</v>
      </c>
      <c r="S41" s="12">
        <f t="shared" si="4"/>
        <v>0</v>
      </c>
      <c r="T41" s="13"/>
    </row>
    <row r="42" spans="2:20" ht="20.100000000000001" customHeight="1" x14ac:dyDescent="0.25">
      <c r="B42" s="4" t="s">
        <v>77</v>
      </c>
      <c r="C42" s="5" t="s">
        <v>78</v>
      </c>
      <c r="D42" s="4" t="s">
        <v>95</v>
      </c>
      <c r="E42" s="5" t="s">
        <v>76</v>
      </c>
      <c r="F42" s="6">
        <v>0</v>
      </c>
      <c r="G42" s="7">
        <v>0</v>
      </c>
      <c r="H42" s="6">
        <f t="shared" ref="H42:H73" si="5">ABS(G42-F42)</f>
        <v>0</v>
      </c>
      <c r="I42" s="8">
        <f t="shared" ref="I42:I73" si="6">IF(F42&gt;0, G42/F42, IF(G42&gt;0, 1, 0))</f>
        <v>0</v>
      </c>
      <c r="J42" s="9"/>
      <c r="K42" s="10">
        <v>0</v>
      </c>
      <c r="L42" s="11">
        <v>0</v>
      </c>
      <c r="M42" s="10">
        <v>2000</v>
      </c>
      <c r="N42" s="11">
        <v>2000</v>
      </c>
      <c r="O42" s="10">
        <v>0</v>
      </c>
      <c r="P42" s="11">
        <v>0</v>
      </c>
      <c r="Q42" s="6">
        <f t="shared" ref="Q42:Q73" si="7">K42+M42+O42</f>
        <v>2000</v>
      </c>
      <c r="R42" s="7">
        <f t="shared" ref="R42:R73" si="8">L42+N42+P42</f>
        <v>2000</v>
      </c>
      <c r="S42" s="12">
        <f t="shared" ref="S42:S73" si="9">R42-Q42</f>
        <v>0</v>
      </c>
      <c r="T42" s="13"/>
    </row>
    <row r="43" spans="2:20" ht="20.100000000000001" customHeight="1" x14ac:dyDescent="0.25">
      <c r="B43" s="4" t="s">
        <v>77</v>
      </c>
      <c r="C43" s="5" t="s">
        <v>78</v>
      </c>
      <c r="D43" s="4" t="s">
        <v>96</v>
      </c>
      <c r="E43" s="5" t="s">
        <v>97</v>
      </c>
      <c r="F43" s="6">
        <v>0</v>
      </c>
      <c r="G43" s="7">
        <v>0</v>
      </c>
      <c r="H43" s="6">
        <f t="shared" si="5"/>
        <v>0</v>
      </c>
      <c r="I43" s="8">
        <f t="shared" si="6"/>
        <v>0</v>
      </c>
      <c r="J43" s="9"/>
      <c r="K43" s="10">
        <v>1000</v>
      </c>
      <c r="L43" s="11">
        <v>1000</v>
      </c>
      <c r="M43" s="10">
        <v>1000</v>
      </c>
      <c r="N43" s="11">
        <v>1000</v>
      </c>
      <c r="O43" s="10">
        <v>1000</v>
      </c>
      <c r="P43" s="11">
        <v>1000</v>
      </c>
      <c r="Q43" s="6">
        <f t="shared" si="7"/>
        <v>3000</v>
      </c>
      <c r="R43" s="7">
        <f t="shared" si="8"/>
        <v>3000</v>
      </c>
      <c r="S43" s="12">
        <f t="shared" si="9"/>
        <v>0</v>
      </c>
      <c r="T43" s="13"/>
    </row>
    <row r="44" spans="2:20" ht="20.100000000000001" customHeight="1" x14ac:dyDescent="0.25">
      <c r="B44" s="4" t="s">
        <v>77</v>
      </c>
      <c r="C44" s="5" t="s">
        <v>78</v>
      </c>
      <c r="D44" s="4" t="s">
        <v>98</v>
      </c>
      <c r="E44" s="5" t="s">
        <v>99</v>
      </c>
      <c r="F44" s="6">
        <v>0</v>
      </c>
      <c r="G44" s="7">
        <v>0</v>
      </c>
      <c r="H44" s="6">
        <f t="shared" si="5"/>
        <v>0</v>
      </c>
      <c r="I44" s="8">
        <f t="shared" si="6"/>
        <v>0</v>
      </c>
      <c r="J44" s="9"/>
      <c r="K44" s="10">
        <v>1100</v>
      </c>
      <c r="L44" s="11">
        <v>1100</v>
      </c>
      <c r="M44" s="10">
        <v>1100</v>
      </c>
      <c r="N44" s="11">
        <v>1100</v>
      </c>
      <c r="O44" s="10">
        <v>1100</v>
      </c>
      <c r="P44" s="11">
        <v>1100</v>
      </c>
      <c r="Q44" s="6">
        <f t="shared" si="7"/>
        <v>3300</v>
      </c>
      <c r="R44" s="7">
        <f t="shared" si="8"/>
        <v>3300</v>
      </c>
      <c r="S44" s="12">
        <f t="shared" si="9"/>
        <v>0</v>
      </c>
      <c r="T44" s="13"/>
    </row>
    <row r="45" spans="2:20" ht="20.100000000000001" customHeight="1" x14ac:dyDescent="0.25">
      <c r="B45" s="4" t="s">
        <v>77</v>
      </c>
      <c r="C45" s="5" t="s">
        <v>78</v>
      </c>
      <c r="D45" s="4" t="s">
        <v>100</v>
      </c>
      <c r="E45" s="5" t="s">
        <v>101</v>
      </c>
      <c r="F45" s="6">
        <v>2000</v>
      </c>
      <c r="G45" s="7">
        <v>0</v>
      </c>
      <c r="H45" s="6">
        <f t="shared" si="5"/>
        <v>2000</v>
      </c>
      <c r="I45" s="8">
        <f t="shared" si="6"/>
        <v>0</v>
      </c>
      <c r="J45" s="9"/>
      <c r="K45" s="10">
        <v>0</v>
      </c>
      <c r="L45" s="11">
        <v>0</v>
      </c>
      <c r="M45" s="10">
        <v>1000</v>
      </c>
      <c r="N45" s="11">
        <v>1000</v>
      </c>
      <c r="O45" s="10">
        <v>1000</v>
      </c>
      <c r="P45" s="11">
        <v>1000</v>
      </c>
      <c r="Q45" s="6">
        <f t="shared" si="7"/>
        <v>2000</v>
      </c>
      <c r="R45" s="7">
        <f t="shared" si="8"/>
        <v>2000</v>
      </c>
      <c r="S45" s="12">
        <f t="shared" si="9"/>
        <v>0</v>
      </c>
      <c r="T45" s="13"/>
    </row>
    <row r="46" spans="2:20" ht="20.100000000000001" customHeight="1" x14ac:dyDescent="0.25">
      <c r="B46" s="4" t="s">
        <v>77</v>
      </c>
      <c r="C46" s="5" t="s">
        <v>78</v>
      </c>
      <c r="D46" s="4" t="s">
        <v>102</v>
      </c>
      <c r="E46" s="5" t="s">
        <v>61</v>
      </c>
      <c r="F46" s="6">
        <v>0</v>
      </c>
      <c r="G46" s="7">
        <v>0</v>
      </c>
      <c r="H46" s="6">
        <f t="shared" si="5"/>
        <v>0</v>
      </c>
      <c r="I46" s="8">
        <f t="shared" si="6"/>
        <v>0</v>
      </c>
      <c r="J46" s="9"/>
      <c r="K46" s="10">
        <v>3000</v>
      </c>
      <c r="L46" s="11">
        <v>3000</v>
      </c>
      <c r="M46" s="10">
        <v>3000</v>
      </c>
      <c r="N46" s="11">
        <v>3000</v>
      </c>
      <c r="O46" s="10">
        <v>0</v>
      </c>
      <c r="P46" s="11">
        <v>0</v>
      </c>
      <c r="Q46" s="6">
        <f t="shared" si="7"/>
        <v>6000</v>
      </c>
      <c r="R46" s="7">
        <f t="shared" si="8"/>
        <v>6000</v>
      </c>
      <c r="S46" s="12">
        <f t="shared" si="9"/>
        <v>0</v>
      </c>
      <c r="T46" s="13"/>
    </row>
    <row r="47" spans="2:20" ht="20.100000000000001" customHeight="1" x14ac:dyDescent="0.25">
      <c r="B47" s="4" t="s">
        <v>77</v>
      </c>
      <c r="C47" s="5" t="s">
        <v>78</v>
      </c>
      <c r="D47" s="4" t="s">
        <v>103</v>
      </c>
      <c r="E47" s="5" t="s">
        <v>104</v>
      </c>
      <c r="F47" s="6">
        <v>0</v>
      </c>
      <c r="G47" s="7">
        <v>0</v>
      </c>
      <c r="H47" s="6">
        <f t="shared" si="5"/>
        <v>0</v>
      </c>
      <c r="I47" s="8">
        <f t="shared" si="6"/>
        <v>0</v>
      </c>
      <c r="J47" s="9"/>
      <c r="K47" s="10">
        <v>1000</v>
      </c>
      <c r="L47" s="11">
        <v>1000</v>
      </c>
      <c r="M47" s="10">
        <v>0</v>
      </c>
      <c r="N47" s="11">
        <v>0</v>
      </c>
      <c r="O47" s="10">
        <v>500</v>
      </c>
      <c r="P47" s="11">
        <v>500</v>
      </c>
      <c r="Q47" s="6">
        <f t="shared" si="7"/>
        <v>1500</v>
      </c>
      <c r="R47" s="7">
        <f t="shared" si="8"/>
        <v>1500</v>
      </c>
      <c r="S47" s="12">
        <f t="shared" si="9"/>
        <v>0</v>
      </c>
      <c r="T47" s="13"/>
    </row>
    <row r="48" spans="2:20" ht="20.100000000000001" customHeight="1" x14ac:dyDescent="0.25">
      <c r="B48" s="4" t="s">
        <v>77</v>
      </c>
      <c r="C48" s="5" t="s">
        <v>78</v>
      </c>
      <c r="D48" s="4" t="s">
        <v>105</v>
      </c>
      <c r="E48" s="5" t="s">
        <v>106</v>
      </c>
      <c r="F48" s="6">
        <v>0</v>
      </c>
      <c r="G48" s="7">
        <v>0</v>
      </c>
      <c r="H48" s="6">
        <f t="shared" si="5"/>
        <v>0</v>
      </c>
      <c r="I48" s="8">
        <f t="shared" si="6"/>
        <v>0</v>
      </c>
      <c r="J48" s="9"/>
      <c r="K48" s="10">
        <v>4000</v>
      </c>
      <c r="L48" s="11">
        <v>4000</v>
      </c>
      <c r="M48" s="10">
        <v>0</v>
      </c>
      <c r="N48" s="11">
        <v>0</v>
      </c>
      <c r="O48" s="10">
        <v>2000</v>
      </c>
      <c r="P48" s="11">
        <v>2000</v>
      </c>
      <c r="Q48" s="6">
        <f t="shared" si="7"/>
        <v>6000</v>
      </c>
      <c r="R48" s="7">
        <f t="shared" si="8"/>
        <v>6000</v>
      </c>
      <c r="S48" s="12">
        <f t="shared" si="9"/>
        <v>0</v>
      </c>
      <c r="T48" s="13"/>
    </row>
    <row r="49" spans="2:20" ht="20.100000000000001" customHeight="1" x14ac:dyDescent="0.25">
      <c r="B49" s="4" t="s">
        <v>77</v>
      </c>
      <c r="C49" s="5" t="s">
        <v>78</v>
      </c>
      <c r="D49" s="4" t="s">
        <v>107</v>
      </c>
      <c r="E49" s="5" t="s">
        <v>108</v>
      </c>
      <c r="F49" s="6">
        <v>0</v>
      </c>
      <c r="G49" s="7">
        <v>0</v>
      </c>
      <c r="H49" s="6">
        <f t="shared" si="5"/>
        <v>0</v>
      </c>
      <c r="I49" s="8">
        <f t="shared" si="6"/>
        <v>0</v>
      </c>
      <c r="J49" s="9"/>
      <c r="K49" s="10">
        <v>0</v>
      </c>
      <c r="L49" s="11">
        <v>0</v>
      </c>
      <c r="M49" s="10">
        <v>500</v>
      </c>
      <c r="N49" s="11">
        <v>500</v>
      </c>
      <c r="O49" s="10">
        <v>0</v>
      </c>
      <c r="P49" s="11">
        <v>0</v>
      </c>
      <c r="Q49" s="6">
        <f t="shared" si="7"/>
        <v>500</v>
      </c>
      <c r="R49" s="7">
        <f t="shared" si="8"/>
        <v>500</v>
      </c>
      <c r="S49" s="12">
        <f t="shared" si="9"/>
        <v>0</v>
      </c>
      <c r="T49" s="13"/>
    </row>
    <row r="50" spans="2:20" ht="20.100000000000001" customHeight="1" x14ac:dyDescent="0.25">
      <c r="B50" s="4" t="s">
        <v>77</v>
      </c>
      <c r="C50" s="5" t="s">
        <v>78</v>
      </c>
      <c r="D50" s="4" t="s">
        <v>109</v>
      </c>
      <c r="E50" s="5" t="s">
        <v>110</v>
      </c>
      <c r="F50" s="6">
        <v>0</v>
      </c>
      <c r="G50" s="7">
        <v>0</v>
      </c>
      <c r="H50" s="6">
        <f t="shared" si="5"/>
        <v>0</v>
      </c>
      <c r="I50" s="8">
        <f t="shared" si="6"/>
        <v>0</v>
      </c>
      <c r="J50" s="9"/>
      <c r="K50" s="10">
        <v>400</v>
      </c>
      <c r="L50" s="11">
        <v>400</v>
      </c>
      <c r="M50" s="10">
        <v>400</v>
      </c>
      <c r="N50" s="11">
        <v>400</v>
      </c>
      <c r="O50" s="10">
        <v>0</v>
      </c>
      <c r="P50" s="11">
        <v>0</v>
      </c>
      <c r="Q50" s="6">
        <f t="shared" si="7"/>
        <v>800</v>
      </c>
      <c r="R50" s="7">
        <f t="shared" si="8"/>
        <v>800</v>
      </c>
      <c r="S50" s="12">
        <f t="shared" si="9"/>
        <v>0</v>
      </c>
      <c r="T50" s="13"/>
    </row>
    <row r="51" spans="2:20" ht="20.100000000000001" customHeight="1" x14ac:dyDescent="0.25">
      <c r="B51" s="4" t="s">
        <v>77</v>
      </c>
      <c r="C51" s="5" t="s">
        <v>78</v>
      </c>
      <c r="D51" s="4" t="s">
        <v>111</v>
      </c>
      <c r="E51" s="5" t="s">
        <v>112</v>
      </c>
      <c r="F51" s="6">
        <v>0</v>
      </c>
      <c r="G51" s="7">
        <v>0</v>
      </c>
      <c r="H51" s="6">
        <f t="shared" si="5"/>
        <v>0</v>
      </c>
      <c r="I51" s="8">
        <f t="shared" si="6"/>
        <v>0</v>
      </c>
      <c r="J51" s="9"/>
      <c r="K51" s="10">
        <v>1056</v>
      </c>
      <c r="L51" s="11">
        <v>1056</v>
      </c>
      <c r="M51" s="10">
        <v>0</v>
      </c>
      <c r="N51" s="11">
        <v>0</v>
      </c>
      <c r="O51" s="10">
        <v>400</v>
      </c>
      <c r="P51" s="11">
        <v>400</v>
      </c>
      <c r="Q51" s="6">
        <f t="shared" si="7"/>
        <v>1456</v>
      </c>
      <c r="R51" s="7">
        <f t="shared" si="8"/>
        <v>1456</v>
      </c>
      <c r="S51" s="12">
        <f t="shared" si="9"/>
        <v>0</v>
      </c>
      <c r="T51" s="13"/>
    </row>
    <row r="52" spans="2:20" ht="20.100000000000001" customHeight="1" x14ac:dyDescent="0.25">
      <c r="B52" s="4" t="s">
        <v>77</v>
      </c>
      <c r="C52" s="5" t="s">
        <v>78</v>
      </c>
      <c r="D52" s="4" t="s">
        <v>113</v>
      </c>
      <c r="E52" s="5" t="s">
        <v>114</v>
      </c>
      <c r="F52" s="6">
        <v>0</v>
      </c>
      <c r="G52" s="7">
        <v>0</v>
      </c>
      <c r="H52" s="6">
        <f t="shared" si="5"/>
        <v>0</v>
      </c>
      <c r="I52" s="8">
        <f t="shared" si="6"/>
        <v>0</v>
      </c>
      <c r="J52" s="9"/>
      <c r="K52" s="10">
        <v>1000</v>
      </c>
      <c r="L52" s="11">
        <v>1000</v>
      </c>
      <c r="M52" s="10">
        <v>0</v>
      </c>
      <c r="N52" s="11">
        <v>0</v>
      </c>
      <c r="O52" s="10">
        <v>400</v>
      </c>
      <c r="P52" s="11">
        <v>400</v>
      </c>
      <c r="Q52" s="6">
        <f t="shared" si="7"/>
        <v>1400</v>
      </c>
      <c r="R52" s="7">
        <f t="shared" si="8"/>
        <v>1400</v>
      </c>
      <c r="S52" s="12">
        <f t="shared" si="9"/>
        <v>0</v>
      </c>
      <c r="T52" s="13"/>
    </row>
    <row r="53" spans="2:20" ht="20.100000000000001" customHeight="1" x14ac:dyDescent="0.25">
      <c r="B53" s="4" t="s">
        <v>77</v>
      </c>
      <c r="C53" s="5" t="s">
        <v>78</v>
      </c>
      <c r="D53" s="4" t="s">
        <v>115</v>
      </c>
      <c r="E53" s="5" t="s">
        <v>116</v>
      </c>
      <c r="F53" s="6">
        <v>0</v>
      </c>
      <c r="G53" s="7">
        <v>0</v>
      </c>
      <c r="H53" s="6">
        <f t="shared" si="5"/>
        <v>0</v>
      </c>
      <c r="I53" s="8">
        <f t="shared" si="6"/>
        <v>0</v>
      </c>
      <c r="J53" s="9"/>
      <c r="K53" s="10">
        <v>2760</v>
      </c>
      <c r="L53" s="11">
        <v>2760</v>
      </c>
      <c r="M53" s="10">
        <v>0</v>
      </c>
      <c r="N53" s="11">
        <v>0</v>
      </c>
      <c r="O53" s="10">
        <v>800</v>
      </c>
      <c r="P53" s="11">
        <v>800</v>
      </c>
      <c r="Q53" s="6">
        <f t="shared" si="7"/>
        <v>3560</v>
      </c>
      <c r="R53" s="7">
        <f t="shared" si="8"/>
        <v>3560</v>
      </c>
      <c r="S53" s="12">
        <f t="shared" si="9"/>
        <v>0</v>
      </c>
      <c r="T53" s="13"/>
    </row>
    <row r="54" spans="2:20" ht="20.100000000000001" customHeight="1" x14ac:dyDescent="0.25">
      <c r="B54" s="4" t="s">
        <v>70</v>
      </c>
      <c r="C54" s="5" t="s">
        <v>117</v>
      </c>
      <c r="D54" s="4" t="s">
        <v>87</v>
      </c>
      <c r="E54" s="5" t="s">
        <v>118</v>
      </c>
      <c r="F54" s="6">
        <v>0</v>
      </c>
      <c r="G54" s="7">
        <v>3000</v>
      </c>
      <c r="H54" s="6">
        <f t="shared" si="5"/>
        <v>3000</v>
      </c>
      <c r="I54" s="8">
        <f t="shared" si="6"/>
        <v>1</v>
      </c>
      <c r="J54" s="9" t="s">
        <v>199</v>
      </c>
      <c r="K54" s="10">
        <v>0</v>
      </c>
      <c r="L54" s="11">
        <v>0</v>
      </c>
      <c r="M54" s="10">
        <v>0</v>
      </c>
      <c r="N54" s="11">
        <v>0</v>
      </c>
      <c r="O54" s="10">
        <v>0</v>
      </c>
      <c r="P54" s="11">
        <v>0</v>
      </c>
      <c r="Q54" s="6">
        <f t="shared" si="7"/>
        <v>0</v>
      </c>
      <c r="R54" s="7">
        <f t="shared" si="8"/>
        <v>0</v>
      </c>
      <c r="S54" s="12">
        <f t="shared" si="9"/>
        <v>0</v>
      </c>
      <c r="T54" s="13"/>
    </row>
    <row r="55" spans="2:20" ht="20.100000000000001" customHeight="1" x14ac:dyDescent="0.25">
      <c r="B55" s="4" t="s">
        <v>70</v>
      </c>
      <c r="C55" s="5" t="s">
        <v>117</v>
      </c>
      <c r="D55" s="4" t="s">
        <v>34</v>
      </c>
      <c r="E55" s="5" t="s">
        <v>119</v>
      </c>
      <c r="F55" s="6">
        <v>0</v>
      </c>
      <c r="G55" s="7">
        <v>3300</v>
      </c>
      <c r="H55" s="6">
        <f t="shared" si="5"/>
        <v>3300</v>
      </c>
      <c r="I55" s="8">
        <f t="shared" si="6"/>
        <v>1</v>
      </c>
      <c r="J55" s="9" t="s">
        <v>199</v>
      </c>
      <c r="K55" s="10">
        <v>0</v>
      </c>
      <c r="L55" s="11">
        <v>0</v>
      </c>
      <c r="M55" s="10">
        <v>0</v>
      </c>
      <c r="N55" s="11">
        <v>0</v>
      </c>
      <c r="O55" s="10">
        <v>0</v>
      </c>
      <c r="P55" s="11">
        <v>0</v>
      </c>
      <c r="Q55" s="6">
        <f t="shared" si="7"/>
        <v>0</v>
      </c>
      <c r="R55" s="7">
        <f t="shared" si="8"/>
        <v>0</v>
      </c>
      <c r="S55" s="12">
        <f t="shared" si="9"/>
        <v>0</v>
      </c>
      <c r="T55" s="13"/>
    </row>
    <row r="56" spans="2:20" ht="20.100000000000001" customHeight="1" x14ac:dyDescent="0.25">
      <c r="B56" s="4" t="s">
        <v>70</v>
      </c>
      <c r="C56" s="5" t="s">
        <v>117</v>
      </c>
      <c r="D56" s="4" t="s">
        <v>49</v>
      </c>
      <c r="E56" s="5" t="s">
        <v>120</v>
      </c>
      <c r="F56" s="6">
        <v>0</v>
      </c>
      <c r="G56" s="7">
        <v>4400</v>
      </c>
      <c r="H56" s="6">
        <f t="shared" si="5"/>
        <v>4400</v>
      </c>
      <c r="I56" s="8">
        <f t="shared" si="6"/>
        <v>1</v>
      </c>
      <c r="J56" s="9" t="s">
        <v>199</v>
      </c>
      <c r="K56" s="10">
        <v>0</v>
      </c>
      <c r="L56" s="11">
        <v>0</v>
      </c>
      <c r="M56" s="10">
        <v>0</v>
      </c>
      <c r="N56" s="11">
        <v>0</v>
      </c>
      <c r="O56" s="10">
        <v>0</v>
      </c>
      <c r="P56" s="11">
        <v>0</v>
      </c>
      <c r="Q56" s="6">
        <f t="shared" si="7"/>
        <v>0</v>
      </c>
      <c r="R56" s="7">
        <f t="shared" si="8"/>
        <v>0</v>
      </c>
      <c r="S56" s="12">
        <f t="shared" si="9"/>
        <v>0</v>
      </c>
      <c r="T56" s="13"/>
    </row>
    <row r="57" spans="2:20" ht="20.100000000000001" customHeight="1" x14ac:dyDescent="0.25">
      <c r="B57" s="4" t="s">
        <v>70</v>
      </c>
      <c r="C57" s="5" t="s">
        <v>117</v>
      </c>
      <c r="D57" s="4" t="s">
        <v>93</v>
      </c>
      <c r="E57" s="5" t="s">
        <v>121</v>
      </c>
      <c r="F57" s="6">
        <v>0</v>
      </c>
      <c r="G57" s="7">
        <v>2000</v>
      </c>
      <c r="H57" s="6">
        <f t="shared" si="5"/>
        <v>2000</v>
      </c>
      <c r="I57" s="8">
        <f t="shared" si="6"/>
        <v>1</v>
      </c>
      <c r="J57" s="9" t="s">
        <v>199</v>
      </c>
      <c r="K57" s="10">
        <v>0</v>
      </c>
      <c r="L57" s="11">
        <v>0</v>
      </c>
      <c r="M57" s="10">
        <v>0</v>
      </c>
      <c r="N57" s="11">
        <v>0</v>
      </c>
      <c r="O57" s="10">
        <v>0</v>
      </c>
      <c r="P57" s="11">
        <v>0</v>
      </c>
      <c r="Q57" s="6">
        <f t="shared" si="7"/>
        <v>0</v>
      </c>
      <c r="R57" s="7">
        <f t="shared" si="8"/>
        <v>0</v>
      </c>
      <c r="S57" s="12">
        <f t="shared" si="9"/>
        <v>0</v>
      </c>
      <c r="T57" s="13"/>
    </row>
    <row r="58" spans="2:20" ht="20.100000000000001" customHeight="1" x14ac:dyDescent="0.25">
      <c r="B58" s="4" t="s">
        <v>70</v>
      </c>
      <c r="C58" s="5" t="s">
        <v>117</v>
      </c>
      <c r="D58" s="4" t="s">
        <v>95</v>
      </c>
      <c r="E58" s="5" t="s">
        <v>122</v>
      </c>
      <c r="F58" s="6">
        <v>0</v>
      </c>
      <c r="G58" s="7">
        <v>1000</v>
      </c>
      <c r="H58" s="6">
        <f t="shared" si="5"/>
        <v>1000</v>
      </c>
      <c r="I58" s="8">
        <f t="shared" si="6"/>
        <v>1</v>
      </c>
      <c r="J58" s="9" t="s">
        <v>199</v>
      </c>
      <c r="K58" s="10">
        <v>0</v>
      </c>
      <c r="L58" s="11">
        <v>0</v>
      </c>
      <c r="M58" s="10">
        <v>0</v>
      </c>
      <c r="N58" s="11">
        <v>0</v>
      </c>
      <c r="O58" s="10">
        <v>0</v>
      </c>
      <c r="P58" s="11">
        <v>0</v>
      </c>
      <c r="Q58" s="6">
        <f t="shared" si="7"/>
        <v>0</v>
      </c>
      <c r="R58" s="7">
        <f t="shared" si="8"/>
        <v>0</v>
      </c>
      <c r="S58" s="12">
        <f t="shared" si="9"/>
        <v>0</v>
      </c>
      <c r="T58" s="13"/>
    </row>
    <row r="59" spans="2:20" ht="20.100000000000001" customHeight="1" x14ac:dyDescent="0.25">
      <c r="B59" s="4" t="s">
        <v>70</v>
      </c>
      <c r="C59" s="5" t="s">
        <v>117</v>
      </c>
      <c r="D59" s="4" t="s">
        <v>96</v>
      </c>
      <c r="E59" s="5" t="s">
        <v>123</v>
      </c>
      <c r="F59" s="6">
        <v>0</v>
      </c>
      <c r="G59" s="7">
        <v>1000</v>
      </c>
      <c r="H59" s="6">
        <f t="shared" si="5"/>
        <v>1000</v>
      </c>
      <c r="I59" s="8">
        <f t="shared" si="6"/>
        <v>1</v>
      </c>
      <c r="J59" s="9" t="s">
        <v>199</v>
      </c>
      <c r="K59" s="10">
        <v>0</v>
      </c>
      <c r="L59" s="11">
        <v>0</v>
      </c>
      <c r="M59" s="10">
        <v>0</v>
      </c>
      <c r="N59" s="11">
        <v>0</v>
      </c>
      <c r="O59" s="10">
        <v>0</v>
      </c>
      <c r="P59" s="11">
        <v>0</v>
      </c>
      <c r="Q59" s="6">
        <f t="shared" si="7"/>
        <v>0</v>
      </c>
      <c r="R59" s="7">
        <f t="shared" si="8"/>
        <v>0</v>
      </c>
      <c r="S59" s="12">
        <f t="shared" si="9"/>
        <v>0</v>
      </c>
      <c r="T59" s="13"/>
    </row>
    <row r="60" spans="2:20" ht="20.100000000000001" customHeight="1" x14ac:dyDescent="0.25">
      <c r="B60" s="4" t="s">
        <v>70</v>
      </c>
      <c r="C60" s="5" t="s">
        <v>117</v>
      </c>
      <c r="D60" s="4" t="s">
        <v>98</v>
      </c>
      <c r="E60" s="5" t="s">
        <v>124</v>
      </c>
      <c r="F60" s="6">
        <v>0</v>
      </c>
      <c r="G60" s="7">
        <v>750</v>
      </c>
      <c r="H60" s="6">
        <f t="shared" si="5"/>
        <v>750</v>
      </c>
      <c r="I60" s="8">
        <f t="shared" si="6"/>
        <v>1</v>
      </c>
      <c r="J60" s="9" t="s">
        <v>199</v>
      </c>
      <c r="K60" s="10">
        <v>0</v>
      </c>
      <c r="L60" s="11">
        <v>0</v>
      </c>
      <c r="M60" s="10">
        <v>0</v>
      </c>
      <c r="N60" s="11">
        <v>0</v>
      </c>
      <c r="O60" s="10">
        <v>0</v>
      </c>
      <c r="P60" s="11">
        <v>0</v>
      </c>
      <c r="Q60" s="6">
        <f t="shared" si="7"/>
        <v>0</v>
      </c>
      <c r="R60" s="7">
        <f t="shared" si="8"/>
        <v>0</v>
      </c>
      <c r="S60" s="12">
        <f t="shared" si="9"/>
        <v>0</v>
      </c>
      <c r="T60" s="13"/>
    </row>
    <row r="61" spans="2:20" ht="20.100000000000001" customHeight="1" x14ac:dyDescent="0.25">
      <c r="B61" s="4" t="s">
        <v>70</v>
      </c>
      <c r="C61" s="5" t="s">
        <v>117</v>
      </c>
      <c r="D61" s="4" t="s">
        <v>100</v>
      </c>
      <c r="E61" s="5" t="s">
        <v>125</v>
      </c>
      <c r="F61" s="6">
        <v>0</v>
      </c>
      <c r="G61" s="7">
        <v>1000</v>
      </c>
      <c r="H61" s="6">
        <f t="shared" si="5"/>
        <v>1000</v>
      </c>
      <c r="I61" s="8">
        <f t="shared" si="6"/>
        <v>1</v>
      </c>
      <c r="J61" s="9" t="s">
        <v>199</v>
      </c>
      <c r="K61" s="10">
        <v>0</v>
      </c>
      <c r="L61" s="11">
        <v>0</v>
      </c>
      <c r="M61" s="10">
        <v>0</v>
      </c>
      <c r="N61" s="11">
        <v>0</v>
      </c>
      <c r="O61" s="10">
        <v>0</v>
      </c>
      <c r="P61" s="11">
        <v>0</v>
      </c>
      <c r="Q61" s="6">
        <f t="shared" si="7"/>
        <v>0</v>
      </c>
      <c r="R61" s="7">
        <f t="shared" si="8"/>
        <v>0</v>
      </c>
      <c r="S61" s="12">
        <f t="shared" si="9"/>
        <v>0</v>
      </c>
      <c r="T61" s="13"/>
    </row>
    <row r="62" spans="2:20" ht="20.100000000000001" customHeight="1" x14ac:dyDescent="0.25">
      <c r="B62" s="4" t="s">
        <v>70</v>
      </c>
      <c r="C62" s="5" t="s">
        <v>117</v>
      </c>
      <c r="D62" s="4" t="s">
        <v>126</v>
      </c>
      <c r="E62" s="5" t="s">
        <v>127</v>
      </c>
      <c r="F62" s="6">
        <v>0</v>
      </c>
      <c r="G62" s="7">
        <v>2000</v>
      </c>
      <c r="H62" s="6">
        <f t="shared" si="5"/>
        <v>2000</v>
      </c>
      <c r="I62" s="8">
        <f t="shared" si="6"/>
        <v>1</v>
      </c>
      <c r="J62" s="9" t="s">
        <v>199</v>
      </c>
      <c r="K62" s="10">
        <v>0</v>
      </c>
      <c r="L62" s="11">
        <v>0</v>
      </c>
      <c r="M62" s="10">
        <v>0</v>
      </c>
      <c r="N62" s="11">
        <v>0</v>
      </c>
      <c r="O62" s="10">
        <v>0</v>
      </c>
      <c r="P62" s="11">
        <v>0</v>
      </c>
      <c r="Q62" s="6">
        <f t="shared" si="7"/>
        <v>0</v>
      </c>
      <c r="R62" s="7">
        <f t="shared" si="8"/>
        <v>0</v>
      </c>
      <c r="S62" s="12">
        <f t="shared" si="9"/>
        <v>0</v>
      </c>
      <c r="T62" s="13"/>
    </row>
    <row r="63" spans="2:20" ht="20.100000000000001" customHeight="1" x14ac:dyDescent="0.25">
      <c r="B63" s="4" t="s">
        <v>70</v>
      </c>
      <c r="C63" s="5" t="s">
        <v>117</v>
      </c>
      <c r="D63" s="4" t="s">
        <v>115</v>
      </c>
      <c r="E63" s="5" t="s">
        <v>128</v>
      </c>
      <c r="F63" s="6">
        <v>0</v>
      </c>
      <c r="G63" s="7">
        <v>1600</v>
      </c>
      <c r="H63" s="6">
        <f t="shared" si="5"/>
        <v>1600</v>
      </c>
      <c r="I63" s="8">
        <f t="shared" si="6"/>
        <v>1</v>
      </c>
      <c r="J63" s="9" t="s">
        <v>199</v>
      </c>
      <c r="K63" s="10">
        <v>0</v>
      </c>
      <c r="L63" s="11">
        <v>0</v>
      </c>
      <c r="M63" s="10">
        <v>0</v>
      </c>
      <c r="N63" s="11">
        <v>0</v>
      </c>
      <c r="O63" s="10">
        <v>0</v>
      </c>
      <c r="P63" s="11">
        <v>0</v>
      </c>
      <c r="Q63" s="6">
        <f t="shared" si="7"/>
        <v>0</v>
      </c>
      <c r="R63" s="7">
        <f t="shared" si="8"/>
        <v>0</v>
      </c>
      <c r="S63" s="12">
        <f t="shared" si="9"/>
        <v>0</v>
      </c>
      <c r="T63" s="13"/>
    </row>
    <row r="64" spans="2:20" ht="20.100000000000001" customHeight="1" x14ac:dyDescent="0.25">
      <c r="B64" s="4" t="s">
        <v>129</v>
      </c>
      <c r="C64" s="5" t="s">
        <v>130</v>
      </c>
      <c r="D64" s="4" t="s">
        <v>49</v>
      </c>
      <c r="E64" s="5" t="s">
        <v>131</v>
      </c>
      <c r="F64" s="6">
        <v>0</v>
      </c>
      <c r="G64" s="7">
        <v>1100</v>
      </c>
      <c r="H64" s="6">
        <f t="shared" si="5"/>
        <v>1100</v>
      </c>
      <c r="I64" s="8">
        <f t="shared" si="6"/>
        <v>1</v>
      </c>
      <c r="J64" s="9" t="s">
        <v>199</v>
      </c>
      <c r="K64" s="10">
        <v>0</v>
      </c>
      <c r="L64" s="11">
        <v>0</v>
      </c>
      <c r="M64" s="10">
        <v>0</v>
      </c>
      <c r="N64" s="11">
        <v>0</v>
      </c>
      <c r="O64" s="10">
        <v>0</v>
      </c>
      <c r="P64" s="11">
        <v>0</v>
      </c>
      <c r="Q64" s="6">
        <f t="shared" si="7"/>
        <v>0</v>
      </c>
      <c r="R64" s="7">
        <f t="shared" si="8"/>
        <v>0</v>
      </c>
      <c r="S64" s="12">
        <f t="shared" si="9"/>
        <v>0</v>
      </c>
      <c r="T64" s="13"/>
    </row>
    <row r="65" spans="2:20" ht="20.100000000000001" customHeight="1" x14ac:dyDescent="0.25">
      <c r="B65" s="4" t="s">
        <v>132</v>
      </c>
      <c r="C65" s="5" t="s">
        <v>133</v>
      </c>
      <c r="D65" s="4" t="s">
        <v>134</v>
      </c>
      <c r="E65" s="5" t="s">
        <v>135</v>
      </c>
      <c r="F65" s="6">
        <v>0</v>
      </c>
      <c r="G65" s="7">
        <v>0</v>
      </c>
      <c r="H65" s="6">
        <f t="shared" si="5"/>
        <v>0</v>
      </c>
      <c r="I65" s="8">
        <f t="shared" si="6"/>
        <v>0</v>
      </c>
      <c r="J65" s="9"/>
      <c r="K65" s="10">
        <v>0</v>
      </c>
      <c r="L65" s="11">
        <v>0</v>
      </c>
      <c r="M65" s="10">
        <v>800</v>
      </c>
      <c r="N65" s="11">
        <v>800</v>
      </c>
      <c r="O65" s="10">
        <v>0</v>
      </c>
      <c r="P65" s="11">
        <v>0</v>
      </c>
      <c r="Q65" s="6">
        <f t="shared" si="7"/>
        <v>800</v>
      </c>
      <c r="R65" s="7">
        <f t="shared" si="8"/>
        <v>800</v>
      </c>
      <c r="S65" s="12">
        <f t="shared" si="9"/>
        <v>0</v>
      </c>
      <c r="T65" s="13"/>
    </row>
    <row r="66" spans="2:20" ht="20.100000000000001" customHeight="1" x14ac:dyDescent="0.25">
      <c r="B66" s="4" t="s">
        <v>132</v>
      </c>
      <c r="C66" s="5" t="s">
        <v>133</v>
      </c>
      <c r="D66" s="4" t="s">
        <v>136</v>
      </c>
      <c r="E66" s="5" t="s">
        <v>45</v>
      </c>
      <c r="F66" s="6">
        <v>0</v>
      </c>
      <c r="G66" s="7">
        <v>0</v>
      </c>
      <c r="H66" s="6">
        <f t="shared" si="5"/>
        <v>0</v>
      </c>
      <c r="I66" s="8">
        <f t="shared" si="6"/>
        <v>0</v>
      </c>
      <c r="J66" s="9"/>
      <c r="K66" s="10">
        <v>0</v>
      </c>
      <c r="L66" s="11">
        <v>0</v>
      </c>
      <c r="M66" s="10">
        <v>1000</v>
      </c>
      <c r="N66" s="11">
        <v>1000</v>
      </c>
      <c r="O66" s="10">
        <v>0</v>
      </c>
      <c r="P66" s="11">
        <v>0</v>
      </c>
      <c r="Q66" s="6">
        <f t="shared" si="7"/>
        <v>1000</v>
      </c>
      <c r="R66" s="7">
        <f t="shared" si="8"/>
        <v>1000</v>
      </c>
      <c r="S66" s="12">
        <f t="shared" si="9"/>
        <v>0</v>
      </c>
      <c r="T66" s="13"/>
    </row>
    <row r="67" spans="2:20" ht="20.100000000000001" customHeight="1" x14ac:dyDescent="0.25">
      <c r="B67" s="4" t="s">
        <v>132</v>
      </c>
      <c r="C67" s="5" t="s">
        <v>133</v>
      </c>
      <c r="D67" s="4" t="s">
        <v>34</v>
      </c>
      <c r="E67" s="5" t="s">
        <v>48</v>
      </c>
      <c r="F67" s="6">
        <v>0</v>
      </c>
      <c r="G67" s="7">
        <v>0</v>
      </c>
      <c r="H67" s="6">
        <f t="shared" si="5"/>
        <v>0</v>
      </c>
      <c r="I67" s="8">
        <f t="shared" si="6"/>
        <v>0</v>
      </c>
      <c r="J67" s="9"/>
      <c r="K67" s="10">
        <v>0</v>
      </c>
      <c r="L67" s="11">
        <v>0</v>
      </c>
      <c r="M67" s="10">
        <v>3300</v>
      </c>
      <c r="N67" s="11">
        <v>3300</v>
      </c>
      <c r="O67" s="10">
        <v>0</v>
      </c>
      <c r="P67" s="11">
        <v>0</v>
      </c>
      <c r="Q67" s="6">
        <f t="shared" si="7"/>
        <v>3300</v>
      </c>
      <c r="R67" s="7">
        <f t="shared" si="8"/>
        <v>3300</v>
      </c>
      <c r="S67" s="12">
        <f t="shared" si="9"/>
        <v>0</v>
      </c>
      <c r="T67" s="13"/>
    </row>
    <row r="68" spans="2:20" ht="20.100000000000001" customHeight="1" x14ac:dyDescent="0.25">
      <c r="B68" s="4" t="s">
        <v>132</v>
      </c>
      <c r="C68" s="5" t="s">
        <v>133</v>
      </c>
      <c r="D68" s="4" t="s">
        <v>137</v>
      </c>
      <c r="E68" s="5" t="s">
        <v>138</v>
      </c>
      <c r="F68" s="6">
        <v>0</v>
      </c>
      <c r="G68" s="7">
        <v>0</v>
      </c>
      <c r="H68" s="6">
        <f t="shared" si="5"/>
        <v>0</v>
      </c>
      <c r="I68" s="8">
        <f t="shared" si="6"/>
        <v>0</v>
      </c>
      <c r="J68" s="9"/>
      <c r="K68" s="10">
        <v>0</v>
      </c>
      <c r="L68" s="11">
        <v>0</v>
      </c>
      <c r="M68" s="10">
        <v>1000</v>
      </c>
      <c r="N68" s="11">
        <v>1000</v>
      </c>
      <c r="O68" s="10">
        <v>0</v>
      </c>
      <c r="P68" s="11">
        <v>0</v>
      </c>
      <c r="Q68" s="6">
        <f t="shared" si="7"/>
        <v>1000</v>
      </c>
      <c r="R68" s="7">
        <f t="shared" si="8"/>
        <v>1000</v>
      </c>
      <c r="S68" s="12">
        <f t="shared" si="9"/>
        <v>0</v>
      </c>
      <c r="T68" s="13"/>
    </row>
    <row r="69" spans="2:20" ht="20.100000000000001" customHeight="1" x14ac:dyDescent="0.25">
      <c r="B69" s="4" t="s">
        <v>132</v>
      </c>
      <c r="C69" s="5" t="s">
        <v>133</v>
      </c>
      <c r="D69" s="4" t="s">
        <v>139</v>
      </c>
      <c r="E69" s="5" t="s">
        <v>140</v>
      </c>
      <c r="F69" s="6">
        <v>0</v>
      </c>
      <c r="G69" s="7">
        <v>0</v>
      </c>
      <c r="H69" s="6">
        <f t="shared" si="5"/>
        <v>0</v>
      </c>
      <c r="I69" s="8">
        <f t="shared" si="6"/>
        <v>0</v>
      </c>
      <c r="J69" s="9"/>
      <c r="K69" s="10">
        <v>0</v>
      </c>
      <c r="L69" s="11">
        <v>0</v>
      </c>
      <c r="M69" s="10">
        <v>1224</v>
      </c>
      <c r="N69" s="11">
        <v>1224</v>
      </c>
      <c r="O69" s="10">
        <v>0</v>
      </c>
      <c r="P69" s="11">
        <v>0</v>
      </c>
      <c r="Q69" s="6">
        <f t="shared" si="7"/>
        <v>1224</v>
      </c>
      <c r="R69" s="7">
        <f t="shared" si="8"/>
        <v>1224</v>
      </c>
      <c r="S69" s="12">
        <f t="shared" si="9"/>
        <v>0</v>
      </c>
      <c r="T69" s="13"/>
    </row>
    <row r="70" spans="2:20" ht="20.100000000000001" customHeight="1" x14ac:dyDescent="0.25">
      <c r="B70" s="4" t="s">
        <v>132</v>
      </c>
      <c r="C70" s="5" t="s">
        <v>133</v>
      </c>
      <c r="D70" s="4" t="s">
        <v>141</v>
      </c>
      <c r="E70" s="5" t="s">
        <v>140</v>
      </c>
      <c r="F70" s="6">
        <v>0</v>
      </c>
      <c r="G70" s="7">
        <v>0</v>
      </c>
      <c r="H70" s="6">
        <f t="shared" si="5"/>
        <v>0</v>
      </c>
      <c r="I70" s="8">
        <f t="shared" si="6"/>
        <v>0</v>
      </c>
      <c r="J70" s="9"/>
      <c r="K70" s="10">
        <v>0</v>
      </c>
      <c r="L70" s="11">
        <v>0</v>
      </c>
      <c r="M70" s="10">
        <v>3620</v>
      </c>
      <c r="N70" s="11">
        <v>3620</v>
      </c>
      <c r="O70" s="10">
        <v>0</v>
      </c>
      <c r="P70" s="11">
        <v>0</v>
      </c>
      <c r="Q70" s="6">
        <f t="shared" si="7"/>
        <v>3620</v>
      </c>
      <c r="R70" s="7">
        <f t="shared" si="8"/>
        <v>3620</v>
      </c>
      <c r="S70" s="12">
        <f t="shared" si="9"/>
        <v>0</v>
      </c>
      <c r="T70" s="13"/>
    </row>
    <row r="71" spans="2:20" ht="20.100000000000001" customHeight="1" x14ac:dyDescent="0.25">
      <c r="B71" s="4" t="s">
        <v>132</v>
      </c>
      <c r="C71" s="5" t="s">
        <v>133</v>
      </c>
      <c r="D71" s="4" t="s">
        <v>142</v>
      </c>
      <c r="E71" s="5" t="s">
        <v>140</v>
      </c>
      <c r="F71" s="6">
        <v>0</v>
      </c>
      <c r="G71" s="7">
        <v>0</v>
      </c>
      <c r="H71" s="6">
        <f t="shared" si="5"/>
        <v>0</v>
      </c>
      <c r="I71" s="8">
        <f t="shared" si="6"/>
        <v>0</v>
      </c>
      <c r="J71" s="9"/>
      <c r="K71" s="10">
        <v>0</v>
      </c>
      <c r="L71" s="11">
        <v>0</v>
      </c>
      <c r="M71" s="10">
        <v>2500</v>
      </c>
      <c r="N71" s="11">
        <v>2500</v>
      </c>
      <c r="O71" s="10">
        <v>0</v>
      </c>
      <c r="P71" s="11">
        <v>0</v>
      </c>
      <c r="Q71" s="6">
        <f t="shared" si="7"/>
        <v>2500</v>
      </c>
      <c r="R71" s="7">
        <f t="shared" si="8"/>
        <v>2500</v>
      </c>
      <c r="S71" s="12">
        <f t="shared" si="9"/>
        <v>0</v>
      </c>
      <c r="T71" s="13"/>
    </row>
    <row r="72" spans="2:20" ht="20.100000000000001" customHeight="1" x14ac:dyDescent="0.25">
      <c r="B72" s="4" t="s">
        <v>132</v>
      </c>
      <c r="C72" s="5" t="s">
        <v>133</v>
      </c>
      <c r="D72" s="4" t="s">
        <v>143</v>
      </c>
      <c r="E72" s="5" t="s">
        <v>144</v>
      </c>
      <c r="F72" s="6">
        <v>0</v>
      </c>
      <c r="G72" s="7">
        <v>0</v>
      </c>
      <c r="H72" s="6">
        <f t="shared" si="5"/>
        <v>0</v>
      </c>
      <c r="I72" s="8">
        <f t="shared" si="6"/>
        <v>0</v>
      </c>
      <c r="J72" s="9"/>
      <c r="K72" s="10">
        <v>0</v>
      </c>
      <c r="L72" s="11">
        <v>0</v>
      </c>
      <c r="M72" s="10">
        <v>300</v>
      </c>
      <c r="N72" s="11">
        <v>300</v>
      </c>
      <c r="O72" s="10">
        <v>0</v>
      </c>
      <c r="P72" s="11">
        <v>0</v>
      </c>
      <c r="Q72" s="6">
        <f t="shared" si="7"/>
        <v>300</v>
      </c>
      <c r="R72" s="7">
        <f t="shared" si="8"/>
        <v>300</v>
      </c>
      <c r="S72" s="12">
        <f t="shared" si="9"/>
        <v>0</v>
      </c>
      <c r="T72" s="13"/>
    </row>
    <row r="73" spans="2:20" ht="20.100000000000001" customHeight="1" x14ac:dyDescent="0.25">
      <c r="B73" s="4" t="s">
        <v>132</v>
      </c>
      <c r="C73" s="5" t="s">
        <v>133</v>
      </c>
      <c r="D73" s="4" t="s">
        <v>54</v>
      </c>
      <c r="E73" s="5" t="s">
        <v>145</v>
      </c>
      <c r="F73" s="6">
        <v>0</v>
      </c>
      <c r="G73" s="7">
        <v>0</v>
      </c>
      <c r="H73" s="6">
        <f t="shared" si="5"/>
        <v>0</v>
      </c>
      <c r="I73" s="8">
        <f t="shared" si="6"/>
        <v>0</v>
      </c>
      <c r="J73" s="9"/>
      <c r="K73" s="10">
        <v>0</v>
      </c>
      <c r="L73" s="11">
        <v>0</v>
      </c>
      <c r="M73" s="10">
        <v>1000</v>
      </c>
      <c r="N73" s="11">
        <v>1000</v>
      </c>
      <c r="O73" s="10">
        <v>0</v>
      </c>
      <c r="P73" s="11">
        <v>0</v>
      </c>
      <c r="Q73" s="6">
        <f t="shared" si="7"/>
        <v>1000</v>
      </c>
      <c r="R73" s="7">
        <f t="shared" si="8"/>
        <v>1000</v>
      </c>
      <c r="S73" s="12">
        <f t="shared" si="9"/>
        <v>0</v>
      </c>
      <c r="T73" s="13"/>
    </row>
    <row r="74" spans="2:20" ht="20.100000000000001" customHeight="1" x14ac:dyDescent="0.25">
      <c r="B74" s="4" t="s">
        <v>132</v>
      </c>
      <c r="C74" s="5" t="s">
        <v>133</v>
      </c>
      <c r="D74" s="4" t="s">
        <v>56</v>
      </c>
      <c r="E74" s="5" t="s">
        <v>145</v>
      </c>
      <c r="F74" s="6">
        <v>0</v>
      </c>
      <c r="G74" s="7">
        <v>0</v>
      </c>
      <c r="H74" s="6">
        <f t="shared" ref="H74:H105" si="10">ABS(G74-F74)</f>
        <v>0</v>
      </c>
      <c r="I74" s="8">
        <f t="shared" ref="I74:I110" si="11">IF(F74&gt;0, G74/F74, IF(G74&gt;0, 1, 0))</f>
        <v>0</v>
      </c>
      <c r="J74" s="9"/>
      <c r="K74" s="10">
        <v>0</v>
      </c>
      <c r="L74" s="11">
        <v>0</v>
      </c>
      <c r="M74" s="10">
        <v>1500</v>
      </c>
      <c r="N74" s="11">
        <v>1500</v>
      </c>
      <c r="O74" s="10">
        <v>0</v>
      </c>
      <c r="P74" s="11">
        <v>0</v>
      </c>
      <c r="Q74" s="6">
        <f t="shared" ref="Q74:Q110" si="12">K74+M74+O74</f>
        <v>1500</v>
      </c>
      <c r="R74" s="7">
        <f t="shared" ref="R74:R110" si="13">L74+N74+P74</f>
        <v>1500</v>
      </c>
      <c r="S74" s="12">
        <f t="shared" ref="S74:S105" si="14">R74-Q74</f>
        <v>0</v>
      </c>
      <c r="T74" s="13"/>
    </row>
    <row r="75" spans="2:20" ht="20.100000000000001" customHeight="1" x14ac:dyDescent="0.25">
      <c r="B75" s="4" t="s">
        <v>132</v>
      </c>
      <c r="C75" s="5" t="s">
        <v>133</v>
      </c>
      <c r="D75" s="4" t="s">
        <v>146</v>
      </c>
      <c r="E75" s="5" t="s">
        <v>61</v>
      </c>
      <c r="F75" s="6">
        <v>0</v>
      </c>
      <c r="G75" s="7">
        <v>0</v>
      </c>
      <c r="H75" s="6">
        <f t="shared" si="10"/>
        <v>0</v>
      </c>
      <c r="I75" s="8">
        <f t="shared" si="11"/>
        <v>0</v>
      </c>
      <c r="J75" s="9"/>
      <c r="K75" s="10">
        <v>0</v>
      </c>
      <c r="L75" s="11">
        <v>0</v>
      </c>
      <c r="M75" s="10">
        <v>800</v>
      </c>
      <c r="N75" s="11">
        <v>800</v>
      </c>
      <c r="O75" s="10">
        <v>0</v>
      </c>
      <c r="P75" s="11">
        <v>0</v>
      </c>
      <c r="Q75" s="6">
        <f t="shared" si="12"/>
        <v>800</v>
      </c>
      <c r="R75" s="7">
        <f t="shared" si="13"/>
        <v>800</v>
      </c>
      <c r="S75" s="12">
        <f t="shared" si="14"/>
        <v>0</v>
      </c>
      <c r="T75" s="13"/>
    </row>
    <row r="76" spans="2:20" ht="20.100000000000001" customHeight="1" x14ac:dyDescent="0.25">
      <c r="B76" s="4" t="s">
        <v>132</v>
      </c>
      <c r="C76" s="5" t="s">
        <v>133</v>
      </c>
      <c r="D76" s="4" t="s">
        <v>147</v>
      </c>
      <c r="E76" s="5" t="s">
        <v>148</v>
      </c>
      <c r="F76" s="6">
        <v>0</v>
      </c>
      <c r="G76" s="7">
        <v>0</v>
      </c>
      <c r="H76" s="6">
        <f t="shared" si="10"/>
        <v>0</v>
      </c>
      <c r="I76" s="8">
        <f t="shared" si="11"/>
        <v>0</v>
      </c>
      <c r="J76" s="9"/>
      <c r="K76" s="10">
        <v>0</v>
      </c>
      <c r="L76" s="11">
        <v>0</v>
      </c>
      <c r="M76" s="10">
        <v>500</v>
      </c>
      <c r="N76" s="11">
        <v>500</v>
      </c>
      <c r="O76" s="10">
        <v>0</v>
      </c>
      <c r="P76" s="11">
        <v>0</v>
      </c>
      <c r="Q76" s="6">
        <f t="shared" si="12"/>
        <v>500</v>
      </c>
      <c r="R76" s="7">
        <f t="shared" si="13"/>
        <v>500</v>
      </c>
      <c r="S76" s="12">
        <f t="shared" si="14"/>
        <v>0</v>
      </c>
      <c r="T76" s="13"/>
    </row>
    <row r="77" spans="2:20" ht="20.100000000000001" customHeight="1" x14ac:dyDescent="0.25">
      <c r="B77" s="4" t="s">
        <v>132</v>
      </c>
      <c r="C77" s="5" t="s">
        <v>133</v>
      </c>
      <c r="D77" s="4" t="s">
        <v>149</v>
      </c>
      <c r="E77" s="5" t="s">
        <v>150</v>
      </c>
      <c r="F77" s="6">
        <v>0</v>
      </c>
      <c r="G77" s="7">
        <v>0</v>
      </c>
      <c r="H77" s="6">
        <f t="shared" si="10"/>
        <v>0</v>
      </c>
      <c r="I77" s="8">
        <f t="shared" si="11"/>
        <v>0</v>
      </c>
      <c r="J77" s="9"/>
      <c r="K77" s="10">
        <v>0</v>
      </c>
      <c r="L77" s="11">
        <v>0</v>
      </c>
      <c r="M77" s="10">
        <v>2000</v>
      </c>
      <c r="N77" s="11">
        <v>2000</v>
      </c>
      <c r="O77" s="10">
        <v>0</v>
      </c>
      <c r="P77" s="11">
        <v>0</v>
      </c>
      <c r="Q77" s="6">
        <f t="shared" si="12"/>
        <v>2000</v>
      </c>
      <c r="R77" s="7">
        <f t="shared" si="13"/>
        <v>2000</v>
      </c>
      <c r="S77" s="12">
        <f t="shared" si="14"/>
        <v>0</v>
      </c>
      <c r="T77" s="13"/>
    </row>
    <row r="78" spans="2:20" ht="20.100000000000001" customHeight="1" x14ac:dyDescent="0.25">
      <c r="B78" s="4" t="s">
        <v>132</v>
      </c>
      <c r="C78" s="5" t="s">
        <v>133</v>
      </c>
      <c r="D78" s="4" t="s">
        <v>151</v>
      </c>
      <c r="E78" s="5" t="s">
        <v>152</v>
      </c>
      <c r="F78" s="6">
        <v>0</v>
      </c>
      <c r="G78" s="7">
        <v>0</v>
      </c>
      <c r="H78" s="6">
        <f t="shared" si="10"/>
        <v>0</v>
      </c>
      <c r="I78" s="8">
        <f t="shared" si="11"/>
        <v>0</v>
      </c>
      <c r="J78" s="9"/>
      <c r="K78" s="10">
        <v>0</v>
      </c>
      <c r="L78" s="11">
        <v>0</v>
      </c>
      <c r="M78" s="10">
        <v>500</v>
      </c>
      <c r="N78" s="11">
        <v>500</v>
      </c>
      <c r="O78" s="10">
        <v>0</v>
      </c>
      <c r="P78" s="11">
        <v>0</v>
      </c>
      <c r="Q78" s="6">
        <f t="shared" si="12"/>
        <v>500</v>
      </c>
      <c r="R78" s="7">
        <f t="shared" si="13"/>
        <v>500</v>
      </c>
      <c r="S78" s="12">
        <f t="shared" si="14"/>
        <v>0</v>
      </c>
      <c r="T78" s="13"/>
    </row>
    <row r="79" spans="2:20" ht="20.100000000000001" customHeight="1" x14ac:dyDescent="0.25">
      <c r="B79" s="4" t="s">
        <v>132</v>
      </c>
      <c r="C79" s="5" t="s">
        <v>133</v>
      </c>
      <c r="D79" s="4" t="s">
        <v>153</v>
      </c>
      <c r="E79" s="5" t="s">
        <v>154</v>
      </c>
      <c r="F79" s="6">
        <v>0</v>
      </c>
      <c r="G79" s="7">
        <v>0</v>
      </c>
      <c r="H79" s="6">
        <f t="shared" si="10"/>
        <v>0</v>
      </c>
      <c r="I79" s="8">
        <f t="shared" si="11"/>
        <v>0</v>
      </c>
      <c r="J79" s="9"/>
      <c r="K79" s="10">
        <v>0</v>
      </c>
      <c r="L79" s="11">
        <v>0</v>
      </c>
      <c r="M79" s="10">
        <v>500</v>
      </c>
      <c r="N79" s="11">
        <v>500</v>
      </c>
      <c r="O79" s="10">
        <v>0</v>
      </c>
      <c r="P79" s="11">
        <v>0</v>
      </c>
      <c r="Q79" s="6">
        <f t="shared" si="12"/>
        <v>500</v>
      </c>
      <c r="R79" s="7">
        <f t="shared" si="13"/>
        <v>500</v>
      </c>
      <c r="S79" s="12">
        <f t="shared" si="14"/>
        <v>0</v>
      </c>
      <c r="T79" s="13"/>
    </row>
    <row r="80" spans="2:20" ht="20.100000000000001" customHeight="1" x14ac:dyDescent="0.25">
      <c r="B80" s="4" t="s">
        <v>132</v>
      </c>
      <c r="C80" s="5" t="s">
        <v>133</v>
      </c>
      <c r="D80" s="4" t="s">
        <v>155</v>
      </c>
      <c r="E80" s="5" t="s">
        <v>156</v>
      </c>
      <c r="F80" s="6">
        <v>0</v>
      </c>
      <c r="G80" s="7">
        <v>0</v>
      </c>
      <c r="H80" s="6">
        <f t="shared" si="10"/>
        <v>0</v>
      </c>
      <c r="I80" s="8">
        <f t="shared" si="11"/>
        <v>0</v>
      </c>
      <c r="J80" s="9"/>
      <c r="K80" s="10">
        <v>0</v>
      </c>
      <c r="L80" s="11">
        <v>0</v>
      </c>
      <c r="M80" s="10">
        <v>300</v>
      </c>
      <c r="N80" s="11">
        <v>300</v>
      </c>
      <c r="O80" s="10">
        <v>0</v>
      </c>
      <c r="P80" s="11">
        <v>0</v>
      </c>
      <c r="Q80" s="6">
        <f t="shared" si="12"/>
        <v>300</v>
      </c>
      <c r="R80" s="7">
        <f t="shared" si="13"/>
        <v>300</v>
      </c>
      <c r="S80" s="12">
        <f t="shared" si="14"/>
        <v>0</v>
      </c>
      <c r="T80" s="13"/>
    </row>
    <row r="81" spans="2:20" ht="20.100000000000001" customHeight="1" x14ac:dyDescent="0.25">
      <c r="B81" s="4" t="s">
        <v>132</v>
      </c>
      <c r="C81" s="5" t="s">
        <v>133</v>
      </c>
      <c r="D81" s="4" t="s">
        <v>157</v>
      </c>
      <c r="E81" s="5" t="s">
        <v>158</v>
      </c>
      <c r="F81" s="6">
        <v>0</v>
      </c>
      <c r="G81" s="7">
        <v>0</v>
      </c>
      <c r="H81" s="6">
        <f t="shared" si="10"/>
        <v>0</v>
      </c>
      <c r="I81" s="8">
        <f t="shared" si="11"/>
        <v>0</v>
      </c>
      <c r="J81" s="9"/>
      <c r="K81" s="10">
        <v>0</v>
      </c>
      <c r="L81" s="11">
        <v>0</v>
      </c>
      <c r="M81" s="10">
        <v>2000</v>
      </c>
      <c r="N81" s="11">
        <v>2000</v>
      </c>
      <c r="O81" s="10">
        <v>0</v>
      </c>
      <c r="P81" s="11">
        <v>0</v>
      </c>
      <c r="Q81" s="6">
        <f t="shared" si="12"/>
        <v>2000</v>
      </c>
      <c r="R81" s="7">
        <f t="shared" si="13"/>
        <v>2000</v>
      </c>
      <c r="S81" s="12">
        <f t="shared" si="14"/>
        <v>0</v>
      </c>
      <c r="T81" s="13"/>
    </row>
    <row r="82" spans="2:20" ht="20.100000000000001" customHeight="1" x14ac:dyDescent="0.25">
      <c r="B82" s="4" t="s">
        <v>132</v>
      </c>
      <c r="C82" s="5" t="s">
        <v>133</v>
      </c>
      <c r="D82" s="4" t="s">
        <v>159</v>
      </c>
      <c r="E82" s="5" t="s">
        <v>160</v>
      </c>
      <c r="F82" s="6">
        <v>0</v>
      </c>
      <c r="G82" s="7">
        <v>0</v>
      </c>
      <c r="H82" s="6">
        <f t="shared" si="10"/>
        <v>0</v>
      </c>
      <c r="I82" s="8">
        <f t="shared" si="11"/>
        <v>0</v>
      </c>
      <c r="J82" s="9"/>
      <c r="K82" s="10">
        <v>0</v>
      </c>
      <c r="L82" s="11">
        <v>0</v>
      </c>
      <c r="M82" s="10">
        <v>1000</v>
      </c>
      <c r="N82" s="11">
        <v>1000</v>
      </c>
      <c r="O82" s="10">
        <v>0</v>
      </c>
      <c r="P82" s="11">
        <v>0</v>
      </c>
      <c r="Q82" s="6">
        <f t="shared" si="12"/>
        <v>1000</v>
      </c>
      <c r="R82" s="7">
        <f t="shared" si="13"/>
        <v>1000</v>
      </c>
      <c r="S82" s="12">
        <f t="shared" si="14"/>
        <v>0</v>
      </c>
      <c r="T82" s="13"/>
    </row>
    <row r="83" spans="2:20" ht="20.100000000000001" customHeight="1" x14ac:dyDescent="0.25">
      <c r="B83" s="4" t="s">
        <v>132</v>
      </c>
      <c r="C83" s="5" t="s">
        <v>133</v>
      </c>
      <c r="D83" s="4" t="s">
        <v>161</v>
      </c>
      <c r="E83" s="5" t="s">
        <v>162</v>
      </c>
      <c r="F83" s="6">
        <v>0</v>
      </c>
      <c r="G83" s="7">
        <v>0</v>
      </c>
      <c r="H83" s="6">
        <f t="shared" si="10"/>
        <v>0</v>
      </c>
      <c r="I83" s="8">
        <f t="shared" si="11"/>
        <v>0</v>
      </c>
      <c r="J83" s="9"/>
      <c r="K83" s="10">
        <v>0</v>
      </c>
      <c r="L83" s="11">
        <v>0</v>
      </c>
      <c r="M83" s="10">
        <v>360</v>
      </c>
      <c r="N83" s="11">
        <v>360</v>
      </c>
      <c r="O83" s="10">
        <v>0</v>
      </c>
      <c r="P83" s="11">
        <v>0</v>
      </c>
      <c r="Q83" s="6">
        <f t="shared" si="12"/>
        <v>360</v>
      </c>
      <c r="R83" s="7">
        <f t="shared" si="13"/>
        <v>360</v>
      </c>
      <c r="S83" s="12">
        <f t="shared" si="14"/>
        <v>0</v>
      </c>
      <c r="T83" s="13"/>
    </row>
    <row r="84" spans="2:20" ht="20.100000000000001" customHeight="1" x14ac:dyDescent="0.25">
      <c r="B84" s="4" t="s">
        <v>132</v>
      </c>
      <c r="C84" s="5" t="s">
        <v>133</v>
      </c>
      <c r="D84" s="4" t="s">
        <v>111</v>
      </c>
      <c r="E84" s="5" t="s">
        <v>163</v>
      </c>
      <c r="F84" s="6">
        <v>0</v>
      </c>
      <c r="G84" s="7">
        <v>0</v>
      </c>
      <c r="H84" s="6">
        <f t="shared" si="10"/>
        <v>0</v>
      </c>
      <c r="I84" s="8">
        <f t="shared" si="11"/>
        <v>0</v>
      </c>
      <c r="J84" s="9"/>
      <c r="K84" s="10">
        <v>0</v>
      </c>
      <c r="L84" s="11">
        <v>0</v>
      </c>
      <c r="M84" s="10">
        <v>640</v>
      </c>
      <c r="N84" s="11">
        <v>640</v>
      </c>
      <c r="O84" s="10">
        <v>0</v>
      </c>
      <c r="P84" s="11">
        <v>0</v>
      </c>
      <c r="Q84" s="6">
        <f t="shared" si="12"/>
        <v>640</v>
      </c>
      <c r="R84" s="7">
        <f t="shared" si="13"/>
        <v>640</v>
      </c>
      <c r="S84" s="12">
        <f t="shared" si="14"/>
        <v>0</v>
      </c>
      <c r="T84" s="13"/>
    </row>
    <row r="85" spans="2:20" ht="20.100000000000001" customHeight="1" x14ac:dyDescent="0.25">
      <c r="B85" s="4" t="s">
        <v>132</v>
      </c>
      <c r="C85" s="5" t="s">
        <v>133</v>
      </c>
      <c r="D85" s="4" t="s">
        <v>164</v>
      </c>
      <c r="E85" s="5" t="s">
        <v>165</v>
      </c>
      <c r="F85" s="6">
        <v>0</v>
      </c>
      <c r="G85" s="7">
        <v>0</v>
      </c>
      <c r="H85" s="6">
        <f t="shared" si="10"/>
        <v>0</v>
      </c>
      <c r="I85" s="8">
        <f t="shared" si="11"/>
        <v>0</v>
      </c>
      <c r="J85" s="9"/>
      <c r="K85" s="10">
        <v>0</v>
      </c>
      <c r="L85" s="11">
        <v>0</v>
      </c>
      <c r="M85" s="10">
        <v>2000</v>
      </c>
      <c r="N85" s="11">
        <v>2000</v>
      </c>
      <c r="O85" s="10">
        <v>0</v>
      </c>
      <c r="P85" s="11">
        <v>0</v>
      </c>
      <c r="Q85" s="6">
        <f t="shared" si="12"/>
        <v>2000</v>
      </c>
      <c r="R85" s="7">
        <f t="shared" si="13"/>
        <v>2000</v>
      </c>
      <c r="S85" s="12">
        <f t="shared" si="14"/>
        <v>0</v>
      </c>
      <c r="T85" s="13"/>
    </row>
    <row r="86" spans="2:20" ht="20.100000000000001" customHeight="1" x14ac:dyDescent="0.25">
      <c r="B86" s="4" t="s">
        <v>166</v>
      </c>
      <c r="C86" s="5" t="s">
        <v>167</v>
      </c>
      <c r="D86" s="4" t="s">
        <v>168</v>
      </c>
      <c r="E86" s="5" t="s">
        <v>45</v>
      </c>
      <c r="F86" s="6">
        <v>0</v>
      </c>
      <c r="G86" s="7">
        <v>0</v>
      </c>
      <c r="H86" s="6">
        <f t="shared" si="10"/>
        <v>0</v>
      </c>
      <c r="I86" s="8">
        <f t="shared" si="11"/>
        <v>0</v>
      </c>
      <c r="J86" s="9"/>
      <c r="K86" s="10">
        <v>9600</v>
      </c>
      <c r="L86" s="11">
        <v>9600</v>
      </c>
      <c r="M86" s="10">
        <v>16800</v>
      </c>
      <c r="N86" s="11">
        <v>16800</v>
      </c>
      <c r="O86" s="10">
        <v>0</v>
      </c>
      <c r="P86" s="11">
        <v>0</v>
      </c>
      <c r="Q86" s="6">
        <f t="shared" si="12"/>
        <v>26400</v>
      </c>
      <c r="R86" s="7">
        <f t="shared" si="13"/>
        <v>26400</v>
      </c>
      <c r="S86" s="12">
        <f t="shared" si="14"/>
        <v>0</v>
      </c>
      <c r="T86" s="13"/>
    </row>
    <row r="87" spans="2:20" ht="20.100000000000001" customHeight="1" x14ac:dyDescent="0.25">
      <c r="B87" s="4" t="s">
        <v>166</v>
      </c>
      <c r="C87" s="5" t="s">
        <v>167</v>
      </c>
      <c r="D87" s="4" t="s">
        <v>169</v>
      </c>
      <c r="E87" s="5" t="s">
        <v>48</v>
      </c>
      <c r="F87" s="6">
        <v>44000</v>
      </c>
      <c r="G87" s="7">
        <v>0</v>
      </c>
      <c r="H87" s="6">
        <f t="shared" si="10"/>
        <v>44000</v>
      </c>
      <c r="I87" s="8">
        <f t="shared" si="11"/>
        <v>0</v>
      </c>
      <c r="J87" s="9"/>
      <c r="K87" s="10">
        <v>22000</v>
      </c>
      <c r="L87" s="11">
        <v>44000</v>
      </c>
      <c r="M87" s="10">
        <v>44000</v>
      </c>
      <c r="N87" s="11">
        <v>44000</v>
      </c>
      <c r="O87" s="10">
        <v>44000</v>
      </c>
      <c r="P87" s="11">
        <v>44000</v>
      </c>
      <c r="Q87" s="6">
        <f t="shared" si="12"/>
        <v>110000</v>
      </c>
      <c r="R87" s="7">
        <f t="shared" si="13"/>
        <v>132000</v>
      </c>
      <c r="S87" s="12">
        <f t="shared" si="14"/>
        <v>22000</v>
      </c>
      <c r="T87" s="13"/>
    </row>
    <row r="88" spans="2:20" ht="20.100000000000001" customHeight="1" x14ac:dyDescent="0.25">
      <c r="B88" s="4" t="s">
        <v>166</v>
      </c>
      <c r="C88" s="5" t="s">
        <v>167</v>
      </c>
      <c r="D88" s="4" t="s">
        <v>113</v>
      </c>
      <c r="E88" s="5" t="s">
        <v>170</v>
      </c>
      <c r="F88" s="6">
        <v>0</v>
      </c>
      <c r="G88" s="7">
        <v>0</v>
      </c>
      <c r="H88" s="6">
        <f t="shared" si="10"/>
        <v>0</v>
      </c>
      <c r="I88" s="8">
        <f t="shared" si="11"/>
        <v>0</v>
      </c>
      <c r="J88" s="9"/>
      <c r="K88" s="10">
        <v>0</v>
      </c>
      <c r="L88" s="11">
        <v>0</v>
      </c>
      <c r="M88" s="10">
        <v>4000</v>
      </c>
      <c r="N88" s="11">
        <v>4000</v>
      </c>
      <c r="O88" s="10">
        <v>0</v>
      </c>
      <c r="P88" s="11">
        <v>0</v>
      </c>
      <c r="Q88" s="6">
        <f t="shared" si="12"/>
        <v>4000</v>
      </c>
      <c r="R88" s="7">
        <f t="shared" si="13"/>
        <v>4000</v>
      </c>
      <c r="S88" s="12">
        <f t="shared" si="14"/>
        <v>0</v>
      </c>
      <c r="T88" s="13"/>
    </row>
    <row r="89" spans="2:20" ht="20.100000000000001" customHeight="1" x14ac:dyDescent="0.25">
      <c r="B89" s="4" t="s">
        <v>171</v>
      </c>
      <c r="C89" s="5" t="s">
        <v>172</v>
      </c>
      <c r="D89" s="4" t="s">
        <v>44</v>
      </c>
      <c r="E89" s="5" t="s">
        <v>173</v>
      </c>
      <c r="F89" s="6">
        <v>0</v>
      </c>
      <c r="G89" s="7">
        <v>0</v>
      </c>
      <c r="H89" s="6">
        <f t="shared" si="10"/>
        <v>0</v>
      </c>
      <c r="I89" s="8">
        <f t="shared" si="11"/>
        <v>0</v>
      </c>
      <c r="J89" s="9"/>
      <c r="K89" s="10">
        <v>0</v>
      </c>
      <c r="L89" s="11">
        <v>0</v>
      </c>
      <c r="M89" s="10">
        <v>1584</v>
      </c>
      <c r="N89" s="11">
        <v>0</v>
      </c>
      <c r="O89" s="10">
        <v>0</v>
      </c>
      <c r="P89" s="11">
        <v>1584</v>
      </c>
      <c r="Q89" s="6">
        <f t="shared" si="12"/>
        <v>1584</v>
      </c>
      <c r="R89" s="7">
        <f t="shared" si="13"/>
        <v>1584</v>
      </c>
      <c r="S89" s="12">
        <f t="shared" si="14"/>
        <v>0</v>
      </c>
      <c r="T89" s="13"/>
    </row>
    <row r="90" spans="2:20" ht="20.100000000000001" customHeight="1" x14ac:dyDescent="0.25">
      <c r="B90" s="4" t="s">
        <v>171</v>
      </c>
      <c r="C90" s="5" t="s">
        <v>172</v>
      </c>
      <c r="D90" s="4" t="s">
        <v>46</v>
      </c>
      <c r="E90" s="5" t="s">
        <v>174</v>
      </c>
      <c r="F90" s="6">
        <v>0</v>
      </c>
      <c r="G90" s="7">
        <v>0</v>
      </c>
      <c r="H90" s="6">
        <f t="shared" si="10"/>
        <v>0</v>
      </c>
      <c r="I90" s="8">
        <f t="shared" si="11"/>
        <v>0</v>
      </c>
      <c r="J90" s="9"/>
      <c r="K90" s="10">
        <v>0</v>
      </c>
      <c r="L90" s="11">
        <v>0</v>
      </c>
      <c r="M90" s="10">
        <v>800</v>
      </c>
      <c r="N90" s="11">
        <v>0</v>
      </c>
      <c r="O90" s="10">
        <v>0</v>
      </c>
      <c r="P90" s="11">
        <v>800</v>
      </c>
      <c r="Q90" s="6">
        <f t="shared" si="12"/>
        <v>800</v>
      </c>
      <c r="R90" s="7">
        <f t="shared" si="13"/>
        <v>800</v>
      </c>
      <c r="S90" s="12">
        <f t="shared" si="14"/>
        <v>0</v>
      </c>
      <c r="T90" s="13"/>
    </row>
    <row r="91" spans="2:20" ht="20.100000000000001" customHeight="1" x14ac:dyDescent="0.25">
      <c r="B91" s="4" t="s">
        <v>171</v>
      </c>
      <c r="C91" s="5" t="s">
        <v>172</v>
      </c>
      <c r="D91" s="4" t="s">
        <v>34</v>
      </c>
      <c r="E91" s="5" t="s">
        <v>92</v>
      </c>
      <c r="F91" s="6">
        <v>0</v>
      </c>
      <c r="G91" s="7">
        <v>0</v>
      </c>
      <c r="H91" s="6">
        <f t="shared" si="10"/>
        <v>0</v>
      </c>
      <c r="I91" s="8">
        <f t="shared" si="11"/>
        <v>0</v>
      </c>
      <c r="J91" s="9"/>
      <c r="K91" s="10">
        <v>0</v>
      </c>
      <c r="L91" s="11">
        <v>0</v>
      </c>
      <c r="M91" s="10">
        <v>6000</v>
      </c>
      <c r="N91" s="11">
        <v>0</v>
      </c>
      <c r="O91" s="10">
        <v>0</v>
      </c>
      <c r="P91" s="11">
        <v>6000</v>
      </c>
      <c r="Q91" s="6">
        <f t="shared" si="12"/>
        <v>6000</v>
      </c>
      <c r="R91" s="7">
        <f t="shared" si="13"/>
        <v>6000</v>
      </c>
      <c r="S91" s="12">
        <f t="shared" si="14"/>
        <v>0</v>
      </c>
      <c r="T91" s="13"/>
    </row>
    <row r="92" spans="2:20" ht="20.100000000000001" customHeight="1" x14ac:dyDescent="0.25">
      <c r="B92" s="4" t="s">
        <v>171</v>
      </c>
      <c r="C92" s="5" t="s">
        <v>172</v>
      </c>
      <c r="D92" s="4" t="s">
        <v>175</v>
      </c>
      <c r="E92" s="5" t="s">
        <v>176</v>
      </c>
      <c r="F92" s="6">
        <v>0</v>
      </c>
      <c r="G92" s="7">
        <v>0</v>
      </c>
      <c r="H92" s="6">
        <f t="shared" si="10"/>
        <v>0</v>
      </c>
      <c r="I92" s="8">
        <f t="shared" si="11"/>
        <v>0</v>
      </c>
      <c r="J92" s="9"/>
      <c r="K92" s="10">
        <v>0</v>
      </c>
      <c r="L92" s="11">
        <v>0</v>
      </c>
      <c r="M92" s="10">
        <v>1584</v>
      </c>
      <c r="N92" s="11">
        <v>0</v>
      </c>
      <c r="O92" s="10">
        <v>0</v>
      </c>
      <c r="P92" s="11">
        <v>1584</v>
      </c>
      <c r="Q92" s="6">
        <f t="shared" si="12"/>
        <v>1584</v>
      </c>
      <c r="R92" s="7">
        <f t="shared" si="13"/>
        <v>1584</v>
      </c>
      <c r="S92" s="12">
        <f t="shared" si="14"/>
        <v>0</v>
      </c>
      <c r="T92" s="13"/>
    </row>
    <row r="93" spans="2:20" ht="20.100000000000001" customHeight="1" x14ac:dyDescent="0.25">
      <c r="B93" s="4" t="s">
        <v>171</v>
      </c>
      <c r="C93" s="5" t="s">
        <v>172</v>
      </c>
      <c r="D93" s="4" t="s">
        <v>177</v>
      </c>
      <c r="E93" s="5" t="s">
        <v>178</v>
      </c>
      <c r="F93" s="6">
        <v>0</v>
      </c>
      <c r="G93" s="7">
        <v>0</v>
      </c>
      <c r="H93" s="6">
        <f t="shared" si="10"/>
        <v>0</v>
      </c>
      <c r="I93" s="8">
        <f t="shared" si="11"/>
        <v>0</v>
      </c>
      <c r="J93" s="9"/>
      <c r="K93" s="10">
        <v>0</v>
      </c>
      <c r="L93" s="11">
        <v>0</v>
      </c>
      <c r="M93" s="10">
        <v>800</v>
      </c>
      <c r="N93" s="11">
        <v>0</v>
      </c>
      <c r="O93" s="10">
        <v>0</v>
      </c>
      <c r="P93" s="11">
        <v>800</v>
      </c>
      <c r="Q93" s="6">
        <f t="shared" si="12"/>
        <v>800</v>
      </c>
      <c r="R93" s="7">
        <f t="shared" si="13"/>
        <v>800</v>
      </c>
      <c r="S93" s="12">
        <f t="shared" si="14"/>
        <v>0</v>
      </c>
      <c r="T93" s="13"/>
    </row>
    <row r="94" spans="2:20" ht="20.100000000000001" customHeight="1" x14ac:dyDescent="0.25">
      <c r="B94" s="4" t="s">
        <v>171</v>
      </c>
      <c r="C94" s="5" t="s">
        <v>172</v>
      </c>
      <c r="D94" s="4" t="s">
        <v>58</v>
      </c>
      <c r="E94" s="5" t="s">
        <v>61</v>
      </c>
      <c r="F94" s="6">
        <v>0</v>
      </c>
      <c r="G94" s="7">
        <v>0</v>
      </c>
      <c r="H94" s="6">
        <f t="shared" si="10"/>
        <v>0</v>
      </c>
      <c r="I94" s="8">
        <f t="shared" si="11"/>
        <v>0</v>
      </c>
      <c r="J94" s="9"/>
      <c r="K94" s="10">
        <v>0</v>
      </c>
      <c r="L94" s="11">
        <v>0</v>
      </c>
      <c r="M94" s="10">
        <v>1584</v>
      </c>
      <c r="N94" s="11">
        <v>0</v>
      </c>
      <c r="O94" s="10">
        <v>0</v>
      </c>
      <c r="P94" s="11">
        <v>1584</v>
      </c>
      <c r="Q94" s="6">
        <f t="shared" si="12"/>
        <v>1584</v>
      </c>
      <c r="R94" s="7">
        <f t="shared" si="13"/>
        <v>1584</v>
      </c>
      <c r="S94" s="12">
        <f t="shared" si="14"/>
        <v>0</v>
      </c>
      <c r="T94" s="13"/>
    </row>
    <row r="95" spans="2:20" ht="20.100000000000001" customHeight="1" x14ac:dyDescent="0.25">
      <c r="B95" s="4" t="s">
        <v>171</v>
      </c>
      <c r="C95" s="5" t="s">
        <v>172</v>
      </c>
      <c r="D95" s="4" t="s">
        <v>60</v>
      </c>
      <c r="E95" s="5" t="s">
        <v>61</v>
      </c>
      <c r="F95" s="6">
        <v>0</v>
      </c>
      <c r="G95" s="7">
        <v>0</v>
      </c>
      <c r="H95" s="6">
        <f t="shared" si="10"/>
        <v>0</v>
      </c>
      <c r="I95" s="8">
        <f t="shared" si="11"/>
        <v>0</v>
      </c>
      <c r="J95" s="9"/>
      <c r="K95" s="10">
        <v>0</v>
      </c>
      <c r="L95" s="11">
        <v>0</v>
      </c>
      <c r="M95" s="10">
        <v>400</v>
      </c>
      <c r="N95" s="11">
        <v>0</v>
      </c>
      <c r="O95" s="10">
        <v>0</v>
      </c>
      <c r="P95" s="11">
        <v>400</v>
      </c>
      <c r="Q95" s="6">
        <f t="shared" si="12"/>
        <v>400</v>
      </c>
      <c r="R95" s="7">
        <f t="shared" si="13"/>
        <v>400</v>
      </c>
      <c r="S95" s="12">
        <f t="shared" si="14"/>
        <v>0</v>
      </c>
      <c r="T95" s="13"/>
    </row>
    <row r="96" spans="2:20" ht="20.100000000000001" customHeight="1" x14ac:dyDescent="0.25">
      <c r="B96" s="4" t="s">
        <v>171</v>
      </c>
      <c r="C96" s="5" t="s">
        <v>172</v>
      </c>
      <c r="D96" s="4" t="s">
        <v>179</v>
      </c>
      <c r="E96" s="5" t="s">
        <v>104</v>
      </c>
      <c r="F96" s="6">
        <v>0</v>
      </c>
      <c r="G96" s="7">
        <v>0</v>
      </c>
      <c r="H96" s="6">
        <f t="shared" si="10"/>
        <v>0</v>
      </c>
      <c r="I96" s="8">
        <f t="shared" si="11"/>
        <v>0</v>
      </c>
      <c r="J96" s="9"/>
      <c r="K96" s="10">
        <v>0</v>
      </c>
      <c r="L96" s="11">
        <v>0</v>
      </c>
      <c r="M96" s="10">
        <v>792</v>
      </c>
      <c r="N96" s="11">
        <v>0</v>
      </c>
      <c r="O96" s="10">
        <v>0</v>
      </c>
      <c r="P96" s="11">
        <v>792</v>
      </c>
      <c r="Q96" s="6">
        <f t="shared" si="12"/>
        <v>792</v>
      </c>
      <c r="R96" s="7">
        <f t="shared" si="13"/>
        <v>792</v>
      </c>
      <c r="S96" s="12">
        <f t="shared" si="14"/>
        <v>0</v>
      </c>
      <c r="T96" s="13"/>
    </row>
    <row r="97" spans="2:20" ht="20.100000000000001" customHeight="1" x14ac:dyDescent="0.25">
      <c r="B97" s="4" t="s">
        <v>171</v>
      </c>
      <c r="C97" s="5" t="s">
        <v>172</v>
      </c>
      <c r="D97" s="4" t="s">
        <v>180</v>
      </c>
      <c r="E97" s="5" t="s">
        <v>104</v>
      </c>
      <c r="F97" s="6">
        <v>0</v>
      </c>
      <c r="G97" s="7">
        <v>0</v>
      </c>
      <c r="H97" s="6">
        <f t="shared" si="10"/>
        <v>0</v>
      </c>
      <c r="I97" s="8">
        <f t="shared" si="11"/>
        <v>0</v>
      </c>
      <c r="J97" s="9"/>
      <c r="K97" s="10">
        <v>0</v>
      </c>
      <c r="L97" s="11">
        <v>0</v>
      </c>
      <c r="M97" s="10">
        <v>400</v>
      </c>
      <c r="N97" s="11">
        <v>0</v>
      </c>
      <c r="O97" s="10">
        <v>0</v>
      </c>
      <c r="P97" s="11">
        <v>400</v>
      </c>
      <c r="Q97" s="6">
        <f t="shared" si="12"/>
        <v>400</v>
      </c>
      <c r="R97" s="7">
        <f t="shared" si="13"/>
        <v>400</v>
      </c>
      <c r="S97" s="12">
        <f t="shared" si="14"/>
        <v>0</v>
      </c>
      <c r="T97" s="13"/>
    </row>
    <row r="98" spans="2:20" ht="20.100000000000001" customHeight="1" x14ac:dyDescent="0.25">
      <c r="B98" s="4" t="s">
        <v>171</v>
      </c>
      <c r="C98" s="5" t="s">
        <v>172</v>
      </c>
      <c r="D98" s="4" t="s">
        <v>157</v>
      </c>
      <c r="E98" s="5" t="s">
        <v>106</v>
      </c>
      <c r="F98" s="6">
        <v>0</v>
      </c>
      <c r="G98" s="7">
        <v>0</v>
      </c>
      <c r="H98" s="6">
        <f t="shared" si="10"/>
        <v>0</v>
      </c>
      <c r="I98" s="8">
        <f t="shared" si="11"/>
        <v>0</v>
      </c>
      <c r="J98" s="9"/>
      <c r="K98" s="10">
        <v>0</v>
      </c>
      <c r="L98" s="11">
        <v>0</v>
      </c>
      <c r="M98" s="10">
        <v>528</v>
      </c>
      <c r="N98" s="11">
        <v>0</v>
      </c>
      <c r="O98" s="10">
        <v>0</v>
      </c>
      <c r="P98" s="11">
        <v>528</v>
      </c>
      <c r="Q98" s="6">
        <f t="shared" si="12"/>
        <v>528</v>
      </c>
      <c r="R98" s="7">
        <f t="shared" si="13"/>
        <v>528</v>
      </c>
      <c r="S98" s="12">
        <f t="shared" si="14"/>
        <v>0</v>
      </c>
      <c r="T98" s="13"/>
    </row>
    <row r="99" spans="2:20" ht="20.100000000000001" customHeight="1" x14ac:dyDescent="0.25">
      <c r="B99" s="4" t="s">
        <v>171</v>
      </c>
      <c r="C99" s="5" t="s">
        <v>172</v>
      </c>
      <c r="D99" s="4" t="s">
        <v>111</v>
      </c>
      <c r="E99" s="5" t="s">
        <v>116</v>
      </c>
      <c r="F99" s="6">
        <v>0</v>
      </c>
      <c r="G99" s="7">
        <v>0</v>
      </c>
      <c r="H99" s="6">
        <f t="shared" si="10"/>
        <v>0</v>
      </c>
      <c r="I99" s="8">
        <f t="shared" si="11"/>
        <v>0</v>
      </c>
      <c r="J99" s="9"/>
      <c r="K99" s="10">
        <v>0</v>
      </c>
      <c r="L99" s="11">
        <v>0</v>
      </c>
      <c r="M99" s="10">
        <v>528</v>
      </c>
      <c r="N99" s="11">
        <v>0</v>
      </c>
      <c r="O99" s="10">
        <v>0</v>
      </c>
      <c r="P99" s="11">
        <v>528</v>
      </c>
      <c r="Q99" s="6">
        <f t="shared" si="12"/>
        <v>528</v>
      </c>
      <c r="R99" s="7">
        <f t="shared" si="13"/>
        <v>528</v>
      </c>
      <c r="S99" s="12">
        <f t="shared" si="14"/>
        <v>0</v>
      </c>
      <c r="T99" s="13"/>
    </row>
    <row r="100" spans="2:20" ht="20.100000000000001" customHeight="1" x14ac:dyDescent="0.25">
      <c r="B100" s="4" t="s">
        <v>70</v>
      </c>
      <c r="C100" s="5" t="s">
        <v>181</v>
      </c>
      <c r="D100" s="4" t="s">
        <v>182</v>
      </c>
      <c r="E100" s="5" t="s">
        <v>183</v>
      </c>
      <c r="F100" s="6">
        <v>0</v>
      </c>
      <c r="G100" s="7">
        <v>368</v>
      </c>
      <c r="H100" s="6">
        <f t="shared" si="10"/>
        <v>368</v>
      </c>
      <c r="I100" s="8">
        <f t="shared" si="11"/>
        <v>1</v>
      </c>
      <c r="J100" s="9" t="s">
        <v>198</v>
      </c>
      <c r="K100" s="10">
        <v>0</v>
      </c>
      <c r="L100" s="11">
        <v>0</v>
      </c>
      <c r="M100" s="10">
        <v>0</v>
      </c>
      <c r="N100" s="11">
        <v>0</v>
      </c>
      <c r="O100" s="10">
        <v>0</v>
      </c>
      <c r="P100" s="11">
        <v>0</v>
      </c>
      <c r="Q100" s="6">
        <f t="shared" si="12"/>
        <v>0</v>
      </c>
      <c r="R100" s="7">
        <f t="shared" si="13"/>
        <v>0</v>
      </c>
      <c r="S100" s="12">
        <f t="shared" si="14"/>
        <v>0</v>
      </c>
      <c r="T100" s="13"/>
    </row>
    <row r="101" spans="2:20" ht="20.100000000000001" customHeight="1" x14ac:dyDescent="0.25">
      <c r="B101" s="4" t="s">
        <v>70</v>
      </c>
      <c r="C101" s="5" t="s">
        <v>181</v>
      </c>
      <c r="D101" s="4" t="s">
        <v>44</v>
      </c>
      <c r="E101" s="5" t="s">
        <v>184</v>
      </c>
      <c r="F101" s="6">
        <v>0</v>
      </c>
      <c r="G101" s="7">
        <v>540</v>
      </c>
      <c r="H101" s="6">
        <f t="shared" si="10"/>
        <v>540</v>
      </c>
      <c r="I101" s="8">
        <f t="shared" si="11"/>
        <v>1</v>
      </c>
      <c r="J101" s="9" t="s">
        <v>198</v>
      </c>
      <c r="K101" s="10">
        <v>0</v>
      </c>
      <c r="L101" s="11">
        <v>0</v>
      </c>
      <c r="M101" s="10">
        <v>0</v>
      </c>
      <c r="N101" s="11">
        <v>0</v>
      </c>
      <c r="O101" s="10">
        <v>0</v>
      </c>
      <c r="P101" s="11">
        <v>0</v>
      </c>
      <c r="Q101" s="6">
        <f t="shared" si="12"/>
        <v>0</v>
      </c>
      <c r="R101" s="7">
        <f t="shared" si="13"/>
        <v>0</v>
      </c>
      <c r="S101" s="12">
        <f t="shared" si="14"/>
        <v>0</v>
      </c>
      <c r="T101" s="13"/>
    </row>
    <row r="102" spans="2:20" ht="20.100000000000001" customHeight="1" x14ac:dyDescent="0.25">
      <c r="B102" s="4" t="s">
        <v>70</v>
      </c>
      <c r="C102" s="5" t="s">
        <v>181</v>
      </c>
      <c r="D102" s="4" t="s">
        <v>46</v>
      </c>
      <c r="E102" s="5" t="s">
        <v>185</v>
      </c>
      <c r="F102" s="6">
        <v>0</v>
      </c>
      <c r="G102" s="7">
        <v>300</v>
      </c>
      <c r="H102" s="6">
        <f t="shared" si="10"/>
        <v>300</v>
      </c>
      <c r="I102" s="8">
        <f t="shared" si="11"/>
        <v>1</v>
      </c>
      <c r="J102" s="9" t="s">
        <v>198</v>
      </c>
      <c r="K102" s="10">
        <v>0</v>
      </c>
      <c r="L102" s="11">
        <v>0</v>
      </c>
      <c r="M102" s="10">
        <v>0</v>
      </c>
      <c r="N102" s="11">
        <v>0</v>
      </c>
      <c r="O102" s="10">
        <v>0</v>
      </c>
      <c r="P102" s="11">
        <v>0</v>
      </c>
      <c r="Q102" s="6">
        <f t="shared" si="12"/>
        <v>0</v>
      </c>
      <c r="R102" s="7">
        <f t="shared" si="13"/>
        <v>0</v>
      </c>
      <c r="S102" s="12">
        <f t="shared" si="14"/>
        <v>0</v>
      </c>
      <c r="T102" s="13"/>
    </row>
    <row r="103" spans="2:20" ht="20.100000000000001" customHeight="1" x14ac:dyDescent="0.25">
      <c r="B103" s="4" t="s">
        <v>70</v>
      </c>
      <c r="C103" s="5" t="s">
        <v>181</v>
      </c>
      <c r="D103" s="4" t="s">
        <v>34</v>
      </c>
      <c r="E103" s="5" t="s">
        <v>119</v>
      </c>
      <c r="F103" s="6">
        <v>0</v>
      </c>
      <c r="G103" s="7">
        <v>7920</v>
      </c>
      <c r="H103" s="6">
        <f t="shared" si="10"/>
        <v>7920</v>
      </c>
      <c r="I103" s="8">
        <f t="shared" si="11"/>
        <v>1</v>
      </c>
      <c r="J103" s="9" t="s">
        <v>198</v>
      </c>
      <c r="K103" s="10">
        <v>0</v>
      </c>
      <c r="L103" s="11">
        <v>0</v>
      </c>
      <c r="M103" s="10">
        <v>0</v>
      </c>
      <c r="N103" s="11">
        <v>0</v>
      </c>
      <c r="O103" s="10">
        <v>0</v>
      </c>
      <c r="P103" s="11">
        <v>0</v>
      </c>
      <c r="Q103" s="6">
        <f t="shared" si="12"/>
        <v>0</v>
      </c>
      <c r="R103" s="7">
        <f t="shared" si="13"/>
        <v>0</v>
      </c>
      <c r="S103" s="12">
        <f t="shared" si="14"/>
        <v>0</v>
      </c>
      <c r="T103" s="13"/>
    </row>
    <row r="104" spans="2:20" ht="20.100000000000001" customHeight="1" x14ac:dyDescent="0.25">
      <c r="B104" s="4" t="s">
        <v>70</v>
      </c>
      <c r="C104" s="5" t="s">
        <v>181</v>
      </c>
      <c r="D104" s="4" t="s">
        <v>137</v>
      </c>
      <c r="E104" s="5" t="s">
        <v>186</v>
      </c>
      <c r="F104" s="6">
        <v>0</v>
      </c>
      <c r="G104" s="7">
        <v>540</v>
      </c>
      <c r="H104" s="6">
        <f t="shared" si="10"/>
        <v>540</v>
      </c>
      <c r="I104" s="8">
        <f t="shared" si="11"/>
        <v>1</v>
      </c>
      <c r="J104" s="9" t="s">
        <v>198</v>
      </c>
      <c r="K104" s="10">
        <v>0</v>
      </c>
      <c r="L104" s="11">
        <v>0</v>
      </c>
      <c r="M104" s="10">
        <v>0</v>
      </c>
      <c r="N104" s="11">
        <v>0</v>
      </c>
      <c r="O104" s="10">
        <v>0</v>
      </c>
      <c r="P104" s="11">
        <v>0</v>
      </c>
      <c r="Q104" s="6">
        <f t="shared" si="12"/>
        <v>0</v>
      </c>
      <c r="R104" s="7">
        <f t="shared" si="13"/>
        <v>0</v>
      </c>
      <c r="S104" s="12">
        <f t="shared" si="14"/>
        <v>0</v>
      </c>
      <c r="T104" s="13"/>
    </row>
    <row r="105" spans="2:20" ht="20.100000000000001" customHeight="1" x14ac:dyDescent="0.25">
      <c r="B105" s="4" t="s">
        <v>70</v>
      </c>
      <c r="C105" s="5" t="s">
        <v>181</v>
      </c>
      <c r="D105" s="4" t="s">
        <v>75</v>
      </c>
      <c r="E105" s="5" t="s">
        <v>187</v>
      </c>
      <c r="F105" s="6">
        <v>0</v>
      </c>
      <c r="G105" s="7">
        <v>840</v>
      </c>
      <c r="H105" s="6">
        <f t="shared" si="10"/>
        <v>840</v>
      </c>
      <c r="I105" s="8">
        <f t="shared" si="11"/>
        <v>1</v>
      </c>
      <c r="J105" s="9" t="s">
        <v>198</v>
      </c>
      <c r="K105" s="10">
        <v>0</v>
      </c>
      <c r="L105" s="11">
        <v>0</v>
      </c>
      <c r="M105" s="10">
        <v>0</v>
      </c>
      <c r="N105" s="11">
        <v>0</v>
      </c>
      <c r="O105" s="10">
        <v>0</v>
      </c>
      <c r="P105" s="11">
        <v>0</v>
      </c>
      <c r="Q105" s="6">
        <f t="shared" si="12"/>
        <v>0</v>
      </c>
      <c r="R105" s="7">
        <f t="shared" si="13"/>
        <v>0</v>
      </c>
      <c r="S105" s="12">
        <f t="shared" si="14"/>
        <v>0</v>
      </c>
      <c r="T105" s="13"/>
    </row>
    <row r="106" spans="2:20" ht="20.100000000000001" customHeight="1" x14ac:dyDescent="0.25">
      <c r="B106" s="4" t="s">
        <v>70</v>
      </c>
      <c r="C106" s="5" t="s">
        <v>181</v>
      </c>
      <c r="D106" s="4" t="s">
        <v>188</v>
      </c>
      <c r="E106" s="5" t="s">
        <v>189</v>
      </c>
      <c r="F106" s="6">
        <v>0</v>
      </c>
      <c r="G106" s="7">
        <v>600</v>
      </c>
      <c r="H106" s="6">
        <f t="shared" ref="H106:H137" si="15">ABS(G106-F106)</f>
        <v>600</v>
      </c>
      <c r="I106" s="8">
        <f t="shared" si="11"/>
        <v>1</v>
      </c>
      <c r="J106" s="9" t="s">
        <v>198</v>
      </c>
      <c r="K106" s="10">
        <v>0</v>
      </c>
      <c r="L106" s="11">
        <v>0</v>
      </c>
      <c r="M106" s="10">
        <v>0</v>
      </c>
      <c r="N106" s="11">
        <v>0</v>
      </c>
      <c r="O106" s="10">
        <v>0</v>
      </c>
      <c r="P106" s="11">
        <v>0</v>
      </c>
      <c r="Q106" s="6">
        <f t="shared" si="12"/>
        <v>0</v>
      </c>
      <c r="R106" s="7">
        <f t="shared" si="13"/>
        <v>0</v>
      </c>
      <c r="S106" s="12">
        <f t="shared" ref="S106:S137" si="16">R106-Q106</f>
        <v>0</v>
      </c>
      <c r="T106" s="13"/>
    </row>
    <row r="107" spans="2:20" ht="20.100000000000001" customHeight="1" x14ac:dyDescent="0.25">
      <c r="B107" s="4" t="s">
        <v>70</v>
      </c>
      <c r="C107" s="5" t="s">
        <v>181</v>
      </c>
      <c r="D107" s="4" t="s">
        <v>190</v>
      </c>
      <c r="E107" s="5" t="s">
        <v>191</v>
      </c>
      <c r="F107" s="6">
        <v>0</v>
      </c>
      <c r="G107" s="7">
        <v>1</v>
      </c>
      <c r="H107" s="6">
        <f t="shared" si="15"/>
        <v>1</v>
      </c>
      <c r="I107" s="8">
        <f t="shared" si="11"/>
        <v>1</v>
      </c>
      <c r="J107" s="9" t="s">
        <v>198</v>
      </c>
      <c r="K107" s="10">
        <v>0</v>
      </c>
      <c r="L107" s="11">
        <v>0</v>
      </c>
      <c r="M107" s="10">
        <v>0</v>
      </c>
      <c r="N107" s="11">
        <v>0</v>
      </c>
      <c r="O107" s="10">
        <v>0</v>
      </c>
      <c r="P107" s="11">
        <v>0</v>
      </c>
      <c r="Q107" s="6">
        <f t="shared" si="12"/>
        <v>0</v>
      </c>
      <c r="R107" s="7">
        <f t="shared" si="13"/>
        <v>0</v>
      </c>
      <c r="S107" s="12">
        <f t="shared" si="16"/>
        <v>0</v>
      </c>
      <c r="T107" s="13"/>
    </row>
    <row r="108" spans="2:20" ht="20.100000000000001" customHeight="1" x14ac:dyDescent="0.25">
      <c r="B108" s="4" t="s">
        <v>70</v>
      </c>
      <c r="C108" s="5" t="s">
        <v>181</v>
      </c>
      <c r="D108" s="4" t="s">
        <v>192</v>
      </c>
      <c r="E108" s="5" t="s">
        <v>193</v>
      </c>
      <c r="F108" s="6">
        <v>0</v>
      </c>
      <c r="G108" s="7">
        <v>1</v>
      </c>
      <c r="H108" s="6">
        <f t="shared" si="15"/>
        <v>1</v>
      </c>
      <c r="I108" s="8">
        <f t="shared" si="11"/>
        <v>1</v>
      </c>
      <c r="J108" s="9" t="s">
        <v>198</v>
      </c>
      <c r="K108" s="10">
        <v>0</v>
      </c>
      <c r="L108" s="11">
        <v>0</v>
      </c>
      <c r="M108" s="10">
        <v>0</v>
      </c>
      <c r="N108" s="11">
        <v>0</v>
      </c>
      <c r="O108" s="10">
        <v>0</v>
      </c>
      <c r="P108" s="11">
        <v>0</v>
      </c>
      <c r="Q108" s="6">
        <f t="shared" si="12"/>
        <v>0</v>
      </c>
      <c r="R108" s="7">
        <f t="shared" si="13"/>
        <v>0</v>
      </c>
      <c r="S108" s="12">
        <f t="shared" si="16"/>
        <v>0</v>
      </c>
      <c r="T108" s="13"/>
    </row>
    <row r="109" spans="2:20" ht="20.100000000000001" customHeight="1" x14ac:dyDescent="0.25">
      <c r="B109" s="4" t="s">
        <v>70</v>
      </c>
      <c r="C109" s="5" t="s">
        <v>181</v>
      </c>
      <c r="D109" s="4" t="s">
        <v>194</v>
      </c>
      <c r="E109" s="5" t="s">
        <v>195</v>
      </c>
      <c r="F109" s="6">
        <v>0</v>
      </c>
      <c r="G109" s="7">
        <v>180</v>
      </c>
      <c r="H109" s="6">
        <f t="shared" si="15"/>
        <v>180</v>
      </c>
      <c r="I109" s="8">
        <f t="shared" si="11"/>
        <v>1</v>
      </c>
      <c r="J109" s="9" t="s">
        <v>198</v>
      </c>
      <c r="K109" s="10">
        <v>0</v>
      </c>
      <c r="L109" s="11">
        <v>0</v>
      </c>
      <c r="M109" s="10">
        <v>0</v>
      </c>
      <c r="N109" s="11">
        <v>0</v>
      </c>
      <c r="O109" s="10">
        <v>0</v>
      </c>
      <c r="P109" s="11">
        <v>0</v>
      </c>
      <c r="Q109" s="6">
        <f t="shared" si="12"/>
        <v>0</v>
      </c>
      <c r="R109" s="7">
        <f t="shared" si="13"/>
        <v>0</v>
      </c>
      <c r="S109" s="12">
        <f t="shared" si="16"/>
        <v>0</v>
      </c>
      <c r="T109" s="13"/>
    </row>
    <row r="110" spans="2:20" ht="20.100000000000001" customHeight="1" x14ac:dyDescent="0.25">
      <c r="B110" s="4" t="s">
        <v>70</v>
      </c>
      <c r="C110" s="5" t="s">
        <v>181</v>
      </c>
      <c r="D110" s="4" t="s">
        <v>111</v>
      </c>
      <c r="E110" s="5" t="s">
        <v>196</v>
      </c>
      <c r="F110" s="6">
        <v>0</v>
      </c>
      <c r="G110" s="7">
        <v>1584</v>
      </c>
      <c r="H110" s="6">
        <f t="shared" si="15"/>
        <v>1584</v>
      </c>
      <c r="I110" s="8">
        <f t="shared" si="11"/>
        <v>1</v>
      </c>
      <c r="J110" s="9" t="s">
        <v>198</v>
      </c>
      <c r="K110" s="10">
        <v>0</v>
      </c>
      <c r="L110" s="11">
        <v>0</v>
      </c>
      <c r="M110" s="10">
        <v>0</v>
      </c>
      <c r="N110" s="11">
        <v>0</v>
      </c>
      <c r="O110" s="10">
        <v>0</v>
      </c>
      <c r="P110" s="11">
        <v>0</v>
      </c>
      <c r="Q110" s="6">
        <f t="shared" si="12"/>
        <v>0</v>
      </c>
      <c r="R110" s="7">
        <f t="shared" si="13"/>
        <v>0</v>
      </c>
      <c r="S110" s="12">
        <f t="shared" si="16"/>
        <v>0</v>
      </c>
      <c r="T110" s="13"/>
    </row>
    <row r="111" spans="2:20" ht="24.95" customHeight="1" x14ac:dyDescent="0.25">
      <c r="B111" s="31" t="s">
        <v>197</v>
      </c>
      <c r="C111" s="32"/>
      <c r="D111" s="32"/>
      <c r="E111" s="32"/>
      <c r="F111" s="14">
        <f>SUM(F10:F110)</f>
        <v>46000</v>
      </c>
      <c r="G111" s="14">
        <f>SUM(G10:G110)</f>
        <v>54908</v>
      </c>
      <c r="H111" s="14">
        <f>SUM(H10:H110)</f>
        <v>100908</v>
      </c>
      <c r="I111" s="15">
        <f>IF(F111&gt;0, G111/F111, 1)</f>
        <v>1.1936521739130435</v>
      </c>
      <c r="J111" s="16"/>
      <c r="K111" s="14">
        <f t="shared" ref="K111:S111" si="17">SUM(K10:K110)</f>
        <v>98392</v>
      </c>
      <c r="L111" s="14">
        <f t="shared" si="17"/>
        <v>117392</v>
      </c>
      <c r="M111" s="14">
        <f t="shared" si="17"/>
        <v>165980</v>
      </c>
      <c r="N111" s="14">
        <f t="shared" si="17"/>
        <v>125360</v>
      </c>
      <c r="O111" s="14">
        <f t="shared" si="17"/>
        <v>289200</v>
      </c>
      <c r="P111" s="14">
        <f t="shared" si="17"/>
        <v>322040</v>
      </c>
      <c r="Q111" s="14">
        <f t="shared" si="17"/>
        <v>553572</v>
      </c>
      <c r="R111" s="14">
        <f t="shared" si="17"/>
        <v>564792</v>
      </c>
      <c r="S111" s="17">
        <f t="shared" si="17"/>
        <v>11220</v>
      </c>
      <c r="T111" s="16"/>
    </row>
  </sheetData>
  <mergeCells count="20">
    <mergeCell ref="B111:E111"/>
    <mergeCell ref="B2:T2"/>
    <mergeCell ref="B8:E8"/>
    <mergeCell ref="E5:G5"/>
    <mergeCell ref="K5:M5"/>
    <mergeCell ref="Q6:T6"/>
    <mergeCell ref="H6:J6"/>
    <mergeCell ref="B3:T3"/>
    <mergeCell ref="B5:D5"/>
    <mergeCell ref="Q8:T8"/>
    <mergeCell ref="K6:M6"/>
    <mergeCell ref="H5:J5"/>
    <mergeCell ref="Q5:T5"/>
    <mergeCell ref="N5:P5"/>
    <mergeCell ref="E6:G6"/>
    <mergeCell ref="K8:P8"/>
    <mergeCell ref="B4:T4"/>
    <mergeCell ref="B6:D6"/>
    <mergeCell ref="F8:J8"/>
    <mergeCell ref="N6:P6"/>
  </mergeCells>
  <dataValidations count="1">
    <dataValidation type="list" allowBlank="1" errorTitle="Motivo de Desviación" error="Por favor seleccione un motivo de la lista o escriba su comentario" sqref="J10:J43 J10:J127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Previsiones_Ricardo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</cp:lastModifiedBy>
  <dcterms:created xsi:type="dcterms:W3CDTF">2026-10-01T12:16:57Z</dcterms:created>
  <dcterms:modified xsi:type="dcterms:W3CDTF">2026-10-02T08:43:54Z</dcterms:modified>
</cp:coreProperties>
</file>