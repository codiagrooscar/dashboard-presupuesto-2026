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ubre 2026 - Cliente y Prod" sheetId="1" state="visible" r:id="rId1"/>
  </sheets>
  <definedNames>
    <definedName name="_xlnm._FilterDatabase" localSheetId="0" hidden="1">'Octubre 2026 - Cliente y Prod'!$A$4:$K$163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u;[Red]-#,##0 u;&quot;-&quot;"/>
    <numFmt numFmtId="165" formatCode="#,##0.000 €/u"/>
    <numFmt numFmtId="166" formatCode="#,##0.00 €;[Red]-#,##0.00 €;&quot;-&quot;"/>
    <numFmt numFmtId="167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E8F5E9"/>
      <sz val="9.5"/>
    </font>
    <font>
      <name val="Segoe UI"/>
      <b val="1"/>
      <color rgb="00FFFFFF"/>
      <sz val="9.5"/>
    </font>
    <font>
      <name val="Segoe UI"/>
      <b val="1"/>
      <color rgb="00000000"/>
      <sz val="9.5"/>
    </font>
    <font>
      <name val="Segoe UI"/>
      <color rgb="00212529"/>
      <sz val="9.5"/>
    </font>
    <font>
      <name val="Segoe UI"/>
      <b val="1"/>
      <color rgb="000F5132"/>
      <sz val="10.5"/>
    </font>
  </fonts>
  <fills count="7">
    <fill>
      <patternFill/>
    </fill>
    <fill>
      <patternFill patternType="gray125"/>
    </fill>
    <fill>
      <patternFill patternType="solid">
        <fgColor rgb="000F5132"/>
        <bgColor rgb="000F5132"/>
      </patternFill>
    </fill>
    <fill>
      <patternFill patternType="solid">
        <fgColor rgb="00198754"/>
        <bgColor rgb="00198754"/>
      </patternFill>
    </fill>
    <fill>
      <patternFill patternType="solid">
        <fgColor rgb="00FFFFFF"/>
        <bgColor rgb="00FFFFFF"/>
      </patternFill>
    </fill>
    <fill>
      <patternFill patternType="solid">
        <fgColor rgb="00F8FBF9"/>
        <bgColor rgb="00F8FBF9"/>
      </patternFill>
    </fill>
    <fill>
      <patternFill patternType="solid">
        <fgColor rgb="00D1E7DD"/>
        <bgColor rgb="00D1E7DD"/>
      </patternFill>
    </fill>
  </fills>
  <borders count="3">
    <border>
      <left/>
      <right/>
      <top/>
      <bottom/>
      <diagonal/>
    </border>
    <border>
      <left style="thin">
        <color rgb="00DDE2E5"/>
      </left>
      <right style="thin">
        <color rgb="00DDE2E5"/>
      </right>
      <top style="thin">
        <color rgb="00DDE2E5"/>
      </top>
      <bottom style="thin">
        <color rgb="00DDE2E5"/>
      </bottom>
    </border>
    <border>
      <top style="thin">
        <color rgb="00B0BEC5"/>
      </top>
      <bottom style="double">
        <color rgb="000F513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0" fontId="0" fillId="6" borderId="2" pivotButton="0" quotePrefix="0" xfId="0"/>
    <xf numFmtId="0" fontId="4" fillId="6" borderId="2" pivotButton="0" quotePrefix="0" xfId="0"/>
    <xf numFmtId="0" fontId="0" fillId="6" borderId="2" applyAlignment="1" pivotButton="0" quotePrefix="0" xfId="0">
      <alignment horizontal="center" vertical="center"/>
    </xf>
    <xf numFmtId="0" fontId="5" fillId="6" borderId="2" pivotButton="0" quotePrefix="0" xfId="0"/>
    <xf numFmtId="164" fontId="4" fillId="6" borderId="2" applyAlignment="1" pivotButton="0" quotePrefix="0" xfId="0">
      <alignment horizontal="right" vertical="center"/>
    </xf>
    <xf numFmtId="165" fontId="4" fillId="6" borderId="2" applyAlignment="1" pivotButton="0" quotePrefix="0" xfId="0">
      <alignment horizontal="right" vertical="center"/>
    </xf>
    <xf numFmtId="166" fontId="6" fillId="6" borderId="2" applyAlignment="1" pivotButton="0" quotePrefix="0" xfId="0">
      <alignment horizontal="right" vertical="center"/>
    </xf>
    <xf numFmtId="167" fontId="4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4" customWidth="1" min="3" max="3"/>
    <col width="38" customWidth="1" min="4" max="4"/>
    <col width="14" customWidth="1" min="5" max="5"/>
    <col width="35" customWidth="1" min="6" max="6"/>
    <col width="10" customWidth="1" min="7" max="7"/>
    <col width="16" customWidth="1" min="8" max="8"/>
    <col width="15" customWidth="1" min="9" max="9"/>
    <col width="18" customWidth="1" min="10" max="10"/>
    <col width="12" customWidth="1" min="11" max="11"/>
  </cols>
  <sheetData>
    <row r="1" ht="24" customHeight="1">
      <c r="A1" s="1" t="inlineStr">
        <is>
          <t>CODIAGRO S.L. — DESGLOSE DE VENTAS OCTUBRE 2026 (P&amp;L 910.333,55 €)</t>
        </is>
      </c>
    </row>
    <row r="2" ht="18" customHeight="1">
      <c r="A2" s="2" t="inlineStr">
        <is>
          <t>Previsión presupuestaria por Cliente y Producto activo | Total: 311.317 unidades | 910,333.55 €</t>
        </is>
      </c>
    </row>
    <row r="4" ht="26" customHeight="1">
      <c r="A4" s="3" t="inlineStr">
        <is>
          <t>#</t>
        </is>
      </c>
      <c r="B4" s="3" t="inlineStr">
        <is>
          <t>Comercial</t>
        </is>
      </c>
      <c r="C4" s="3" t="inlineStr">
        <is>
          <t>País</t>
        </is>
      </c>
      <c r="D4" s="3" t="inlineStr">
        <is>
          <t>Cliente</t>
        </is>
      </c>
      <c r="E4" s="3" t="inlineStr">
        <is>
          <t>Código SKU</t>
        </is>
      </c>
      <c r="F4" s="3" t="inlineStr">
        <is>
          <t>Descripción del Producto</t>
        </is>
      </c>
      <c r="G4" s="3" t="inlineStr">
        <is>
          <t>Envase</t>
        </is>
      </c>
      <c r="H4" s="3" t="inlineStr">
        <is>
          <t>Unidades (u)</t>
        </is>
      </c>
      <c r="I4" s="3" t="inlineStr">
        <is>
          <t>Precio (€/u)</t>
        </is>
      </c>
      <c r="J4" s="3" t="inlineStr">
        <is>
          <t>Importe (€)</t>
        </is>
      </c>
      <c r="K4" s="3" t="inlineStr">
        <is>
          <t>% s/ Total</t>
        </is>
      </c>
    </row>
    <row r="5">
      <c r="A5" s="4" t="n">
        <v>1</v>
      </c>
      <c r="B5" s="5" t="inlineStr">
        <is>
          <t>Alfonso</t>
        </is>
      </c>
      <c r="C5" s="5" t="inlineStr">
        <is>
          <t>ESPAÑA</t>
        </is>
      </c>
      <c r="D5" s="5" t="inlineStr">
        <is>
          <t>ACTIV. PRODUC. Y COMERC. LA VEGUILLA, SL</t>
        </is>
      </c>
      <c r="E5" s="4" t="inlineStr">
        <is>
          <t>BIO0020</t>
        </is>
      </c>
      <c r="F5" s="5" t="inlineStr">
        <is>
          <t>BIORAD-20, 20 L</t>
        </is>
      </c>
      <c r="G5" s="4" t="inlineStr">
        <is>
          <t>20</t>
        </is>
      </c>
      <c r="H5" s="6" t="n">
        <v>320</v>
      </c>
      <c r="I5" s="7">
        <f>J5/H5</f>
        <v/>
      </c>
      <c r="J5" s="8" t="n">
        <v>751.4299999999999</v>
      </c>
      <c r="K5" s="9">
        <f>J5/$J$163</f>
        <v/>
      </c>
    </row>
    <row r="6">
      <c r="A6" s="10" t="n">
        <v>2</v>
      </c>
      <c r="B6" s="11" t="inlineStr">
        <is>
          <t>Alfonso</t>
        </is>
      </c>
      <c r="C6" s="11" t="inlineStr">
        <is>
          <t>ESPAÑA</t>
        </is>
      </c>
      <c r="D6" s="11" t="inlineStr">
        <is>
          <t>AGROVEYCA,S.L</t>
        </is>
      </c>
      <c r="E6" s="10" t="inlineStr">
        <is>
          <t>BIO0020</t>
        </is>
      </c>
      <c r="F6" s="11" t="inlineStr">
        <is>
          <t>BIORAD-20, 20 L</t>
        </is>
      </c>
      <c r="G6" s="10" t="inlineStr">
        <is>
          <t>20</t>
        </is>
      </c>
      <c r="H6" s="12" t="n">
        <v>300</v>
      </c>
      <c r="I6" s="13">
        <f>J6/H6</f>
        <v/>
      </c>
      <c r="J6" s="14" t="n">
        <v>707.23</v>
      </c>
      <c r="K6" s="15">
        <f>J6/$J$163</f>
        <v/>
      </c>
    </row>
    <row r="7">
      <c r="A7" s="4" t="n">
        <v>3</v>
      </c>
      <c r="B7" s="5" t="inlineStr">
        <is>
          <t>Alfonso</t>
        </is>
      </c>
      <c r="C7" s="5" t="inlineStr">
        <is>
          <t>ESPAÑA</t>
        </is>
      </c>
      <c r="D7" s="5" t="inlineStr">
        <is>
          <t>AGROVEYCA,S.L</t>
        </is>
      </c>
      <c r="E7" s="4" t="inlineStr">
        <is>
          <t>BROTA0020</t>
        </is>
      </c>
      <c r="F7" s="5" t="inlineStr">
        <is>
          <t>BROTAMEC, 20 L</t>
        </is>
      </c>
      <c r="G7" s="4" t="inlineStr">
        <is>
          <t>20</t>
        </is>
      </c>
      <c r="H7" s="6" t="n">
        <v>640</v>
      </c>
      <c r="I7" s="7">
        <f>J7/H7</f>
        <v/>
      </c>
      <c r="J7" s="8" t="n">
        <v>1848.95</v>
      </c>
      <c r="K7" s="9">
        <f>J7/$J$163</f>
        <v/>
      </c>
    </row>
    <row r="8">
      <c r="A8" s="10" t="n">
        <v>4</v>
      </c>
      <c r="B8" s="11" t="inlineStr">
        <is>
          <t>Alfonso</t>
        </is>
      </c>
      <c r="C8" s="11" t="inlineStr">
        <is>
          <t>ESPAÑA</t>
        </is>
      </c>
      <c r="D8" s="11" t="inlineStr">
        <is>
          <t>VILLALTA SATIVUM, S.L.</t>
        </is>
      </c>
      <c r="E8" s="10" t="inlineStr">
        <is>
          <t>BIO0020</t>
        </is>
      </c>
      <c r="F8" s="11" t="inlineStr">
        <is>
          <t>BIORAD-20, 20 L</t>
        </is>
      </c>
      <c r="G8" s="10" t="inlineStr">
        <is>
          <t>20</t>
        </is>
      </c>
      <c r="H8" s="12" t="n">
        <v>300</v>
      </c>
      <c r="I8" s="13">
        <f>J8/H8</f>
        <v/>
      </c>
      <c r="J8" s="14" t="n">
        <v>708.3</v>
      </c>
      <c r="K8" s="15">
        <f>J8/$J$163</f>
        <v/>
      </c>
    </row>
    <row r="9">
      <c r="A9" s="4" t="n">
        <v>5</v>
      </c>
      <c r="B9" s="5" t="inlineStr">
        <is>
          <t>Alfonso</t>
        </is>
      </c>
      <c r="C9" s="5" t="inlineStr">
        <is>
          <t>ESPAÑA</t>
        </is>
      </c>
      <c r="D9" s="5" t="inlineStr">
        <is>
          <t>VILLALTA SATIVUM, S.L.</t>
        </is>
      </c>
      <c r="E9" s="4" t="inlineStr">
        <is>
          <t>BROTA0020</t>
        </is>
      </c>
      <c r="F9" s="5" t="inlineStr">
        <is>
          <t>BROTAMEC, 20 L</t>
        </is>
      </c>
      <c r="G9" s="4" t="inlineStr">
        <is>
          <t>20</t>
        </is>
      </c>
      <c r="H9" s="6" t="n">
        <v>640</v>
      </c>
      <c r="I9" s="7">
        <f>J9/H9</f>
        <v/>
      </c>
      <c r="J9" s="8" t="n">
        <v>1861.7</v>
      </c>
      <c r="K9" s="9">
        <f>J9/$J$163</f>
        <v/>
      </c>
    </row>
    <row r="10">
      <c r="A10" s="10" t="n">
        <v>6</v>
      </c>
      <c r="B10" s="11" t="inlineStr">
        <is>
          <t>García</t>
        </is>
      </c>
      <c r="C10" s="11" t="inlineStr">
        <is>
          <t>ESPAÑA</t>
        </is>
      </c>
      <c r="D10" s="11" t="inlineStr">
        <is>
          <t>AGRONEW FITO, S.L.</t>
        </is>
      </c>
      <c r="E10" s="10" t="inlineStr">
        <is>
          <t>ANAE0020</t>
        </is>
      </c>
      <c r="F10" s="11" t="inlineStr">
        <is>
          <t>ALCAPLANT NEW AE, 20 KG</t>
        </is>
      </c>
      <c r="G10" s="10" t="inlineStr">
        <is>
          <t>20</t>
        </is>
      </c>
      <c r="H10" s="12" t="n">
        <v>1100</v>
      </c>
      <c r="I10" s="13">
        <f>J10/H10</f>
        <v/>
      </c>
      <c r="J10" s="14" t="n">
        <v>1823.2</v>
      </c>
      <c r="K10" s="15">
        <f>J10/$J$163</f>
        <v/>
      </c>
    </row>
    <row r="11">
      <c r="A11" s="4" t="n">
        <v>7</v>
      </c>
      <c r="B11" s="5" t="inlineStr">
        <is>
          <t>García</t>
        </is>
      </c>
      <c r="C11" s="5" t="inlineStr">
        <is>
          <t>ESPAÑA</t>
        </is>
      </c>
      <c r="D11" s="5" t="inlineStr">
        <is>
          <t>AGRONEW FITO, S.L.</t>
        </is>
      </c>
      <c r="E11" s="4" t="inlineStr">
        <is>
          <t>S1000</t>
        </is>
      </c>
      <c r="F11" s="5" t="inlineStr">
        <is>
          <t>SALWAX STAR, 1000 L</t>
        </is>
      </c>
      <c r="G11" s="4" t="inlineStr">
        <is>
          <t>1000</t>
        </is>
      </c>
      <c r="H11" s="6" t="n">
        <v>5000</v>
      </c>
      <c r="I11" s="7">
        <f>J11/H11</f>
        <v/>
      </c>
      <c r="J11" s="8" t="n">
        <v>7500.47</v>
      </c>
      <c r="K11" s="9">
        <f>J11/$J$163</f>
        <v/>
      </c>
    </row>
    <row r="12">
      <c r="A12" s="10" t="n">
        <v>8</v>
      </c>
      <c r="B12" s="11" t="inlineStr">
        <is>
          <t>García</t>
        </is>
      </c>
      <c r="C12" s="11" t="inlineStr">
        <is>
          <t>ESPAÑA</t>
        </is>
      </c>
      <c r="D12" s="11" t="inlineStr">
        <is>
          <t>AGROSER BERNARDINO, S.L.</t>
        </is>
      </c>
      <c r="E12" s="10" t="inlineStr">
        <is>
          <t>PT0020</t>
        </is>
      </c>
      <c r="F12" s="11" t="inlineStr">
        <is>
          <t>AGROPOTASION, 20 L</t>
        </is>
      </c>
      <c r="G12" s="10" t="inlineStr">
        <is>
          <t>20</t>
        </is>
      </c>
      <c r="H12" s="12" t="n">
        <v>640</v>
      </c>
      <c r="I12" s="13">
        <f>J12/H12</f>
        <v/>
      </c>
      <c r="J12" s="14" t="n">
        <v>2033.84</v>
      </c>
      <c r="K12" s="15">
        <f>J12/$J$163</f>
        <v/>
      </c>
    </row>
    <row r="13">
      <c r="A13" s="4" t="n">
        <v>9</v>
      </c>
      <c r="B13" s="5" t="inlineStr">
        <is>
          <t>García</t>
        </is>
      </c>
      <c r="C13" s="5" t="inlineStr">
        <is>
          <t>ESPAÑA</t>
        </is>
      </c>
      <c r="D13" s="5" t="inlineStr">
        <is>
          <t>AGROSER BERNARDINO, S.L.</t>
        </is>
      </c>
      <c r="E13" s="4" t="inlineStr">
        <is>
          <t>AN0020</t>
        </is>
      </c>
      <c r="F13" s="5" t="inlineStr">
        <is>
          <t>ALCAPLANT NEW, 20 KG</t>
        </is>
      </c>
      <c r="G13" s="4" t="inlineStr">
        <is>
          <t>20</t>
        </is>
      </c>
      <c r="H13" s="6" t="n">
        <v>2200</v>
      </c>
      <c r="I13" s="7">
        <f>J13/H13</f>
        <v/>
      </c>
      <c r="J13" s="8" t="n">
        <v>3572.37</v>
      </c>
      <c r="K13" s="9">
        <f>J13/$J$163</f>
        <v/>
      </c>
    </row>
    <row r="14">
      <c r="A14" s="10" t="n">
        <v>10</v>
      </c>
      <c r="B14" s="11" t="inlineStr">
        <is>
          <t>García</t>
        </is>
      </c>
      <c r="C14" s="11" t="inlineStr">
        <is>
          <t>ESPAÑA</t>
        </is>
      </c>
      <c r="D14" s="11" t="inlineStr">
        <is>
          <t>AGROSER BERNARDINO, S.L.</t>
        </is>
      </c>
      <c r="E14" s="10" t="inlineStr">
        <is>
          <t>BIO1000</t>
        </is>
      </c>
      <c r="F14" s="11" t="inlineStr">
        <is>
          <t>BIORAD-20, 1000 L</t>
        </is>
      </c>
      <c r="G14" s="10" t="inlineStr">
        <is>
          <t>1000</t>
        </is>
      </c>
      <c r="H14" s="12" t="n">
        <v>2000</v>
      </c>
      <c r="I14" s="13">
        <f>J14/H14</f>
        <v/>
      </c>
      <c r="J14" s="14" t="n">
        <v>3823.41</v>
      </c>
      <c r="K14" s="15">
        <f>J14/$J$163</f>
        <v/>
      </c>
    </row>
    <row r="15">
      <c r="A15" s="4" t="n">
        <v>11</v>
      </c>
      <c r="B15" s="5" t="inlineStr">
        <is>
          <t>García</t>
        </is>
      </c>
      <c r="C15" s="5" t="inlineStr">
        <is>
          <t>ESPAÑA</t>
        </is>
      </c>
      <c r="D15" s="5" t="inlineStr">
        <is>
          <t>AGROSER BERNARDINO, S.L.</t>
        </is>
      </c>
      <c r="E15" s="4" t="inlineStr">
        <is>
          <t>BIO0020</t>
        </is>
      </c>
      <c r="F15" s="5" t="inlineStr">
        <is>
          <t>BIORAD-20, 20 L</t>
        </is>
      </c>
      <c r="G15" s="4" t="inlineStr">
        <is>
          <t>20</t>
        </is>
      </c>
      <c r="H15" s="6" t="n">
        <v>1280</v>
      </c>
      <c r="I15" s="7">
        <f>J15/H15</f>
        <v/>
      </c>
      <c r="J15" s="8" t="n">
        <v>3022.07</v>
      </c>
      <c r="K15" s="9">
        <f>J15/$J$163</f>
        <v/>
      </c>
    </row>
    <row r="16">
      <c r="A16" s="10" t="n">
        <v>12</v>
      </c>
      <c r="B16" s="11" t="inlineStr">
        <is>
          <t>García</t>
        </is>
      </c>
      <c r="C16" s="11" t="inlineStr">
        <is>
          <t>ESPAÑA</t>
        </is>
      </c>
      <c r="D16" s="11" t="inlineStr">
        <is>
          <t>AGROSER BERNARDINO, S.L.</t>
        </is>
      </c>
      <c r="E16" s="10" t="inlineStr">
        <is>
          <t>C-CU0005</t>
        </is>
      </c>
      <c r="F16" s="11" t="inlineStr">
        <is>
          <t>CODICOBRE, 5 L</t>
        </is>
      </c>
      <c r="G16" s="10" t="inlineStr">
        <is>
          <t>5</t>
        </is>
      </c>
      <c r="H16" s="12" t="n">
        <v>600</v>
      </c>
      <c r="I16" s="13">
        <f>J16/H16</f>
        <v/>
      </c>
      <c r="J16" s="14" t="n">
        <v>2349.04</v>
      </c>
      <c r="K16" s="15">
        <f>J16/$J$163</f>
        <v/>
      </c>
    </row>
    <row r="17">
      <c r="A17" s="4" t="n">
        <v>13</v>
      </c>
      <c r="B17" s="5" t="inlineStr">
        <is>
          <t>García</t>
        </is>
      </c>
      <c r="C17" s="5" t="inlineStr">
        <is>
          <t>ESPAÑA</t>
        </is>
      </c>
      <c r="D17" s="5" t="inlineStr">
        <is>
          <t>AGROTRAPICHE, S.L.U</t>
        </is>
      </c>
      <c r="E17" s="4" t="inlineStr">
        <is>
          <t>AVAN0005</t>
        </is>
      </c>
      <c r="F17" s="5" t="inlineStr">
        <is>
          <t>FLORAMEC AVANCE, 5 L</t>
        </is>
      </c>
      <c r="G17" s="4" t="inlineStr">
        <is>
          <t>5</t>
        </is>
      </c>
      <c r="H17" s="6" t="n">
        <v>100</v>
      </c>
      <c r="I17" s="7">
        <f>J17/H17</f>
        <v/>
      </c>
      <c r="J17" s="8" t="n">
        <v>517.03</v>
      </c>
      <c r="K17" s="9">
        <f>J17/$J$163</f>
        <v/>
      </c>
    </row>
    <row r="18">
      <c r="A18" s="10" t="n">
        <v>14</v>
      </c>
      <c r="B18" s="11" t="inlineStr">
        <is>
          <t>García</t>
        </is>
      </c>
      <c r="C18" s="11" t="inlineStr">
        <is>
          <t>ESPAÑA</t>
        </is>
      </c>
      <c r="D18" s="11" t="inlineStr">
        <is>
          <t>AGRUPACION DE LABRADORES DEL POZUELO, SA</t>
        </is>
      </c>
      <c r="E18" s="10" t="inlineStr">
        <is>
          <t>AGXK0020</t>
        </is>
      </c>
      <c r="F18" s="11" t="inlineStr">
        <is>
          <t>AGROXILATO-K, 20 L</t>
        </is>
      </c>
      <c r="G18" s="10" t="inlineStr">
        <is>
          <t>20</t>
        </is>
      </c>
      <c r="H18" s="12" t="n">
        <v>100</v>
      </c>
      <c r="I18" s="13">
        <f>J18/H18</f>
        <v/>
      </c>
      <c r="J18" s="14" t="n">
        <v>329.74</v>
      </c>
      <c r="K18" s="15">
        <f>J18/$J$163</f>
        <v/>
      </c>
    </row>
    <row r="19">
      <c r="A19" s="4" t="n">
        <v>15</v>
      </c>
      <c r="B19" s="5" t="inlineStr">
        <is>
          <t>García</t>
        </is>
      </c>
      <c r="C19" s="5" t="inlineStr">
        <is>
          <t>ESPAÑA</t>
        </is>
      </c>
      <c r="D19" s="5" t="inlineStr">
        <is>
          <t>AGRUPACION DE LABRADORES DEL POZUELO, SA</t>
        </is>
      </c>
      <c r="E19" s="4" t="inlineStr">
        <is>
          <t>AVAN0020</t>
        </is>
      </c>
      <c r="F19" s="5" t="inlineStr">
        <is>
          <t>FLORAMEC AVANCE, 20 L</t>
        </is>
      </c>
      <c r="G19" s="4" t="inlineStr">
        <is>
          <t>20</t>
        </is>
      </c>
      <c r="H19" s="6" t="n">
        <v>200</v>
      </c>
      <c r="I19" s="7">
        <f>J19/H19</f>
        <v/>
      </c>
      <c r="J19" s="8" t="n">
        <v>1036.05</v>
      </c>
      <c r="K19" s="9">
        <f>J19/$J$163</f>
        <v/>
      </c>
    </row>
    <row r="20">
      <c r="A20" s="10" t="n">
        <v>16</v>
      </c>
      <c r="B20" s="11" t="inlineStr">
        <is>
          <t>García</t>
        </is>
      </c>
      <c r="C20" s="11" t="inlineStr">
        <is>
          <t>ESPAÑA</t>
        </is>
      </c>
      <c r="D20" s="11" t="inlineStr">
        <is>
          <t>AGRUPACION DE LABRADORES DEL POZUELO, SA</t>
        </is>
      </c>
      <c r="E20" s="10" t="inlineStr">
        <is>
          <t>AVAN0005</t>
        </is>
      </c>
      <c r="F20" s="11" t="inlineStr">
        <is>
          <t>FLORAMEC AVANCE, 5 L</t>
        </is>
      </c>
      <c r="G20" s="10" t="inlineStr">
        <is>
          <t>5</t>
        </is>
      </c>
      <c r="H20" s="12" t="n">
        <v>300</v>
      </c>
      <c r="I20" s="13">
        <f>J20/H20</f>
        <v/>
      </c>
      <c r="J20" s="14" t="n">
        <v>1655.05</v>
      </c>
      <c r="K20" s="15">
        <f>J20/$J$163</f>
        <v/>
      </c>
    </row>
    <row r="21">
      <c r="A21" s="4" t="n">
        <v>17</v>
      </c>
      <c r="B21" s="5" t="inlineStr">
        <is>
          <t>García</t>
        </is>
      </c>
      <c r="C21" s="5" t="inlineStr">
        <is>
          <t>EGIPTO</t>
        </is>
      </c>
      <c r="D21" s="5" t="inlineStr">
        <is>
          <t>DIPLOMATS ORCHARDS FOR TRADE AGENCIES</t>
        </is>
      </c>
      <c r="E21" s="4" t="inlineStr">
        <is>
          <t>AVAN0001EG</t>
        </is>
      </c>
      <c r="F21" s="5" t="inlineStr">
        <is>
          <t>FLORAMEC AVANCE</t>
        </is>
      </c>
      <c r="G21" s="4" t="inlineStr">
        <is>
          <t>1</t>
        </is>
      </c>
      <c r="H21" s="6" t="n">
        <v>3000</v>
      </c>
      <c r="I21" s="7">
        <f>J21/H21</f>
        <v/>
      </c>
      <c r="J21" s="8" t="n">
        <v>18349.99</v>
      </c>
      <c r="K21" s="9">
        <f>J21/$J$163</f>
        <v/>
      </c>
    </row>
    <row r="22">
      <c r="A22" s="10" t="n">
        <v>18</v>
      </c>
      <c r="B22" s="11" t="inlineStr">
        <is>
          <t>García</t>
        </is>
      </c>
      <c r="C22" s="11" t="inlineStr">
        <is>
          <t>EGIPTO</t>
        </is>
      </c>
      <c r="D22" s="11" t="inlineStr">
        <is>
          <t>DOTRA CHEMICALS</t>
        </is>
      </c>
      <c r="E22" s="10" t="inlineStr">
        <is>
          <t>AGZNP0001EG</t>
        </is>
      </c>
      <c r="F22" s="11" t="inlineStr">
        <is>
          <t>AGROXILATO-ZN PLUS, 1 KG</t>
        </is>
      </c>
      <c r="G22" s="10" t="inlineStr">
        <is>
          <t>1</t>
        </is>
      </c>
      <c r="H22" s="12" t="n">
        <v>2000</v>
      </c>
      <c r="I22" s="13">
        <f>J22/H22</f>
        <v/>
      </c>
      <c r="J22" s="14" t="n">
        <v>13189.67</v>
      </c>
      <c r="K22" s="15">
        <f>J22/$J$163</f>
        <v/>
      </c>
    </row>
    <row r="23">
      <c r="A23" s="4" t="n">
        <v>19</v>
      </c>
      <c r="B23" s="5" t="inlineStr">
        <is>
          <t>García</t>
        </is>
      </c>
      <c r="C23" s="5" t="inlineStr">
        <is>
          <t>EGIPTO</t>
        </is>
      </c>
      <c r="D23" s="5" t="inlineStr">
        <is>
          <t>DOTRA CHEMICALS</t>
        </is>
      </c>
      <c r="E23" s="4" t="inlineStr">
        <is>
          <t>SSEG0005EG</t>
        </is>
      </c>
      <c r="F23" s="5" t="inlineStr">
        <is>
          <t>SALWAX CALCIO EGIPTO, 5 KG</t>
        </is>
      </c>
      <c r="G23" s="4" t="inlineStr">
        <is>
          <t>5</t>
        </is>
      </c>
      <c r="H23" s="6" t="n">
        <v>21000</v>
      </c>
      <c r="I23" s="7">
        <f>J23/H23</f>
        <v/>
      </c>
      <c r="J23" s="8" t="n">
        <v>80802.17</v>
      </c>
      <c r="K23" s="9">
        <f>J23/$J$163</f>
        <v/>
      </c>
    </row>
    <row r="24">
      <c r="A24" s="10" t="n">
        <v>20</v>
      </c>
      <c r="B24" s="11" t="inlineStr">
        <is>
          <t>García</t>
        </is>
      </c>
      <c r="C24" s="11" t="inlineStr">
        <is>
          <t>EGIPTO</t>
        </is>
      </c>
      <c r="D24" s="11" t="inlineStr">
        <is>
          <t>DOTRA CHEMICALS</t>
        </is>
      </c>
      <c r="E24" s="10" t="inlineStr">
        <is>
          <t>SPCE2B0001EG</t>
        </is>
      </c>
      <c r="F24" s="11" t="inlineStr">
        <is>
          <t>SPRINTENE CON BORO</t>
        </is>
      </c>
      <c r="G24" s="10" t="inlineStr">
        <is>
          <t>1</t>
        </is>
      </c>
      <c r="H24" s="12" t="n">
        <v>5000</v>
      </c>
      <c r="I24" s="13">
        <f>J24/H24</f>
        <v/>
      </c>
      <c r="J24" s="14" t="n">
        <v>61469.51</v>
      </c>
      <c r="K24" s="15">
        <f>J24/$J$163</f>
        <v/>
      </c>
    </row>
    <row r="25">
      <c r="A25" s="4" t="n">
        <v>21</v>
      </c>
      <c r="B25" s="5" t="inlineStr">
        <is>
          <t>García</t>
        </is>
      </c>
      <c r="C25" s="5" t="inlineStr">
        <is>
          <t>ESPAÑA</t>
        </is>
      </c>
      <c r="D25" s="5" t="inlineStr">
        <is>
          <t>INIESTA DEL PINO DISTRIBUCIONES S.L.U</t>
        </is>
      </c>
      <c r="E25" s="4" t="inlineStr">
        <is>
          <t>AGXK0020</t>
        </is>
      </c>
      <c r="F25" s="5" t="inlineStr">
        <is>
          <t>AGROXILATO-K, 20 L</t>
        </is>
      </c>
      <c r="G25" s="4" t="inlineStr">
        <is>
          <t>20</t>
        </is>
      </c>
      <c r="H25" s="6" t="n">
        <v>1920</v>
      </c>
      <c r="I25" s="7">
        <f>J25/H25</f>
        <v/>
      </c>
      <c r="J25" s="8" t="n">
        <v>6598.82</v>
      </c>
      <c r="K25" s="9">
        <f>J25/$J$163</f>
        <v/>
      </c>
    </row>
    <row r="26">
      <c r="A26" s="10" t="n">
        <v>22</v>
      </c>
      <c r="B26" s="11" t="inlineStr">
        <is>
          <t>García</t>
        </is>
      </c>
      <c r="C26" s="11" t="inlineStr">
        <is>
          <t>ESPAÑA</t>
        </is>
      </c>
      <c r="D26" s="11" t="inlineStr">
        <is>
          <t>INIESTA DEL PINO DISTRIBUCIONES S.L.U</t>
        </is>
      </c>
      <c r="E26" s="10" t="inlineStr">
        <is>
          <t>CALCIO0005</t>
        </is>
      </c>
      <c r="F26" s="11" t="inlineStr">
        <is>
          <t>CALCIAMEC, 5 KG</t>
        </is>
      </c>
      <c r="G26" s="10" t="inlineStr">
        <is>
          <t>5</t>
        </is>
      </c>
      <c r="H26" s="12" t="n">
        <v>75</v>
      </c>
      <c r="I26" s="13">
        <f>J26/H26</f>
        <v/>
      </c>
      <c r="J26" s="14" t="n">
        <v>324.36</v>
      </c>
      <c r="K26" s="15">
        <f>J26/$J$163</f>
        <v/>
      </c>
    </row>
    <row r="27">
      <c r="A27" s="4" t="n">
        <v>23</v>
      </c>
      <c r="B27" s="5" t="inlineStr">
        <is>
          <t>García</t>
        </is>
      </c>
      <c r="C27" s="5" t="inlineStr">
        <is>
          <t>ESPAÑA</t>
        </is>
      </c>
      <c r="D27" s="5" t="inlineStr">
        <is>
          <t>INIESTA DEL PINO DISTRIBUCIONES S.L.U</t>
        </is>
      </c>
      <c r="E27" s="4" t="inlineStr">
        <is>
          <t>TRI0005</t>
        </is>
      </c>
      <c r="F27" s="5" t="inlineStr">
        <is>
          <t>TRIFENO-94, 5L</t>
        </is>
      </c>
      <c r="G27" s="4" t="inlineStr">
        <is>
          <t>5</t>
        </is>
      </c>
      <c r="H27" s="6" t="n">
        <v>80</v>
      </c>
      <c r="I27" s="7">
        <f>J27/H27</f>
        <v/>
      </c>
      <c r="J27" s="8" t="n">
        <v>1205.8</v>
      </c>
      <c r="K27" s="9">
        <f>J27/$J$163</f>
        <v/>
      </c>
    </row>
    <row r="28">
      <c r="A28" s="10" t="n">
        <v>24</v>
      </c>
      <c r="B28" s="11" t="inlineStr">
        <is>
          <t>García</t>
        </is>
      </c>
      <c r="C28" s="11" t="inlineStr">
        <is>
          <t>ESPAÑA</t>
        </is>
      </c>
      <c r="D28" s="11" t="inlineStr">
        <is>
          <t>ROMAROC PONIENTE, S.L.</t>
        </is>
      </c>
      <c r="E28" s="10" t="inlineStr">
        <is>
          <t>AGXK0200</t>
        </is>
      </c>
      <c r="F28" s="11" t="inlineStr">
        <is>
          <t>AGROXILATO-K, 200 L</t>
        </is>
      </c>
      <c r="G28" s="10" t="inlineStr">
        <is>
          <t>200</t>
        </is>
      </c>
      <c r="H28" s="12" t="n">
        <v>800</v>
      </c>
      <c r="I28" s="13">
        <f>J28/H28</f>
        <v/>
      </c>
      <c r="J28" s="14" t="n">
        <v>2669.81</v>
      </c>
      <c r="K28" s="15">
        <f>J28/$J$163</f>
        <v/>
      </c>
    </row>
    <row r="29">
      <c r="A29" s="4" t="n">
        <v>25</v>
      </c>
      <c r="B29" s="5" t="inlineStr">
        <is>
          <t>García</t>
        </is>
      </c>
      <c r="C29" s="5" t="inlineStr">
        <is>
          <t>RUMANÍA</t>
        </is>
      </c>
      <c r="D29" s="5" t="inlineStr">
        <is>
          <t>SC MARCOSER S.R.L.</t>
        </is>
      </c>
      <c r="E29" s="4" t="inlineStr">
        <is>
          <t>AGMG0001RO</t>
        </is>
      </c>
      <c r="F29" s="5" t="inlineStr">
        <is>
          <t>AGROXILATO-MG, 1 KG (EXPORT)</t>
        </is>
      </c>
      <c r="G29" s="4" t="inlineStr">
        <is>
          <t>1</t>
        </is>
      </c>
      <c r="H29" s="6" t="n">
        <v>528</v>
      </c>
      <c r="I29" s="7">
        <f>J29/H29</f>
        <v/>
      </c>
      <c r="J29" s="8" t="n">
        <v>2773.62</v>
      </c>
      <c r="K29" s="9">
        <f>J29/$J$163</f>
        <v/>
      </c>
    </row>
    <row r="30">
      <c r="A30" s="10" t="n">
        <v>26</v>
      </c>
      <c r="B30" s="11" t="inlineStr">
        <is>
          <t>García</t>
        </is>
      </c>
      <c r="C30" s="11" t="inlineStr">
        <is>
          <t>RUMANÍA</t>
        </is>
      </c>
      <c r="D30" s="11" t="inlineStr">
        <is>
          <t>SC MARCOSER S.R.L.</t>
        </is>
      </c>
      <c r="E30" s="10" t="inlineStr">
        <is>
          <t>AGXKAE0001RO</t>
        </is>
      </c>
      <c r="F30" s="11" t="inlineStr">
        <is>
          <t>BIOCULTURE POTASIO</t>
        </is>
      </c>
      <c r="G30" s="10" t="inlineStr">
        <is>
          <t>1</t>
        </is>
      </c>
      <c r="H30" s="12" t="n">
        <v>396</v>
      </c>
      <c r="I30" s="13">
        <f>J30/H30</f>
        <v/>
      </c>
      <c r="J30" s="14" t="n">
        <v>1940.91</v>
      </c>
      <c r="K30" s="15">
        <f>J30/$J$163</f>
        <v/>
      </c>
    </row>
    <row r="31">
      <c r="A31" s="4" t="n">
        <v>27</v>
      </c>
      <c r="B31" s="5" t="inlineStr">
        <is>
          <t>García</t>
        </is>
      </c>
      <c r="C31" s="5" t="inlineStr">
        <is>
          <t>RUMANÍA</t>
        </is>
      </c>
      <c r="D31" s="5" t="inlineStr">
        <is>
          <t>SC MARCOSER S.R.L.</t>
        </is>
      </c>
      <c r="E31" s="4" t="inlineStr">
        <is>
          <t>BIO0001RO</t>
        </is>
      </c>
      <c r="F31" s="5" t="inlineStr">
        <is>
          <t>BIORAD-20</t>
        </is>
      </c>
      <c r="G31" s="4" t="inlineStr">
        <is>
          <t>1</t>
        </is>
      </c>
      <c r="H31" s="6" t="n">
        <v>792</v>
      </c>
      <c r="I31" s="7">
        <f>J31/H31</f>
        <v/>
      </c>
      <c r="J31" s="8" t="n">
        <v>2635.22</v>
      </c>
      <c r="K31" s="9">
        <f>J31/$J$163</f>
        <v/>
      </c>
    </row>
    <row r="32">
      <c r="A32" s="10" t="n">
        <v>28</v>
      </c>
      <c r="B32" s="11" t="inlineStr">
        <is>
          <t>García</t>
        </is>
      </c>
      <c r="C32" s="11" t="inlineStr">
        <is>
          <t>RUMANÍA</t>
        </is>
      </c>
      <c r="D32" s="11" t="inlineStr">
        <is>
          <t>SC MARCOSER S.R.L.</t>
        </is>
      </c>
      <c r="E32" s="10" t="inlineStr">
        <is>
          <t>BIO0020RO</t>
        </is>
      </c>
      <c r="F32" s="11" t="inlineStr">
        <is>
          <t>BIORAD-20</t>
        </is>
      </c>
      <c r="G32" s="10" t="inlineStr">
        <is>
          <t>20</t>
        </is>
      </c>
      <c r="H32" s="12" t="n">
        <v>640</v>
      </c>
      <c r="I32" s="13">
        <f>J32/H32</f>
        <v/>
      </c>
      <c r="J32" s="14" t="n">
        <v>1466.4</v>
      </c>
      <c r="K32" s="15">
        <f>J32/$J$163</f>
        <v/>
      </c>
    </row>
    <row r="33">
      <c r="A33" s="4" t="n">
        <v>29</v>
      </c>
      <c r="B33" s="5" t="inlineStr">
        <is>
          <t>García</t>
        </is>
      </c>
      <c r="C33" s="5" t="inlineStr">
        <is>
          <t>RUMANÍA</t>
        </is>
      </c>
      <c r="D33" s="5" t="inlineStr">
        <is>
          <t>SC MARCOSER S.R.L.</t>
        </is>
      </c>
      <c r="E33" s="4" t="inlineStr">
        <is>
          <t>BIO0005RO</t>
        </is>
      </c>
      <c r="F33" s="5" t="inlineStr">
        <is>
          <t>BIORAD-20, 5L</t>
        </is>
      </c>
      <c r="G33" s="4" t="inlineStr">
        <is>
          <t>5</t>
        </is>
      </c>
      <c r="H33" s="6" t="n">
        <v>600</v>
      </c>
      <c r="I33" s="7">
        <f>J33/H33</f>
        <v/>
      </c>
      <c r="J33" s="8" t="n">
        <v>1524.18</v>
      </c>
      <c r="K33" s="9">
        <f>J33/$J$163</f>
        <v/>
      </c>
    </row>
    <row r="34">
      <c r="A34" s="10" t="n">
        <v>30</v>
      </c>
      <c r="B34" s="11" t="inlineStr">
        <is>
          <t>García</t>
        </is>
      </c>
      <c r="C34" s="11" t="inlineStr">
        <is>
          <t>RUMANÍA</t>
        </is>
      </c>
      <c r="D34" s="11" t="inlineStr">
        <is>
          <t>SC MARCOSER S.R.L.</t>
        </is>
      </c>
      <c r="E34" s="10" t="inlineStr">
        <is>
          <t>C-L0001RO</t>
        </is>
      </c>
      <c r="F34" s="11" t="inlineStr">
        <is>
          <t>CODIBOR-L</t>
        </is>
      </c>
      <c r="G34" s="10" t="inlineStr">
        <is>
          <t>1</t>
        </is>
      </c>
      <c r="H34" s="12" t="n">
        <v>792</v>
      </c>
      <c r="I34" s="13">
        <f>J34/H34</f>
        <v/>
      </c>
      <c r="J34" s="14" t="n">
        <v>4268.43</v>
      </c>
      <c r="K34" s="15">
        <f>J34/$J$163</f>
        <v/>
      </c>
    </row>
    <row r="35">
      <c r="A35" s="4" t="n">
        <v>31</v>
      </c>
      <c r="B35" s="5" t="inlineStr">
        <is>
          <t>García</t>
        </is>
      </c>
      <c r="C35" s="5" t="inlineStr">
        <is>
          <t>RUMANÍA</t>
        </is>
      </c>
      <c r="D35" s="5" t="inlineStr">
        <is>
          <t>SC MARCOSER S.R.L.</t>
        </is>
      </c>
      <c r="E35" s="4" t="inlineStr">
        <is>
          <t>A-500001RO</t>
        </is>
      </c>
      <c r="F35" s="5" t="inlineStr">
        <is>
          <t>CODIORGAN-A50, 1 KG</t>
        </is>
      </c>
      <c r="G35" s="4" t="inlineStr">
        <is>
          <t>1</t>
        </is>
      </c>
      <c r="H35" s="6" t="n">
        <v>1056</v>
      </c>
      <c r="I35" s="7">
        <f>J35/H35</f>
        <v/>
      </c>
      <c r="J35" s="8" t="n">
        <v>5802.32</v>
      </c>
      <c r="K35" s="9">
        <f>J35/$J$163</f>
        <v/>
      </c>
    </row>
    <row r="36">
      <c r="A36" s="10" t="n">
        <v>32</v>
      </c>
      <c r="B36" s="11" t="inlineStr">
        <is>
          <t>García</t>
        </is>
      </c>
      <c r="C36" s="11" t="inlineStr">
        <is>
          <t>RUMANÍA</t>
        </is>
      </c>
      <c r="D36" s="11" t="inlineStr">
        <is>
          <t>SC MARCOSER S.R.L.</t>
        </is>
      </c>
      <c r="E36" s="10" t="inlineStr">
        <is>
          <t>SS0001RO</t>
        </is>
      </c>
      <c r="F36" s="11" t="inlineStr">
        <is>
          <t>SALWAX-CA, 1 KG</t>
        </is>
      </c>
      <c r="G36" s="10" t="inlineStr">
        <is>
          <t>1</t>
        </is>
      </c>
      <c r="H36" s="12" t="n">
        <v>1056</v>
      </c>
      <c r="I36" s="13">
        <f>J36/H36</f>
        <v/>
      </c>
      <c r="J36" s="14" t="n">
        <v>4932.07</v>
      </c>
      <c r="K36" s="15">
        <f>J36/$J$163</f>
        <v/>
      </c>
    </row>
    <row r="37">
      <c r="A37" s="4" t="n">
        <v>33</v>
      </c>
      <c r="B37" s="5" t="inlineStr">
        <is>
          <t>García</t>
        </is>
      </c>
      <c r="C37" s="5" t="inlineStr">
        <is>
          <t>RUMANÍA</t>
        </is>
      </c>
      <c r="D37" s="5" t="inlineStr">
        <is>
          <t>SC MARCOSER S.R.L.</t>
        </is>
      </c>
      <c r="E37" s="4" t="inlineStr">
        <is>
          <t>SPCE0001RO</t>
        </is>
      </c>
      <c r="F37" s="5" t="inlineStr">
        <is>
          <t>SPRINTENE ABONO CE, 1 L</t>
        </is>
      </c>
      <c r="G37" s="4" t="inlineStr">
        <is>
          <t>1</t>
        </is>
      </c>
      <c r="H37" s="6" t="n">
        <v>792</v>
      </c>
      <c r="I37" s="7">
        <f>J37/H37</f>
        <v/>
      </c>
      <c r="J37" s="8" t="n">
        <v>9507.32</v>
      </c>
      <c r="K37" s="9">
        <f>J37/$J$163</f>
        <v/>
      </c>
    </row>
    <row r="38">
      <c r="A38" s="10" t="n">
        <v>34</v>
      </c>
      <c r="B38" s="11" t="inlineStr">
        <is>
          <t>García</t>
        </is>
      </c>
      <c r="C38" s="11" t="inlineStr">
        <is>
          <t>RUMANÍA</t>
        </is>
      </c>
      <c r="D38" s="11" t="inlineStr">
        <is>
          <t>SC MARCOSER S.R.L.</t>
        </is>
      </c>
      <c r="E38" s="10" t="inlineStr">
        <is>
          <t>SPCE0020RO</t>
        </is>
      </c>
      <c r="F38" s="11" t="inlineStr">
        <is>
          <t>SPRINTENE ABONO CE, 20 L</t>
        </is>
      </c>
      <c r="G38" s="10" t="inlineStr">
        <is>
          <t>20</t>
        </is>
      </c>
      <c r="H38" s="12" t="n">
        <v>640</v>
      </c>
      <c r="I38" s="13">
        <f>J38/H38</f>
        <v/>
      </c>
      <c r="J38" s="14" t="n">
        <v>6764.59</v>
      </c>
      <c r="K38" s="15">
        <f>J38/$J$163</f>
        <v/>
      </c>
    </row>
    <row r="39">
      <c r="A39" s="4" t="n">
        <v>35</v>
      </c>
      <c r="B39" s="5" t="inlineStr">
        <is>
          <t>García</t>
        </is>
      </c>
      <c r="C39" s="5" t="inlineStr">
        <is>
          <t>ESPAÑA</t>
        </is>
      </c>
      <c r="D39" s="5" t="inlineStr">
        <is>
          <t>SERVIAGRI´ 97, S.L.</t>
        </is>
      </c>
      <c r="E39" s="4" t="inlineStr">
        <is>
          <t>AGXK0020</t>
        </is>
      </c>
      <c r="F39" s="5" t="inlineStr">
        <is>
          <t>AGROXILATO-K, 20 L</t>
        </is>
      </c>
      <c r="G39" s="4" t="inlineStr">
        <is>
          <t>20</t>
        </is>
      </c>
      <c r="H39" s="6" t="n">
        <v>640</v>
      </c>
      <c r="I39" s="7">
        <f>J39/H39</f>
        <v/>
      </c>
      <c r="J39" s="8" t="n">
        <v>2015.84</v>
      </c>
      <c r="K39" s="9">
        <f>J39/$J$163</f>
        <v/>
      </c>
    </row>
    <row r="40">
      <c r="A40" s="10" t="n">
        <v>36</v>
      </c>
      <c r="B40" s="11" t="inlineStr">
        <is>
          <t>García</t>
        </is>
      </c>
      <c r="C40" s="11" t="inlineStr">
        <is>
          <t>ESPAÑA</t>
        </is>
      </c>
      <c r="D40" s="11" t="inlineStr">
        <is>
          <t>SERVIAGRI´ 97, S.L.</t>
        </is>
      </c>
      <c r="E40" s="10" t="inlineStr">
        <is>
          <t>AGXK0005</t>
        </is>
      </c>
      <c r="F40" s="11" t="inlineStr">
        <is>
          <t>AGROXILATO-K, 5 L</t>
        </is>
      </c>
      <c r="G40" s="10" t="inlineStr">
        <is>
          <t>5</t>
        </is>
      </c>
      <c r="H40" s="12" t="n">
        <v>200</v>
      </c>
      <c r="I40" s="13">
        <f>J40/H40</f>
        <v/>
      </c>
      <c r="J40" s="14" t="n">
        <v>671.4400000000001</v>
      </c>
      <c r="K40" s="15">
        <f>J40/$J$163</f>
        <v/>
      </c>
    </row>
    <row r="41">
      <c r="A41" s="4" t="n">
        <v>37</v>
      </c>
      <c r="B41" s="5" t="inlineStr">
        <is>
          <t>García</t>
        </is>
      </c>
      <c r="C41" s="5" t="inlineStr">
        <is>
          <t>ESPAÑA</t>
        </is>
      </c>
      <c r="D41" s="5" t="inlineStr">
        <is>
          <t>SERVIAGRI´ 97, S.L.</t>
        </is>
      </c>
      <c r="E41" s="4" t="inlineStr">
        <is>
          <t>BIO0020</t>
        </is>
      </c>
      <c r="F41" s="5" t="inlineStr">
        <is>
          <t>BIORAD-20, 20 L</t>
        </is>
      </c>
      <c r="G41" s="4" t="inlineStr">
        <is>
          <t>20</t>
        </is>
      </c>
      <c r="H41" s="6" t="n">
        <v>600</v>
      </c>
      <c r="I41" s="7">
        <f>J41/H41</f>
        <v/>
      </c>
      <c r="J41" s="8" t="n">
        <v>1454.45</v>
      </c>
      <c r="K41" s="9">
        <f>J41/$J$163</f>
        <v/>
      </c>
    </row>
    <row r="42">
      <c r="A42" s="10" t="n">
        <v>38</v>
      </c>
      <c r="B42" s="11" t="inlineStr">
        <is>
          <t>García</t>
        </is>
      </c>
      <c r="C42" s="11" t="inlineStr">
        <is>
          <t>ESPAÑA</t>
        </is>
      </c>
      <c r="D42" s="11" t="inlineStr">
        <is>
          <t>SERVIAGRI´ 97, S.L.</t>
        </is>
      </c>
      <c r="E42" s="10" t="inlineStr">
        <is>
          <t>BIO0005</t>
        </is>
      </c>
      <c r="F42" s="11" t="inlineStr">
        <is>
          <t>BIORAD-20, 5L</t>
        </is>
      </c>
      <c r="G42" s="10" t="inlineStr">
        <is>
          <t>5</t>
        </is>
      </c>
      <c r="H42" s="12" t="n">
        <v>300</v>
      </c>
      <c r="I42" s="13">
        <f>J42/H42</f>
        <v/>
      </c>
      <c r="J42" s="14" t="n">
        <v>770.46</v>
      </c>
      <c r="K42" s="15">
        <f>J42/$J$163</f>
        <v/>
      </c>
    </row>
    <row r="43">
      <c r="A43" s="4" t="n">
        <v>39</v>
      </c>
      <c r="B43" s="5" t="inlineStr">
        <is>
          <t>García</t>
        </is>
      </c>
      <c r="C43" s="5" t="inlineStr">
        <is>
          <t>ESPAÑA</t>
        </is>
      </c>
      <c r="D43" s="5" t="inlineStr">
        <is>
          <t>SERVIAGRI´ 97, S.L.</t>
        </is>
      </c>
      <c r="E43" s="4" t="inlineStr">
        <is>
          <t>JF0005</t>
        </is>
      </c>
      <c r="F43" s="5" t="inlineStr">
        <is>
          <t>CODIGIN-FOS, 5 L</t>
        </is>
      </c>
      <c r="G43" s="4" t="inlineStr">
        <is>
          <t>5</t>
        </is>
      </c>
      <c r="H43" s="6" t="n">
        <v>100</v>
      </c>
      <c r="I43" s="7">
        <f>J43/H43</f>
        <v/>
      </c>
      <c r="J43" s="8" t="n">
        <v>292.44</v>
      </c>
      <c r="K43" s="9">
        <f>J43/$J$163</f>
        <v/>
      </c>
    </row>
    <row r="44">
      <c r="A44" s="10" t="n">
        <v>40</v>
      </c>
      <c r="B44" s="11" t="inlineStr">
        <is>
          <t>García</t>
        </is>
      </c>
      <c r="C44" s="11" t="inlineStr">
        <is>
          <t>ESPAÑA</t>
        </is>
      </c>
      <c r="D44" s="11" t="inlineStr">
        <is>
          <t>SERVIAGRI´ 97, S.L.</t>
        </is>
      </c>
      <c r="E44" s="10" t="inlineStr">
        <is>
          <t>FTK0005</t>
        </is>
      </c>
      <c r="F44" s="11" t="inlineStr">
        <is>
          <t>FITOKONTROL CA FLOW, 5 KG</t>
        </is>
      </c>
      <c r="G44" s="10" t="inlineStr">
        <is>
          <t>5</t>
        </is>
      </c>
      <c r="H44" s="12" t="n">
        <v>300</v>
      </c>
      <c r="I44" s="13">
        <f>J44/H44</f>
        <v/>
      </c>
      <c r="J44" s="14" t="n">
        <v>830.78</v>
      </c>
      <c r="K44" s="15">
        <f>J44/$J$163</f>
        <v/>
      </c>
    </row>
    <row r="45">
      <c r="A45" s="4" t="n">
        <v>41</v>
      </c>
      <c r="B45" s="5" t="inlineStr">
        <is>
          <t>García</t>
        </is>
      </c>
      <c r="C45" s="5" t="inlineStr">
        <is>
          <t>ESPAÑA</t>
        </is>
      </c>
      <c r="D45" s="5" t="inlineStr">
        <is>
          <t>SERVIAGRI´ 97, S.L.</t>
        </is>
      </c>
      <c r="E45" s="4" t="inlineStr">
        <is>
          <t>AVAN0005</t>
        </is>
      </c>
      <c r="F45" s="5" t="inlineStr">
        <is>
          <t>FLORAMEC AVANCE, 5 L</t>
        </is>
      </c>
      <c r="G45" s="4" t="inlineStr">
        <is>
          <t>5</t>
        </is>
      </c>
      <c r="H45" s="6" t="n">
        <v>100</v>
      </c>
      <c r="I45" s="7">
        <f>J45/H45</f>
        <v/>
      </c>
      <c r="J45" s="8" t="n">
        <v>503.21</v>
      </c>
      <c r="K45" s="9">
        <f>J45/$J$163</f>
        <v/>
      </c>
    </row>
    <row r="46">
      <c r="A46" s="10" t="n">
        <v>42</v>
      </c>
      <c r="B46" s="11" t="inlineStr">
        <is>
          <t>García</t>
        </is>
      </c>
      <c r="C46" s="11" t="inlineStr">
        <is>
          <t>ESPAÑA</t>
        </is>
      </c>
      <c r="D46" s="11" t="inlineStr">
        <is>
          <t>SERVIAGRI´ 97, S.L.</t>
        </is>
      </c>
      <c r="E46" s="10" t="inlineStr">
        <is>
          <t>SSAE0005</t>
        </is>
      </c>
      <c r="F46" s="11" t="inlineStr">
        <is>
          <t>MAGNIFIC-VIETS-AE, 5 KG</t>
        </is>
      </c>
      <c r="G46" s="10" t="inlineStr">
        <is>
          <t>5</t>
        </is>
      </c>
      <c r="H46" s="12" t="n">
        <v>200</v>
      </c>
      <c r="I46" s="13">
        <f>J46/H46</f>
        <v/>
      </c>
      <c r="J46" s="14" t="n">
        <v>919.6900000000001</v>
      </c>
      <c r="K46" s="15">
        <f>J46/$J$163</f>
        <v/>
      </c>
    </row>
    <row r="47">
      <c r="A47" s="4" t="n">
        <v>43</v>
      </c>
      <c r="B47" s="5" t="inlineStr">
        <is>
          <t>García</t>
        </is>
      </c>
      <c r="C47" s="5" t="inlineStr">
        <is>
          <t>MARRUECOS</t>
        </is>
      </c>
      <c r="D47" s="5" t="inlineStr">
        <is>
          <t>STE BBMAGRI, SARL</t>
        </is>
      </c>
      <c r="E47" s="4" t="inlineStr">
        <is>
          <t>PT0020MA</t>
        </is>
      </c>
      <c r="F47" s="5" t="inlineStr">
        <is>
          <t>AGROPOTASION, 20 L</t>
        </is>
      </c>
      <c r="G47" s="4" t="inlineStr">
        <is>
          <t>20</t>
        </is>
      </c>
      <c r="H47" s="6" t="n">
        <v>5000</v>
      </c>
      <c r="I47" s="7">
        <f>J47/H47</f>
        <v/>
      </c>
      <c r="J47" s="8" t="n">
        <v>15192.03</v>
      </c>
      <c r="K47" s="9">
        <f>J47/$J$163</f>
        <v/>
      </c>
    </row>
    <row r="48">
      <c r="A48" s="10" t="n">
        <v>44</v>
      </c>
      <c r="B48" s="11" t="inlineStr">
        <is>
          <t>García</t>
        </is>
      </c>
      <c r="C48" s="11" t="inlineStr">
        <is>
          <t>MARRUECOS</t>
        </is>
      </c>
      <c r="D48" s="11" t="inlineStr">
        <is>
          <t>STE BBMAGRI, SARL</t>
        </is>
      </c>
      <c r="E48" s="10" t="inlineStr">
        <is>
          <t>AGXK0020MA</t>
        </is>
      </c>
      <c r="F48" s="11" t="inlineStr">
        <is>
          <t>AGROXILATO-K, 20 L</t>
        </is>
      </c>
      <c r="G48" s="10" t="inlineStr">
        <is>
          <t>20</t>
        </is>
      </c>
      <c r="H48" s="12" t="n">
        <v>5000</v>
      </c>
      <c r="I48" s="13">
        <f>J48/H48</f>
        <v/>
      </c>
      <c r="J48" s="14" t="n">
        <v>13747.54</v>
      </c>
      <c r="K48" s="15">
        <f>J48/$J$163</f>
        <v/>
      </c>
    </row>
    <row r="49">
      <c r="A49" s="4" t="n">
        <v>45</v>
      </c>
      <c r="B49" s="5" t="inlineStr">
        <is>
          <t>García</t>
        </is>
      </c>
      <c r="C49" s="5" t="inlineStr">
        <is>
          <t>MARRUECOS</t>
        </is>
      </c>
      <c r="D49" s="5" t="inlineStr">
        <is>
          <t>STE BBMAGRI, SARL</t>
        </is>
      </c>
      <c r="E49" s="4" t="inlineStr">
        <is>
          <t>AGXK0200MA</t>
        </is>
      </c>
      <c r="F49" s="5" t="inlineStr">
        <is>
          <t>AGROXILATO-K, 200 L</t>
        </is>
      </c>
      <c r="G49" s="4" t="inlineStr">
        <is>
          <t>200</t>
        </is>
      </c>
      <c r="H49" s="6" t="n">
        <v>5000</v>
      </c>
      <c r="I49" s="7">
        <f>J49/H49</f>
        <v/>
      </c>
      <c r="J49" s="8" t="n">
        <v>13349.06</v>
      </c>
      <c r="K49" s="9">
        <f>J49/$J$163</f>
        <v/>
      </c>
    </row>
    <row r="50">
      <c r="A50" s="10" t="n">
        <v>46</v>
      </c>
      <c r="B50" s="11" t="inlineStr">
        <is>
          <t>García</t>
        </is>
      </c>
      <c r="C50" s="11" t="inlineStr">
        <is>
          <t>MARRUECOS</t>
        </is>
      </c>
      <c r="D50" s="11" t="inlineStr">
        <is>
          <t>STE BBMAGRI, SARL</t>
        </is>
      </c>
      <c r="E50" s="10" t="inlineStr">
        <is>
          <t>AN0005MA</t>
        </is>
      </c>
      <c r="F50" s="11" t="inlineStr">
        <is>
          <t>ALCAPLANT NEW, 5 KG</t>
        </is>
      </c>
      <c r="G50" s="10" t="inlineStr">
        <is>
          <t>5</t>
        </is>
      </c>
      <c r="H50" s="12" t="n">
        <v>3000</v>
      </c>
      <c r="I50" s="13">
        <f>J50/H50</f>
        <v/>
      </c>
      <c r="J50" s="14" t="n">
        <v>4990.96</v>
      </c>
      <c r="K50" s="15">
        <f>J50/$J$163</f>
        <v/>
      </c>
    </row>
    <row r="51">
      <c r="A51" s="4" t="n">
        <v>47</v>
      </c>
      <c r="B51" s="5" t="inlineStr">
        <is>
          <t>García</t>
        </is>
      </c>
      <c r="C51" s="5" t="inlineStr">
        <is>
          <t>MARRUECOS</t>
        </is>
      </c>
      <c r="D51" s="5" t="inlineStr">
        <is>
          <t>STE BBMAGRI, SARL</t>
        </is>
      </c>
      <c r="E51" s="4" t="inlineStr">
        <is>
          <t>BIO0020MA</t>
        </is>
      </c>
      <c r="F51" s="5" t="inlineStr">
        <is>
          <t>BIORAD-20, 20 L</t>
        </is>
      </c>
      <c r="G51" s="4" t="inlineStr">
        <is>
          <t>20</t>
        </is>
      </c>
      <c r="H51" s="6" t="n">
        <v>5000</v>
      </c>
      <c r="I51" s="7">
        <f>J51/H51</f>
        <v/>
      </c>
      <c r="J51" s="8" t="n">
        <v>10709.14</v>
      </c>
      <c r="K51" s="9">
        <f>J51/$J$163</f>
        <v/>
      </c>
    </row>
    <row r="52">
      <c r="A52" s="10" t="n">
        <v>48</v>
      </c>
      <c r="B52" s="11" t="inlineStr">
        <is>
          <t>García</t>
        </is>
      </c>
      <c r="C52" s="11" t="inlineStr">
        <is>
          <t>MARRUECOS</t>
        </is>
      </c>
      <c r="D52" s="11" t="inlineStr">
        <is>
          <t>STE BBMAGRI, SARL</t>
        </is>
      </c>
      <c r="E52" s="10" t="inlineStr">
        <is>
          <t>A-50(2)0020MA</t>
        </is>
      </c>
      <c r="F52" s="11" t="inlineStr">
        <is>
          <t>CODIORGAN-A50, 20 KG</t>
        </is>
      </c>
      <c r="G52" s="10" t="inlineStr">
        <is>
          <t>20</t>
        </is>
      </c>
      <c r="H52" s="12" t="n">
        <v>2000</v>
      </c>
      <c r="I52" s="13">
        <f>J52/H52</f>
        <v/>
      </c>
      <c r="J52" s="14" t="n">
        <v>8427.84</v>
      </c>
      <c r="K52" s="15">
        <f>J52/$J$163</f>
        <v/>
      </c>
    </row>
    <row r="53">
      <c r="A53" s="4" t="n">
        <v>49</v>
      </c>
      <c r="B53" s="5" t="inlineStr">
        <is>
          <t>García</t>
        </is>
      </c>
      <c r="C53" s="5" t="inlineStr">
        <is>
          <t>MARRUECOS</t>
        </is>
      </c>
      <c r="D53" s="5" t="inlineStr">
        <is>
          <t>STE BBMAGRI, SARL</t>
        </is>
      </c>
      <c r="E53" s="4" t="inlineStr">
        <is>
          <t>PHD0020MA</t>
        </is>
      </c>
      <c r="F53" s="5" t="inlineStr">
        <is>
          <t>PH-DOWNER, 20 L</t>
        </is>
      </c>
      <c r="G53" s="4" t="inlineStr">
        <is>
          <t>20</t>
        </is>
      </c>
      <c r="H53" s="6" t="n">
        <v>600</v>
      </c>
      <c r="I53" s="7">
        <f>J53/H53</f>
        <v/>
      </c>
      <c r="J53" s="8" t="n">
        <v>1870.86</v>
      </c>
      <c r="K53" s="9">
        <f>J53/$J$163</f>
        <v/>
      </c>
    </row>
    <row r="54">
      <c r="A54" s="10" t="n">
        <v>50</v>
      </c>
      <c r="B54" s="11" t="inlineStr">
        <is>
          <t>García</t>
        </is>
      </c>
      <c r="C54" s="11" t="inlineStr">
        <is>
          <t>MARRUECOS</t>
        </is>
      </c>
      <c r="D54" s="11" t="inlineStr">
        <is>
          <t>STE BBMAGRI, SARL</t>
        </is>
      </c>
      <c r="E54" s="10" t="inlineStr">
        <is>
          <t>PHD0005MA</t>
        </is>
      </c>
      <c r="F54" s="11" t="inlineStr">
        <is>
          <t>PH-DOWNER, 5 L</t>
        </is>
      </c>
      <c r="G54" s="10" t="inlineStr">
        <is>
          <t>5</t>
        </is>
      </c>
      <c r="H54" s="12" t="n">
        <v>1600</v>
      </c>
      <c r="I54" s="13">
        <f>J54/H54</f>
        <v/>
      </c>
      <c r="J54" s="14" t="n">
        <v>5387.44</v>
      </c>
      <c r="K54" s="15">
        <f>J54/$J$163</f>
        <v/>
      </c>
    </row>
    <row r="55">
      <c r="A55" s="4" t="n">
        <v>51</v>
      </c>
      <c r="B55" s="5" t="inlineStr">
        <is>
          <t>García</t>
        </is>
      </c>
      <c r="C55" s="5" t="inlineStr">
        <is>
          <t>MARRUECOS</t>
        </is>
      </c>
      <c r="D55" s="5" t="inlineStr">
        <is>
          <t>STE BBMAGRI, SARL</t>
        </is>
      </c>
      <c r="E55" s="4" t="inlineStr">
        <is>
          <t>SS0020MA</t>
        </is>
      </c>
      <c r="F55" s="5" t="inlineStr">
        <is>
          <t>SAL-WAX-Ca</t>
        </is>
      </c>
      <c r="G55" s="4" t="inlineStr">
        <is>
          <t>20</t>
        </is>
      </c>
      <c r="H55" s="6" t="n">
        <v>2000</v>
      </c>
      <c r="I55" s="7">
        <f>J55/H55</f>
        <v/>
      </c>
      <c r="J55" s="8" t="n">
        <v>7073.01</v>
      </c>
      <c r="K55" s="9">
        <f>J55/$J$163</f>
        <v/>
      </c>
    </row>
    <row r="56">
      <c r="A56" s="10" t="n">
        <v>52</v>
      </c>
      <c r="B56" s="11" t="inlineStr">
        <is>
          <t>García</t>
        </is>
      </c>
      <c r="C56" s="11" t="inlineStr">
        <is>
          <t>ESPAÑA</t>
        </is>
      </c>
      <c r="D56" s="11" t="inlineStr">
        <is>
          <t>TRATAMIENTOS AGRICOLAS BRENES, S.L.</t>
        </is>
      </c>
      <c r="E56" s="10" t="inlineStr">
        <is>
          <t>WHITE0020</t>
        </is>
      </c>
      <c r="F56" s="11" t="inlineStr">
        <is>
          <t>AGROWHITE, 20 KG</t>
        </is>
      </c>
      <c r="G56" s="10" t="inlineStr">
        <is>
          <t>20</t>
        </is>
      </c>
      <c r="H56" s="12" t="n">
        <v>1100</v>
      </c>
      <c r="I56" s="13">
        <f>J56/H56</f>
        <v/>
      </c>
      <c r="J56" s="14" t="n">
        <v>2027.26</v>
      </c>
      <c r="K56" s="15">
        <f>J56/$J$163</f>
        <v/>
      </c>
    </row>
    <row r="57">
      <c r="A57" s="4" t="n">
        <v>53</v>
      </c>
      <c r="B57" s="5" t="inlineStr">
        <is>
          <t>Irene</t>
        </is>
      </c>
      <c r="C57" s="5" t="inlineStr">
        <is>
          <t>ESPAÑA</t>
        </is>
      </c>
      <c r="D57" s="5" t="inlineStr">
        <is>
          <t>CAMPOEJIDO S.C.A.</t>
        </is>
      </c>
      <c r="E57" s="4" t="inlineStr">
        <is>
          <t>PT0005</t>
        </is>
      </c>
      <c r="F57" s="5" t="inlineStr">
        <is>
          <t>AGROPOTASION, 5 L</t>
        </is>
      </c>
      <c r="G57" s="4" t="inlineStr">
        <is>
          <t>5</t>
        </is>
      </c>
      <c r="H57" s="6" t="n">
        <v>100</v>
      </c>
      <c r="I57" s="7">
        <f>J57/H57</f>
        <v/>
      </c>
      <c r="J57" s="8" t="n">
        <v>359.63</v>
      </c>
      <c r="K57" s="9">
        <f>J57/$J$163</f>
        <v/>
      </c>
    </row>
    <row r="58">
      <c r="A58" s="10" t="n">
        <v>54</v>
      </c>
      <c r="B58" s="11" t="inlineStr">
        <is>
          <t>Irene</t>
        </is>
      </c>
      <c r="C58" s="11" t="inlineStr">
        <is>
          <t>ESPAÑA</t>
        </is>
      </c>
      <c r="D58" s="11" t="inlineStr">
        <is>
          <t>CAMPOEJIDO S.C.A.</t>
        </is>
      </c>
      <c r="E58" s="10" t="inlineStr">
        <is>
          <t>AGXK0020</t>
        </is>
      </c>
      <c r="F58" s="11" t="inlineStr">
        <is>
          <t>AGROXILATO-K, 20 L</t>
        </is>
      </c>
      <c r="G58" s="10" t="inlineStr">
        <is>
          <t>20</t>
        </is>
      </c>
      <c r="H58" s="12" t="n">
        <v>3840</v>
      </c>
      <c r="I58" s="13">
        <f>J58/H58</f>
        <v/>
      </c>
      <c r="J58" s="14" t="n">
        <v>12115.6</v>
      </c>
      <c r="K58" s="15">
        <f>J58/$J$163</f>
        <v/>
      </c>
    </row>
    <row r="59">
      <c r="A59" s="4" t="n">
        <v>55</v>
      </c>
      <c r="B59" s="5" t="inlineStr">
        <is>
          <t>Irene</t>
        </is>
      </c>
      <c r="C59" s="5" t="inlineStr">
        <is>
          <t>ESPAÑA</t>
        </is>
      </c>
      <c r="D59" s="5" t="inlineStr">
        <is>
          <t>CAMPOEJIDO S.C.A.</t>
        </is>
      </c>
      <c r="E59" s="4" t="inlineStr">
        <is>
          <t>BIO0020</t>
        </is>
      </c>
      <c r="F59" s="5" t="inlineStr">
        <is>
          <t>BIORAD-20, 20 L</t>
        </is>
      </c>
      <c r="G59" s="4" t="inlineStr">
        <is>
          <t>20</t>
        </is>
      </c>
      <c r="H59" s="6" t="n">
        <v>640</v>
      </c>
      <c r="I59" s="7">
        <f>J59/H59</f>
        <v/>
      </c>
      <c r="J59" s="8" t="n">
        <v>1393.08</v>
      </c>
      <c r="K59" s="9">
        <f>J59/$J$163</f>
        <v/>
      </c>
    </row>
    <row r="60">
      <c r="A60" s="10" t="n">
        <v>56</v>
      </c>
      <c r="B60" s="11" t="inlineStr">
        <is>
          <t>Irene</t>
        </is>
      </c>
      <c r="C60" s="11" t="inlineStr">
        <is>
          <t>ESPAÑA</t>
        </is>
      </c>
      <c r="D60" s="11" t="inlineStr">
        <is>
          <t>CAMPOEJIDO S.C.A.</t>
        </is>
      </c>
      <c r="E60" s="10" t="inlineStr">
        <is>
          <t>B0005</t>
        </is>
      </c>
      <c r="F60" s="11" t="inlineStr">
        <is>
          <t>BOROCAL, 5 L</t>
        </is>
      </c>
      <c r="G60" s="10" t="inlineStr">
        <is>
          <t>5</t>
        </is>
      </c>
      <c r="H60" s="12" t="n">
        <v>100</v>
      </c>
      <c r="I60" s="13">
        <f>J60/H60</f>
        <v/>
      </c>
      <c r="J60" s="14" t="n">
        <v>341.7</v>
      </c>
      <c r="K60" s="15">
        <f>J60/$J$163</f>
        <v/>
      </c>
    </row>
    <row r="61">
      <c r="A61" s="4" t="n">
        <v>57</v>
      </c>
      <c r="B61" s="5" t="inlineStr">
        <is>
          <t>Irene</t>
        </is>
      </c>
      <c r="C61" s="5" t="inlineStr">
        <is>
          <t>ESPAÑA</t>
        </is>
      </c>
      <c r="D61" s="5" t="inlineStr">
        <is>
          <t>CAMPOEJIDO S.C.A.</t>
        </is>
      </c>
      <c r="E61" s="4" t="inlineStr">
        <is>
          <t>BROTA0005</t>
        </is>
      </c>
      <c r="F61" s="5" t="inlineStr">
        <is>
          <t>BROTAMEC, 5 L</t>
        </is>
      </c>
      <c r="G61" s="4" t="inlineStr">
        <is>
          <t>5</t>
        </is>
      </c>
      <c r="H61" s="6" t="n">
        <v>200</v>
      </c>
      <c r="I61" s="7">
        <f>J61/H61</f>
        <v/>
      </c>
      <c r="J61" s="8" t="n">
        <v>657.01</v>
      </c>
      <c r="K61" s="9">
        <f>J61/$J$163</f>
        <v/>
      </c>
    </row>
    <row r="62">
      <c r="A62" s="10" t="n">
        <v>58</v>
      </c>
      <c r="B62" s="11" t="inlineStr">
        <is>
          <t>Irene</t>
        </is>
      </c>
      <c r="C62" s="11" t="inlineStr">
        <is>
          <t>ESPAÑA</t>
        </is>
      </c>
      <c r="D62" s="11" t="inlineStr">
        <is>
          <t>CAMPOEJIDO S.C.A.</t>
        </is>
      </c>
      <c r="E62" s="10" t="inlineStr">
        <is>
          <t>CALCIO0005</t>
        </is>
      </c>
      <c r="F62" s="11" t="inlineStr">
        <is>
          <t>CALCIAMEC, 5 KG</t>
        </is>
      </c>
      <c r="G62" s="10" t="inlineStr">
        <is>
          <t>5</t>
        </is>
      </c>
      <c r="H62" s="12" t="n">
        <v>750</v>
      </c>
      <c r="I62" s="13">
        <f>J62/H62</f>
        <v/>
      </c>
      <c r="J62" s="14" t="n">
        <v>2967.85</v>
      </c>
      <c r="K62" s="15">
        <f>J62/$J$163</f>
        <v/>
      </c>
    </row>
    <row r="63">
      <c r="A63" s="4" t="n">
        <v>59</v>
      </c>
      <c r="B63" s="5" t="inlineStr">
        <is>
          <t>Irene</t>
        </is>
      </c>
      <c r="C63" s="5" t="inlineStr">
        <is>
          <t>ESPAÑA</t>
        </is>
      </c>
      <c r="D63" s="5" t="inlineStr">
        <is>
          <t>CAMPOEJIDO S.C.A.</t>
        </is>
      </c>
      <c r="E63" s="4" t="inlineStr">
        <is>
          <t>CPLUS0020</t>
        </is>
      </c>
      <c r="F63" s="5" t="inlineStr">
        <is>
          <t>CALCIPLUS, 20 L</t>
        </is>
      </c>
      <c r="G63" s="4" t="inlineStr">
        <is>
          <t>20</t>
        </is>
      </c>
      <c r="H63" s="6" t="n">
        <v>3200</v>
      </c>
      <c r="I63" s="7">
        <f>J63/H63</f>
        <v/>
      </c>
      <c r="J63" s="8" t="n">
        <v>6848.3</v>
      </c>
      <c r="K63" s="9">
        <f>J63/$J$163</f>
        <v/>
      </c>
    </row>
    <row r="64">
      <c r="A64" s="10" t="n">
        <v>60</v>
      </c>
      <c r="B64" s="11" t="inlineStr">
        <is>
          <t>Irene</t>
        </is>
      </c>
      <c r="C64" s="11" t="inlineStr">
        <is>
          <t>ESPAÑA</t>
        </is>
      </c>
      <c r="D64" s="11" t="inlineStr">
        <is>
          <t>CAMPOEJIDO S.C.A.</t>
        </is>
      </c>
      <c r="E64" s="10" t="inlineStr">
        <is>
          <t>C-MB0005</t>
        </is>
      </c>
      <c r="F64" s="11" t="inlineStr">
        <is>
          <t>CODIFOL-MB, 5 L</t>
        </is>
      </c>
      <c r="G64" s="10" t="inlineStr">
        <is>
          <t>5</t>
        </is>
      </c>
      <c r="H64" s="12" t="n">
        <v>300</v>
      </c>
      <c r="I64" s="13">
        <f>J64/H64</f>
        <v/>
      </c>
      <c r="J64" s="14" t="n">
        <v>2559.66</v>
      </c>
      <c r="K64" s="15">
        <f>J64/$J$163</f>
        <v/>
      </c>
    </row>
    <row r="65">
      <c r="A65" s="4" t="n">
        <v>61</v>
      </c>
      <c r="B65" s="5" t="inlineStr">
        <is>
          <t>Irene</t>
        </is>
      </c>
      <c r="C65" s="5" t="inlineStr">
        <is>
          <t>ESPAÑA</t>
        </is>
      </c>
      <c r="D65" s="5" t="inlineStr">
        <is>
          <t>CAMPOEJIDO S.C.A.</t>
        </is>
      </c>
      <c r="E65" s="4" t="inlineStr">
        <is>
          <t>C-GLB0001</t>
        </is>
      </c>
      <c r="F65" s="5" t="inlineStr">
        <is>
          <t>CODIORGAN GLB, 1 KG</t>
        </is>
      </c>
      <c r="G65" s="4" t="inlineStr">
        <is>
          <t>1</t>
        </is>
      </c>
      <c r="H65" s="6" t="n">
        <v>120</v>
      </c>
      <c r="I65" s="7">
        <f>J65/H65</f>
        <v/>
      </c>
      <c r="J65" s="8" t="n">
        <v>1126.3</v>
      </c>
      <c r="K65" s="9">
        <f>J65/$J$163</f>
        <v/>
      </c>
    </row>
    <row r="66">
      <c r="A66" s="10" t="n">
        <v>62</v>
      </c>
      <c r="B66" s="11" t="inlineStr">
        <is>
          <t>Irene</t>
        </is>
      </c>
      <c r="C66" s="11" t="inlineStr">
        <is>
          <t>ESPAÑA</t>
        </is>
      </c>
      <c r="D66" s="11" t="inlineStr">
        <is>
          <t>CAMPOEJIDO S.C.A.</t>
        </is>
      </c>
      <c r="E66" s="10" t="inlineStr">
        <is>
          <t>A-50(2)0005</t>
        </is>
      </c>
      <c r="F66" s="11" t="inlineStr">
        <is>
          <t>CODIORGAN-A50, 5 KG</t>
        </is>
      </c>
      <c r="G66" s="10" t="inlineStr">
        <is>
          <t>5</t>
        </is>
      </c>
      <c r="H66" s="12" t="n">
        <v>100</v>
      </c>
      <c r="I66" s="13">
        <f>J66/H66</f>
        <v/>
      </c>
      <c r="J66" s="14" t="n">
        <v>497.1</v>
      </c>
      <c r="K66" s="15">
        <f>J66/$J$163</f>
        <v/>
      </c>
    </row>
    <row r="67">
      <c r="A67" s="4" t="n">
        <v>63</v>
      </c>
      <c r="B67" s="5" t="inlineStr">
        <is>
          <t>Irene</t>
        </is>
      </c>
      <c r="C67" s="5" t="inlineStr">
        <is>
          <t>ESPAÑA</t>
        </is>
      </c>
      <c r="D67" s="5" t="inlineStr">
        <is>
          <t>CAMPOEJIDO S.C.A.</t>
        </is>
      </c>
      <c r="E67" s="4" t="inlineStr">
        <is>
          <t>AVAN0020</t>
        </is>
      </c>
      <c r="F67" s="5" t="inlineStr">
        <is>
          <t>FLORAMEC AVANCE, 20 L</t>
        </is>
      </c>
      <c r="G67" s="4" t="inlineStr">
        <is>
          <t>20</t>
        </is>
      </c>
      <c r="H67" s="6" t="n">
        <v>1280</v>
      </c>
      <c r="I67" s="7">
        <f>J67/H67</f>
        <v/>
      </c>
      <c r="J67" s="8" t="n">
        <v>6209.21</v>
      </c>
      <c r="K67" s="9">
        <f>J67/$J$163</f>
        <v/>
      </c>
    </row>
    <row r="68">
      <c r="A68" s="10" t="n">
        <v>64</v>
      </c>
      <c r="B68" s="11" t="inlineStr">
        <is>
          <t>Irene</t>
        </is>
      </c>
      <c r="C68" s="11" t="inlineStr">
        <is>
          <t>ESPAÑA</t>
        </is>
      </c>
      <c r="D68" s="11" t="inlineStr">
        <is>
          <t>CAMPOEJIDO S.C.A.</t>
        </is>
      </c>
      <c r="E68" s="10" t="inlineStr">
        <is>
          <t>AVAN0005</t>
        </is>
      </c>
      <c r="F68" s="11" t="inlineStr">
        <is>
          <t>FLORAMEC AVANCE, 5 L</t>
        </is>
      </c>
      <c r="G68" s="10" t="inlineStr">
        <is>
          <t>5</t>
        </is>
      </c>
      <c r="H68" s="12" t="n">
        <v>200</v>
      </c>
      <c r="I68" s="13">
        <f>J68/H68</f>
        <v/>
      </c>
      <c r="J68" s="14" t="n">
        <v>1030.67</v>
      </c>
      <c r="K68" s="15">
        <f>J68/$J$163</f>
        <v/>
      </c>
    </row>
    <row r="69">
      <c r="A69" s="4" t="n">
        <v>65</v>
      </c>
      <c r="B69" s="5" t="inlineStr">
        <is>
          <t>Irene</t>
        </is>
      </c>
      <c r="C69" s="5" t="inlineStr">
        <is>
          <t>ESPAÑA</t>
        </is>
      </c>
      <c r="D69" s="5" t="inlineStr">
        <is>
          <t>CAMPOEJIDO S.C.A.</t>
        </is>
      </c>
      <c r="E69" s="4" t="inlineStr">
        <is>
          <t>PIV0020</t>
        </is>
      </c>
      <c r="F69" s="5" t="inlineStr">
        <is>
          <t>PGR IV, 20 L</t>
        </is>
      </c>
      <c r="G69" s="4" t="inlineStr">
        <is>
          <t>20</t>
        </is>
      </c>
      <c r="H69" s="6" t="n">
        <v>1920</v>
      </c>
      <c r="I69" s="7">
        <f>J69/H69</f>
        <v/>
      </c>
      <c r="J69" s="8" t="n">
        <v>6962.23</v>
      </c>
      <c r="K69" s="9">
        <f>J69/$J$163</f>
        <v/>
      </c>
    </row>
    <row r="70">
      <c r="A70" s="10" t="n">
        <v>66</v>
      </c>
      <c r="B70" s="11" t="inlineStr">
        <is>
          <t>Irene</t>
        </is>
      </c>
      <c r="C70" s="11" t="inlineStr">
        <is>
          <t>ESPAÑA</t>
        </is>
      </c>
      <c r="D70" s="11" t="inlineStr">
        <is>
          <t>CAMPOEJIDO S.C.A.</t>
        </is>
      </c>
      <c r="E70" s="10" t="inlineStr">
        <is>
          <t>TRI0005</t>
        </is>
      </c>
      <c r="F70" s="11" t="inlineStr">
        <is>
          <t>TRIFENO-94, 5L</t>
        </is>
      </c>
      <c r="G70" s="10" t="inlineStr">
        <is>
          <t>5</t>
        </is>
      </c>
      <c r="H70" s="12" t="n">
        <v>100</v>
      </c>
      <c r="I70" s="13">
        <f>J70/H70</f>
        <v/>
      </c>
      <c r="J70" s="14" t="n">
        <v>1018.64</v>
      </c>
      <c r="K70" s="15">
        <f>J70/$J$163</f>
        <v/>
      </c>
    </row>
    <row r="71">
      <c r="A71" s="4" t="n">
        <v>67</v>
      </c>
      <c r="B71" s="5" t="inlineStr">
        <is>
          <t>Irene</t>
        </is>
      </c>
      <c r="C71" s="5" t="inlineStr">
        <is>
          <t>ESPAÑA</t>
        </is>
      </c>
      <c r="D71" s="5" t="inlineStr">
        <is>
          <t>COOP.AGRIC. SAN ISIDRO S.C.A.</t>
        </is>
      </c>
      <c r="E71" s="4" t="inlineStr">
        <is>
          <t>AGXK0020</t>
        </is>
      </c>
      <c r="F71" s="5" t="inlineStr">
        <is>
          <t>AGROXILATO-K, 20 L</t>
        </is>
      </c>
      <c r="G71" s="4" t="inlineStr">
        <is>
          <t>20</t>
        </is>
      </c>
      <c r="H71" s="6" t="n">
        <v>5120</v>
      </c>
      <c r="I71" s="7">
        <f>J71/H71</f>
        <v/>
      </c>
      <c r="J71" s="8" t="n">
        <v>16882.79</v>
      </c>
      <c r="K71" s="9">
        <f>J71/$J$163</f>
        <v/>
      </c>
    </row>
    <row r="72">
      <c r="A72" s="10" t="n">
        <v>68</v>
      </c>
      <c r="B72" s="11" t="inlineStr">
        <is>
          <t>Irene</t>
        </is>
      </c>
      <c r="C72" s="11" t="inlineStr">
        <is>
          <t>ESPAÑA</t>
        </is>
      </c>
      <c r="D72" s="11" t="inlineStr">
        <is>
          <t>COOP.AGRIC. SAN ISIDRO S.C.A.</t>
        </is>
      </c>
      <c r="E72" s="10" t="inlineStr">
        <is>
          <t>BROTA0005</t>
        </is>
      </c>
      <c r="F72" s="11" t="inlineStr">
        <is>
          <t>BROTAMEC, 5 L</t>
        </is>
      </c>
      <c r="G72" s="10" t="inlineStr">
        <is>
          <t>5</t>
        </is>
      </c>
      <c r="H72" s="12" t="n">
        <v>400</v>
      </c>
      <c r="I72" s="13">
        <f>J72/H72</f>
        <v/>
      </c>
      <c r="J72" s="14" t="n">
        <v>1844.96</v>
      </c>
      <c r="K72" s="15">
        <f>J72/$J$163</f>
        <v/>
      </c>
    </row>
    <row r="73">
      <c r="A73" s="4" t="n">
        <v>69</v>
      </c>
      <c r="B73" s="5" t="inlineStr">
        <is>
          <t>Irene</t>
        </is>
      </c>
      <c r="C73" s="5" t="inlineStr">
        <is>
          <t>ESPAÑA</t>
        </is>
      </c>
      <c r="D73" s="5" t="inlineStr">
        <is>
          <t>COOP.AGRIC. SAN ISIDRO S.C.A.</t>
        </is>
      </c>
      <c r="E73" s="4" t="inlineStr">
        <is>
          <t>CPLUS0020</t>
        </is>
      </c>
      <c r="F73" s="5" t="inlineStr">
        <is>
          <t>CALCIPLUS, 20 L</t>
        </is>
      </c>
      <c r="G73" s="4" t="inlineStr">
        <is>
          <t>20</t>
        </is>
      </c>
      <c r="H73" s="6" t="n">
        <v>1280</v>
      </c>
      <c r="I73" s="7">
        <f>J73/H73</f>
        <v/>
      </c>
      <c r="J73" s="8" t="n">
        <v>2741.54</v>
      </c>
      <c r="K73" s="9">
        <f>J73/$J$163</f>
        <v/>
      </c>
    </row>
    <row r="74">
      <c r="A74" s="10" t="n">
        <v>70</v>
      </c>
      <c r="B74" s="11" t="inlineStr">
        <is>
          <t>Irene</t>
        </is>
      </c>
      <c r="C74" s="11" t="inlineStr">
        <is>
          <t>ESPAÑA</t>
        </is>
      </c>
      <c r="D74" s="11" t="inlineStr">
        <is>
          <t>COOP.AGRIC. SAN ISIDRO S.C.A.</t>
        </is>
      </c>
      <c r="E74" s="10" t="inlineStr">
        <is>
          <t>C-L0005</t>
        </is>
      </c>
      <c r="F74" s="11" t="inlineStr">
        <is>
          <t>CODIBOR-L, 5 L</t>
        </is>
      </c>
      <c r="G74" s="10" t="inlineStr">
        <is>
          <t>5</t>
        </is>
      </c>
      <c r="H74" s="12" t="n">
        <v>200</v>
      </c>
      <c r="I74" s="13">
        <f>J74/H74</f>
        <v/>
      </c>
      <c r="J74" s="14" t="n">
        <v>952.37</v>
      </c>
      <c r="K74" s="15">
        <f>J74/$J$163</f>
        <v/>
      </c>
    </row>
    <row r="75">
      <c r="A75" s="4" t="n">
        <v>71</v>
      </c>
      <c r="B75" s="5" t="inlineStr">
        <is>
          <t>Irene</t>
        </is>
      </c>
      <c r="C75" s="5" t="inlineStr">
        <is>
          <t>ESPAÑA</t>
        </is>
      </c>
      <c r="D75" s="5" t="inlineStr">
        <is>
          <t>COOP.AGRIC. SAN ISIDRO S.C.A.</t>
        </is>
      </c>
      <c r="E75" s="4" t="inlineStr">
        <is>
          <t>C-MB0005</t>
        </is>
      </c>
      <c r="F75" s="5" t="inlineStr">
        <is>
          <t>CODIFOL-MB, 5 L</t>
        </is>
      </c>
      <c r="G75" s="4" t="inlineStr">
        <is>
          <t>5</t>
        </is>
      </c>
      <c r="H75" s="6" t="n">
        <v>400</v>
      </c>
      <c r="I75" s="7">
        <f>J75/H75</f>
        <v/>
      </c>
      <c r="J75" s="8" t="n">
        <v>3936.04</v>
      </c>
      <c r="K75" s="9">
        <f>J75/$J$163</f>
        <v/>
      </c>
    </row>
    <row r="76">
      <c r="A76" s="10" t="n">
        <v>72</v>
      </c>
      <c r="B76" s="11" t="inlineStr">
        <is>
          <t>Irene</t>
        </is>
      </c>
      <c r="C76" s="11" t="inlineStr">
        <is>
          <t>ESPAÑA</t>
        </is>
      </c>
      <c r="D76" s="11" t="inlineStr">
        <is>
          <t>COOP.AGRIC. SAN ISIDRO S.C.A.</t>
        </is>
      </c>
      <c r="E76" s="10" t="inlineStr">
        <is>
          <t>AVAN0005</t>
        </is>
      </c>
      <c r="F76" s="11" t="inlineStr">
        <is>
          <t>FLORAMEC AVANCE, 5 L</t>
        </is>
      </c>
      <c r="G76" s="10" t="inlineStr">
        <is>
          <t>5</t>
        </is>
      </c>
      <c r="H76" s="12" t="n">
        <v>1200</v>
      </c>
      <c r="I76" s="13">
        <f>J76/H76</f>
        <v/>
      </c>
      <c r="J76" s="14" t="n">
        <v>6551</v>
      </c>
      <c r="K76" s="15">
        <f>J76/$J$163</f>
        <v/>
      </c>
    </row>
    <row r="77">
      <c r="A77" s="4" t="n">
        <v>73</v>
      </c>
      <c r="B77" s="5" t="inlineStr">
        <is>
          <t>Irene</t>
        </is>
      </c>
      <c r="C77" s="5" t="inlineStr">
        <is>
          <t>ESPAÑA</t>
        </is>
      </c>
      <c r="D77" s="5" t="inlineStr">
        <is>
          <t>COOP.AGRIC. SAN ISIDRO S.C.A.</t>
        </is>
      </c>
      <c r="E77" s="4" t="inlineStr">
        <is>
          <t>PIV0020</t>
        </is>
      </c>
      <c r="F77" s="5" t="inlineStr">
        <is>
          <t>PGR IV, 20 L</t>
        </is>
      </c>
      <c r="G77" s="4" t="inlineStr">
        <is>
          <t>20</t>
        </is>
      </c>
      <c r="H77" s="6" t="n">
        <v>3200</v>
      </c>
      <c r="I77" s="7">
        <f>J77/H77</f>
        <v/>
      </c>
      <c r="J77" s="8" t="n">
        <v>11584.6</v>
      </c>
      <c r="K77" s="9">
        <f>J77/$J$163</f>
        <v/>
      </c>
    </row>
    <row r="78">
      <c r="A78" s="10" t="n">
        <v>74</v>
      </c>
      <c r="B78" s="11" t="inlineStr">
        <is>
          <t>Irene</t>
        </is>
      </c>
      <c r="C78" s="11" t="inlineStr">
        <is>
          <t>ESPAÑA</t>
        </is>
      </c>
      <c r="D78" s="11" t="inlineStr">
        <is>
          <t>COOP.AGRIC. SAN ISIDRO S.C.A.</t>
        </is>
      </c>
      <c r="E78" s="10" t="inlineStr">
        <is>
          <t>S0020</t>
        </is>
      </c>
      <c r="F78" s="11" t="inlineStr">
        <is>
          <t>SALWAX STAR, 20 L</t>
        </is>
      </c>
      <c r="G78" s="10" t="inlineStr">
        <is>
          <t>20</t>
        </is>
      </c>
      <c r="H78" s="12" t="n">
        <v>640</v>
      </c>
      <c r="I78" s="13">
        <f>J78/H78</f>
        <v/>
      </c>
      <c r="J78" s="14" t="n">
        <v>1474.56</v>
      </c>
      <c r="K78" s="15">
        <f>J78/$J$163</f>
        <v/>
      </c>
    </row>
    <row r="79">
      <c r="A79" s="4" t="n">
        <v>75</v>
      </c>
      <c r="B79" s="5" t="inlineStr">
        <is>
          <t>Irene</t>
        </is>
      </c>
      <c r="C79" s="5" t="inlineStr">
        <is>
          <t>ESPAÑA</t>
        </is>
      </c>
      <c r="D79" s="5" t="inlineStr">
        <is>
          <t>GUIVARTO AGRICOLA, S.L.</t>
        </is>
      </c>
      <c r="E79" s="4" t="inlineStr">
        <is>
          <t>PT0005</t>
        </is>
      </c>
      <c r="F79" s="5" t="inlineStr">
        <is>
          <t>AGROPOTASION, 5 L</t>
        </is>
      </c>
      <c r="G79" s="4" t="inlineStr">
        <is>
          <t>5</t>
        </is>
      </c>
      <c r="H79" s="6" t="n">
        <v>100</v>
      </c>
      <c r="I79" s="7">
        <f>J79/H79</f>
        <v/>
      </c>
      <c r="J79" s="8" t="n">
        <v>375.57</v>
      </c>
      <c r="K79" s="9">
        <f>J79/$J$163</f>
        <v/>
      </c>
    </row>
    <row r="80">
      <c r="A80" s="10" t="n">
        <v>76</v>
      </c>
      <c r="B80" s="11" t="inlineStr">
        <is>
          <t>Irene</t>
        </is>
      </c>
      <c r="C80" s="11" t="inlineStr">
        <is>
          <t>ESPAÑA</t>
        </is>
      </c>
      <c r="D80" s="11" t="inlineStr">
        <is>
          <t>GUIVARTO AGRICOLA, S.L.</t>
        </is>
      </c>
      <c r="E80" s="10" t="inlineStr">
        <is>
          <t>AGXK0020</t>
        </is>
      </c>
      <c r="F80" s="11" t="inlineStr">
        <is>
          <t>AGROXILATO-K, 20 L</t>
        </is>
      </c>
      <c r="G80" s="10" t="inlineStr">
        <is>
          <t>20</t>
        </is>
      </c>
      <c r="H80" s="12" t="n">
        <v>2480</v>
      </c>
      <c r="I80" s="13">
        <f>J80/H80</f>
        <v/>
      </c>
      <c r="J80" s="14" t="n">
        <v>8149.46</v>
      </c>
      <c r="K80" s="15">
        <f>J80/$J$163</f>
        <v/>
      </c>
    </row>
    <row r="81">
      <c r="A81" s="4" t="n">
        <v>77</v>
      </c>
      <c r="B81" s="5" t="inlineStr">
        <is>
          <t>Irene</t>
        </is>
      </c>
      <c r="C81" s="5" t="inlineStr">
        <is>
          <t>ESPAÑA</t>
        </is>
      </c>
      <c r="D81" s="5" t="inlineStr">
        <is>
          <t>GUIVARTO AGRICOLA, S.L.</t>
        </is>
      </c>
      <c r="E81" s="4" t="inlineStr">
        <is>
          <t>BROTA0005</t>
        </is>
      </c>
      <c r="F81" s="5" t="inlineStr">
        <is>
          <t>BROTAMEC, 5 L</t>
        </is>
      </c>
      <c r="G81" s="4" t="inlineStr">
        <is>
          <t>5</t>
        </is>
      </c>
      <c r="H81" s="6" t="n">
        <v>300</v>
      </c>
      <c r="I81" s="7">
        <f>J81/H81</f>
        <v/>
      </c>
      <c r="J81" s="8" t="n">
        <v>1019.57</v>
      </c>
      <c r="K81" s="9">
        <f>J81/$J$163</f>
        <v/>
      </c>
    </row>
    <row r="82">
      <c r="A82" s="10" t="n">
        <v>78</v>
      </c>
      <c r="B82" s="11" t="inlineStr">
        <is>
          <t>Irene</t>
        </is>
      </c>
      <c r="C82" s="11" t="inlineStr">
        <is>
          <t>ESPAÑA</t>
        </is>
      </c>
      <c r="D82" s="11" t="inlineStr">
        <is>
          <t>GUIVARTO AGRICOLA, S.L.</t>
        </is>
      </c>
      <c r="E82" s="10" t="inlineStr">
        <is>
          <t>C-MB0005</t>
        </is>
      </c>
      <c r="F82" s="11" t="inlineStr">
        <is>
          <t>CODIFOL-MB, 5 L</t>
        </is>
      </c>
      <c r="G82" s="10" t="inlineStr">
        <is>
          <t>5</t>
        </is>
      </c>
      <c r="H82" s="12" t="n">
        <v>100</v>
      </c>
      <c r="I82" s="13">
        <f>J82/H82</f>
        <v/>
      </c>
      <c r="J82" s="14" t="n">
        <v>837.8</v>
      </c>
      <c r="K82" s="15">
        <f>J82/$J$163</f>
        <v/>
      </c>
    </row>
    <row r="83">
      <c r="A83" s="4" t="n">
        <v>79</v>
      </c>
      <c r="B83" s="5" t="inlineStr">
        <is>
          <t>Irene</t>
        </is>
      </c>
      <c r="C83" s="5" t="inlineStr">
        <is>
          <t>ESPAÑA</t>
        </is>
      </c>
      <c r="D83" s="5" t="inlineStr">
        <is>
          <t>GUIVARTO AGRICOLA, S.L.</t>
        </is>
      </c>
      <c r="E83" s="4" t="inlineStr">
        <is>
          <t>C-GLB0001</t>
        </is>
      </c>
      <c r="F83" s="5" t="inlineStr">
        <is>
          <t>CODIORGAN GLB, 1 KG</t>
        </is>
      </c>
      <c r="G83" s="4" t="inlineStr">
        <is>
          <t>1</t>
        </is>
      </c>
      <c r="H83" s="6" t="n">
        <v>108</v>
      </c>
      <c r="I83" s="7">
        <f>J83/H83</f>
        <v/>
      </c>
      <c r="J83" s="8" t="n">
        <v>1047.92</v>
      </c>
      <c r="K83" s="9">
        <f>J83/$J$163</f>
        <v/>
      </c>
    </row>
    <row r="84">
      <c r="A84" s="10" t="n">
        <v>80</v>
      </c>
      <c r="B84" s="11" t="inlineStr">
        <is>
          <t>Irene</t>
        </is>
      </c>
      <c r="C84" s="11" t="inlineStr">
        <is>
          <t>ESPAÑA</t>
        </is>
      </c>
      <c r="D84" s="11" t="inlineStr">
        <is>
          <t>GUIVARTO AGRICOLA, S.L.</t>
        </is>
      </c>
      <c r="E84" s="10" t="inlineStr">
        <is>
          <t>A-50(2)0005</t>
        </is>
      </c>
      <c r="F84" s="11" t="inlineStr">
        <is>
          <t>CODIORGAN-A50, 5 KG</t>
        </is>
      </c>
      <c r="G84" s="10" t="inlineStr">
        <is>
          <t>5</t>
        </is>
      </c>
      <c r="H84" s="12" t="n">
        <v>100</v>
      </c>
      <c r="I84" s="13">
        <f>J84/H84</f>
        <v/>
      </c>
      <c r="J84" s="14" t="n">
        <v>518.89</v>
      </c>
      <c r="K84" s="15">
        <f>J84/$J$163</f>
        <v/>
      </c>
    </row>
    <row r="85">
      <c r="A85" s="4" t="n">
        <v>81</v>
      </c>
      <c r="B85" s="5" t="inlineStr">
        <is>
          <t>Irene</t>
        </is>
      </c>
      <c r="C85" s="5" t="inlineStr">
        <is>
          <t>ESPAÑA</t>
        </is>
      </c>
      <c r="D85" s="5" t="inlineStr">
        <is>
          <t>GUIVARTO AGRICOLA, S.L.</t>
        </is>
      </c>
      <c r="E85" s="4" t="inlineStr">
        <is>
          <t>AVAN0020</t>
        </is>
      </c>
      <c r="F85" s="5" t="inlineStr">
        <is>
          <t>FLORAMEC AVANCE, 20 L</t>
        </is>
      </c>
      <c r="G85" s="4" t="inlineStr">
        <is>
          <t>20</t>
        </is>
      </c>
      <c r="H85" s="6" t="n">
        <v>640</v>
      </c>
      <c r="I85" s="7">
        <f>J85/H85</f>
        <v/>
      </c>
      <c r="J85" s="8" t="n">
        <v>3209.33</v>
      </c>
      <c r="K85" s="9">
        <f>J85/$J$163</f>
        <v/>
      </c>
    </row>
    <row r="86">
      <c r="A86" s="10" t="n">
        <v>82</v>
      </c>
      <c r="B86" s="11" t="inlineStr">
        <is>
          <t>Irene</t>
        </is>
      </c>
      <c r="C86" s="11" t="inlineStr">
        <is>
          <t>ESPAÑA</t>
        </is>
      </c>
      <c r="D86" s="11" t="inlineStr">
        <is>
          <t>GUIVARTO AGRICOLA, S.L.</t>
        </is>
      </c>
      <c r="E86" s="10" t="inlineStr">
        <is>
          <t>AVAN0005</t>
        </is>
      </c>
      <c r="F86" s="11" t="inlineStr">
        <is>
          <t>FLORAMEC AVANCE, 5 L</t>
        </is>
      </c>
      <c r="G86" s="10" t="inlineStr">
        <is>
          <t>5</t>
        </is>
      </c>
      <c r="H86" s="12" t="n">
        <v>300</v>
      </c>
      <c r="I86" s="13">
        <f>J86/H86</f>
        <v/>
      </c>
      <c r="J86" s="14" t="n">
        <v>1614.44</v>
      </c>
      <c r="K86" s="15">
        <f>J86/$J$163</f>
        <v/>
      </c>
    </row>
    <row r="87">
      <c r="A87" s="4" t="n">
        <v>83</v>
      </c>
      <c r="B87" s="5" t="inlineStr">
        <is>
          <t>Irene</t>
        </is>
      </c>
      <c r="C87" s="5" t="inlineStr">
        <is>
          <t>ESPAÑA</t>
        </is>
      </c>
      <c r="D87" s="5" t="inlineStr">
        <is>
          <t>GUIVARTO AGRICOLA, S.L.</t>
        </is>
      </c>
      <c r="E87" s="4" t="inlineStr">
        <is>
          <t>HST0005</t>
        </is>
      </c>
      <c r="F87" s="5" t="inlineStr">
        <is>
          <t>HIDROSTRESS-40, 5 L</t>
        </is>
      </c>
      <c r="G87" s="4" t="inlineStr">
        <is>
          <t>5</t>
        </is>
      </c>
      <c r="H87" s="6" t="n">
        <v>40</v>
      </c>
      <c r="I87" s="7">
        <f>J87/H87</f>
        <v/>
      </c>
      <c r="J87" s="8" t="n">
        <v>226.47</v>
      </c>
      <c r="K87" s="9">
        <f>J87/$J$163</f>
        <v/>
      </c>
    </row>
    <row r="88">
      <c r="A88" s="10" t="n">
        <v>84</v>
      </c>
      <c r="B88" s="11" t="inlineStr">
        <is>
          <t>Irene</t>
        </is>
      </c>
      <c r="C88" s="11" t="inlineStr">
        <is>
          <t>ESPAÑA</t>
        </is>
      </c>
      <c r="D88" s="11" t="inlineStr">
        <is>
          <t>GUIVARTO AGRICOLA, S.L.</t>
        </is>
      </c>
      <c r="E88" s="10" t="inlineStr">
        <is>
          <t>S0020</t>
        </is>
      </c>
      <c r="F88" s="11" t="inlineStr">
        <is>
          <t>SALWAX STAR, 20 L</t>
        </is>
      </c>
      <c r="G88" s="10" t="inlineStr">
        <is>
          <t>20</t>
        </is>
      </c>
      <c r="H88" s="12" t="n">
        <v>640</v>
      </c>
      <c r="I88" s="13">
        <f>J88/H88</f>
        <v/>
      </c>
      <c r="J88" s="14" t="n">
        <v>1421.77</v>
      </c>
      <c r="K88" s="15">
        <f>J88/$J$163</f>
        <v/>
      </c>
    </row>
    <row r="89">
      <c r="A89" s="4" t="n">
        <v>85</v>
      </c>
      <c r="B89" s="5" t="inlineStr">
        <is>
          <t>Irene</t>
        </is>
      </c>
      <c r="C89" s="5" t="inlineStr">
        <is>
          <t>ESPAÑA</t>
        </is>
      </c>
      <c r="D89" s="5" t="inlineStr">
        <is>
          <t>GUIVARTO AGRICOLA, S.L.</t>
        </is>
      </c>
      <c r="E89" s="4" t="inlineStr">
        <is>
          <t>TRI0005</t>
        </is>
      </c>
      <c r="F89" s="5" t="inlineStr">
        <is>
          <t>TRIFENO-94, 5L</t>
        </is>
      </c>
      <c r="G89" s="4" t="inlineStr">
        <is>
          <t>5</t>
        </is>
      </c>
      <c r="H89" s="6" t="n">
        <v>300</v>
      </c>
      <c r="I89" s="7">
        <f>J89/H89</f>
        <v/>
      </c>
      <c r="J89" s="8" t="n">
        <v>3173.76</v>
      </c>
      <c r="K89" s="9">
        <f>J89/$J$163</f>
        <v/>
      </c>
    </row>
    <row r="90">
      <c r="A90" s="10" t="n">
        <v>86</v>
      </c>
      <c r="B90" s="11" t="inlineStr">
        <is>
          <t>Irene</t>
        </is>
      </c>
      <c r="C90" s="11" t="inlineStr">
        <is>
          <t>ESPAÑA</t>
        </is>
      </c>
      <c r="D90" s="11" t="inlineStr">
        <is>
          <t>SUCA, S.C.A.</t>
        </is>
      </c>
      <c r="E90" s="10" t="inlineStr">
        <is>
          <t>AGXK0020</t>
        </is>
      </c>
      <c r="F90" s="11" t="inlineStr">
        <is>
          <t>AGROXILATO-K, 20 L</t>
        </is>
      </c>
      <c r="G90" s="10" t="inlineStr">
        <is>
          <t>20</t>
        </is>
      </c>
      <c r="H90" s="12" t="n">
        <v>2560</v>
      </c>
      <c r="I90" s="13">
        <f>J90/H90</f>
        <v/>
      </c>
      <c r="J90" s="14" t="n">
        <v>8441.389999999999</v>
      </c>
      <c r="K90" s="15">
        <f>J90/$J$163</f>
        <v/>
      </c>
    </row>
    <row r="91">
      <c r="A91" s="4" t="n">
        <v>87</v>
      </c>
      <c r="B91" s="5" t="inlineStr">
        <is>
          <t>Javier</t>
        </is>
      </c>
      <c r="C91" s="5" t="inlineStr">
        <is>
          <t>ESPAÑA</t>
        </is>
      </c>
      <c r="D91" s="5" t="inlineStr">
        <is>
          <t>AGROQUIMICAS DRAGO S.L.</t>
        </is>
      </c>
      <c r="E91" s="4" t="inlineStr">
        <is>
          <t>PT0020</t>
        </is>
      </c>
      <c r="F91" s="5" t="inlineStr">
        <is>
          <t>AGROPOTASION, 20 L</t>
        </is>
      </c>
      <c r="G91" s="4" t="inlineStr">
        <is>
          <t>20</t>
        </is>
      </c>
      <c r="H91" s="6" t="n">
        <v>640</v>
      </c>
      <c r="I91" s="7">
        <f>J91/H91</f>
        <v/>
      </c>
      <c r="J91" s="8" t="n">
        <v>1999.16</v>
      </c>
      <c r="K91" s="9">
        <f>J91/$J$163</f>
        <v/>
      </c>
    </row>
    <row r="92">
      <c r="A92" s="10" t="n">
        <v>88</v>
      </c>
      <c r="B92" s="11" t="inlineStr">
        <is>
          <t>Javier</t>
        </is>
      </c>
      <c r="C92" s="11" t="inlineStr">
        <is>
          <t>ESPAÑA</t>
        </is>
      </c>
      <c r="D92" s="11" t="inlineStr">
        <is>
          <t>AGROQUIMICAS DRAGO S.L.</t>
        </is>
      </c>
      <c r="E92" s="10" t="inlineStr">
        <is>
          <t>PT0200</t>
        </is>
      </c>
      <c r="F92" s="11" t="inlineStr">
        <is>
          <t>AGROPOTASION, 200 L</t>
        </is>
      </c>
      <c r="G92" s="10" t="inlineStr">
        <is>
          <t>200</t>
        </is>
      </c>
      <c r="H92" s="12" t="n">
        <v>200</v>
      </c>
      <c r="I92" s="13">
        <f>J92/H92</f>
        <v/>
      </c>
      <c r="J92" s="14" t="n">
        <v>614.0599999999999</v>
      </c>
      <c r="K92" s="15">
        <f>J92/$J$163</f>
        <v/>
      </c>
    </row>
    <row r="93">
      <c r="A93" s="4" t="n">
        <v>89</v>
      </c>
      <c r="B93" s="5" t="inlineStr">
        <is>
          <t>Javier</t>
        </is>
      </c>
      <c r="C93" s="5" t="inlineStr">
        <is>
          <t>ESPAÑA</t>
        </is>
      </c>
      <c r="D93" s="5" t="inlineStr">
        <is>
          <t>AGROQUIMICAS DRAGO S.L.</t>
        </is>
      </c>
      <c r="E93" s="4" t="inlineStr">
        <is>
          <t>AGXK0020</t>
        </is>
      </c>
      <c r="F93" s="5" t="inlineStr">
        <is>
          <t>AGROXILATO-K, 20 L</t>
        </is>
      </c>
      <c r="G93" s="4" t="inlineStr">
        <is>
          <t>20</t>
        </is>
      </c>
      <c r="H93" s="6" t="n">
        <v>640</v>
      </c>
      <c r="I93" s="7">
        <f>J93/H93</f>
        <v/>
      </c>
      <c r="J93" s="8" t="n">
        <v>1920.35</v>
      </c>
      <c r="K93" s="9">
        <f>J93/$J$163</f>
        <v/>
      </c>
    </row>
    <row r="94">
      <c r="A94" s="10" t="n">
        <v>90</v>
      </c>
      <c r="B94" s="11" t="inlineStr">
        <is>
          <t>Javier</t>
        </is>
      </c>
      <c r="C94" s="11" t="inlineStr">
        <is>
          <t>ESPAÑA</t>
        </is>
      </c>
      <c r="D94" s="11" t="inlineStr">
        <is>
          <t>AGROQUIMICAS DRAGO S.L.</t>
        </is>
      </c>
      <c r="E94" s="10" t="inlineStr">
        <is>
          <t>AGXK0200</t>
        </is>
      </c>
      <c r="F94" s="11" t="inlineStr">
        <is>
          <t>AGROXILATO-K, 200 L</t>
        </is>
      </c>
      <c r="G94" s="10" t="inlineStr">
        <is>
          <t>200</t>
        </is>
      </c>
      <c r="H94" s="12" t="n">
        <v>1600</v>
      </c>
      <c r="I94" s="13">
        <f>J94/H94</f>
        <v/>
      </c>
      <c r="J94" s="14" t="n">
        <v>4620.59</v>
      </c>
      <c r="K94" s="15">
        <f>J94/$J$163</f>
        <v/>
      </c>
    </row>
    <row r="95">
      <c r="A95" s="4" t="n">
        <v>91</v>
      </c>
      <c r="B95" s="5" t="inlineStr">
        <is>
          <t>Javier</t>
        </is>
      </c>
      <c r="C95" s="5" t="inlineStr">
        <is>
          <t>ESPAÑA</t>
        </is>
      </c>
      <c r="D95" s="5" t="inlineStr">
        <is>
          <t>AGROQUIMICAS DRAGO S.L.</t>
        </is>
      </c>
      <c r="E95" s="4" t="inlineStr">
        <is>
          <t>AN0020</t>
        </is>
      </c>
      <c r="F95" s="5" t="inlineStr">
        <is>
          <t>ALCAPLANT NEW, 20 KG</t>
        </is>
      </c>
      <c r="G95" s="4" t="inlineStr">
        <is>
          <t>20</t>
        </is>
      </c>
      <c r="H95" s="6" t="n">
        <v>2200</v>
      </c>
      <c r="I95" s="7">
        <f>J95/H95</f>
        <v/>
      </c>
      <c r="J95" s="8" t="n">
        <v>3428.95</v>
      </c>
      <c r="K95" s="9">
        <f>J95/$J$163</f>
        <v/>
      </c>
    </row>
    <row r="96">
      <c r="A96" s="10" t="n">
        <v>92</v>
      </c>
      <c r="B96" s="11" t="inlineStr">
        <is>
          <t>Javier</t>
        </is>
      </c>
      <c r="C96" s="11" t="inlineStr">
        <is>
          <t>ESPAÑA</t>
        </is>
      </c>
      <c r="D96" s="11" t="inlineStr">
        <is>
          <t>AGROQUIMICAS DRAGO S.L.</t>
        </is>
      </c>
      <c r="E96" s="10" t="inlineStr">
        <is>
          <t>BIO0020</t>
        </is>
      </c>
      <c r="F96" s="11" t="inlineStr">
        <is>
          <t>BIORAD-20, 20 L</t>
        </is>
      </c>
      <c r="G96" s="10" t="inlineStr">
        <is>
          <t>20</t>
        </is>
      </c>
      <c r="H96" s="12" t="n">
        <v>640</v>
      </c>
      <c r="I96" s="13">
        <f>J96/H96</f>
        <v/>
      </c>
      <c r="J96" s="14" t="n">
        <v>1453.65</v>
      </c>
      <c r="K96" s="15">
        <f>J96/$J$163</f>
        <v/>
      </c>
    </row>
    <row r="97">
      <c r="A97" s="4" t="n">
        <v>93</v>
      </c>
      <c r="B97" s="5" t="inlineStr">
        <is>
          <t>Javier</t>
        </is>
      </c>
      <c r="C97" s="5" t="inlineStr">
        <is>
          <t>ESPAÑA</t>
        </is>
      </c>
      <c r="D97" s="5" t="inlineStr">
        <is>
          <t>AGROQUIMICAS DRAGO S.L.</t>
        </is>
      </c>
      <c r="E97" s="4" t="inlineStr">
        <is>
          <t>CPLUS1000</t>
        </is>
      </c>
      <c r="F97" s="5" t="inlineStr">
        <is>
          <t>CALCIPLUS, 1000 L</t>
        </is>
      </c>
      <c r="G97" s="4" t="inlineStr">
        <is>
          <t>1000</t>
        </is>
      </c>
      <c r="H97" s="6" t="n">
        <v>2000</v>
      </c>
      <c r="I97" s="7">
        <f>J97/H97</f>
        <v/>
      </c>
      <c r="J97" s="8" t="n">
        <v>3845.33</v>
      </c>
      <c r="K97" s="9">
        <f>J97/$J$163</f>
        <v/>
      </c>
    </row>
    <row r="98">
      <c r="A98" s="10" t="n">
        <v>94</v>
      </c>
      <c r="B98" s="11" t="inlineStr">
        <is>
          <t>Javier</t>
        </is>
      </c>
      <c r="C98" s="11" t="inlineStr">
        <is>
          <t>ESPAÑA</t>
        </is>
      </c>
      <c r="D98" s="11" t="inlineStr">
        <is>
          <t>AGROQUIMICAS DRAGO S.L.</t>
        </is>
      </c>
      <c r="E98" s="10" t="inlineStr">
        <is>
          <t>CPLUS0020</t>
        </is>
      </c>
      <c r="F98" s="11" t="inlineStr">
        <is>
          <t>CALCIPLUS, 20 L</t>
        </is>
      </c>
      <c r="G98" s="10" t="inlineStr">
        <is>
          <t>20</t>
        </is>
      </c>
      <c r="H98" s="12" t="n">
        <v>400</v>
      </c>
      <c r="I98" s="13">
        <f>J98/H98</f>
        <v/>
      </c>
      <c r="J98" s="14" t="n">
        <v>898.5700000000001</v>
      </c>
      <c r="K98" s="15">
        <f>J98/$J$163</f>
        <v/>
      </c>
    </row>
    <row r="99">
      <c r="A99" s="4" t="n">
        <v>95</v>
      </c>
      <c r="B99" s="5" t="inlineStr">
        <is>
          <t>Javier</t>
        </is>
      </c>
      <c r="C99" s="5" t="inlineStr">
        <is>
          <t>ESPAÑA</t>
        </is>
      </c>
      <c r="D99" s="5" t="inlineStr">
        <is>
          <t>AGROQUIMICAS DRAGO S.L.</t>
        </is>
      </c>
      <c r="E99" s="4" t="inlineStr">
        <is>
          <t>C-CU0005</t>
        </is>
      </c>
      <c r="F99" s="5" t="inlineStr">
        <is>
          <t>CODICOBRE, 5 L</t>
        </is>
      </c>
      <c r="G99" s="4" t="inlineStr">
        <is>
          <t>5</t>
        </is>
      </c>
      <c r="H99" s="6" t="n">
        <v>100</v>
      </c>
      <c r="I99" s="7">
        <f>J99/H99</f>
        <v/>
      </c>
      <c r="J99" s="8" t="n">
        <v>375.15</v>
      </c>
      <c r="K99" s="9">
        <f>J99/$J$163</f>
        <v/>
      </c>
    </row>
    <row r="100">
      <c r="A100" s="10" t="n">
        <v>96</v>
      </c>
      <c r="B100" s="11" t="inlineStr">
        <is>
          <t>Javier</t>
        </is>
      </c>
      <c r="C100" s="11" t="inlineStr">
        <is>
          <t>ESPAÑA</t>
        </is>
      </c>
      <c r="D100" s="11" t="inlineStr">
        <is>
          <t>AGROQUIMICAS DRAGO S.L.</t>
        </is>
      </c>
      <c r="E100" s="10" t="inlineStr">
        <is>
          <t>AVAN0020</t>
        </is>
      </c>
      <c r="F100" s="11" t="inlineStr">
        <is>
          <t>FLORAMEC AVANCE, 20 L</t>
        </is>
      </c>
      <c r="G100" s="10" t="inlineStr">
        <is>
          <t>20</t>
        </is>
      </c>
      <c r="H100" s="12" t="n">
        <v>300</v>
      </c>
      <c r="I100" s="13">
        <f>J100/H100</f>
        <v/>
      </c>
      <c r="J100" s="14" t="n">
        <v>1367.95</v>
      </c>
      <c r="K100" s="15">
        <f>J100/$J$163</f>
        <v/>
      </c>
    </row>
    <row r="101">
      <c r="A101" s="4" t="n">
        <v>97</v>
      </c>
      <c r="B101" s="5" t="inlineStr">
        <is>
          <t>Javier</t>
        </is>
      </c>
      <c r="C101" s="5" t="inlineStr">
        <is>
          <t>ESPAÑA</t>
        </is>
      </c>
      <c r="D101" s="5" t="inlineStr">
        <is>
          <t>AGROQUIMICAS DRAGO S.L.</t>
        </is>
      </c>
      <c r="E101" s="4" t="inlineStr">
        <is>
          <t>FLOR0200</t>
        </is>
      </c>
      <c r="F101" s="5" t="inlineStr">
        <is>
          <t>FLORAMEC, 200 L</t>
        </is>
      </c>
      <c r="G101" s="4" t="inlineStr">
        <is>
          <t>200</t>
        </is>
      </c>
      <c r="H101" s="6" t="n">
        <v>200</v>
      </c>
      <c r="I101" s="7">
        <f>J101/H101</f>
        <v/>
      </c>
      <c r="J101" s="8" t="n">
        <v>480.17</v>
      </c>
      <c r="K101" s="9">
        <f>J101/$J$163</f>
        <v/>
      </c>
    </row>
    <row r="102">
      <c r="A102" s="10" t="n">
        <v>98</v>
      </c>
      <c r="B102" s="11" t="inlineStr">
        <is>
          <t>Javier</t>
        </is>
      </c>
      <c r="C102" s="11" t="inlineStr">
        <is>
          <t>ESPAÑA</t>
        </is>
      </c>
      <c r="D102" s="11" t="inlineStr">
        <is>
          <t>AGROQUIMICAS DRAGO S.L.</t>
        </is>
      </c>
      <c r="E102" s="10" t="inlineStr">
        <is>
          <t>S0200</t>
        </is>
      </c>
      <c r="F102" s="11" t="inlineStr">
        <is>
          <t>SALWAX STAR, 200 L</t>
        </is>
      </c>
      <c r="G102" s="10" t="inlineStr">
        <is>
          <t>200</t>
        </is>
      </c>
      <c r="H102" s="12" t="n">
        <v>1200</v>
      </c>
      <c r="I102" s="13">
        <f>J102/H102</f>
        <v/>
      </c>
      <c r="J102" s="14" t="n">
        <v>2191.36</v>
      </c>
      <c r="K102" s="15">
        <f>J102/$J$163</f>
        <v/>
      </c>
    </row>
    <row r="103">
      <c r="A103" s="4" t="n">
        <v>99</v>
      </c>
      <c r="B103" s="5" t="inlineStr">
        <is>
          <t>Javier</t>
        </is>
      </c>
      <c r="C103" s="5" t="inlineStr">
        <is>
          <t>ESPAÑA</t>
        </is>
      </c>
      <c r="D103" s="5" t="inlineStr">
        <is>
          <t>CABRERA MORALES FRANCISCO</t>
        </is>
      </c>
      <c r="E103" s="4" t="inlineStr">
        <is>
          <t>ANAE0020</t>
        </is>
      </c>
      <c r="F103" s="5" t="inlineStr">
        <is>
          <t>ALCAPLANT NEW AE, 20 KG</t>
        </is>
      </c>
      <c r="G103" s="4" t="inlineStr">
        <is>
          <t>20</t>
        </is>
      </c>
      <c r="H103" s="6" t="n">
        <v>1100</v>
      </c>
      <c r="I103" s="7">
        <f>J103/H103</f>
        <v/>
      </c>
      <c r="J103" s="8" t="n">
        <v>1706.65</v>
      </c>
      <c r="K103" s="9">
        <f>J103/$J$163</f>
        <v/>
      </c>
    </row>
    <row r="104">
      <c r="A104" s="10" t="n">
        <v>100</v>
      </c>
      <c r="B104" s="11" t="inlineStr">
        <is>
          <t>Javier</t>
        </is>
      </c>
      <c r="C104" s="11" t="inlineStr">
        <is>
          <t>ESPAÑA</t>
        </is>
      </c>
      <c r="D104" s="11" t="inlineStr">
        <is>
          <t>CABRERA MORALES FRANCISCO</t>
        </is>
      </c>
      <c r="E104" s="10" t="inlineStr">
        <is>
          <t>ANAE0005</t>
        </is>
      </c>
      <c r="F104" s="11" t="inlineStr">
        <is>
          <t>ALCAPLANT NEW AE, 5 KG</t>
        </is>
      </c>
      <c r="G104" s="10" t="inlineStr">
        <is>
          <t>5</t>
        </is>
      </c>
      <c r="H104" s="12" t="n">
        <v>4400</v>
      </c>
      <c r="I104" s="13">
        <f>J104/H104</f>
        <v/>
      </c>
      <c r="J104" s="14" t="n">
        <v>7556.09</v>
      </c>
      <c r="K104" s="15">
        <f>J104/$J$163</f>
        <v/>
      </c>
    </row>
    <row r="105">
      <c r="A105" s="4" t="n">
        <v>101</v>
      </c>
      <c r="B105" s="5" t="inlineStr">
        <is>
          <t>Javier</t>
        </is>
      </c>
      <c r="C105" s="5" t="inlineStr">
        <is>
          <t>ESPAÑA</t>
        </is>
      </c>
      <c r="D105" s="5" t="inlineStr">
        <is>
          <t>CABRERA MORALES FRANCISCO</t>
        </is>
      </c>
      <c r="E105" s="4" t="inlineStr">
        <is>
          <t>BIO0020</t>
        </is>
      </c>
      <c r="F105" s="5" t="inlineStr">
        <is>
          <t>BIORAD-20, 20 L</t>
        </is>
      </c>
      <c r="G105" s="4" t="inlineStr">
        <is>
          <t>20</t>
        </is>
      </c>
      <c r="H105" s="6" t="n">
        <v>640</v>
      </c>
      <c r="I105" s="7">
        <f>J105/H105</f>
        <v/>
      </c>
      <c r="J105" s="8" t="n">
        <v>1230.5</v>
      </c>
      <c r="K105" s="9">
        <f>J105/$J$163</f>
        <v/>
      </c>
    </row>
    <row r="106">
      <c r="A106" s="10" t="n">
        <v>102</v>
      </c>
      <c r="B106" s="11" t="inlineStr">
        <is>
          <t>Javier</t>
        </is>
      </c>
      <c r="C106" s="11" t="inlineStr">
        <is>
          <t>ESPAÑA</t>
        </is>
      </c>
      <c r="D106" s="11" t="inlineStr">
        <is>
          <t>CABRERA MORALES FRANCISCO</t>
        </is>
      </c>
      <c r="E106" s="10" t="inlineStr">
        <is>
          <t>BIO0005</t>
        </is>
      </c>
      <c r="F106" s="11" t="inlineStr">
        <is>
          <t>BIORAD-20, 5L</t>
        </is>
      </c>
      <c r="G106" s="10" t="inlineStr">
        <is>
          <t>5</t>
        </is>
      </c>
      <c r="H106" s="12" t="n">
        <v>640</v>
      </c>
      <c r="I106" s="13">
        <f>J106/H106</f>
        <v/>
      </c>
      <c r="J106" s="14" t="n">
        <v>1358.02</v>
      </c>
      <c r="K106" s="15">
        <f>J106/$J$163</f>
        <v/>
      </c>
    </row>
    <row r="107">
      <c r="A107" s="4" t="n">
        <v>103</v>
      </c>
      <c r="B107" s="5" t="inlineStr">
        <is>
          <t>Javier</t>
        </is>
      </c>
      <c r="C107" s="5" t="inlineStr">
        <is>
          <t>ESPAÑA</t>
        </is>
      </c>
      <c r="D107" s="5" t="inlineStr">
        <is>
          <t>CODIMED EXPORT, S.L.</t>
        </is>
      </c>
      <c r="E107" s="4" t="inlineStr">
        <is>
          <t>AGXK1000</t>
        </is>
      </c>
      <c r="F107" s="5" t="inlineStr">
        <is>
          <t>AGROXILATO-K, 1000 L</t>
        </is>
      </c>
      <c r="G107" s="4" t="inlineStr">
        <is>
          <t>1000</t>
        </is>
      </c>
      <c r="H107" s="6" t="n">
        <v>2000</v>
      </c>
      <c r="I107" s="7">
        <f>J107/H107</f>
        <v/>
      </c>
      <c r="J107" s="8" t="n">
        <v>4929.59</v>
      </c>
      <c r="K107" s="9">
        <f>J107/$J$163</f>
        <v/>
      </c>
    </row>
    <row r="108">
      <c r="A108" s="10" t="n">
        <v>104</v>
      </c>
      <c r="B108" s="11" t="inlineStr">
        <is>
          <t>Javier</t>
        </is>
      </c>
      <c r="C108" s="11" t="inlineStr">
        <is>
          <t>ESPAÑA</t>
        </is>
      </c>
      <c r="D108" s="11" t="inlineStr">
        <is>
          <t>CODIMED EXPORT, S.L.</t>
        </is>
      </c>
      <c r="E108" s="10" t="inlineStr">
        <is>
          <t>AN0020</t>
        </is>
      </c>
      <c r="F108" s="11" t="inlineStr">
        <is>
          <t>ALCAPLANT NEW, 20 KG</t>
        </is>
      </c>
      <c r="G108" s="10" t="inlineStr">
        <is>
          <t>20</t>
        </is>
      </c>
      <c r="H108" s="12" t="n">
        <v>1100</v>
      </c>
      <c r="I108" s="13">
        <f>J108/H108</f>
        <v/>
      </c>
      <c r="J108" s="14" t="n">
        <v>1657.96</v>
      </c>
      <c r="K108" s="15">
        <f>J108/$J$163</f>
        <v/>
      </c>
    </row>
    <row r="109">
      <c r="A109" s="4" t="n">
        <v>105</v>
      </c>
      <c r="B109" s="5" t="inlineStr">
        <is>
          <t>Javier</t>
        </is>
      </c>
      <c r="C109" s="5" t="inlineStr">
        <is>
          <t>ESPAÑA</t>
        </is>
      </c>
      <c r="D109" s="5" t="inlineStr">
        <is>
          <t>CODIMED EXPORT, S.L.</t>
        </is>
      </c>
      <c r="E109" s="4" t="inlineStr">
        <is>
          <t>BIO1000</t>
        </is>
      </c>
      <c r="F109" s="5" t="inlineStr">
        <is>
          <t>BIORAD-20, 1000 L</t>
        </is>
      </c>
      <c r="G109" s="4" t="inlineStr">
        <is>
          <t>1000</t>
        </is>
      </c>
      <c r="H109" s="6" t="n">
        <v>1000</v>
      </c>
      <c r="I109" s="7">
        <f>J109/H109</f>
        <v/>
      </c>
      <c r="J109" s="8" t="n">
        <v>2002.36</v>
      </c>
      <c r="K109" s="9">
        <f>J109/$J$163</f>
        <v/>
      </c>
    </row>
    <row r="110">
      <c r="A110" s="10" t="n">
        <v>106</v>
      </c>
      <c r="B110" s="11" t="inlineStr">
        <is>
          <t>Javier</t>
        </is>
      </c>
      <c r="C110" s="11" t="inlineStr">
        <is>
          <t>ESPAÑA</t>
        </is>
      </c>
      <c r="D110" s="11" t="inlineStr">
        <is>
          <t>CODIMED EXPORT, S.L.</t>
        </is>
      </c>
      <c r="E110" s="10" t="inlineStr">
        <is>
          <t>B0020</t>
        </is>
      </c>
      <c r="F110" s="11" t="inlineStr">
        <is>
          <t>BOROCAL, 20 L</t>
        </is>
      </c>
      <c r="G110" s="10" t="inlineStr">
        <is>
          <t>20</t>
        </is>
      </c>
      <c r="H110" s="12" t="n">
        <v>640</v>
      </c>
      <c r="I110" s="13">
        <f>J110/H110</f>
        <v/>
      </c>
      <c r="J110" s="14" t="n">
        <v>1708.68</v>
      </c>
      <c r="K110" s="15">
        <f>J110/$J$163</f>
        <v/>
      </c>
    </row>
    <row r="111">
      <c r="A111" s="4" t="n">
        <v>107</v>
      </c>
      <c r="B111" s="5" t="inlineStr">
        <is>
          <t>Javier</t>
        </is>
      </c>
      <c r="C111" s="5" t="inlineStr">
        <is>
          <t>ESPAÑA</t>
        </is>
      </c>
      <c r="D111" s="5" t="inlineStr">
        <is>
          <t>CODIMED EXPORT, S.L.</t>
        </is>
      </c>
      <c r="E111" s="4" t="inlineStr">
        <is>
          <t>C-CU0020</t>
        </is>
      </c>
      <c r="F111" s="5" t="inlineStr">
        <is>
          <t>CODICOBRE, 20 L</t>
        </is>
      </c>
      <c r="G111" s="4" t="inlineStr">
        <is>
          <t>20</t>
        </is>
      </c>
      <c r="H111" s="6" t="n">
        <v>640</v>
      </c>
      <c r="I111" s="7">
        <f>J111/H111</f>
        <v/>
      </c>
      <c r="J111" s="8" t="n">
        <v>2225.11</v>
      </c>
      <c r="K111" s="9">
        <f>J111/$J$163</f>
        <v/>
      </c>
    </row>
    <row r="112">
      <c r="A112" s="10" t="n">
        <v>108</v>
      </c>
      <c r="B112" s="11" t="inlineStr">
        <is>
          <t>Javier</t>
        </is>
      </c>
      <c r="C112" s="11" t="inlineStr">
        <is>
          <t>ESPAÑA</t>
        </is>
      </c>
      <c r="D112" s="11" t="inlineStr">
        <is>
          <t>CODIMED EXPORT, S.L.</t>
        </is>
      </c>
      <c r="E112" s="10" t="inlineStr">
        <is>
          <t>SS0020</t>
        </is>
      </c>
      <c r="F112" s="11" t="inlineStr">
        <is>
          <t>SALWAX-CA, 20 KG</t>
        </is>
      </c>
      <c r="G112" s="10" t="inlineStr">
        <is>
          <t>20</t>
        </is>
      </c>
      <c r="H112" s="12" t="n">
        <v>800</v>
      </c>
      <c r="I112" s="13">
        <f>J112/H112</f>
        <v/>
      </c>
      <c r="J112" s="14" t="n">
        <v>2757.48</v>
      </c>
      <c r="K112" s="15">
        <f>J112/$J$163</f>
        <v/>
      </c>
    </row>
    <row r="113">
      <c r="A113" s="4" t="n">
        <v>109</v>
      </c>
      <c r="B113" s="5" t="inlineStr">
        <is>
          <t>Javier</t>
        </is>
      </c>
      <c r="C113" s="5" t="inlineStr">
        <is>
          <t>ESPAÑA</t>
        </is>
      </c>
      <c r="D113" s="5" t="inlineStr">
        <is>
          <t>FITOSANITARIOS DRAGO S.L.U</t>
        </is>
      </c>
      <c r="E113" s="4" t="inlineStr">
        <is>
          <t>AVAN0020</t>
        </is>
      </c>
      <c r="F113" s="5" t="inlineStr">
        <is>
          <t>FLORAMEC AVANCE, 20 L</t>
        </is>
      </c>
      <c r="G113" s="4" t="inlineStr">
        <is>
          <t>20</t>
        </is>
      </c>
      <c r="H113" s="6" t="n">
        <v>220</v>
      </c>
      <c r="I113" s="7">
        <f>J113/H113</f>
        <v/>
      </c>
      <c r="J113" s="8" t="n">
        <v>977.03</v>
      </c>
      <c r="K113" s="9">
        <f>J113/$J$163</f>
        <v/>
      </c>
    </row>
    <row r="114">
      <c r="A114" s="10" t="n">
        <v>110</v>
      </c>
      <c r="B114" s="11" t="inlineStr">
        <is>
          <t>Javier</t>
        </is>
      </c>
      <c r="C114" s="11" t="inlineStr">
        <is>
          <t>ESPAÑA</t>
        </is>
      </c>
      <c r="D114" s="11" t="inlineStr">
        <is>
          <t>FITOSANITARIOS DRAGO S.L.U</t>
        </is>
      </c>
      <c r="E114" s="10" t="inlineStr">
        <is>
          <t>S1000</t>
        </is>
      </c>
      <c r="F114" s="11" t="inlineStr">
        <is>
          <t>SALWAX STAR, 1000 L</t>
        </is>
      </c>
      <c r="G114" s="10" t="inlineStr">
        <is>
          <t>1000</t>
        </is>
      </c>
      <c r="H114" s="12" t="n">
        <v>2000</v>
      </c>
      <c r="I114" s="13">
        <f>J114/H114</f>
        <v/>
      </c>
      <c r="J114" s="14" t="n">
        <v>3067.24</v>
      </c>
      <c r="K114" s="15">
        <f>J114/$J$163</f>
        <v/>
      </c>
    </row>
    <row r="115">
      <c r="A115" s="4" t="n">
        <v>111</v>
      </c>
      <c r="B115" s="5" t="inlineStr">
        <is>
          <t>Javier</t>
        </is>
      </c>
      <c r="C115" s="5" t="inlineStr">
        <is>
          <t>ESPAÑA</t>
        </is>
      </c>
      <c r="D115" s="5" t="inlineStr">
        <is>
          <t>FITOXENT S.C.L.V.</t>
        </is>
      </c>
      <c r="E115" s="4" t="inlineStr">
        <is>
          <t>PT0020</t>
        </is>
      </c>
      <c r="F115" s="5" t="inlineStr">
        <is>
          <t>AGROPOTASION, 20 L</t>
        </is>
      </c>
      <c r="G115" s="4" t="inlineStr">
        <is>
          <t>20</t>
        </is>
      </c>
      <c r="H115" s="6" t="n">
        <v>2560</v>
      </c>
      <c r="I115" s="7">
        <f>J115/H115</f>
        <v/>
      </c>
      <c r="J115" s="8" t="n">
        <v>7816.81</v>
      </c>
      <c r="K115" s="9">
        <f>J115/$J$163</f>
        <v/>
      </c>
    </row>
    <row r="116">
      <c r="A116" s="10" t="n">
        <v>112</v>
      </c>
      <c r="B116" s="11" t="inlineStr">
        <is>
          <t>Javier</t>
        </is>
      </c>
      <c r="C116" s="11" t="inlineStr">
        <is>
          <t>ESPAÑA</t>
        </is>
      </c>
      <c r="D116" s="11" t="inlineStr">
        <is>
          <t>FITOXENT S.C.L.V.</t>
        </is>
      </c>
      <c r="E116" s="10" t="inlineStr">
        <is>
          <t>AGXK0020</t>
        </is>
      </c>
      <c r="F116" s="11" t="inlineStr">
        <is>
          <t>AGROXILATO-K, 20 L</t>
        </is>
      </c>
      <c r="G116" s="10" t="inlineStr">
        <is>
          <t>20</t>
        </is>
      </c>
      <c r="H116" s="12" t="n">
        <v>640</v>
      </c>
      <c r="I116" s="13">
        <f>J116/H116</f>
        <v/>
      </c>
      <c r="J116" s="14" t="n">
        <v>1872.61</v>
      </c>
      <c r="K116" s="15">
        <f>J116/$J$163</f>
        <v/>
      </c>
    </row>
    <row r="117">
      <c r="A117" s="4" t="n">
        <v>113</v>
      </c>
      <c r="B117" s="5" t="inlineStr">
        <is>
          <t>Pedro</t>
        </is>
      </c>
      <c r="C117" s="5" t="inlineStr">
        <is>
          <t>ESPAÑA</t>
        </is>
      </c>
      <c r="D117" s="5" t="inlineStr">
        <is>
          <t>ASESORAMIENTO TECNICO DE CULTIVOS, S.L.</t>
        </is>
      </c>
      <c r="E117" s="4" t="inlineStr">
        <is>
          <t>PT0020</t>
        </is>
      </c>
      <c r="F117" s="5" t="inlineStr">
        <is>
          <t>AGROPOTASION, 20 L</t>
        </is>
      </c>
      <c r="G117" s="4" t="inlineStr">
        <is>
          <t>20</t>
        </is>
      </c>
      <c r="H117" s="6" t="n">
        <v>1920</v>
      </c>
      <c r="I117" s="7">
        <f>J117/H117</f>
        <v/>
      </c>
      <c r="J117" s="8" t="n">
        <v>6001.1</v>
      </c>
      <c r="K117" s="9">
        <f>J117/$J$163</f>
        <v/>
      </c>
    </row>
    <row r="118">
      <c r="A118" s="10" t="n">
        <v>114</v>
      </c>
      <c r="B118" s="11" t="inlineStr">
        <is>
          <t>Pedro</t>
        </is>
      </c>
      <c r="C118" s="11" t="inlineStr">
        <is>
          <t>ESPAÑA</t>
        </is>
      </c>
      <c r="D118" s="11" t="inlineStr">
        <is>
          <t>ASESORAMIENTO TECNICO DE CULTIVOS, S.L.</t>
        </is>
      </c>
      <c r="E118" s="10" t="inlineStr">
        <is>
          <t>AGXK0020</t>
        </is>
      </c>
      <c r="F118" s="11" t="inlineStr">
        <is>
          <t>AGROXILATO-K, 20 L</t>
        </is>
      </c>
      <c r="G118" s="10" t="inlineStr">
        <is>
          <t>20</t>
        </is>
      </c>
      <c r="H118" s="12" t="n">
        <v>640</v>
      </c>
      <c r="I118" s="13">
        <f>J118/H118</f>
        <v/>
      </c>
      <c r="J118" s="14" t="n">
        <v>1938.2</v>
      </c>
      <c r="K118" s="15">
        <f>J118/$J$163</f>
        <v/>
      </c>
    </row>
    <row r="119">
      <c r="A119" s="4" t="n">
        <v>115</v>
      </c>
      <c r="B119" s="5" t="inlineStr">
        <is>
          <t>Pedro</t>
        </is>
      </c>
      <c r="C119" s="5" t="inlineStr">
        <is>
          <t>ESPAÑA</t>
        </is>
      </c>
      <c r="D119" s="5" t="inlineStr">
        <is>
          <t>ASESORAMIENTO TECNICO DE CULTIVOS, S.L.</t>
        </is>
      </c>
      <c r="E119" s="4" t="inlineStr">
        <is>
          <t>CBASI0005</t>
        </is>
      </c>
      <c r="F119" s="5" t="inlineStr">
        <is>
          <t>BIOCULTURE BASI, 5 KG</t>
        </is>
      </c>
      <c r="G119" s="4" t="inlineStr">
        <is>
          <t>5</t>
        </is>
      </c>
      <c r="H119" s="6" t="n">
        <v>500</v>
      </c>
      <c r="I119" s="7">
        <f>J119/H119</f>
        <v/>
      </c>
      <c r="J119" s="8" t="n">
        <v>2086.04</v>
      </c>
      <c r="K119" s="9">
        <f>J119/$J$163</f>
        <v/>
      </c>
    </row>
    <row r="120">
      <c r="A120" s="10" t="n">
        <v>116</v>
      </c>
      <c r="B120" s="11" t="inlineStr">
        <is>
          <t>Pedro</t>
        </is>
      </c>
      <c r="C120" s="11" t="inlineStr">
        <is>
          <t>ESPAÑA</t>
        </is>
      </c>
      <c r="D120" s="11" t="inlineStr">
        <is>
          <t>ASESORAMIENTO TECNICO DE CULTIVOS, S.L.</t>
        </is>
      </c>
      <c r="E120" s="10" t="inlineStr">
        <is>
          <t>B0020</t>
        </is>
      </c>
      <c r="F120" s="11" t="inlineStr">
        <is>
          <t>BOROCAL, 20 L</t>
        </is>
      </c>
      <c r="G120" s="10" t="inlineStr">
        <is>
          <t>20</t>
        </is>
      </c>
      <c r="H120" s="12" t="n">
        <v>1280</v>
      </c>
      <c r="I120" s="13">
        <f>J120/H120</f>
        <v/>
      </c>
      <c r="J120" s="14" t="n">
        <v>3659.64</v>
      </c>
      <c r="K120" s="15">
        <f>J120/$J$163</f>
        <v/>
      </c>
    </row>
    <row r="121">
      <c r="A121" s="4" t="n">
        <v>117</v>
      </c>
      <c r="B121" s="5" t="inlineStr">
        <is>
          <t>Pedro</t>
        </is>
      </c>
      <c r="C121" s="5" t="inlineStr">
        <is>
          <t>ESPAÑA</t>
        </is>
      </c>
      <c r="D121" s="5" t="inlineStr">
        <is>
          <t>ASESORAMIENTO TECNICO DE CULTIVOS, S.L.</t>
        </is>
      </c>
      <c r="E121" s="4" t="inlineStr">
        <is>
          <t>B0005</t>
        </is>
      </c>
      <c r="F121" s="5" t="inlineStr">
        <is>
          <t>BOROCAL, 5 L</t>
        </is>
      </c>
      <c r="G121" s="4" t="inlineStr">
        <is>
          <t>5</t>
        </is>
      </c>
      <c r="H121" s="6" t="n">
        <v>300</v>
      </c>
      <c r="I121" s="7">
        <f>J121/H121</f>
        <v/>
      </c>
      <c r="J121" s="8" t="n">
        <v>953.36</v>
      </c>
      <c r="K121" s="9">
        <f>J121/$J$163</f>
        <v/>
      </c>
    </row>
    <row r="122">
      <c r="A122" s="10" t="n">
        <v>118</v>
      </c>
      <c r="B122" s="11" t="inlineStr">
        <is>
          <t>Pedro</t>
        </is>
      </c>
      <c r="C122" s="11" t="inlineStr">
        <is>
          <t>ESPAÑA</t>
        </is>
      </c>
      <c r="D122" s="11" t="inlineStr">
        <is>
          <t>ASESORAMIENTO TECNICO DE CULTIVOS, S.L.</t>
        </is>
      </c>
      <c r="E122" s="10" t="inlineStr">
        <is>
          <t>C-CU0020</t>
        </is>
      </c>
      <c r="F122" s="11" t="inlineStr">
        <is>
          <t>CODICOBRE, 20 L</t>
        </is>
      </c>
      <c r="G122" s="10" t="inlineStr">
        <is>
          <t>20</t>
        </is>
      </c>
      <c r="H122" s="12" t="n">
        <v>1280</v>
      </c>
      <c r="I122" s="13">
        <f>J122/H122</f>
        <v/>
      </c>
      <c r="J122" s="14" t="n">
        <v>4558.61</v>
      </c>
      <c r="K122" s="15">
        <f>J122/$J$163</f>
        <v/>
      </c>
    </row>
    <row r="123">
      <c r="A123" s="4" t="n">
        <v>119</v>
      </c>
      <c r="B123" s="5" t="inlineStr">
        <is>
          <t>Pedro</t>
        </is>
      </c>
      <c r="C123" s="5" t="inlineStr">
        <is>
          <t>ESPAÑA</t>
        </is>
      </c>
      <c r="D123" s="5" t="inlineStr">
        <is>
          <t>COMERCIAL TÉCNICA FITOCARTHAGO, S.L.</t>
        </is>
      </c>
      <c r="E123" s="4" t="inlineStr">
        <is>
          <t>PT0020</t>
        </is>
      </c>
      <c r="F123" s="5" t="inlineStr">
        <is>
          <t>AGROPOTASION, 20 L</t>
        </is>
      </c>
      <c r="G123" s="4" t="inlineStr">
        <is>
          <t>20</t>
        </is>
      </c>
      <c r="H123" s="6" t="n">
        <v>640</v>
      </c>
      <c r="I123" s="7">
        <f>J123/H123</f>
        <v/>
      </c>
      <c r="J123" s="8" t="n">
        <v>1944.58</v>
      </c>
      <c r="K123" s="9">
        <f>J123/$J$163</f>
        <v/>
      </c>
    </row>
    <row r="124">
      <c r="A124" s="10" t="n">
        <v>120</v>
      </c>
      <c r="B124" s="11" t="inlineStr">
        <is>
          <t>Pedro</t>
        </is>
      </c>
      <c r="C124" s="11" t="inlineStr">
        <is>
          <t>ESPAÑA</t>
        </is>
      </c>
      <c r="D124" s="11" t="inlineStr">
        <is>
          <t>COMERCIAL TÉCNICA FITOCARTHAGO, S.L.</t>
        </is>
      </c>
      <c r="E124" s="10" t="inlineStr">
        <is>
          <t>AGXK1000</t>
        </is>
      </c>
      <c r="F124" s="11" t="inlineStr">
        <is>
          <t>AGROXILATO-K, 1000 L</t>
        </is>
      </c>
      <c r="G124" s="10" t="inlineStr">
        <is>
          <t>1000</t>
        </is>
      </c>
      <c r="H124" s="12" t="n">
        <v>2000</v>
      </c>
      <c r="I124" s="13">
        <f>J124/H124</f>
        <v/>
      </c>
      <c r="J124" s="14" t="n">
        <v>4841.53</v>
      </c>
      <c r="K124" s="15">
        <f>J124/$J$163</f>
        <v/>
      </c>
    </row>
    <row r="125">
      <c r="A125" s="4" t="n">
        <v>121</v>
      </c>
      <c r="B125" s="5" t="inlineStr">
        <is>
          <t>Pedro</t>
        </is>
      </c>
      <c r="C125" s="5" t="inlineStr">
        <is>
          <t>ESPAÑA</t>
        </is>
      </c>
      <c r="D125" s="5" t="inlineStr">
        <is>
          <t>COMERCIAL TÉCNICA FITOCARTHAGO, S.L.</t>
        </is>
      </c>
      <c r="E125" s="4" t="inlineStr">
        <is>
          <t>AGXK0200</t>
        </is>
      </c>
      <c r="F125" s="5" t="inlineStr">
        <is>
          <t>AGROXILATO-K, 200 L</t>
        </is>
      </c>
      <c r="G125" s="4" t="inlineStr">
        <is>
          <t>200</t>
        </is>
      </c>
      <c r="H125" s="6" t="n">
        <v>800</v>
      </c>
      <c r="I125" s="7">
        <f>J125/H125</f>
        <v/>
      </c>
      <c r="J125" s="8" t="n">
        <v>2135.85</v>
      </c>
      <c r="K125" s="9">
        <f>J125/$J$163</f>
        <v/>
      </c>
    </row>
    <row r="126">
      <c r="A126" s="10" t="n">
        <v>122</v>
      </c>
      <c r="B126" s="11" t="inlineStr">
        <is>
          <t>Pedro</t>
        </is>
      </c>
      <c r="C126" s="11" t="inlineStr">
        <is>
          <t>ESPAÑA</t>
        </is>
      </c>
      <c r="D126" s="11" t="inlineStr">
        <is>
          <t>COMERCIAL TÉCNICA FITOCARTHAGO, S.L.</t>
        </is>
      </c>
      <c r="E126" s="10" t="inlineStr">
        <is>
          <t>ANAE0020</t>
        </is>
      </c>
      <c r="F126" s="11" t="inlineStr">
        <is>
          <t>ALCAPLANT NEW AE, 20 KG</t>
        </is>
      </c>
      <c r="G126" s="10" t="inlineStr">
        <is>
          <t>20</t>
        </is>
      </c>
      <c r="H126" s="12" t="n">
        <v>2200</v>
      </c>
      <c r="I126" s="13">
        <f>J126/H126</f>
        <v/>
      </c>
      <c r="J126" s="14" t="n">
        <v>3791.53</v>
      </c>
      <c r="K126" s="15">
        <f>J126/$J$163</f>
        <v/>
      </c>
    </row>
    <row r="127">
      <c r="A127" s="4" t="n">
        <v>123</v>
      </c>
      <c r="B127" s="5" t="inlineStr">
        <is>
          <t>Pedro</t>
        </is>
      </c>
      <c r="C127" s="5" t="inlineStr">
        <is>
          <t>ESPAÑA</t>
        </is>
      </c>
      <c r="D127" s="5" t="inlineStr">
        <is>
          <t>COMERCIAL TÉCNICA FITOCARTHAGO, S.L.</t>
        </is>
      </c>
      <c r="E127" s="4" t="inlineStr">
        <is>
          <t>AN0020</t>
        </is>
      </c>
      <c r="F127" s="5" t="inlineStr">
        <is>
          <t>ALCAPLANT NEW, 20 KG</t>
        </is>
      </c>
      <c r="G127" s="4" t="inlineStr">
        <is>
          <t>20</t>
        </is>
      </c>
      <c r="H127" s="6" t="n">
        <v>6500</v>
      </c>
      <c r="I127" s="7">
        <f>J127/H127</f>
        <v/>
      </c>
      <c r="J127" s="8" t="n">
        <v>10220.74</v>
      </c>
      <c r="K127" s="9">
        <f>J127/$J$163</f>
        <v/>
      </c>
    </row>
    <row r="128">
      <c r="A128" s="10" t="n">
        <v>124</v>
      </c>
      <c r="B128" s="11" t="inlineStr">
        <is>
          <t>Pedro</t>
        </is>
      </c>
      <c r="C128" s="11" t="inlineStr">
        <is>
          <t>ESPAÑA</t>
        </is>
      </c>
      <c r="D128" s="11" t="inlineStr">
        <is>
          <t>COMERCIAL TÉCNICA FITOCARTHAGO, S.L.</t>
        </is>
      </c>
      <c r="E128" s="10" t="inlineStr">
        <is>
          <t>AQUOM0020</t>
        </is>
      </c>
      <c r="F128" s="11" t="inlineStr">
        <is>
          <t>AQUOM, 20 L</t>
        </is>
      </c>
      <c r="G128" s="10" t="inlineStr">
        <is>
          <t>20</t>
        </is>
      </c>
      <c r="H128" s="12" t="n">
        <v>100</v>
      </c>
      <c r="I128" s="13">
        <f>J128/H128</f>
        <v/>
      </c>
      <c r="J128" s="14" t="n">
        <v>824.85</v>
      </c>
      <c r="K128" s="15">
        <f>J128/$J$163</f>
        <v/>
      </c>
    </row>
    <row r="129">
      <c r="A129" s="4" t="n">
        <v>125</v>
      </c>
      <c r="B129" s="5" t="inlineStr">
        <is>
          <t>Pedro</t>
        </is>
      </c>
      <c r="C129" s="5" t="inlineStr">
        <is>
          <t>ESPAÑA</t>
        </is>
      </c>
      <c r="D129" s="5" t="inlineStr">
        <is>
          <t>COMERCIAL TÉCNICA FITOCARTHAGO, S.L.</t>
        </is>
      </c>
      <c r="E129" s="4" t="inlineStr">
        <is>
          <t>C-CU0020</t>
        </is>
      </c>
      <c r="F129" s="5" t="inlineStr">
        <is>
          <t>CODICOBRE, 20 L</t>
        </is>
      </c>
      <c r="G129" s="4" t="inlineStr">
        <is>
          <t>20</t>
        </is>
      </c>
      <c r="H129" s="6" t="n">
        <v>200</v>
      </c>
      <c r="I129" s="7">
        <f>J129/H129</f>
        <v/>
      </c>
      <c r="J129" s="8" t="n">
        <v>689.37</v>
      </c>
      <c r="K129" s="9">
        <f>J129/$J$163</f>
        <v/>
      </c>
    </row>
    <row r="130">
      <c r="A130" s="10" t="n">
        <v>126</v>
      </c>
      <c r="B130" s="11" t="inlineStr">
        <is>
          <t>Pedro</t>
        </is>
      </c>
      <c r="C130" s="11" t="inlineStr">
        <is>
          <t>ESPAÑA</t>
        </is>
      </c>
      <c r="D130" s="11" t="inlineStr">
        <is>
          <t>COMERCIAL TÉCNICA FITOCARTHAGO, S.L.</t>
        </is>
      </c>
      <c r="E130" s="10" t="inlineStr">
        <is>
          <t>S1000</t>
        </is>
      </c>
      <c r="F130" s="11" t="inlineStr">
        <is>
          <t>SALWAX STAR, 1000 L</t>
        </is>
      </c>
      <c r="G130" s="10" t="inlineStr">
        <is>
          <t>1000</t>
        </is>
      </c>
      <c r="H130" s="12" t="n">
        <v>3000</v>
      </c>
      <c r="I130" s="13">
        <f>J130/H130</f>
        <v/>
      </c>
      <c r="J130" s="14" t="n">
        <v>4845.76</v>
      </c>
      <c r="K130" s="15">
        <f>J130/$J$163</f>
        <v/>
      </c>
    </row>
    <row r="131">
      <c r="A131" s="4" t="n">
        <v>127</v>
      </c>
      <c r="B131" s="5" t="inlineStr">
        <is>
          <t>Pedro</t>
        </is>
      </c>
      <c r="C131" s="5" t="inlineStr">
        <is>
          <t>ESPAÑA</t>
        </is>
      </c>
      <c r="D131" s="5" t="inlineStr">
        <is>
          <t>COMERCIAL TÉCNICA FITOCARTHAGO, S.L.</t>
        </is>
      </c>
      <c r="E131" s="4" t="inlineStr">
        <is>
          <t>S0020</t>
        </is>
      </c>
      <c r="F131" s="5" t="inlineStr">
        <is>
          <t>SALWAX STAR, 20 L</t>
        </is>
      </c>
      <c r="G131" s="4" t="inlineStr">
        <is>
          <t>20</t>
        </is>
      </c>
      <c r="H131" s="6" t="n">
        <v>1280</v>
      </c>
      <c r="I131" s="7">
        <f>J131/H131</f>
        <v/>
      </c>
      <c r="J131" s="8" t="n">
        <v>2538.33</v>
      </c>
      <c r="K131" s="9">
        <f>J131/$J$163</f>
        <v/>
      </c>
    </row>
    <row r="132">
      <c r="A132" s="10" t="n">
        <v>128</v>
      </c>
      <c r="B132" s="11" t="inlineStr">
        <is>
          <t>Pedro</t>
        </is>
      </c>
      <c r="C132" s="11" t="inlineStr">
        <is>
          <t>ESPAÑA</t>
        </is>
      </c>
      <c r="D132" s="11" t="inlineStr">
        <is>
          <t>COMERCIAL TÉCNICA FITOCARTHAGO, S.L.</t>
        </is>
      </c>
      <c r="E132" s="10" t="inlineStr">
        <is>
          <t>S0200</t>
        </is>
      </c>
      <c r="F132" s="11" t="inlineStr">
        <is>
          <t>SALWAX STAR, 200 L</t>
        </is>
      </c>
      <c r="G132" s="10" t="inlineStr">
        <is>
          <t>200</t>
        </is>
      </c>
      <c r="H132" s="12" t="n">
        <v>1600</v>
      </c>
      <c r="I132" s="13">
        <f>J132/H132</f>
        <v/>
      </c>
      <c r="J132" s="14" t="n">
        <v>3012.51</v>
      </c>
      <c r="K132" s="15">
        <f>J132/$J$163</f>
        <v/>
      </c>
    </row>
    <row r="133">
      <c r="A133" s="4" t="n">
        <v>129</v>
      </c>
      <c r="B133" s="5" t="inlineStr">
        <is>
          <t>Pedro</t>
        </is>
      </c>
      <c r="C133" s="5" t="inlineStr">
        <is>
          <t>ESPAÑA</t>
        </is>
      </c>
      <c r="D133" s="5" t="inlineStr">
        <is>
          <t>COMERCIAL TÉCNICA FITOCARTHAGO, S.L.</t>
        </is>
      </c>
      <c r="E133" s="4" t="inlineStr">
        <is>
          <t>SS0020</t>
        </is>
      </c>
      <c r="F133" s="5" t="inlineStr">
        <is>
          <t>SALWAX-CA, 20 KG</t>
        </is>
      </c>
      <c r="G133" s="4" t="inlineStr">
        <is>
          <t>20</t>
        </is>
      </c>
      <c r="H133" s="6" t="n">
        <v>2400</v>
      </c>
      <c r="I133" s="7">
        <f>J133/H133</f>
        <v/>
      </c>
      <c r="J133" s="8" t="n">
        <v>8559.719999999999</v>
      </c>
      <c r="K133" s="9">
        <f>J133/$J$163</f>
        <v/>
      </c>
    </row>
    <row r="134">
      <c r="A134" s="10" t="n">
        <v>130</v>
      </c>
      <c r="B134" s="11" t="inlineStr">
        <is>
          <t>Pedro</t>
        </is>
      </c>
      <c r="C134" s="11" t="inlineStr">
        <is>
          <t>ESPAÑA</t>
        </is>
      </c>
      <c r="D134" s="11" t="inlineStr">
        <is>
          <t>COMERCIAL TÉCNICA FITOCARTHAGO, S.L.</t>
        </is>
      </c>
      <c r="E134" s="10" t="inlineStr">
        <is>
          <t>SPCE2B0020</t>
        </is>
      </c>
      <c r="F134" s="11" t="inlineStr">
        <is>
          <t>SPRINTENE CON BORO, 20 L</t>
        </is>
      </c>
      <c r="G134" s="10" t="inlineStr">
        <is>
          <t>20</t>
        </is>
      </c>
      <c r="H134" s="12" t="n">
        <v>1280</v>
      </c>
      <c r="I134" s="13">
        <f>J134/H134</f>
        <v/>
      </c>
      <c r="J134" s="14" t="n">
        <v>12891.61</v>
      </c>
      <c r="K134" s="15">
        <f>J134/$J$163</f>
        <v/>
      </c>
    </row>
    <row r="135">
      <c r="A135" s="4" t="n">
        <v>131</v>
      </c>
      <c r="B135" s="5" t="inlineStr">
        <is>
          <t>Pedro</t>
        </is>
      </c>
      <c r="C135" s="5" t="inlineStr">
        <is>
          <t>ESPAÑA</t>
        </is>
      </c>
      <c r="D135" s="5" t="inlineStr">
        <is>
          <t>FITOMURCIA S.L.</t>
        </is>
      </c>
      <c r="E135" s="4" t="inlineStr">
        <is>
          <t>PT0020</t>
        </is>
      </c>
      <c r="F135" s="5" t="inlineStr">
        <is>
          <t>AGROPOTASION, 20 L</t>
        </is>
      </c>
      <c r="G135" s="4" t="inlineStr">
        <is>
          <t>20</t>
        </is>
      </c>
      <c r="H135" s="6" t="n">
        <v>1280</v>
      </c>
      <c r="I135" s="7">
        <f>J135/H135</f>
        <v/>
      </c>
      <c r="J135" s="8" t="n">
        <v>3723</v>
      </c>
      <c r="K135" s="9">
        <f>J135/$J$163</f>
        <v/>
      </c>
    </row>
    <row r="136">
      <c r="A136" s="10" t="n">
        <v>132</v>
      </c>
      <c r="B136" s="11" t="inlineStr">
        <is>
          <t>Pedro</t>
        </is>
      </c>
      <c r="C136" s="11" t="inlineStr">
        <is>
          <t>ESPAÑA</t>
        </is>
      </c>
      <c r="D136" s="11" t="inlineStr">
        <is>
          <t>FITOMURCIA S.L.</t>
        </is>
      </c>
      <c r="E136" s="10" t="inlineStr">
        <is>
          <t>G30020</t>
        </is>
      </c>
      <c r="F136" s="11" t="inlineStr">
        <is>
          <t>GREEN-UP, 20 L</t>
        </is>
      </c>
      <c r="G136" s="10" t="inlineStr">
        <is>
          <t>20</t>
        </is>
      </c>
      <c r="H136" s="12" t="n">
        <v>1280</v>
      </c>
      <c r="I136" s="13">
        <f>J136/H136</f>
        <v/>
      </c>
      <c r="J136" s="14" t="n">
        <v>5904.2</v>
      </c>
      <c r="K136" s="15">
        <f>J136/$J$163</f>
        <v/>
      </c>
    </row>
    <row r="137">
      <c r="A137" s="4" t="n">
        <v>133</v>
      </c>
      <c r="B137" s="5" t="inlineStr">
        <is>
          <t>Pedro</t>
        </is>
      </c>
      <c r="C137" s="5" t="inlineStr">
        <is>
          <t>ESPAÑA</t>
        </is>
      </c>
      <c r="D137" s="5" t="inlineStr">
        <is>
          <t>FITOMURCIA S.L.</t>
        </is>
      </c>
      <c r="E137" s="4" t="inlineStr">
        <is>
          <t>HST0020</t>
        </is>
      </c>
      <c r="F137" s="5" t="inlineStr">
        <is>
          <t>HIDROSTRESS-40, 20 L</t>
        </is>
      </c>
      <c r="G137" s="4" t="inlineStr">
        <is>
          <t>20</t>
        </is>
      </c>
      <c r="H137" s="6" t="n">
        <v>1280</v>
      </c>
      <c r="I137" s="7">
        <f>J137/H137</f>
        <v/>
      </c>
      <c r="J137" s="8" t="n">
        <v>6974.27</v>
      </c>
      <c r="K137" s="9">
        <f>J137/$J$163</f>
        <v/>
      </c>
    </row>
    <row r="138">
      <c r="A138" s="10" t="n">
        <v>134</v>
      </c>
      <c r="B138" s="11" t="inlineStr">
        <is>
          <t>Pedro</t>
        </is>
      </c>
      <c r="C138" s="11" t="inlineStr">
        <is>
          <t>ESPAÑA</t>
        </is>
      </c>
      <c r="D138" s="11" t="inlineStr">
        <is>
          <t>FITOMURCIA S.L.</t>
        </is>
      </c>
      <c r="E138" s="10" t="inlineStr">
        <is>
          <t>N0020</t>
        </is>
      </c>
      <c r="F138" s="11" t="inlineStr">
        <is>
          <t>NUTRICALE, 20 L</t>
        </is>
      </c>
      <c r="G138" s="10" t="inlineStr">
        <is>
          <t>20</t>
        </is>
      </c>
      <c r="H138" s="12" t="n">
        <v>1280</v>
      </c>
      <c r="I138" s="13">
        <f>J138/H138</f>
        <v/>
      </c>
      <c r="J138" s="14" t="n">
        <v>2700</v>
      </c>
      <c r="K138" s="15">
        <f>J138/$J$163</f>
        <v/>
      </c>
    </row>
    <row r="139">
      <c r="A139" s="4" t="n">
        <v>135</v>
      </c>
      <c r="B139" s="5" t="inlineStr">
        <is>
          <t>Pedro</t>
        </is>
      </c>
      <c r="C139" s="5" t="inlineStr">
        <is>
          <t>ESPAÑA</t>
        </is>
      </c>
      <c r="D139" s="5" t="inlineStr">
        <is>
          <t>FITOMURCIA S.L.</t>
        </is>
      </c>
      <c r="E139" s="4" t="inlineStr">
        <is>
          <t>S1000</t>
        </is>
      </c>
      <c r="F139" s="5" t="inlineStr">
        <is>
          <t>SALWAX STAR, 1000 L</t>
        </is>
      </c>
      <c r="G139" s="4" t="inlineStr">
        <is>
          <t>1000</t>
        </is>
      </c>
      <c r="H139" s="6" t="n">
        <v>9000</v>
      </c>
      <c r="I139" s="7">
        <f>J139/H139</f>
        <v/>
      </c>
      <c r="J139" s="8" t="n">
        <v>14122.68</v>
      </c>
      <c r="K139" s="9">
        <f>J139/$J$163</f>
        <v/>
      </c>
    </row>
    <row r="140">
      <c r="A140" s="10" t="n">
        <v>136</v>
      </c>
      <c r="B140" s="11" t="inlineStr">
        <is>
          <t>Pedro</t>
        </is>
      </c>
      <c r="C140" s="11" t="inlineStr">
        <is>
          <t>ESPAÑA</t>
        </is>
      </c>
      <c r="D140" s="11" t="inlineStr">
        <is>
          <t>FITOMURCIA S.L.</t>
        </is>
      </c>
      <c r="E140" s="10" t="inlineStr">
        <is>
          <t>SS0020</t>
        </is>
      </c>
      <c r="F140" s="11" t="inlineStr">
        <is>
          <t>SALWAX-CA, 20 KG</t>
        </is>
      </c>
      <c r="G140" s="10" t="inlineStr">
        <is>
          <t>20</t>
        </is>
      </c>
      <c r="H140" s="12" t="n">
        <v>800</v>
      </c>
      <c r="I140" s="13">
        <f>J140/H140</f>
        <v/>
      </c>
      <c r="J140" s="14" t="n">
        <v>2719.29</v>
      </c>
      <c r="K140" s="15">
        <f>J140/$J$163</f>
        <v/>
      </c>
    </row>
    <row r="141">
      <c r="A141" s="4" t="n">
        <v>137</v>
      </c>
      <c r="B141" s="5" t="inlineStr">
        <is>
          <t>Ricardo</t>
        </is>
      </c>
      <c r="C141" s="5" t="inlineStr">
        <is>
          <t>ITALIA</t>
        </is>
      </c>
      <c r="D141" s="5" t="inlineStr">
        <is>
          <t>AIFAR S.P.A</t>
        </is>
      </c>
      <c r="E141" s="4" t="inlineStr">
        <is>
          <t>AN0005IT</t>
        </is>
      </c>
      <c r="F141" s="5" t="inlineStr">
        <is>
          <t>ALCAPLANT NEW, 5 KG</t>
        </is>
      </c>
      <c r="G141" s="4" t="inlineStr">
        <is>
          <t>5</t>
        </is>
      </c>
      <c r="H141" s="6" t="n">
        <v>200</v>
      </c>
      <c r="I141" s="7">
        <f>J141/H141</f>
        <v/>
      </c>
      <c r="J141" s="8" t="n">
        <v>378.56</v>
      </c>
      <c r="K141" s="9">
        <f>J141/$J$163</f>
        <v/>
      </c>
    </row>
    <row r="142">
      <c r="A142" s="10" t="n">
        <v>138</v>
      </c>
      <c r="B142" s="11" t="inlineStr">
        <is>
          <t>Ricardo</t>
        </is>
      </c>
      <c r="C142" s="11" t="inlineStr">
        <is>
          <t>ECUADOR (incluidas las Islas Galápagos)</t>
        </is>
      </c>
      <c r="D142" s="11" t="inlineStr">
        <is>
          <t>ECUAQUIMICA</t>
        </is>
      </c>
      <c r="E142" s="10" t="inlineStr">
        <is>
          <t>AN0005EC</t>
        </is>
      </c>
      <c r="F142" s="11" t="inlineStr">
        <is>
          <t>ALCAPLANT</t>
        </is>
      </c>
      <c r="G142" s="10" t="inlineStr">
        <is>
          <t>5</t>
        </is>
      </c>
      <c r="H142" s="12" t="n">
        <v>4400</v>
      </c>
      <c r="I142" s="13">
        <f>J142/H142</f>
        <v/>
      </c>
      <c r="J142" s="14" t="n">
        <v>7922.77</v>
      </c>
      <c r="K142" s="15">
        <f>J142/$J$163</f>
        <v/>
      </c>
    </row>
    <row r="143">
      <c r="A143" s="4" t="n">
        <v>139</v>
      </c>
      <c r="B143" s="5" t="inlineStr">
        <is>
          <t>Ricardo</t>
        </is>
      </c>
      <c r="C143" s="5" t="inlineStr">
        <is>
          <t>ECUADOR (incluidas las Islas Galápagos)</t>
        </is>
      </c>
      <c r="D143" s="5" t="inlineStr">
        <is>
          <t>ECUAQUIMICA</t>
        </is>
      </c>
      <c r="E143" s="4" t="inlineStr">
        <is>
          <t>AN0020EC</t>
        </is>
      </c>
      <c r="F143" s="5" t="inlineStr">
        <is>
          <t>ALCAPLANT</t>
        </is>
      </c>
      <c r="G143" s="4" t="inlineStr">
        <is>
          <t>20</t>
        </is>
      </c>
      <c r="H143" s="6" t="n">
        <v>10000</v>
      </c>
      <c r="I143" s="7">
        <f>J143/H143</f>
        <v/>
      </c>
      <c r="J143" s="8" t="n">
        <v>16218.89</v>
      </c>
      <c r="K143" s="9">
        <f>J143/$J$163</f>
        <v/>
      </c>
    </row>
    <row r="144">
      <c r="A144" s="10" t="n">
        <v>140</v>
      </c>
      <c r="B144" s="11" t="inlineStr">
        <is>
          <t>Ricardo</t>
        </is>
      </c>
      <c r="C144" s="11" t="inlineStr">
        <is>
          <t>ECUADOR (incluidas las Islas Galápagos)</t>
        </is>
      </c>
      <c r="D144" s="11" t="inlineStr">
        <is>
          <t>ECUAQUIMICA</t>
        </is>
      </c>
      <c r="E144" s="10" t="inlineStr">
        <is>
          <t>C-CU0001EC</t>
        </is>
      </c>
      <c r="F144" s="11" t="inlineStr">
        <is>
          <t>CODICOBRE</t>
        </is>
      </c>
      <c r="G144" s="10" t="inlineStr">
        <is>
          <t>1</t>
        </is>
      </c>
      <c r="H144" s="12" t="n">
        <v>2376</v>
      </c>
      <c r="I144" s="13">
        <f>J144/H144</f>
        <v/>
      </c>
      <c r="J144" s="14" t="n">
        <v>11538.97</v>
      </c>
      <c r="K144" s="15">
        <f>J144/$J$163</f>
        <v/>
      </c>
    </row>
    <row r="145">
      <c r="A145" s="4" t="n">
        <v>141</v>
      </c>
      <c r="B145" s="5" t="inlineStr">
        <is>
          <t>Ricardo</t>
        </is>
      </c>
      <c r="C145" s="5" t="inlineStr">
        <is>
          <t>COSTA RICA</t>
        </is>
      </c>
      <c r="D145" s="5" t="inlineStr">
        <is>
          <t>EUROFERTIL, S.A.</t>
        </is>
      </c>
      <c r="E145" s="4" t="inlineStr">
        <is>
          <t>PT1000CR</t>
        </is>
      </c>
      <c r="F145" s="5" t="inlineStr">
        <is>
          <t>AGROPOTASION, 1000 L</t>
        </is>
      </c>
      <c r="G145" s="4" t="inlineStr">
        <is>
          <t>1000</t>
        </is>
      </c>
      <c r="H145" s="6" t="n">
        <v>4000</v>
      </c>
      <c r="I145" s="7">
        <f>J145/H145</f>
        <v/>
      </c>
      <c r="J145" s="8" t="n">
        <v>13388.91</v>
      </c>
      <c r="K145" s="9">
        <f>J145/$J$163</f>
        <v/>
      </c>
    </row>
    <row r="146">
      <c r="A146" s="10" t="n">
        <v>142</v>
      </c>
      <c r="B146" s="11" t="inlineStr">
        <is>
          <t>Ricardo</t>
        </is>
      </c>
      <c r="C146" s="11" t="inlineStr">
        <is>
          <t>COSTA RICA</t>
        </is>
      </c>
      <c r="D146" s="11" t="inlineStr">
        <is>
          <t>EUROFERTIL, S.A.</t>
        </is>
      </c>
      <c r="E146" s="10" t="inlineStr">
        <is>
          <t>AGXCR1000CR</t>
        </is>
      </c>
      <c r="F146" s="11" t="inlineStr">
        <is>
          <t>AGROXILATO-K (0-5-20), 1000 Lts.</t>
        </is>
      </c>
      <c r="G146" s="10" t="inlineStr">
        <is>
          <t>1000</t>
        </is>
      </c>
      <c r="H146" s="12" t="n">
        <v>4000</v>
      </c>
      <c r="I146" s="13">
        <f>J146/H146</f>
        <v/>
      </c>
      <c r="J146" s="14" t="n">
        <v>11635.6</v>
      </c>
      <c r="K146" s="15">
        <f>J146/$J$163</f>
        <v/>
      </c>
    </row>
    <row r="147">
      <c r="A147" s="4" t="n">
        <v>143</v>
      </c>
      <c r="B147" s="5" t="inlineStr">
        <is>
          <t>Ricardo</t>
        </is>
      </c>
      <c r="C147" s="5" t="inlineStr">
        <is>
          <t>COSTA RICA</t>
        </is>
      </c>
      <c r="D147" s="5" t="inlineStr">
        <is>
          <t>EUROFERTIL, S.A.</t>
        </is>
      </c>
      <c r="E147" s="4" t="inlineStr">
        <is>
          <t>AGMG0005CR</t>
        </is>
      </c>
      <c r="F147" s="5" t="inlineStr">
        <is>
          <t>AGROXILATO-MG, 5 KG (EXPORT)</t>
        </is>
      </c>
      <c r="G147" s="4" t="inlineStr">
        <is>
          <t>5</t>
        </is>
      </c>
      <c r="H147" s="6" t="n">
        <v>500</v>
      </c>
      <c r="I147" s="7">
        <f>J147/H147</f>
        <v/>
      </c>
      <c r="J147" s="8" t="n">
        <v>2605.06</v>
      </c>
      <c r="K147" s="9">
        <f>J147/$J$163</f>
        <v/>
      </c>
    </row>
    <row r="148">
      <c r="A148" s="10" t="n">
        <v>144</v>
      </c>
      <c r="B148" s="11" t="inlineStr">
        <is>
          <t>Ricardo</t>
        </is>
      </c>
      <c r="C148" s="11" t="inlineStr">
        <is>
          <t>COSTA RICA</t>
        </is>
      </c>
      <c r="D148" s="11" t="inlineStr">
        <is>
          <t>EUROFERTIL, S.A.</t>
        </is>
      </c>
      <c r="E148" s="10" t="inlineStr">
        <is>
          <t>AGZN0005CR</t>
        </is>
      </c>
      <c r="F148" s="11" t="inlineStr">
        <is>
          <t>AGROXILATO-ZN 16%,  5 KG (EXPORT)</t>
        </is>
      </c>
      <c r="G148" s="10" t="inlineStr">
        <is>
          <t>5</t>
        </is>
      </c>
      <c r="H148" s="12" t="n">
        <v>1000</v>
      </c>
      <c r="I148" s="13">
        <f>J148/H148</f>
        <v/>
      </c>
      <c r="J148" s="14" t="n">
        <v>5588.68</v>
      </c>
      <c r="K148" s="15">
        <f>J148/$J$163</f>
        <v/>
      </c>
    </row>
    <row r="149">
      <c r="A149" s="4" t="n">
        <v>145</v>
      </c>
      <c r="B149" s="5" t="inlineStr">
        <is>
          <t>Ricardo</t>
        </is>
      </c>
      <c r="C149" s="5" t="inlineStr">
        <is>
          <t>COSTA RICA</t>
        </is>
      </c>
      <c r="D149" s="5" t="inlineStr">
        <is>
          <t>EUROFERTIL, S.A.</t>
        </is>
      </c>
      <c r="E149" s="4" t="inlineStr">
        <is>
          <t>AN0020CR</t>
        </is>
      </c>
      <c r="F149" s="5" t="inlineStr">
        <is>
          <t>ALCAPLANT NEW, 20 KG</t>
        </is>
      </c>
      <c r="G149" s="4" t="inlineStr">
        <is>
          <t>20</t>
        </is>
      </c>
      <c r="H149" s="6" t="n">
        <v>11000</v>
      </c>
      <c r="I149" s="7">
        <f>J149/H149</f>
        <v/>
      </c>
      <c r="J149" s="8" t="n">
        <v>18081.02</v>
      </c>
      <c r="K149" s="9">
        <f>J149/$J$163</f>
        <v/>
      </c>
    </row>
    <row r="150">
      <c r="A150" s="10" t="n">
        <v>146</v>
      </c>
      <c r="B150" s="11" t="inlineStr">
        <is>
          <t>Ricardo</t>
        </is>
      </c>
      <c r="C150" s="11" t="inlineStr">
        <is>
          <t>COSTA RICA</t>
        </is>
      </c>
      <c r="D150" s="11" t="inlineStr">
        <is>
          <t>EUROFERTIL, S.A.</t>
        </is>
      </c>
      <c r="E150" s="10" t="inlineStr">
        <is>
          <t>AN0005CR</t>
        </is>
      </c>
      <c r="F150" s="11" t="inlineStr">
        <is>
          <t>ALCAPLANT NEW, 5 KG</t>
        </is>
      </c>
      <c r="G150" s="10" t="inlineStr">
        <is>
          <t>5</t>
        </is>
      </c>
      <c r="H150" s="12" t="n">
        <v>11000</v>
      </c>
      <c r="I150" s="13">
        <f>J150/H150</f>
        <v/>
      </c>
      <c r="J150" s="14" t="n">
        <v>20163.07</v>
      </c>
      <c r="K150" s="15">
        <f>J150/$J$163</f>
        <v/>
      </c>
    </row>
    <row r="151">
      <c r="A151" s="4" t="n">
        <v>147</v>
      </c>
      <c r="B151" s="5" t="inlineStr">
        <is>
          <t>Ricardo</t>
        </is>
      </c>
      <c r="C151" s="5" t="inlineStr">
        <is>
          <t>COSTA RICA</t>
        </is>
      </c>
      <c r="D151" s="5" t="inlineStr">
        <is>
          <t>EUROFERTIL, S.A.</t>
        </is>
      </c>
      <c r="E151" s="4" t="inlineStr">
        <is>
          <t>B1000CR</t>
        </is>
      </c>
      <c r="F151" s="5" t="inlineStr">
        <is>
          <t>BOROCAL, 1000 L</t>
        </is>
      </c>
      <c r="G151" s="4" t="inlineStr">
        <is>
          <t>1000</t>
        </is>
      </c>
      <c r="H151" s="6" t="n">
        <v>3000</v>
      </c>
      <c r="I151" s="7">
        <f>J151/H151</f>
        <v/>
      </c>
      <c r="J151" s="8" t="n">
        <v>10328.59</v>
      </c>
      <c r="K151" s="9">
        <f>J151/$J$163</f>
        <v/>
      </c>
    </row>
    <row r="152">
      <c r="A152" s="10" t="n">
        <v>148</v>
      </c>
      <c r="B152" s="11" t="inlineStr">
        <is>
          <t>Ricardo</t>
        </is>
      </c>
      <c r="C152" s="11" t="inlineStr">
        <is>
          <t>COSTA RICA</t>
        </is>
      </c>
      <c r="D152" s="11" t="inlineStr">
        <is>
          <t>EUROFERTIL, S.A.</t>
        </is>
      </c>
      <c r="E152" s="10" t="inlineStr">
        <is>
          <t>A-500005CR</t>
        </is>
      </c>
      <c r="F152" s="11" t="inlineStr">
        <is>
          <t>CODIORGAN-A50, 5 KG</t>
        </is>
      </c>
      <c r="G152" s="10" t="inlineStr">
        <is>
          <t>5</t>
        </is>
      </c>
      <c r="H152" s="12" t="n">
        <v>1000</v>
      </c>
      <c r="I152" s="13">
        <f>J152/H152</f>
        <v/>
      </c>
      <c r="J152" s="14" t="n">
        <v>4552.63</v>
      </c>
      <c r="K152" s="15">
        <f>J152/$J$163</f>
        <v/>
      </c>
    </row>
    <row r="153">
      <c r="A153" s="4" t="n">
        <v>149</v>
      </c>
      <c r="B153" s="5" t="inlineStr">
        <is>
          <t>Ricardo</t>
        </is>
      </c>
      <c r="C153" s="5" t="inlineStr">
        <is>
          <t>COSTA RICA</t>
        </is>
      </c>
      <c r="D153" s="5" t="inlineStr">
        <is>
          <t>EUROFERTIL, S.A.</t>
        </is>
      </c>
      <c r="E153" s="4" t="inlineStr">
        <is>
          <t>CODIR1000CR</t>
        </is>
      </c>
      <c r="F153" s="5" t="inlineStr">
        <is>
          <t>CODIRESIST, 1000 L</t>
        </is>
      </c>
      <c r="G153" s="4" t="inlineStr">
        <is>
          <t>1000</t>
        </is>
      </c>
      <c r="H153" s="6" t="n">
        <v>1000</v>
      </c>
      <c r="I153" s="7">
        <f>J153/H153</f>
        <v/>
      </c>
      <c r="J153" s="8" t="n">
        <v>2908.9</v>
      </c>
      <c r="K153" s="9">
        <f>J153/$J$163</f>
        <v/>
      </c>
    </row>
    <row r="154">
      <c r="A154" s="10" t="n">
        <v>150</v>
      </c>
      <c r="B154" s="11" t="inlineStr">
        <is>
          <t>Ricardo</t>
        </is>
      </c>
      <c r="C154" s="11" t="inlineStr">
        <is>
          <t>COSTA RICA</t>
        </is>
      </c>
      <c r="D154" s="11" t="inlineStr">
        <is>
          <t>EUROFERTIL, S.A.</t>
        </is>
      </c>
      <c r="E154" s="10" t="inlineStr">
        <is>
          <t>DECA0005CR</t>
        </is>
      </c>
      <c r="F154" s="11" t="inlineStr">
        <is>
          <t>DEFENS-CA-AE, 5 KG</t>
        </is>
      </c>
      <c r="G154" s="10" t="inlineStr">
        <is>
          <t>5</t>
        </is>
      </c>
      <c r="H154" s="12" t="n">
        <v>1100</v>
      </c>
      <c r="I154" s="13">
        <f>J154/H154</f>
        <v/>
      </c>
      <c r="J154" s="14" t="n">
        <v>2772.42</v>
      </c>
      <c r="K154" s="15">
        <f>J154/$J$163</f>
        <v/>
      </c>
    </row>
    <row r="155">
      <c r="A155" s="4" t="n">
        <v>151</v>
      </c>
      <c r="B155" s="5" t="inlineStr">
        <is>
          <t>Ricardo</t>
        </is>
      </c>
      <c r="C155" s="5" t="inlineStr">
        <is>
          <t>COSTA RICA</t>
        </is>
      </c>
      <c r="D155" s="5" t="inlineStr">
        <is>
          <t>EUROFERTIL, S.A.</t>
        </is>
      </c>
      <c r="E155" s="4" t="inlineStr">
        <is>
          <t>FLORCR1000CR</t>
        </is>
      </c>
      <c r="F155" s="5" t="inlineStr">
        <is>
          <t>FLORAMEC CR, 1000 L</t>
        </is>
      </c>
      <c r="G155" s="4" t="inlineStr">
        <is>
          <t>1000</t>
        </is>
      </c>
      <c r="H155" s="6" t="n">
        <v>3000</v>
      </c>
      <c r="I155" s="7">
        <f>J155/H155</f>
        <v/>
      </c>
      <c r="J155" s="8" t="n">
        <v>6784.11</v>
      </c>
      <c r="K155" s="9">
        <f>J155/$J$163</f>
        <v/>
      </c>
    </row>
    <row r="156">
      <c r="A156" s="10" t="n">
        <v>152</v>
      </c>
      <c r="B156" s="11" t="inlineStr">
        <is>
          <t>Ricardo</t>
        </is>
      </c>
      <c r="C156" s="11" t="inlineStr">
        <is>
          <t>COSTA RICA</t>
        </is>
      </c>
      <c r="D156" s="11" t="inlineStr">
        <is>
          <t>EUROFERTIL, S.A.</t>
        </is>
      </c>
      <c r="E156" s="10" t="inlineStr">
        <is>
          <t>G1000CR</t>
        </is>
      </c>
      <c r="F156" s="11" t="inlineStr">
        <is>
          <t>GREEN-UP EXPORTACION, 1000 L</t>
        </is>
      </c>
      <c r="G156" s="10" t="inlineStr">
        <is>
          <t>1000</t>
        </is>
      </c>
      <c r="H156" s="12" t="n">
        <v>1000</v>
      </c>
      <c r="I156" s="13">
        <f>J156/H156</f>
        <v/>
      </c>
      <c r="J156" s="14" t="n">
        <v>4672.17</v>
      </c>
      <c r="K156" s="15">
        <f>J156/$J$163</f>
        <v/>
      </c>
    </row>
    <row r="157">
      <c r="A157" s="4" t="n">
        <v>153</v>
      </c>
      <c r="B157" s="5" t="inlineStr">
        <is>
          <t>Ricardo</t>
        </is>
      </c>
      <c r="C157" s="5" t="inlineStr">
        <is>
          <t>COSTA RICA</t>
        </is>
      </c>
      <c r="D157" s="5" t="inlineStr">
        <is>
          <t>EUROFERTIL, S.A.</t>
        </is>
      </c>
      <c r="E157" s="4" t="inlineStr">
        <is>
          <t>SS0001CR</t>
        </is>
      </c>
      <c r="F157" s="5" t="inlineStr">
        <is>
          <t>SALWAX-CA, 1 KG</t>
        </is>
      </c>
      <c r="G157" s="4" t="inlineStr">
        <is>
          <t>1</t>
        </is>
      </c>
      <c r="H157" s="6" t="n">
        <v>1056</v>
      </c>
      <c r="I157" s="7">
        <f>J157/H157</f>
        <v/>
      </c>
      <c r="J157" s="8" t="n">
        <v>4681.34</v>
      </c>
      <c r="K157" s="9">
        <f>J157/$J$163</f>
        <v/>
      </c>
    </row>
    <row r="158">
      <c r="A158" s="10" t="n">
        <v>154</v>
      </c>
      <c r="B158" s="11" t="inlineStr">
        <is>
          <t>Ricardo</t>
        </is>
      </c>
      <c r="C158" s="11" t="inlineStr">
        <is>
          <t>COSTA RICA</t>
        </is>
      </c>
      <c r="D158" s="11" t="inlineStr">
        <is>
          <t>EUROFERTIL, S.A.</t>
        </is>
      </c>
      <c r="E158" s="10" t="inlineStr">
        <is>
          <t>SS0020CR</t>
        </is>
      </c>
      <c r="F158" s="11" t="inlineStr">
        <is>
          <t>SALWAX-CA, 20 KG</t>
        </is>
      </c>
      <c r="G158" s="10" t="inlineStr">
        <is>
          <t>20</t>
        </is>
      </c>
      <c r="H158" s="12" t="n">
        <v>2760</v>
      </c>
      <c r="I158" s="13">
        <f>J158/H158</f>
        <v/>
      </c>
      <c r="J158" s="14" t="n">
        <v>10228.17</v>
      </c>
      <c r="K158" s="15">
        <f>J158/$J$163</f>
        <v/>
      </c>
    </row>
    <row r="159">
      <c r="A159" s="4" t="n">
        <v>155</v>
      </c>
      <c r="B159" s="5" t="inlineStr">
        <is>
          <t>Ricardo</t>
        </is>
      </c>
      <c r="C159" s="5" t="inlineStr">
        <is>
          <t>COSTA RICA</t>
        </is>
      </c>
      <c r="D159" s="5" t="inlineStr">
        <is>
          <t>EUROFERTIL, S.A.</t>
        </is>
      </c>
      <c r="E159" s="4" t="inlineStr">
        <is>
          <t>SS0005CR</t>
        </is>
      </c>
      <c r="F159" s="5" t="inlineStr">
        <is>
          <t>SALWAX-CA, 5 KG</t>
        </is>
      </c>
      <c r="G159" s="4" t="inlineStr">
        <is>
          <t>5</t>
        </is>
      </c>
      <c r="H159" s="6" t="n">
        <v>1000</v>
      </c>
      <c r="I159" s="7">
        <f>J159/H159</f>
        <v/>
      </c>
      <c r="J159" s="8" t="n">
        <v>3666.01</v>
      </c>
      <c r="K159" s="9">
        <f>J159/$J$163</f>
        <v/>
      </c>
    </row>
    <row r="160">
      <c r="A160" s="10" t="n">
        <v>156</v>
      </c>
      <c r="B160" s="11" t="inlineStr">
        <is>
          <t>Ricardo</t>
        </is>
      </c>
      <c r="C160" s="11" t="inlineStr">
        <is>
          <t>COSTA RICA</t>
        </is>
      </c>
      <c r="D160" s="11" t="inlineStr">
        <is>
          <t>EUROFERTIL, S.A.</t>
        </is>
      </c>
      <c r="E160" s="10" t="inlineStr">
        <is>
          <t>SPCE20005CR</t>
        </is>
      </c>
      <c r="F160" s="11" t="inlineStr">
        <is>
          <t>SPRINTENE ZNMN 5L</t>
        </is>
      </c>
      <c r="G160" s="10" t="inlineStr">
        <is>
          <t>5</t>
        </is>
      </c>
      <c r="H160" s="12" t="n">
        <v>400</v>
      </c>
      <c r="I160" s="13">
        <f>J160/H160</f>
        <v/>
      </c>
      <c r="J160" s="14" t="n">
        <v>4781.75</v>
      </c>
      <c r="K160" s="15">
        <f>J160/$J$163</f>
        <v/>
      </c>
    </row>
    <row r="161">
      <c r="A161" s="4" t="n">
        <v>157</v>
      </c>
      <c r="B161" s="5" t="inlineStr">
        <is>
          <t>Ricardo</t>
        </is>
      </c>
      <c r="C161" s="5" t="inlineStr">
        <is>
          <t>NETHERLANS</t>
        </is>
      </c>
      <c r="D161" s="5" t="inlineStr">
        <is>
          <t>LEKKERBIO B.V.</t>
        </is>
      </c>
      <c r="E161" s="4" t="inlineStr">
        <is>
          <t>AGXK0020MX</t>
        </is>
      </c>
      <c r="F161" s="5" t="inlineStr">
        <is>
          <t>AGROXILATO-K</t>
        </is>
      </c>
      <c r="G161" s="4" t="inlineStr">
        <is>
          <t>20</t>
        </is>
      </c>
      <c r="H161" s="6" t="n">
        <v>9600</v>
      </c>
      <c r="I161" s="7">
        <f>J161/H161</f>
        <v/>
      </c>
      <c r="J161" s="8" t="n">
        <v>29551.25</v>
      </c>
      <c r="K161" s="9">
        <f>J161/$J$163</f>
        <v/>
      </c>
    </row>
    <row r="162">
      <c r="A162" s="10" t="n">
        <v>158</v>
      </c>
      <c r="B162" s="11" t="inlineStr">
        <is>
          <t>Ricardo</t>
        </is>
      </c>
      <c r="C162" s="11" t="inlineStr">
        <is>
          <t>NETHERLANS</t>
        </is>
      </c>
      <c r="D162" s="11" t="inlineStr">
        <is>
          <t>LEKKERBIO B.V.</t>
        </is>
      </c>
      <c r="E162" s="10" t="inlineStr">
        <is>
          <t>AO0020MX</t>
        </is>
      </c>
      <c r="F162" s="11" t="inlineStr">
        <is>
          <t>ALCAPLANT OMRI</t>
        </is>
      </c>
      <c r="G162" s="10" t="inlineStr">
        <is>
          <t>20</t>
        </is>
      </c>
      <c r="H162" s="12" t="n">
        <v>44000</v>
      </c>
      <c r="I162" s="13">
        <f>J162/H162</f>
        <v/>
      </c>
      <c r="J162" s="14" t="n">
        <v>72096.75999999999</v>
      </c>
      <c r="K162" s="15">
        <f>J162/$J$163</f>
        <v/>
      </c>
    </row>
    <row r="163" ht="22" customHeight="1">
      <c r="A163" s="16" t="inlineStr"/>
      <c r="B163" s="17" t="inlineStr">
        <is>
          <t>TOTAL</t>
        </is>
      </c>
      <c r="C163" s="18" t="inlineStr">
        <is>
          <t>-</t>
        </is>
      </c>
      <c r="D163" s="17" t="inlineStr">
        <is>
          <t>TOTAL OCTUBRE 2026 (158 líneas activas)</t>
        </is>
      </c>
      <c r="E163" s="18" t="inlineStr">
        <is>
          <t>-</t>
        </is>
      </c>
      <c r="F163" s="19" t="inlineStr">
        <is>
          <t>Consolidado Presupuesto P&amp;L</t>
        </is>
      </c>
      <c r="G163" s="18" t="inlineStr">
        <is>
          <t>-</t>
        </is>
      </c>
      <c r="H163" s="20">
        <f>SUM(H5:H162)</f>
        <v/>
      </c>
      <c r="I163" s="21">
        <f>J163/H163</f>
        <v/>
      </c>
      <c r="J163" s="22">
        <f>SUM(J5:J162)</f>
        <v/>
      </c>
      <c r="K163" s="23">
        <f>SUM(K5:K162)</f>
        <v/>
      </c>
    </row>
  </sheetData>
  <autoFilter ref="A4:K163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2026-10-28T07:44:34Z</dcterms:created>
  <dcterms:modified xmlns:dcterms="http://purl.org/dc/terms/" xmlns:xsi="http://www.w3.org/2001/XMLSchema-instance" xsi:type="dcterms:W3CDTF">2026-10-28T07:44:34Z</dcterms:modified>
</cp:coreProperties>
</file>