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710" yWindow="-110" windowWidth="25820" windowHeight="13900" tabRatio="804" firstSheet="0" activeTab="0" autoFilterDateGrouping="1"/>
  </bookViews>
  <sheets>
    <sheet xmlns:r="http://schemas.openxmlformats.org/officeDocument/2006/relationships" name="2027" sheetId="1" state="visible" r:id="rId1"/>
    <sheet xmlns:r="http://schemas.openxmlformats.org/officeDocument/2006/relationships" name="TABLA" sheetId="2" state="visible" r:id="rId2"/>
    <sheet xmlns:r="http://schemas.openxmlformats.org/officeDocument/2006/relationships" name="PL Mensual 2027" sheetId="3" state="visible" r:id="rId3"/>
    <sheet xmlns:r="http://schemas.openxmlformats.org/officeDocument/2006/relationships" name="Ginger" sheetId="4" state="hidden" r:id="rId4"/>
    <sheet xmlns:r="http://schemas.openxmlformats.org/officeDocument/2006/relationships" name="Extraitems 2026" sheetId="5" state="hidden" r:id="rId5"/>
    <sheet xmlns:r="http://schemas.openxmlformats.org/officeDocument/2006/relationships" name="Ext Items 2026" sheetId="6" state="hidden" r:id="rId6"/>
    <sheet xmlns:r="http://schemas.openxmlformats.org/officeDocument/2006/relationships" name="Ext Items Budget" sheetId="7" state="hidden" r:id="rId7"/>
    <sheet xmlns:r="http://schemas.openxmlformats.org/officeDocument/2006/relationships" name="Ext Items 2025" sheetId="8" state="hidden" r:id="rId8"/>
    <sheet xmlns:r="http://schemas.openxmlformats.org/officeDocument/2006/relationships" name="Cuenta Ok" sheetId="9" state="hidden" r:id="rId9"/>
  </sheets>
  <definedNames>
    <definedName name="Datos">#REF!</definedName>
    <definedName name="_xlnm._FilterDatabase" localSheetId="2" hidden="1">'PL Mensual 2027'!$B$3:$X$205</definedName>
    <definedName name="_xlnm._FilterDatabase" localSheetId="3" hidden="1">'Ginger'!$A$1:$I$155</definedName>
    <definedName name="_xlnm._FilterDatabase" localSheetId="5" hidden="1">'Ext Items 2026'!$A$2:$O$59</definedName>
    <definedName name="_xlnm._FilterDatabase" localSheetId="7" hidden="1">'Ext Items 2025'!$B$2:$M$35</definedName>
  </definedNames>
  <calcPr calcId="191029" fullCalcOnLoad="1"/>
  <pivotCaches>
    <pivotCache xmlns:r="http://schemas.openxmlformats.org/officeDocument/2006/relationships" cacheId="44" r:id="rId10"/>
    <pivotCache xmlns:r="http://schemas.openxmlformats.org/officeDocument/2006/relationships" cacheId="1" r:id="rId11"/>
  </pivotCaches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#,##0\ ;\(#,##0\);\ \ \-_);@"/>
    <numFmt numFmtId="166" formatCode="0%;\(0\)%;\-"/>
    <numFmt numFmtId="167" formatCode="0%&quot; &quot;;\(0\)%&quot; &quot;;\-"/>
    <numFmt numFmtId="168" formatCode="_-* #,##0.00_-;\-* #,##0.00_-;_-* &quot;-&quot;??_-;_-@_-"/>
    <numFmt numFmtId="169" formatCode="_-* #,##0.00\ _€_-;\-* #,##0.00\ _€_-;_-* &quot;-&quot;??\ _€_-;_-@_-"/>
    <numFmt numFmtId="170" formatCode="_-* #,##0_-;\-* #,##0_-;_-* &quot;-&quot;_-;_-@_-"/>
    <numFmt numFmtId="171" formatCode="_([$€-2]* #,##0.00_);_([$€-2]* \(#,##0.00\);_([$€-2]* &quot;-&quot;??_);_(@_)"/>
  </numFmts>
  <fonts count="3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rial"/>
      <family val="2"/>
      <color theme="1"/>
      <sz val="10.5"/>
    </font>
    <font>
      <name val="Arial"/>
      <family val="2"/>
      <b val="1"/>
      <sz val="10.5"/>
    </font>
    <font>
      <name val="Arial"/>
      <family val="2"/>
      <color theme="1"/>
      <sz val="10"/>
    </font>
    <font>
      <name val="Arial"/>
      <family val="2"/>
      <b val="1"/>
      <color theme="1"/>
      <sz val="10.5"/>
    </font>
    <font>
      <name val="Arial"/>
      <family val="2"/>
      <sz val="10.5"/>
    </font>
    <font>
      <name val="Arial"/>
      <family val="2"/>
      <i val="1"/>
      <sz val="10.5"/>
    </font>
    <font>
      <name val="Arial"/>
      <family val="2"/>
      <i val="1"/>
      <color theme="1"/>
      <sz val="10.5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0"/>
      <sz val="10.5"/>
    </font>
    <font>
      <name val="Arial"/>
      <family val="2"/>
      <sz val="10"/>
    </font>
    <font>
      <name val="Aptos Narrow"/>
      <charset val="238"/>
      <family val="2"/>
      <color theme="1"/>
      <sz val="11"/>
      <scheme val="minor"/>
    </font>
    <font>
      <name val="Aptos Display"/>
      <charset val="238"/>
      <family val="2"/>
      <b val="1"/>
      <color theme="3"/>
      <sz val="18"/>
      <scheme val="major"/>
    </font>
    <font>
      <name val="Aptos Narrow"/>
      <charset val="238"/>
      <family val="2"/>
      <b val="1"/>
      <color theme="3"/>
      <sz val="15"/>
      <scheme val="minor"/>
    </font>
    <font>
      <name val="Aptos Narrow"/>
      <charset val="238"/>
      <family val="2"/>
      <b val="1"/>
      <color theme="3"/>
      <sz val="13"/>
      <scheme val="minor"/>
    </font>
    <font>
      <name val="Aptos Narrow"/>
      <charset val="238"/>
      <family val="2"/>
      <b val="1"/>
      <color theme="3"/>
      <sz val="11"/>
      <scheme val="minor"/>
    </font>
    <font>
      <name val="Aptos Narrow"/>
      <charset val="238"/>
      <family val="2"/>
      <color rgb="FF006100"/>
      <sz val="11"/>
      <scheme val="minor"/>
    </font>
    <font>
      <name val="Aptos Narrow"/>
      <charset val="238"/>
      <family val="2"/>
      <color rgb="FF9C0006"/>
      <sz val="11"/>
      <scheme val="minor"/>
    </font>
    <font>
      <name val="Aptos Narrow"/>
      <charset val="238"/>
      <family val="2"/>
      <color rgb="FF9C6500"/>
      <sz val="11"/>
      <scheme val="minor"/>
    </font>
    <font>
      <name val="Aptos Narrow"/>
      <charset val="238"/>
      <family val="2"/>
      <color rgb="FF3F3F76"/>
      <sz val="11"/>
      <scheme val="minor"/>
    </font>
    <font>
      <name val="Aptos Narrow"/>
      <charset val="238"/>
      <family val="2"/>
      <b val="1"/>
      <color rgb="FF3F3F3F"/>
      <sz val="11"/>
      <scheme val="minor"/>
    </font>
    <font>
      <name val="Aptos Narrow"/>
      <charset val="238"/>
      <family val="2"/>
      <b val="1"/>
      <color rgb="FFFA7D00"/>
      <sz val="11"/>
      <scheme val="minor"/>
    </font>
    <font>
      <name val="Aptos Narrow"/>
      <charset val="238"/>
      <family val="2"/>
      <color rgb="FFFA7D00"/>
      <sz val="11"/>
      <scheme val="minor"/>
    </font>
    <font>
      <name val="Aptos Narrow"/>
      <charset val="238"/>
      <family val="2"/>
      <b val="1"/>
      <color theme="0"/>
      <sz val="11"/>
      <scheme val="minor"/>
    </font>
    <font>
      <name val="Aptos Narrow"/>
      <charset val="238"/>
      <family val="2"/>
      <color rgb="FFFF0000"/>
      <sz val="11"/>
      <scheme val="minor"/>
    </font>
    <font>
      <name val="Aptos Narrow"/>
      <charset val="238"/>
      <family val="2"/>
      <i val="1"/>
      <color rgb="FF7F7F7F"/>
      <sz val="11"/>
      <scheme val="minor"/>
    </font>
    <font>
      <name val="Aptos Narrow"/>
      <charset val="238"/>
      <family val="2"/>
      <b val="1"/>
      <color theme="1"/>
      <sz val="11"/>
      <scheme val="minor"/>
    </font>
    <font>
      <name val="Aptos Narrow"/>
      <charset val="238"/>
      <family val="2"/>
      <color theme="0"/>
      <sz val="11"/>
      <scheme val="minor"/>
    </font>
    <font>
      <name val="Arial"/>
      <family val="2"/>
      <b val="1"/>
      <sz val="8"/>
    </font>
    <font>
      <name val="Arial"/>
      <family val="2"/>
      <color theme="1"/>
      <sz val="8"/>
    </font>
    <font>
      <name val="Arial"/>
      <family val="2"/>
      <b val="1"/>
      <color theme="1"/>
      <sz val="8"/>
    </font>
    <font>
      <name val="Arial"/>
      <family val="2"/>
      <sz val="8"/>
    </font>
    <font>
      <name val="Arial"/>
      <family val="2"/>
      <b val="1"/>
      <color theme="1"/>
      <sz val="10"/>
    </font>
    <font>
      <name val="Verdana"/>
      <family val="2"/>
      <b val="1"/>
      <color theme="1"/>
      <sz val="10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9" tint="0.5999938962981048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D96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"/>
      </top>
      <bottom/>
      <diagonal/>
    </border>
  </borders>
  <cellStyleXfs count="73">
    <xf numFmtId="0" fontId="1" fillId="0" borderId="0"/>
    <xf numFmtId="9" fontId="1" fillId="0" borderId="0"/>
    <xf numFmtId="0" fontId="5" fillId="0" borderId="0"/>
    <xf numFmtId="9" fontId="5" fillId="0" borderId="0"/>
    <xf numFmtId="0" fontId="5" fillId="0" borderId="0"/>
    <xf numFmtId="0" fontId="13" fillId="0" borderId="0"/>
    <xf numFmtId="0" fontId="14" fillId="0" borderId="0"/>
    <xf numFmtId="0" fontId="1" fillId="0" borderId="0"/>
    <xf numFmtId="43" fontId="1" fillId="0" borderId="0"/>
    <xf numFmtId="43" fontId="1" fillId="0" borderId="0"/>
    <xf numFmtId="0" fontId="5" fillId="0" borderId="0"/>
    <xf numFmtId="44" fontId="1" fillId="0" borderId="0"/>
    <xf numFmtId="43" fontId="1" fillId="0" borderId="0"/>
    <xf numFmtId="43" fontId="1" fillId="0" borderId="0"/>
    <xf numFmtId="171" fontId="13" fillId="0" borderId="0"/>
    <xf numFmtId="0" fontId="13" fillId="0" borderId="0"/>
    <xf numFmtId="0" fontId="18" fillId="0" borderId="0"/>
    <xf numFmtId="0" fontId="18" fillId="0" borderId="3"/>
    <xf numFmtId="0" fontId="1" fillId="0" borderId="0"/>
    <xf numFmtId="0" fontId="15" fillId="0" borderId="0"/>
    <xf numFmtId="0" fontId="16" fillId="0" borderId="1"/>
    <xf numFmtId="0" fontId="17" fillId="0" borderId="2"/>
    <xf numFmtId="0" fontId="19" fillId="2" borderId="0"/>
    <xf numFmtId="0" fontId="20" fillId="3" borderId="0"/>
    <xf numFmtId="0" fontId="21" fillId="4" borderId="0"/>
    <xf numFmtId="0" fontId="22" fillId="5" borderId="4"/>
    <xf numFmtId="0" fontId="23" fillId="6" borderId="5"/>
    <xf numFmtId="0" fontId="24" fillId="6" borderId="4"/>
    <xf numFmtId="0" fontId="25" fillId="0" borderId="6"/>
    <xf numFmtId="0" fontId="26" fillId="7" borderId="7"/>
    <xf numFmtId="0" fontId="27" fillId="0" borderId="0"/>
    <xf numFmtId="0" fontId="14" fillId="8" borderId="8"/>
    <xf numFmtId="0" fontId="28" fillId="0" borderId="0"/>
    <xf numFmtId="0" fontId="29" fillId="0" borderId="9"/>
    <xf numFmtId="0" fontId="30" fillId="9" borderId="0"/>
    <xf numFmtId="0" fontId="14" fillId="10" borderId="0"/>
    <xf numFmtId="0" fontId="14" fillId="11" borderId="0"/>
    <xf numFmtId="0" fontId="30" fillId="12" borderId="0"/>
    <xf numFmtId="0" fontId="30" fillId="13" borderId="0"/>
    <xf numFmtId="0" fontId="14" fillId="14" borderId="0"/>
    <xf numFmtId="0" fontId="14" fillId="15" borderId="0"/>
    <xf numFmtId="0" fontId="30" fillId="16" borderId="0"/>
    <xf numFmtId="0" fontId="30" fillId="17" borderId="0"/>
    <xf numFmtId="0" fontId="14" fillId="18" borderId="0"/>
    <xf numFmtId="0" fontId="14" fillId="19" borderId="0"/>
    <xf numFmtId="0" fontId="30" fillId="20" borderId="0"/>
    <xf numFmtId="0" fontId="30" fillId="21" borderId="0"/>
    <xf numFmtId="0" fontId="14" fillId="22" borderId="0"/>
    <xf numFmtId="0" fontId="14" fillId="23" borderId="0"/>
    <xf numFmtId="0" fontId="30" fillId="24" borderId="0"/>
    <xf numFmtId="0" fontId="30" fillId="25" borderId="0"/>
    <xf numFmtId="0" fontId="14" fillId="26" borderId="0"/>
    <xf numFmtId="0" fontId="14" fillId="27" borderId="0"/>
    <xf numFmtId="0" fontId="30" fillId="28" borderId="0"/>
    <xf numFmtId="0" fontId="30" fillId="29" borderId="0"/>
    <xf numFmtId="0" fontId="14" fillId="30" borderId="0"/>
    <xf numFmtId="0" fontId="14" fillId="31" borderId="0"/>
    <xf numFmtId="0" fontId="30" fillId="32" borderId="0"/>
    <xf numFmtId="0" fontId="1" fillId="0" borderId="0"/>
    <xf numFmtId="9" fontId="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181">
    <xf numFmtId="0" fontId="0" fillId="0" borderId="0" pivotButton="0" quotePrefix="0" xfId="0"/>
    <xf numFmtId="0" fontId="2" fillId="0" borderId="0" pivotButton="0" quotePrefix="0" xfId="0"/>
    <xf numFmtId="164" fontId="6" fillId="0" borderId="0" applyAlignment="1" pivotButton="0" quotePrefix="0" xfId="2">
      <alignment vertical="center" wrapText="1"/>
    </xf>
    <xf numFmtId="164" fontId="6" fillId="0" borderId="12" applyAlignment="1" pivotButton="0" quotePrefix="0" xfId="2">
      <alignment vertical="center" wrapText="1"/>
    </xf>
    <xf numFmtId="4" fontId="0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5" fontId="7" fillId="0" borderId="0" applyAlignment="1" pivotButton="0" quotePrefix="0" xfId="0">
      <alignment vertical="center"/>
    </xf>
    <xf numFmtId="164" fontId="6" fillId="34" borderId="12" applyAlignment="1" pivotButton="0" quotePrefix="0" xfId="0">
      <alignment vertical="center"/>
    </xf>
    <xf numFmtId="164" fontId="6" fillId="33" borderId="12" applyAlignment="1" pivotButton="0" quotePrefix="0" xfId="2">
      <alignment vertical="center" wrapText="1"/>
    </xf>
    <xf numFmtId="0" fontId="0" fillId="0" borderId="0" applyAlignment="1" pivotButton="0" quotePrefix="0" xfId="0">
      <alignment horizontal="center"/>
    </xf>
    <xf numFmtId="0" fontId="2" fillId="0" borderId="19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4" fontId="2" fillId="0" borderId="16" applyAlignment="1" pivotButton="0" quotePrefix="0" xfId="0">
      <alignment horizontal="center"/>
    </xf>
    <xf numFmtId="4" fontId="2" fillId="0" borderId="17" applyAlignment="1" pivotButton="0" quotePrefix="0" xfId="0">
      <alignment horizontal="center"/>
    </xf>
    <xf numFmtId="0" fontId="2" fillId="0" borderId="17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32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37" borderId="0" applyProtection="1" pivotButton="0" quotePrefix="0" xfId="0">
      <protection locked="0" hidden="0"/>
    </xf>
    <xf numFmtId="0" fontId="2" fillId="37" borderId="0" applyAlignment="1" applyProtection="1" pivotButton="0" quotePrefix="0" xfId="0">
      <alignment horizontal="center"/>
      <protection locked="0" hidden="0"/>
    </xf>
    <xf numFmtId="0" fontId="12" fillId="39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9" fontId="4" fillId="0" borderId="0" applyAlignment="1" applyProtection="1" pivotButton="0" quotePrefix="0" xfId="1">
      <alignment horizontal="center" vertical="center"/>
      <protection locked="0" hidden="0"/>
    </xf>
    <xf numFmtId="0" fontId="4" fillId="0" borderId="15" applyAlignment="1" applyProtection="1" pivotButton="0" quotePrefix="0" xfId="0">
      <alignment horizontal="centerContinuous" vertical="center" wrapText="1"/>
      <protection locked="0" hidden="0"/>
    </xf>
    <xf numFmtId="0" fontId="4" fillId="0" borderId="22" applyAlignment="1" applyProtection="1" pivotButton="0" quotePrefix="0" xfId="0">
      <alignment horizontal="centerContinuous" vertical="center" wrapText="1"/>
      <protection locked="0" hidden="0"/>
    </xf>
    <xf numFmtId="0" fontId="12" fillId="0" borderId="0" applyAlignment="1" applyProtection="1" pivotButton="0" quotePrefix="0" xfId="0">
      <alignment horizontal="center" vertical="center"/>
      <protection locked="0" hidden="0"/>
    </xf>
    <xf numFmtId="0" fontId="4" fillId="0" borderId="10" applyAlignment="1" applyProtection="1" pivotButton="0" quotePrefix="0" xfId="0">
      <alignment vertical="center"/>
      <protection locked="0" hidden="0"/>
    </xf>
    <xf numFmtId="17" fontId="4" fillId="0" borderId="10" applyAlignment="1" applyProtection="1" pivotButton="0" quotePrefix="0" xfId="0">
      <alignment horizontal="right" vertical="center" wrapText="1"/>
      <protection locked="0" hidden="0"/>
    </xf>
    <xf numFmtId="0" fontId="4" fillId="0" borderId="10" applyAlignment="1" applyProtection="1" pivotButton="0" quotePrefix="0" xfId="0">
      <alignment horizontal="right" vertical="center" wrapText="1"/>
      <protection locked="0" hidden="0"/>
    </xf>
    <xf numFmtId="0" fontId="4" fillId="36" borderId="0" applyAlignment="1" applyProtection="1" pivotButton="0" quotePrefix="0" xfId="0">
      <alignment vertical="center"/>
      <protection locked="0" hidden="0"/>
    </xf>
    <xf numFmtId="165" fontId="7" fillId="0" borderId="0" applyAlignment="1" applyProtection="1" pivotButton="0" quotePrefix="0" xfId="0">
      <alignment horizontal="right" vertical="center"/>
      <protection locked="0" hidden="0"/>
    </xf>
    <xf numFmtId="166" fontId="7" fillId="0" borderId="0" applyAlignment="1" applyProtection="1" pivotButton="0" quotePrefix="0" xfId="0">
      <alignment horizontal="right" vertical="center"/>
      <protection locked="0" hidden="0"/>
    </xf>
    <xf numFmtId="0" fontId="4" fillId="36" borderId="12" applyAlignment="1" applyProtection="1" pivotButton="0" quotePrefix="0" xfId="0">
      <alignment vertical="center"/>
      <protection locked="0" hidden="0"/>
    </xf>
    <xf numFmtId="0" fontId="8" fillId="0" borderId="0" applyAlignment="1" applyProtection="1" pivotButton="0" quotePrefix="0" xfId="0">
      <alignment horizontal="left" vertical="center" indent="1"/>
      <protection locked="0" hidden="0"/>
    </xf>
    <xf numFmtId="9" fontId="8" fillId="0" borderId="0" applyAlignment="1" applyProtection="1" pivotButton="0" quotePrefix="1" xfId="0">
      <alignment horizontal="right" vertical="center"/>
      <protection locked="0" hidden="0"/>
    </xf>
    <xf numFmtId="165" fontId="8" fillId="0" borderId="0" applyAlignment="1" applyProtection="1" pivotButton="0" quotePrefix="1" xfId="0">
      <alignment horizontal="right" vertical="center"/>
      <protection locked="0" hidden="0"/>
    </xf>
    <xf numFmtId="166" fontId="8" fillId="0" borderId="0" applyAlignment="1" applyProtection="1" pivotButton="0" quotePrefix="1" xfId="0">
      <alignment horizontal="right" vertical="center"/>
      <protection locked="0" hidden="0"/>
    </xf>
    <xf numFmtId="4" fontId="7" fillId="0" borderId="0" applyAlignment="1" applyProtection="1" pivotButton="0" quotePrefix="0" xfId="0">
      <alignment vertical="center"/>
      <protection locked="0" hidden="0"/>
    </xf>
    <xf numFmtId="9" fontId="7" fillId="0" borderId="0" applyAlignment="1" applyProtection="1" pivotButton="0" quotePrefix="0" xfId="0">
      <alignment vertical="center"/>
      <protection locked="0" hidden="0"/>
    </xf>
    <xf numFmtId="165" fontId="7" fillId="0" borderId="0" applyAlignment="1" applyProtection="1" pivotButton="0" quotePrefix="1" xfId="0">
      <alignment horizontal="right" vertical="center"/>
      <protection locked="0" hidden="0"/>
    </xf>
    <xf numFmtId="9" fontId="7" fillId="0" borderId="0" applyAlignment="1" applyProtection="1" pivotButton="0" quotePrefix="0" xfId="0">
      <alignment horizontal="right" vertical="center"/>
      <protection locked="0" hidden="0"/>
    </xf>
    <xf numFmtId="166" fontId="7" fillId="0" borderId="0" applyAlignment="1" applyProtection="1" pivotButton="0" quotePrefix="1" xfId="0">
      <alignment horizontal="right" vertical="center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9" fillId="0" borderId="0" applyAlignment="1" applyProtection="1" pivotButton="0" quotePrefix="0" xfId="2">
      <alignment horizontal="left" vertical="center" indent="1"/>
      <protection locked="0" hidden="0"/>
    </xf>
    <xf numFmtId="166" fontId="9" fillId="0" borderId="0" applyAlignment="1" applyProtection="1" pivotButton="0" quotePrefix="0" xfId="3">
      <alignment vertical="center" wrapText="1"/>
      <protection locked="0" hidden="0"/>
    </xf>
    <xf numFmtId="165" fontId="7" fillId="0" borderId="0" applyAlignment="1" applyProtection="1" pivotButton="0" quotePrefix="0" xfId="0">
      <alignment vertical="center"/>
      <protection locked="0" hidden="0"/>
    </xf>
    <xf numFmtId="0" fontId="6" fillId="0" borderId="12" applyAlignment="1" applyProtection="1" pivotButton="0" quotePrefix="0" xfId="2">
      <alignment vertical="center"/>
      <protection locked="0" hidden="0"/>
    </xf>
    <xf numFmtId="0" fontId="6" fillId="34" borderId="12" applyAlignment="1" applyProtection="1" pivotButton="0" quotePrefix="0" xfId="0">
      <alignment vertical="center"/>
      <protection locked="0" hidden="0"/>
    </xf>
    <xf numFmtId="166" fontId="9" fillId="0" borderId="0" applyAlignment="1" pivotButton="0" quotePrefix="0" xfId="3">
      <alignment vertical="center" wrapText="1"/>
    </xf>
    <xf numFmtId="0" fontId="2" fillId="38" borderId="0" applyAlignment="1" applyProtection="1" pivotButton="0" quotePrefix="0" xfId="0">
      <alignment horizontal="center"/>
      <protection locked="0" hidden="0"/>
    </xf>
    <xf numFmtId="0" fontId="2" fillId="38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Continuous" vertical="center" wrapText="1"/>
      <protection locked="0" hidden="0"/>
    </xf>
    <xf numFmtId="0" fontId="4" fillId="0" borderId="0" applyAlignment="1" applyProtection="1" pivotButton="0" quotePrefix="0" xfId="0">
      <alignment horizontal="right" vertical="center" wrapText="1"/>
      <protection locked="0" hidden="0"/>
    </xf>
    <xf numFmtId="167" fontId="4" fillId="0" borderId="0" applyAlignment="1" applyProtection="1" pivotButton="0" quotePrefix="0" xfId="0">
      <alignment horizontal="right" vertical="center"/>
      <protection locked="0" hidden="0"/>
    </xf>
    <xf numFmtId="166" fontId="4" fillId="0" borderId="0" applyAlignment="1" applyProtection="1" pivotButton="0" quotePrefix="0" xfId="0">
      <alignment horizontal="right" vertical="center"/>
      <protection locked="0" hidden="0"/>
    </xf>
    <xf numFmtId="167" fontId="7" fillId="0" borderId="0" applyAlignment="1" applyProtection="1" pivotButton="0" quotePrefix="0" xfId="0">
      <alignment horizontal="right" vertical="center"/>
      <protection locked="0" hidden="0"/>
    </xf>
    <xf numFmtId="166" fontId="6" fillId="0" borderId="0" applyAlignment="1" applyProtection="1" pivotButton="0" quotePrefix="0" xfId="1">
      <alignment vertical="center"/>
      <protection locked="0" hidden="0"/>
    </xf>
    <xf numFmtId="3" fontId="4" fillId="36" borderId="0" applyAlignment="1" pivotButton="0" quotePrefix="0" xfId="0">
      <alignment vertical="center"/>
    </xf>
    <xf numFmtId="165" fontId="4" fillId="36" borderId="0" applyAlignment="1" pivotButton="0" quotePrefix="0" xfId="0">
      <alignment horizontal="right" vertical="center"/>
    </xf>
    <xf numFmtId="164" fontId="3" fillId="0" borderId="0" applyAlignment="1" pivotButton="0" quotePrefix="0" xfId="2">
      <alignment vertical="center" wrapText="1"/>
    </xf>
    <xf numFmtId="165" fontId="7" fillId="0" borderId="0" applyAlignment="1" pivotButton="0" quotePrefix="0" xfId="0">
      <alignment horizontal="right" vertical="center"/>
    </xf>
    <xf numFmtId="167" fontId="7" fillId="0" borderId="13" applyAlignment="1" pivotButton="0" quotePrefix="0" xfId="0">
      <alignment horizontal="right" vertical="center"/>
    </xf>
    <xf numFmtId="3" fontId="4" fillId="36" borderId="12" applyAlignment="1" pivotButton="0" quotePrefix="0" xfId="0">
      <alignment vertical="center"/>
    </xf>
    <xf numFmtId="165" fontId="4" fillId="36" borderId="12" applyAlignment="1" pivotButton="0" quotePrefix="0" xfId="0">
      <alignment horizontal="right" vertical="center"/>
    </xf>
    <xf numFmtId="166" fontId="4" fillId="36" borderId="12" applyAlignment="1" pivotButton="0" quotePrefix="0" xfId="0">
      <alignment horizontal="right" vertical="center"/>
    </xf>
    <xf numFmtId="9" fontId="8" fillId="0" borderId="0" applyAlignment="1" pivotButton="0" quotePrefix="0" xfId="0">
      <alignment vertical="center"/>
    </xf>
    <xf numFmtId="164" fontId="11" fillId="35" borderId="0" applyAlignment="1" pivotButton="0" quotePrefix="0" xfId="2">
      <alignment vertical="center" wrapText="1"/>
    </xf>
    <xf numFmtId="164" fontId="10" fillId="0" borderId="0" applyAlignment="1" pivotButton="0" quotePrefix="0" xfId="2">
      <alignment vertical="center" wrapText="1"/>
    </xf>
    <xf numFmtId="165" fontId="4" fillId="0" borderId="0" applyAlignment="1" pivotButton="0" quotePrefix="0" xfId="0">
      <alignment horizontal="right" vertical="center"/>
    </xf>
    <xf numFmtId="167" fontId="4" fillId="0" borderId="13" applyAlignment="1" pivotButton="0" quotePrefix="0" xfId="0">
      <alignment horizontal="right" vertical="center"/>
    </xf>
    <xf numFmtId="164" fontId="11" fillId="0" borderId="0" applyAlignment="1" pivotButton="0" quotePrefix="0" xfId="2">
      <alignment vertical="center" wrapText="1"/>
    </xf>
    <xf numFmtId="167" fontId="4" fillId="0" borderId="14" applyAlignment="1" pivotButton="0" quotePrefix="0" xfId="0">
      <alignment horizontal="right" vertical="center"/>
    </xf>
    <xf numFmtId="165" fontId="4" fillId="34" borderId="12" applyAlignment="1" pivotButton="0" quotePrefix="0" xfId="0">
      <alignment horizontal="right" vertical="center"/>
    </xf>
    <xf numFmtId="166" fontId="4" fillId="36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0" fillId="38" borderId="0" applyProtection="1" pivotButton="0" quotePrefix="0" xfId="0">
      <protection locked="0" hidden="0"/>
    </xf>
    <xf numFmtId="167" fontId="4" fillId="0" borderId="11" applyAlignment="1" pivotButton="0" quotePrefix="0" xfId="0">
      <alignment horizontal="right" vertical="center" wrapText="1"/>
    </xf>
    <xf numFmtId="9" fontId="8" fillId="0" borderId="13" applyAlignment="1" pivotButton="0" quotePrefix="1" xfId="0">
      <alignment horizontal="right" vertical="center"/>
    </xf>
    <xf numFmtId="167" fontId="7" fillId="0" borderId="13" applyAlignment="1" pivotButton="0" quotePrefix="1" xfId="0">
      <alignment horizontal="right" vertical="center"/>
    </xf>
    <xf numFmtId="166" fontId="6" fillId="34" borderId="14" applyAlignment="1" pivotButton="0" quotePrefix="0" xfId="1">
      <alignment vertical="center"/>
    </xf>
    <xf numFmtId="167" fontId="8" fillId="0" borderId="13" applyAlignment="1" pivotButton="0" quotePrefix="1" xfId="0">
      <alignment horizontal="right" vertical="center"/>
    </xf>
    <xf numFmtId="0" fontId="12" fillId="40" borderId="0" applyAlignment="1" pivotButton="0" quotePrefix="0" xfId="0">
      <alignment horizontal="left"/>
    </xf>
    <xf numFmtId="17" fontId="12" fillId="40" borderId="0" applyAlignment="1" pivotButton="0" quotePrefix="0" xfId="0">
      <alignment horizontal="left"/>
    </xf>
    <xf numFmtId="14" fontId="35" fillId="0" borderId="23" applyAlignment="1" pivotButton="0" quotePrefix="0" xfId="0">
      <alignment horizontal="left" vertical="center"/>
    </xf>
    <xf numFmtId="0" fontId="35" fillId="0" borderId="23" applyAlignment="1" pivotButton="0" quotePrefix="1" xfId="0">
      <alignment horizontal="center" vertical="center"/>
    </xf>
    <xf numFmtId="0" fontId="35" fillId="0" borderId="23" applyAlignment="1" pivotButton="0" quotePrefix="0" xfId="0">
      <alignment horizontal="left" vertical="center"/>
    </xf>
    <xf numFmtId="0" fontId="35" fillId="0" borderId="23" applyAlignment="1" pivotButton="0" quotePrefix="0" xfId="0">
      <alignment horizontal="center" vertical="center"/>
    </xf>
    <xf numFmtId="0" fontId="35" fillId="0" borderId="23" applyAlignment="1" pivotButton="0" quotePrefix="0" xfId="0">
      <alignment horizontal="right" vertical="center"/>
    </xf>
    <xf numFmtId="4" fontId="35" fillId="0" borderId="23" applyAlignment="1" pivotButton="0" quotePrefix="0" xfId="0">
      <alignment horizontal="center" vertical="center"/>
    </xf>
    <xf numFmtId="14" fontId="0" fillId="0" borderId="0" pivotButton="0" quotePrefix="0" xfId="0"/>
    <xf numFmtId="0" fontId="33" fillId="0" borderId="15" pivotButton="0" quotePrefix="0" xfId="0"/>
    <xf numFmtId="0" fontId="31" fillId="0" borderId="15" pivotButton="0" quotePrefix="0" xfId="0"/>
    <xf numFmtId="0" fontId="34" fillId="0" borderId="0" pivotButton="0" quotePrefix="0" xfId="0"/>
    <xf numFmtId="4" fontId="34" fillId="0" borderId="0" pivotButton="0" quotePrefix="0" xfId="0"/>
    <xf numFmtId="165" fontId="34" fillId="0" borderId="0" pivotButton="0" quotePrefix="0" xfId="0"/>
    <xf numFmtId="14" fontId="36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vertical="center" wrapText="1"/>
    </xf>
    <xf numFmtId="0" fontId="2" fillId="41" borderId="24" pivotButton="0" quotePrefix="0" xfId="0"/>
    <xf numFmtId="0" fontId="0" fillId="0" borderId="0" pivotButton="1" quotePrefix="0" xfId="0"/>
    <xf numFmtId="167" fontId="4" fillId="0" borderId="0" applyAlignment="1" pivotButton="0" quotePrefix="0" xfId="0">
      <alignment horizontal="right" vertical="center" wrapText="1"/>
    </xf>
    <xf numFmtId="17" fontId="0" fillId="0" borderId="0" pivotButton="0" quotePrefix="0" xfId="0"/>
    <xf numFmtId="168" fontId="0" fillId="0" borderId="0" pivotButton="0" quotePrefix="0" xfId="61"/>
    <xf numFmtId="169" fontId="0" fillId="0" borderId="0" pivotButton="0" quotePrefix="0" xfId="0"/>
    <xf numFmtId="170" fontId="0" fillId="0" borderId="0" pivotButton="0" quotePrefix="0" xfId="0"/>
    <xf numFmtId="0" fontId="0" fillId="37" borderId="0" pivotButton="0" quotePrefix="0" xfId="0"/>
    <xf numFmtId="170" fontId="0" fillId="37" borderId="0" pivotButton="0" quotePrefix="0" xfId="0"/>
    <xf numFmtId="168" fontId="0" fillId="0" borderId="0" pivotButton="0" quotePrefix="0" xfId="61"/>
    <xf numFmtId="168" fontId="35" fillId="0" borderId="23" applyAlignment="1" pivotButton="0" quotePrefix="0" xfId="61">
      <alignment horizontal="center" vertical="center"/>
    </xf>
    <xf numFmtId="168" fontId="36" fillId="0" borderId="0" applyAlignment="1" pivotButton="0" quotePrefix="0" xfId="61">
      <alignment vertical="center" wrapText="1"/>
    </xf>
    <xf numFmtId="4" fontId="37" fillId="0" borderId="0" pivotButton="0" quotePrefix="0" xfId="0"/>
    <xf numFmtId="0" fontId="0" fillId="42" borderId="0" pivotButton="0" quotePrefix="0" xfId="0"/>
    <xf numFmtId="168" fontId="2" fillId="0" borderId="0" pivotButton="0" quotePrefix="0" xfId="61"/>
    <xf numFmtId="10" fontId="2" fillId="0" borderId="0" pivotButton="0" quotePrefix="0" xfId="1"/>
    <xf numFmtId="164" fontId="0" fillId="0" borderId="0" applyProtection="1" pivotButton="0" quotePrefix="0" xfId="0">
      <protection locked="0" hidden="0"/>
    </xf>
    <xf numFmtId="17" fontId="4" fillId="0" borderId="0" applyAlignment="1" applyProtection="1" pivotButton="0" quotePrefix="0" xfId="0">
      <alignment horizontal="right" vertical="center" wrapText="1"/>
      <protection locked="0" hidden="0"/>
    </xf>
    <xf numFmtId="166" fontId="4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9" fontId="8" fillId="0" borderId="0" applyAlignment="1" pivotButton="0" quotePrefix="1" xfId="0">
      <alignment horizontal="right" vertical="center"/>
    </xf>
    <xf numFmtId="167" fontId="7" fillId="0" borderId="0" applyAlignment="1" pivotButton="0" quotePrefix="1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6" fontId="9" fillId="0" borderId="0" applyAlignment="1" pivotButton="0" quotePrefix="0" xfId="3">
      <alignment vertical="center" wrapText="1"/>
    </xf>
    <xf numFmtId="166" fontId="9" fillId="0" borderId="0" applyAlignment="1" applyProtection="1" pivotButton="0" quotePrefix="0" xfId="3">
      <alignment vertical="center" wrapText="1"/>
      <protection locked="0" hidden="0"/>
    </xf>
    <xf numFmtId="164" fontId="6" fillId="0" borderId="0" applyAlignment="1" pivotButton="0" quotePrefix="0" xfId="0">
      <alignment vertical="center"/>
    </xf>
    <xf numFmtId="166" fontId="6" fillId="0" borderId="0" applyAlignment="1" pivotButton="0" quotePrefix="0" xfId="1">
      <alignment vertical="center"/>
    </xf>
    <xf numFmtId="167" fontId="8" fillId="0" borderId="0" applyAlignment="1" pivotButton="0" quotePrefix="1" xfId="0">
      <alignment horizontal="right"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38" fillId="37" borderId="0" applyAlignment="1" applyProtection="1" pivotButton="0" quotePrefix="0" xfId="0">
      <alignment horizontal="center"/>
      <protection locked="0" hidden="0"/>
    </xf>
    <xf numFmtId="0" fontId="4" fillId="0" borderId="15" applyAlignment="1" applyProtection="1" pivotButton="0" quotePrefix="0" xfId="0">
      <alignment horizontal="center" vertical="center" wrapText="1"/>
      <protection locked="0" hidden="0"/>
    </xf>
    <xf numFmtId="17" fontId="4" fillId="37" borderId="10" applyAlignment="1" applyProtection="1" pivotButton="0" quotePrefix="0" xfId="0">
      <alignment horizontal="right" vertical="center" wrapText="1"/>
      <protection locked="0" hidden="0"/>
    </xf>
    <xf numFmtId="17" fontId="4" fillId="43" borderId="10" applyAlignment="1" applyProtection="1" pivotButton="0" quotePrefix="0" xfId="0">
      <alignment horizontal="right" vertical="center" wrapText="1"/>
      <protection locked="0" hidden="0"/>
    </xf>
    <xf numFmtId="0" fontId="0" fillId="0" borderId="15" applyProtection="1" pivotButton="0" quotePrefix="0" xfId="0">
      <protection locked="0" hidden="0"/>
    </xf>
    <xf numFmtId="166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7" fontId="4" fillId="0" borderId="11" applyAlignment="1" pivotButton="0" quotePrefix="0" xfId="0">
      <alignment horizontal="right" vertical="center" wrapText="1"/>
    </xf>
    <xf numFmtId="167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5" fontId="4" fillId="36" borderId="0" applyAlignment="1" pivotButton="0" quotePrefix="0" xfId="0">
      <alignment horizontal="right" vertical="center"/>
    </xf>
    <xf numFmtId="166" fontId="4" fillId="36" borderId="0" applyAlignment="1" pivotButton="0" quotePrefix="0" xfId="0">
      <alignment horizontal="right" vertical="center"/>
    </xf>
    <xf numFmtId="167" fontId="4" fillId="0" borderId="0" applyAlignment="1" applyProtection="1" pivotButton="0" quotePrefix="0" xfId="0">
      <alignment horizontal="right" vertical="center"/>
      <protection locked="0" hidden="0"/>
    </xf>
    <xf numFmtId="167" fontId="7" fillId="0" borderId="13" applyAlignment="1" pivotButton="0" quotePrefix="0" xfId="0">
      <alignment horizontal="right" vertical="center"/>
    </xf>
    <xf numFmtId="165" fontId="8" fillId="0" borderId="0" applyAlignment="1" applyProtection="1" pivotButton="0" quotePrefix="1" xfId="0">
      <alignment horizontal="right" vertical="center"/>
      <protection locked="0" hidden="0"/>
    </xf>
    <xf numFmtId="166" fontId="7" fillId="0" borderId="0" applyAlignment="1" applyProtection="1" pivotButton="0" quotePrefix="0" xfId="0">
      <alignment horizontal="right" vertical="center"/>
      <protection locked="0" hidden="0"/>
    </xf>
    <xf numFmtId="165" fontId="4" fillId="36" borderId="12" applyAlignment="1" pivotButton="0" quotePrefix="0" xfId="0">
      <alignment horizontal="right" vertical="center"/>
    </xf>
    <xf numFmtId="166" fontId="4" fillId="36" borderId="12" applyAlignment="1" pivotButton="0" quotePrefix="0" xfId="0">
      <alignment horizontal="right" vertical="center"/>
    </xf>
    <xf numFmtId="167" fontId="7" fillId="0" borderId="0" applyAlignment="1" pivotButton="0" quotePrefix="1" xfId="0">
      <alignment horizontal="right" vertical="center"/>
    </xf>
    <xf numFmtId="165" fontId="7" fillId="0" borderId="0" applyAlignment="1" applyProtection="1" pivotButton="0" quotePrefix="1" xfId="0">
      <alignment horizontal="right" vertical="center"/>
      <protection locked="0" hidden="0"/>
    </xf>
    <xf numFmtId="166" fontId="4" fillId="0" borderId="0" applyAlignment="1" applyProtection="1" pivotButton="0" quotePrefix="0" xfId="0">
      <alignment horizontal="right" vertical="center"/>
      <protection locked="0" hidden="0"/>
    </xf>
    <xf numFmtId="167" fontId="4" fillId="0" borderId="0" applyAlignment="1" pivotButton="0" quotePrefix="0" xfId="0">
      <alignment horizontal="right" vertical="center"/>
    </xf>
    <xf numFmtId="166" fontId="8" fillId="0" borderId="0" applyAlignment="1" applyProtection="1" pivotButton="0" quotePrefix="1" xfId="0">
      <alignment horizontal="right" vertical="center"/>
      <protection locked="0" hidden="0"/>
    </xf>
    <xf numFmtId="167" fontId="7" fillId="0" borderId="13" applyAlignment="1" pivotButton="0" quotePrefix="1" xfId="0">
      <alignment horizontal="right" vertical="center"/>
    </xf>
    <xf numFmtId="166" fontId="9" fillId="0" borderId="0" applyAlignment="1" applyProtection="1" pivotButton="0" quotePrefix="0" xfId="3">
      <alignment vertical="center" wrapText="1"/>
      <protection locked="0" hidden="0"/>
    </xf>
    <xf numFmtId="166" fontId="9" fillId="0" borderId="0" applyAlignment="1" pivotButton="0" quotePrefix="0" xfId="3">
      <alignment vertical="center" wrapText="1"/>
    </xf>
    <xf numFmtId="166" fontId="7" fillId="0" borderId="0" applyAlignment="1" applyProtection="1" pivotButton="0" quotePrefix="1" xfId="0">
      <alignment horizontal="right" vertical="center"/>
      <protection locked="0" hidden="0"/>
    </xf>
    <xf numFmtId="167" fontId="4" fillId="0" borderId="13" applyAlignment="1" pivotButton="0" quotePrefix="0" xfId="0">
      <alignment horizontal="right" vertical="center"/>
    </xf>
    <xf numFmtId="165" fontId="7" fillId="0" borderId="0" applyAlignment="1" applyProtection="1" pivotButton="0" quotePrefix="0" xfId="0">
      <alignment horizontal="right" vertical="center"/>
      <protection locked="0" hidden="0"/>
    </xf>
    <xf numFmtId="165" fontId="7" fillId="0" borderId="0" applyAlignment="1" applyProtection="1" pivotButton="0" quotePrefix="0" xfId="0">
      <alignment vertical="center"/>
      <protection locked="0" hidden="0"/>
    </xf>
    <xf numFmtId="165" fontId="7" fillId="0" borderId="0" applyAlignment="1" pivotButton="0" quotePrefix="0" xfId="0">
      <alignment vertical="center"/>
    </xf>
    <xf numFmtId="167" fontId="7" fillId="0" borderId="0" applyAlignment="1" applyProtection="1" pivotButton="0" quotePrefix="0" xfId="0">
      <alignment horizontal="right" vertical="center"/>
      <protection locked="0" hidden="0"/>
    </xf>
    <xf numFmtId="167" fontId="4" fillId="0" borderId="14" applyAlignment="1" pivotButton="0" quotePrefix="0" xfId="0">
      <alignment horizontal="right" vertical="center"/>
    </xf>
    <xf numFmtId="166" fontId="6" fillId="0" borderId="0" applyAlignment="1" pivotButton="0" quotePrefix="0" xfId="1">
      <alignment vertical="center"/>
    </xf>
    <xf numFmtId="165" fontId="4" fillId="34" borderId="12" applyAlignment="1" pivotButton="0" quotePrefix="0" xfId="0">
      <alignment horizontal="right" vertical="center"/>
    </xf>
    <xf numFmtId="166" fontId="6" fillId="34" borderId="14" applyAlignment="1" pivotButton="0" quotePrefix="0" xfId="1">
      <alignment vertical="center"/>
    </xf>
    <xf numFmtId="166" fontId="6" fillId="0" borderId="0" applyAlignment="1" applyProtection="1" pivotButton="0" quotePrefix="0" xfId="1">
      <alignment vertical="center"/>
      <protection locked="0" hidden="0"/>
    </xf>
    <xf numFmtId="167" fontId="8" fillId="0" borderId="0" applyAlignment="1" pivotButton="0" quotePrefix="1" xfId="0">
      <alignment horizontal="right" vertical="center"/>
    </xf>
    <xf numFmtId="167" fontId="8" fillId="0" borderId="13" applyAlignment="1" pivotButton="0" quotePrefix="1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 wrapText="1"/>
    </xf>
    <xf numFmtId="168" fontId="0" fillId="0" borderId="0" pivotButton="0" quotePrefix="0" xfId="61"/>
    <xf numFmtId="169" fontId="0" fillId="0" borderId="0" pivotButton="0" quotePrefix="0" xfId="0"/>
    <xf numFmtId="170" fontId="0" fillId="37" borderId="0" pivotButton="0" quotePrefix="0" xfId="0"/>
    <xf numFmtId="170" fontId="0" fillId="0" borderId="0" pivotButton="0" quotePrefix="0" xfId="0"/>
    <xf numFmtId="168" fontId="35" fillId="0" borderId="23" applyAlignment="1" pivotButton="0" quotePrefix="0" xfId="61">
      <alignment horizontal="center" vertical="center"/>
    </xf>
    <xf numFmtId="165" fontId="34" fillId="0" borderId="0" pivotButton="0" quotePrefix="0" xfId="0"/>
    <xf numFmtId="168" fontId="36" fillId="0" borderId="0" applyAlignment="1" pivotButton="0" quotePrefix="0" xfId="61">
      <alignment vertical="center" wrapText="1"/>
    </xf>
    <xf numFmtId="168" fontId="2" fillId="0" borderId="0" pivotButton="0" quotePrefix="0" xfId="61"/>
  </cellXfs>
  <cellStyles count="73">
    <cellStyle name="Normal" xfId="0" builtinId="0"/>
    <cellStyle name="Porcentaje" xfId="1" builtinId="5"/>
    <cellStyle name="Normal 11 2" xfId="2"/>
    <cellStyle name="Percent 18" xfId="3"/>
    <cellStyle name="Normal 3" xfId="4"/>
    <cellStyle name="Normal 3 2" xfId="5"/>
    <cellStyle name="Normal 2 2" xfId="6"/>
    <cellStyle name="Normal 4" xfId="7"/>
    <cellStyle name="Millares 4" xfId="8"/>
    <cellStyle name="Millares 2" xfId="9"/>
    <cellStyle name="Normal 2" xfId="10"/>
    <cellStyle name="Moneda 2" xfId="11"/>
    <cellStyle name="Millares 3" xfId="12"/>
    <cellStyle name="Millares 2 2" xfId="13"/>
    <cellStyle name="Euro" xfId="14"/>
    <cellStyle name="Normal 3 4" xfId="15"/>
    <cellStyle name="Encabezado 4 2" xfId="16"/>
    <cellStyle name="Título 3 2" xfId="17"/>
    <cellStyle name="Normal 6" xfId="18"/>
    <cellStyle name="Título 4" xfId="19"/>
    <cellStyle name="Encabezado 1 2" xfId="20"/>
    <cellStyle name="Título 2 2" xfId="21"/>
    <cellStyle name="Bueno 2" xfId="22"/>
    <cellStyle name="Incorrecto 2" xfId="23"/>
    <cellStyle name="Neutral 2" xfId="24"/>
    <cellStyle name="Entrada 2" xfId="25"/>
    <cellStyle name="Salida 2" xfId="26"/>
    <cellStyle name="Cálculo 2" xfId="27"/>
    <cellStyle name="Celda vinculada 2" xfId="28"/>
    <cellStyle name="Celda de comprobación 2" xfId="29"/>
    <cellStyle name="Texto de advertencia 2" xfId="30"/>
    <cellStyle name="Notas 2" xfId="31"/>
    <cellStyle name="Texto explicativo 2" xfId="32"/>
    <cellStyle name="Total 2" xfId="33"/>
    <cellStyle name="Énfasis1 2" xfId="34"/>
    <cellStyle name="20% - Énfasis1 2" xfId="35"/>
    <cellStyle name="40% - Énfasis1 2" xfId="36"/>
    <cellStyle name="60% - Énfasis1 2" xfId="37"/>
    <cellStyle name="Énfasis2 2" xfId="38"/>
    <cellStyle name="20% - Énfasis2 2" xfId="39"/>
    <cellStyle name="40% - Énfasis2 2" xfId="40"/>
    <cellStyle name="60% - Énfasis2 2" xfId="41"/>
    <cellStyle name="Énfasis3 2" xfId="42"/>
    <cellStyle name="20% - Énfasis3 2" xfId="43"/>
    <cellStyle name="40% - Énfasis3 2" xfId="44"/>
    <cellStyle name="60% - Énfasis3 2" xfId="45"/>
    <cellStyle name="Énfasis4 2" xfId="46"/>
    <cellStyle name="20% - Énfasis4 2" xfId="47"/>
    <cellStyle name="40% - Énfasis4 2" xfId="48"/>
    <cellStyle name="60% - Énfasis4 2" xfId="49"/>
    <cellStyle name="Énfasis5 2" xfId="50"/>
    <cellStyle name="20% - Énfasis5 2" xfId="51"/>
    <cellStyle name="40% - Énfasis5 2" xfId="52"/>
    <cellStyle name="60% - Énfasis5 2" xfId="53"/>
    <cellStyle name="Énfasis6 2" xfId="54"/>
    <cellStyle name="20% - Énfasis6 2" xfId="55"/>
    <cellStyle name="40% - Énfasis6 2" xfId="56"/>
    <cellStyle name="60% - Énfasis6 2" xfId="57"/>
    <cellStyle name="Normal 3 3" xfId="58"/>
    <cellStyle name="Percent 2" xfId="59"/>
    <cellStyle name="Millares 5" xfId="60"/>
    <cellStyle name="Millares" xfId="61" builtinId="3"/>
    <cellStyle name="Millares 6" xfId="62"/>
    <cellStyle name="Millares 8" xfId="63"/>
    <cellStyle name="Millares 4 2" xfId="64"/>
    <cellStyle name="Millares 2 3" xfId="65"/>
    <cellStyle name="Moneda 2 2" xfId="66"/>
    <cellStyle name="Millares 3 2" xfId="67"/>
    <cellStyle name="Millares 2 2 2" xfId="68"/>
    <cellStyle name="Millares 5 2" xfId="69"/>
    <cellStyle name="Millares 7" xfId="70"/>
    <cellStyle name="Millares 6 2" xfId="71"/>
    <cellStyle name="Millares 9" xfId="72"/>
  </cellStyles>
  <dxfs count="6">
    <dxf>
      <numFmt numFmtId="4" formatCode="#,##0.00"/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numFmt numFmtId="4" formatCode="#,##0.00"/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pivotCacheDefinition" Target="/xl/pivotCache/pivotCacheDefinition1.xml" Id="rId10"/><Relationship Type="http://schemas.openxmlformats.org/officeDocument/2006/relationships/pivotCacheDefinition" Target="/xl/pivotCache/pivotCacheDefinition2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Oscar Ocampo" refreshedDate="46295.45857766204" createdVersion="8" refreshedVersion="8" minRefreshableVersion="3" recordCount="202" r:id="rId1">
  <cacheSource type="worksheet">
    <worksheetSource ref="B3:W205" sheet="PL Mensual 2027"/>
  </cacheSource>
  <cacheFields count="22">
    <cacheField name="Periodo" uniqueList="1" numFmtId="0" sqlType="0" hierarchy="0" level="0" databaseField="1">
      <sharedItems count="2" containsInteger="1" containsNumber="1" containsSemiMixedTypes="0" containsString="0" minValue="2026" maxValue="2027">
        <n v="2027"/>
        <n v="2026" u="1"/>
      </sharedItems>
    </cacheField>
    <cacheField name="Empresa" uniqueList="1" numFmtId="0" sqlType="0" hierarchy="0" level="0" databaseField="1">
      <sharedItems count="0"/>
    </cacheField>
    <cacheField name="Nivel 1" uniqueList="1" numFmtId="0" sqlType="0" hierarchy="0" level="0" databaseField="1">
      <sharedItems count="0"/>
    </cacheField>
    <cacheField name="Nivel 2" uniqueList="1" numFmtId="0" sqlType="0" hierarchy="0" level="0" databaseField="1">
      <sharedItems count="0"/>
    </cacheField>
    <cacheField name="Nivel 3" uniqueList="1" numFmtId="0" sqlType="0" hierarchy="0" level="0" databaseField="1">
      <sharedItems count="0"/>
    </cacheField>
    <cacheField name="Nivel 4" uniqueList="1" numFmtId="0" sqlType="0" hierarchy="0" level="0" databaseField="1">
      <sharedItems count="12">
        <s v="1.- Importe neto de la cifra de negocios"/>
        <s v="5.- Otros ingresos de explotación"/>
        <s v="14.- Ingresos financieros"/>
        <s v="11.- Deterioro y resultado por enajenaciones del inmovilizado"/>
        <s v="13.- Otros resultados"/>
        <s v="2.- Variación de existencias"/>
        <s v="4.- Aprovisionamientos"/>
        <s v="6.- Gastos de personal"/>
        <s v="7.- Otros gastos de explotación"/>
        <s v="8.- Amortización del inmovilizado"/>
        <s v="15.- Gastos financieros"/>
        <s v="17.- Diferencias de cambio"/>
      </sharedItems>
    </cacheField>
    <cacheField name="Nivel 5" uniqueList="1" numFmtId="0" sqlType="0" hierarchy="0" level="0" databaseField="1">
      <sharedItems count="0"/>
    </cacheField>
    <cacheField name="Cuenta" uniqueList="1" numFmtId="0" sqlType="0" hierarchy="0" level="0" databaseField="1">
      <sharedItems count="0"/>
    </cacheField>
    <cacheField name="Grupo Ext Item" uniqueList="1" numFmtId="0" sqlType="0" hierarchy="0" level="0" databaseField="1">
      <sharedItems count="0"/>
    </cacheField>
    <cacheField name="ene-27" uniqueList="1" numFmtId="4" sqlType="0" hierarchy="0" level="0" databaseField="1">
      <sharedItems count="0" containsNumber="1" containsSemiMixedTypes="0" containsString="0" minValue="-247571.61" maxValue="1167113.16"/>
    </cacheField>
    <cacheField name="feb-27" uniqueList="1" numFmtId="4" sqlType="0" hierarchy="0" level="0" databaseField="1">
      <sharedItems count="0" containsNumber="1" containsSemiMixedTypes="0" containsString="0" minValue="-480047.38" maxValue="1890513.74"/>
    </cacheField>
    <cacheField name="mar-27" uniqueList="1" numFmtId="4" sqlType="0" hierarchy="0" level="0" databaseField="1">
      <sharedItems count="0" containsNumber="1" containsSemiMixedTypes="0" containsString="0" minValue="-505499.75" maxValue="1813463.02"/>
    </cacheField>
    <cacheField name="abr-27" uniqueList="1" numFmtId="4" sqlType="0" hierarchy="0" level="0" databaseField="1">
      <sharedItems count="0" containsNumber="1" containsSemiMixedTypes="0" containsString="0" minValue="-391336.67" maxValue="1459999.87"/>
    </cacheField>
    <cacheField name="may-27" uniqueList="1" numFmtId="0" sqlType="0" hierarchy="0" level="0" databaseField="1">
      <sharedItems count="0" containsNumber="1" containsSemiMixedTypes="0" containsString="0" minValue="-639721.61" maxValue="2397051.31"/>
    </cacheField>
    <cacheField name="jun-27" uniqueList="1" numFmtId="4" sqlType="0" hierarchy="0" level="0" databaseField="1">
      <sharedItems count="0" containsNumber="1" containsSemiMixedTypes="0" containsString="0" minValue="-660412.55" maxValue="2377104.03"/>
    </cacheField>
    <cacheField name="jul-27" uniqueList="1" numFmtId="4" sqlType="0" hierarchy="0" level="0" databaseField="1">
      <sharedItems count="0" containsNumber="1" containsSemiMixedTypes="0" containsString="0" minValue="-425647.17" maxValue="1508195.84"/>
    </cacheField>
    <cacheField name="ago-27" uniqueList="1" numFmtId="4" sqlType="0" hierarchy="0" level="0" databaseField="1">
      <sharedItems count="0" containsNumber="1" containsSemiMixedTypes="0" containsString="0" minValue="-255306.21" maxValue="962502.99"/>
    </cacheField>
    <cacheField name="sep-27" uniqueList="1" numFmtId="4" sqlType="0" hierarchy="0" level="0" databaseField="1">
      <sharedItems count="0" containsNumber="1" containsSemiMixedTypes="0" containsString="0" minValue="-154533.56" maxValue="559096.5"/>
    </cacheField>
    <cacheField name="oct-27" uniqueList="1" numFmtId="4" sqlType="0" hierarchy="0" level="0" databaseField="1">
      <sharedItems count="0" containsNumber="1" containsSemiMixedTypes="0" containsString="0" minValue="-257348.52" maxValue="935028.24"/>
    </cacheField>
    <cacheField name="nov-27" uniqueList="1" numFmtId="4" sqlType="0" hierarchy="0" level="0" databaseField="1">
      <sharedItems count="0" containsNumber="1" containsSemiMixedTypes="0" containsString="0" minValue="-410647.96" maxValue="1445320.77"/>
    </cacheField>
    <cacheField name="dic-27" uniqueList="1" numFmtId="4" sqlType="0" hierarchy="0" level="0" databaseField="1">
      <sharedItems count="0" containsNumber="1" containsSemiMixedTypes="0" containsString="0" minValue="-422003.72" maxValue="1585381.72"/>
    </cacheField>
    <cacheField name="Total 2027" uniqueList="1" numFmtId="4" sqlType="0" hierarchy="0" level="0" databaseField="1">
      <sharedItems count="0" containsNumber="1" containsSemiMixedTypes="0" containsString="0" minValue="-4850076.71" maxValue="18100771.19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Ginger Veloz Lino" refreshedDate="46140.57483159722" createdVersion="8" refreshedVersion="8" minRefreshableVersion="3" recordCount="33" r:id="rId1">
  <cacheSource type="worksheet">
    <worksheetSource ref="B2:M35" sheet="Ext Items 2025"/>
  </cacheSource>
  <cacheFields count="12">
    <cacheField name="Fecha de contabilización" uniqueList="1" numFmtId="14" sqlType="0" hierarchy="0" level="0" databaseField="1">
      <sharedItems count="0" containsDate="1" containsNonDate="0" containsSemiMixedTypes="0" containsString="0" minDate="2025-01-03T00:00:00" maxDate="2025-12-03T00:00:00"/>
    </cacheField>
    <cacheField name="Mes report" uniqueList="1" numFmtId="0" sqlType="0" hierarchy="0" level="0" databaseField="1">
      <sharedItems count="11" containsInteger="1" containsNumber="1" containsSemiMixedTypes="0" containsString="0" minValue="1" maxValue="12">
        <n v="1"/>
        <n v="3"/>
        <n v="4"/>
        <n v="5"/>
        <n v="6"/>
        <n v="7"/>
        <n v="9"/>
        <n v="8"/>
        <n v="11"/>
        <n v="12"/>
        <n v="2"/>
      </sharedItems>
    </cacheField>
    <cacheField name="Empresa" uniqueList="1" numFmtId="0" sqlType="0" hierarchy="0" level="0" databaseField="1">
      <sharedItems count="0"/>
    </cacheField>
    <cacheField name="Concepto" uniqueList="1" numFmtId="0" sqlType="0" hierarchy="0" level="0" databaseField="1">
      <sharedItems count="8">
        <s v="Indemnizaciones"/>
        <s v="Costes Transacción"/>
        <s v="Gastos Representación"/>
        <s v="TICS"/>
        <s v="Reparaciones extraordinarias"/>
        <s v="Gastos periodos anteriores"/>
        <s v="Gastos de personal"/>
        <s v="Rappel Dotra (cliente Egipto) 2024"/>
      </sharedItems>
    </cacheField>
    <cacheField name="Factura" uniqueList="1" numFmtId="0" sqlType="0" hierarchy="0" level="0" databaseField="1">
      <sharedItems count="0" containsBlank="1" containsInteger="1" containsMixedTypes="1" containsNumber="1" minValue="25000332" maxValue="3522900376"/>
    </cacheField>
    <cacheField name="Cuenta contable" uniqueList="1" numFmtId="0" sqlType="0" hierarchy="0" level="0" databaseField="1">
      <sharedItems count="0" containsInteger="1" containsNumber="1" containsSemiMixedTypes="0" containsString="0" minValue="622000006" maxValue="709000000"/>
    </cacheField>
    <cacheField name="Normalización" uniqueList="1" numFmtId="0" sqlType="0" hierarchy="0" level="0" databaseField="1">
      <sharedItems count="0"/>
    </cacheField>
    <cacheField name="Nivel 4" uniqueList="1" numFmtId="0" sqlType="0" hierarchy="0" level="0" databaseField="1">
      <sharedItems count="0" containsBlank="1" containsNonDate="0" containsString="0"/>
    </cacheField>
    <cacheField name="Acreedor/Proveedor" uniqueList="1" numFmtId="0" sqlType="0" hierarchy="0" level="0" databaseField="1">
      <sharedItems count="0" containsBlank="1"/>
    </cacheField>
    <cacheField name="Detalle" uniqueList="1" numFmtId="0" sqlType="0" hierarchy="0" level="0" databaseField="1">
      <sharedItems count="0" containsBlank="1"/>
    </cacheField>
    <cacheField name="Importe" uniqueList="1" numFmtId="0" sqlType="0" hierarchy="0" level="0" databaseField="1">
      <sharedItems count="0" containsNumber="1" containsSemiMixedTypes="0" containsString="0" minValue="1800" maxValue="135000"/>
    </cacheField>
    <cacheField name="Importe ('000)" uniqueList="1" numFmtId="0" sqlType="0" hierarchy="0" level="0" databaseField="1">
      <sharedItems count="0" containsNumber="1" containsSemiMixedTypes="0" containsString="0" minValue="1.8" maxValue="135"/>
    </cacheField>
  </cacheFields>
</pivotCacheDefinition>
</file>

<file path=xl/pivotCache/pivotCacheRecords1.xml><?xml version="1.0" encoding="utf-8"?>
<pivotCacheRecords xmlns="http://schemas.openxmlformats.org/spreadsheetml/2006/main" count="202">
  <r>
    <x v="0"/>
    <s v="Codiagro"/>
    <s v="RESULTADO DEL EJERCICIO"/>
    <s v="RESULTADO ANTES DE IMPUESTOS"/>
    <s v="RESULTADO DE LA EXPLOTACION"/>
    <x v="0"/>
    <s v="(700) Ventas"/>
    <s v="700000000 - Ventas de mercaderías"/>
    <s v="-"/>
    <n v="1167113.16"/>
    <n v="1890513.74"/>
    <n v="1813463.02"/>
    <n v="1459999.87"/>
    <n v="2397051.31"/>
    <n v="2377104.03"/>
    <n v="1508195.84"/>
    <n v="962502.99"/>
    <n v="559096.5"/>
    <n v="935028.24"/>
    <n v="1445320.77"/>
    <n v="1585381.72"/>
    <n v="18100771.19"/>
  </r>
  <r>
    <x v="0"/>
    <s v="Codiagro"/>
    <s v="RESULTADO DEL EJERCICIO"/>
    <s v="RESULTADO ANTES DE IMPUESTOS"/>
    <s v="RESULTADO DE LA EXPLOTACION"/>
    <x v="0"/>
    <s v="(700) Ventas"/>
    <s v="700000001 - VENTA MERCADERIAS POR ANTICIP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0) Ventas"/>
    <s v="700000624 - VENTA POR TRANSP. REP. AL CLIENT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1"/>
    <s v="(700) Ventas"/>
    <s v="700001624 - VENTA POR TRANSPORTE REP. AL CLIENTE DEFINITIVO"/>
    <s v="-"/>
    <n v="29809.2"/>
    <n v="21246.7"/>
    <n v="19638.3"/>
    <n v="8004.2"/>
    <n v="38718.8"/>
    <n v="33492"/>
    <n v="13212.8"/>
    <n v="18509.6"/>
    <n v="24148.9"/>
    <n v="23411.3"/>
    <n v="40650.7"/>
    <n v="34380.8"/>
    <n v="305223.3"/>
  </r>
  <r>
    <x v="0"/>
    <s v="Codiagro"/>
    <s v="RESULTADO DEL EJERCICIO"/>
    <s v="RESULTADO ANTES DE IMPUESTOS"/>
    <s v="RESULTADO DE LA EXPLOTACION"/>
    <x v="0"/>
    <s v="(700) Ventas"/>
    <s v="700000769 - INGRESOS POR RETRASOS DE COBRO Y ACTUALIZACI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2"/>
    <s v="(700) Ventas"/>
    <s v="700000769 - INGRESOS POR RETRASOS DE COBRO Y ACTUALIZACI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2) Ventas de productos semiterminados"/>
    <s v="702000000 - Ventas de productos semitermina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3) Ventas por subproductos y residuos"/>
    <s v="703000000 - Ventas de subproductos y residu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4) Venta de envases y embalajes"/>
    <s v="704000000 - Ventas de envases y embalaj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5) Prestación de servicios"/>
    <s v="705000000 - Prestaciones de servic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5) Prestación de servicios"/>
    <s v="705000001 - INGRESO POR GESTIÓN DE ENVASES"/>
    <s v="-"/>
    <n v="2221.91"/>
    <n v="3599.09"/>
    <n v="3452.4"/>
    <n v="2779.49"/>
    <n v="4563.41"/>
    <n v="4525.44"/>
    <n v="2871.25"/>
    <n v="1832.38"/>
    <n v="1064.39"/>
    <n v="1780.07"/>
    <n v="2751.55"/>
    <n v="3018.19"/>
    <n v="34459.57"/>
  </r>
  <r>
    <x v="0"/>
    <s v="Codiagro"/>
    <s v="RESULTADO DEL EJERCICIO"/>
    <s v="RESULTADO ANTES DE IMPUESTOS"/>
    <s v="RESULTADO DE LA EXPLOTACION"/>
    <x v="0"/>
    <s v="(706) Dto. s/vtas p.p."/>
    <s v="706000000 - Dtos. ventas por pronto pago mercaderí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9) Bonificaciones s/ventas"/>
    <s v="709000000 - «Rappels» ventas de mercaderí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9) Bonificaciones s/ventas"/>
    <s v="709000001 - PROVISION RAPPELS"/>
    <s v="-"/>
    <n v="-25602.57"/>
    <n v="-41471.56"/>
    <n v="-39781.32"/>
    <n v="-32027.52"/>
    <n v="-52583.3"/>
    <n v="-52145.72"/>
    <n v="-33084.78"/>
    <n v="-21114.1"/>
    <n v="-12264.71"/>
    <n v="-20511.4"/>
    <n v="-31705.51"/>
    <n v="-34777.98"/>
    <n v="-397070.47"/>
  </r>
  <r>
    <x v="0"/>
    <s v="Codiagro"/>
    <s v="RESULTADO DEL EJERCICIO"/>
    <s v="RESULTADO ANTES DE IMPUESTOS"/>
    <s v="RESULTADO DE LA EXPLOTACION"/>
    <x v="3"/>
    <s v="(771) Beneficios procedentes IM"/>
    <s v="771000000 - Beneficios del inmovilizado materi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4"/>
    <s v="(678) Gastos excepcionales PGC 2008"/>
    <s v="678000000 - Gastos excepcion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4"/>
    <s v="(778) Ingresos excepcionales PGC 2008"/>
    <s v="778000000 - Ingresos excepcion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5"/>
    <s v="(711) Variación de existencias de productos semiterminados"/>
    <s v="711000000 - Variación existencias de prod. semitermina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5"/>
    <s v="(712) Variación de existencias producto terminado"/>
    <s v="712000000 - Variación existencias de prod. termina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1) Compras de materias primas"/>
    <s v="601000000 - Compras de materias primas"/>
    <s v="-"/>
    <n v="-247571.61"/>
    <n v="-480047.38"/>
    <n v="-505499.75"/>
    <n v="-391336.67"/>
    <n v="-639721.61"/>
    <n v="-660412.55"/>
    <n v="-425647.17"/>
    <n v="-255306.21"/>
    <n v="-154533.56"/>
    <n v="-257348.52"/>
    <n v="-410647.96"/>
    <n v="-422003.72"/>
    <n v="-4850076.71"/>
  </r>
  <r>
    <x v="0"/>
    <s v="Codiagro"/>
    <s v="RESULTADO DEL EJERCICIO"/>
    <s v="RESULTADO ANTES DE IMPUESTOS"/>
    <s v="RESULTADO DE LA EXPLOTACION"/>
    <x v="6"/>
    <s v="(602) Compras de otros aprovisionamientos"/>
    <s v="602000001 - COMPRA DE ENVASES Y EMBALAJES"/>
    <s v="-"/>
    <n v="-51110.53"/>
    <n v="-99104.56"/>
    <n v="-104359.14"/>
    <n v="-80790.46000000001"/>
    <n v="-132068.9"/>
    <n v="-136340.49"/>
    <n v="-87873.77"/>
    <n v="-52707.32"/>
    <n v="-31903.06"/>
    <n v="-53128.95"/>
    <n v="-84777.23"/>
    <n v="-87121.59"/>
    <n v="-1001286"/>
  </r>
  <r>
    <x v="0"/>
    <s v="Codiagro"/>
    <s v="RESULTADO DEL EJERCICIO"/>
    <s v="RESULTADO ANTES DE IMPUESTOS"/>
    <s v="RESULTADO DE LA EXPLOTACION"/>
    <x v="6"/>
    <s v="(602) Compras de otros aprovisionamientos"/>
    <s v="602000000 - Compras de otros aprovisionamient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2 - COMPRA DE ETIQUETAS"/>
    <s v="-"/>
    <n v="-7981.03"/>
    <n v="-15475.42"/>
    <n v="-16295.93"/>
    <n v="-12615.62"/>
    <n v="-20622.88"/>
    <n v="-21289.9"/>
    <n v="-13721.7"/>
    <n v="-8230.370000000001"/>
    <n v="-4981.74"/>
    <n v="-8296.209999999999"/>
    <n v="-13238.17"/>
    <n v="-13604.25"/>
    <n v="-156353.22"/>
  </r>
  <r>
    <x v="0"/>
    <s v="Codiagro"/>
    <s v="RESULTADO DEL EJERCICIO"/>
    <s v="RESULTADO ANTES DE IMPUESTOS"/>
    <s v="RESULTADO DE LA EXPLOTACION"/>
    <x v="6"/>
    <s v="(602) Compras de otros aprovisionamientos"/>
    <s v="602000003 - COMPRA DE PALETS"/>
    <s v="-"/>
    <n v="-8300.27"/>
    <n v="-16094.43"/>
    <n v="-16947.77"/>
    <n v="-13120.25"/>
    <n v="-21447.79"/>
    <n v="-22141.49"/>
    <n v="-14270.57"/>
    <n v="-8559.59"/>
    <n v="-5181.01"/>
    <n v="-8628.059999999999"/>
    <n v="-13767.69"/>
    <n v="-14148.42"/>
    <n v="-162607.34"/>
  </r>
  <r>
    <x v="0"/>
    <s v="Codiagro"/>
    <s v="RESULTADO DEL EJERCICIO"/>
    <s v="RESULTADO ANTES DE IMPUESTOS"/>
    <s v="RESULTADO DE LA EXPLOTACION"/>
    <x v="6"/>
    <s v="(602) Compras de otros aprovisionamientos"/>
    <s v="602000004 - COMPRA MATERIAL DE LIMPIEZA"/>
    <s v="-"/>
    <n v="-131.92"/>
    <n v="-131.92"/>
    <n v="-131.92"/>
    <n v="-131.92"/>
    <n v="-131.92"/>
    <n v="-131.92"/>
    <n v="-131.92"/>
    <n v="-131.92"/>
    <n v="-131.92"/>
    <n v="-131.92"/>
    <n v="-131.92"/>
    <n v="-131.92"/>
    <n v="-1583.04"/>
  </r>
  <r>
    <x v="0"/>
    <s v="Codiagro"/>
    <s v="RESULTADO DEL EJERCICIO"/>
    <s v="RESULTADO ANTES DE IMPUESTOS"/>
    <s v="RESULTADO DE LA EXPLOTACION"/>
    <x v="6"/>
    <s v="(602) Compras de otros aprovisionamientos"/>
    <s v="602000005 - COMPRA MATERIAL DE OFICINA"/>
    <s v="-"/>
    <n v="-204.02"/>
    <n v="-204.02"/>
    <n v="-204.02"/>
    <n v="-204.02"/>
    <n v="-204.02"/>
    <n v="-204.02"/>
    <n v="-204.02"/>
    <n v="-204.02"/>
    <n v="-204.02"/>
    <n v="-204.02"/>
    <n v="-204.02"/>
    <n v="-204.02"/>
    <n v="-2448.24"/>
  </r>
  <r>
    <x v="0"/>
    <s v="Codiagro"/>
    <s v="RESULTADO DEL EJERCICIO"/>
    <s v="RESULTADO ANTES DE IMPUESTOS"/>
    <s v="RESULTADO DE LA EXPLOTACION"/>
    <x v="6"/>
    <s v="(602) Compras de otros aprovisionamientos"/>
    <s v="602000006 - COMPRA TAPONES DE ENVASES"/>
    <s v="-"/>
    <n v="-4277.83"/>
    <n v="-8294.82"/>
    <n v="-8734.620000000001"/>
    <n v="-6761.97"/>
    <n v="-11053.86"/>
    <n v="-11411.38"/>
    <n v="-7354.83"/>
    <n v="-4411.48"/>
    <n v="-2670.21"/>
    <n v="-4446.77"/>
    <n v="-7095.66"/>
    <n v="-7291.88"/>
    <n v="-83805.31000000001"/>
  </r>
  <r>
    <x v="0"/>
    <s v="Codiagro"/>
    <s v="RESULTADO DEL EJERCICIO"/>
    <s v="RESULTADO ANTES DE IMPUESTOS"/>
    <s v="RESULTADO DE LA EXPLOTACION"/>
    <x v="6"/>
    <s v="(602) Compras de otros aprovisionamientos"/>
    <s v="602000007 - COMPRAS LABORATOR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8 - RESPUESTOS PLANT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0 - COMPRA RIBB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1 - COMPRAS VARIAS PLANTA"/>
    <s v="-"/>
    <n v="-964.39"/>
    <n v="-964.39"/>
    <n v="-964.39"/>
    <n v="-964.39"/>
    <n v="-964.39"/>
    <n v="-964.39"/>
    <n v="-964.39"/>
    <n v="-964.39"/>
    <n v="-964.39"/>
    <n v="-964.39"/>
    <n v="-964.39"/>
    <n v="-964.39"/>
    <n v="-11572.68"/>
  </r>
  <r>
    <x v="0"/>
    <s v="Codiagro"/>
    <s v="RESULTADO DEL EJERCICIO"/>
    <s v="RESULTADO ANTES DE IMPUESTOS"/>
    <s v="RESULTADO DE LA EXPLOTACION"/>
    <x v="6"/>
    <s v="(602) Compras de otros aprovisionamientos"/>
    <s v="602000012 - REPUESTOS INFORMATICOS"/>
    <s v="-"/>
    <n v="-1559.63"/>
    <n v="-1559.63"/>
    <n v="-1559.63"/>
    <n v="-1559.63"/>
    <n v="-1559.63"/>
    <n v="-1559.63"/>
    <n v="-1559.63"/>
    <n v="-1559.63"/>
    <n v="-1559.63"/>
    <n v="-1559.63"/>
    <n v="-1559.63"/>
    <n v="-1559.63"/>
    <n v="-18715.56"/>
  </r>
  <r>
    <x v="0"/>
    <s v="Codiagro"/>
    <s v="RESULTADO DEL EJERCICIO"/>
    <s v="RESULTADO ANTES DE IMPUESTOS"/>
    <s v="RESULTADO DE LA EXPLOTACION"/>
    <x v="6"/>
    <s v="(602) Compras de otros aprovisionamientos"/>
    <s v="602000013 - COMPRA TINTA INPRESORA ETIQUETAS"/>
    <s v="-"/>
    <n v="-2200"/>
    <n v="-2600"/>
    <n v="-2600"/>
    <n v="-2600"/>
    <n v="-2600"/>
    <n v="-2600"/>
    <n v="-2600"/>
    <n v="-2200"/>
    <n v="-2200"/>
    <n v="-2200"/>
    <n v="-2600"/>
    <n v="-2600"/>
    <n v="-29600"/>
  </r>
  <r>
    <x v="0"/>
    <s v="Codiagro"/>
    <s v="RESULTADO DEL EJERCICIO"/>
    <s v="RESULTADO ANTES DE IMPUESTOS"/>
    <s v="RESULTADO DE LA EXPLOTACION"/>
    <x v="6"/>
    <s v="(602) Compras de otros aprovisionamientos"/>
    <s v="602000100 - ENVASES Y EMBALAJES A DEVOLVER"/>
    <s v="-"/>
    <n v="-183.2"/>
    <n v="-183.2"/>
    <n v="-183.2"/>
    <n v="-183.2"/>
    <n v="-183.2"/>
    <n v="-183.2"/>
    <n v="-183.2"/>
    <n v="-183.2"/>
    <n v="-183.2"/>
    <n v="-183.2"/>
    <n v="-183.2"/>
    <n v="-183.2"/>
    <n v="-2198.4"/>
  </r>
  <r>
    <x v="0"/>
    <s v="Codiagro"/>
    <s v="RESULTADO DEL EJERCICIO"/>
    <s v="RESULTADO ANTES DE IMPUESTOS"/>
    <s v="RESULTADO DE LA EXPLOTACION"/>
    <x v="6"/>
    <s v="(607) Trabajos realizados por otras empresas"/>
    <s v="607000000 - Trabajos realizados por otras empresas"/>
    <s v="-"/>
    <n v="-5500"/>
    <n v="-7500"/>
    <n v="-7500"/>
    <n v="-7500"/>
    <n v="-7500"/>
    <n v="-7500"/>
    <n v="-7500"/>
    <n v="-5500"/>
    <n v="-5500"/>
    <n v="-5500"/>
    <n v="-7500"/>
    <n v="-7500"/>
    <n v="-82000"/>
  </r>
  <r>
    <x v="0"/>
    <s v="Codiagro"/>
    <s v="RESULTADO DEL EJERCICIO"/>
    <s v="RESULTADO ANTES DE IMPUESTOS"/>
    <s v="RESULTADO DE LA EXPLOTACION"/>
    <x v="6"/>
    <s v="(611) Variación de existencias de materias primas"/>
    <s v="611000000 - Variación de existencias de materias primas"/>
    <s v="-"/>
    <n v="0"/>
    <n v="0"/>
    <n v="0"/>
    <n v="0"/>
    <n v="0"/>
    <n v="0"/>
    <n v="0"/>
    <n v="0"/>
    <n v="0"/>
    <n v="0"/>
    <n v="0"/>
    <n v="-15000"/>
    <n v="-15000"/>
  </r>
  <r>
    <x v="0"/>
    <s v="Codiagro"/>
    <s v="RESULTADO DEL EJERCICIO"/>
    <s v="RESULTADO ANTES DE IMPUESTOS"/>
    <s v="RESULTADO DE LA EXPLOTACION"/>
    <x v="6"/>
    <s v="(612) Variación de existencias envases/etiquetas"/>
    <s v="612000000 - Variación de existencias otros aprovisionamientos"/>
    <s v="-"/>
    <n v="0"/>
    <n v="0"/>
    <n v="0"/>
    <n v="0"/>
    <n v="0"/>
    <n v="0"/>
    <n v="0"/>
    <n v="0"/>
    <n v="0"/>
    <n v="0"/>
    <n v="0"/>
    <n v="10000"/>
    <n v="10000"/>
  </r>
  <r>
    <x v="0"/>
    <s v="Codiagro"/>
    <s v="RESULTADO DEL EJERCICIO"/>
    <s v="RESULTADO ANTES DE IMPUESTOS"/>
    <s v="RESULTADO DE LA EXPLOTACION"/>
    <x v="1"/>
    <s v="(759) Otros ingresos de gestión"/>
    <s v="759000000 - Ingresos por servicios divers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0) Sueldos y salarios"/>
    <s v="640000000 - Sueldos y salarios"/>
    <s v="-"/>
    <n v="-127379.94"/>
    <n v="-127379.94"/>
    <n v="-127379.94"/>
    <n v="-127379.94"/>
    <n v="-127379.94"/>
    <n v="-127379.94"/>
    <n v="-127379.94"/>
    <n v="-127379.94"/>
    <n v="-127379.94"/>
    <n v="-127379.94"/>
    <n v="-127379.94"/>
    <n v="-404896.66"/>
    <n v="-1806076"/>
  </r>
  <r>
    <x v="0"/>
    <s v="Codiagro"/>
    <s v="RESULTADO DEL EJERCICIO"/>
    <s v="RESULTADO ANTES DE IMPUESTOS"/>
    <s v="RESULTADO DE LA EXPLOTACION"/>
    <x v="7"/>
    <s v="(642) Seguridad social a cargo empresa"/>
    <s v="642000000 - Seguridad Social a cargo empresa"/>
    <s v="-"/>
    <n v="-35002.8"/>
    <n v="-35002.8"/>
    <n v="-35002.8"/>
    <n v="-35002.8"/>
    <n v="-35002.8"/>
    <n v="-35002.8"/>
    <n v="-35002.8"/>
    <n v="-35002.8"/>
    <n v="-35002.8"/>
    <n v="-35002.8"/>
    <n v="-35002.8"/>
    <n v="-35002.8"/>
    <n v="-420033.5999999999"/>
  </r>
  <r>
    <x v="0"/>
    <s v="Codiagro"/>
    <s v="RESULTADO DEL EJERCICIO"/>
    <s v="RESULTADO ANTES DE IMPUESTOS"/>
    <s v="RESULTADO DE LA EXPLOTACION"/>
    <x v="7"/>
    <s v="(649) Otros gastos sociales"/>
    <s v="649000000 - Otros gastos so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1 - GASTOS COMERCIALES NIEVES RUI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2 - GASTOS EMPR. ANTONIO ANDREU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4 - GASTOS COMERCIALES RICARDO PER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7 - GASTOS COMERCIALES J.PARED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9 - GASTOS COMERCIALES J.A.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0 - GASTOS EMP. CURR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2 - GASTOS COMERCIALES IRENE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0 - GTOS. CURSOS PERSONAL"/>
    <s v="-"/>
    <n v="0"/>
    <n v="0"/>
    <n v="0"/>
    <n v="0"/>
    <n v="0"/>
    <n v="0"/>
    <n v="0"/>
    <n v="0"/>
    <n v="0"/>
    <n v="0"/>
    <n v="-1000"/>
    <n v="-1500"/>
    <n v="-2500"/>
  </r>
  <r>
    <x v="0"/>
    <s v="Codiagro"/>
    <s v="RESULTADO DEL EJERCICIO"/>
    <s v="RESULTADO ANTES DE IMPUESTOS"/>
    <s v="RESULTADO DE LA EXPLOTACION"/>
    <x v="7"/>
    <s v="(649) Otros gastos sociales"/>
    <s v="649000101 - GTOS. SEG. Y RIESGOS PERSON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2 - GASTOS ROPA UNIFORMES TRABAJADO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3 - GASTOS COMBUSTIBLE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1 - GTOS. COMIDAS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2 - GASTOS TRAB. EMPRESA VAR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0) Gastos de investigación y desarrollo"/>
    <s v="620000002 - COMPRAS LABORATORIO"/>
    <s v="-"/>
    <n v="-322.5"/>
    <n v="-322.5"/>
    <n v="-322.5"/>
    <n v="-322.5"/>
    <n v="-322.5"/>
    <n v="-322.5"/>
    <n v="-322.5"/>
    <n v="-322.5"/>
    <n v="-322.5"/>
    <n v="-322.5"/>
    <n v="-322.5"/>
    <n v="-322.5"/>
    <n v="-3870"/>
  </r>
  <r>
    <x v="0"/>
    <s v="Codiagro"/>
    <s v="RESULTADO DEL EJERCICIO"/>
    <s v="RESULTADO ANTES DE IMPUESTOS"/>
    <s v="RESULTADO DE LA EXPLOTACION"/>
    <x v="8"/>
    <s v="(620) Gastos de investigación y desarrollo"/>
    <s v="620000003 - SUMINISTROS LABORATORIO"/>
    <s v="-"/>
    <n v="-812.59"/>
    <n v="-812.59"/>
    <n v="-812.59"/>
    <n v="-812.59"/>
    <n v="-812.59"/>
    <n v="-812.59"/>
    <n v="-812.59"/>
    <n v="-812.59"/>
    <n v="-812.59"/>
    <n v="-812.59"/>
    <n v="-812.59"/>
    <n v="-812.59"/>
    <n v="-9751.08"/>
  </r>
  <r>
    <x v="0"/>
    <s v="Codiagro"/>
    <s v="RESULTADO DEL EJERCICIO"/>
    <s v="RESULTADO ANTES DE IMPUESTOS"/>
    <s v="RESULTADO DE LA EXPLOTACION"/>
    <x v="8"/>
    <s v="(620) Gastos de investigación y desarrollo"/>
    <s v="620000004 - GTOS. ANALISIS LABORATORIOS"/>
    <s v="-"/>
    <n v="-1229.19"/>
    <n v="-1229.19"/>
    <n v="-1229.19"/>
    <n v="-1229.19"/>
    <n v="-1229.19"/>
    <n v="-1229.19"/>
    <n v="-1229.19"/>
    <n v="-1229.19"/>
    <n v="-1229.19"/>
    <n v="-1229.19"/>
    <n v="-1229.19"/>
    <n v="-1229.19"/>
    <n v="-14750.28"/>
  </r>
  <r>
    <x v="0"/>
    <s v="Codiagro"/>
    <s v="RESULTADO DEL EJERCICIO"/>
    <s v="RESULTADO ANTES DE IMPUESTOS"/>
    <s v="RESULTADO DE LA EXPLOTACION"/>
    <x v="8"/>
    <s v="(621) Arrendamientos y cánones"/>
    <s v="621000001 - ALQUILER OFICINA CARTAGENA"/>
    <s v="-"/>
    <n v="-192"/>
    <n v="-192"/>
    <n v="-192"/>
    <n v="-192"/>
    <n v="-192"/>
    <n v="-192"/>
    <n v="-192"/>
    <n v="-192"/>
    <n v="-192"/>
    <n v="-192"/>
    <n v="-192"/>
    <n v="-192"/>
    <n v="-2304"/>
  </r>
  <r>
    <x v="0"/>
    <s v="Codiagro"/>
    <s v="RESULTADO DEL EJERCICIO"/>
    <s v="RESULTADO ANTES DE IMPUESTOS"/>
    <s v="RESULTADO DE LA EXPLOTACION"/>
    <x v="8"/>
    <s v="(621) Arrendamientos y cánones"/>
    <s v="621000014 - ALQUILER MURANO"/>
    <s v="-"/>
    <n v="-1877.6"/>
    <n v="-1877.6"/>
    <n v="-1877.6"/>
    <n v="-1877.6"/>
    <n v="-1877.6"/>
    <n v="-1877.6"/>
    <n v="-1877.6"/>
    <n v="-1877.6"/>
    <n v="-1877.6"/>
    <n v="-1877.6"/>
    <n v="-1877.6"/>
    <n v="-1877.6"/>
    <n v="-22531.2"/>
  </r>
  <r>
    <x v="0"/>
    <s v="Codiagro"/>
    <s v="RESULTADO DEL EJERCICIO"/>
    <s v="RESULTADO ANTES DE IMPUESTOS"/>
    <s v="RESULTADO DE LA EXPLOTACION"/>
    <x v="8"/>
    <s v="(621) Arrendamientos y cánones"/>
    <s v="621000023 - RENTING TRANSPALETA ELECTRICA DE PI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4 - ALQUILER RENTING 2255KXN ANTONIO"/>
    <s v="-"/>
    <n v="-361.46"/>
    <n v="-361.46"/>
    <n v="-361.46"/>
    <n v="-361.46"/>
    <n v="-361.46"/>
    <n v="-361.46"/>
    <n v="-361.46"/>
    <n v="-361.46"/>
    <n v="-361.46"/>
    <n v="-361.46"/>
    <n v="-361.46"/>
    <n v="-361.46"/>
    <n v="-4337.52"/>
  </r>
  <r>
    <x v="0"/>
    <s v="Codiagro"/>
    <s v="RESULTADO DEL EJERCICIO"/>
    <s v="RESULTADO ANTES DE IMPUESTOS"/>
    <s v="RESULTADO DE LA EXPLOTACION"/>
    <x v="8"/>
    <s v="(621) Arrendamientos y cánones"/>
    <s v="621000025 - ALQUILER RENTING 9128 LBT NIEV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6 - ALQUILER RENTING 9319LCL CURRO"/>
    <s v="-"/>
    <n v="-369.97"/>
    <n v="-369.97"/>
    <n v="-369.97"/>
    <n v="-369.97"/>
    <n v="-369.97"/>
    <n v="-369.97"/>
    <n v="-369.97"/>
    <n v="-369.97"/>
    <n v="-369.97"/>
    <n v="-369.97"/>
    <n v="-369.97"/>
    <n v="-369.97"/>
    <n v="-4439.640000000001"/>
  </r>
  <r>
    <x v="0"/>
    <s v="Codiagro"/>
    <s v="RESULTADO DEL EJERCICIO"/>
    <s v="RESULTADO ANTES DE IMPUESTOS"/>
    <s v="RESULTADO DE LA EXPLOTACION"/>
    <x v="8"/>
    <s v="(621) Arrendamientos y cánones"/>
    <s v="621000030 - ALQUILER RENTING 1075-LSC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1 - ALQUILER RENTING KONICA-MINOLTA Y KYOCERA"/>
    <s v="-"/>
    <n v="-338"/>
    <n v="-338"/>
    <n v="-338"/>
    <n v="-338"/>
    <n v="-338"/>
    <n v="-338"/>
    <n v="-338"/>
    <n v="-338"/>
    <n v="-338"/>
    <n v="-338"/>
    <n v="-338"/>
    <n v="-338"/>
    <n v="-4056"/>
  </r>
  <r>
    <x v="0"/>
    <s v="Codiagro"/>
    <s v="RESULTADO DEL EJERCICIO"/>
    <s v="RESULTADO ANTES DE IMPUESTOS"/>
    <s v="RESULTADO DE LA EXPLOTACION"/>
    <x v="8"/>
    <s v="(621) Arrendamientos y cánones"/>
    <s v="621000032 - ALQUILER RENTING 6665-LVK JOSE JUAN"/>
    <s v="-"/>
    <n v="-470.16"/>
    <n v="-470.16"/>
    <n v="-470.16"/>
    <n v="-470.16"/>
    <n v="-470.16"/>
    <n v="-470.16"/>
    <n v="-470.16"/>
    <n v="-470.16"/>
    <n v="-470.16"/>
    <n v="-470.16"/>
    <n v="-470.16"/>
    <n v="-470.16"/>
    <n v="-5641.919999999999"/>
  </r>
  <r>
    <x v="0"/>
    <s v="Codiagro"/>
    <s v="RESULTADO DEL EJERCICIO"/>
    <s v="RESULTADO ANTES DE IMPUESTOS"/>
    <s v="RESULTADO DE LA EXPLOTACION"/>
    <x v="8"/>
    <s v="(621) Arrendamientos y cánones"/>
    <s v="621000033 - ALQUILER RENTING 2612-MBY ANTONIO"/>
    <s v="-"/>
    <n v="-345.06"/>
    <n v="-345.06"/>
    <n v="-345.06"/>
    <n v="-345.06"/>
    <n v="-345.06"/>
    <n v="-345.06"/>
    <n v="-345.06"/>
    <n v="-345.06"/>
    <n v="-345.06"/>
    <n v="-345.06"/>
    <n v="-345.06"/>
    <n v="-345.06"/>
    <n v="-4140.72"/>
  </r>
  <r>
    <x v="0"/>
    <s v="Codiagro"/>
    <s v="RESULTADO DEL EJERCICIO"/>
    <s v="RESULTADO ANTES DE IMPUESTOS"/>
    <s v="RESULTADO DE LA EXPLOTACION"/>
    <x v="8"/>
    <s v="(621) Arrendamientos y cánones"/>
    <s v="621000034 - ALQUILER RENTING 3108-LZM NIEVES"/>
    <s v="-"/>
    <n v="-813.6900000000001"/>
    <n v="-813.6900000000001"/>
    <n v="-813.6900000000001"/>
    <n v="-813.6900000000001"/>
    <n v="-813.6900000000001"/>
    <n v="-813.6900000000001"/>
    <n v="-813.6900000000001"/>
    <n v="-813.6900000000001"/>
    <n v="-813.6900000000001"/>
    <n v="-813.6900000000001"/>
    <n v="-813.6900000000001"/>
    <n v="-813.6900000000001"/>
    <n v="-9764.280000000002"/>
  </r>
  <r>
    <x v="0"/>
    <s v="Codiagro"/>
    <s v="RESULTADO DEL EJERCICIO"/>
    <s v="RESULTADO ANTES DE IMPUESTOS"/>
    <s v="RESULTADO DE LA EXPLOTACION"/>
    <x v="8"/>
    <s v="(621) Arrendamientos y cánones"/>
    <s v="621000035 - ALQUILER RENTING 2142-MCS RICARD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6 - ALQUILER RENTING 3277-MDX JAVIE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7 - CARRETILLA STILL ELEKTROSTAPLER 516213H00521"/>
    <s v="-"/>
    <n v="-228.57"/>
    <n v="-228.57"/>
    <n v="-228.57"/>
    <n v="-228.57"/>
    <n v="-228.57"/>
    <n v="-228.57"/>
    <n v="-228.57"/>
    <n v="-228.57"/>
    <n v="-228.57"/>
    <n v="-228.57"/>
    <n v="-228.57"/>
    <n v="-228.57"/>
    <n v="-2742.84"/>
  </r>
  <r>
    <x v="0"/>
    <s v="Codiagro"/>
    <s v="RESULTADO DEL EJERCICIO"/>
    <s v="RESULTADO ANTES DE IMPUESTOS"/>
    <s v="RESULTADO DE LA EXPLOTACION"/>
    <x v="8"/>
    <s v="(621) Arrendamientos y cánones"/>
    <s v="621000038 - CARRETILLA STILL ELEKTROSTAPLER 516223J00123"/>
    <s v="-"/>
    <n v="-228.82"/>
    <n v="-228.82"/>
    <n v="-228.82"/>
    <n v="-228.82"/>
    <n v="-228.82"/>
    <n v="-228.82"/>
    <n v="-228.82"/>
    <n v="-228.82"/>
    <n v="-228.82"/>
    <n v="-228.82"/>
    <n v="-228.82"/>
    <n v="-228.82"/>
    <n v="-2745.84"/>
  </r>
  <r>
    <x v="0"/>
    <s v="Codiagro"/>
    <s v="RESULTADO DEL EJERCICIO"/>
    <s v="RESULTADO ANTES DE IMPUESTOS"/>
    <s v="RESULTADO DE LA EXPLOTACION"/>
    <x v="8"/>
    <s v="(621) Arrendamientos y cánones"/>
    <s v="621000039 - ALQUILER RENTING 5043-MWW CURRO"/>
    <s v="-"/>
    <n v="-482.36"/>
    <n v="-482.36"/>
    <n v="-482.36"/>
    <n v="-482.36"/>
    <n v="-482.36"/>
    <n v="-482.36"/>
    <n v="-482.36"/>
    <n v="-482.36"/>
    <n v="-482.36"/>
    <n v="-482.36"/>
    <n v="-482.36"/>
    <n v="-482.36"/>
    <n v="-5788.32"/>
  </r>
  <r>
    <x v="0"/>
    <s v="Codiagro"/>
    <s v="RESULTADO DEL EJERCICIO"/>
    <s v="RESULTADO ANTES DE IMPUESTOS"/>
    <s v="RESULTADO DE LA EXPLOTACION"/>
    <x v="8"/>
    <s v="(621) Arrendamientos y cánones"/>
    <s v="621000040 - ALQUILER RENTING 8917-MZT JAVIER"/>
    <s v="-"/>
    <n v="-1557.86"/>
    <n v="-1557.86"/>
    <n v="-1557.86"/>
    <n v="-1557.86"/>
    <n v="-1557.86"/>
    <n v="-1557.86"/>
    <n v="-1557.86"/>
    <n v="-1557.86"/>
    <n v="-1557.86"/>
    <n v="-1557.86"/>
    <n v="-1557.86"/>
    <n v="-1557.86"/>
    <n v="-18694.32"/>
  </r>
  <r>
    <x v="0"/>
    <s v="Codiagro"/>
    <s v="RESULTADO DEL EJERCICIO"/>
    <s v="RESULTADO ANTES DE IMPUESTOS"/>
    <s v="RESULTADO DE LA EXPLOTACION"/>
    <x v="8"/>
    <s v="(621) Arrendamientos y cánones"/>
    <s v="621000041 - ALQUILER RENTING 8929-MZT RICARDO"/>
    <s v="-"/>
    <n v="-1338.15"/>
    <n v="-1338.15"/>
    <n v="-1338.15"/>
    <n v="-1338.15"/>
    <n v="-1338.15"/>
    <n v="-1338.15"/>
    <n v="-1338.15"/>
    <n v="-1338.15"/>
    <n v="-1338.15"/>
    <n v="-1338.15"/>
    <n v="-1338.15"/>
    <n v="-1338.15"/>
    <n v="-16057.8"/>
  </r>
  <r>
    <x v="0"/>
    <s v="Codiagro"/>
    <s v="RESULTADO DEL EJERCICIO"/>
    <s v="RESULTADO ANTES DE IMPUESTOS"/>
    <s v="RESULTADO DE LA EXPLOTACION"/>
    <x v="8"/>
    <s v="(621) Arrendamientos y cánones"/>
    <s v="621000042 - ALQUILER RENTING 4946-NFH GARCIA"/>
    <s v="-"/>
    <n v="-645.34"/>
    <n v="-645.34"/>
    <n v="-645.34"/>
    <n v="-645.34"/>
    <n v="-645.34"/>
    <n v="-645.34"/>
    <n v="-645.34"/>
    <n v="-645.34"/>
    <n v="-645.34"/>
    <n v="-645.34"/>
    <n v="-645.34"/>
    <n v="-645.34"/>
    <n v="-7744.080000000001"/>
  </r>
  <r>
    <x v="0"/>
    <s v="Codiagro"/>
    <s v="RESULTADO DEL EJERCICIO"/>
    <s v="RESULTADO ANTES DE IMPUESTOS"/>
    <s v="RESULTADO DE LA EXPLOTACION"/>
    <x v="8"/>
    <s v="(621) Arrendamientos y cánones"/>
    <s v="621000044 - ALQUILER COMPRESOR DE TORNILLO 37KW KAESER BSD 75C"/>
    <s v="-"/>
    <n v="-1600"/>
    <n v="-1600"/>
    <n v="-1600"/>
    <n v="-1600"/>
    <n v="-1600"/>
    <n v="-1600"/>
    <n v="-1600"/>
    <n v="-1600"/>
    <n v="-1600"/>
    <n v="-1600"/>
    <n v="-1600"/>
    <n v="-1600"/>
    <n v="-19200"/>
  </r>
  <r>
    <x v="0"/>
    <s v="Codiagro"/>
    <s v="RESULTADO DEL EJERCICIO"/>
    <s v="RESULTADO ANTES DE IMPUESTOS"/>
    <s v="RESULTADO DE LA EXPLOTACION"/>
    <x v="8"/>
    <s v="(621) Arrendamientos y cánones"/>
    <s v="621000045 - ALQUILER RENTING 3421-NJT PERE"/>
    <s v="-"/>
    <n v="-1093.31"/>
    <n v="-1093.31"/>
    <n v="-1093.31"/>
    <n v="-1093.31"/>
    <n v="-1093.31"/>
    <n v="-1093.31"/>
    <n v="-1093.31"/>
    <n v="-1093.31"/>
    <n v="-1093.31"/>
    <n v="-1093.31"/>
    <n v="-1093.31"/>
    <n v="-1093.31"/>
    <n v="-13119.72"/>
  </r>
  <r>
    <x v="0"/>
    <s v="Codiagro"/>
    <s v="RESULTADO DEL EJERCICIO"/>
    <s v="RESULTADO ANTES DE IMPUESTOS"/>
    <s v="RESULTADO DE LA EXPLOTACION"/>
    <x v="8"/>
    <s v="(621) Arrendamientos y cánones"/>
    <s v="621000046 - ALQUILER CARRETILLAS"/>
    <s v="-"/>
    <n v="-677.75"/>
    <n v="-677.75"/>
    <n v="-677.75"/>
    <n v="-677.75"/>
    <n v="-677.75"/>
    <n v="-677.75"/>
    <n v="-677.75"/>
    <n v="-677.75"/>
    <n v="-677.75"/>
    <n v="-677.75"/>
    <n v="-677.75"/>
    <n v="-677.75"/>
    <n v="-8133"/>
  </r>
  <r>
    <x v="0"/>
    <s v="Codiagro"/>
    <s v="RESULTADO DEL EJERCICIO"/>
    <s v="RESULTADO ANTES DE IMPUESTOS"/>
    <s v="RESULTADO DE LA EXPLOTACION"/>
    <x v="8"/>
    <s v="(622) Reparación/conservación/mantenimiento"/>
    <s v="622000001 - REPAR. EQUIPOS INFORM. Y FOTOCOPIADORAS"/>
    <s v="-"/>
    <n v="-748.65"/>
    <n v="-748.65"/>
    <n v="-748.65"/>
    <n v="-748.65"/>
    <n v="-748.65"/>
    <n v="-748.65"/>
    <n v="-748.65"/>
    <n v="-748.65"/>
    <n v="-748.65"/>
    <n v="-748.65"/>
    <n v="-748.65"/>
    <n v="-748.65"/>
    <n v="-8983.799999999997"/>
  </r>
  <r>
    <x v="0"/>
    <s v="Codiagro"/>
    <s v="RESULTADO DEL EJERCICIO"/>
    <s v="RESULTADO ANTES DE IMPUESTOS"/>
    <s v="RESULTADO DE LA EXPLOTACION"/>
    <x v="8"/>
    <s v="(622) Reparación/conservación/mantenimiento"/>
    <s v="622000004 - REP. Y CONSERV. CARRETILLA ELECTRICA"/>
    <s v="-"/>
    <n v="-731.87"/>
    <n v="-731.87"/>
    <n v="-731.87"/>
    <n v="-731.87"/>
    <n v="-731.87"/>
    <n v="-731.87"/>
    <n v="-731.87"/>
    <n v="-731.87"/>
    <n v="-731.87"/>
    <n v="-731.87"/>
    <n v="-731.87"/>
    <n v="-731.87"/>
    <n v="-8782.440000000001"/>
  </r>
  <r>
    <x v="0"/>
    <s v="Codiagro"/>
    <s v="RESULTADO DEL EJERCICIO"/>
    <s v="RESULTADO ANTES DE IMPUESTOS"/>
    <s v="RESULTADO DE LA EXPLOTACION"/>
    <x v="8"/>
    <s v="(622) Reparación/conservación/mantenimiento"/>
    <s v="622000005 - REP. Y MANT. EQUIPOS SEGURIDAD"/>
    <s v="-"/>
    <n v="-122.19"/>
    <n v="-122.19"/>
    <n v="-122.19"/>
    <n v="-122.19"/>
    <n v="-122.19"/>
    <n v="-122.19"/>
    <n v="-122.19"/>
    <n v="-122.19"/>
    <n v="-122.19"/>
    <n v="-122.19"/>
    <n v="-122.19"/>
    <n v="-122.19"/>
    <n v="-1466.28"/>
  </r>
  <r>
    <x v="0"/>
    <s v="Codiagro"/>
    <s v="RESULTADO DEL EJERCICIO"/>
    <s v="RESULTADO ANTES DE IMPUESTOS"/>
    <s v="RESULTADO DE LA EXPLOTACION"/>
    <x v="8"/>
    <s v="(622) Reparación/conservación/mantenimiento"/>
    <s v="622000006 - REP. Y MANT. INSTALACIONES VARIAS"/>
    <s v="-"/>
    <n v="-3015.5"/>
    <n v="-800"/>
    <n v="-800"/>
    <n v="-800"/>
    <n v="-800"/>
    <n v="-800"/>
    <n v="-800"/>
    <n v="-3174.84"/>
    <n v="-3128.9"/>
    <n v="-2577.65"/>
    <n v="-800"/>
    <n v="-1351.25"/>
    <n v="-18848.14"/>
  </r>
  <r>
    <x v="0"/>
    <s v="Codiagro"/>
    <s v="RESULTADO DEL EJERCICIO"/>
    <s v="RESULTADO ANTES DE IMPUESTOS"/>
    <s v="RESULTADO DE LA EXPLOTACION"/>
    <x v="8"/>
    <s v="(622) Reparación/conservación/mantenimiento"/>
    <s v="622000007 - REP. Y MANT. HYUNDAI 0377CJG"/>
    <s v="-"/>
    <n v="-249.63"/>
    <n v="-249.63"/>
    <n v="-249.63"/>
    <n v="-249.63"/>
    <n v="-249.63"/>
    <n v="-249.63"/>
    <n v="-249.63"/>
    <n v="-249.63"/>
    <n v="-249.63"/>
    <n v="-249.63"/>
    <n v="-249.63"/>
    <n v="-249.63"/>
    <n v="-2995.560000000001"/>
  </r>
  <r>
    <x v="0"/>
    <s v="Codiagro"/>
    <s v="RESULTADO DEL EJERCICIO"/>
    <s v="RESULTADO ANTES DE IMPUESTOS"/>
    <s v="RESULTADO DE LA EXPLOTACION"/>
    <x v="8"/>
    <s v="(622) Reparación/conservación/mantenimiento"/>
    <s v="622000008 - REP. Y MANT. MAQUINA BARREDORA"/>
    <s v="-"/>
    <n v="-515.01"/>
    <n v="-515.01"/>
    <n v="-515.01"/>
    <n v="-515.01"/>
    <n v="-515.01"/>
    <n v="-515.01"/>
    <n v="-515.01"/>
    <n v="-515.01"/>
    <n v="-515.01"/>
    <n v="-515.01"/>
    <n v="-515.01"/>
    <n v="-515.01"/>
    <n v="-6180.120000000002"/>
  </r>
  <r>
    <x v="0"/>
    <s v="Codiagro"/>
    <s v="RESULTADO DEL EJERCICIO"/>
    <s v="RESULTADO ANTES DE IMPUESTOS"/>
    <s v="RESULTADO DE LA EXPLOTACION"/>
    <x v="8"/>
    <s v="(622) Reparación/conservación/mantenimiento"/>
    <s v="622000009 - REP. Y MANT. FURGONETA 2589CRJ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00012 - LIMPIEZA OFICINAS, LABORATORIO Y VESTUARIOS"/>
    <s v="-"/>
    <n v="-935.11"/>
    <n v="-935.11"/>
    <n v="-935.11"/>
    <n v="-935.11"/>
    <n v="-935.11"/>
    <n v="-935.11"/>
    <n v="-935.11"/>
    <n v="-935.11"/>
    <n v="-935.11"/>
    <n v="-935.11"/>
    <n v="-935.11"/>
    <n v="-935.11"/>
    <n v="-11221.32"/>
  </r>
  <r>
    <x v="0"/>
    <s v="Codiagro"/>
    <s v="RESULTADO DEL EJERCICIO"/>
    <s v="RESULTADO ANTES DE IMPUESTOS"/>
    <s v="RESULTADO DE LA EXPLOTACION"/>
    <x v="8"/>
    <s v="(622) Reparación/conservación/mantenimiento"/>
    <s v="622010000 MANTENIMIENTO"/>
    <s v="-"/>
    <n v="-1472.45"/>
    <n v="-1472.45"/>
    <n v="-1472.45"/>
    <n v="-1472.45"/>
    <n v="-1472.45"/>
    <n v="-1472.45"/>
    <n v="-1472.45"/>
    <n v="-1472.45"/>
    <n v="-1472.45"/>
    <n v="-1472.45"/>
    <n v="-1472.45"/>
    <n v="-1472.45"/>
    <n v="-17669.40000000001"/>
  </r>
  <r>
    <x v="0"/>
    <s v="Codiagro"/>
    <s v="RESULTADO DEL EJERCICIO"/>
    <s v="RESULTADO ANTES DE IMPUESTOS"/>
    <s v="RESULTADO DE LA EXPLOTACION"/>
    <x v="8"/>
    <s v="(622) Reparación/conservación/mantenimiento"/>
    <s v="622010001 - MANTENIMIENTO REPUESTO COMPRA AMAZ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200 - ALCAPLANT"/>
    <s v="-"/>
    <n v="0"/>
    <n v="0"/>
    <n v="0"/>
    <n v="-554.4"/>
    <n v="0"/>
    <n v="0"/>
    <n v="0"/>
    <n v="-1050"/>
    <n v="-840"/>
    <n v="-3150"/>
    <n v="0"/>
    <n v="0"/>
    <n v="-5594.4"/>
  </r>
  <r>
    <x v="0"/>
    <s v="Codiagro"/>
    <s v="RESULTADO DEL EJERCICIO"/>
    <s v="RESULTADO ANTES DE IMPUESTOS"/>
    <s v="RESULTADO DE LA EXPLOTACION"/>
    <x v="8"/>
    <s v="(622) Reparación/conservación/mantenimiento"/>
    <s v="622010201 - REPARACIONES ALCAPLANT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300 - SOLIDOS"/>
    <s v="-"/>
    <n v="-367.5"/>
    <n v="-367.5"/>
    <n v="-367.5"/>
    <n v="-367.5"/>
    <n v="-367.5"/>
    <n v="-367.5"/>
    <n v="-367.5"/>
    <n v="-367.5"/>
    <n v="-367.5"/>
    <n v="-367.5"/>
    <n v="-2992.5"/>
    <n v="-367.5"/>
    <n v="-7035"/>
  </r>
  <r>
    <x v="0"/>
    <s v="Codiagro"/>
    <s v="RESULTADO DEL EJERCICIO"/>
    <s v="RESULTADO ANTES DE IMPUESTOS"/>
    <s v="RESULTADO DE LA EXPLOTACION"/>
    <x v="8"/>
    <s v="(622) Reparación/conservación/mantenimiento"/>
    <s v="622010400 - LIQUIDOS"/>
    <s v="-"/>
    <n v="-420"/>
    <n v="0"/>
    <n v="0"/>
    <n v="-630"/>
    <n v="0"/>
    <n v="0"/>
    <n v="0"/>
    <n v="0"/>
    <n v="-3885"/>
    <n v="-1155"/>
    <n v="0"/>
    <n v="0"/>
    <n v="-6090"/>
  </r>
  <r>
    <x v="0"/>
    <s v="Codiagro"/>
    <s v="RESULTADO DEL EJERCICIO"/>
    <s v="RESULTADO ANTES DE IMPUESTOS"/>
    <s v="RESULTADO DE LA EXPLOTACION"/>
    <x v="8"/>
    <s v="(622) Reparación/conservación/mantenimiento"/>
    <s v="622010500 - REPUESTOS MANT. VARIOS"/>
    <s v="-"/>
    <n v="-262.5"/>
    <n v="-262.5"/>
    <n v="-262.5"/>
    <n v="-262.5"/>
    <n v="-262.5"/>
    <n v="-262.5"/>
    <n v="-262.5"/>
    <n v="-262.5"/>
    <n v="-367.5"/>
    <n v="-262.5"/>
    <n v="-262.5"/>
    <n v="-262.5"/>
    <n v="-3255"/>
  </r>
  <r>
    <x v="0"/>
    <s v="Codiagro"/>
    <s v="RESULTADO DEL EJERCICIO"/>
    <s v="RESULTADO ANTES DE IMPUESTOS"/>
    <s v="RESULTADO DE LA EXPLOTACION"/>
    <x v="8"/>
    <s v="(622) Reparación/conservación/mantenimiento"/>
    <s v="622010501 - REP. MANT. FONTANER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000001 - SERV. PROF. INDEPENDIENTES"/>
    <s v="-"/>
    <n v="-6000"/>
    <n v="-6000"/>
    <n v="-6000"/>
    <n v="-6000"/>
    <n v="-6000"/>
    <n v="-6000"/>
    <n v="-6000"/>
    <n v="-6000"/>
    <n v="-6000"/>
    <n v="-6000"/>
    <n v="-6000"/>
    <n v="-8000"/>
    <n v="-74000"/>
  </r>
  <r>
    <x v="0"/>
    <s v="Codiagro"/>
    <s v="RESULTADO DEL EJERCICIO"/>
    <s v="RESULTADO ANTES DE IMPUESTOS"/>
    <s v="RESULTADO DE LA EXPLOTACION"/>
    <x v="8"/>
    <s v="(623) Servicios profesionales independientes"/>
    <s v="623000002 - SERVICIOS CONTABLES Y FINANCIEROS"/>
    <s v="-"/>
    <n v="-1400"/>
    <n v="-1400"/>
    <n v="-1400"/>
    <n v="-1400"/>
    <n v="-1400"/>
    <n v="-1400"/>
    <n v="-1400"/>
    <n v="-1400"/>
    <n v="-1400"/>
    <n v="-1400"/>
    <n v="-1400"/>
    <n v="-1400"/>
    <n v="-16800"/>
  </r>
  <r>
    <x v="0"/>
    <s v="Codiagro"/>
    <s v="RESULTADO DEL EJERCICIO"/>
    <s v="RESULTADO ANTES DE IMPUESTOS"/>
    <s v="RESULTADO DE LA EXPLOTACION"/>
    <x v="8"/>
    <s v="(623) Servicios profesionales independientes"/>
    <s v="623000003 - SERV. NOTARIOS, REGISTROS, LEGAL"/>
    <s v="-"/>
    <n v="-550"/>
    <n v="0"/>
    <n v="0"/>
    <n v="0"/>
    <n v="0"/>
    <n v="0"/>
    <n v="0"/>
    <n v="0"/>
    <n v="0"/>
    <n v="0"/>
    <n v="0"/>
    <n v="0"/>
    <n v="-550"/>
  </r>
  <r>
    <x v="0"/>
    <s v="Codiagro"/>
    <s v="RESULTADO DEL EJERCICIO"/>
    <s v="RESULTADO ANTES DE IMPUESTOS"/>
    <s v="RESULTADO DE LA EXPLOTACION"/>
    <x v="8"/>
    <s v="(623) Servicios profesionales independientes"/>
    <s v="623000004 - GTOS. BCS. OKO"/>
    <s v="-"/>
    <n v="-980"/>
    <n v="-970"/>
    <n v="-2700"/>
    <n v="0"/>
    <n v="-1610"/>
    <n v="-1268"/>
    <n v="0"/>
    <n v="0"/>
    <n v="0"/>
    <n v="-180"/>
    <n v="-1100"/>
    <n v="-1385"/>
    <n v="-10193"/>
  </r>
  <r>
    <x v="0"/>
    <s v="Codiagro"/>
    <s v="RESULTADO DEL EJERCICIO"/>
    <s v="RESULTADO ANTES DE IMPUESTOS"/>
    <s v="RESULTADO DE LA EXPLOTACION"/>
    <x v="8"/>
    <s v="(623) Servicios profesionales independientes"/>
    <s v="623000005 - SERVICIOS PREST. CAMARA COMERCIO"/>
    <s v="-"/>
    <n v="-610.5599999999999"/>
    <n v="-610.5599999999999"/>
    <n v="-610.5599999999999"/>
    <n v="-610.5599999999999"/>
    <n v="-610.5599999999999"/>
    <n v="-610.5599999999999"/>
    <n v="-610.5599999999999"/>
    <n v="-610.5599999999999"/>
    <n v="-610.5599999999999"/>
    <n v="-610.5599999999999"/>
    <n v="-610.5599999999999"/>
    <n v="-610.5599999999999"/>
    <n v="-7326.719999999998"/>
  </r>
  <r>
    <x v="0"/>
    <s v="Codiagro"/>
    <s v="RESULTADO DEL EJERCICIO"/>
    <s v="RESULTADO ANTES DE IMPUESTOS"/>
    <s v="RESULTADO DE LA EXPLOTACION"/>
    <x v="8"/>
    <s v="(623) Servicios profesionales independientes"/>
    <s v="623100002 - GASTOS MAURICIO ALISTE"/>
    <s v="-"/>
    <n v="-4000"/>
    <n v="-4000"/>
    <n v="-4000"/>
    <n v="-4000"/>
    <n v="-4000"/>
    <n v="-4000"/>
    <n v="-4000"/>
    <n v="-4000"/>
    <n v="-4000"/>
    <n v="-4000"/>
    <n v="-4000"/>
    <n v="-9000"/>
    <n v="-53000"/>
  </r>
  <r>
    <x v="0"/>
    <s v="Codiagro"/>
    <s v="RESULTADO DEL EJERCICIO"/>
    <s v="RESULTADO ANTES DE IMPUESTOS"/>
    <s v="RESULTADO DE LA EXPLOTACION"/>
    <x v="8"/>
    <s v="(623) Servicios profesionales independientes"/>
    <s v="623100006 - GASTOS Y SERVICIOS AGRICOLA DEL JUCAR"/>
    <s v="-"/>
    <n v="-500"/>
    <n v="-500"/>
    <n v="-500"/>
    <n v="-500"/>
    <n v="-500"/>
    <n v="-500"/>
    <n v="-500"/>
    <n v="-500"/>
    <n v="-500"/>
    <n v="-500"/>
    <n v="-500"/>
    <n v="-30500"/>
    <n v="-36000"/>
  </r>
  <r>
    <x v="0"/>
    <s v="Codiagro"/>
    <s v="RESULTADO DEL EJERCICIO"/>
    <s v="RESULTADO ANTES DE IMPUESTOS"/>
    <s v="RESULTADO DE LA EXPLOTACION"/>
    <x v="8"/>
    <s v="(623) Servicios profesionales independientes"/>
    <s v="623100007 - GASTOS Y SUELDO MEHMET CILOGLU"/>
    <s v="-"/>
    <n v="-6000"/>
    <n v="-6000"/>
    <n v="-6000"/>
    <n v="-6000"/>
    <n v="-6000"/>
    <n v="-6000"/>
    <n v="-6000"/>
    <n v="-6000"/>
    <n v="-6000"/>
    <n v="-6000"/>
    <n v="-6000"/>
    <n v="-106000"/>
    <n v="-172000"/>
  </r>
  <r>
    <x v="0"/>
    <s v="Codiagro"/>
    <s v="RESULTADO DEL EJERCICIO"/>
    <s v="RESULTADO ANTES DE IMPUESTOS"/>
    <s v="RESULTADO DE LA EXPLOTACION"/>
    <x v="8"/>
    <s v="(623) Servicios profesionales independientes"/>
    <s v="623100008 - COMISIONES KAMAL KEHAL"/>
    <s v="-"/>
    <n v="-283.21"/>
    <n v="-283.21"/>
    <n v="-283.21"/>
    <n v="-283.21"/>
    <n v="-283.21"/>
    <n v="-283.21"/>
    <n v="-283.21"/>
    <n v="-283.21"/>
    <n v="-283.21"/>
    <n v="-283.21"/>
    <n v="-283.21"/>
    <n v="-283.21"/>
    <n v="-3398.52"/>
  </r>
  <r>
    <x v="0"/>
    <s v="Codiagro"/>
    <s v="RESULTADO DEL EJERCICIO"/>
    <s v="RESULTADO ANTES DE IMPUESTOS"/>
    <s v="RESULTADO DE LA EXPLOTACION"/>
    <x v="8"/>
    <s v="(623) Servicios profesionales independientes"/>
    <s v="623100009 - COMISIONES ABEL SALAZA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1 - GASTOS MARCAS EN ESPAÑ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5 - GASTOS MARCAS CHIL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6 - MARCAS UNION EUROPE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1 - GASTOS MARCAS COLOMB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1 - GASTOS MARCAS GUATEMAL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3 - GASTOS MARCAS ARGEL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2 - GASTOS MARCAS MEXIC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33 - GASTOS MARCAS MUNDI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8 - GASTOS MARCAS EGIPT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9 - GASTOS MARCAS MARRUEC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0 - GASTOS MARCAS TURQU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6 - GASTOS MARCAS ECUADO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17 GASTOS MARCAS EL SALVADO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0 - GASTOS MARCAS TUN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2 - GASTOS MARCAS BOLIV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4 - GASTOS MARCAS INTERNACION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9 - GASTOS MARCAS GEORG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30 - GASTOS MARCAS AZERBAIYA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37 - GASTOS MARCAS ESTADOS UNI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1 - TRANSPORTES NACIONAL"/>
    <s v="-"/>
    <n v="-7016.85"/>
    <n v="-13619.9"/>
    <n v="-18607.54"/>
    <n v="-22055.44"/>
    <n v="-18645.63"/>
    <n v="-20396.41"/>
    <n v="-14747.91"/>
    <n v="-13338.45"/>
    <n v="-7825.86"/>
    <n v="-12700.12"/>
    <n v="-12528.19"/>
    <n v="-4989.85"/>
    <n v="-166472.15"/>
  </r>
  <r>
    <x v="0"/>
    <s v="Codiagro"/>
    <s v="RESULTADO DEL EJERCICIO"/>
    <s v="RESULTADO ANTES DE IMPUESTOS"/>
    <s v="RESULTADO DE LA EXPLOTACION"/>
    <x v="8"/>
    <s v="(624) Transportes ventas"/>
    <s v="624000002 - TRANSPORTE INTERNACIONAL"/>
    <s v="-"/>
    <n v="-29809.2"/>
    <n v="-21246.7"/>
    <n v="-19638.3"/>
    <n v="-8004.2"/>
    <n v="-38718.8"/>
    <n v="-33492"/>
    <n v="-13212.8"/>
    <n v="-18509.6"/>
    <n v="-24148.9"/>
    <n v="-23411.3"/>
    <n v="-40650.7"/>
    <n v="-34380.8"/>
    <n v="-305223.3"/>
  </r>
  <r>
    <x v="0"/>
    <s v="Codiagro"/>
    <s v="RESULTADO DEL EJERCICIO"/>
    <s v="RESULTADO ANTES DE IMPUESTOS"/>
    <s v="RESULTADO DE LA EXPLOTACION"/>
    <x v="8"/>
    <s v="(624) Transportes ventas"/>
    <s v="624000003 - TRANSPORTES CANARIAS"/>
    <s v="-"/>
    <n v="-6088.18"/>
    <n v="-5367.26"/>
    <n v="-7224.72"/>
    <n v="-3712.04"/>
    <n v="-14028.95"/>
    <n v="-2584.44"/>
    <n v="-4588.3"/>
    <n v="-8667.690000000001"/>
    <n v="-2950.85"/>
    <n v="-9635.040000000001"/>
    <n v="-13725.16"/>
    <n v="-625.65"/>
    <n v="-79198.28"/>
  </r>
  <r>
    <x v="0"/>
    <s v="Codiagro"/>
    <s v="RESULTADO DEL EJERCICIO"/>
    <s v="RESULTADO ANTES DE IMPUESTOS"/>
    <s v="RESULTADO DE LA EXPLOTACION"/>
    <x v="8"/>
    <s v="(624) Transportes ventas"/>
    <s v="624000004 - GTOS. FLETE REP. AL CLIENT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5 - TTE. PAQUETERIA"/>
    <s v="-"/>
    <n v="-591.46"/>
    <n v="-591.46"/>
    <n v="-591.46"/>
    <n v="-591.46"/>
    <n v="-591.46"/>
    <n v="-591.46"/>
    <n v="-591.46"/>
    <n v="-591.46"/>
    <n v="-591.46"/>
    <n v="-591.46"/>
    <n v="-591.46"/>
    <n v="-591.46"/>
    <n v="-7097.52"/>
  </r>
  <r>
    <x v="0"/>
    <s v="Codiagro"/>
    <s v="RESULTADO DEL EJERCICIO"/>
    <s v="RESULTADO ANTES DE IMPUESTOS"/>
    <s v="RESULTADO DE LA EXPLOTACION"/>
    <x v="8"/>
    <s v="(624) Transportes ventas"/>
    <s v="624000006 - TRANSPORTES IMPORTACIÓN"/>
    <s v="-"/>
    <n v="-1389.04"/>
    <n v="-1389.04"/>
    <n v="-1389.04"/>
    <n v="-1389.04"/>
    <n v="-1389.04"/>
    <n v="-1389.04"/>
    <n v="-1389.04"/>
    <n v="-1389.04"/>
    <n v="-1389.04"/>
    <n v="-1389.04"/>
    <n v="-1389.04"/>
    <n v="-1389.04"/>
    <n v="-16668.48"/>
  </r>
  <r>
    <x v="0"/>
    <s v="Codiagro"/>
    <s v="RESULTADO DEL EJERCICIO"/>
    <s v="RESULTADO ANTES DE IMPUESTOS"/>
    <s v="RESULTADO DE LA EXPLOTACION"/>
    <x v="8"/>
    <s v="(624) Transportes ventas"/>
    <s v="624000007 - ENVIO MUESTR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5) Primas de seguros"/>
    <s v="625000001 - SEGUROS VEHÍCULOS"/>
    <s v="-"/>
    <n v="-188.17"/>
    <n v="-188.17"/>
    <n v="-188.17"/>
    <n v="-188.17"/>
    <n v="-188.17"/>
    <n v="-188.17"/>
    <n v="-188.17"/>
    <n v="-188.17"/>
    <n v="-188.17"/>
    <n v="-188.17"/>
    <n v="-188.17"/>
    <n v="-188.17"/>
    <n v="-2258.04"/>
  </r>
  <r>
    <x v="0"/>
    <s v="Codiagro"/>
    <s v="RESULTADO DEL EJERCICIO"/>
    <s v="RESULTADO ANTES DE IMPUESTOS"/>
    <s v="RESULTADO DE LA EXPLOTACION"/>
    <x v="8"/>
    <s v="(625) Primas de seguros"/>
    <s v="625000003 SEGURO ACCIDENTES TRABAJADORES"/>
    <s v="-"/>
    <n v="-194.64"/>
    <n v="-194.64"/>
    <n v="-194.64"/>
    <n v="-194.64"/>
    <n v="-194.64"/>
    <n v="-194.64"/>
    <n v="-194.64"/>
    <n v="-194.64"/>
    <n v="-194.64"/>
    <n v="-194.64"/>
    <n v="-194.64"/>
    <n v="-194.64"/>
    <n v="-2335.679999999999"/>
  </r>
  <r>
    <x v="0"/>
    <s v="Codiagro"/>
    <s v="RESULTADO DEL EJERCICIO"/>
    <s v="RESULTADO ANTES DE IMPUESTOS"/>
    <s v="RESULTADO DE LA EXPLOTACION"/>
    <x v="8"/>
    <s v="(625) Primas de seguros"/>
    <s v="625000004 - SEGURO RESP. CIVIL"/>
    <s v="-"/>
    <n v="-3281.59"/>
    <n v="-3281.59"/>
    <n v="-3281.59"/>
    <n v="-3281.59"/>
    <n v="-3281.59"/>
    <n v="-3281.59"/>
    <n v="-3281.59"/>
    <n v="-3281.59"/>
    <n v="-3281.59"/>
    <n v="-3281.59"/>
    <n v="-3281.59"/>
    <n v="-3281.59"/>
    <n v="-39379.08"/>
  </r>
  <r>
    <x v="0"/>
    <s v="Codiagro"/>
    <s v="RESULTADO DEL EJERCICIO"/>
    <s v="RESULTADO ANTES DE IMPUESTOS"/>
    <s v="RESULTADO DE LA EXPLOTACION"/>
    <x v="8"/>
    <s v="(625) Primas de seguros"/>
    <s v="625000005 - SEGUROS ACTIVIDAD"/>
    <s v="-"/>
    <n v="-2975.68"/>
    <n v="-2975.68"/>
    <n v="-2975.68"/>
    <n v="-2975.68"/>
    <n v="-2975.68"/>
    <n v="-2975.68"/>
    <n v="-2975.68"/>
    <n v="-2975.68"/>
    <n v="-2975.68"/>
    <n v="-2975.68"/>
    <n v="-2975.68"/>
    <n v="-2975.68"/>
    <n v="-35708.16"/>
  </r>
  <r>
    <x v="0"/>
    <s v="Codiagro"/>
    <s v="RESULTADO DEL EJERCICIO"/>
    <s v="RESULTADO ANTES DE IMPUESTOS"/>
    <s v="RESULTADO DE LA EXPLOTACION"/>
    <x v="8"/>
    <s v="(626) Servicios bancarios"/>
    <s v="626000000 - Servicios bancarios y simila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6) Servicios bancarios"/>
    <s v="626000002 - GASTOS Y COMISIONES BANCO SABADELL"/>
    <s v="-"/>
    <n v="-49.02"/>
    <n v="-49.02"/>
    <n v="-49.02"/>
    <n v="-49.02"/>
    <n v="-49.02"/>
    <n v="-49.02"/>
    <n v="-49.02"/>
    <n v="-49.02"/>
    <n v="-49.02"/>
    <n v="-49.02"/>
    <n v="-49.02"/>
    <n v="-49.02"/>
    <n v="-588.2399999999999"/>
  </r>
  <r>
    <x v="0"/>
    <s v="Codiagro"/>
    <s v="RESULTADO DEL EJERCICIO"/>
    <s v="RESULTADO ANTES DE IMPUESTOS"/>
    <s v="RESULTADO DE LA EXPLOTACION"/>
    <x v="8"/>
    <s v="(626) Servicios bancarios"/>
    <s v="626000005 - GASTOS Y COMISIONES CAIXALMASSORA"/>
    <s v="-"/>
    <n v="-171.17"/>
    <n v="-171.17"/>
    <n v="-171.17"/>
    <n v="-171.17"/>
    <n v="-171.17"/>
    <n v="-171.17"/>
    <n v="-171.17"/>
    <n v="-171.17"/>
    <n v="-171.17"/>
    <n v="-171.17"/>
    <n v="-171.17"/>
    <n v="-171.17"/>
    <n v="-2054.04"/>
  </r>
  <r>
    <x v="0"/>
    <s v="Codiagro"/>
    <s v="RESULTADO DEL EJERCICIO"/>
    <s v="RESULTADO ANTES DE IMPUESTOS"/>
    <s v="RESULTADO DE LA EXPLOTACION"/>
    <x v="8"/>
    <s v="(626) Servicios bancarios"/>
    <s v="626000007 - GASTOS Y COMISIONES BBVA"/>
    <s v="-"/>
    <n v="-811.09"/>
    <n v="-811.09"/>
    <n v="-811.09"/>
    <n v="-811.09"/>
    <n v="-811.09"/>
    <n v="-811.09"/>
    <n v="-811.09"/>
    <n v="-811.09"/>
    <n v="-811.09"/>
    <n v="-811.09"/>
    <n v="-811.09"/>
    <n v="-811.09"/>
    <n v="-9733.08"/>
  </r>
  <r>
    <x v="0"/>
    <s v="Codiagro"/>
    <s v="RESULTADO DEL EJERCICIO"/>
    <s v="RESULTADO ANTES DE IMPUESTOS"/>
    <s v="RESULTADO DE LA EXPLOTACION"/>
    <x v="8"/>
    <s v="(627) Publicidad"/>
    <s v="627000001 - GTOS. PUBLICIDAD EN INTERNET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4 - RELACIONES PUBLIC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5 - INVITACIONES CLIENT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6 - PUBLICIDAD CATALOGOS Y FOLLETOS"/>
    <s v="-"/>
    <n v="-2469.92"/>
    <n v="-3006.08"/>
    <n v="-2874.69"/>
    <n v="-3233.22"/>
    <n v="-2543.62"/>
    <n v="-1816.83"/>
    <n v="-1556.94"/>
    <n v="-658.01"/>
    <n v="-1867.78"/>
    <n v="-1290.69"/>
    <n v="-2792.91"/>
    <n v="-1519.31"/>
    <n v="-25630"/>
  </r>
  <r>
    <x v="0"/>
    <s v="Codiagro"/>
    <s v="RESULTADO DEL EJERCICIO"/>
    <s v="RESULTADO ANTES DE IMPUESTOS"/>
    <s v="RESULTADO DE LA EXPLOTACION"/>
    <x v="8"/>
    <s v="(627) Publicidad"/>
    <s v="627000007 - FERIAS"/>
    <s v="-"/>
    <n v="-3254.36"/>
    <n v="-3960.8"/>
    <n v="-3787.68"/>
    <n v="-4260.08"/>
    <n v="-3351.46"/>
    <n v="-2393.84"/>
    <n v="-2051.41"/>
    <n v="-866.99"/>
    <n v="-2460.99"/>
    <n v="-1700.61"/>
    <n v="-3679.93"/>
    <n v="-2001.84"/>
    <n v="-33769.99"/>
  </r>
  <r>
    <x v="0"/>
    <s v="Codiagro"/>
    <s v="RESULTADO DEL EJERCICIO"/>
    <s v="RESULTADO ANTES DE IMPUESTOS"/>
    <s v="RESULTADO DE LA EXPLOTACION"/>
    <x v="8"/>
    <s v="(627) Publicidad"/>
    <s v="627000008 - MARKETING"/>
    <s v="-"/>
    <n v="-18917.14"/>
    <n v="-23023.56"/>
    <n v="-22017.24"/>
    <n v="-24763.22"/>
    <n v="-19481.53"/>
    <n v="-13915.06"/>
    <n v="-11924.56"/>
    <n v="-5039.7"/>
    <n v="-14305.34"/>
    <n v="-9885.370000000001"/>
    <n v="-21390.88"/>
    <n v="-11636.39"/>
    <n v="-196299.99"/>
  </r>
  <r>
    <x v="0"/>
    <s v="Codiagro"/>
    <s v="RESULTADO DEL EJERCICIO"/>
    <s v="RESULTADO ANTES DE IMPUESTOS"/>
    <s v="RESULTADO DE LA EXPLOTACION"/>
    <x v="8"/>
    <s v="(627) Publicidad"/>
    <s v="627000009 - ARTICULOS PUBLICIDAD"/>
    <s v="-"/>
    <n v="-999.5700000000001"/>
    <n v="-1216.55"/>
    <n v="-1163.38"/>
    <n v="-1308.48"/>
    <n v="-1029.39"/>
    <n v="-735.27"/>
    <n v="-630.09"/>
    <n v="-266.3"/>
    <n v="-755.89"/>
    <n v="-522.34"/>
    <n v="-1130.28"/>
    <n v="-614.86"/>
    <n v="-10372.4"/>
  </r>
  <r>
    <x v="0"/>
    <s v="Codiagro"/>
    <s v="RESULTADO DEL EJERCICIO"/>
    <s v="RESULTADO ANTES DE IMPUESTOS"/>
    <s v="RESULTADO DE LA EXPLOTACION"/>
    <x v="8"/>
    <s v="(627) Publicidad"/>
    <s v="627000010 - RELACIONES PUBLICAS TEC. CLIENT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8) Suministros"/>
    <s v="628000001 - SUMINISTROS INFORMATICOS"/>
    <s v="-"/>
    <n v="-489"/>
    <n v="-489"/>
    <n v="-489"/>
    <n v="-489"/>
    <n v="-489"/>
    <n v="-489"/>
    <n v="-489"/>
    <n v="-489"/>
    <n v="-489"/>
    <n v="-489"/>
    <n v="-489"/>
    <n v="-489"/>
    <n v="-5868"/>
  </r>
  <r>
    <x v="0"/>
    <s v="Codiagro"/>
    <s v="RESULTADO DEL EJERCICIO"/>
    <s v="RESULTADO ANTES DE IMPUESTOS"/>
    <s v="RESULTADO DE LA EXPLOTACION"/>
    <x v="8"/>
    <s v="(628) Suministros"/>
    <s v="628000002 - SUMINISTROS ELECTRICIDAD"/>
    <s v="-"/>
    <n v="-3500"/>
    <n v="-4200"/>
    <n v="-4200"/>
    <n v="-4200"/>
    <n v="-4200"/>
    <n v="-4200"/>
    <n v="-4200"/>
    <n v="-3500"/>
    <n v="-3500"/>
    <n v="-3500"/>
    <n v="-4200"/>
    <n v="-4200"/>
    <n v="-47600"/>
  </r>
  <r>
    <x v="0"/>
    <s v="Codiagro"/>
    <s v="RESULTADO DEL EJERCICIO"/>
    <s v="RESULTADO ANTES DE IMPUESTOS"/>
    <s v="RESULTADO DE LA EXPLOTACION"/>
    <x v="8"/>
    <s v="(628) Suministros"/>
    <s v="628000003 - SUMINISTROS AGUA"/>
    <s v="-"/>
    <n v="-1435.94"/>
    <n v="-1435.94"/>
    <n v="-1435.94"/>
    <n v="-1435.94"/>
    <n v="-1435.94"/>
    <n v="-1435.94"/>
    <n v="-1435.94"/>
    <n v="-1435.94"/>
    <n v="-1435.94"/>
    <n v="-1435.94"/>
    <n v="-1435.94"/>
    <n v="-1435.94"/>
    <n v="-17231.28"/>
  </r>
  <r>
    <x v="0"/>
    <s v="Codiagro"/>
    <s v="RESULTADO DEL EJERCICIO"/>
    <s v="RESULTADO ANTES DE IMPUESTOS"/>
    <s v="RESULTADO DE LA EXPLOTACION"/>
    <x v="8"/>
    <s v="(628) Suministros"/>
    <s v="628000004 - SUMINISTROS TELEFONIA E INTERNET"/>
    <s v="-"/>
    <n v="-800"/>
    <n v="-800"/>
    <n v="-250"/>
    <n v="-250"/>
    <n v="-250"/>
    <n v="-250"/>
    <n v="-250"/>
    <n v="-250"/>
    <n v="-250"/>
    <n v="-250"/>
    <n v="-800"/>
    <n v="-800"/>
    <n v="-5200"/>
  </r>
  <r>
    <x v="0"/>
    <s v="Codiagro"/>
    <s v="RESULTADO DEL EJERCICIO"/>
    <s v="RESULTADO ANTES DE IMPUESTOS"/>
    <s v="RESULTADO DE LA EXPLOTACION"/>
    <x v="8"/>
    <s v="(628) Suministros"/>
    <s v="628000005 - SUMINISTROS GASOLEO"/>
    <s v="-"/>
    <n v="-1693.78"/>
    <n v="-1693.78"/>
    <n v="-1693.78"/>
    <n v="-1693.78"/>
    <n v="-1693.78"/>
    <n v="-1693.78"/>
    <n v="-1693.78"/>
    <n v="-1693.78"/>
    <n v="-1693.78"/>
    <n v="-1693.78"/>
    <n v="-1693.78"/>
    <n v="-1693.78"/>
    <n v="-20325.36"/>
  </r>
  <r>
    <x v="0"/>
    <s v="Codiagro"/>
    <s v="RESULTADO DEL EJERCICIO"/>
    <s v="RESULTADO ANTES DE IMPUESTOS"/>
    <s v="RESULTADO DE LA EXPLOTACION"/>
    <x v="8"/>
    <s v="(629) Otros servicios"/>
    <s v="629000001 - HOSPEDAJE WEB"/>
    <s v="-"/>
    <n v="-213"/>
    <n v="-213"/>
    <n v="-213"/>
    <n v="-213"/>
    <n v="-213"/>
    <n v="-213"/>
    <n v="-213"/>
    <n v="-213"/>
    <n v="-213"/>
    <n v="-213"/>
    <n v="-213"/>
    <n v="-213"/>
    <n v="-2556"/>
  </r>
  <r>
    <x v="0"/>
    <s v="Codiagro"/>
    <s v="RESULTADO DEL EJERCICIO"/>
    <s v="RESULTADO ANTES DE IMPUESTOS"/>
    <s v="RESULTADO DE LA EXPLOTACION"/>
    <x v="8"/>
    <s v="(629) Otros servicios"/>
    <s v="629000002 - OTROS GASTOS"/>
    <s v="-"/>
    <n v="-7550"/>
    <n v="0"/>
    <n v="0"/>
    <n v="0"/>
    <n v="0"/>
    <n v="0"/>
    <n v="-515"/>
    <n v="0"/>
    <n v="-8625"/>
    <n v="0"/>
    <n v="0"/>
    <n v="-8625"/>
    <n v="-25315"/>
  </r>
  <r>
    <x v="0"/>
    <s v="Codiagro"/>
    <s v="RESULTADO DEL EJERCICIO"/>
    <s v="RESULTADO ANTES DE IMPUESTOS"/>
    <s v="RESULTADO DE LA EXPLOTACION"/>
    <x v="8"/>
    <s v="(629) Otros servicios"/>
    <s v="629000003 - SUSCRIPCIONES A REVISTAS Y PERIODICOS"/>
    <s v="-"/>
    <n v="-460.58"/>
    <n v="-460.58"/>
    <n v="-460.58"/>
    <n v="-460.58"/>
    <n v="-460.58"/>
    <n v="-460.58"/>
    <n v="-460.58"/>
    <n v="-460.58"/>
    <n v="-460.58"/>
    <n v="-460.58"/>
    <n v="-460.58"/>
    <n v="-460.58"/>
    <n v="-5526.96"/>
  </r>
  <r>
    <x v="0"/>
    <s v="Codiagro"/>
    <s v="RESULTADO DEL EJERCICIO"/>
    <s v="RESULTADO ANTES DE IMPUESTOS"/>
    <s v="RESULTADO DE LA EXPLOTACION"/>
    <x v="8"/>
    <s v="(629) Otros servicios"/>
    <s v="629000004 - GTOS. SERV. VIGILANCIA"/>
    <s v="-"/>
    <n v="-74.98999999999999"/>
    <n v="-74.98999999999999"/>
    <n v="-74.98999999999999"/>
    <n v="-74.98999999999999"/>
    <n v="-74.98999999999999"/>
    <n v="-74.98999999999999"/>
    <n v="-74.98999999999999"/>
    <n v="-74.98999999999999"/>
    <n v="-74.98999999999999"/>
    <n v="-74.98999999999999"/>
    <n v="-74.98999999999999"/>
    <n v="-74.98999999999999"/>
    <n v="-899.88"/>
  </r>
  <r>
    <x v="0"/>
    <s v="Codiagro"/>
    <s v="RESULTADO DEL EJERCICIO"/>
    <s v="RESULTADO ANTES DE IMPUESTOS"/>
    <s v="RESULTADO DE LA EXPLOTACION"/>
    <x v="8"/>
    <s v="(629) Otros servicios"/>
    <s v="629000005 - GTOS. ANALISIS LABORATORIOS"/>
    <s v="-"/>
    <n v="-550"/>
    <n v="-550"/>
    <n v="-550"/>
    <n v="-550"/>
    <n v="-550"/>
    <n v="-550"/>
    <n v="-550"/>
    <n v="-550"/>
    <n v="-550"/>
    <n v="-550"/>
    <n v="-550"/>
    <n v="-550"/>
    <n v="-6600"/>
  </r>
  <r>
    <x v="0"/>
    <s v="Codiagro"/>
    <s v="RESULTADO DEL EJERCICIO"/>
    <s v="RESULTADO ANTES DE IMPUESTOS"/>
    <s v="RESULTADO DE LA EXPLOTACION"/>
    <x v="8"/>
    <s v="(629) Otros servicios"/>
    <s v="629000006 - GASTOS CORREOS"/>
    <s v="-"/>
    <n v="-96"/>
    <n v="-96"/>
    <n v="-96"/>
    <n v="-96"/>
    <n v="-96"/>
    <n v="-96"/>
    <n v="-96"/>
    <n v="-96"/>
    <n v="-96"/>
    <n v="-96"/>
    <n v="-96"/>
    <n v="-96"/>
    <n v="-1152"/>
  </r>
  <r>
    <x v="0"/>
    <s v="Codiagro"/>
    <s v="RESULTADO DEL EJERCICIO"/>
    <s v="RESULTADO ANTES DE IMPUESTOS"/>
    <s v="RESULTADO DE LA EXPLOTACION"/>
    <x v="8"/>
    <s v="(629) Otros servicios"/>
    <s v="629000007 - GASTOS RETIRADA DE RESIDUOS"/>
    <s v="-"/>
    <n v="-6200"/>
    <n v="-6200"/>
    <n v="-6200"/>
    <n v="-6200"/>
    <n v="-6200"/>
    <n v="-6200"/>
    <n v="-6200"/>
    <n v="-6200"/>
    <n v="-6200"/>
    <n v="-6200"/>
    <n v="-6200"/>
    <n v="-6200"/>
    <n v="-74400"/>
  </r>
  <r>
    <x v="0"/>
    <s v="Codiagro"/>
    <s v="RESULTADO DEL EJERCICIO"/>
    <s v="RESULTADO ANTES DE IMPUESTOS"/>
    <s v="RESULTADO DE LA EXPLOTACION"/>
    <x v="8"/>
    <s v="(629) Otros servicios"/>
    <s v="629000008 - CUOTAS ASOCIACIONES"/>
    <s v="-"/>
    <n v="-600"/>
    <n v="0"/>
    <n v="0"/>
    <n v="-600"/>
    <n v="0"/>
    <n v="0"/>
    <n v="-600"/>
    <n v="0"/>
    <n v="0"/>
    <n v="0"/>
    <n v="-600"/>
    <n v="0"/>
    <n v="-2400"/>
  </r>
  <r>
    <x v="0"/>
    <s v="Codiagro"/>
    <s v="RESULTADO DEL EJERCICIO"/>
    <s v="RESULTADO ANTES DE IMPUESTOS"/>
    <s v="RESULTADO DE LA EXPLOTACION"/>
    <x v="8"/>
    <s v="(629) Otros servicios"/>
    <s v="629000009 - SANCIONES Y MULTAS"/>
    <s v="-"/>
    <n v="-90"/>
    <n v="-90"/>
    <n v="-90"/>
    <n v="-90"/>
    <n v="-90"/>
    <n v="-90"/>
    <n v="-90"/>
    <n v="-90"/>
    <n v="-90"/>
    <n v="-90"/>
    <n v="-90"/>
    <n v="-90"/>
    <n v="-1080"/>
  </r>
  <r>
    <x v="0"/>
    <s v="Codiagro"/>
    <s v="RESULTADO DEL EJERCICIO"/>
    <s v="RESULTADO ANTES DE IMPUESTOS"/>
    <s v="RESULTADO DE LA EXPLOTACION"/>
    <x v="8"/>
    <s v="(629) Otros servicios"/>
    <s v="629000010 - GASTOS COMERCIALES"/>
    <s v="-"/>
    <n v="-819.53"/>
    <n v="-819.53"/>
    <n v="-819.53"/>
    <n v="-819.53"/>
    <n v="-819.53"/>
    <n v="-819.53"/>
    <n v="-819.53"/>
    <n v="-819.53"/>
    <n v="-819.53"/>
    <n v="-819.53"/>
    <n v="-819.53"/>
    <n v="-819.53"/>
    <n v="-9834.360000000001"/>
  </r>
  <r>
    <x v="0"/>
    <s v="Codiagro"/>
    <s v="RESULTADO DEL EJERCICIO"/>
    <s v="RESULTADO ANTES DE IMPUESTOS"/>
    <s v="RESULTADO DE LA EXPLOTACION"/>
    <x v="8"/>
    <s v="(629) Otros servicios"/>
    <s v="629000011 - EPIS PERSONAL"/>
    <s v="-"/>
    <n v="-295.08"/>
    <n v="-295.08"/>
    <n v="-295.08"/>
    <n v="-295.08"/>
    <n v="-295.08"/>
    <n v="-295.08"/>
    <n v="-295.08"/>
    <n v="-295.08"/>
    <n v="-295.08"/>
    <n v="-295.08"/>
    <n v="-295.08"/>
    <n v="-295.08"/>
    <n v="-3540.96"/>
  </r>
  <r>
    <x v="0"/>
    <s v="Codiagro"/>
    <s v="RESULTADO DEL EJERCICIO"/>
    <s v="RESULTADO ANTES DE IMPUESTOS"/>
    <s v="RESULTADO DE LA EXPLOTACION"/>
    <x v="8"/>
    <s v="(629) Otros servicios"/>
    <s v="629000012 - GASTOS VARIOS PERSONAL"/>
    <s v="-"/>
    <n v="-1326.15"/>
    <n v="-1326.15"/>
    <n v="-1326.15"/>
    <n v="-1326.15"/>
    <n v="-1326.15"/>
    <n v="-1326.15"/>
    <n v="-1326.15"/>
    <n v="-1326.15"/>
    <n v="-1326.15"/>
    <n v="-1326.15"/>
    <n v="-1326.15"/>
    <n v="-1326.15"/>
    <n v="-15913.8"/>
  </r>
  <r>
    <x v="0"/>
    <s v="Codiagro"/>
    <s v="RESULTADO DEL EJERCICIO"/>
    <s v="RESULTADO ANTES DE IMPUESTOS"/>
    <s v="RESULTADO DE LA EXPLOTACION"/>
    <x v="8"/>
    <s v="(629) Otros servicios"/>
    <s v="629000013 - FORMACION NO BONIFICADA"/>
    <s v="-"/>
    <n v="-1846.33"/>
    <n v="-1846.33"/>
    <n v="-1846.33"/>
    <n v="-1846.33"/>
    <n v="-1846.33"/>
    <n v="-1846.33"/>
    <n v="-1846.33"/>
    <n v="-1846.33"/>
    <n v="-1846.33"/>
    <n v="-1846.33"/>
    <n v="-1846.33"/>
    <n v="-1846.33"/>
    <n v="-22155.96000000001"/>
  </r>
  <r>
    <x v="0"/>
    <s v="Codiagro"/>
    <s v="RESULTADO DEL EJERCICIO"/>
    <s v="RESULTADO ANTES DE IMPUESTOS"/>
    <s v="RESULTADO DE LA EXPLOTACION"/>
    <x v="8"/>
    <s v="(629) Otros servicios"/>
    <s v="629000014 - ROPA LABORAL"/>
    <s v="-"/>
    <n v="-263.4"/>
    <n v="-263.4"/>
    <n v="-263.4"/>
    <n v="-263.4"/>
    <n v="-263.4"/>
    <n v="-263.4"/>
    <n v="-263.4"/>
    <n v="-263.4"/>
    <n v="-263.4"/>
    <n v="-263.4"/>
    <n v="-263.4"/>
    <n v="-263.4"/>
    <n v="-3160.800000000001"/>
  </r>
  <r>
    <x v="0"/>
    <s v="Codiagro"/>
    <s v="RESULTADO DEL EJERCICIO"/>
    <s v="RESULTADO ANTES DE IMPUESTOS"/>
    <s v="RESULTADO DE LA EXPLOTACION"/>
    <x v="8"/>
    <s v="(629) Otros servicios"/>
    <s v="629000015 MATERIAL DE OFICINA"/>
    <s v="-"/>
    <n v="-156.84"/>
    <n v="-156.84"/>
    <n v="-156.84"/>
    <n v="-156.84"/>
    <n v="-156.84"/>
    <n v="-156.84"/>
    <n v="-156.84"/>
    <n v="-156.84"/>
    <n v="-156.84"/>
    <n v="-156.84"/>
    <n v="-156.84"/>
    <n v="-156.84"/>
    <n v="-1882.08"/>
  </r>
  <r>
    <x v="0"/>
    <s v="Codiagro"/>
    <s v="RESULTADO DEL EJERCICIO"/>
    <s v="RESULTADO ANTES DE IMPUESTOS"/>
    <s v="RESULTADO DE LA EXPLOTACION"/>
    <x v="8"/>
    <s v="(629) Otros servicios"/>
    <s v="629000016 HERRAMIENTAS"/>
    <s v="-"/>
    <n v="-500.03"/>
    <n v="-500.03"/>
    <n v="-500.03"/>
    <n v="-500.03"/>
    <n v="-500.03"/>
    <n v="-500.03"/>
    <n v="-500.03"/>
    <n v="-500.03"/>
    <n v="-500.03"/>
    <n v="-500.03"/>
    <n v="-500.03"/>
    <n v="-500.03"/>
    <n v="-6000.359999999998"/>
  </r>
  <r>
    <x v="0"/>
    <s v="Codiagro"/>
    <s v="RESULTADO DEL EJERCICIO"/>
    <s v="RESULTADO ANTES DE IMPUESTOS"/>
    <s v="RESULTADO DE LA EXPLOTACION"/>
    <x v="8"/>
    <s v="(629) Otros servicios"/>
    <s v="629100001 - GASTOS COMERCIALES PERE PORTA"/>
    <s v="-"/>
    <n v="-3200"/>
    <n v="-3200"/>
    <n v="-3200"/>
    <n v="-3200"/>
    <n v="-3200"/>
    <n v="-3200"/>
    <n v="-3200"/>
    <n v="-3200"/>
    <n v="-3200"/>
    <n v="-3200"/>
    <n v="-3200"/>
    <n v="-3200"/>
    <n v="-38400"/>
  </r>
  <r>
    <x v="0"/>
    <s v="Codiagro"/>
    <s v="RESULTADO DEL EJERCICIO"/>
    <s v="RESULTADO ANTES DE IMPUESTOS"/>
    <s v="RESULTADO DE LA EXPLOTACION"/>
    <x v="8"/>
    <s v="(629) Otros servicios"/>
    <s v="629100002 - GASTOS RICARDO PEREZ-SANTAMARINA"/>
    <s v="-"/>
    <n v="-2300"/>
    <n v="-2300"/>
    <n v="-2300"/>
    <n v="-2300"/>
    <n v="-2300"/>
    <n v="-2300"/>
    <n v="-2300"/>
    <n v="-2300"/>
    <n v="-2300"/>
    <n v="-2300"/>
    <n v="-2300"/>
    <n v="-2300"/>
    <n v="-27600"/>
  </r>
  <r>
    <x v="0"/>
    <s v="Codiagro"/>
    <s v="RESULTADO DEL EJERCICIO"/>
    <s v="RESULTADO ANTES DE IMPUESTOS"/>
    <s v="RESULTADO DE LA EXPLOTACION"/>
    <x v="8"/>
    <s v="(629) Otros servicios"/>
    <s v="629100003 - GASTOS JAVIER PAREDES"/>
    <s v="-"/>
    <n v="-1092.45"/>
    <n v="-1092.45"/>
    <n v="-1092.45"/>
    <n v="-1092.45"/>
    <n v="-1092.45"/>
    <n v="-1092.45"/>
    <n v="-1092.45"/>
    <n v="-1092.45"/>
    <n v="-1092.45"/>
    <n v="-1092.45"/>
    <n v="-1092.45"/>
    <n v="-1092.45"/>
    <n v="-13109.4"/>
  </r>
  <r>
    <x v="0"/>
    <s v="Codiagro"/>
    <s v="RESULTADO DEL EJERCICIO"/>
    <s v="RESULTADO ANTES DE IMPUESTOS"/>
    <s v="RESULTADO DE LA EXPLOTACION"/>
    <x v="8"/>
    <s v="(629) Otros servicios"/>
    <s v="629100004 - GASTOS GARCIA"/>
    <s v="-"/>
    <n v="-800.04"/>
    <n v="-800.04"/>
    <n v="-800.04"/>
    <n v="-800.04"/>
    <n v="-800.04"/>
    <n v="-800.04"/>
    <n v="-800.04"/>
    <n v="-800.04"/>
    <n v="-800.04"/>
    <n v="-800.04"/>
    <n v="-800.04"/>
    <n v="-800.04"/>
    <n v="-9600.48"/>
  </r>
  <r>
    <x v="0"/>
    <s v="Codiagro"/>
    <s v="RESULTADO DEL EJERCICIO"/>
    <s v="RESULTADO ANTES DE IMPUESTOS"/>
    <s v="RESULTADO DE LA EXPLOTACION"/>
    <x v="8"/>
    <s v="(629) Otros servicios"/>
    <s v="629100005 - GASTOS IRENE"/>
    <s v="-"/>
    <n v="-422.84"/>
    <n v="-422.84"/>
    <n v="-422.84"/>
    <n v="-422.84"/>
    <n v="-422.84"/>
    <n v="-422.84"/>
    <n v="-422.84"/>
    <n v="-422.84"/>
    <n v="-422.84"/>
    <n v="-422.84"/>
    <n v="-422.84"/>
    <n v="-422.84"/>
    <n v="-5074.080000000001"/>
  </r>
  <r>
    <x v="0"/>
    <s v="Codiagro"/>
    <s v="RESULTADO DEL EJERCICIO"/>
    <s v="RESULTADO ANTES DE IMPUESTOS"/>
    <s v="RESULTADO DE LA EXPLOTACION"/>
    <x v="8"/>
    <s v="(629) Otros servicios"/>
    <s v="629100006 - GASTOS ANTONIO ANDREU"/>
    <s v="-"/>
    <n v="-202.44"/>
    <n v="-202.44"/>
    <n v="-202.44"/>
    <n v="-202.44"/>
    <n v="-202.44"/>
    <n v="-202.44"/>
    <n v="-202.44"/>
    <n v="-202.44"/>
    <n v="-202.44"/>
    <n v="-202.44"/>
    <n v="-202.44"/>
    <n v="-202.44"/>
    <n v="-2429.28"/>
  </r>
  <r>
    <x v="0"/>
    <s v="Codiagro"/>
    <s v="RESULTADO DEL EJERCICIO"/>
    <s v="RESULTADO ANTES DE IMPUESTOS"/>
    <s v="RESULTADO DE LA EXPLOTACION"/>
    <x v="8"/>
    <s v="(629) Otros servicios"/>
    <s v="629100007 - GASTOS CURRO"/>
    <s v="-"/>
    <n v="-91.05"/>
    <n v="-91.05"/>
    <n v="-91.05"/>
    <n v="-91.05"/>
    <n v="-91.05"/>
    <n v="-91.05"/>
    <n v="-91.05"/>
    <n v="-91.05"/>
    <n v="-91.05"/>
    <n v="-91.05"/>
    <n v="-91.05"/>
    <n v="-91.05"/>
    <n v="-1092.6"/>
  </r>
  <r>
    <x v="0"/>
    <s v="Codiagro"/>
    <s v="RESULTADO DEL EJERCICIO"/>
    <s v="RESULTADO ANTES DE IMPUESTOS"/>
    <s v="RESULTADO DE LA EXPLOTACION"/>
    <x v="8"/>
    <s v="(629) Otros servicios"/>
    <s v="629100008 GASTOS PEDRO MEDINA"/>
    <s v="-"/>
    <n v="-141.14"/>
    <n v="-141.14"/>
    <n v="-141.14"/>
    <n v="-141.14"/>
    <n v="-141.14"/>
    <n v="-141.14"/>
    <n v="-141.14"/>
    <n v="-141.14"/>
    <n v="-141.14"/>
    <n v="-141.14"/>
    <n v="-141.14"/>
    <n v="-141.14"/>
    <n v="-1693.679999999999"/>
  </r>
  <r>
    <x v="0"/>
    <s v="Codiagro"/>
    <s v="RESULTADO DEL EJERCICIO"/>
    <s v="RESULTADO ANTES DE IMPUESTOS"/>
    <s v="RESULTADO DE LA EXPLOTACION"/>
    <x v="8"/>
    <s v="(631) Otros tributos"/>
    <s v="631000001 - IMPUESTOS VEHÍCULOS"/>
    <s v="-"/>
    <n v="-156.06"/>
    <n v="-156.06"/>
    <n v="-156.06"/>
    <n v="-156.06"/>
    <n v="-156.06"/>
    <n v="-156.06"/>
    <n v="-156.06"/>
    <n v="-156.06"/>
    <n v="-156.06"/>
    <n v="-156.06"/>
    <n v="-156.06"/>
    <n v="-156.06"/>
    <n v="-1872.72"/>
  </r>
  <r>
    <x v="0"/>
    <s v="Codiagro"/>
    <s v="RESULTADO DEL EJERCICIO"/>
    <s v="RESULTADO ANTES DE IMPUESTOS"/>
    <s v="RESULTADO DE LA EXPLOTACION"/>
    <x v="8"/>
    <s v="(631) Otros tributos"/>
    <s v="631000002 - TASAS"/>
    <s v="-"/>
    <n v="0"/>
    <n v="0"/>
    <n v="0"/>
    <n v="0"/>
    <n v="-581.49"/>
    <n v="0"/>
    <n v="0"/>
    <n v="0"/>
    <n v="0"/>
    <n v="0"/>
    <n v="0"/>
    <n v="0"/>
    <n v="-581.49"/>
  </r>
  <r>
    <x v="0"/>
    <s v="Codiagro"/>
    <s v="RESULTADO DEL EJERCICIO"/>
    <s v="RESULTADO ANTES DE IMPUESTOS"/>
    <s v="RESULTADO DE LA EXPLOTACION"/>
    <x v="8"/>
    <s v="(631) Otros tributos"/>
    <s v="631000004 IBIB"/>
    <s v="-"/>
    <n v="-616.38"/>
    <n v="-616.38"/>
    <n v="-616.38"/>
    <n v="-616.38"/>
    <n v="-616.38"/>
    <n v="-616.38"/>
    <n v="-616.38"/>
    <n v="-616.38"/>
    <n v="-616.38"/>
    <n v="-616.38"/>
    <n v="-616.38"/>
    <n v="-616.38"/>
    <n v="-7396.56"/>
  </r>
  <r>
    <x v="0"/>
    <s v="Codiagro"/>
    <s v="RESULTADO DEL EJERCICIO"/>
    <s v="RESULTADO ANTES DE IMPUESTOS"/>
    <s v="RESULTADO DE LA EXPLOTACION"/>
    <x v="8"/>
    <s v="(631) Otros tributos"/>
    <s v="631000006 - IMPUESTO PLASTICO NO RECICLADO"/>
    <s v="-"/>
    <n v="-2516.21"/>
    <n v="-4075.81"/>
    <n v="-3909.7"/>
    <n v="-3147.65"/>
    <n v="-5167.87"/>
    <n v="-5124.86"/>
    <n v="-3251.56"/>
    <n v="-2075.09"/>
    <n v="-1205.37"/>
    <n v="-2015.85"/>
    <n v="-3116.01"/>
    <n v="-3417.97"/>
    <n v="-39023.95"/>
  </r>
  <r>
    <x v="0"/>
    <s v="Codiagro"/>
    <s v="RESULTADO DEL EJERCICIO"/>
    <s v="RESULTADO ANTES DE IMPUESTOS"/>
    <s v="RESULTADO DE LA EXPLOTACION"/>
    <x v="8"/>
    <s v="(634) Ajustes negativos en la imposición indirecta"/>
    <s v="634100000 - Ajustes negat. IVA circulant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94) Pérdidas por op. Comerciales"/>
    <s v="694000000 - Pérdidas deterioro de créditos por op.comer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9"/>
    <s v="(681) Amortización del inmovilizado material"/>
    <s v="681100000 - Amortización de construcciones"/>
    <s v="-"/>
    <n v="-3154.35"/>
    <n v="-3154.35"/>
    <n v="-3154.35"/>
    <n v="-3154.35"/>
    <n v="-3154.35"/>
    <n v="-3154.35"/>
    <n v="-3154.35"/>
    <n v="-3154.35"/>
    <n v="-3154.35"/>
    <n v="-3154.35"/>
    <n v="-3154.35"/>
    <n v="-3154.35"/>
    <n v="-37852.19999999999"/>
  </r>
  <r>
    <x v="0"/>
    <s v="Codiagro"/>
    <s v="RESULTADO DEL EJERCICIO"/>
    <s v="RESULTADO ANTES DE IMPUESTOS"/>
    <s v="RESULTADO DE LA EXPLOTACION"/>
    <x v="9"/>
    <s v="(681) Amortización del inmovilizado material"/>
    <s v="681200000 - Amortización de instalaciones técnicas"/>
    <s v="-"/>
    <n v="-5772"/>
    <n v="-5772"/>
    <n v="-5772"/>
    <n v="-5772"/>
    <n v="-5772"/>
    <n v="-5772"/>
    <n v="-5772"/>
    <n v="-5772"/>
    <n v="-5772"/>
    <n v="-5772"/>
    <n v="-5772"/>
    <n v="-5772"/>
    <n v="-69264"/>
  </r>
  <r>
    <x v="0"/>
    <s v="Codiagro"/>
    <s v="RESULTADO DEL EJERCICIO"/>
    <s v="RESULTADO ANTES DE IMPUESTOS"/>
    <s v="RESULTADO DE LA EXPLOTACION"/>
    <x v="9"/>
    <s v="(681) Amortización del inmovilizado material"/>
    <s v="681300000 - Amortización de maquinaria"/>
    <s v="-"/>
    <n v="-6419"/>
    <n v="-6419"/>
    <n v="-6419"/>
    <n v="-6419"/>
    <n v="-6419"/>
    <n v="-6419"/>
    <n v="-6419"/>
    <n v="-6419"/>
    <n v="-6419"/>
    <n v="-6419"/>
    <n v="-6419"/>
    <n v="-6419"/>
    <n v="-77028"/>
  </r>
  <r>
    <x v="0"/>
    <s v="Codiagro"/>
    <s v="RESULTADO DEL EJERCICIO"/>
    <s v="RESULTADO ANTES DE IMPUESTOS"/>
    <s v="RESULTADO DE LA EXPLOTACION"/>
    <x v="9"/>
    <s v="(681) Amortización del inmovilizado material"/>
    <s v="681500000 - Amortización de otras instalaciones"/>
    <s v="-"/>
    <n v="-1642"/>
    <n v="-1642"/>
    <n v="-1642"/>
    <n v="-1642"/>
    <n v="-1642"/>
    <n v="-1642"/>
    <n v="-1642"/>
    <n v="-1642"/>
    <n v="-1642"/>
    <n v="-1642"/>
    <n v="-1642"/>
    <n v="-1642"/>
    <n v="-19704"/>
  </r>
  <r>
    <x v="0"/>
    <s v="Codiagro"/>
    <s v="RESULTADO DEL EJERCICIO"/>
    <s v="RESULTADO ANTES DE IMPUESTOS"/>
    <s v="RESULTADO DE LA EXPLOTACION"/>
    <x v="9"/>
    <s v="(681) Amortización del inmovilizado material"/>
    <s v="681600000 - Amortización de mobiliario"/>
    <s v="-"/>
    <n v="-1337"/>
    <n v="-1337"/>
    <n v="-1337"/>
    <n v="-1337"/>
    <n v="-1337"/>
    <n v="-1337"/>
    <n v="-1337"/>
    <n v="-1337"/>
    <n v="-1337"/>
    <n v="-1337"/>
    <n v="-1337"/>
    <n v="-1337"/>
    <n v="-16044"/>
  </r>
  <r>
    <x v="0"/>
    <s v="Codiagro"/>
    <s v="RESULTADO DEL EJERCICIO"/>
    <s v="RESULTADO ANTES DE IMPUESTOS"/>
    <s v="RESULTADO DE LA EXPLOTACION"/>
    <x v="9"/>
    <s v="(681) Amortización del inmovilizado material"/>
    <s v="681700000 - Amortización de equipos para procesos de informac."/>
    <s v="-"/>
    <n v="-856"/>
    <n v="-856"/>
    <n v="-856"/>
    <n v="-856"/>
    <n v="-856"/>
    <n v="-856"/>
    <n v="-856"/>
    <n v="-856"/>
    <n v="-856"/>
    <n v="-856"/>
    <n v="-856"/>
    <n v="-856"/>
    <n v="-10272"/>
  </r>
  <r>
    <x v="0"/>
    <s v="Codiagro"/>
    <s v="RESULTADO DEL EJERCICIO"/>
    <s v="RESULTADO ANTES DE IMPUESTOS"/>
    <s v="RESULTADO DE LA EXPLOTACION"/>
    <x v="9"/>
    <s v="(681) Amortización del inmovilizado material"/>
    <s v="681800000 - Amortización de elementos de transporte"/>
    <s v="-"/>
    <n v="-45"/>
    <n v="-45"/>
    <n v="-45"/>
    <n v="-45"/>
    <n v="-45"/>
    <n v="-45"/>
    <n v="-45"/>
    <n v="-45"/>
    <n v="-45"/>
    <n v="-45"/>
    <n v="-45"/>
    <n v="-45"/>
    <n v="-540"/>
  </r>
  <r>
    <x v="0"/>
    <s v="Codiagro"/>
    <s v="RESULTADO DEL EJERCICIO"/>
    <s v="RESULTADO ANTES DE IMPUESTOS"/>
    <s v="RESULTADO FINANCIERO"/>
    <x v="10"/>
    <s v="(706) Dto. s/vtas p.p."/>
    <s v="706000001 - DESCUENTO POR PRONTO PAGO DEFINITIVO"/>
    <s v="-"/>
    <n v="-30880.78"/>
    <n v="-50021.31"/>
    <n v="-47982.62"/>
    <n v="-38630.3"/>
    <n v="-63423.85"/>
    <n v="-62896.06"/>
    <n v="-39905.52"/>
    <n v="-25466.97"/>
    <n v="-14793.2"/>
    <n v="-24740.02"/>
    <n v="-38241.9"/>
    <n v="-41947.79"/>
    <n v="-478930.3200000001"/>
  </r>
  <r>
    <x v="0"/>
    <s v="Codiagro"/>
    <s v="RESULTADO DEL EJERCICIO"/>
    <s v="RESULTADO ANTES DE IMPUESTOS"/>
    <s v="RESULTADO FINANCIERO"/>
    <x v="10"/>
    <s v="(665) Intereses por descuento de efectos y operaciones de &quot;factoring&quot;"/>
    <s v="665700015 - INTERESES PAGO FINANCIADO POR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2) Intereses de deudas con entidades de crédito"/>
    <s v="662310005 - INTERESES PRESTAMO CAIX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2 - OTROS GTOS. DTO. EFECTOS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7 - OTROS GTOS. DTO.EFECTOS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2 - OTROS GTOS. FINAN.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5 - OTROS GTOS. FINAN. C.RURAL 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7 - OTROS GTOS. FINAN. BBVA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2 - GTOS. COBRO EXPORT B.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7 - GTOS. COBRO EXPORT.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1"/>
    <s v="(768) Diferencias positivas de cambio"/>
    <s v="768000000 - Diferencias positivas de camb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709) Publicidad"/>
    <s v="709001500 - RAPPEL BONIFICACIONES POR PMK DEFINITIV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2"/>
    <s v="(769) Otros ingresos financieros"/>
    <s v="769000000 - Otros ingresos financieros"/>
    <s v="-"/>
    <n v="0"/>
    <n v="0"/>
    <n v="0"/>
    <n v="0"/>
    <n v="0"/>
    <n v="0"/>
    <n v="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count="33">
  <r>
    <d v="2025-01-10T00:00:00"/>
    <x v="0"/>
    <s v="CODIAGRO"/>
    <x v="0"/>
    <m/>
    <n v="641000007"/>
    <s v="Gastos de personal"/>
    <m/>
    <m/>
    <s v="INDEMNIZACION MIGUEL BELLES"/>
    <n v="112732.33"/>
    <n v="112.73233"/>
  </r>
  <r>
    <d v="2025-03-18T00:00:00"/>
    <x v="1"/>
    <s v="CODIAGRO"/>
    <x v="1"/>
    <s v="440FVN25000044"/>
    <n v="623000001"/>
    <s v="Otros Gastos Operativos"/>
    <m/>
    <s v="AUREN CORPORATE"/>
    <s v="Asesoramiento"/>
    <n v="14111.19"/>
    <n v="14.11119"/>
  </r>
  <r>
    <d v="2025-03-28T00:00:00"/>
    <x v="1"/>
    <s v="CODIAGRO"/>
    <x v="1"/>
    <s v="440FVN25000048"/>
    <n v="623000001"/>
    <s v="Otros Gastos Operativos"/>
    <m/>
    <s v="AUREN CORPORATE"/>
    <s v="Asesoramiento"/>
    <n v="4000"/>
    <n v="4"/>
  </r>
  <r>
    <d v="2025-04-29T00:00:00"/>
    <x v="2"/>
    <s v="CODIAGRO"/>
    <x v="1"/>
    <s v="440FVN25000070"/>
    <n v="623000001"/>
    <s v="Otros Gastos Operativos"/>
    <m/>
    <s v="AUREN CORPORATE"/>
    <s v="Asesoramiento"/>
    <n v="4297.23"/>
    <n v="4.29723"/>
  </r>
  <r>
    <d v="2025-05-28T00:00:00"/>
    <x v="3"/>
    <s v="CODIAGRO"/>
    <x v="1"/>
    <s v="440FVN25000094"/>
    <n v="623000001"/>
    <s v="Otros Gastos Operativos"/>
    <m/>
    <s v="AUREN CORPORATE"/>
    <s v="Asesoramiento"/>
    <n v="4000"/>
    <n v="4"/>
  </r>
  <r>
    <d v="2025-06-30T00:00:00"/>
    <x v="4"/>
    <s v="CODIAGRO"/>
    <x v="1"/>
    <s v="440FVN25000118"/>
    <n v="623000001"/>
    <s v="Otros Gastos Operativos"/>
    <m/>
    <s v="AUREN CORPORATE"/>
    <s v="Asesoramiento"/>
    <n v="4000"/>
    <n v="4"/>
  </r>
  <r>
    <d v="2025-07-28T00:00:00"/>
    <x v="5"/>
    <s v="CODIAGRO"/>
    <x v="1"/>
    <s v="440FVN25000150"/>
    <n v="623000001"/>
    <s v="Otros Gastos Operativos"/>
    <m/>
    <s v="AUREN CORPORATE"/>
    <s v="Asesoramiento"/>
    <n v="4589.25"/>
    <n v="4.58925"/>
  </r>
  <r>
    <d v="2025-09-01T00:00:00"/>
    <x v="6"/>
    <s v="CODIAGRO"/>
    <x v="1"/>
    <s v="440FVN25000171"/>
    <n v="623000001"/>
    <s v="Otros Gastos Operativos"/>
    <m/>
    <s v="AUREN CORPORATE"/>
    <s v="Asesoramiento"/>
    <n v="4000"/>
    <n v="4"/>
  </r>
  <r>
    <d v="2025-09-29T00:00:00"/>
    <x v="6"/>
    <s v="CODIAGRO"/>
    <x v="1"/>
    <s v="440FVN25000191"/>
    <n v="623000001"/>
    <s v="Otros Gastos Operativos"/>
    <m/>
    <s v="AUREN CORPORATE"/>
    <s v="Asesoramiento"/>
    <n v="4054.38"/>
    <n v="4.05438"/>
  </r>
  <r>
    <d v="2025-08-06T00:00:00"/>
    <x v="7"/>
    <s v="CODIAGRO"/>
    <x v="2"/>
    <s v="52/000095"/>
    <n v="627000005"/>
    <s v="Otros Gastos Operativos"/>
    <m/>
    <s v="VILLARREAL CLUB DE FUTBOL"/>
    <s v="PALCO TEMPORADA"/>
    <n v="40493.75"/>
    <n v="40.49375"/>
  </r>
  <r>
    <d v="2025-08-06T00:00:00"/>
    <x v="7"/>
    <s v="CODIAGRO"/>
    <x v="2"/>
    <s v="52/000095"/>
    <n v="634100000"/>
    <s v="Otros Gastos Operativos"/>
    <m/>
    <s v="VILLARREAL CLUB DE FUTBOL"/>
    <s v="IVA NO DEDUCIBLE del Palco"/>
    <n v="8503.690000000001"/>
    <n v="8.503690000000001"/>
  </r>
  <r>
    <d v="2025-11-01T00:00:00"/>
    <x v="8"/>
    <s v="CODIAGRO"/>
    <x v="1"/>
    <n v="3522900376"/>
    <n v="623000001"/>
    <s v="Otros Gastos Operativos"/>
    <m/>
    <s v="KPMG"/>
    <s v="VENDOR DIU DILIGENCE"/>
    <n v="118000"/>
    <n v="118"/>
  </r>
  <r>
    <d v="2025-12-02T00:00:00"/>
    <x v="9"/>
    <s v="CODIAGRO"/>
    <x v="3"/>
    <m/>
    <n v="623000001"/>
    <s v="Otros Gastos Operativos"/>
    <m/>
    <s v="INTRALINKS"/>
    <s v="NUBE PARA LA DOCUMENTACION"/>
    <n v="1800"/>
    <n v="1.8"/>
  </r>
  <r>
    <d v="2025-04-01T00:00:00"/>
    <x v="2"/>
    <s v="CODIAGRO"/>
    <x v="4"/>
    <s v="153/25"/>
    <n v="622010201"/>
    <s v="Otros Gastos Operativos"/>
    <m/>
    <s v="MAQUISEL SERVICIOS QUIMICOS, S.L.L."/>
    <s v="REPARACION ALCAPLANT CADA 6/7 AÑOS"/>
    <n v="11502.5"/>
    <n v="11.5025"/>
  </r>
  <r>
    <d v="2025-04-01T00:00:00"/>
    <x v="2"/>
    <s v="CODIAGRO"/>
    <x v="4"/>
    <s v="154/25"/>
    <n v="622010201"/>
    <s v="Otros Gastos Operativos"/>
    <m/>
    <s v="MAQUISEL SERVICIOS QUIMICOS, S.L.L."/>
    <s v="REPARACION ALCAPLANT CADA 6/7 AÑOS"/>
    <n v="11049.5"/>
    <n v="11.0495"/>
  </r>
  <r>
    <d v="2025-12-01T00:00:00"/>
    <x v="9"/>
    <s v="CODIAGRO"/>
    <x v="4"/>
    <s v="278/25"/>
    <n v="622010201"/>
    <s v="Otros Gastos Operativos"/>
    <m/>
    <s v="MAQUISEL SERVICIOS QUIMICOS, S.L.L."/>
    <s v="REPARACION ALCAPLANT CADA 6/7 AÑOS"/>
    <n v="12968"/>
    <n v="12.968"/>
  </r>
  <r>
    <d v="2025-12-01T00:00:00"/>
    <x v="9"/>
    <s v="CODIAGRO"/>
    <x v="4"/>
    <s v="560/25"/>
    <n v="622000006"/>
    <s v="Otros Gastos Operativos"/>
    <m/>
    <s v="MAQUISEL SERVICIOS QUIMICOS, S.L.L."/>
    <m/>
    <n v="4897"/>
    <n v="4.897"/>
  </r>
  <r>
    <d v="2025-02-25T00:00:00"/>
    <x v="10"/>
    <s v="CODIAGRO"/>
    <x v="4"/>
    <n v="25000332"/>
    <n v="622010200"/>
    <s v="Otros Gastos Operativos"/>
    <m/>
    <s v="OLIVER &amp; BATLLE, S.A."/>
    <s v="REPARACION ALCAPLANT CADA 6/7 AÑOS"/>
    <n v="9978.65"/>
    <n v="9.97865"/>
  </r>
  <r>
    <d v="2025-03-05T00:00:00"/>
    <x v="1"/>
    <s v="CODIAGRO"/>
    <x v="5"/>
    <m/>
    <n v="627000008"/>
    <s v="Otros Gastos Operativos"/>
    <m/>
    <m/>
    <s v="Marketing 2024 Marcoser"/>
    <n v="8479.84"/>
    <n v="8.479839999999999"/>
  </r>
  <r>
    <d v="2025-01-20T00:00:00"/>
    <x v="0"/>
    <s v="CODIAGRO"/>
    <x v="5"/>
    <m/>
    <n v="623100006"/>
    <s v="Otros Gastos Operativos"/>
    <m/>
    <m/>
    <s v="Comisiones 2024 Alfonso (agricola Juncar)"/>
    <n v="21135"/>
    <n v="21.135"/>
  </r>
  <r>
    <d v="2025-01-03T00:00:00"/>
    <x v="0"/>
    <s v="CODIAGRO"/>
    <x v="5"/>
    <m/>
    <n v="623100007"/>
    <s v="Otros Gastos Operativos"/>
    <m/>
    <m/>
    <s v="Comisiones 2024 Mehmet"/>
    <n v="18863.51"/>
    <n v="18.86351"/>
  </r>
  <r>
    <d v="2025-02-04T00:00:00"/>
    <x v="10"/>
    <s v="CODIAGRO"/>
    <x v="5"/>
    <m/>
    <n v="623100007"/>
    <s v="Otros Gastos Operativos"/>
    <m/>
    <m/>
    <s v="Comisiones 2024 Mehmet"/>
    <n v="3423.3"/>
    <n v="3.4233"/>
  </r>
  <r>
    <d v="2025-06-30T00:00:00"/>
    <x v="4"/>
    <s v="CODIAGRO"/>
    <x v="6"/>
    <m/>
    <n v="640000000"/>
    <s v="Gastos de personal"/>
    <m/>
    <m/>
    <s v="Importe Producción-Planta 2024"/>
    <n v="26136.49"/>
    <n v="26.13649"/>
  </r>
  <r>
    <d v="2025-09-30T00:00:00"/>
    <x v="6"/>
    <s v="CODIAGRO"/>
    <x v="6"/>
    <m/>
    <n v="647000000"/>
    <s v="Gastos de personal"/>
    <m/>
    <m/>
    <s v="Retribución consejo 2024"/>
    <n v="65849.57000000001"/>
    <n v="65.84957"/>
  </r>
  <r>
    <d v="2025-06-19T00:00:00"/>
    <x v="4"/>
    <s v="CODIAGRO"/>
    <x v="5"/>
    <m/>
    <n v="623000001"/>
    <s v="Otros Gastos Operativos"/>
    <m/>
    <m/>
    <s v="Comisiones Eurofertil 2024"/>
    <n v="10969.96"/>
    <n v="10.96996"/>
  </r>
  <r>
    <d v="2025-03-24T00:00:00"/>
    <x v="1"/>
    <s v="CODIAGRO"/>
    <x v="5"/>
    <m/>
    <n v="623000001"/>
    <s v="Otros Gastos Operativos"/>
    <m/>
    <m/>
    <s v="Comisiones Eurofertil 2024,2023,2022"/>
    <n v="50283.36"/>
    <n v="50.28336"/>
  </r>
  <r>
    <d v="2025-04-28T00:00:00"/>
    <x v="2"/>
    <s v="CODIAGRO"/>
    <x v="7"/>
    <m/>
    <n v="709000000"/>
    <s v="Ventas"/>
    <m/>
    <m/>
    <s v="Rappel Dotra (cliente Egipto) 2024"/>
    <n v="102533.02"/>
    <n v="102.53302"/>
  </r>
  <r>
    <d v="2025-04-28T00:00:00"/>
    <x v="2"/>
    <s v="CODIAGRO"/>
    <x v="7"/>
    <m/>
    <n v="709000000"/>
    <s v="Ventas"/>
    <m/>
    <m/>
    <s v="Rappel Dotra (cliente Egipto) 2024"/>
    <n v="36967.69"/>
    <n v="36.96769"/>
  </r>
  <r>
    <d v="2025-02-28T00:00:00"/>
    <x v="10"/>
    <s v="CODIAGRO"/>
    <x v="6"/>
    <m/>
    <n v="640000000"/>
    <s v="Gastos de personal"/>
    <m/>
    <m/>
    <s v="Bonus 2024"/>
    <n v="135000"/>
    <n v="135"/>
  </r>
  <r>
    <d v="2025-01-08T00:00:00"/>
    <x v="0"/>
    <s v="CODIAGRO"/>
    <x v="5"/>
    <m/>
    <n v="627000010"/>
    <s v="Otros Gastos Operativos"/>
    <m/>
    <m/>
    <s v="Promoción 2023 Tecnicos Campo Egido"/>
    <n v="9175.459999999999"/>
    <n v="9.175459999999999"/>
  </r>
  <r>
    <d v="2025-04-14T00:00:00"/>
    <x v="2"/>
    <s v="CODIAGRO"/>
    <x v="5"/>
    <m/>
    <n v="627000010"/>
    <s v="Otros Gastos Operativos"/>
    <m/>
    <m/>
    <s v="Promoción 2024 Tecnicos Campo Egido"/>
    <n v="11863.56"/>
    <n v="11.86356"/>
  </r>
  <r>
    <d v="2025-01-31T00:00:00"/>
    <x v="0"/>
    <s v="CODIAGRO"/>
    <x v="6"/>
    <m/>
    <n v="640000000"/>
    <s v="Gastos de personal"/>
    <m/>
    <m/>
    <s v="Comisiones Comercial en nomina de periodo de junio a diciembre 2024 - Pendiente el asiento"/>
    <n v="41513.61500000001"/>
    <n v="41.51361500000001"/>
  </r>
  <r>
    <d v="2025-06-30T00:00:00"/>
    <x v="4"/>
    <s v="CODIAGRO"/>
    <x v="6"/>
    <m/>
    <n v="640000000"/>
    <s v="Gastos de personal"/>
    <m/>
    <m/>
    <s v="Comisiones Comercial en nomina de periodo de junio a diciembre 2024 - Pendiente el asiento"/>
    <n v="41513.61500000001"/>
    <n v="41.513615000000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aDinámica1" cacheId="44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Detalle sin Ajustar" fieldListSortAscending="0" mdxSubqueries="0" applyNumberFormats="0" applyBorderFormats="0" applyFontFormats="0" applyPatternFormats="0" applyAlignmentFormats="0" applyWidthHeightFormats="1" r:id="rId1">
  <location ref="B3:O16" firstHeaderRow="0" firstDataRow="1" firstDataCol="1" rowPageCount="1" colPageCount="1"/>
  <pivotFields count="22"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3">
        <item t="data" sd="1" m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0"/>
        <item t="data" sd="1" x="5"/>
        <item t="data" sd="1" x="6"/>
        <item t="data" sd="1" x="7"/>
        <item t="data" sd="1" x="1"/>
        <item t="data" sd="1" x="8"/>
        <item t="data" sd="1" x="3"/>
        <item t="data" sd="1" x="9"/>
        <item t="data" sd="1" x="4"/>
        <item t="data" sd="1" x="10"/>
        <item t="data" sd="1" x="1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  <pivotField dataField="1" showDropDowns="1" compact="1" numFmtId="4" outline="1" subtotalTop="1" dragToRow="1" dragToCol="1" dragToPage="1" dragToData="1" dragOff="1" showAll="0" topAutoShow="1" itemPageCount="10" sortType="manual" defaultSubtotal="1"/>
  </pivotFields>
  <rowFields count="1">
    <field x="5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13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  <i t="data" r="0" i="5">
      <x v="5"/>
    </i>
    <i t="data" r="0" i="6">
      <x v="6"/>
    </i>
    <i t="data" r="0" i="7">
      <x v="7"/>
    </i>
    <i t="data" r="0" i="8">
      <x v="8"/>
    </i>
    <i t="data" r="0" i="9">
      <x v="9"/>
    </i>
    <i t="data" r="0" i="10">
      <x v="10"/>
    </i>
    <i t="data" r="0" i="11">
      <x v="11"/>
    </i>
    <i t="data" r="0" i="12">
      <x v="12"/>
    </i>
  </colItems>
  <pageFields count="1">
    <pageField fld="0" hier="-1"/>
  </pageFields>
  <dataFields count="13">
    <dataField name="ene-27 " fld="9" subtotal="sum" showDataAs="normal" baseField="0" baseItem="0" numFmtId="4"/>
    <dataField name="feb-27 " fld="10" subtotal="sum" showDataAs="normal" baseField="0" baseItem="0" numFmtId="4"/>
    <dataField name="mar-27 " fld="11" subtotal="sum" showDataAs="normal" baseField="0" baseItem="0" numFmtId="4"/>
    <dataField name="abr-27 " fld="12" subtotal="sum" showDataAs="normal" baseField="0" baseItem="0" numFmtId="4"/>
    <dataField name="may-27 " fld="13" subtotal="sum" showDataAs="normal" baseField="0" baseItem="0"/>
    <dataField name="jun-27 " fld="14" subtotal="sum" showDataAs="normal" baseField="0" baseItem="0" numFmtId="4"/>
    <dataField name="jul-27 " fld="15" subtotal="sum" showDataAs="normal" baseField="0" baseItem="0" numFmtId="4"/>
    <dataField name="ago-27 " fld="16" subtotal="sum" showDataAs="normal" baseField="0" baseItem="0" numFmtId="4"/>
    <dataField name="sep-27 " fld="17" subtotal="sum" showDataAs="normal" baseField="0" baseItem="0" numFmtId="4"/>
    <dataField name="oct-27 " fld="18" subtotal="sum" showDataAs="normal" baseField="0" baseItem="0" numFmtId="4"/>
    <dataField name="nov-27 " fld="19" subtotal="sum" showDataAs="normal" baseField="0" baseItem="0" numFmtId="4"/>
    <dataField name="dic-27 " fld="20" subtotal="sum" showDataAs="normal" baseField="0" baseItem="0" numFmtId="4"/>
    <dataField name="Total 2027 " fld="21" subtotal="sum" showDataAs="normal" baseField="0" baseItem="0" numFmtId="4"/>
  </dataFields>
  <formats count="3">
    <format action="formatting" dxfId="3">
      <pivotArea type="normal" dataOnly="1" outline="0" collapsedLevelsAreSubtotals="1" fieldPosition="0"/>
    </format>
    <format action="formatting" dxfId="4">
      <pivotArea type="normal" dataOnly="0" labelOnly="1" outline="0" fieldPosition="0">
        <references count="1">
          <reference field="0">
            <x v="0"/>
          </reference>
        </references>
      </pivotArea>
    </format>
    <format action="formatting" dxfId="5">
      <pivotArea field="5" type="button" dataOnly="0" labelOnly="1" outline="0" axis="axisRow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laDinámica13" cacheId="1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P3:Q12" firstHeaderRow="1" firstDataRow="1" firstDataCol="1" rowPageCount="1" colPageCount="1"/>
  <pivotFields count="12">
    <pivotField showDropDowns="1" compact="1" numFmtId="14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12">
        <item t="data" sd="1" x="0"/>
        <item t="data" sd="1" x="10"/>
        <item t="data" sd="1" x="1"/>
        <item t="data" sd="1" x="2"/>
        <item t="data" sd="1" x="3"/>
        <item t="data" sd="1" x="4"/>
        <item t="data" sd="1" x="5"/>
        <item t="data" sd="1" x="7"/>
        <item t="data" sd="1" x="6"/>
        <item t="data" sd="1" x="8"/>
        <item t="data" sd="1" x="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1"/>
        <item t="data" sd="1" x="5"/>
        <item t="data" sd="1" x="2"/>
        <item t="data" sd="1" x="0"/>
        <item t="data" sd="1" x="3"/>
        <item t="data" sd="1" x="6"/>
        <item t="data" sd="1" x="7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pageFields count="1">
    <pageField fld="1" hier="-1"/>
  </pageFields>
  <dataFields count="1">
    <dataField name="Suma de Importe ('000)" fld="11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DM31"/>
  <sheetViews>
    <sheetView showGridLines="0" tabSelected="1" topLeftCell="CX3" zoomScaleNormal="100" workbookViewId="0">
      <selection activeCell="DH28" sqref="DH28"/>
    </sheetView>
  </sheetViews>
  <sheetFormatPr baseColWidth="10" defaultColWidth="10.81640625" defaultRowHeight="14.5"/>
  <cols>
    <col width="10.81640625" customWidth="1" style="22" min="1" max="1"/>
    <col width="23.54296875" bestFit="1" customWidth="1" style="22" min="2" max="2"/>
    <col width="10.81640625" customWidth="1" style="22" min="3" max="10"/>
    <col width="23.54296875" bestFit="1" customWidth="1" style="22" min="11" max="11"/>
    <col width="10.81640625" customWidth="1" style="22" min="12" max="19"/>
    <col width="23.54296875" bestFit="1" customWidth="1" style="22" min="20" max="20"/>
    <col width="10.81640625" customWidth="1" style="22" min="21" max="28"/>
    <col width="23.54296875" bestFit="1" customWidth="1" style="22" min="29" max="29"/>
    <col width="10.81640625" customWidth="1" style="22" min="30" max="37"/>
    <col width="23.54296875" bestFit="1" customWidth="1" style="22" min="38" max="38"/>
    <col width="10.81640625" customWidth="1" style="22" min="39" max="46"/>
    <col width="23.54296875" bestFit="1" customWidth="1" style="22" min="47" max="47"/>
    <col width="10.81640625" customWidth="1" style="22" min="48" max="55"/>
    <col width="23.54296875" bestFit="1" customWidth="1" style="22" min="56" max="56"/>
    <col width="10.81640625" customWidth="1" style="22" min="57" max="64"/>
    <col width="23.54296875" bestFit="1" customWidth="1" style="22" min="65" max="65"/>
    <col width="10.81640625" customWidth="1" style="22" min="66" max="73"/>
    <col width="23.54296875" bestFit="1" customWidth="1" style="22" min="74" max="74"/>
    <col width="9.6328125" customWidth="1" style="23" min="75" max="75"/>
    <col width="10.81640625" customWidth="1" style="23" min="76" max="76"/>
    <col width="8.81640625" customWidth="1" style="22" min="77" max="77"/>
    <col width="9.81640625" customWidth="1" style="22" min="78" max="78"/>
    <col width="10.81640625" customWidth="1" style="22" min="79" max="79"/>
    <col width="9.7265625" customWidth="1" style="22" min="80" max="81"/>
    <col width="10.81640625" customWidth="1" style="22" min="82" max="82"/>
    <col width="23.54296875" bestFit="1" customWidth="1" style="22" min="83" max="83"/>
    <col width="10.81640625" customWidth="1" style="22" min="84" max="91"/>
    <col width="23.54296875" bestFit="1" customWidth="1" style="22" min="92" max="92"/>
    <col width="10.81640625" customWidth="1" style="22" min="93" max="100"/>
    <col width="23.54296875" bestFit="1" customWidth="1" style="22" min="101" max="101"/>
    <col width="10.81640625" customWidth="1" style="22" min="102" max="109"/>
    <col width="23.54296875" bestFit="1" customWidth="1" style="22" min="110" max="110"/>
    <col width="10.81640625" customWidth="1" style="22" min="111" max="16384"/>
  </cols>
  <sheetData>
    <row r="2">
      <c r="C2" s="23" t="n"/>
      <c r="D2" s="23" t="n"/>
      <c r="L2" s="23" t="n"/>
      <c r="M2" s="23" t="n"/>
      <c r="V2" s="23" t="n"/>
      <c r="W2" s="23" t="n"/>
      <c r="AE2" s="23" t="n"/>
      <c r="AF2" s="23" t="n"/>
      <c r="AO2" s="23" t="n"/>
      <c r="AP2" s="23" t="n"/>
      <c r="AX2" s="23" t="n"/>
      <c r="AY2" s="23" t="n"/>
      <c r="BH2" s="23" t="n"/>
      <c r="BI2" s="23" t="n"/>
      <c r="BQ2" s="23" t="n"/>
      <c r="BR2" s="23" t="n"/>
      <c r="BU2" s="21" t="n"/>
      <c r="BV2" s="56" t="inlineStr">
        <is>
          <t>Seleccionar las formulas de P&amp;L YTD Mes anterior y de P&amp;L YTD Actual y cambiar la referencia al mes anterior</t>
        </is>
      </c>
      <c r="BW2" s="81" t="n"/>
      <c r="BX2" s="55" t="n"/>
      <c r="BY2" s="55" t="n"/>
      <c r="BZ2" s="81" t="n"/>
      <c r="CA2" s="81" t="n"/>
      <c r="CB2" s="81" t="n"/>
      <c r="CC2" s="81" t="n"/>
    </row>
    <row r="3">
      <c r="B3" s="20" t="n"/>
      <c r="C3" s="23" t="n"/>
      <c r="D3" s="23" t="n"/>
      <c r="G3" s="20" t="n"/>
      <c r="K3" s="20" t="n"/>
      <c r="L3" s="23" t="n"/>
      <c r="M3" s="23" t="n"/>
      <c r="P3" s="20" t="n"/>
      <c r="T3" s="20" t="n"/>
      <c r="U3" s="20" t="n"/>
      <c r="V3" s="23" t="n"/>
      <c r="W3" s="23" t="n"/>
      <c r="Z3" s="20" t="n"/>
      <c r="AD3" s="20" t="n"/>
      <c r="AE3" s="23" t="n"/>
      <c r="AF3" s="23" t="n"/>
      <c r="AI3" s="20" t="n"/>
      <c r="AM3" s="20" t="n"/>
      <c r="AN3" s="20" t="n"/>
      <c r="AO3" s="23" t="n"/>
      <c r="AP3" s="23" t="n"/>
      <c r="AS3" s="20" t="n"/>
      <c r="AW3" s="20" t="n"/>
      <c r="AX3" s="23" t="n"/>
      <c r="AY3" s="23" t="n"/>
      <c r="BB3" s="20" t="n"/>
      <c r="BF3" s="20" t="n"/>
      <c r="BG3" s="20" t="n"/>
      <c r="BH3" s="23" t="n"/>
      <c r="BI3" s="23" t="n"/>
      <c r="BL3" s="20" t="n"/>
      <c r="BP3" s="20" t="n"/>
      <c r="BQ3" s="23" t="n"/>
      <c r="BR3" s="23" t="n"/>
    </row>
    <row r="4">
      <c r="C4" s="55" t="inlineStr">
        <is>
          <t>RELLENAR</t>
        </is>
      </c>
      <c r="D4" s="23" t="n"/>
      <c r="L4" s="55" t="inlineStr">
        <is>
          <t>RELLENAR</t>
        </is>
      </c>
      <c r="M4" s="23" t="n"/>
      <c r="U4" s="55" t="inlineStr">
        <is>
          <t>RELLENAR</t>
        </is>
      </c>
      <c r="V4" s="23" t="n"/>
      <c r="AD4" s="55" t="inlineStr">
        <is>
          <t>RELLENAR</t>
        </is>
      </c>
      <c r="AE4" s="23" t="n"/>
      <c r="AM4" s="55" t="inlineStr">
        <is>
          <t>RELLENAR</t>
        </is>
      </c>
      <c r="AN4" s="23" t="n"/>
      <c r="AV4" s="55" t="inlineStr">
        <is>
          <t>RELLENAR</t>
        </is>
      </c>
      <c r="AW4" s="23" t="n"/>
      <c r="BE4" s="55" t="inlineStr">
        <is>
          <t>RELLENAR</t>
        </is>
      </c>
      <c r="BF4" s="23" t="n"/>
      <c r="BN4" s="55" t="inlineStr">
        <is>
          <t>RELLENAR</t>
        </is>
      </c>
      <c r="BO4" s="23" t="n"/>
      <c r="BW4" s="55" t="inlineStr">
        <is>
          <t>RELLENAR</t>
        </is>
      </c>
      <c r="CF4" s="55" t="inlineStr">
        <is>
          <t>RELLENAR</t>
        </is>
      </c>
      <c r="CG4" s="23" t="n"/>
      <c r="CO4" s="55" t="inlineStr">
        <is>
          <t>RELLENAR</t>
        </is>
      </c>
      <c r="CP4" s="23" t="n"/>
      <c r="CX4" s="55" t="inlineStr">
        <is>
          <t>RELLENAR</t>
        </is>
      </c>
      <c r="CY4" s="23" t="n"/>
      <c r="DG4" s="55" t="inlineStr">
        <is>
          <t>RELLENAR</t>
        </is>
      </c>
      <c r="DH4" s="23" t="n"/>
    </row>
    <row r="5">
      <c r="B5" s="24" t="inlineStr">
        <is>
          <t>MES</t>
        </is>
      </c>
      <c r="C5" s="25" t="n">
        <v>1</v>
      </c>
      <c r="D5" s="23" t="n"/>
      <c r="G5" s="20" t="n"/>
      <c r="K5" s="24" t="inlineStr">
        <is>
          <t>MES</t>
        </is>
      </c>
      <c r="L5" s="25" t="n">
        <v>2</v>
      </c>
      <c r="M5" s="23" t="n"/>
      <c r="P5" s="20" t="n"/>
      <c r="T5" s="24" t="inlineStr">
        <is>
          <t>MES</t>
        </is>
      </c>
      <c r="U5" s="25" t="n">
        <v>3</v>
      </c>
      <c r="V5" s="23" t="n"/>
      <c r="Y5" s="20" t="n"/>
      <c r="AC5" s="24" t="inlineStr">
        <is>
          <t>MES</t>
        </is>
      </c>
      <c r="AD5" s="25" t="n">
        <v>4</v>
      </c>
      <c r="AE5" s="23" t="n"/>
      <c r="AH5" s="20" t="n"/>
      <c r="AL5" s="24" t="inlineStr">
        <is>
          <t>MES</t>
        </is>
      </c>
      <c r="AM5" s="25" t="n">
        <v>5</v>
      </c>
      <c r="AN5" s="23" t="n"/>
      <c r="AQ5" s="20" t="n"/>
      <c r="AU5" s="24" t="inlineStr">
        <is>
          <t>MES</t>
        </is>
      </c>
      <c r="AV5" s="25" t="n">
        <v>6</v>
      </c>
      <c r="AW5" s="23" t="n"/>
      <c r="AZ5" s="20" t="n"/>
      <c r="BD5" s="24" t="inlineStr">
        <is>
          <t>MES</t>
        </is>
      </c>
      <c r="BE5" s="25" t="n">
        <v>7</v>
      </c>
      <c r="BF5" s="23" t="n"/>
      <c r="BI5" s="20" t="n"/>
      <c r="BM5" s="24" t="inlineStr">
        <is>
          <t>MES</t>
        </is>
      </c>
      <c r="BN5" s="25" t="n">
        <v>8</v>
      </c>
      <c r="BO5" s="23" t="n"/>
      <c r="BR5" s="20" t="n"/>
      <c r="BV5" s="24" t="inlineStr">
        <is>
          <t>MES</t>
        </is>
      </c>
      <c r="BW5" s="25" t="n">
        <v>9</v>
      </c>
      <c r="CA5" s="20" t="n"/>
      <c r="CE5" s="24" t="inlineStr">
        <is>
          <t>MES</t>
        </is>
      </c>
      <c r="CF5" s="25" t="n">
        <v>10</v>
      </c>
      <c r="CG5" s="23" t="n"/>
      <c r="CJ5" s="20" t="n"/>
      <c r="CN5" s="24" t="inlineStr">
        <is>
          <t>MES</t>
        </is>
      </c>
      <c r="CO5" s="25" t="n">
        <v>11</v>
      </c>
      <c r="CP5" s="23" t="n"/>
      <c r="CS5" s="20" t="n"/>
      <c r="CW5" s="24" t="inlineStr">
        <is>
          <t>MES</t>
        </is>
      </c>
      <c r="CX5" s="25" t="n">
        <v>12</v>
      </c>
      <c r="CY5" s="23" t="n"/>
      <c r="DB5" s="20" t="n"/>
      <c r="DF5" s="24" t="inlineStr">
        <is>
          <t>MES</t>
        </is>
      </c>
      <c r="DG5" s="132" t="n">
        <v>12</v>
      </c>
      <c r="DH5" s="25" t="inlineStr">
        <is>
          <t>YTD</t>
        </is>
      </c>
      <c r="DK5" s="20" t="n"/>
    </row>
    <row r="6">
      <c r="C6" s="23" t="n"/>
      <c r="D6" s="23" t="n"/>
      <c r="L6" s="23" t="n"/>
      <c r="M6" s="23" t="n"/>
      <c r="U6" s="23" t="n"/>
      <c r="V6" s="23" t="n"/>
      <c r="AB6" s="131" t="n"/>
      <c r="AD6" s="23" t="n"/>
      <c r="AE6" s="23" t="n"/>
      <c r="AK6" s="131" t="n"/>
      <c r="AM6" s="23" t="n"/>
      <c r="AN6" s="23" t="n"/>
      <c r="AT6" s="131" t="n"/>
      <c r="AV6" s="23" t="n"/>
      <c r="AW6" s="23" t="n"/>
      <c r="BC6" s="131" t="n"/>
      <c r="BE6" s="23" t="n"/>
      <c r="BF6" s="23" t="n"/>
      <c r="BL6" s="31" t="n"/>
      <c r="BN6" s="23" t="n"/>
      <c r="BO6" s="23" t="n"/>
      <c r="CF6" s="23" t="n"/>
      <c r="CG6" s="23" t="n"/>
      <c r="CO6" s="23" t="n"/>
      <c r="CP6" s="23" t="n"/>
      <c r="CX6" s="23" t="n"/>
      <c r="CY6" s="23" t="n"/>
      <c r="DG6" s="23" t="n"/>
      <c r="DH6" s="23" t="n"/>
    </row>
    <row r="7">
      <c r="B7" s="26" t="inlineStr">
        <is>
          <t>P&amp;L Mensual</t>
        </is>
      </c>
      <c r="D7" s="119" t="n"/>
      <c r="K7" s="26" t="inlineStr">
        <is>
          <t>P&amp;L Mensual</t>
        </is>
      </c>
      <c r="M7" s="119" t="n"/>
      <c r="T7" s="26" t="inlineStr">
        <is>
          <t>P&amp;L Mensual</t>
        </is>
      </c>
      <c r="V7" s="119" t="n"/>
      <c r="AB7" s="58" t="n"/>
      <c r="AC7" s="26" t="inlineStr">
        <is>
          <t>P&amp;L Mensual</t>
        </is>
      </c>
      <c r="AE7" s="119" t="n"/>
      <c r="AK7" s="58" t="n"/>
      <c r="AL7" s="26" t="inlineStr">
        <is>
          <t>P&amp;L Mensual</t>
        </is>
      </c>
      <c r="AN7" s="119" t="n"/>
      <c r="AT7" s="58" t="n"/>
      <c r="AU7" s="26" t="inlineStr">
        <is>
          <t>P&amp;L Mensual</t>
        </is>
      </c>
      <c r="AW7" s="119" t="n"/>
      <c r="BC7" s="58" t="n"/>
      <c r="BD7" s="26" t="inlineStr">
        <is>
          <t>P&amp;L Mensual</t>
        </is>
      </c>
      <c r="BF7" s="119" t="n"/>
      <c r="BL7" s="120" t="n"/>
      <c r="BM7" s="26" t="inlineStr">
        <is>
          <t>P&amp;L Mensual</t>
        </is>
      </c>
      <c r="BO7" s="119" t="n"/>
      <c r="BV7" s="26" t="inlineStr">
        <is>
          <t>P&amp;L Mensual</t>
        </is>
      </c>
      <c r="BW7" s="22" t="n"/>
      <c r="BX7" s="119" t="n"/>
      <c r="CE7" s="26" t="inlineStr">
        <is>
          <t>P&amp;L Mensual</t>
        </is>
      </c>
      <c r="CG7" s="119" t="n"/>
      <c r="CN7" s="26" t="inlineStr">
        <is>
          <t>P&amp;L Mensual</t>
        </is>
      </c>
      <c r="CP7" s="119" t="n"/>
      <c r="CW7" s="26" t="inlineStr">
        <is>
          <t>P&amp;L Mensual</t>
        </is>
      </c>
      <c r="CY7" s="119" t="n"/>
      <c r="DF7" s="26" t="inlineStr">
        <is>
          <t>P&amp;L YTD</t>
        </is>
      </c>
      <c r="DH7" s="119" t="n"/>
    </row>
    <row r="8" ht="16.5" customHeight="1">
      <c r="B8" s="27" t="n"/>
      <c r="C8" s="28" t="n"/>
      <c r="D8" s="28" t="n"/>
      <c r="E8" s="29" t="inlineStr">
        <is>
          <t>Variación</t>
        </is>
      </c>
      <c r="F8" s="30" t="n"/>
      <c r="G8" s="31" t="n"/>
      <c r="H8" s="133" t="inlineStr">
        <is>
          <t>Variación</t>
        </is>
      </c>
      <c r="I8" s="136" t="n"/>
      <c r="K8" s="27" t="n"/>
      <c r="L8" s="28" t="n"/>
      <c r="M8" s="28" t="n"/>
      <c r="N8" s="29" t="inlineStr">
        <is>
          <t>Variación</t>
        </is>
      </c>
      <c r="O8" s="30" t="n"/>
      <c r="P8" s="31" t="n"/>
      <c r="Q8" s="133" t="inlineStr">
        <is>
          <t>Variación</t>
        </is>
      </c>
      <c r="R8" s="136" t="n"/>
      <c r="T8" s="27" t="n"/>
      <c r="U8" s="28" t="n"/>
      <c r="V8" s="28" t="n"/>
      <c r="W8" s="29" t="inlineStr">
        <is>
          <t>Variación</t>
        </is>
      </c>
      <c r="X8" s="30" t="n"/>
      <c r="Y8" s="31" t="n"/>
      <c r="Z8" s="133" t="inlineStr">
        <is>
          <t>Variación</t>
        </is>
      </c>
      <c r="AA8" s="136" t="n"/>
      <c r="AB8" s="137" t="n"/>
      <c r="AC8" s="27" t="n"/>
      <c r="AD8" s="28" t="n"/>
      <c r="AE8" s="28" t="n"/>
      <c r="AF8" s="29" t="inlineStr">
        <is>
          <t>Variación</t>
        </is>
      </c>
      <c r="AG8" s="30" t="n"/>
      <c r="AH8" s="31" t="n"/>
      <c r="AI8" s="133" t="inlineStr">
        <is>
          <t>Variación</t>
        </is>
      </c>
      <c r="AJ8" s="136" t="n"/>
      <c r="AK8" s="137" t="n"/>
      <c r="AL8" s="27" t="n"/>
      <c r="AM8" s="28" t="n"/>
      <c r="AN8" s="28" t="n"/>
      <c r="AO8" s="29" t="inlineStr">
        <is>
          <t>Variación</t>
        </is>
      </c>
      <c r="AP8" s="30" t="n"/>
      <c r="AQ8" s="31" t="n"/>
      <c r="AR8" s="133" t="inlineStr">
        <is>
          <t>Variación</t>
        </is>
      </c>
      <c r="AS8" s="136" t="n"/>
      <c r="AT8" s="138" t="n"/>
      <c r="AU8" s="27" t="n"/>
      <c r="AV8" s="28" t="n"/>
      <c r="AW8" s="28" t="n"/>
      <c r="AX8" s="29" t="inlineStr">
        <is>
          <t>Variación</t>
        </is>
      </c>
      <c r="AY8" s="30" t="n"/>
      <c r="AZ8" s="31" t="n"/>
      <c r="BA8" s="133" t="inlineStr">
        <is>
          <t>Variación</t>
        </is>
      </c>
      <c r="BB8" s="136" t="n"/>
      <c r="BC8" s="138" t="n"/>
      <c r="BD8" s="27" t="n"/>
      <c r="BE8" s="28" t="n"/>
      <c r="BF8" s="28" t="n"/>
      <c r="BG8" s="29" t="inlineStr">
        <is>
          <t>Variación</t>
        </is>
      </c>
      <c r="BH8" s="30" t="n"/>
      <c r="BI8" s="31" t="n"/>
      <c r="BJ8" s="133" t="inlineStr">
        <is>
          <t>Variación</t>
        </is>
      </c>
      <c r="BK8" s="136" t="n"/>
      <c r="BL8" s="76" t="n"/>
      <c r="BM8" s="27" t="n"/>
      <c r="BN8" s="28" t="n"/>
      <c r="BO8" s="28" t="n"/>
      <c r="BP8" s="29" t="inlineStr">
        <is>
          <t>Variación</t>
        </is>
      </c>
      <c r="BQ8" s="30" t="n"/>
      <c r="BR8" s="31" t="n"/>
      <c r="BS8" s="133" t="inlineStr">
        <is>
          <t>Variación</t>
        </is>
      </c>
      <c r="BT8" s="136" t="n"/>
      <c r="BV8" s="27" t="n"/>
      <c r="BW8" s="28" t="n"/>
      <c r="BX8" s="28" t="n"/>
      <c r="BY8" s="29" t="inlineStr">
        <is>
          <t>Variación</t>
        </is>
      </c>
      <c r="BZ8" s="30" t="n"/>
      <c r="CA8" s="31" t="n"/>
      <c r="CB8" s="133" t="inlineStr">
        <is>
          <t>Variación</t>
        </is>
      </c>
      <c r="CC8" s="136" t="n"/>
      <c r="CD8" s="57" t="n"/>
      <c r="CE8" s="27" t="n"/>
      <c r="CF8" s="28" t="n"/>
      <c r="CG8" s="28" t="n"/>
      <c r="CH8" s="29" t="inlineStr">
        <is>
          <t>Variación</t>
        </is>
      </c>
      <c r="CI8" s="30" t="n"/>
      <c r="CJ8" s="31" t="n"/>
      <c r="CK8" s="133" t="inlineStr">
        <is>
          <t>Variación</t>
        </is>
      </c>
      <c r="CL8" s="136" t="n"/>
      <c r="CN8" s="27" t="n"/>
      <c r="CO8" s="28" t="n"/>
      <c r="CP8" s="28" t="n"/>
      <c r="CQ8" s="29" t="inlineStr">
        <is>
          <t>Variación</t>
        </is>
      </c>
      <c r="CR8" s="30" t="n"/>
      <c r="CS8" s="31" t="n"/>
      <c r="CT8" s="133" t="inlineStr">
        <is>
          <t>Variación</t>
        </is>
      </c>
      <c r="CU8" s="136" t="n"/>
      <c r="CW8" s="27" t="n"/>
      <c r="CX8" s="28" t="n"/>
      <c r="CY8" s="28" t="n"/>
      <c r="CZ8" s="29" t="inlineStr">
        <is>
          <t>Variación</t>
        </is>
      </c>
      <c r="DA8" s="30" t="n"/>
      <c r="DB8" s="31" t="n"/>
      <c r="DC8" s="133" t="inlineStr">
        <is>
          <t>Variación</t>
        </is>
      </c>
      <c r="DD8" s="136" t="n"/>
      <c r="DF8" s="27" t="n"/>
      <c r="DG8" s="28" t="n"/>
      <c r="DH8" s="28" t="n"/>
      <c r="DI8" s="29" t="inlineStr">
        <is>
          <t>Variación</t>
        </is>
      </c>
      <c r="DJ8" s="30" t="n"/>
      <c r="DK8" s="31" t="n"/>
      <c r="DL8" s="133" t="inlineStr">
        <is>
          <t>Variación</t>
        </is>
      </c>
      <c r="DM8" s="136" t="n"/>
    </row>
    <row r="9" ht="15" customHeight="1" thickBot="1">
      <c r="B9" s="32" t="inlineStr">
        <is>
          <t>€ '000</t>
        </is>
      </c>
      <c r="C9" s="33" t="inlineStr">
        <is>
          <t>2027A</t>
        </is>
      </c>
      <c r="D9" s="134" t="inlineStr">
        <is>
          <t>2026A</t>
        </is>
      </c>
      <c r="E9" s="34" t="inlineStr">
        <is>
          <t>EUR</t>
        </is>
      </c>
      <c r="F9" s="139" t="inlineStr">
        <is>
          <t xml:space="preserve">% </t>
        </is>
      </c>
      <c r="G9" s="33" t="inlineStr">
        <is>
          <t>2027B</t>
        </is>
      </c>
      <c r="H9" s="34" t="inlineStr">
        <is>
          <t>EUR</t>
        </is>
      </c>
      <c r="I9" s="34" t="inlineStr">
        <is>
          <t>%</t>
        </is>
      </c>
      <c r="K9" s="32" t="inlineStr">
        <is>
          <t>€ '000</t>
        </is>
      </c>
      <c r="L9" s="33" t="inlineStr">
        <is>
          <t>2027A</t>
        </is>
      </c>
      <c r="M9" s="134" t="inlineStr">
        <is>
          <t>2026A</t>
        </is>
      </c>
      <c r="N9" s="34" t="inlineStr">
        <is>
          <t>EUR</t>
        </is>
      </c>
      <c r="O9" s="139" t="inlineStr">
        <is>
          <t xml:space="preserve">% </t>
        </is>
      </c>
      <c r="P9" s="33" t="inlineStr">
        <is>
          <t>2027B</t>
        </is>
      </c>
      <c r="Q9" s="34" t="inlineStr">
        <is>
          <t>EUR</t>
        </is>
      </c>
      <c r="R9" s="34" t="inlineStr">
        <is>
          <t>%</t>
        </is>
      </c>
      <c r="T9" s="32" t="inlineStr">
        <is>
          <t>€ '000</t>
        </is>
      </c>
      <c r="U9" s="33" t="inlineStr">
        <is>
          <t>2027A</t>
        </is>
      </c>
      <c r="V9" s="134" t="inlineStr">
        <is>
          <t>2026A</t>
        </is>
      </c>
      <c r="W9" s="34" t="inlineStr">
        <is>
          <t>EUR</t>
        </is>
      </c>
      <c r="X9" s="139" t="inlineStr">
        <is>
          <t xml:space="preserve">% </t>
        </is>
      </c>
      <c r="Y9" s="33" t="inlineStr">
        <is>
          <t>2027B</t>
        </is>
      </c>
      <c r="Z9" s="34" t="inlineStr">
        <is>
          <t>EUR</t>
        </is>
      </c>
      <c r="AA9" s="34" t="inlineStr">
        <is>
          <t>%</t>
        </is>
      </c>
      <c r="AB9" s="140" t="n"/>
      <c r="AC9" s="32" t="inlineStr">
        <is>
          <t>€ '000</t>
        </is>
      </c>
      <c r="AD9" s="33" t="inlineStr">
        <is>
          <t>2027A</t>
        </is>
      </c>
      <c r="AE9" s="134" t="inlineStr">
        <is>
          <t>2026A</t>
        </is>
      </c>
      <c r="AF9" s="34" t="inlineStr">
        <is>
          <t>EUR</t>
        </is>
      </c>
      <c r="AG9" s="139" t="inlineStr">
        <is>
          <t xml:space="preserve">% </t>
        </is>
      </c>
      <c r="AH9" s="33" t="inlineStr">
        <is>
          <t>2027B</t>
        </is>
      </c>
      <c r="AI9" s="34" t="inlineStr">
        <is>
          <t>EUR</t>
        </is>
      </c>
      <c r="AJ9" s="34" t="inlineStr">
        <is>
          <t>%</t>
        </is>
      </c>
      <c r="AK9" s="140" t="n"/>
      <c r="AL9" s="32" t="inlineStr">
        <is>
          <t>€ '000</t>
        </is>
      </c>
      <c r="AM9" s="33" t="inlineStr">
        <is>
          <t>2027A</t>
        </is>
      </c>
      <c r="AN9" s="134" t="inlineStr">
        <is>
          <t>2026A</t>
        </is>
      </c>
      <c r="AO9" s="34" t="inlineStr">
        <is>
          <t>EUR</t>
        </is>
      </c>
      <c r="AP9" s="139" t="inlineStr">
        <is>
          <t xml:space="preserve">% </t>
        </is>
      </c>
      <c r="AQ9" s="33" t="inlineStr">
        <is>
          <t>2027B</t>
        </is>
      </c>
      <c r="AR9" s="34" t="inlineStr">
        <is>
          <t>EUR</t>
        </is>
      </c>
      <c r="AS9" s="34" t="inlineStr">
        <is>
          <t>%</t>
        </is>
      </c>
      <c r="AT9" s="141" t="n"/>
      <c r="AU9" s="32" t="inlineStr">
        <is>
          <t>€ '000</t>
        </is>
      </c>
      <c r="AV9" s="33" t="inlineStr">
        <is>
          <t>2027A</t>
        </is>
      </c>
      <c r="AW9" s="134" t="inlineStr">
        <is>
          <t>2026A</t>
        </is>
      </c>
      <c r="AX9" s="34" t="inlineStr">
        <is>
          <t>EUR</t>
        </is>
      </c>
      <c r="AY9" s="139" t="inlineStr">
        <is>
          <t xml:space="preserve">% </t>
        </is>
      </c>
      <c r="AZ9" s="33" t="inlineStr">
        <is>
          <t>2027B</t>
        </is>
      </c>
      <c r="BA9" s="34" t="inlineStr">
        <is>
          <t>EUR</t>
        </is>
      </c>
      <c r="BB9" s="34" t="inlineStr">
        <is>
          <t>%</t>
        </is>
      </c>
      <c r="BC9" s="141" t="n"/>
      <c r="BD9" s="32" t="inlineStr">
        <is>
          <t>€ '000</t>
        </is>
      </c>
      <c r="BE9" s="33" t="inlineStr">
        <is>
          <t>2027A</t>
        </is>
      </c>
      <c r="BF9" s="134" t="inlineStr">
        <is>
          <t>2026A</t>
        </is>
      </c>
      <c r="BG9" s="34" t="inlineStr">
        <is>
          <t>EUR</t>
        </is>
      </c>
      <c r="BH9" s="139" t="inlineStr">
        <is>
          <t xml:space="preserve">% </t>
        </is>
      </c>
      <c r="BI9" s="33" t="inlineStr">
        <is>
          <t>2027B</t>
        </is>
      </c>
      <c r="BJ9" s="34" t="inlineStr">
        <is>
          <t>EUR</t>
        </is>
      </c>
      <c r="BK9" s="34" t="inlineStr">
        <is>
          <t>%</t>
        </is>
      </c>
      <c r="BL9" s="73" t="n"/>
      <c r="BM9" s="32" t="inlineStr">
        <is>
          <t>€ '000</t>
        </is>
      </c>
      <c r="BN9" s="33" t="inlineStr">
        <is>
          <t>2027A</t>
        </is>
      </c>
      <c r="BO9" s="134" t="inlineStr">
        <is>
          <t>2026A</t>
        </is>
      </c>
      <c r="BP9" s="34" t="inlineStr">
        <is>
          <t>EUR</t>
        </is>
      </c>
      <c r="BQ9" s="139" t="inlineStr">
        <is>
          <t xml:space="preserve">% </t>
        </is>
      </c>
      <c r="BR9" s="33" t="inlineStr">
        <is>
          <t>2027B</t>
        </is>
      </c>
      <c r="BS9" s="34" t="inlineStr">
        <is>
          <t>EUR</t>
        </is>
      </c>
      <c r="BT9" s="34" t="inlineStr">
        <is>
          <t>%</t>
        </is>
      </c>
      <c r="BV9" s="32" t="inlineStr">
        <is>
          <t>€ '000</t>
        </is>
      </c>
      <c r="BW9" s="33" t="inlineStr">
        <is>
          <t>2027A</t>
        </is>
      </c>
      <c r="BX9" s="135" t="inlineStr">
        <is>
          <t>2026A</t>
        </is>
      </c>
      <c r="BY9" s="34" t="inlineStr">
        <is>
          <t>EUR</t>
        </is>
      </c>
      <c r="BZ9" s="139" t="inlineStr">
        <is>
          <t xml:space="preserve">% </t>
        </is>
      </c>
      <c r="CA9" s="33" t="inlineStr">
        <is>
          <t>2027B</t>
        </is>
      </c>
      <c r="CB9" s="34" t="inlineStr">
        <is>
          <t>EUR</t>
        </is>
      </c>
      <c r="CC9" s="34" t="inlineStr">
        <is>
          <t>%</t>
        </is>
      </c>
      <c r="CD9" s="58" t="n"/>
      <c r="CE9" s="32" t="inlineStr">
        <is>
          <t>€ '000</t>
        </is>
      </c>
      <c r="CF9" s="33" t="inlineStr">
        <is>
          <t>2027A</t>
        </is>
      </c>
      <c r="CG9" s="135" t="inlineStr">
        <is>
          <t>2026A</t>
        </is>
      </c>
      <c r="CH9" s="34" t="inlineStr">
        <is>
          <t>EUR</t>
        </is>
      </c>
      <c r="CI9" s="139" t="inlineStr">
        <is>
          <t xml:space="preserve">% </t>
        </is>
      </c>
      <c r="CJ9" s="33" t="inlineStr">
        <is>
          <t>2027B</t>
        </is>
      </c>
      <c r="CK9" s="34" t="inlineStr">
        <is>
          <t>EUR</t>
        </is>
      </c>
      <c r="CL9" s="34" t="inlineStr">
        <is>
          <t>%</t>
        </is>
      </c>
      <c r="CN9" s="32" t="inlineStr">
        <is>
          <t>€ '000</t>
        </is>
      </c>
      <c r="CO9" s="33" t="inlineStr">
        <is>
          <t>2027A</t>
        </is>
      </c>
      <c r="CP9" s="135" t="inlineStr">
        <is>
          <t>2026A</t>
        </is>
      </c>
      <c r="CQ9" s="34" t="inlineStr">
        <is>
          <t>EUR</t>
        </is>
      </c>
      <c r="CR9" s="139" t="inlineStr">
        <is>
          <t xml:space="preserve">% </t>
        </is>
      </c>
      <c r="CS9" s="33" t="inlineStr">
        <is>
          <t>2027B</t>
        </is>
      </c>
      <c r="CT9" s="34" t="inlineStr">
        <is>
          <t>EUR</t>
        </is>
      </c>
      <c r="CU9" s="34" t="inlineStr">
        <is>
          <t>%</t>
        </is>
      </c>
      <c r="CW9" s="32" t="inlineStr">
        <is>
          <t>€ '000</t>
        </is>
      </c>
      <c r="CX9" s="33" t="inlineStr">
        <is>
          <t>2027A</t>
        </is>
      </c>
      <c r="CY9" s="135" t="inlineStr">
        <is>
          <t>2026A</t>
        </is>
      </c>
      <c r="CZ9" s="34" t="inlineStr">
        <is>
          <t>EUR</t>
        </is>
      </c>
      <c r="DA9" s="139" t="inlineStr">
        <is>
          <t xml:space="preserve">% </t>
        </is>
      </c>
      <c r="DB9" s="33" t="inlineStr">
        <is>
          <t>2027B</t>
        </is>
      </c>
      <c r="DC9" s="34" t="inlineStr">
        <is>
          <t>EUR</t>
        </is>
      </c>
      <c r="DD9" s="34" t="inlineStr">
        <is>
          <t>%</t>
        </is>
      </c>
      <c r="DF9" s="32" t="inlineStr">
        <is>
          <t>€ '000</t>
        </is>
      </c>
      <c r="DG9" s="33" t="inlineStr">
        <is>
          <t>2027A</t>
        </is>
      </c>
      <c r="DH9" s="135" t="inlineStr">
        <is>
          <t>2026A</t>
        </is>
      </c>
      <c r="DI9" s="34" t="inlineStr">
        <is>
          <t>EUR</t>
        </is>
      </c>
      <c r="DJ9" s="139" t="inlineStr">
        <is>
          <t xml:space="preserve">% </t>
        </is>
      </c>
      <c r="DK9" s="33" t="inlineStr">
        <is>
          <t>2027B</t>
        </is>
      </c>
      <c r="DL9" s="34" t="inlineStr">
        <is>
          <t>EUR</t>
        </is>
      </c>
      <c r="DM9" s="34" t="inlineStr">
        <is>
          <t>%</t>
        </is>
      </c>
    </row>
    <row r="10">
      <c r="B10" s="35" t="inlineStr">
        <is>
          <t>Ventas</t>
        </is>
      </c>
      <c r="C10" s="63">
        <f>(GETPIVOTDATA("ene-27 ",TABLA!$B$3,"Nivel 4","1.- Importe neto de la cifra de negocios"))/1000</f>
        <v/>
      </c>
      <c r="D10" s="63" t="n">
        <v>983.81713</v>
      </c>
      <c r="E10" s="142">
        <f>C10-D10</f>
        <v/>
      </c>
      <c r="F10" s="143">
        <f>+IF(IFERROR(C10/D10-1,"-")&lt;300%,IFERROR(C10/D10-1,"-"),"n.a.")</f>
        <v/>
      </c>
      <c r="G10" s="72">
        <f>C10</f>
        <v/>
      </c>
      <c r="H10" s="142">
        <f>C10-G10</f>
        <v/>
      </c>
      <c r="I10" s="143">
        <f>+IF(IFERROR(C10/G10-1,"-")&lt;300%,IFERROR(C10/G10-1,"-"),"n.a.")</f>
        <v/>
      </c>
      <c r="K10" s="35" t="inlineStr">
        <is>
          <t>Ventas</t>
        </is>
      </c>
      <c r="L10" s="63">
        <f>(GETPIVOTDATA("feb-27 ",TABLA!$B$3,"Nivel 4","1.- Importe neto de la cifra de negocios"))/1000</f>
        <v/>
      </c>
      <c r="M10" s="63" t="n">
        <v>1470.42815</v>
      </c>
      <c r="N10" s="142">
        <f>L10-M10</f>
        <v/>
      </c>
      <c r="O10" s="143">
        <f>+IF(IFERROR(L10/M10-1,"-")&lt;300%,IFERROR(L10/M10-1,"-"),"n.a.")</f>
        <v/>
      </c>
      <c r="P10" s="72">
        <f>L10</f>
        <v/>
      </c>
      <c r="Q10" s="142">
        <f>L10-P10</f>
        <v/>
      </c>
      <c r="R10" s="143">
        <f>+IF(IFERROR(L10/P10-1,"-")&lt;300%,IFERROR(L10/P10-1,"-"),"n.a.")</f>
        <v/>
      </c>
      <c r="T10" s="35" t="inlineStr">
        <is>
          <t>Ventas</t>
        </is>
      </c>
      <c r="U10" s="63">
        <f>(GETPIVOTDATA("mar-27 ",TABLA!$B$3,"Nivel 4","1.- Importe neto de la cifra de negocios"))/1000</f>
        <v/>
      </c>
      <c r="V10" s="63" t="n">
        <v>1533.78941</v>
      </c>
      <c r="W10" s="142">
        <f>U10-V10</f>
        <v/>
      </c>
      <c r="X10" s="143">
        <f>+IF(IFERROR(U10/V10-1,"-")&lt;300%,IFERROR(U10/V10-1,"-"),"n.a.")</f>
        <v/>
      </c>
      <c r="Y10" s="72">
        <f>U10</f>
        <v/>
      </c>
      <c r="Z10" s="142">
        <f>U10-Y10</f>
        <v/>
      </c>
      <c r="AA10" s="143">
        <f>+IF(IFERROR(U10/Y10-1,"-")&lt;300%,IFERROR(U10/Y10-1,"-"),"n.a.")</f>
        <v/>
      </c>
      <c r="AB10" s="137" t="n"/>
      <c r="AC10" s="35" t="inlineStr">
        <is>
          <t>Ventas</t>
        </is>
      </c>
      <c r="AD10" s="63">
        <f>(GETPIVOTDATA("abr-27 ",TABLA!$B$3,"Nivel 4","1.- Importe neto de la cifra de negocios"))/1000</f>
        <v/>
      </c>
      <c r="AE10" s="63" t="n">
        <v>1462.14628</v>
      </c>
      <c r="AF10" s="142">
        <f>AD10-AE10</f>
        <v/>
      </c>
      <c r="AG10" s="143">
        <f>+IF(IFERROR(AD10/AE10-1,"-")&lt;300%,IFERROR(AD10/AE10-1,"-"),"n.a.")</f>
        <v/>
      </c>
      <c r="AH10" s="72">
        <f>AD10</f>
        <v/>
      </c>
      <c r="AI10" s="142">
        <f>AD10-AH10</f>
        <v/>
      </c>
      <c r="AJ10" s="143">
        <f>+IF(IFERROR(AD10/AH10-1,"-")&lt;300%,IFERROR(AD10/AH10-1,"-"),"n.a.")</f>
        <v/>
      </c>
      <c r="AK10" s="137" t="n"/>
      <c r="AL10" s="35" t="inlineStr">
        <is>
          <t>Ventas</t>
        </is>
      </c>
      <c r="AM10" s="63">
        <f>(GETPIVOTDATA("may-27 ",TABLA!$B$3,"Nivel 4","1.- Importe neto de la cifra de negocios"))/1000</f>
        <v/>
      </c>
      <c r="AN10" s="63" t="n">
        <v>1925.92991</v>
      </c>
      <c r="AO10" s="142">
        <f>AM10-AN10</f>
        <v/>
      </c>
      <c r="AP10" s="143">
        <f>+IF(IFERROR(AM10/AN10-1,"-")&lt;300%,IFERROR(AM10/AN10-1,"-"),"n.a.")</f>
        <v/>
      </c>
      <c r="AQ10" s="72">
        <f>AM10</f>
        <v/>
      </c>
      <c r="AR10" s="142">
        <f>AM10-AQ10</f>
        <v/>
      </c>
      <c r="AS10" s="143">
        <f>+IF(IFERROR(AM10/AQ10-1,"-")&lt;300%,IFERROR(AM10/AQ10-1,"-"),"n.a.")</f>
        <v/>
      </c>
      <c r="AT10" s="138" t="n"/>
      <c r="AU10" s="35" t="inlineStr">
        <is>
          <t>Ventas</t>
        </is>
      </c>
      <c r="AV10" s="63">
        <f>GETPIVOTDATA("jun-27 ",TABLA!$B$3,"Nivel 4","1.- Importe neto de la cifra de negocios")/1000</f>
        <v/>
      </c>
      <c r="AW10" s="63" t="n">
        <v>1962.26183</v>
      </c>
      <c r="AX10" s="142">
        <f>AV10-AW10</f>
        <v/>
      </c>
      <c r="AY10" s="143">
        <f>+IF(IFERROR(AV10/AW10-1,"-")&lt;300%,IFERROR(AV10/AW10-1,"-"),"n.a.")</f>
        <v/>
      </c>
      <c r="AZ10" s="72">
        <f>AV10</f>
        <v/>
      </c>
      <c r="BA10" s="142">
        <f>AV10-AZ10</f>
        <v/>
      </c>
      <c r="BB10" s="143">
        <f>+IF(IFERROR(AV10/AZ10-1,"-")&lt;300%,IFERROR(AV10/AZ10-1,"-"),"n.a.")</f>
        <v/>
      </c>
      <c r="BC10" s="138" t="n"/>
      <c r="BD10" s="35" t="inlineStr">
        <is>
          <t>Ventas</t>
        </is>
      </c>
      <c r="BE10" s="63">
        <f>(GETPIVOTDATA("jul-27 ",TABLA!$B$3,"Nivel 4","1.- Importe neto de la cifra de negocios"))/1000</f>
        <v/>
      </c>
      <c r="BF10" s="63" t="n">
        <v>1290.65423</v>
      </c>
      <c r="BG10" s="142">
        <f>BE10-BF10</f>
        <v/>
      </c>
      <c r="BH10" s="143">
        <f>+IF(IFERROR(BE10/BF10-1,"-")&lt;300%,IFERROR(BE10/BF10-1,"-"),"n.a.")</f>
        <v/>
      </c>
      <c r="BI10" s="72">
        <f>BE10</f>
        <v/>
      </c>
      <c r="BJ10" s="142">
        <f>BE10-BI10</f>
        <v/>
      </c>
      <c r="BK10" s="143">
        <f>+IF(IFERROR(BE10/BI10-1,"-")&lt;300%,IFERROR(BE10/BI10-1,"-"),"n.a.")</f>
        <v/>
      </c>
      <c r="BL10" s="138" t="n"/>
      <c r="BM10" s="35" t="inlineStr">
        <is>
          <t>Ventas</t>
        </is>
      </c>
      <c r="BN10" s="63">
        <f>(GETPIVOTDATA("ago-27 ",TABLA!$B$3,"Nivel 4","1.- Importe neto de la cifra de negocios"))/1000</f>
        <v/>
      </c>
      <c r="BO10" s="63" t="n">
        <v>788.1051500000002</v>
      </c>
      <c r="BP10" s="142">
        <f>BN10-BO10</f>
        <v/>
      </c>
      <c r="BQ10" s="143">
        <f>+IF(IFERROR(BN10/BO10-1,"-")&lt;300%,IFERROR(BN10/BO10-1,"-"),"n.a.")</f>
        <v/>
      </c>
      <c r="BR10" s="72">
        <f>BN10</f>
        <v/>
      </c>
      <c r="BS10" s="142">
        <f>BN10-BR10</f>
        <v/>
      </c>
      <c r="BT10" s="143">
        <f>+IF(IFERROR(BN10/BR10-1,"-")&lt;300%,IFERROR(BN10/BR10-1,"-"),"n.a.")</f>
        <v/>
      </c>
      <c r="BV10" s="35" t="inlineStr">
        <is>
          <t>Ventas</t>
        </is>
      </c>
      <c r="BW10" s="63">
        <f>(GETPIVOTDATA("sep-27 ",TABLA!$B$3,"Nivel 4","1.- Importe neto de la cifra de negocios"))/1000</f>
        <v/>
      </c>
      <c r="BX10" s="63" t="n">
        <v>483.08374</v>
      </c>
      <c r="BY10" s="142">
        <f>BW10-BX10</f>
        <v/>
      </c>
      <c r="BZ10" s="143">
        <f>+IF(IFERROR(BW10/BX10-1,"-")&lt;300%,IFERROR(BW10/BX10-1,"-"),"n.a.")</f>
        <v/>
      </c>
      <c r="CA10" s="72">
        <f>BW10</f>
        <v/>
      </c>
      <c r="CB10" s="142">
        <f>BW10-CA10</f>
        <v/>
      </c>
      <c r="CC10" s="143">
        <f>+IF(IFERROR(BW10/CA10-1,"-")&lt;300%,IFERROR(BW10/CA10-1,"-"),"n.a.")</f>
        <v/>
      </c>
      <c r="CD10" s="144" t="n"/>
      <c r="CE10" s="35" t="inlineStr">
        <is>
          <t>Ventas</t>
        </is>
      </c>
      <c r="CF10" s="63">
        <f>(GETPIVOTDATA("oct-27 ",TABLA!$B$3,"Nivel 4","1.- Importe neto de la cifra de negocios"))/1000</f>
        <v/>
      </c>
      <c r="CG10" s="63" t="n">
        <v>912.05501</v>
      </c>
      <c r="CH10" s="142">
        <f>CF10-CG10</f>
        <v/>
      </c>
      <c r="CI10" s="143">
        <f>+IF(IFERROR(CF10/CG10-1,"-")&lt;300%,IFERROR(CF10/CG10-1,"-"),"n.a.")</f>
        <v/>
      </c>
      <c r="CJ10" s="72">
        <f>CF10</f>
        <v/>
      </c>
      <c r="CK10" s="142">
        <f>CF10-CJ10</f>
        <v/>
      </c>
      <c r="CL10" s="143">
        <f>+IF(IFERROR(CF10/CJ10-1,"-")&lt;300%,IFERROR(CF10/CJ10-1,"-"),"n.a.")</f>
        <v/>
      </c>
      <c r="CN10" s="35" t="inlineStr">
        <is>
          <t>Ventas</t>
        </is>
      </c>
      <c r="CO10" s="63">
        <f>(GETPIVOTDATA("nov-27 ",TABLA!$B$3,"Nivel 4","1.- Importe neto de la cifra de negocios"))/1000</f>
        <v/>
      </c>
      <c r="CP10" s="63" t="n">
        <v>1225.32178</v>
      </c>
      <c r="CQ10" s="142">
        <f>CO10-CP10</f>
        <v/>
      </c>
      <c r="CR10" s="143">
        <f>+IF(IFERROR(CO10/CP10-1,"-")&lt;300%,IFERROR(CO10/CP10-1,"-"),"n.a.")</f>
        <v/>
      </c>
      <c r="CS10" s="72">
        <f>CO10</f>
        <v/>
      </c>
      <c r="CT10" s="142">
        <f>CO10-CS10</f>
        <v/>
      </c>
      <c r="CU10" s="143">
        <f>+IF(IFERROR(CO10/CS10-1,"-")&lt;300%,IFERROR(CO10/CS10-1,"-"),"n.a.")</f>
        <v/>
      </c>
      <c r="CW10" s="35" t="inlineStr">
        <is>
          <t>Ventas</t>
        </is>
      </c>
      <c r="CX10" s="63">
        <f>(GETPIVOTDATA("dic-27 ",TABLA!$B$3,"Nivel 4","1.- Importe neto de la cifra de negocios"))/1000</f>
        <v/>
      </c>
      <c r="CY10" s="63" t="n">
        <v>1142.40738</v>
      </c>
      <c r="CZ10" s="142">
        <f>CX10-CY10</f>
        <v/>
      </c>
      <c r="DA10" s="143">
        <f>+IF(IFERROR(CX10/CY10-1,"-")&lt;300%,IFERROR(CX10/CY10-1,"-"),"n.a.")</f>
        <v/>
      </c>
      <c r="DB10" s="72">
        <f>CX10</f>
        <v/>
      </c>
      <c r="DC10" s="142">
        <f>CX10-DB10</f>
        <v/>
      </c>
      <c r="DD10" s="143">
        <f>+IF(IFERROR(CX10/DB10-1,"-")&lt;300%,IFERROR(CX10/DB10-1,"-"),"n.a.")</f>
        <v/>
      </c>
      <c r="DF10" s="35" t="inlineStr">
        <is>
          <t>Ventas</t>
        </is>
      </c>
      <c r="DG10" s="63">
        <f>(GETPIVOTDATA("Total 2027 ",TABLA!$B$3,"Nivel 4","1.- Importe neto de la cifra de negocios"))/1000</f>
        <v/>
      </c>
      <c r="DH10" s="63">
        <f>CY10+CP10+CG10+BX10+BO10+BF10+AW10+AN10+AE10+V10+M10+D10</f>
        <v/>
      </c>
      <c r="DI10" s="142">
        <f>DG10-DH10</f>
        <v/>
      </c>
      <c r="DJ10" s="143">
        <f>+IF(IFERROR(DG10/DH10-1,"-")&lt;300%,IFERROR(DG10/DH10-1,"-"),"n.a.")</f>
        <v/>
      </c>
      <c r="DK10" s="72">
        <f>DG10</f>
        <v/>
      </c>
      <c r="DL10" s="142">
        <f>DG10-DK10</f>
        <v/>
      </c>
      <c r="DM10" s="143">
        <f>+IF(IFERROR(DG10/DK10-1,"-")&lt;300%,IFERROR(DG10/DK10-1,"-"),"n.a.")</f>
        <v/>
      </c>
    </row>
    <row r="11">
      <c r="B11" s="27" t="inlineStr">
        <is>
          <t>COGS</t>
        </is>
      </c>
      <c r="C11" s="65">
        <f>(GETPIVOTDATA("ene-27 ",TABLA!$B$3,"Nivel 4","2.- Variación de existencias")+GETPIVOTDATA("ene-27 ",TABLA!$B$3,"Nivel 4","4.- Aprovisionamientos"))/1000</f>
        <v/>
      </c>
      <c r="D11" s="65" t="n">
        <v>-502.66555</v>
      </c>
      <c r="E11" s="141">
        <f>C11-D11</f>
        <v/>
      </c>
      <c r="F11" s="145">
        <f>+IF(IFERROR(C11/D11-1,"-")&lt;300%,IFERROR(C11/D11-1,"-"),"n.a.")</f>
        <v/>
      </c>
      <c r="G11" s="73">
        <f>C11</f>
        <v/>
      </c>
      <c r="H11" s="141">
        <f>C11-G11</f>
        <v/>
      </c>
      <c r="I11" s="145">
        <f>+IF(IFERROR(C11/G11-1,"-")&lt;300%,IFERROR(C11/G11-1,"-"),"n.a.")</f>
        <v/>
      </c>
      <c r="K11" s="27" t="inlineStr">
        <is>
          <t>COGS</t>
        </is>
      </c>
      <c r="L11" s="65">
        <f>(GETPIVOTDATA("feb-27 ",TABLA!$B$3,"Nivel 4","2.- Variación de existencias")+GETPIVOTDATA("feb-27 ",TABLA!$B$3,"Nivel 4","4.- Aprovisionamientos"))/1000</f>
        <v/>
      </c>
      <c r="M11" s="65" t="n">
        <v>-356.23716</v>
      </c>
      <c r="N11" s="141">
        <f>L11-M11</f>
        <v/>
      </c>
      <c r="O11" s="145">
        <f>+IF(IFERROR(L11/M11-1,"-")&lt;300%,IFERROR(L11/M11-1,"-"),"n.a.")</f>
        <v/>
      </c>
      <c r="P11" s="73">
        <f>L11</f>
        <v/>
      </c>
      <c r="Q11" s="141">
        <f>L11-P11</f>
        <v/>
      </c>
      <c r="R11" s="145">
        <f>+IF(IFERROR(L11/P11-1,"-")&lt;300%,IFERROR(L11/P11-1,"-"),"n.a.")</f>
        <v/>
      </c>
      <c r="T11" s="27" t="inlineStr">
        <is>
          <t>COGS</t>
        </is>
      </c>
      <c r="U11" s="65">
        <f>(GETPIVOTDATA("mar-27 ",TABLA!$B$3,"Nivel 4","2.- Variación de existencias")+GETPIVOTDATA("mar-27 ",TABLA!$B$3,"Nivel 4","4.- Aprovisionamientos"))/1000</f>
        <v/>
      </c>
      <c r="V11" s="65" t="n">
        <v>-385.69993</v>
      </c>
      <c r="W11" s="141">
        <f>U11-V11</f>
        <v/>
      </c>
      <c r="X11" s="145">
        <f>+IF(IFERROR(U11/V11-1,"-")&lt;300%,IFERROR(U11/V11-1,"-"),"n.a.")</f>
        <v/>
      </c>
      <c r="Y11" s="73">
        <f>U11</f>
        <v/>
      </c>
      <c r="Z11" s="141">
        <f>U11-Y11</f>
        <v/>
      </c>
      <c r="AA11" s="145">
        <f>+IF(IFERROR(U11/Y11-1,"-")&lt;300%,IFERROR(U11/Y11-1,"-"),"n.a.")</f>
        <v/>
      </c>
      <c r="AB11" s="123" t="n"/>
      <c r="AC11" s="27" t="inlineStr">
        <is>
          <t>COGS</t>
        </is>
      </c>
      <c r="AD11" s="65">
        <f>(GETPIVOTDATA("abr-27 ",TABLA!$B$3,"Nivel 4","2.- Variación de existencias")+GETPIVOTDATA("abr-27 ",TABLA!$B$3,"Nivel 4","4.- Aprovisionamientos"))/1000</f>
        <v/>
      </c>
      <c r="AE11" s="65" t="n">
        <v>-506.20309</v>
      </c>
      <c r="AF11" s="141">
        <f>AD11-AE11</f>
        <v/>
      </c>
      <c r="AG11" s="145">
        <f>+IF(IFERROR(AD11/AE11-1,"-")&lt;300%,IFERROR(AD11/AE11-1,"-"),"n.a.")</f>
        <v/>
      </c>
      <c r="AH11" s="73">
        <f>AD11</f>
        <v/>
      </c>
      <c r="AI11" s="141">
        <f>AD11-AH11</f>
        <v/>
      </c>
      <c r="AJ11" s="145">
        <f>+IF(IFERROR(AD11/AH11-1,"-")&lt;300%,IFERROR(AD11/AH11-1,"-"),"n.a.")</f>
        <v/>
      </c>
      <c r="AK11" s="123" t="n"/>
      <c r="AL11" s="27" t="inlineStr">
        <is>
          <t>COGS</t>
        </is>
      </c>
      <c r="AM11" s="65">
        <f>(GETPIVOTDATA("may-27 ",TABLA!$B$3,"Nivel 4","2.- Variación de existencias")+GETPIVOTDATA("may-27 ",TABLA!$B$3,"Nivel 4","4.- Aprovisionamientos"))/1000</f>
        <v/>
      </c>
      <c r="AN11" s="65" t="n">
        <v>-624.27234</v>
      </c>
      <c r="AO11" s="141">
        <f>AM11-AN11</f>
        <v/>
      </c>
      <c r="AP11" s="145">
        <f>+IF(IFERROR(AM11/AN11-1,"-")&lt;300%,IFERROR(AM11/AN11-1,"-"),"n.a.")</f>
        <v/>
      </c>
      <c r="AQ11" s="73">
        <f>AM11</f>
        <v/>
      </c>
      <c r="AR11" s="141">
        <f>AM11-AQ11</f>
        <v/>
      </c>
      <c r="AS11" s="145">
        <f>+IF(IFERROR(AM11/AQ11-1,"-")&lt;300%,IFERROR(AM11/AQ11-1,"-"),"n.a.")</f>
        <v/>
      </c>
      <c r="AT11" s="146" t="n"/>
      <c r="AU11" s="27" t="inlineStr">
        <is>
          <t>COGS</t>
        </is>
      </c>
      <c r="AV11" s="65">
        <f>(GETPIVOTDATA("jun-27 ",TABLA!$B$3,"Nivel 4","2.- Variación de existencias")+GETPIVOTDATA("jun-27 ",TABLA!$B$3,"Nivel 4","4.- Aprovisionamientos"))/1000</f>
        <v/>
      </c>
      <c r="AW11" s="65" t="n">
        <v>-743.5585900000002</v>
      </c>
      <c r="AX11" s="141">
        <f>AV11-AW11</f>
        <v/>
      </c>
      <c r="AY11" s="145">
        <f>+IF(IFERROR(AV11/AW11-1,"-")&lt;300%,IFERROR(AV11/AW11-1,"-"),"n.a.")</f>
        <v/>
      </c>
      <c r="AZ11" s="73">
        <f>AV11</f>
        <v/>
      </c>
      <c r="BA11" s="141">
        <f>AV11-AZ11</f>
        <v/>
      </c>
      <c r="BB11" s="145">
        <f>+IF(IFERROR(AV11/AZ11-1,"-")&lt;300%,IFERROR(AV11/AZ11-1,"-"),"n.a.")</f>
        <v/>
      </c>
      <c r="BC11" s="146" t="n"/>
      <c r="BD11" s="27" t="inlineStr">
        <is>
          <t>COGS</t>
        </is>
      </c>
      <c r="BE11" s="65">
        <f>(GETPIVOTDATA("jul-27 ",TABLA!$B$3,"Nivel 4","2.- Variación de existencias")+GETPIVOTDATA("jul-27 ",TABLA!$B$3,"Nivel 4","4.- Aprovisionamientos"))/1000</f>
        <v/>
      </c>
      <c r="BF11" s="65" t="n">
        <v>-525.3150299999999</v>
      </c>
      <c r="BG11" s="141">
        <f>BE11-BF11</f>
        <v/>
      </c>
      <c r="BH11" s="145">
        <f>+IF(IFERROR(BE11/BF11-1,"-")&lt;300%,IFERROR(BE11/BF11-1,"-"),"n.a.")</f>
        <v/>
      </c>
      <c r="BI11" s="73">
        <f>BE11</f>
        <v/>
      </c>
      <c r="BJ11" s="141">
        <f>BE11-BI11</f>
        <v/>
      </c>
      <c r="BK11" s="145">
        <f>+IF(IFERROR(BE11/BI11-1,"-")&lt;300%,IFERROR(BE11/BI11-1,"-"),"n.a.")</f>
        <v/>
      </c>
      <c r="BL11" s="71" t="n"/>
      <c r="BM11" s="27" t="inlineStr">
        <is>
          <t>COGS</t>
        </is>
      </c>
      <c r="BN11" s="65">
        <f>(GETPIVOTDATA("ago-27 ",TABLA!$B$3,"Nivel 4","2.- Variación de existencias")+GETPIVOTDATA("ago-27 ",TABLA!$B$3,"Nivel 4","4.- Aprovisionamientos"))/1000</f>
        <v/>
      </c>
      <c r="BO11" s="65" t="n">
        <v>-272.12023</v>
      </c>
      <c r="BP11" s="141">
        <f>BN11-BO11</f>
        <v/>
      </c>
      <c r="BQ11" s="145">
        <f>+IF(IFERROR(BN11/BO11-1,"-")&lt;300%,IFERROR(BN11/BO11-1,"-"),"n.a.")</f>
        <v/>
      </c>
      <c r="BR11" s="73">
        <f>BN11</f>
        <v/>
      </c>
      <c r="BS11" s="141">
        <f>BN11-BR11</f>
        <v/>
      </c>
      <c r="BT11" s="145">
        <f>+IF(IFERROR(BN11/BR11-1,"-")&lt;300%,IFERROR(BN11/BR11-1,"-"),"n.a.")</f>
        <v/>
      </c>
      <c r="BV11" s="27" t="inlineStr">
        <is>
          <t>COGS</t>
        </is>
      </c>
      <c r="BW11" s="65">
        <f>(GETPIVOTDATA("sep-27 ",TABLA!$B$3,"Nivel 4","2.- Variación de existencias")+GETPIVOTDATA("sep-27 ",TABLA!$B$3,"Nivel 4","4.- Aprovisionamientos"))/1000</f>
        <v/>
      </c>
      <c r="BX11" s="65" t="n">
        <v>-161.79096</v>
      </c>
      <c r="BY11" s="141">
        <f>BW11-BX11</f>
        <v/>
      </c>
      <c r="BZ11" s="145">
        <f>+IF(IFERROR(BW11/BX11-1,"-")&lt;300%,IFERROR(BW11/BX11-1,"-"),"n.a.")</f>
        <v/>
      </c>
      <c r="CA11" s="73">
        <f>BW11</f>
        <v/>
      </c>
      <c r="CB11" s="141">
        <f>BW11-CA11</f>
        <v/>
      </c>
      <c r="CC11" s="145">
        <f>+IF(IFERROR(BW11/CA11-1,"-")&lt;300%,IFERROR(BW11/CA11-1,"-"),"n.a.")</f>
        <v/>
      </c>
      <c r="CD11" s="147" t="n"/>
      <c r="CE11" s="27" t="inlineStr">
        <is>
          <t>COGS</t>
        </is>
      </c>
      <c r="CF11" s="65">
        <f>(GETPIVOTDATA("oct-27 ",TABLA!$B$3,"Nivel 4","2.- Variación de existencias")+GETPIVOTDATA("oct-27 ",TABLA!$B$3,"Nivel 4","4.- Aprovisionamientos"))/1000</f>
        <v/>
      </c>
      <c r="CG11" s="65" t="n">
        <v>-302.10136</v>
      </c>
      <c r="CH11" s="141">
        <f>CF11-CG11</f>
        <v/>
      </c>
      <c r="CI11" s="145">
        <f>+IF(IFERROR(CF11/CG11-1,"-")&lt;300%,IFERROR(CF11/CG11-1,"-"),"n.a.")</f>
        <v/>
      </c>
      <c r="CJ11" s="73">
        <f>CF11</f>
        <v/>
      </c>
      <c r="CK11" s="141">
        <f>CF11-CJ11</f>
        <v/>
      </c>
      <c r="CL11" s="145">
        <f>+IF(IFERROR(CF11/CJ11-1,"-")&lt;300%,IFERROR(CF11/CJ11-1,"-"),"n.a.")</f>
        <v/>
      </c>
      <c r="CN11" s="27" t="inlineStr">
        <is>
          <t>COGS</t>
        </is>
      </c>
      <c r="CO11" s="65">
        <f>(GETPIVOTDATA("nov-27 ",TABLA!$B$3,"Nivel 4","2.- Variación de existencias")+GETPIVOTDATA("nov-27 ",TABLA!$B$3,"Nivel 4","4.- Aprovisionamientos"))/1000</f>
        <v/>
      </c>
      <c r="CP11" s="65" t="n">
        <v>-404.42328</v>
      </c>
      <c r="CQ11" s="141">
        <f>CO11-CP11</f>
        <v/>
      </c>
      <c r="CR11" s="145">
        <f>+IF(IFERROR(CO11/CP11-1,"-")&lt;300%,IFERROR(CO11/CP11-1,"-"),"n.a.")</f>
        <v/>
      </c>
      <c r="CS11" s="73">
        <f>CO11</f>
        <v/>
      </c>
      <c r="CT11" s="141">
        <f>CO11-CS11</f>
        <v/>
      </c>
      <c r="CU11" s="145">
        <f>+IF(IFERROR(CO11/CS11-1,"-")&lt;300%,IFERROR(CO11/CS11-1,"-"),"n.a.")</f>
        <v/>
      </c>
      <c r="CW11" s="27" t="inlineStr">
        <is>
          <t>COGS</t>
        </is>
      </c>
      <c r="CX11" s="65">
        <f>(GETPIVOTDATA("dic-27 ",TABLA!$B$3,"Nivel 4","2.- Variación de existencias")+GETPIVOTDATA("dic-27 ",TABLA!$B$3,"Nivel 4","4.- Aprovisionamientos"))/1000</f>
        <v/>
      </c>
      <c r="CY11" s="65" t="n">
        <v>-449.1453299999999</v>
      </c>
      <c r="CZ11" s="141">
        <f>CX11-CY11</f>
        <v/>
      </c>
      <c r="DA11" s="145">
        <f>+IF(IFERROR(CX11/CY11-1,"-")&lt;300%,IFERROR(CX11/CY11-1,"-"),"n.a.")</f>
        <v/>
      </c>
      <c r="DB11" s="73">
        <f>CX11</f>
        <v/>
      </c>
      <c r="DC11" s="141">
        <f>CX11-DB11</f>
        <v/>
      </c>
      <c r="DD11" s="145">
        <f>+IF(IFERROR(CX11/DB11-1,"-")&lt;300%,IFERROR(CX11/DB11-1,"-"),"n.a.")</f>
        <v/>
      </c>
      <c r="DF11" s="27" t="inlineStr">
        <is>
          <t>COGS</t>
        </is>
      </c>
      <c r="DG11" s="65">
        <f>(GETPIVOTDATA("Total 2027 ",TABLA!$B$3,"Nivel 4","2.- Variación de existencias")+GETPIVOTDATA("Total 2027 ",TABLA!$B$3,"Nivel 4","4.- Aprovisionamientos"))/1000</f>
        <v/>
      </c>
      <c r="DH11" s="65">
        <f>CY11+CP11+CG11+BX11+BO11+BF11+AW11+AN11+AE11+V11+M11+D11</f>
        <v/>
      </c>
      <c r="DI11" s="141">
        <f>DG11-DH11</f>
        <v/>
      </c>
      <c r="DJ11" s="145">
        <f>+IF(IFERROR(DG11/DH11-1,"-")&lt;300%,IFERROR(DG11/DH11-1,"-"),"n.a.")</f>
        <v/>
      </c>
      <c r="DK11" s="73">
        <f>DG11</f>
        <v/>
      </c>
      <c r="DL11" s="141">
        <f>DG11-DK11</f>
        <v/>
      </c>
      <c r="DM11" s="145">
        <f>+IF(IFERROR(DG11/DK11-1,"-")&lt;300%,IFERROR(DG11/DK11-1,"-"),"n.a.")</f>
        <v/>
      </c>
    </row>
    <row r="12">
      <c r="B12" s="38" t="inlineStr">
        <is>
          <t>Gross Profit</t>
        </is>
      </c>
      <c r="C12" s="68">
        <f>C10+C11</f>
        <v/>
      </c>
      <c r="D12" s="9" t="n">
        <v>481.15158</v>
      </c>
      <c r="E12" s="148">
        <f>C12-D12</f>
        <v/>
      </c>
      <c r="F12" s="149">
        <f>+IF(IFERROR(C12/D12-1,"-")&lt;300%,IFERROR(C12/D12-1,"-"),"n.a.")</f>
        <v/>
      </c>
      <c r="G12" s="148">
        <f>SUM(G10:G11)</f>
        <v/>
      </c>
      <c r="H12" s="148">
        <f>C12-G12</f>
        <v/>
      </c>
      <c r="I12" s="149">
        <f>+IF(IFERROR(C12/G12-1,"-")&lt;300%,IFERROR(C12/G12-1,"-"),"n.a.")</f>
        <v/>
      </c>
      <c r="K12" s="38" t="inlineStr">
        <is>
          <t>Gross Profit</t>
        </is>
      </c>
      <c r="L12" s="68">
        <f>L10+L11</f>
        <v/>
      </c>
      <c r="M12" s="9" t="n">
        <v>1114.19099</v>
      </c>
      <c r="N12" s="148">
        <f>L12-M12</f>
        <v/>
      </c>
      <c r="O12" s="149">
        <f>+IF(IFERROR(L12/M12-1,"-")&lt;300%,IFERROR(L12/M12-1,"-"),"n.a.")</f>
        <v/>
      </c>
      <c r="P12" s="148">
        <f>SUM(P10:P11)</f>
        <v/>
      </c>
      <c r="Q12" s="148">
        <f>L12-P12</f>
        <v/>
      </c>
      <c r="R12" s="149">
        <f>+IF(IFERROR(L12/P12-1,"-")&lt;300%,IFERROR(L12/P12-1,"-"),"n.a.")</f>
        <v/>
      </c>
      <c r="T12" s="38" t="inlineStr">
        <is>
          <t>Gross Profit</t>
        </is>
      </c>
      <c r="U12" s="68">
        <f>U10+U11</f>
        <v/>
      </c>
      <c r="V12" s="9" t="n">
        <v>1148.08948</v>
      </c>
      <c r="W12" s="148">
        <f>U12-V12</f>
        <v/>
      </c>
      <c r="X12" s="149">
        <f>+IF(IFERROR(U12/V12-1,"-")&lt;300%,IFERROR(U12/V12-1,"-"),"n.a.")</f>
        <v/>
      </c>
      <c r="Y12" s="148">
        <f>SUM(Y10:Y11)</f>
        <v/>
      </c>
      <c r="Z12" s="148">
        <f>U12-Y12</f>
        <v/>
      </c>
      <c r="AA12" s="149">
        <f>+IF(IFERROR(U12/Y12-1,"-")&lt;300%,IFERROR(U12/Y12-1,"-"),"n.a.")</f>
        <v/>
      </c>
      <c r="AB12" s="150" t="n"/>
      <c r="AC12" s="38" t="inlineStr">
        <is>
          <t>Gross Profit</t>
        </is>
      </c>
      <c r="AD12" s="68">
        <f>AD10+AD11</f>
        <v/>
      </c>
      <c r="AE12" s="9" t="n">
        <v>955.94319</v>
      </c>
      <c r="AF12" s="148">
        <f>AD12-AE12</f>
        <v/>
      </c>
      <c r="AG12" s="149">
        <f>+IF(IFERROR(AD12/AE12-1,"-")&lt;300%,IFERROR(AD12/AE12-1,"-"),"n.a.")</f>
        <v/>
      </c>
      <c r="AH12" s="148">
        <f>SUM(AH10:AH11)</f>
        <v/>
      </c>
      <c r="AI12" s="148">
        <f>AD12-AH12</f>
        <v/>
      </c>
      <c r="AJ12" s="149">
        <f>+IF(IFERROR(AD12/AH12-1,"-")&lt;300%,IFERROR(AD12/AH12-1,"-"),"n.a.")</f>
        <v/>
      </c>
      <c r="AK12" s="150" t="n"/>
      <c r="AL12" s="38" t="inlineStr">
        <is>
          <t>Gross Profit</t>
        </is>
      </c>
      <c r="AM12" s="68">
        <f>AM10+AM11</f>
        <v/>
      </c>
      <c r="AN12" s="9" t="n">
        <v>1301.65757</v>
      </c>
      <c r="AO12" s="148">
        <f>AM12-AN12</f>
        <v/>
      </c>
      <c r="AP12" s="149">
        <f>+IF(IFERROR(AM12/AN12-1,"-")&lt;300%,IFERROR(AM12/AN12-1,"-"),"n.a.")</f>
        <v/>
      </c>
      <c r="AQ12" s="148">
        <f>SUM(AQ10:AQ11)</f>
        <v/>
      </c>
      <c r="AR12" s="148">
        <f>AM12-AQ12</f>
        <v/>
      </c>
      <c r="AS12" s="149">
        <f>+IF(IFERROR(AM12/AQ12-1,"-")&lt;300%,IFERROR(AM12/AQ12-1,"-"),"n.a.")</f>
        <v/>
      </c>
      <c r="AT12" s="151" t="n"/>
      <c r="AU12" s="38" t="inlineStr">
        <is>
          <t>Gross Profit</t>
        </is>
      </c>
      <c r="AV12" s="68">
        <f>AV10+AV11</f>
        <v/>
      </c>
      <c r="AW12" s="9" t="n">
        <v>1218.70324</v>
      </c>
      <c r="AX12" s="148">
        <f>AV12-AW12</f>
        <v/>
      </c>
      <c r="AY12" s="149">
        <f>+IF(IFERROR(AV12/AW12-1,"-")&lt;300%,IFERROR(AV12/AW12-1,"-"),"n.a.")</f>
        <v/>
      </c>
      <c r="AZ12" s="148">
        <f>SUM(AZ10:AZ11)</f>
        <v/>
      </c>
      <c r="BA12" s="148">
        <f>AV12-AZ12</f>
        <v/>
      </c>
      <c r="BB12" s="149">
        <f>+IF(IFERROR(AV12/AZ12-1,"-")&lt;300%,IFERROR(AV12/AZ12-1,"-"),"n.a.")</f>
        <v/>
      </c>
      <c r="BC12" s="151" t="n"/>
      <c r="BD12" s="38" t="inlineStr">
        <is>
          <t>Gross Profit</t>
        </is>
      </c>
      <c r="BE12" s="68">
        <f>BE10+BE11</f>
        <v/>
      </c>
      <c r="BF12" s="9" t="n">
        <v>765.3392</v>
      </c>
      <c r="BG12" s="148">
        <f>BE12-BF12</f>
        <v/>
      </c>
      <c r="BH12" s="149">
        <f>+IF(IFERROR(BE12/BF12-1,"-")&lt;300%,IFERROR(BE12/BF12-1,"-"),"n.a.")</f>
        <v/>
      </c>
      <c r="BI12" s="148">
        <f>SUM(BI10:BI11)</f>
        <v/>
      </c>
      <c r="BJ12" s="148">
        <f>BE12-BI12</f>
        <v/>
      </c>
      <c r="BK12" s="149">
        <f>+IF(IFERROR(BE12/BI12-1,"-")&lt;300%,IFERROR(BE12/BI12-1,"-"),"n.a.")</f>
        <v/>
      </c>
      <c r="BL12" s="46" t="n"/>
      <c r="BM12" s="38" t="inlineStr">
        <is>
          <t>Gross Profit</t>
        </is>
      </c>
      <c r="BN12" s="68">
        <f>BN10+BN11</f>
        <v/>
      </c>
      <c r="BO12" s="9" t="n">
        <v>515.9849200000002</v>
      </c>
      <c r="BP12" s="148">
        <f>BN12-BO12</f>
        <v/>
      </c>
      <c r="BQ12" s="149">
        <f>+IF(IFERROR(BN12/BO12-1,"-")&lt;300%,IFERROR(BN12/BO12-1,"-"),"n.a.")</f>
        <v/>
      </c>
      <c r="BR12" s="148">
        <f>SUM(BR10:BR11)</f>
        <v/>
      </c>
      <c r="BS12" s="148">
        <f>BN12-BR12</f>
        <v/>
      </c>
      <c r="BT12" s="149">
        <f>+IF(IFERROR(BN12/BR12-1,"-")&lt;300%,IFERROR(BN12/BR12-1,"-"),"n.a.")</f>
        <v/>
      </c>
      <c r="BV12" s="38" t="inlineStr">
        <is>
          <t>Gross Profit</t>
        </is>
      </c>
      <c r="BW12" s="68">
        <f>BW10+BW11</f>
        <v/>
      </c>
      <c r="BX12" s="9" t="n">
        <v>321.29278</v>
      </c>
      <c r="BY12" s="148">
        <f>BW12-BX12</f>
        <v/>
      </c>
      <c r="BZ12" s="149">
        <f>+IF(IFERROR(BW12/BX12-1,"-")&lt;300%,IFERROR(BW12/BX12-1,"-"),"n.a.")</f>
        <v/>
      </c>
      <c r="CA12" s="148">
        <f>SUM(CA10:CA11)</f>
        <v/>
      </c>
      <c r="CB12" s="148">
        <f>BW12-CA12</f>
        <v/>
      </c>
      <c r="CC12" s="149">
        <f>+IF(IFERROR(BW12/CA12-1,"-")&lt;300%,IFERROR(BW12/CA12-1,"-"),"n.a.")</f>
        <v/>
      </c>
      <c r="CD12" s="152" t="n"/>
      <c r="CE12" s="38" t="inlineStr">
        <is>
          <t>Gross Profit</t>
        </is>
      </c>
      <c r="CF12" s="68">
        <f>CF10+CF11</f>
        <v/>
      </c>
      <c r="CG12" s="9" t="n">
        <v>609.95365</v>
      </c>
      <c r="CH12" s="148">
        <f>CF12-CG12</f>
        <v/>
      </c>
      <c r="CI12" s="149">
        <f>+IF(IFERROR(CF12/CG12-1,"-")&lt;300%,IFERROR(CF12/CG12-1,"-"),"n.a.")</f>
        <v/>
      </c>
      <c r="CJ12" s="148">
        <f>SUM(CJ10:CJ11)</f>
        <v/>
      </c>
      <c r="CK12" s="148">
        <f>CF12-CJ12</f>
        <v/>
      </c>
      <c r="CL12" s="149">
        <f>+IF(IFERROR(CF12/CJ12-1,"-")&lt;300%,IFERROR(CF12/CJ12-1,"-"),"n.a.")</f>
        <v/>
      </c>
      <c r="CN12" s="38" t="inlineStr">
        <is>
          <t>Gross Profit</t>
        </is>
      </c>
      <c r="CO12" s="68">
        <f>CO10+CO11</f>
        <v/>
      </c>
      <c r="CP12" s="9" t="n">
        <v>820.8985</v>
      </c>
      <c r="CQ12" s="148">
        <f>CO12-CP12</f>
        <v/>
      </c>
      <c r="CR12" s="149">
        <f>+IF(IFERROR(CO12/CP12-1,"-")&lt;300%,IFERROR(CO12/CP12-1,"-"),"n.a.")</f>
        <v/>
      </c>
      <c r="CS12" s="148">
        <f>SUM(CS10:CS11)</f>
        <v/>
      </c>
      <c r="CT12" s="148">
        <f>CO12-CS12</f>
        <v/>
      </c>
      <c r="CU12" s="149">
        <f>+IF(IFERROR(CO12/CS12-1,"-")&lt;300%,IFERROR(CO12/CS12-1,"-"),"n.a.")</f>
        <v/>
      </c>
      <c r="CW12" s="38" t="inlineStr">
        <is>
          <t>Gross Profit</t>
        </is>
      </c>
      <c r="CX12" s="68">
        <f>CX10+CX11</f>
        <v/>
      </c>
      <c r="CY12" s="9" t="n">
        <v>693.2620500000002</v>
      </c>
      <c r="CZ12" s="148">
        <f>CX12-CY12</f>
        <v/>
      </c>
      <c r="DA12" s="149">
        <f>+IF(IFERROR(CX12/CY12-1,"-")&lt;300%,IFERROR(CX12/CY12-1,"-"),"n.a.")</f>
        <v/>
      </c>
      <c r="DB12" s="148">
        <f>SUM(DB10:DB11)</f>
        <v/>
      </c>
      <c r="DC12" s="148">
        <f>CX12-DB12</f>
        <v/>
      </c>
      <c r="DD12" s="149">
        <f>+IF(IFERROR(CX12/DB12-1,"-")&lt;300%,IFERROR(CX12/DB12-1,"-"),"n.a.")</f>
        <v/>
      </c>
      <c r="DF12" s="38" t="inlineStr">
        <is>
          <t>Gross Profit</t>
        </is>
      </c>
      <c r="DG12" s="68">
        <f>DG10+DG11</f>
        <v/>
      </c>
      <c r="DH12" s="68">
        <f>DH10+DH11</f>
        <v/>
      </c>
      <c r="DI12" s="148">
        <f>DG12-DH12</f>
        <v/>
      </c>
      <c r="DJ12" s="149">
        <f>+IF(IFERROR(DG12/DH12-1,"-")&lt;300%,IFERROR(DG12/DH12-1,"-"),"n.a.")</f>
        <v/>
      </c>
      <c r="DK12" s="148">
        <f>SUM(DK10:DK11)</f>
        <v/>
      </c>
      <c r="DL12" s="148">
        <f>DG12-DK12</f>
        <v/>
      </c>
      <c r="DM12" s="149">
        <f>+IF(IFERROR(DG12/DK12-1,"-")&lt;300%,IFERROR(DG12/DK12-1,"-"),"n.a.")</f>
        <v/>
      </c>
    </row>
    <row r="13">
      <c r="B13" s="39" t="inlineStr">
        <is>
          <t>% Gross Margin</t>
        </is>
      </c>
      <c r="C13" s="71">
        <f>C12/C10</f>
        <v/>
      </c>
      <c r="D13" s="71" t="n">
        <v>0.4890660726755185</v>
      </c>
      <c r="E13" s="40" t="n"/>
      <c r="F13" s="83" t="n"/>
      <c r="G13" s="71">
        <f>G12/G10</f>
        <v/>
      </c>
      <c r="H13" s="146" t="n"/>
      <c r="I13" s="83" t="n"/>
      <c r="K13" s="39" t="inlineStr">
        <is>
          <t>% Gross Margin</t>
        </is>
      </c>
      <c r="L13" s="71">
        <f>L12/L10</f>
        <v/>
      </c>
      <c r="M13" s="71" t="n">
        <v>0.7577323584290739</v>
      </c>
      <c r="N13" s="40" t="n"/>
      <c r="O13" s="83" t="n"/>
      <c r="P13" s="71">
        <f>P12/P10</f>
        <v/>
      </c>
      <c r="Q13" s="146" t="n"/>
      <c r="R13" s="83" t="n"/>
      <c r="T13" s="39" t="inlineStr">
        <is>
          <t>% Gross Margin</t>
        </is>
      </c>
      <c r="U13" s="71">
        <f>U12/U10</f>
        <v/>
      </c>
      <c r="V13" s="71" t="n">
        <v>0.7485313645502351</v>
      </c>
      <c r="W13" s="40" t="n"/>
      <c r="X13" s="83" t="n"/>
      <c r="Y13" s="71">
        <f>Y12/Y10</f>
        <v/>
      </c>
      <c r="Z13" s="146" t="n"/>
      <c r="AA13" s="83" t="n"/>
      <c r="AB13" s="153" t="n"/>
      <c r="AC13" s="39" t="inlineStr">
        <is>
          <t>% Gross Margin</t>
        </is>
      </c>
      <c r="AD13" s="71">
        <f>AD12/AD10</f>
        <v/>
      </c>
      <c r="AE13" s="71" t="n">
        <v>0.6537944958557772</v>
      </c>
      <c r="AF13" s="40" t="n"/>
      <c r="AG13" s="83" t="n"/>
      <c r="AH13" s="71">
        <f>AH12/AH10</f>
        <v/>
      </c>
      <c r="AI13" s="146" t="n"/>
      <c r="AJ13" s="83" t="n"/>
      <c r="AK13" s="153" t="n"/>
      <c r="AL13" s="39" t="inlineStr">
        <is>
          <t>% Gross Margin</t>
        </is>
      </c>
      <c r="AM13" s="71">
        <f>AM12/AM10</f>
        <v/>
      </c>
      <c r="AN13" s="71" t="n">
        <v>0.6758592632272895</v>
      </c>
      <c r="AO13" s="40" t="n"/>
      <c r="AP13" s="83" t="n"/>
      <c r="AQ13" s="71">
        <f>AQ12/AQ10</f>
        <v/>
      </c>
      <c r="AR13" s="146" t="n"/>
      <c r="AS13" s="83" t="n"/>
      <c r="AT13" s="138" t="n"/>
      <c r="AU13" s="39" t="inlineStr">
        <is>
          <t>% Gross Margin</t>
        </is>
      </c>
      <c r="AV13" s="71">
        <f>AV12/AV10</f>
        <v/>
      </c>
      <c r="AW13" s="71" t="n">
        <v>0.6210706549798198</v>
      </c>
      <c r="AX13" s="40" t="n"/>
      <c r="AY13" s="83" t="n"/>
      <c r="AZ13" s="71">
        <f>AZ12/AZ10</f>
        <v/>
      </c>
      <c r="BA13" s="146" t="n"/>
      <c r="BB13" s="83" t="n"/>
      <c r="BC13" s="138" t="n"/>
      <c r="BD13" s="39" t="inlineStr">
        <is>
          <t>% Gross Margin</t>
        </is>
      </c>
      <c r="BE13" s="71">
        <f>BE12/BE10</f>
        <v/>
      </c>
      <c r="BF13" s="71" t="n">
        <v>0.592985465983403</v>
      </c>
      <c r="BG13" s="40" t="n"/>
      <c r="BH13" s="83" t="n"/>
      <c r="BI13" s="71">
        <f>BI12/BI10</f>
        <v/>
      </c>
      <c r="BJ13" s="146" t="n"/>
      <c r="BK13" s="83" t="n"/>
      <c r="BL13" s="76" t="n"/>
      <c r="BM13" s="39" t="inlineStr">
        <is>
          <t>% Gross Margin</t>
        </is>
      </c>
      <c r="BN13" s="71">
        <f>BN12/BN10</f>
        <v/>
      </c>
      <c r="BO13" s="71" t="n">
        <v>0.6547158332869669</v>
      </c>
      <c r="BP13" s="40" t="n"/>
      <c r="BQ13" s="83" t="n"/>
      <c r="BR13" s="71">
        <f>BR12/BR10</f>
        <v/>
      </c>
      <c r="BS13" s="146" t="n"/>
      <c r="BT13" s="83" t="n"/>
      <c r="BV13" s="39" t="inlineStr">
        <is>
          <t>% Gross Margin</t>
        </is>
      </c>
      <c r="BW13" s="71">
        <f>BW12/BW10</f>
        <v/>
      </c>
      <c r="BX13" s="71" t="n">
        <v>0.6650871337544916</v>
      </c>
      <c r="BY13" s="40" t="n"/>
      <c r="BZ13" s="83" t="n"/>
      <c r="CA13" s="71">
        <f>CA12/CA10</f>
        <v/>
      </c>
      <c r="CB13" s="146" t="n"/>
      <c r="CC13" s="83" t="n"/>
      <c r="CD13" s="154" t="n"/>
      <c r="CE13" s="39" t="inlineStr">
        <is>
          <t>% Gross Margin</t>
        </is>
      </c>
      <c r="CF13" s="71">
        <f>CF12/CF10</f>
        <v/>
      </c>
      <c r="CG13" s="71" t="n">
        <v>0.6687684879884602</v>
      </c>
      <c r="CH13" s="40" t="n"/>
      <c r="CI13" s="83" t="n"/>
      <c r="CJ13" s="71">
        <f>CJ12/CJ10</f>
        <v/>
      </c>
      <c r="CK13" s="146" t="n"/>
      <c r="CL13" s="83" t="n"/>
      <c r="CN13" s="39" t="inlineStr">
        <is>
          <t>% Gross Margin</t>
        </is>
      </c>
      <c r="CO13" s="71">
        <f>CO12/CO10</f>
        <v/>
      </c>
      <c r="CP13" s="71" t="n">
        <v>0.6699452449135442</v>
      </c>
      <c r="CQ13" s="40" t="n"/>
      <c r="CR13" s="83" t="n"/>
      <c r="CS13" s="71">
        <f>CS12/CS10</f>
        <v/>
      </c>
      <c r="CT13" s="146" t="n"/>
      <c r="CU13" s="83" t="n"/>
      <c r="CW13" s="39" t="inlineStr">
        <is>
          <t>% Gross Margin</t>
        </is>
      </c>
      <c r="CX13" s="71">
        <f>CX12/CX10</f>
        <v/>
      </c>
      <c r="CY13" s="71" t="n">
        <v>0.6068431123055246</v>
      </c>
      <c r="CZ13" s="40" t="n"/>
      <c r="DA13" s="83" t="n"/>
      <c r="DB13" s="71">
        <f>DB12/DB10</f>
        <v/>
      </c>
      <c r="DC13" s="146" t="n"/>
      <c r="DD13" s="83" t="n"/>
      <c r="DF13" s="39" t="inlineStr">
        <is>
          <t>% Gross Margin</t>
        </is>
      </c>
      <c r="DG13" s="71">
        <f>DG12/DG10</f>
        <v/>
      </c>
      <c r="DH13" s="71">
        <f>DH12/DH10</f>
        <v/>
      </c>
      <c r="DI13" s="40" t="n"/>
      <c r="DJ13" s="83" t="n"/>
      <c r="DK13" s="71">
        <f>DK12/DK10</f>
        <v/>
      </c>
      <c r="DL13" s="146" t="n"/>
      <c r="DM13" s="83" t="n"/>
    </row>
    <row r="14">
      <c r="B14" s="39" t="n"/>
      <c r="C14" s="43" t="n"/>
      <c r="D14" s="44" t="n"/>
      <c r="E14" s="151" t="n"/>
      <c r="F14" s="155" t="n"/>
      <c r="G14" s="46" t="n"/>
      <c r="H14" s="151" t="n"/>
      <c r="I14" s="155" t="n"/>
      <c r="K14" s="39" t="n"/>
      <c r="L14" s="43" t="n"/>
      <c r="M14" s="44" t="n"/>
      <c r="N14" s="151" t="n"/>
      <c r="O14" s="155" t="n"/>
      <c r="P14" s="46" t="n"/>
      <c r="Q14" s="151" t="n"/>
      <c r="R14" s="155" t="n"/>
      <c r="T14" s="39" t="n"/>
      <c r="U14" s="43" t="n"/>
      <c r="V14" s="44" t="n"/>
      <c r="W14" s="151" t="n"/>
      <c r="X14" s="155" t="n"/>
      <c r="Y14" s="46" t="n"/>
      <c r="Z14" s="151" t="n"/>
      <c r="AA14" s="155" t="n"/>
      <c r="AB14" s="140" t="n"/>
      <c r="AC14" s="39" t="n"/>
      <c r="AD14" s="43" t="n"/>
      <c r="AE14" s="44" t="n"/>
      <c r="AF14" s="151" t="n"/>
      <c r="AG14" s="155" t="n"/>
      <c r="AH14" s="46" t="n"/>
      <c r="AI14" s="151" t="n"/>
      <c r="AJ14" s="155" t="n"/>
      <c r="AK14" s="140" t="n"/>
      <c r="AL14" s="39" t="n"/>
      <c r="AM14" s="43" t="n"/>
      <c r="AN14" s="44" t="n"/>
      <c r="AO14" s="151" t="n"/>
      <c r="AP14" s="155" t="n"/>
      <c r="AQ14" s="46" t="n"/>
      <c r="AR14" s="151" t="n"/>
      <c r="AS14" s="155" t="n"/>
      <c r="AT14" s="156" t="n"/>
      <c r="AU14" s="39" t="n"/>
      <c r="AV14" s="43" t="n"/>
      <c r="AW14" s="44" t="n"/>
      <c r="AX14" s="151" t="n"/>
      <c r="AY14" s="155" t="n"/>
      <c r="AZ14" s="46" t="n"/>
      <c r="BA14" s="151" t="n"/>
      <c r="BB14" s="155" t="n"/>
      <c r="BC14" s="156" t="n"/>
      <c r="BD14" s="39" t="n"/>
      <c r="BE14" s="43" t="n"/>
      <c r="BF14" s="44" t="n"/>
      <c r="BG14" s="151" t="n"/>
      <c r="BH14" s="155" t="n"/>
      <c r="BI14" s="46" t="n"/>
      <c r="BJ14" s="151" t="n"/>
      <c r="BK14" s="155" t="n"/>
      <c r="BL14" s="157" t="n"/>
      <c r="BM14" s="39" t="n"/>
      <c r="BN14" s="43" t="n"/>
      <c r="BO14" s="44" t="n"/>
      <c r="BP14" s="151" t="n"/>
      <c r="BQ14" s="155" t="n"/>
      <c r="BR14" s="46" t="n"/>
      <c r="BS14" s="151" t="n"/>
      <c r="BT14" s="155" t="n"/>
      <c r="BV14" s="39" t="n"/>
      <c r="BW14" s="43" t="n"/>
      <c r="BX14" s="44" t="n"/>
      <c r="BY14" s="151" t="n"/>
      <c r="BZ14" s="155" t="n"/>
      <c r="CA14" s="46" t="n"/>
      <c r="CB14" s="151" t="n"/>
      <c r="CC14" s="155" t="n"/>
      <c r="CD14" s="158" t="n"/>
      <c r="CE14" s="39" t="n"/>
      <c r="CF14" s="43" t="n"/>
      <c r="CG14" s="44" t="n"/>
      <c r="CH14" s="151" t="n"/>
      <c r="CI14" s="155" t="n"/>
      <c r="CJ14" s="46" t="n"/>
      <c r="CK14" s="151" t="n"/>
      <c r="CL14" s="155" t="n"/>
      <c r="CN14" s="39" t="n"/>
      <c r="CO14" s="43" t="n"/>
      <c r="CP14" s="44" t="n"/>
      <c r="CQ14" s="151" t="n"/>
      <c r="CR14" s="155" t="n"/>
      <c r="CS14" s="46" t="n"/>
      <c r="CT14" s="151" t="n"/>
      <c r="CU14" s="155" t="n"/>
      <c r="CW14" s="39" t="n"/>
      <c r="CX14" s="43" t="n"/>
      <c r="CY14" s="44" t="n"/>
      <c r="CZ14" s="151" t="n"/>
      <c r="DA14" s="155" t="n"/>
      <c r="DB14" s="46" t="n"/>
      <c r="DC14" s="151" t="n"/>
      <c r="DD14" s="155" t="n"/>
      <c r="DF14" s="39" t="n"/>
      <c r="DG14" s="43" t="n"/>
      <c r="DH14" s="44" t="n"/>
      <c r="DI14" s="151" t="n"/>
      <c r="DJ14" s="155" t="n"/>
      <c r="DK14" s="46" t="n"/>
      <c r="DL14" s="151" t="n"/>
      <c r="DM14" s="155" t="n"/>
    </row>
    <row r="15">
      <c r="B15" s="48" t="inlineStr">
        <is>
          <t>Gastos de Personal</t>
        </is>
      </c>
      <c r="C15" s="2">
        <f>GETPIVOTDATA("ene-27 ",TABLA!$B$3,"Nivel 4","6.- Gastos de personal")/1000</f>
        <v/>
      </c>
      <c r="D15" s="2" t="n">
        <v>-111.53201</v>
      </c>
      <c r="E15" s="138">
        <f>C15-D15</f>
        <v/>
      </c>
      <c r="F15" s="159">
        <f>+IF(IFERROR(C15/D15-1,"-")&lt;300%,IFERROR(C15/D15-1,"-"),"n.a.")</f>
        <v/>
      </c>
      <c r="G15" s="76">
        <f>C15</f>
        <v/>
      </c>
      <c r="H15" s="138">
        <f>C15-G15</f>
        <v/>
      </c>
      <c r="I15" s="159">
        <f>+IF(IFERROR(C15/G15-1,"-")&lt;300%,IFERROR(C15/G15-1,"-"),"n.a.")</f>
        <v/>
      </c>
      <c r="K15" s="48" t="inlineStr">
        <is>
          <t>Gastos de Personal</t>
        </is>
      </c>
      <c r="L15" s="2">
        <f>GETPIVOTDATA("feb-27 ",TABLA!$B$3,"Nivel 4","6.- Gastos de personal")/1000</f>
        <v/>
      </c>
      <c r="M15" s="2" t="n">
        <v>-142.9272</v>
      </c>
      <c r="N15" s="138">
        <f>L15-M15</f>
        <v/>
      </c>
      <c r="O15" s="159">
        <f>+IF(IFERROR(L15/M15-1,"-")&lt;300%,IFERROR(L15/M15-1,"-"),"n.a.")</f>
        <v/>
      </c>
      <c r="P15" s="76">
        <f>L15</f>
        <v/>
      </c>
      <c r="Q15" s="138">
        <f>L15-P15</f>
        <v/>
      </c>
      <c r="R15" s="159">
        <f>+IF(IFERROR(L15/P15-1,"-")&lt;300%,IFERROR(L15/P15-1,"-"),"n.a.")</f>
        <v/>
      </c>
      <c r="T15" s="48" t="inlineStr">
        <is>
          <t>Gastos de Personal</t>
        </is>
      </c>
      <c r="U15" s="2">
        <f>GETPIVOTDATA("mar-27 ",TABLA!$B$3,"Nivel 4","6.- Gastos de personal")/1000</f>
        <v/>
      </c>
      <c r="V15" s="2" t="n">
        <v>-146.23331</v>
      </c>
      <c r="W15" s="138">
        <f>U15-V15</f>
        <v/>
      </c>
      <c r="X15" s="159">
        <f>+IF(IFERROR(U15/V15-1,"-")&lt;300%,IFERROR(U15/V15-1,"-"),"n.a.")</f>
        <v/>
      </c>
      <c r="Y15" s="76">
        <f>U15</f>
        <v/>
      </c>
      <c r="Z15" s="138">
        <f>U15-Y15</f>
        <v/>
      </c>
      <c r="AA15" s="159">
        <f>+IF(IFERROR(U15/Y15-1,"-")&lt;300%,IFERROR(U15/Y15-1,"-"),"n.a.")</f>
        <v/>
      </c>
      <c r="AB15" s="140" t="n"/>
      <c r="AC15" s="48" t="inlineStr">
        <is>
          <t>Gastos de Personal</t>
        </is>
      </c>
      <c r="AD15" s="2">
        <f>GETPIVOTDATA("abr-27 ",TABLA!$B$3,"Nivel 4","6.- Gastos de personal")/1000</f>
        <v/>
      </c>
      <c r="AE15" s="2" t="n">
        <v>-130.04767</v>
      </c>
      <c r="AF15" s="138">
        <f>AD15-AE15</f>
        <v/>
      </c>
      <c r="AG15" s="159">
        <f>+IF(IFERROR(AD15/AE15-1,"-")&lt;300%,IFERROR(AD15/AE15-1,"-"),"n.a.")</f>
        <v/>
      </c>
      <c r="AH15" s="76">
        <f>AD15</f>
        <v/>
      </c>
      <c r="AI15" s="138">
        <f>AD15-AH15</f>
        <v/>
      </c>
      <c r="AJ15" s="159">
        <f>+IF(IFERROR(AD15/AH15-1,"-")&lt;300%,IFERROR(AD15/AH15-1,"-"),"n.a.")</f>
        <v/>
      </c>
      <c r="AK15" s="140" t="n"/>
      <c r="AL15" s="48" t="inlineStr">
        <is>
          <t>Gastos de Personal</t>
        </is>
      </c>
      <c r="AM15" s="2">
        <f>GETPIVOTDATA("may-27 ",TABLA!$B$3,"Nivel 4","6.- Gastos de personal")/1000</f>
        <v/>
      </c>
      <c r="AN15" s="2" t="n">
        <v>-134.99252</v>
      </c>
      <c r="AO15" s="138">
        <f>AM15-AN15</f>
        <v/>
      </c>
      <c r="AP15" s="159">
        <f>+IF(IFERROR(AM15/AN15-1,"-")&lt;300%,IFERROR(AM15/AN15-1,"-"),"n.a.")</f>
        <v/>
      </c>
      <c r="AQ15" s="76">
        <f>AM15</f>
        <v/>
      </c>
      <c r="AR15" s="138">
        <f>AM15-AQ15</f>
        <v/>
      </c>
      <c r="AS15" s="159">
        <f>+IF(IFERROR(AM15/AQ15-1,"-")&lt;300%,IFERROR(AM15/AQ15-1,"-"),"n.a.")</f>
        <v/>
      </c>
      <c r="AT15" s="160" t="n"/>
      <c r="AU15" s="48" t="inlineStr">
        <is>
          <t>Gastos de Personal</t>
        </is>
      </c>
      <c r="AV15" s="2">
        <f>GETPIVOTDATA("jun-27 ",TABLA!$B$3,"Nivel 4","6.- Gastos de personal")/1000</f>
        <v/>
      </c>
      <c r="AW15" s="2" t="n">
        <v>-145.07228</v>
      </c>
      <c r="AX15" s="138">
        <f>AV15-AW15</f>
        <v/>
      </c>
      <c r="AY15" s="159">
        <f>+IF(IFERROR(AV15/AW15-1,"-")&lt;300%,IFERROR(AV15/AW15-1,"-"),"n.a.")</f>
        <v/>
      </c>
      <c r="AZ15" s="76">
        <f>AV15</f>
        <v/>
      </c>
      <c r="BA15" s="138">
        <f>AV15-AZ15</f>
        <v/>
      </c>
      <c r="BB15" s="159">
        <f>+IF(IFERROR(AV15/AZ15-1,"-")&lt;300%,IFERROR(AV15/AZ15-1,"-"),"n.a.")</f>
        <v/>
      </c>
      <c r="BC15" s="160" t="n"/>
      <c r="BD15" s="48" t="inlineStr">
        <is>
          <t>Gastos de Personal</t>
        </is>
      </c>
      <c r="BE15" s="2">
        <f>GETPIVOTDATA("jul-27 ",TABLA!$B$3,"Nivel 4","6.- Gastos de personal")/1000</f>
        <v/>
      </c>
      <c r="BF15" s="2" t="n">
        <v>-153.53365</v>
      </c>
      <c r="BG15" s="138">
        <f>BE15-BF15</f>
        <v/>
      </c>
      <c r="BH15" s="159">
        <f>+IF(IFERROR(BE15/BF15-1,"-")&lt;300%,IFERROR(BE15/BF15-1,"-"),"n.a.")</f>
        <v/>
      </c>
      <c r="BI15" s="76">
        <f>BE15</f>
        <v/>
      </c>
      <c r="BJ15" s="138">
        <f>BE15-BI15</f>
        <v/>
      </c>
      <c r="BK15" s="159">
        <f>+IF(IFERROR(BE15/BI15-1,"-")&lt;300%,IFERROR(BE15/BI15-1,"-"),"n.a.")</f>
        <v/>
      </c>
      <c r="BL15" s="160" t="n"/>
      <c r="BM15" s="48" t="inlineStr">
        <is>
          <t>Gastos de Personal</t>
        </is>
      </c>
      <c r="BN15" s="2">
        <f>GETPIVOTDATA("ago-27 ",TABLA!$B$3,"Nivel 4","6.- Gastos de personal")/1000</f>
        <v/>
      </c>
      <c r="BO15" s="2" t="n">
        <v>-152.63279</v>
      </c>
      <c r="BP15" s="138">
        <f>BN15-BO15</f>
        <v/>
      </c>
      <c r="BQ15" s="159">
        <f>+IF(IFERROR(BN15/BO15-1,"-")&lt;300%,IFERROR(BN15/BO15-1,"-"),"n.a.")</f>
        <v/>
      </c>
      <c r="BR15" s="76">
        <f>BN15</f>
        <v/>
      </c>
      <c r="BS15" s="138">
        <f>BN15-BR15</f>
        <v/>
      </c>
      <c r="BT15" s="159">
        <f>+IF(IFERROR(BN15/BR15-1,"-")&lt;300%,IFERROR(BN15/BR15-1,"-"),"n.a.")</f>
        <v/>
      </c>
      <c r="BV15" s="48" t="inlineStr">
        <is>
          <t>Gastos de Personal</t>
        </is>
      </c>
      <c r="BW15" s="2">
        <f>GETPIVOTDATA("sep-27 ",TABLA!$B$3,"Nivel 4","6.- Gastos de personal")/1000</f>
        <v/>
      </c>
      <c r="BX15" s="2" t="n">
        <v>-152.63279</v>
      </c>
      <c r="BY15" s="138">
        <f>BW15-BX15</f>
        <v/>
      </c>
      <c r="BZ15" s="159">
        <f>+IF(IFERROR(BW15/BX15-1,"-")&lt;300%,IFERROR(BW15/BX15-1,"-"),"n.a.")</f>
        <v/>
      </c>
      <c r="CA15" s="76">
        <f>BW15</f>
        <v/>
      </c>
      <c r="CB15" s="138">
        <f>BW15-CA15</f>
        <v/>
      </c>
      <c r="CC15" s="159">
        <f>+IF(IFERROR(BW15/CA15-1,"-")&lt;300%,IFERROR(BW15/CA15-1,"-"),"n.a.")</f>
        <v/>
      </c>
      <c r="CD15" s="152" t="n"/>
      <c r="CE15" s="48" t="inlineStr">
        <is>
          <t>Gastos de Personal</t>
        </is>
      </c>
      <c r="CF15" s="2">
        <f>GETPIVOTDATA("oct-27 ",TABLA!$B$3,"Nivel 4","6.- Gastos de personal")/1000</f>
        <v/>
      </c>
      <c r="CG15" s="2" t="n">
        <v>-152.63279</v>
      </c>
      <c r="CH15" s="138">
        <f>CF15-CG15</f>
        <v/>
      </c>
      <c r="CI15" s="159">
        <f>+IF(IFERROR(CF15/CG15-1,"-")&lt;300%,IFERROR(CF15/CG15-1,"-"),"n.a.")</f>
        <v/>
      </c>
      <c r="CJ15" s="76">
        <f>CF15</f>
        <v/>
      </c>
      <c r="CK15" s="138">
        <f>CF15-CJ15</f>
        <v/>
      </c>
      <c r="CL15" s="159">
        <f>+IF(IFERROR(CF15/CJ15-1,"-")&lt;300%,IFERROR(CF15/CJ15-1,"-"),"n.a.")</f>
        <v/>
      </c>
      <c r="CN15" s="48" t="inlineStr">
        <is>
          <t>Gastos de Personal</t>
        </is>
      </c>
      <c r="CO15" s="2">
        <f>GETPIVOTDATA("nov-27 ",TABLA!$B$3,"Nivel 4","6.- Gastos de personal")/1000</f>
        <v/>
      </c>
      <c r="CP15" s="2" t="n">
        <v>-152.63279</v>
      </c>
      <c r="CQ15" s="138">
        <f>CO15-CP15</f>
        <v/>
      </c>
      <c r="CR15" s="159">
        <f>+IF(IFERROR(CO15/CP15-1,"-")&lt;300%,IFERROR(CO15/CP15-1,"-"),"n.a.")</f>
        <v/>
      </c>
      <c r="CS15" s="76">
        <f>CO15</f>
        <v/>
      </c>
      <c r="CT15" s="138">
        <f>CO15-CS15</f>
        <v/>
      </c>
      <c r="CU15" s="159">
        <f>+IF(IFERROR(CO15/CS15-1,"-")&lt;300%,IFERROR(CO15/CS15-1,"-"),"n.a.")</f>
        <v/>
      </c>
      <c r="CW15" s="48" t="inlineStr">
        <is>
          <t>Gastos de Personal</t>
        </is>
      </c>
      <c r="CX15" s="2">
        <f>GETPIVOTDATA("dic-27 ",TABLA!$B$3,"Nivel 4","6.- Gastos de personal")/1000</f>
        <v/>
      </c>
      <c r="CY15" s="2" t="n">
        <v>-431.63279</v>
      </c>
      <c r="CZ15" s="138">
        <f>CX15-CY15</f>
        <v/>
      </c>
      <c r="DA15" s="159">
        <f>+IF(IFERROR(CX15/CY15-1,"-")&lt;300%,IFERROR(CX15/CY15-1,"-"),"n.a.")</f>
        <v/>
      </c>
      <c r="DB15" s="76">
        <f>CX15</f>
        <v/>
      </c>
      <c r="DC15" s="138">
        <f>CX15-DB15</f>
        <v/>
      </c>
      <c r="DD15" s="159">
        <f>+IF(IFERROR(CX15/DB15-1,"-")&lt;300%,IFERROR(CX15/DB15-1,"-"),"n.a.")</f>
        <v/>
      </c>
      <c r="DF15" s="48" t="inlineStr">
        <is>
          <t>Gastos de Personal</t>
        </is>
      </c>
      <c r="DG15" s="2">
        <f>GETPIVOTDATA("Total 2027 ",TABLA!$B$3,"Nivel 4","6.- Gastos de personal")/1000</f>
        <v/>
      </c>
      <c r="DH15" s="2">
        <f>CY15+CP15+CG15+BX15+BO15+BF15+AW15+AN15+AE15+V15+M15+D15</f>
        <v/>
      </c>
      <c r="DI15" s="138">
        <f>DG15-DH15</f>
        <v/>
      </c>
      <c r="DJ15" s="159">
        <f>+IF(IFERROR(DG15/DH15-1,"-")&lt;300%,IFERROR(DG15/DH15-1,"-"),"n.a.")</f>
        <v/>
      </c>
      <c r="DK15" s="76">
        <f>DG15</f>
        <v/>
      </c>
      <c r="DL15" s="138">
        <f>DG15-DK15</f>
        <v/>
      </c>
      <c r="DM15" s="159">
        <f>+IF(IFERROR(DG15/DK15-1,"-")&lt;300%,IFERROR(DG15/DK15-1,"-"),"n.a.")</f>
        <v/>
      </c>
    </row>
    <row r="16">
      <c r="B16" s="49" t="inlineStr">
        <is>
          <t>% of Revenue</t>
        </is>
      </c>
      <c r="C16" s="157">
        <f>C15/C10</f>
        <v/>
      </c>
      <c r="D16" s="157" t="n">
        <v>-0.1133666070644653</v>
      </c>
      <c r="E16" s="156" t="n"/>
      <c r="F16" s="145" t="n"/>
      <c r="G16" s="157">
        <f>G15/G10</f>
        <v/>
      </c>
      <c r="H16" s="156" t="n"/>
      <c r="I16" s="145" t="n"/>
      <c r="K16" s="49" t="inlineStr">
        <is>
          <t>% of Revenue</t>
        </is>
      </c>
      <c r="L16" s="157">
        <f>L15/L10</f>
        <v/>
      </c>
      <c r="M16" s="157" t="n">
        <v>-0.0972010771148526</v>
      </c>
      <c r="N16" s="156" t="n"/>
      <c r="O16" s="145" t="n"/>
      <c r="P16" s="157">
        <f>P15/P10</f>
        <v/>
      </c>
      <c r="Q16" s="156" t="n"/>
      <c r="R16" s="145" t="n"/>
      <c r="T16" s="49" t="inlineStr">
        <is>
          <t>% of Revenue</t>
        </is>
      </c>
      <c r="U16" s="157">
        <f>U15/U10</f>
        <v/>
      </c>
      <c r="V16" s="157" t="n">
        <v>-0.09534119159161493</v>
      </c>
      <c r="W16" s="156" t="n"/>
      <c r="X16" s="145" t="n"/>
      <c r="Y16" s="157">
        <f>Y15/Y10</f>
        <v/>
      </c>
      <c r="Z16" s="156" t="n"/>
      <c r="AA16" s="145" t="n"/>
      <c r="AB16" s="140" t="n"/>
      <c r="AC16" s="49" t="inlineStr">
        <is>
          <t>% of Revenue</t>
        </is>
      </c>
      <c r="AD16" s="157">
        <f>AD15/AD10</f>
        <v/>
      </c>
      <c r="AE16" s="157" t="n">
        <v>-0.08894299549837108</v>
      </c>
      <c r="AF16" s="156" t="n"/>
      <c r="AG16" s="145" t="n"/>
      <c r="AH16" s="157">
        <f>AH15/AH10</f>
        <v/>
      </c>
      <c r="AI16" s="156" t="n"/>
      <c r="AJ16" s="145" t="n"/>
      <c r="AK16" s="140" t="n"/>
      <c r="AL16" s="49" t="inlineStr">
        <is>
          <t>% of Revenue</t>
        </is>
      </c>
      <c r="AM16" s="157">
        <f>AM15/AM10</f>
        <v/>
      </c>
      <c r="AN16" s="157" t="n">
        <v>-0.07009212500365601</v>
      </c>
      <c r="AO16" s="156" t="n"/>
      <c r="AP16" s="145" t="n"/>
      <c r="AQ16" s="157">
        <f>AQ15/AQ10</f>
        <v/>
      </c>
      <c r="AR16" s="156" t="n"/>
      <c r="AS16" s="145" t="n"/>
      <c r="AT16" s="141" t="n"/>
      <c r="AU16" s="49" t="inlineStr">
        <is>
          <t>% of Revenue</t>
        </is>
      </c>
      <c r="AV16" s="157">
        <f>AV15/AV10</f>
        <v/>
      </c>
      <c r="AW16" s="157" t="n">
        <v>-0.07393115321414574</v>
      </c>
      <c r="AX16" s="156" t="n"/>
      <c r="AY16" s="145" t="n"/>
      <c r="AZ16" s="157">
        <f>AZ15/AZ10</f>
        <v/>
      </c>
      <c r="BA16" s="156" t="n"/>
      <c r="BB16" s="145" t="n"/>
      <c r="BC16" s="141" t="n"/>
      <c r="BD16" s="49" t="inlineStr">
        <is>
          <t>% of Revenue</t>
        </is>
      </c>
      <c r="BE16" s="157">
        <f>BE15/BE10</f>
        <v/>
      </c>
      <c r="BF16" s="157" t="n">
        <v>-0.1189580031826185</v>
      </c>
      <c r="BG16" s="156" t="n"/>
      <c r="BH16" s="145" t="n"/>
      <c r="BI16" s="157">
        <f>BI15/BI10</f>
        <v/>
      </c>
      <c r="BJ16" s="156" t="n"/>
      <c r="BK16" s="145" t="n"/>
      <c r="BL16" s="73" t="n"/>
      <c r="BM16" s="49" t="inlineStr">
        <is>
          <t>% of Revenue</t>
        </is>
      </c>
      <c r="BN16" s="157">
        <f>BN15/BN10</f>
        <v/>
      </c>
      <c r="BO16" s="157" t="n">
        <v>-0.193670590783476</v>
      </c>
      <c r="BP16" s="156" t="n"/>
      <c r="BQ16" s="145" t="n"/>
      <c r="BR16" s="157">
        <f>BR15/BR10</f>
        <v/>
      </c>
      <c r="BS16" s="156" t="n"/>
      <c r="BT16" s="145" t="n"/>
      <c r="BV16" s="49" t="inlineStr">
        <is>
          <t>% of Revenue</t>
        </is>
      </c>
      <c r="BW16" s="157">
        <f>BW15/BW10</f>
        <v/>
      </c>
      <c r="BX16" s="157" t="n">
        <v>-0.3159551385438889</v>
      </c>
      <c r="BY16" s="156" t="n"/>
      <c r="BZ16" s="145" t="n"/>
      <c r="CA16" s="157">
        <f>CA15/CA10</f>
        <v/>
      </c>
      <c r="CB16" s="156" t="n"/>
      <c r="CC16" s="145" t="n"/>
      <c r="CD16" s="147" t="n"/>
      <c r="CE16" s="49" t="inlineStr">
        <is>
          <t>% of Revenue</t>
        </is>
      </c>
      <c r="CF16" s="157">
        <f>CF15/CF10</f>
        <v/>
      </c>
      <c r="CG16" s="157" t="n">
        <v>-0.1673504211111126</v>
      </c>
      <c r="CH16" s="156" t="n"/>
      <c r="CI16" s="145" t="n"/>
      <c r="CJ16" s="157">
        <f>CJ15/CJ10</f>
        <v/>
      </c>
      <c r="CK16" s="156" t="n"/>
      <c r="CL16" s="145" t="n"/>
      <c r="CN16" s="49" t="inlineStr">
        <is>
          <t>% of Revenue</t>
        </is>
      </c>
      <c r="CO16" s="157">
        <f>CO15/CO10</f>
        <v/>
      </c>
      <c r="CP16" s="157" t="n">
        <v>-0.1245654753643569</v>
      </c>
      <c r="CQ16" s="156" t="n"/>
      <c r="CR16" s="145" t="n"/>
      <c r="CS16" s="157">
        <f>CS15/CS10</f>
        <v/>
      </c>
      <c r="CT16" s="156" t="n"/>
      <c r="CU16" s="145" t="n"/>
      <c r="CW16" s="49" t="inlineStr">
        <is>
          <t>% of Revenue</t>
        </is>
      </c>
      <c r="CX16" s="157">
        <f>CX15/CX10</f>
        <v/>
      </c>
      <c r="CY16" s="157" t="n">
        <v>-0.3778273823826313</v>
      </c>
      <c r="CZ16" s="156" t="n"/>
      <c r="DA16" s="145" t="n"/>
      <c r="DB16" s="157">
        <f>DB15/DB10</f>
        <v/>
      </c>
      <c r="DC16" s="156" t="n"/>
      <c r="DD16" s="145" t="n"/>
      <c r="DF16" s="49" t="inlineStr">
        <is>
          <t>% of Revenue</t>
        </is>
      </c>
      <c r="DG16" s="157">
        <f>DG15/DG10</f>
        <v/>
      </c>
      <c r="DH16" s="157">
        <f>DH15/DH10</f>
        <v/>
      </c>
      <c r="DI16" s="156" t="n"/>
      <c r="DJ16" s="145" t="n"/>
      <c r="DK16" s="157">
        <f>DK15/DK10</f>
        <v/>
      </c>
      <c r="DL16" s="156" t="n"/>
      <c r="DM16" s="145" t="n"/>
    </row>
    <row r="17">
      <c r="B17" s="49" t="n"/>
      <c r="C17" s="161" t="n"/>
      <c r="D17" s="161" t="n"/>
      <c r="E17" s="160" t="n"/>
      <c r="F17" s="145" t="n"/>
      <c r="G17" s="160" t="n"/>
      <c r="H17" s="160" t="n"/>
      <c r="I17" s="145" t="n"/>
      <c r="K17" s="49" t="n"/>
      <c r="L17" s="161" t="n"/>
      <c r="M17" s="161" t="n"/>
      <c r="N17" s="160" t="n"/>
      <c r="O17" s="145" t="n"/>
      <c r="P17" s="160" t="n"/>
      <c r="Q17" s="160" t="n"/>
      <c r="R17" s="145" t="n"/>
      <c r="T17" s="49" t="n"/>
      <c r="U17" s="161" t="n"/>
      <c r="V17" s="161" t="n"/>
      <c r="W17" s="160" t="n"/>
      <c r="X17" s="145" t="n"/>
      <c r="Y17" s="160" t="n"/>
      <c r="Z17" s="160" t="n"/>
      <c r="AA17" s="145" t="n"/>
      <c r="AB17" s="140" t="n"/>
      <c r="AC17" s="49" t="n"/>
      <c r="AD17" s="161" t="n"/>
      <c r="AE17" s="161" t="n"/>
      <c r="AF17" s="160" t="n"/>
      <c r="AG17" s="145" t="n"/>
      <c r="AH17" s="160" t="n"/>
      <c r="AI17" s="160" t="n"/>
      <c r="AJ17" s="145" t="n"/>
      <c r="AK17" s="140" t="n"/>
      <c r="AL17" s="49" t="n"/>
      <c r="AM17" s="161" t="n"/>
      <c r="AN17" s="161" t="n"/>
      <c r="AO17" s="160" t="n"/>
      <c r="AP17" s="145" t="n"/>
      <c r="AQ17" s="160" t="n"/>
      <c r="AR17" s="160" t="n"/>
      <c r="AS17" s="145" t="n"/>
      <c r="AT17" s="65" t="n"/>
      <c r="AU17" s="49" t="n"/>
      <c r="AV17" s="161" t="n"/>
      <c r="AW17" s="161" t="n"/>
      <c r="AX17" s="160" t="n"/>
      <c r="AY17" s="145" t="n"/>
      <c r="AZ17" s="160" t="n"/>
      <c r="BA17" s="160" t="n"/>
      <c r="BB17" s="145" t="n"/>
      <c r="BC17" s="65" t="n"/>
      <c r="BD17" s="49" t="n"/>
      <c r="BE17" s="161" t="n"/>
      <c r="BF17" s="161" t="n"/>
      <c r="BG17" s="160" t="n"/>
      <c r="BH17" s="145" t="n"/>
      <c r="BI17" s="160" t="n"/>
      <c r="BJ17" s="160" t="n"/>
      <c r="BK17" s="145" t="n"/>
      <c r="BL17" s="73" t="n"/>
      <c r="BM17" s="49" t="n"/>
      <c r="BN17" s="161" t="n"/>
      <c r="BO17" s="161" t="n"/>
      <c r="BP17" s="160" t="n"/>
      <c r="BQ17" s="145" t="n"/>
      <c r="BR17" s="160" t="n"/>
      <c r="BS17" s="160" t="n"/>
      <c r="BT17" s="145" t="n"/>
      <c r="BV17" s="49" t="n"/>
      <c r="BW17" s="161" t="n"/>
      <c r="BX17" s="161" t="n"/>
      <c r="BY17" s="160" t="n"/>
      <c r="BZ17" s="145" t="n"/>
      <c r="CA17" s="160" t="n"/>
      <c r="CB17" s="160" t="n"/>
      <c r="CC17" s="145" t="n"/>
      <c r="CD17" s="147" t="n"/>
      <c r="CE17" s="49" t="n"/>
      <c r="CF17" s="161" t="n"/>
      <c r="CG17" s="161" t="n"/>
      <c r="CH17" s="160" t="n"/>
      <c r="CI17" s="145" t="n"/>
      <c r="CJ17" s="160" t="n"/>
      <c r="CK17" s="160" t="n"/>
      <c r="CL17" s="145" t="n"/>
      <c r="CN17" s="49" t="n"/>
      <c r="CO17" s="161" t="n"/>
      <c r="CP17" s="161" t="n"/>
      <c r="CQ17" s="160" t="n"/>
      <c r="CR17" s="145" t="n"/>
      <c r="CS17" s="160" t="n"/>
      <c r="CT17" s="160" t="n"/>
      <c r="CU17" s="145" t="n"/>
      <c r="CW17" s="49" t="n"/>
      <c r="CX17" s="161" t="n"/>
      <c r="CY17" s="161" t="n"/>
      <c r="CZ17" s="160" t="n"/>
      <c r="DA17" s="145" t="n"/>
      <c r="DB17" s="160" t="n"/>
      <c r="DC17" s="160" t="n"/>
      <c r="DD17" s="145" t="n"/>
      <c r="DF17" s="49" t="n"/>
      <c r="DG17" s="161" t="n"/>
      <c r="DH17" s="161" t="n"/>
      <c r="DI17" s="160" t="n"/>
      <c r="DJ17" s="145" t="n"/>
      <c r="DK17" s="160" t="n"/>
      <c r="DL17" s="160" t="n"/>
      <c r="DM17" s="145" t="n"/>
    </row>
    <row r="18">
      <c r="B18" s="27" t="inlineStr">
        <is>
          <t>Otros Ingresos Operativos</t>
        </is>
      </c>
      <c r="C18" s="162">
        <f>GETPIVOTDATA("ene-27 ",TABLA!$B$3,"Nivel 4","5.- Otros ingresos de explotación")/1000</f>
        <v/>
      </c>
      <c r="D18" s="2" t="n">
        <v>0</v>
      </c>
      <c r="E18" s="138">
        <f>C18-D18</f>
        <v/>
      </c>
      <c r="F18" s="145">
        <f>+IF(IFERROR(C18/D18-1,"-")&lt;300%,IFERROR(C18/D18-1,"-"),"n.a.")</f>
        <v/>
      </c>
      <c r="G18" s="73">
        <f>C18</f>
        <v/>
      </c>
      <c r="H18" s="141">
        <f>C18-G18</f>
        <v/>
      </c>
      <c r="I18" s="145">
        <f>+IF(IFERROR(C18/G18-1,"-")&lt;300%,IFERROR(C18/G18-1,"-"),"n.a.")</f>
        <v/>
      </c>
      <c r="K18" s="27" t="inlineStr">
        <is>
          <t>Otros Ingresos Operativos</t>
        </is>
      </c>
      <c r="L18" s="162">
        <f>GETPIVOTDATA("feb-27 ",TABLA!$B$3,"Nivel 4","5.- Otros ingresos de explotación")/1000</f>
        <v/>
      </c>
      <c r="M18" s="2" t="n">
        <v>0</v>
      </c>
      <c r="N18" s="138">
        <f>L18-M18</f>
        <v/>
      </c>
      <c r="O18" s="145">
        <f>+IF(IFERROR(L18/M18-1,"-")&lt;300%,IFERROR(L18/M18-1,"-"),"n.a.")</f>
        <v/>
      </c>
      <c r="P18" s="73">
        <f>L18</f>
        <v/>
      </c>
      <c r="Q18" s="141">
        <f>L18-P18</f>
        <v/>
      </c>
      <c r="R18" s="145">
        <f>+IF(IFERROR(L18/P18-1,"-")&lt;300%,IFERROR(L18/P18-1,"-"),"n.a.")</f>
        <v/>
      </c>
      <c r="T18" s="27" t="inlineStr">
        <is>
          <t>Otros Ingresos Operativos</t>
        </is>
      </c>
      <c r="U18" s="162">
        <f>GETPIVOTDATA("mar-27 ",TABLA!$B$3,"Nivel 4","5.- Otros ingresos de explotación")/1000</f>
        <v/>
      </c>
      <c r="V18" s="2" t="n">
        <v>0</v>
      </c>
      <c r="W18" s="138">
        <f>U18-V18</f>
        <v/>
      </c>
      <c r="X18" s="145">
        <f>+IF(IFERROR(U18/V18-1,"-")&lt;300%,IFERROR(U18/V18-1,"-"),"n.a.")</f>
        <v/>
      </c>
      <c r="Y18" s="73">
        <f>U18</f>
        <v/>
      </c>
      <c r="Z18" s="141">
        <f>U18-Y18</f>
        <v/>
      </c>
      <c r="AA18" s="145">
        <f>+IF(IFERROR(U18/Y18-1,"-")&lt;300%,IFERROR(U18/Y18-1,"-"),"n.a.")</f>
        <v/>
      </c>
      <c r="AB18" s="153" t="n"/>
      <c r="AC18" s="27" t="inlineStr">
        <is>
          <t>Otros Ingresos Operativos</t>
        </is>
      </c>
      <c r="AD18" s="162">
        <f>GETPIVOTDATA("abr-27 ",TABLA!$B$3,"Nivel 4","5.- Otros ingresos de explotación")/1000</f>
        <v/>
      </c>
      <c r="AE18" s="2" t="n">
        <v>0.75075</v>
      </c>
      <c r="AF18" s="138">
        <f>AD18-AE18</f>
        <v/>
      </c>
      <c r="AG18" s="145">
        <f>+IF(IFERROR(AD18/AE18-1,"-")&lt;300%,IFERROR(AD18/AE18-1,"-"),"n.a.")</f>
        <v/>
      </c>
      <c r="AH18" s="73">
        <f>AD18</f>
        <v/>
      </c>
      <c r="AI18" s="141">
        <f>AD18-AH18</f>
        <v/>
      </c>
      <c r="AJ18" s="145">
        <f>+IF(IFERROR(AD18/AH18-1,"-")&lt;300%,IFERROR(AD18/AH18-1,"-"),"n.a.")</f>
        <v/>
      </c>
      <c r="AK18" s="153" t="n"/>
      <c r="AL18" s="27" t="inlineStr">
        <is>
          <t>Otros Ingresos Operativos</t>
        </is>
      </c>
      <c r="AM18" s="162">
        <f>GETPIVOTDATA("may-27 ",TABLA!$B$3,"Nivel 4","5.- Otros ingresos de explotación")/1000</f>
        <v/>
      </c>
      <c r="AN18" s="2" t="n">
        <v>25.14075</v>
      </c>
      <c r="AO18" s="138">
        <f>AM18-AN18</f>
        <v/>
      </c>
      <c r="AP18" s="145">
        <f>+IF(IFERROR(AM18/AN18-1,"-")&lt;300%,IFERROR(AM18/AN18-1,"-"),"n.a.")</f>
        <v/>
      </c>
      <c r="AQ18" s="73">
        <f>AM18</f>
        <v/>
      </c>
      <c r="AR18" s="141">
        <f>AM18-AQ18</f>
        <v/>
      </c>
      <c r="AS18" s="145">
        <f>+IF(IFERROR(AM18/AQ18-1,"-")&lt;300%,IFERROR(AM18/AQ18-1,"-"),"n.a.")</f>
        <v/>
      </c>
      <c r="AT18" s="2" t="n"/>
      <c r="AU18" s="27" t="inlineStr">
        <is>
          <t>Otros Ingresos Operativos</t>
        </is>
      </c>
      <c r="AV18" s="162">
        <f>GETPIVOTDATA("jun-27 ",TABLA!$B$3,"Nivel 4","5.- Otros ingresos de explotación")/1000</f>
        <v/>
      </c>
      <c r="AW18" s="2" t="n">
        <v>22.9776</v>
      </c>
      <c r="AX18" s="138">
        <f>AV18-AW18</f>
        <v/>
      </c>
      <c r="AY18" s="145">
        <f>+IF(IFERROR(AV18/AW18-1,"-")&lt;300%,IFERROR(AV18/AW18-1,"-"),"n.a.")</f>
        <v/>
      </c>
      <c r="AZ18" s="73">
        <f>AV18</f>
        <v/>
      </c>
      <c r="BA18" s="141">
        <f>AV18-AZ18</f>
        <v/>
      </c>
      <c r="BB18" s="145">
        <f>+IF(IFERROR(AV18/AZ18-1,"-")&lt;300%,IFERROR(AV18/AZ18-1,"-"),"n.a.")</f>
        <v/>
      </c>
      <c r="BC18" s="2" t="n"/>
      <c r="BD18" s="27" t="inlineStr">
        <is>
          <t>Otros Ingresos Operativos</t>
        </is>
      </c>
      <c r="BE18" s="162">
        <f>GETPIVOTDATA("jul-27 ",TABLA!$B$3,"Nivel 4","5.- Otros ingresos de explotación")/1000</f>
        <v/>
      </c>
      <c r="BF18" s="2" t="n">
        <v>11.02724</v>
      </c>
      <c r="BG18" s="138">
        <f>BE18-BF18</f>
        <v/>
      </c>
      <c r="BH18" s="145">
        <f>+IF(IFERROR(BE18/BF18-1,"-")&lt;300%,IFERROR(BE18/BF18-1,"-"),"n.a.")</f>
        <v/>
      </c>
      <c r="BI18" s="73">
        <f>BE18</f>
        <v/>
      </c>
      <c r="BJ18" s="141">
        <f>BE18-BI18</f>
        <v/>
      </c>
      <c r="BK18" s="145">
        <f>+IF(IFERROR(BE18/BI18-1,"-")&lt;300%,IFERROR(BE18/BI18-1,"-"),"n.a.")</f>
        <v/>
      </c>
      <c r="BL18" s="2" t="n"/>
      <c r="BM18" s="27" t="inlineStr">
        <is>
          <t>Otros Ingresos Operativos</t>
        </is>
      </c>
      <c r="BN18" s="162">
        <f>GETPIVOTDATA("ago-27 ",TABLA!$B$3,"Nivel 4","5.- Otros ingresos de explotación")/1000</f>
        <v/>
      </c>
      <c r="BO18" s="2" t="n">
        <v>11.429</v>
      </c>
      <c r="BP18" s="138">
        <f>BN18-BO18</f>
        <v/>
      </c>
      <c r="BQ18" s="145">
        <f>+IF(IFERROR(BN18/BO18-1,"-")&lt;300%,IFERROR(BN18/BO18-1,"-"),"n.a.")</f>
        <v/>
      </c>
      <c r="BR18" s="73">
        <f>BN18</f>
        <v/>
      </c>
      <c r="BS18" s="141">
        <f>BN18-BR18</f>
        <v/>
      </c>
      <c r="BT18" s="145">
        <f>+IF(IFERROR(BN18/BR18-1,"-")&lt;300%,IFERROR(BN18/BR18-1,"-"),"n.a.")</f>
        <v/>
      </c>
      <c r="BV18" s="27" t="inlineStr">
        <is>
          <t>Otros Ingresos Operativos</t>
        </is>
      </c>
      <c r="BW18" s="162">
        <f>GETPIVOTDATA("sep-27 ",TABLA!$B$3,"Nivel 4","5.- Otros ingresos de explotación")/1000</f>
        <v/>
      </c>
      <c r="BX18" s="2" t="n">
        <v>16.253</v>
      </c>
      <c r="BY18" s="138">
        <f>BW18-BX18</f>
        <v/>
      </c>
      <c r="BZ18" s="145">
        <f>+IF(IFERROR(BW18/BX18-1,"-")&lt;300%,IFERROR(BW18/BX18-1,"-"),"n.a.")</f>
        <v/>
      </c>
      <c r="CA18" s="73">
        <f>BW18</f>
        <v/>
      </c>
      <c r="CB18" s="141">
        <f>BW18-CA18</f>
        <v/>
      </c>
      <c r="CC18" s="145">
        <f>+IF(IFERROR(BW18/CA18-1,"-")&lt;300%,IFERROR(BW18/CA18-1,"-"),"n.a.")</f>
        <v/>
      </c>
      <c r="CD18" s="147" t="n"/>
      <c r="CE18" s="27" t="inlineStr">
        <is>
          <t>Otros Ingresos Operativos</t>
        </is>
      </c>
      <c r="CF18" s="162">
        <f>GETPIVOTDATA("oct-27 ",TABLA!$B$3,"Nivel 4","5.- Otros ingresos de explotación")/1000</f>
        <v/>
      </c>
      <c r="CG18" s="2" t="n">
        <v>21.379</v>
      </c>
      <c r="CH18" s="138">
        <f>CF18-CG18</f>
        <v/>
      </c>
      <c r="CI18" s="145">
        <f>+IF(IFERROR(CF18/CG18-1,"-")&lt;300%,IFERROR(CF18/CG18-1,"-"),"n.a.")</f>
        <v/>
      </c>
      <c r="CJ18" s="73">
        <f>CF18</f>
        <v/>
      </c>
      <c r="CK18" s="141">
        <f>CF18-CJ18</f>
        <v/>
      </c>
      <c r="CL18" s="145">
        <f>+IF(IFERROR(CF18/CJ18-1,"-")&lt;300%,IFERROR(CF18/CJ18-1,"-"),"n.a.")</f>
        <v/>
      </c>
      <c r="CN18" s="27" t="inlineStr">
        <is>
          <t>Otros Ingresos Operativos</t>
        </is>
      </c>
      <c r="CO18" s="162">
        <f>GETPIVOTDATA("nov-27 ",TABLA!$B$3,"Nivel 4","5.- Otros ingresos de explotación")/1000</f>
        <v/>
      </c>
      <c r="CP18" s="2" t="n">
        <v>32.454</v>
      </c>
      <c r="CQ18" s="138">
        <f>CO18-CP18</f>
        <v/>
      </c>
      <c r="CR18" s="145">
        <f>+IF(IFERROR(CO18/CP18-1,"-")&lt;300%,IFERROR(CO18/CP18-1,"-"),"n.a.")</f>
        <v/>
      </c>
      <c r="CS18" s="73">
        <f>CO18</f>
        <v/>
      </c>
      <c r="CT18" s="141">
        <f>CO18-CS18</f>
        <v/>
      </c>
      <c r="CU18" s="145">
        <f>+IF(IFERROR(CO18/CS18-1,"-")&lt;300%,IFERROR(CO18/CS18-1,"-"),"n.a.")</f>
        <v/>
      </c>
      <c r="CW18" s="27" t="inlineStr">
        <is>
          <t>Otros Ingresos Operativos</t>
        </is>
      </c>
      <c r="CX18" s="162">
        <f>GETPIVOTDATA("dic-27 ",TABLA!$B$3,"Nivel 4","5.- Otros ingresos de explotación")/1000</f>
        <v/>
      </c>
      <c r="CY18" s="2" t="n">
        <v>27.15</v>
      </c>
      <c r="CZ18" s="138">
        <f>CX18-CY18</f>
        <v/>
      </c>
      <c r="DA18" s="145">
        <f>+IF(IFERROR(CX18/CY18-1,"-")&lt;300%,IFERROR(CX18/CY18-1,"-"),"n.a.")</f>
        <v/>
      </c>
      <c r="DB18" s="73">
        <f>CX18</f>
        <v/>
      </c>
      <c r="DC18" s="141">
        <f>CX18-DB18</f>
        <v/>
      </c>
      <c r="DD18" s="145">
        <f>+IF(IFERROR(CX18/DB18-1,"-")&lt;300%,IFERROR(CX18/DB18-1,"-"),"n.a.")</f>
        <v/>
      </c>
      <c r="DF18" s="27" t="inlineStr">
        <is>
          <t>Otros Ingresos Operativos</t>
        </is>
      </c>
      <c r="DG18" s="162">
        <f>GETPIVOTDATA("Total 2027 ",TABLA!$B$3,"Nivel 4","5.- Otros ingresos de explotación")/1000</f>
        <v/>
      </c>
      <c r="DH18" s="2">
        <f>CY18+CP18+CG18+BX18+BO18+BF18+AW18+AN18+AE18+V18+M18+D18</f>
        <v/>
      </c>
      <c r="DI18" s="138">
        <f>DG18-DH18</f>
        <v/>
      </c>
      <c r="DJ18" s="145">
        <f>+IF(IFERROR(DG18/DH18-1,"-")&lt;300%,IFERROR(DG18/DH18-1,"-"),"n.a.")</f>
        <v/>
      </c>
      <c r="DK18" s="73">
        <f>DG18</f>
        <v/>
      </c>
      <c r="DL18" s="141">
        <f>DG18-DK18</f>
        <v/>
      </c>
      <c r="DM18" s="145">
        <f>+IF(IFERROR(DG18/DK18-1,"-")&lt;300%,IFERROR(DG18/DK18-1,"-"),"n.a.")</f>
        <v/>
      </c>
    </row>
    <row r="19">
      <c r="B19" s="27" t="inlineStr">
        <is>
          <t>Otros Gastos Operativos</t>
        </is>
      </c>
      <c r="C19" s="2">
        <f>GETPIVOTDATA("ene-27 ",TABLA!$B$3,"Nivel 4","7.- Otros gastos de explotación")/1000</f>
        <v/>
      </c>
      <c r="D19" s="2" t="n">
        <v>-103.45176</v>
      </c>
      <c r="E19" s="65">
        <f>C19-D19</f>
        <v/>
      </c>
      <c r="F19" s="145">
        <f>+IF(IFERROR(C19/D19-1,"-")&lt;300%,IFERROR(C19/D19-1,"-"),"n.a.")</f>
        <v/>
      </c>
      <c r="G19" s="73">
        <f>C19</f>
        <v/>
      </c>
      <c r="H19" s="65">
        <f>C19-G19</f>
        <v/>
      </c>
      <c r="I19" s="145">
        <f>+IF(IFERROR(C19/G19-1,"-")&lt;300%,IFERROR(C19/G19-1,"-"),"n.a.")</f>
        <v/>
      </c>
      <c r="K19" s="27" t="inlineStr">
        <is>
          <t>Otros Gastos Operativos</t>
        </is>
      </c>
      <c r="L19" s="2">
        <f>GETPIVOTDATA("feb-27 ",TABLA!$B$3,"Nivel 4","7.- Otros gastos de explotación")/1000</f>
        <v/>
      </c>
      <c r="M19" s="2" t="n">
        <v>-62.49888</v>
      </c>
      <c r="N19" s="65">
        <f>L19-M19</f>
        <v/>
      </c>
      <c r="O19" s="145">
        <f>+IF(IFERROR(L19/M19-1,"-")&lt;300%,IFERROR(L19/M19-1,"-"),"n.a.")</f>
        <v/>
      </c>
      <c r="P19" s="73">
        <f>L19</f>
        <v/>
      </c>
      <c r="Q19" s="65">
        <f>L19-P19</f>
        <v/>
      </c>
      <c r="R19" s="145">
        <f>+IF(IFERROR(L19/P19-1,"-")&lt;300%,IFERROR(L19/P19-1,"-"),"n.a.")</f>
        <v/>
      </c>
      <c r="T19" s="27" t="inlineStr">
        <is>
          <t>Otros Gastos Operativos</t>
        </is>
      </c>
      <c r="U19" s="2">
        <f>GETPIVOTDATA("mar-27 ",TABLA!$B$3,"Nivel 4","7.- Otros gastos de explotación")/1000</f>
        <v/>
      </c>
      <c r="V19" s="2" t="n">
        <v>-110.60627</v>
      </c>
      <c r="W19" s="65">
        <f>U19-V19</f>
        <v/>
      </c>
      <c r="X19" s="145">
        <f>+IF(IFERROR(U19/V19-1,"-")&lt;300%,IFERROR(U19/V19-1,"-"),"n.a.")</f>
        <v/>
      </c>
      <c r="Y19" s="73">
        <f>U19</f>
        <v/>
      </c>
      <c r="Z19" s="65">
        <f>U19-Y19</f>
        <v/>
      </c>
      <c r="AA19" s="145">
        <f>+IF(IFERROR(U19/Y19-1,"-")&lt;300%,IFERROR(U19/Y19-1,"-"),"n.a.")</f>
        <v/>
      </c>
      <c r="AB19" s="140" t="n"/>
      <c r="AC19" s="27" t="inlineStr">
        <is>
          <t>Otros Gastos Operativos</t>
        </is>
      </c>
      <c r="AD19" s="2">
        <f>GETPIVOTDATA("abr-27 ",TABLA!$B$3,"Nivel 4","7.- Otros gastos de explotación")/1000</f>
        <v/>
      </c>
      <c r="AE19" s="2" t="n">
        <v>-107.70665</v>
      </c>
      <c r="AF19" s="65">
        <f>AD19-AE19</f>
        <v/>
      </c>
      <c r="AG19" s="145">
        <f>+IF(IFERROR(AD19/AE19-1,"-")&lt;300%,IFERROR(AD19/AE19-1,"-"),"n.a.")</f>
        <v/>
      </c>
      <c r="AH19" s="73">
        <f>AD19</f>
        <v/>
      </c>
      <c r="AI19" s="65">
        <f>AD19-AH19</f>
        <v/>
      </c>
      <c r="AJ19" s="145">
        <f>+IF(IFERROR(AD19/AH19-1,"-")&lt;300%,IFERROR(AD19/AH19-1,"-"),"n.a.")</f>
        <v/>
      </c>
      <c r="AK19" s="140" t="n"/>
      <c r="AL19" s="27" t="inlineStr">
        <is>
          <t>Otros Gastos Operativos</t>
        </is>
      </c>
      <c r="AM19" s="2">
        <f>GETPIVOTDATA("may-27 ",TABLA!$B$3,"Nivel 4","7.- Otros gastos de explotación")/1000</f>
        <v/>
      </c>
      <c r="AN19" s="2" t="n">
        <v>-123.39208</v>
      </c>
      <c r="AO19" s="65">
        <f>AM19-AN19</f>
        <v/>
      </c>
      <c r="AP19" s="145">
        <f>+IF(IFERROR(AM19/AN19-1,"-")&lt;300%,IFERROR(AM19/AN19-1,"-"),"n.a.")</f>
        <v/>
      </c>
      <c r="AQ19" s="73">
        <f>AM19</f>
        <v/>
      </c>
      <c r="AR19" s="65">
        <f>AM19-AQ19</f>
        <v/>
      </c>
      <c r="AS19" s="145">
        <f>+IF(IFERROR(AM19/AQ19-1,"-")&lt;300%,IFERROR(AM19/AQ19-1,"-"),"n.a.")</f>
        <v/>
      </c>
      <c r="AT19" s="160" t="n"/>
      <c r="AU19" s="27" t="inlineStr">
        <is>
          <t>Otros Gastos Operativos</t>
        </is>
      </c>
      <c r="AV19" s="2">
        <f>GETPIVOTDATA("jun-27 ",TABLA!$B$3,"Nivel 4","7.- Otros gastos de explotación")/1000</f>
        <v/>
      </c>
      <c r="AW19" s="2" t="n">
        <v>-175.0137600000001</v>
      </c>
      <c r="AX19" s="65">
        <f>AV19-AW19</f>
        <v/>
      </c>
      <c r="AY19" s="145">
        <f>+IF(IFERROR(AV19/AW19-1,"-")&lt;300%,IFERROR(AV19/AW19-1,"-"),"n.a.")</f>
        <v/>
      </c>
      <c r="AZ19" s="73">
        <f>AV19</f>
        <v/>
      </c>
      <c r="BA19" s="65">
        <f>AV19-AZ19</f>
        <v/>
      </c>
      <c r="BB19" s="145">
        <f>+IF(IFERROR(AV19/AZ19-1,"-")&lt;300%,IFERROR(AV19/AZ19-1,"-"),"n.a.")</f>
        <v/>
      </c>
      <c r="BC19" s="160" t="n"/>
      <c r="BD19" s="27" t="inlineStr">
        <is>
          <t>Otros Gastos Operativos</t>
        </is>
      </c>
      <c r="BE19" s="2">
        <f>GETPIVOTDATA("jul-27 ",TABLA!$B$3,"Nivel 4","7.- Otros gastos de explotación")/1000</f>
        <v/>
      </c>
      <c r="BF19" s="2" t="n">
        <v>-161.0517442189972</v>
      </c>
      <c r="BG19" s="65">
        <f>BE19-BF19</f>
        <v/>
      </c>
      <c r="BH19" s="145">
        <f>+IF(IFERROR(BE19/BF19-1,"-")&lt;300%,IFERROR(BE19/BF19-1,"-"),"n.a.")</f>
        <v/>
      </c>
      <c r="BI19" s="73">
        <f>BE19</f>
        <v/>
      </c>
      <c r="BJ19" s="65">
        <f>BE19-BI19</f>
        <v/>
      </c>
      <c r="BK19" s="145">
        <f>+IF(IFERROR(BE19/BI19-1,"-")&lt;300%,IFERROR(BE19/BI19-1,"-"),"n.a.")</f>
        <v/>
      </c>
      <c r="BL19" s="157" t="n"/>
      <c r="BM19" s="27" t="inlineStr">
        <is>
          <t>Otros Gastos Operativos</t>
        </is>
      </c>
      <c r="BN19" s="2">
        <f>GETPIVOTDATA("ago-27 ",TABLA!$B$3,"Nivel 4","7.- Otros gastos de explotación")/1000</f>
        <v/>
      </c>
      <c r="BO19" s="2" t="n">
        <v>-130.0606610312962</v>
      </c>
      <c r="BP19" s="65">
        <f>BN19-BO19</f>
        <v/>
      </c>
      <c r="BQ19" s="145">
        <f>+IF(IFERROR(BN19/BO19-1,"-")&lt;300%,IFERROR(BN19/BO19-1,"-"),"n.a.")</f>
        <v/>
      </c>
      <c r="BR19" s="73">
        <f>BN19</f>
        <v/>
      </c>
      <c r="BS19" s="65">
        <f>BN19-BR19</f>
        <v/>
      </c>
      <c r="BT19" s="145">
        <f>+IF(IFERROR(BN19/BR19-1,"-")&lt;300%,IFERROR(BN19/BR19-1,"-"),"n.a.")</f>
        <v/>
      </c>
      <c r="BV19" s="27" t="inlineStr">
        <is>
          <t>Otros Gastos Operativos</t>
        </is>
      </c>
      <c r="BW19" s="2">
        <f>GETPIVOTDATA("sep-27 ",TABLA!$B$3,"Nivel 4","7.- Otros gastos de explotación")/1000</f>
        <v/>
      </c>
      <c r="BX19" s="2" t="n">
        <v>-120.80832</v>
      </c>
      <c r="BY19" s="65">
        <f>BW19-BX19</f>
        <v/>
      </c>
      <c r="BZ19" s="145">
        <f>+IF(IFERROR(BW19/BX19-1,"-")&lt;300%,IFERROR(BW19/BX19-1,"-"),"n.a.")</f>
        <v/>
      </c>
      <c r="CA19" s="73">
        <f>BW19</f>
        <v/>
      </c>
      <c r="CB19" s="65">
        <f>BW19-CA19</f>
        <v/>
      </c>
      <c r="CC19" s="145">
        <f>+IF(IFERROR(BW19/CA19-1,"-")&lt;300%,IFERROR(BW19/CA19-1,"-"),"n.a.")</f>
        <v/>
      </c>
      <c r="CD19" s="163" t="n"/>
      <c r="CE19" s="27" t="inlineStr">
        <is>
          <t>Otros Gastos Operativos</t>
        </is>
      </c>
      <c r="CF19" s="2">
        <f>GETPIVOTDATA("oct-27 ",TABLA!$B$3,"Nivel 4","7.- Otros gastos de explotación")/1000</f>
        <v/>
      </c>
      <c r="CG19" s="2" t="n">
        <v>-149.47019</v>
      </c>
      <c r="CH19" s="65">
        <f>CF19-CG19</f>
        <v/>
      </c>
      <c r="CI19" s="145">
        <f>+IF(IFERROR(CF19/CG19-1,"-")&lt;300%,IFERROR(CF19/CG19-1,"-"),"n.a.")</f>
        <v/>
      </c>
      <c r="CJ19" s="73">
        <f>CF19</f>
        <v/>
      </c>
      <c r="CK19" s="65">
        <f>CF19-CJ19</f>
        <v/>
      </c>
      <c r="CL19" s="145">
        <f>+IF(IFERROR(CF19/CJ19-1,"-")&lt;300%,IFERROR(CF19/CJ19-1,"-"),"n.a.")</f>
        <v/>
      </c>
      <c r="CN19" s="27" t="inlineStr">
        <is>
          <t>Otros Gastos Operativos</t>
        </is>
      </c>
      <c r="CO19" s="2">
        <f>GETPIVOTDATA("nov-27 ",TABLA!$B$3,"Nivel 4","7.- Otros gastos de explotación")/1000</f>
        <v/>
      </c>
      <c r="CP19" s="2" t="n">
        <v>-162.36942</v>
      </c>
      <c r="CQ19" s="65">
        <f>CO19-CP19</f>
        <v/>
      </c>
      <c r="CR19" s="145">
        <f>+IF(IFERROR(CO19/CP19-1,"-")&lt;300%,IFERROR(CO19/CP19-1,"-"),"n.a.")</f>
        <v/>
      </c>
      <c r="CS19" s="73">
        <f>CO19</f>
        <v/>
      </c>
      <c r="CT19" s="65">
        <f>CO19-CS19</f>
        <v/>
      </c>
      <c r="CU19" s="145">
        <f>+IF(IFERROR(CO19/CS19-1,"-")&lt;300%,IFERROR(CO19/CS19-1,"-"),"n.a.")</f>
        <v/>
      </c>
      <c r="CW19" s="27" t="inlineStr">
        <is>
          <t>Otros Gastos Operativos</t>
        </is>
      </c>
      <c r="CX19" s="2">
        <f>GETPIVOTDATA("dic-27 ",TABLA!$B$3,"Nivel 4","7.- Otros gastos de explotación")/1000</f>
        <v/>
      </c>
      <c r="CY19" s="2" t="n">
        <v>-277.5962900000001</v>
      </c>
      <c r="CZ19" s="65">
        <f>CX19-CY19</f>
        <v/>
      </c>
      <c r="DA19" s="145">
        <f>+IF(IFERROR(CX19/CY19-1,"-")&lt;300%,IFERROR(CX19/CY19-1,"-"),"n.a.")</f>
        <v/>
      </c>
      <c r="DB19" s="73">
        <f>CX19</f>
        <v/>
      </c>
      <c r="DC19" s="65">
        <f>CX19-DB19</f>
        <v/>
      </c>
      <c r="DD19" s="145">
        <f>+IF(IFERROR(CX19/DB19-1,"-")&lt;300%,IFERROR(CX19/DB19-1,"-"),"n.a.")</f>
        <v/>
      </c>
      <c r="DF19" s="27" t="inlineStr">
        <is>
          <t>Otros Gastos Operativos</t>
        </is>
      </c>
      <c r="DG19" s="2">
        <f>GETPIVOTDATA("Total 2027 ",TABLA!$B$3,"Nivel 4","7.- Otros gastos de explotación")/1000</f>
        <v/>
      </c>
      <c r="DH19" s="2">
        <f>CY19+CP19+CG19+BX19+BO19+BF19+AW19+AN19+AE19+V19+M19+D19</f>
        <v/>
      </c>
      <c r="DI19" s="65">
        <f>DG19-DH19</f>
        <v/>
      </c>
      <c r="DJ19" s="145">
        <f>+IF(IFERROR(DG19/DH19-1,"-")&lt;300%,IFERROR(DG19/DH19-1,"-"),"n.a.")</f>
        <v/>
      </c>
      <c r="DK19" s="73">
        <f>DG19</f>
        <v/>
      </c>
      <c r="DL19" s="65">
        <f>DG19-DK19</f>
        <v/>
      </c>
      <c r="DM19" s="145">
        <f>+IF(IFERROR(DG19/DK19-1,"-")&lt;300%,IFERROR(DG19/DK19-1,"-"),"n.a.")</f>
        <v/>
      </c>
    </row>
    <row r="20">
      <c r="B20" s="52" t="inlineStr">
        <is>
          <t>Operating Expenses</t>
        </is>
      </c>
      <c r="C20" s="3">
        <f>SUM(C18:C19)</f>
        <v/>
      </c>
      <c r="D20" s="3" t="n">
        <v>-103.45176</v>
      </c>
      <c r="E20" s="3">
        <f>C20-D20</f>
        <v/>
      </c>
      <c r="F20" s="164">
        <f>+IF(IFERROR(C20/D20-1,"-")&lt;300%,IFERROR(C20/D20-1,"-"),"n.a.")</f>
        <v/>
      </c>
      <c r="G20" s="3">
        <f>SUM(G18:G19)</f>
        <v/>
      </c>
      <c r="H20" s="3">
        <f>C20-G20</f>
        <v/>
      </c>
      <c r="I20" s="164">
        <f>+IF(IFERROR(C20/G20-1,"-")&lt;300%,IFERROR(C20/G20-1,"-"),"n.a.")</f>
        <v/>
      </c>
      <c r="K20" s="52" t="inlineStr">
        <is>
          <t>Operating Expenses</t>
        </is>
      </c>
      <c r="L20" s="3">
        <f>SUM(L18:L19)</f>
        <v/>
      </c>
      <c r="M20" s="3" t="n">
        <v>-62.49888</v>
      </c>
      <c r="N20" s="3">
        <f>L20-M20</f>
        <v/>
      </c>
      <c r="O20" s="164">
        <f>+IF(IFERROR(L20/M20-1,"-")&lt;300%,IFERROR(L20/M20-1,"-"),"n.a.")</f>
        <v/>
      </c>
      <c r="P20" s="3">
        <f>SUM(P18:P19)</f>
        <v/>
      </c>
      <c r="Q20" s="3">
        <f>L20-P20</f>
        <v/>
      </c>
      <c r="R20" s="164">
        <f>+IF(IFERROR(L20/P20-1,"-")&lt;300%,IFERROR(L20/P20-1,"-"),"n.a.")</f>
        <v/>
      </c>
      <c r="T20" s="52" t="inlineStr">
        <is>
          <t>Operating Expenses</t>
        </is>
      </c>
      <c r="U20" s="3">
        <f>SUM(U18:U19)</f>
        <v/>
      </c>
      <c r="V20" s="3" t="n">
        <v>-110.60627</v>
      </c>
      <c r="W20" s="3">
        <f>U20-V20</f>
        <v/>
      </c>
      <c r="X20" s="164">
        <f>+IF(IFERROR(U20/V20-1,"-")&lt;300%,IFERROR(U20/V20-1,"-"),"n.a.")</f>
        <v/>
      </c>
      <c r="Y20" s="3">
        <f>SUM(Y18:Y19)</f>
        <v/>
      </c>
      <c r="Z20" s="3">
        <f>U20-Y20</f>
        <v/>
      </c>
      <c r="AA20" s="164">
        <f>+IF(IFERROR(U20/Y20-1,"-")&lt;300%,IFERROR(U20/Y20-1,"-"),"n.a.")</f>
        <v/>
      </c>
      <c r="AB20" s="165" t="n"/>
      <c r="AC20" s="52" t="inlineStr">
        <is>
          <t>Operating Expenses</t>
        </is>
      </c>
      <c r="AD20" s="3">
        <f>SUM(AD18:AD19)</f>
        <v/>
      </c>
      <c r="AE20" s="3" t="n">
        <v>-106.9559</v>
      </c>
      <c r="AF20" s="3">
        <f>AD20-AE20</f>
        <v/>
      </c>
      <c r="AG20" s="164">
        <f>+IF(IFERROR(AD20/AE20-1,"-")&lt;300%,IFERROR(AD20/AE20-1,"-"),"n.a.")</f>
        <v/>
      </c>
      <c r="AH20" s="3">
        <f>SUM(AH18:AH19)</f>
        <v/>
      </c>
      <c r="AI20" s="3">
        <f>AD20-AH20</f>
        <v/>
      </c>
      <c r="AJ20" s="164">
        <f>+IF(IFERROR(AD20/AH20-1,"-")&lt;300%,IFERROR(AD20/AH20-1,"-"),"n.a.")</f>
        <v/>
      </c>
      <c r="AK20" s="165" t="n"/>
      <c r="AL20" s="52" t="inlineStr">
        <is>
          <t>Operating Expenses</t>
        </is>
      </c>
      <c r="AM20" s="3">
        <f>SUM(AM18:AM19)</f>
        <v/>
      </c>
      <c r="AN20" s="3" t="n">
        <v>-98.25132999999998</v>
      </c>
      <c r="AO20" s="3">
        <f>AM20-AN20</f>
        <v/>
      </c>
      <c r="AP20" s="164">
        <f>+IF(IFERROR(AM20/AN20-1,"-")&lt;300%,IFERROR(AM20/AN20-1,"-"),"n.a.")</f>
        <v/>
      </c>
      <c r="AQ20" s="3">
        <f>SUM(AQ18:AQ19)</f>
        <v/>
      </c>
      <c r="AR20" s="3">
        <f>AM20-AQ20</f>
        <v/>
      </c>
      <c r="AS20" s="164">
        <f>+IF(IFERROR(AM20/AQ20-1,"-")&lt;300%,IFERROR(AM20/AQ20-1,"-"),"n.a.")</f>
        <v/>
      </c>
      <c r="AT20" s="128" t="n"/>
      <c r="AU20" s="52" t="inlineStr">
        <is>
          <t>Operating Expenses</t>
        </is>
      </c>
      <c r="AV20" s="3">
        <f>SUM(AV18:AV19)</f>
        <v/>
      </c>
      <c r="AW20" s="3" t="n">
        <v>-152.0361600000001</v>
      </c>
      <c r="AX20" s="3">
        <f>AV20-AW20</f>
        <v/>
      </c>
      <c r="AY20" s="164">
        <f>+IF(IFERROR(AV20/AW20-1,"-")&lt;300%,IFERROR(AV20/AW20-1,"-"),"n.a.")</f>
        <v/>
      </c>
      <c r="AZ20" s="3">
        <f>SUM(AZ18:AZ19)</f>
        <v/>
      </c>
      <c r="BA20" s="3">
        <f>AV20-AZ20</f>
        <v/>
      </c>
      <c r="BB20" s="164">
        <f>+IF(IFERROR(AV20/AZ20-1,"-")&lt;300%,IFERROR(AV20/AZ20-1,"-"),"n.a.")</f>
        <v/>
      </c>
      <c r="BC20" s="128" t="n"/>
      <c r="BD20" s="52" t="inlineStr">
        <is>
          <t>Operating Expenses</t>
        </is>
      </c>
      <c r="BE20" s="3">
        <f>SUM(BE18:BE19)</f>
        <v/>
      </c>
      <c r="BF20" s="3" t="n">
        <v>-150.0245042189972</v>
      </c>
      <c r="BG20" s="3">
        <f>BE20-BF20</f>
        <v/>
      </c>
      <c r="BH20" s="164">
        <f>+IF(IFERROR(BE20/BF20-1,"-")&lt;300%,IFERROR(BE20/BF20-1,"-"),"n.a.")</f>
        <v/>
      </c>
      <c r="BI20" s="3">
        <f>SUM(BI18:BI19)</f>
        <v/>
      </c>
      <c r="BJ20" s="3">
        <f>BE20-BI20</f>
        <v/>
      </c>
      <c r="BK20" s="164">
        <f>+IF(IFERROR(BE20/BI20-1,"-")&lt;300%,IFERROR(BE20/BI20-1,"-"),"n.a.")</f>
        <v/>
      </c>
      <c r="BL20" s="128" t="n"/>
      <c r="BM20" s="52" t="inlineStr">
        <is>
          <t>Operating Expenses</t>
        </is>
      </c>
      <c r="BN20" s="3">
        <f>SUM(BN18:BN19)</f>
        <v/>
      </c>
      <c r="BO20" s="3" t="n">
        <v>-118.6316610312962</v>
      </c>
      <c r="BP20" s="3">
        <f>BN20-BO20</f>
        <v/>
      </c>
      <c r="BQ20" s="164">
        <f>+IF(IFERROR(BN20/BO20-1,"-")&lt;300%,IFERROR(BN20/BO20-1,"-"),"n.a.")</f>
        <v/>
      </c>
      <c r="BR20" s="3">
        <f>SUM(BR18:BR19)</f>
        <v/>
      </c>
      <c r="BS20" s="3">
        <f>BN20-BR20</f>
        <v/>
      </c>
      <c r="BT20" s="164">
        <f>+IF(IFERROR(BN20/BR20-1,"-")&lt;300%,IFERROR(BN20/BR20-1,"-"),"n.a.")</f>
        <v/>
      </c>
      <c r="BV20" s="52" t="inlineStr">
        <is>
          <t>Operating Expenses</t>
        </is>
      </c>
      <c r="BW20" s="3">
        <f>SUM(BW18:BW19)</f>
        <v/>
      </c>
      <c r="BX20" s="3" t="n">
        <v>-104.55532</v>
      </c>
      <c r="BY20" s="3">
        <f>BW20-BX20</f>
        <v/>
      </c>
      <c r="BZ20" s="164">
        <f>+IF(IFERROR(BW20/BX20-1,"-")&lt;300%,IFERROR(BW20/BX20-1,"-"),"n.a.")</f>
        <v/>
      </c>
      <c r="CA20" s="3">
        <f>SUM(CA18:CA19)</f>
        <v/>
      </c>
      <c r="CB20" s="3">
        <f>BW20-CA20</f>
        <v/>
      </c>
      <c r="CC20" s="164">
        <f>+IF(IFERROR(BW20/CA20-1,"-")&lt;300%,IFERROR(BW20/CA20-1,"-"),"n.a.")</f>
        <v/>
      </c>
      <c r="CD20" s="144" t="n"/>
      <c r="CE20" s="52" t="inlineStr">
        <is>
          <t>Operating Expenses</t>
        </is>
      </c>
      <c r="CF20" s="3">
        <f>SUM(CF18:CF19)</f>
        <v/>
      </c>
      <c r="CG20" s="3" t="n">
        <v>-128.09119</v>
      </c>
      <c r="CH20" s="3">
        <f>CF20-CG20</f>
        <v/>
      </c>
      <c r="CI20" s="164">
        <f>+IF(IFERROR(CF20/CG20-1,"-")&lt;300%,IFERROR(CF20/CG20-1,"-"),"n.a.")</f>
        <v/>
      </c>
      <c r="CJ20" s="3">
        <f>SUM(CJ18:CJ19)</f>
        <v/>
      </c>
      <c r="CK20" s="3">
        <f>CF20-CJ20</f>
        <v/>
      </c>
      <c r="CL20" s="164">
        <f>+IF(IFERROR(CF20/CJ20-1,"-")&lt;300%,IFERROR(CF20/CJ20-1,"-"),"n.a.")</f>
        <v/>
      </c>
      <c r="CN20" s="52" t="inlineStr">
        <is>
          <t>Operating Expenses</t>
        </is>
      </c>
      <c r="CO20" s="3">
        <f>SUM(CO18:CO19)</f>
        <v/>
      </c>
      <c r="CP20" s="3" t="n">
        <v>-129.91542</v>
      </c>
      <c r="CQ20" s="3">
        <f>CO20-CP20</f>
        <v/>
      </c>
      <c r="CR20" s="164">
        <f>+IF(IFERROR(CO20/CP20-1,"-")&lt;300%,IFERROR(CO20/CP20-1,"-"),"n.a.")</f>
        <v/>
      </c>
      <c r="CS20" s="3">
        <f>SUM(CS18:CS19)</f>
        <v/>
      </c>
      <c r="CT20" s="3">
        <f>CO20-CS20</f>
        <v/>
      </c>
      <c r="CU20" s="164">
        <f>+IF(IFERROR(CO20/CS20-1,"-")&lt;300%,IFERROR(CO20/CS20-1,"-"),"n.a.")</f>
        <v/>
      </c>
      <c r="CW20" s="52" t="inlineStr">
        <is>
          <t>Operating Expenses</t>
        </is>
      </c>
      <c r="CX20" s="3">
        <f>SUM(CX18:CX19)</f>
        <v/>
      </c>
      <c r="CY20" s="3" t="n">
        <v>-250.4462900000001</v>
      </c>
      <c r="CZ20" s="3">
        <f>CX20-CY20</f>
        <v/>
      </c>
      <c r="DA20" s="164">
        <f>+IF(IFERROR(CX20/CY20-1,"-")&lt;300%,IFERROR(CX20/CY20-1,"-"),"n.a.")</f>
        <v/>
      </c>
      <c r="DB20" s="3">
        <f>SUM(DB18:DB19)</f>
        <v/>
      </c>
      <c r="DC20" s="3">
        <f>CX20-DB20</f>
        <v/>
      </c>
      <c r="DD20" s="164">
        <f>+IF(IFERROR(CX20/DB20-1,"-")&lt;300%,IFERROR(CX20/DB20-1,"-"),"n.a.")</f>
        <v/>
      </c>
      <c r="DF20" s="52" t="inlineStr">
        <is>
          <t>Operating Expenses</t>
        </is>
      </c>
      <c r="DG20" s="3">
        <f>SUM(DG18:DG19)</f>
        <v/>
      </c>
      <c r="DH20" s="3">
        <f>SUM(DH18:DH19)</f>
        <v/>
      </c>
      <c r="DI20" s="3">
        <f>DG20-DH20</f>
        <v/>
      </c>
      <c r="DJ20" s="164">
        <f>+IF(IFERROR(DG20/DH20-1,"-")&lt;300%,IFERROR(DG20/DH20-1,"-"),"n.a.")</f>
        <v/>
      </c>
      <c r="DK20" s="3">
        <f>SUM(DK18:DK19)</f>
        <v/>
      </c>
      <c r="DL20" s="3">
        <f>DG20-DK20</f>
        <v/>
      </c>
      <c r="DM20" s="164">
        <f>+IF(IFERROR(DG20/DK20-1,"-")&lt;300%,IFERROR(DG20/DK20-1,"-"),"n.a.")</f>
        <v/>
      </c>
    </row>
    <row r="21">
      <c r="B21" s="27" t="inlineStr">
        <is>
          <t>% of Revenue</t>
        </is>
      </c>
      <c r="C21" s="157">
        <f>C20/C10</f>
        <v/>
      </c>
      <c r="D21" s="157" t="n">
        <v>-0.1051534445227641</v>
      </c>
      <c r="E21" s="160" t="n"/>
      <c r="F21" s="145" t="n"/>
      <c r="G21" s="157">
        <f>G20/G10</f>
        <v/>
      </c>
      <c r="H21" s="160" t="n"/>
      <c r="I21" s="145" t="n"/>
      <c r="K21" s="27" t="inlineStr">
        <is>
          <t>% of Revenue</t>
        </is>
      </c>
      <c r="L21" s="157">
        <f>L20/L10</f>
        <v/>
      </c>
      <c r="M21" s="157" t="n">
        <v>-0.04250386528576728</v>
      </c>
      <c r="N21" s="160" t="n"/>
      <c r="O21" s="145" t="n"/>
      <c r="P21" s="157">
        <f>P20/P10</f>
        <v/>
      </c>
      <c r="Q21" s="160" t="n"/>
      <c r="R21" s="145" t="n"/>
      <c r="T21" s="27" t="inlineStr">
        <is>
          <t>% of Revenue</t>
        </is>
      </c>
      <c r="U21" s="157">
        <f>U20/U10</f>
        <v/>
      </c>
      <c r="V21" s="157" t="n">
        <v>-0.07211307450610187</v>
      </c>
      <c r="W21" s="160" t="n"/>
      <c r="X21" s="145" t="n"/>
      <c r="Y21" s="157">
        <f>Y20/Y10</f>
        <v/>
      </c>
      <c r="Z21" s="160" t="n"/>
      <c r="AA21" s="145" t="n"/>
      <c r="AB21" s="140" t="n"/>
      <c r="AC21" s="27" t="inlineStr">
        <is>
          <t>% of Revenue</t>
        </is>
      </c>
      <c r="AD21" s="157">
        <f>AD20/AD10</f>
        <v/>
      </c>
      <c r="AE21" s="157" t="n">
        <v>-0.07314993134613043</v>
      </c>
      <c r="AF21" s="160" t="n"/>
      <c r="AG21" s="145" t="n"/>
      <c r="AH21" s="157">
        <f>AH20/AH10</f>
        <v/>
      </c>
      <c r="AI21" s="160" t="n"/>
      <c r="AJ21" s="145" t="n"/>
      <c r="AK21" s="140" t="n"/>
      <c r="AL21" s="27" t="inlineStr">
        <is>
          <t>% of Revenue</t>
        </is>
      </c>
      <c r="AM21" s="157">
        <f>AM20/AM10</f>
        <v/>
      </c>
      <c r="AN21" s="157" t="n">
        <v>-0.05101500812145338</v>
      </c>
      <c r="AO21" s="160" t="n"/>
      <c r="AP21" s="145" t="n"/>
      <c r="AQ21" s="157">
        <f>AQ20/AQ10</f>
        <v/>
      </c>
      <c r="AR21" s="160" t="n"/>
      <c r="AS21" s="145" t="n"/>
      <c r="AT21" s="160" t="n"/>
      <c r="AU21" s="27" t="inlineStr">
        <is>
          <t>% of Revenue</t>
        </is>
      </c>
      <c r="AV21" s="157">
        <f>AV20/AV10</f>
        <v/>
      </c>
      <c r="AW21" s="157" t="n">
        <v>-0.07748005779636456</v>
      </c>
      <c r="AX21" s="160" t="n"/>
      <c r="AY21" s="145" t="n"/>
      <c r="AZ21" s="157">
        <f>AZ20/AZ10</f>
        <v/>
      </c>
      <c r="BA21" s="160" t="n"/>
      <c r="BB21" s="145" t="n"/>
      <c r="BC21" s="160" t="n"/>
      <c r="BD21" s="27" t="inlineStr">
        <is>
          <t>% of Revenue</t>
        </is>
      </c>
      <c r="BE21" s="157">
        <f>BE20/BE10</f>
        <v/>
      </c>
      <c r="BF21" s="157" t="n">
        <v>-0.1162391140336612</v>
      </c>
      <c r="BG21" s="160" t="n"/>
      <c r="BH21" s="145" t="n"/>
      <c r="BI21" s="157">
        <f>BI20/BI10</f>
        <v/>
      </c>
      <c r="BJ21" s="160" t="n"/>
      <c r="BK21" s="145" t="n"/>
      <c r="BL21" s="157" t="n"/>
      <c r="BM21" s="27" t="inlineStr">
        <is>
          <t>% of Revenue</t>
        </is>
      </c>
      <c r="BN21" s="157">
        <f>BN20/BN10</f>
        <v/>
      </c>
      <c r="BO21" s="157" t="n">
        <v>-0.1505277069072523</v>
      </c>
      <c r="BP21" s="160" t="n"/>
      <c r="BQ21" s="145" t="n"/>
      <c r="BR21" s="157">
        <f>BR20/BR10</f>
        <v/>
      </c>
      <c r="BS21" s="160" t="n"/>
      <c r="BT21" s="145" t="n"/>
      <c r="BV21" s="27" t="inlineStr">
        <is>
          <t>% of Revenue</t>
        </is>
      </c>
      <c r="BW21" s="157">
        <f>BW20/BW10</f>
        <v/>
      </c>
      <c r="BX21" s="157" t="n">
        <v>-0.2164331177861627</v>
      </c>
      <c r="BY21" s="160" t="n"/>
      <c r="BZ21" s="145" t="n"/>
      <c r="CA21" s="157">
        <f>CA20/CA10</f>
        <v/>
      </c>
      <c r="CB21" s="160" t="n"/>
      <c r="CC21" s="145" t="n"/>
      <c r="CD21" s="147" t="n"/>
      <c r="CE21" s="27" t="inlineStr">
        <is>
          <t>% of Revenue</t>
        </is>
      </c>
      <c r="CF21" s="157">
        <f>CF20/CF10</f>
        <v/>
      </c>
      <c r="CG21" s="157" t="n">
        <v>-0.1404423950261509</v>
      </c>
      <c r="CH21" s="160" t="n"/>
      <c r="CI21" s="145" t="n"/>
      <c r="CJ21" s="157">
        <f>CJ20/CJ10</f>
        <v/>
      </c>
      <c r="CK21" s="160" t="n"/>
      <c r="CL21" s="145" t="n"/>
      <c r="CN21" s="27" t="inlineStr">
        <is>
          <t>% of Revenue</t>
        </is>
      </c>
      <c r="CO21" s="157">
        <f>CO20/CO10</f>
        <v/>
      </c>
      <c r="CP21" s="157" t="n">
        <v>-0.1060255535488808</v>
      </c>
      <c r="CQ21" s="160" t="n"/>
      <c r="CR21" s="145" t="n"/>
      <c r="CS21" s="157">
        <f>CS20/CS10</f>
        <v/>
      </c>
      <c r="CT21" s="160" t="n"/>
      <c r="CU21" s="145" t="n"/>
      <c r="CW21" s="27" t="inlineStr">
        <is>
          <t>% of Revenue</t>
        </is>
      </c>
      <c r="CX21" s="157">
        <f>CX20/CX10</f>
        <v/>
      </c>
      <c r="CY21" s="157" t="n">
        <v>-0.2192267788045977</v>
      </c>
      <c r="CZ21" s="160" t="n"/>
      <c r="DA21" s="145" t="n"/>
      <c r="DB21" s="157">
        <f>DB20/DB10</f>
        <v/>
      </c>
      <c r="DC21" s="160" t="n"/>
      <c r="DD21" s="145" t="n"/>
      <c r="DF21" s="27" t="inlineStr">
        <is>
          <t>% of Revenue</t>
        </is>
      </c>
      <c r="DG21" s="157">
        <f>DG20/DG10</f>
        <v/>
      </c>
      <c r="DH21" s="157">
        <f>DH20/DH10</f>
        <v/>
      </c>
      <c r="DI21" s="160" t="n"/>
      <c r="DJ21" s="145" t="n"/>
      <c r="DK21" s="157">
        <f>DK20/DK10</f>
        <v/>
      </c>
      <c r="DL21" s="160" t="n"/>
      <c r="DM21" s="145" t="n"/>
    </row>
    <row r="22">
      <c r="B22" s="53" t="inlineStr">
        <is>
          <t>Gastos Fijos</t>
        </is>
      </c>
      <c r="C22" s="8">
        <f>C20+C15</f>
        <v/>
      </c>
      <c r="D22" s="8" t="n">
        <v>-214.98377</v>
      </c>
      <c r="E22" s="166">
        <f>C22-D22</f>
        <v/>
      </c>
      <c r="F22" s="167">
        <f>+IF(IFERROR(C22/D22-1,"-")&lt;300%,IFERROR(C22/D22-1,"-"),"n.a.")</f>
        <v/>
      </c>
      <c r="G22" s="8">
        <f>G20+G15</f>
        <v/>
      </c>
      <c r="H22" s="8">
        <f>C22-G22</f>
        <v/>
      </c>
      <c r="I22" s="167">
        <f>+IF(IFERROR(C22/G22-1,"-")&lt;300%,IFERROR(C22/G22-1,"-"),"n.a.")</f>
        <v/>
      </c>
      <c r="K22" s="53" t="inlineStr">
        <is>
          <t>Gastos Fijos</t>
        </is>
      </c>
      <c r="L22" s="8">
        <f>L20+L15</f>
        <v/>
      </c>
      <c r="M22" s="8" t="n">
        <v>-205.42608</v>
      </c>
      <c r="N22" s="166">
        <f>L22-M22</f>
        <v/>
      </c>
      <c r="O22" s="167">
        <f>+IF(IFERROR(L22/M22-1,"-")&lt;300%,IFERROR(L22/M22-1,"-"),"n.a.")</f>
        <v/>
      </c>
      <c r="P22" s="8">
        <f>P20+P15</f>
        <v/>
      </c>
      <c r="Q22" s="8">
        <f>L22-P22</f>
        <v/>
      </c>
      <c r="R22" s="167">
        <f>+IF(IFERROR(L22/P22-1,"-")&lt;300%,IFERROR(L22/P22-1,"-"),"n.a.")</f>
        <v/>
      </c>
      <c r="T22" s="53" t="inlineStr">
        <is>
          <t>Gastos Fijos</t>
        </is>
      </c>
      <c r="U22" s="8">
        <f>U20+U15</f>
        <v/>
      </c>
      <c r="V22" s="8" t="n">
        <v>-256.83958</v>
      </c>
      <c r="W22" s="166">
        <f>U22-V22</f>
        <v/>
      </c>
      <c r="X22" s="167">
        <f>+IF(IFERROR(U22/V22-1,"-")&lt;300%,IFERROR(U22/V22-1,"-"),"n.a.")</f>
        <v/>
      </c>
      <c r="Y22" s="8">
        <f>Y20+Y15</f>
        <v/>
      </c>
      <c r="Z22" s="8">
        <f>U22-Y22</f>
        <v/>
      </c>
      <c r="AA22" s="167">
        <f>+IF(IFERROR(U22/Y22-1,"-")&lt;300%,IFERROR(U22/Y22-1,"-"),"n.a.")</f>
        <v/>
      </c>
      <c r="AB22" s="137" t="n"/>
      <c r="AC22" s="53" t="inlineStr">
        <is>
          <t>Gastos Fijos</t>
        </is>
      </c>
      <c r="AD22" s="8">
        <f>AD20+AD15</f>
        <v/>
      </c>
      <c r="AE22" s="8" t="n">
        <v>-237.00357</v>
      </c>
      <c r="AF22" s="166">
        <f>AD22-AE22</f>
        <v/>
      </c>
      <c r="AG22" s="167">
        <f>+IF(IFERROR(AD22/AE22-1,"-")&lt;300%,IFERROR(AD22/AE22-1,"-"),"n.a.")</f>
        <v/>
      </c>
      <c r="AH22" s="8">
        <f>AH20+AH15</f>
        <v/>
      </c>
      <c r="AI22" s="8">
        <f>AD22-AH22</f>
        <v/>
      </c>
      <c r="AJ22" s="167">
        <f>+IF(IFERROR(AD22/AH22-1,"-")&lt;300%,IFERROR(AD22/AH22-1,"-"),"n.a.")</f>
        <v/>
      </c>
      <c r="AK22" s="137" t="n"/>
      <c r="AL22" s="53" t="inlineStr">
        <is>
          <t>Gastos Fijos</t>
        </is>
      </c>
      <c r="AM22" s="8">
        <f>AM20+AM15</f>
        <v/>
      </c>
      <c r="AN22" s="8" t="n">
        <v>-233.24385</v>
      </c>
      <c r="AO22" s="166">
        <f>AM22-AN22</f>
        <v/>
      </c>
      <c r="AP22" s="167">
        <f>+IF(IFERROR(AM22/AN22-1,"-")&lt;300%,IFERROR(AM22/AN22-1,"-"),"n.a.")</f>
        <v/>
      </c>
      <c r="AQ22" s="8">
        <f>AQ20+AQ15</f>
        <v/>
      </c>
      <c r="AR22" s="8">
        <f>AM22-AQ22</f>
        <v/>
      </c>
      <c r="AS22" s="167">
        <f>+IF(IFERROR(AM22/AQ22-1,"-")&lt;300%,IFERROR(AM22/AQ22-1,"-"),"n.a.")</f>
        <v/>
      </c>
      <c r="AT22" s="138" t="n"/>
      <c r="AU22" s="53" t="inlineStr">
        <is>
          <t>Gastos Fijos</t>
        </is>
      </c>
      <c r="AV22" s="8">
        <f>AV20+AV15</f>
        <v/>
      </c>
      <c r="AW22" s="8" t="n">
        <v>-297.1084400000001</v>
      </c>
      <c r="AX22" s="166">
        <f>AV22-AW22</f>
        <v/>
      </c>
      <c r="AY22" s="167">
        <f>+IF(IFERROR(AV22/AW22-1,"-")&lt;300%,IFERROR(AV22/AW22-1,"-"),"n.a.")</f>
        <v/>
      </c>
      <c r="AZ22" s="8">
        <f>AZ20+AZ15</f>
        <v/>
      </c>
      <c r="BA22" s="8">
        <f>AV22-AZ22</f>
        <v/>
      </c>
      <c r="BB22" s="167">
        <f>+IF(IFERROR(AV22/AZ22-1,"-")&lt;300%,IFERROR(AV22/AZ22-1,"-"),"n.a.")</f>
        <v/>
      </c>
      <c r="BC22" s="138" t="n"/>
      <c r="BD22" s="53" t="inlineStr">
        <is>
          <t>Gastos Fijos</t>
        </is>
      </c>
      <c r="BE22" s="8">
        <f>BE20+BE15</f>
        <v/>
      </c>
      <c r="BF22" s="8" t="n">
        <v>-303.5581542189972</v>
      </c>
      <c r="BG22" s="166">
        <f>BE22-BF22</f>
        <v/>
      </c>
      <c r="BH22" s="167">
        <f>+IF(IFERROR(BE22/BF22-1,"-")&lt;300%,IFERROR(BE22/BF22-1,"-"),"n.a.")</f>
        <v/>
      </c>
      <c r="BI22" s="8">
        <f>BI20+BI15</f>
        <v/>
      </c>
      <c r="BJ22" s="8">
        <f>BE22-BI22</f>
        <v/>
      </c>
      <c r="BK22" s="167">
        <f>+IF(IFERROR(BE22/BI22-1,"-")&lt;300%,IFERROR(BE22/BI22-1,"-"),"n.a.")</f>
        <v/>
      </c>
      <c r="BL22" s="138" t="n"/>
      <c r="BM22" s="53" t="inlineStr">
        <is>
          <t>Gastos Fijos</t>
        </is>
      </c>
      <c r="BN22" s="8">
        <f>BN20+BN15</f>
        <v/>
      </c>
      <c r="BO22" s="8" t="n">
        <v>-271.2644510312962</v>
      </c>
      <c r="BP22" s="166">
        <f>BN22-BO22</f>
        <v/>
      </c>
      <c r="BQ22" s="167">
        <f>+IF(IFERROR(BN22/BO22-1,"-")&lt;300%,IFERROR(BN22/BO22-1,"-"),"n.a.")</f>
        <v/>
      </c>
      <c r="BR22" s="8">
        <f>BR20+BR15</f>
        <v/>
      </c>
      <c r="BS22" s="8">
        <f>BN22-BR22</f>
        <v/>
      </c>
      <c r="BT22" s="167">
        <f>+IF(IFERROR(BN22/BR22-1,"-")&lt;300%,IFERROR(BN22/BR22-1,"-"),"n.a.")</f>
        <v/>
      </c>
      <c r="BV22" s="53" t="inlineStr">
        <is>
          <t>Gastos Fijos</t>
        </is>
      </c>
      <c r="BW22" s="8">
        <f>BW20+BW15</f>
        <v/>
      </c>
      <c r="BX22" s="8" t="n">
        <v>-257.18811</v>
      </c>
      <c r="BY22" s="166">
        <f>BW22-BX22</f>
        <v/>
      </c>
      <c r="BZ22" s="167">
        <f>+IF(IFERROR(BW22/BX22-1,"-")&lt;300%,IFERROR(BW22/BX22-1,"-"),"n.a.")</f>
        <v/>
      </c>
      <c r="CA22" s="8">
        <f>CA20+CA15</f>
        <v/>
      </c>
      <c r="CB22" s="8">
        <f>BW22-CA22</f>
        <v/>
      </c>
      <c r="CC22" s="167">
        <f>+IF(IFERROR(BW22/CA22-1,"-")&lt;300%,IFERROR(BW22/CA22-1,"-"),"n.a.")</f>
        <v/>
      </c>
      <c r="CD22" s="168" t="n"/>
      <c r="CE22" s="53" t="inlineStr">
        <is>
          <t>Gastos Fijos</t>
        </is>
      </c>
      <c r="CF22" s="8">
        <f>CF20+CF15</f>
        <v/>
      </c>
      <c r="CG22" s="8" t="n">
        <v>-280.72398</v>
      </c>
      <c r="CH22" s="166">
        <f>CF22-CG22</f>
        <v/>
      </c>
      <c r="CI22" s="167">
        <f>+IF(IFERROR(CF22/CG22-1,"-")&lt;300%,IFERROR(CF22/CG22-1,"-"),"n.a.")</f>
        <v/>
      </c>
      <c r="CJ22" s="8">
        <f>CJ20+CJ15</f>
        <v/>
      </c>
      <c r="CK22" s="8">
        <f>CF22-CJ22</f>
        <v/>
      </c>
      <c r="CL22" s="167">
        <f>+IF(IFERROR(CF22/CJ22-1,"-")&lt;300%,IFERROR(CF22/CJ22-1,"-"),"n.a.")</f>
        <v/>
      </c>
      <c r="CN22" s="53" t="inlineStr">
        <is>
          <t>Gastos Fijos</t>
        </is>
      </c>
      <c r="CO22" s="8">
        <f>CO20+CO15</f>
        <v/>
      </c>
      <c r="CP22" s="8" t="n">
        <v>-282.5482099999999</v>
      </c>
      <c r="CQ22" s="166">
        <f>CO22-CP22</f>
        <v/>
      </c>
      <c r="CR22" s="167">
        <f>+IF(IFERROR(CO22/CP22-1,"-")&lt;300%,IFERROR(CO22/CP22-1,"-"),"n.a.")</f>
        <v/>
      </c>
      <c r="CS22" s="8">
        <f>CS20+CS15</f>
        <v/>
      </c>
      <c r="CT22" s="8">
        <f>CO22-CS22</f>
        <v/>
      </c>
      <c r="CU22" s="167">
        <f>+IF(IFERROR(CO22/CS22-1,"-")&lt;300%,IFERROR(CO22/CS22-1,"-"),"n.a.")</f>
        <v/>
      </c>
      <c r="CW22" s="53" t="inlineStr">
        <is>
          <t>Gastos Fijos</t>
        </is>
      </c>
      <c r="CX22" s="8">
        <f>CX20+CX15</f>
        <v/>
      </c>
      <c r="CY22" s="8" t="n">
        <v>-682.0790800000001</v>
      </c>
      <c r="CZ22" s="166">
        <f>CX22-CY22</f>
        <v/>
      </c>
      <c r="DA22" s="167">
        <f>+IF(IFERROR(CX22/CY22-1,"-")&lt;300%,IFERROR(CX22/CY22-1,"-"),"n.a.")</f>
        <v/>
      </c>
      <c r="DB22" s="8">
        <f>DB20+DB15</f>
        <v/>
      </c>
      <c r="DC22" s="8">
        <f>CX22-DB22</f>
        <v/>
      </c>
      <c r="DD22" s="167">
        <f>+IF(IFERROR(CX22/DB22-1,"-")&lt;300%,IFERROR(CX22/DB22-1,"-"),"n.a.")</f>
        <v/>
      </c>
      <c r="DF22" s="53" t="inlineStr">
        <is>
          <t>Gastos Fijos</t>
        </is>
      </c>
      <c r="DG22" s="8">
        <f>DG20+DG15</f>
        <v/>
      </c>
      <c r="DH22" s="8">
        <f>DH20+DH15</f>
        <v/>
      </c>
      <c r="DI22" s="166">
        <f>DG22-DH22</f>
        <v/>
      </c>
      <c r="DJ22" s="167">
        <f>+IF(IFERROR(DG22/DH22-1,"-")&lt;300%,IFERROR(DG22/DH22-1,"-"),"n.a.")</f>
        <v/>
      </c>
      <c r="DK22" s="8">
        <f>DK20+DK15</f>
        <v/>
      </c>
      <c r="DL22" s="8">
        <f>DG22-DK22</f>
        <v/>
      </c>
      <c r="DM22" s="167">
        <f>+IF(IFERROR(DG22/DK22-1,"-")&lt;300%,IFERROR(DG22/DK22-1,"-"),"n.a.")</f>
        <v/>
      </c>
    </row>
    <row r="23">
      <c r="B23" s="27" t="inlineStr">
        <is>
          <t>% of Revenue</t>
        </is>
      </c>
      <c r="C23" s="157">
        <f>C22/C10</f>
        <v/>
      </c>
      <c r="D23" s="157" t="n">
        <v>-0.2185200515872294</v>
      </c>
      <c r="E23" s="160" t="n"/>
      <c r="F23" s="145" t="n"/>
      <c r="G23" s="157">
        <f>G22/G10</f>
        <v/>
      </c>
      <c r="H23" s="160" t="n"/>
      <c r="I23" s="145" t="n"/>
      <c r="K23" s="27" t="inlineStr">
        <is>
          <t>% of Revenue</t>
        </is>
      </c>
      <c r="L23" s="157">
        <f>L22/L10</f>
        <v/>
      </c>
      <c r="M23" s="157" t="n">
        <v>-0.1397049424006199</v>
      </c>
      <c r="N23" s="160" t="n"/>
      <c r="O23" s="145" t="n"/>
      <c r="P23" s="157">
        <f>P22/P10</f>
        <v/>
      </c>
      <c r="Q23" s="160" t="n"/>
      <c r="R23" s="145" t="n"/>
      <c r="T23" s="27" t="inlineStr">
        <is>
          <t>% of Revenue</t>
        </is>
      </c>
      <c r="U23" s="157">
        <f>U22/U10</f>
        <v/>
      </c>
      <c r="V23" s="157" t="n">
        <v>-0.1674542660977168</v>
      </c>
      <c r="W23" s="160" t="n"/>
      <c r="X23" s="145" t="n"/>
      <c r="Y23" s="157">
        <f>Y22/Y10</f>
        <v/>
      </c>
      <c r="Z23" s="160" t="n"/>
      <c r="AA23" s="145" t="n"/>
      <c r="AB23" s="169" t="n"/>
      <c r="AC23" s="27" t="inlineStr">
        <is>
          <t>% of Revenue</t>
        </is>
      </c>
      <c r="AD23" s="157">
        <f>AD22/AD10</f>
        <v/>
      </c>
      <c r="AE23" s="157" t="n">
        <v>-0.1620929268445015</v>
      </c>
      <c r="AF23" s="160" t="n"/>
      <c r="AG23" s="145" t="n"/>
      <c r="AH23" s="157">
        <f>AH22/AH10</f>
        <v/>
      </c>
      <c r="AI23" s="160" t="n"/>
      <c r="AJ23" s="145" t="n"/>
      <c r="AK23" s="169" t="n"/>
      <c r="AL23" s="27" t="inlineStr">
        <is>
          <t>% of Revenue</t>
        </is>
      </c>
      <c r="AM23" s="157">
        <f>AM22/AM10</f>
        <v/>
      </c>
      <c r="AN23" s="157" t="n">
        <v>-0.1211071331251094</v>
      </c>
      <c r="AO23" s="160" t="n"/>
      <c r="AP23" s="145" t="n"/>
      <c r="AQ23" s="157">
        <f>AQ22/AQ10</f>
        <v/>
      </c>
      <c r="AR23" s="160" t="n"/>
      <c r="AS23" s="145" t="n"/>
      <c r="AT23" s="146" t="n"/>
      <c r="AU23" s="27" t="inlineStr">
        <is>
          <t>% of Revenue</t>
        </is>
      </c>
      <c r="AV23" s="157">
        <f>AV22/AV10</f>
        <v/>
      </c>
      <c r="AW23" s="157" t="n">
        <v>-0.1514112110105103</v>
      </c>
      <c r="AX23" s="160" t="n"/>
      <c r="AY23" s="145" t="n"/>
      <c r="AZ23" s="157">
        <f>AZ22/AZ10</f>
        <v/>
      </c>
      <c r="BA23" s="160" t="n"/>
      <c r="BB23" s="145" t="n"/>
      <c r="BC23" s="146" t="n"/>
      <c r="BD23" s="27" t="inlineStr">
        <is>
          <t>% of Revenue</t>
        </is>
      </c>
      <c r="BE23" s="157">
        <f>BE22/BE10</f>
        <v/>
      </c>
      <c r="BF23" s="157" t="n">
        <v>-0.2351971172162797</v>
      </c>
      <c r="BG23" s="160" t="n"/>
      <c r="BH23" s="145" t="n"/>
      <c r="BI23" s="157">
        <f>BI22/BI10</f>
        <v/>
      </c>
      <c r="BJ23" s="160" t="n"/>
      <c r="BK23" s="145" t="n"/>
      <c r="BL23" s="157" t="n"/>
      <c r="BM23" s="27" t="inlineStr">
        <is>
          <t>% of Revenue</t>
        </is>
      </c>
      <c r="BN23" s="157">
        <f>BN22/BN10</f>
        <v/>
      </c>
      <c r="BO23" s="157" t="n">
        <v>-0.3441982976907283</v>
      </c>
      <c r="BP23" s="160" t="n"/>
      <c r="BQ23" s="145" t="n"/>
      <c r="BR23" s="157">
        <f>BR22/BR10</f>
        <v/>
      </c>
      <c r="BS23" s="160" t="n"/>
      <c r="BT23" s="145" t="n"/>
      <c r="BV23" s="27" t="inlineStr">
        <is>
          <t>% of Revenue</t>
        </is>
      </c>
      <c r="BW23" s="157">
        <f>BW22/BW10</f>
        <v/>
      </c>
      <c r="BX23" s="157" t="n">
        <v>-0.5323882563300516</v>
      </c>
      <c r="BY23" s="160" t="n"/>
      <c r="BZ23" s="145" t="n"/>
      <c r="CA23" s="157">
        <f>CA22/CA10</f>
        <v/>
      </c>
      <c r="CB23" s="160" t="n"/>
      <c r="CC23" s="145" t="n"/>
      <c r="CD23" s="147" t="n"/>
      <c r="CE23" s="27" t="inlineStr">
        <is>
          <t>% of Revenue</t>
        </is>
      </c>
      <c r="CF23" s="157">
        <f>CF22/CF10</f>
        <v/>
      </c>
      <c r="CG23" s="157" t="n">
        <v>-0.3077928161372634</v>
      </c>
      <c r="CH23" s="160" t="n"/>
      <c r="CI23" s="145" t="n"/>
      <c r="CJ23" s="157">
        <f>CJ22/CJ10</f>
        <v/>
      </c>
      <c r="CK23" s="160" t="n"/>
      <c r="CL23" s="145" t="n"/>
      <c r="CN23" s="27" t="inlineStr">
        <is>
          <t>% of Revenue</t>
        </is>
      </c>
      <c r="CO23" s="157">
        <f>CO22/CO10</f>
        <v/>
      </c>
      <c r="CP23" s="157" t="n">
        <v>-0.2305910289132377</v>
      </c>
      <c r="CQ23" s="160" t="n"/>
      <c r="CR23" s="145" t="n"/>
      <c r="CS23" s="157">
        <f>CS22/CS10</f>
        <v/>
      </c>
      <c r="CT23" s="160" t="n"/>
      <c r="CU23" s="145" t="n"/>
      <c r="CW23" s="27" t="inlineStr">
        <is>
          <t>% of Revenue</t>
        </is>
      </c>
      <c r="CX23" s="157">
        <f>CX22/CX10</f>
        <v/>
      </c>
      <c r="CY23" s="157" t="n">
        <v>-0.5970541611872291</v>
      </c>
      <c r="CZ23" s="160" t="n"/>
      <c r="DA23" s="145" t="n"/>
      <c r="DB23" s="157">
        <f>DB22/DB10</f>
        <v/>
      </c>
      <c r="DC23" s="160" t="n"/>
      <c r="DD23" s="145" t="n"/>
      <c r="DF23" s="27" t="inlineStr">
        <is>
          <t>% of Revenue</t>
        </is>
      </c>
      <c r="DG23" s="157">
        <f>DG22/DG10</f>
        <v/>
      </c>
      <c r="DH23" s="157">
        <f>DH22/DH10</f>
        <v/>
      </c>
      <c r="DI23" s="160" t="n"/>
      <c r="DJ23" s="145" t="n"/>
      <c r="DK23" s="157">
        <f>DK22/DK10</f>
        <v/>
      </c>
      <c r="DL23" s="160" t="n"/>
      <c r="DM23" s="145" t="n"/>
    </row>
    <row r="24">
      <c r="B24" s="35" t="inlineStr">
        <is>
          <t>Adjusted EBITDA</t>
        </is>
      </c>
      <c r="C24" s="142">
        <f>C12+C22</f>
        <v/>
      </c>
      <c r="D24" s="142" t="n">
        <v>266.16781</v>
      </c>
      <c r="E24" s="142">
        <f>C24-D24</f>
        <v/>
      </c>
      <c r="F24" s="143">
        <f>+IF(IFERROR(C24/D24-1,"-")&lt;300%,IFERROR(C24/D24-1,"-"),"n.a.")</f>
        <v/>
      </c>
      <c r="G24" s="142">
        <f>G12+G22</f>
        <v/>
      </c>
      <c r="H24" s="142">
        <f>C24-G24</f>
        <v/>
      </c>
      <c r="I24" s="143">
        <f>+IF(IFERROR(C24/G24-1,"-")&lt;300%,IFERROR(C24/G24-1,"-"),"n.a.")</f>
        <v/>
      </c>
      <c r="K24" s="35" t="inlineStr">
        <is>
          <t>Adjusted EBITDA</t>
        </is>
      </c>
      <c r="L24" s="142">
        <f>L12+L22</f>
        <v/>
      </c>
      <c r="M24" s="142" t="n">
        <v>908.7649100000001</v>
      </c>
      <c r="N24" s="142">
        <f>L24-M24</f>
        <v/>
      </c>
      <c r="O24" s="143">
        <f>+IF(IFERROR(L24/M24-1,"-")&lt;300%,IFERROR(L24/M24-1,"-"),"n.a.")</f>
        <v/>
      </c>
      <c r="P24" s="142">
        <f>P12+P22</f>
        <v/>
      </c>
      <c r="Q24" s="142">
        <f>L24-P24</f>
        <v/>
      </c>
      <c r="R24" s="143">
        <f>+IF(IFERROR(L24/P24-1,"-")&lt;300%,IFERROR(L24/P24-1,"-"),"n.a.")</f>
        <v/>
      </c>
      <c r="T24" s="35" t="inlineStr">
        <is>
          <t>Adjusted EBITDA</t>
        </is>
      </c>
      <c r="U24" s="142">
        <f>U12+U22</f>
        <v/>
      </c>
      <c r="V24" s="142" t="n">
        <v>891.2498999999998</v>
      </c>
      <c r="W24" s="142">
        <f>U24-V24</f>
        <v/>
      </c>
      <c r="X24" s="143">
        <f>+IF(IFERROR(U24/V24-1,"-")&lt;300%,IFERROR(U24/V24-1,"-"),"n.a.")</f>
        <v/>
      </c>
      <c r="Y24" s="142">
        <f>Y12+Y22</f>
        <v/>
      </c>
      <c r="Z24" s="142">
        <f>U24-Y24</f>
        <v/>
      </c>
      <c r="AA24" s="143">
        <f>+IF(IFERROR(U24/Y24-1,"-")&lt;300%,IFERROR(U24/Y24-1,"-"),"n.a.")</f>
        <v/>
      </c>
      <c r="AB24" s="150" t="n"/>
      <c r="AC24" s="35" t="inlineStr">
        <is>
          <t>Adjusted EBITDA</t>
        </is>
      </c>
      <c r="AD24" s="142">
        <f>AD12+AD22</f>
        <v/>
      </c>
      <c r="AE24" s="142" t="n">
        <v>718.9396199999999</v>
      </c>
      <c r="AF24" s="142">
        <f>AD24-AE24</f>
        <v/>
      </c>
      <c r="AG24" s="143">
        <f>+IF(IFERROR(AD24/AE24-1,"-")&lt;300%,IFERROR(AD24/AE24-1,"-"),"n.a.")</f>
        <v/>
      </c>
      <c r="AH24" s="142">
        <f>AH12+AH22</f>
        <v/>
      </c>
      <c r="AI24" s="142">
        <f>AD24-AH24</f>
        <v/>
      </c>
      <c r="AJ24" s="143">
        <f>+IF(IFERROR(AD24/AH24-1,"-")&lt;300%,IFERROR(AD24/AH24-1,"-"),"n.a.")</f>
        <v/>
      </c>
      <c r="AK24" s="150" t="n"/>
      <c r="AL24" s="35" t="inlineStr">
        <is>
          <t>Adjusted EBITDA</t>
        </is>
      </c>
      <c r="AM24" s="142">
        <f>AM12+AM22</f>
        <v/>
      </c>
      <c r="AN24" s="142" t="n">
        <v>1068.41372</v>
      </c>
      <c r="AO24" s="142">
        <f>AM24-AN24</f>
        <v/>
      </c>
      <c r="AP24" s="143">
        <f>+IF(IFERROR(AM24/AN24-1,"-")&lt;300%,IFERROR(AM24/AN24-1,"-"),"n.a.")</f>
        <v/>
      </c>
      <c r="AQ24" s="142">
        <f>AQ12+AQ22</f>
        <v/>
      </c>
      <c r="AR24" s="142">
        <f>AM24-AQ24</f>
        <v/>
      </c>
      <c r="AS24" s="143">
        <f>+IF(IFERROR(AM24/AQ24-1,"-")&lt;300%,IFERROR(AM24/AQ24-1,"-"),"n.a.")</f>
        <v/>
      </c>
      <c r="AT24" s="151" t="n"/>
      <c r="AU24" s="35" t="inlineStr">
        <is>
          <t>Adjusted EBITDA</t>
        </is>
      </c>
      <c r="AV24" s="142">
        <f>AV12+AV22</f>
        <v/>
      </c>
      <c r="AW24" s="142" t="n">
        <v>921.5947999999997</v>
      </c>
      <c r="AX24" s="142">
        <f>AV24-AW24</f>
        <v/>
      </c>
      <c r="AY24" s="143">
        <f>+IF(IFERROR(AV24/AW24-1,"-")&lt;300%,IFERROR(AV24/AW24-1,"-"),"n.a.")</f>
        <v/>
      </c>
      <c r="AZ24" s="142">
        <f>AZ12+AZ22</f>
        <v/>
      </c>
      <c r="BA24" s="142">
        <f>AV24-AZ24</f>
        <v/>
      </c>
      <c r="BB24" s="143">
        <f>+IF(IFERROR(AV24/AZ24-1,"-")&lt;300%,IFERROR(AV24/AZ24-1,"-"),"n.a.")</f>
        <v/>
      </c>
      <c r="BC24" s="151" t="n"/>
      <c r="BD24" s="35" t="inlineStr">
        <is>
          <t>Adjusted EBITDA</t>
        </is>
      </c>
      <c r="BE24" s="142">
        <f>BE12+BE22</f>
        <v/>
      </c>
      <c r="BF24" s="142" t="n">
        <v>461.7810457810028</v>
      </c>
      <c r="BG24" s="142">
        <f>BE24-BF24</f>
        <v/>
      </c>
      <c r="BH24" s="143">
        <f>+IF(IFERROR(BE24/BF24-1,"-")&lt;300%,IFERROR(BE24/BF24-1,"-"),"n.a.")</f>
        <v/>
      </c>
      <c r="BI24" s="142">
        <f>BI12+BI22</f>
        <v/>
      </c>
      <c r="BJ24" s="142">
        <f>BE24-BI24</f>
        <v/>
      </c>
      <c r="BK24" s="143">
        <f>+IF(IFERROR(BE24/BI24-1,"-")&lt;300%,IFERROR(BE24/BI24-1,"-"),"n.a.")</f>
        <v/>
      </c>
      <c r="BL24" s="46" t="n"/>
      <c r="BM24" s="35" t="inlineStr">
        <is>
          <t>Adjusted EBITDA</t>
        </is>
      </c>
      <c r="BN24" s="142">
        <f>BN12+BN22</f>
        <v/>
      </c>
      <c r="BO24" s="142" t="n">
        <v>244.720468968704</v>
      </c>
      <c r="BP24" s="142">
        <f>BN24-BO24</f>
        <v/>
      </c>
      <c r="BQ24" s="143">
        <f>+IF(IFERROR(BN24/BO24-1,"-")&lt;300%,IFERROR(BN24/BO24-1,"-"),"n.a.")</f>
        <v/>
      </c>
      <c r="BR24" s="142">
        <f>BR12+BR22</f>
        <v/>
      </c>
      <c r="BS24" s="142">
        <f>BN24-BR24</f>
        <v/>
      </c>
      <c r="BT24" s="143">
        <f>+IF(IFERROR(BN24/BR24-1,"-")&lt;300%,IFERROR(BN24/BR24-1,"-"),"n.a.")</f>
        <v/>
      </c>
      <c r="BV24" s="35" t="inlineStr">
        <is>
          <t>Adjusted EBITDA</t>
        </is>
      </c>
      <c r="BW24" s="142">
        <f>BW12+BW22</f>
        <v/>
      </c>
      <c r="BX24" s="142" t="n">
        <v>64.10467</v>
      </c>
      <c r="BY24" s="142">
        <f>BW24-BX24</f>
        <v/>
      </c>
      <c r="BZ24" s="143">
        <f>+IF(IFERROR(BW24/BX24-1,"-")&lt;300%,IFERROR(BW24/BX24-1,"-"),"n.a.")</f>
        <v/>
      </c>
      <c r="CA24" s="142">
        <f>CA12+CA22</f>
        <v/>
      </c>
      <c r="CB24" s="142">
        <f>BW24-CA24</f>
        <v/>
      </c>
      <c r="CC24" s="143">
        <f>+IF(IFERROR(BW24/CA24-1,"-")&lt;300%,IFERROR(BW24/CA24-1,"-"),"n.a.")</f>
        <v/>
      </c>
      <c r="CD24" s="152" t="n"/>
      <c r="CE24" s="35" t="inlineStr">
        <is>
          <t>Adjusted EBITDA</t>
        </is>
      </c>
      <c r="CF24" s="142">
        <f>CF12+CF22</f>
        <v/>
      </c>
      <c r="CG24" s="142" t="n">
        <v>329.2296700000001</v>
      </c>
      <c r="CH24" s="142">
        <f>CF24-CG24</f>
        <v/>
      </c>
      <c r="CI24" s="143">
        <f>+IF(IFERROR(CF24/CG24-1,"-")&lt;300%,IFERROR(CF24/CG24-1,"-"),"n.a.")</f>
        <v/>
      </c>
      <c r="CJ24" s="142">
        <f>CJ12+CJ22</f>
        <v/>
      </c>
      <c r="CK24" s="142">
        <f>CF24-CJ24</f>
        <v/>
      </c>
      <c r="CL24" s="143">
        <f>+IF(IFERROR(CF24/CJ24-1,"-")&lt;300%,IFERROR(CF24/CJ24-1,"-"),"n.a.")</f>
        <v/>
      </c>
      <c r="CN24" s="35" t="inlineStr">
        <is>
          <t>Adjusted EBITDA</t>
        </is>
      </c>
      <c r="CO24" s="142">
        <f>CO12+CO22</f>
        <v/>
      </c>
      <c r="CP24" s="142" t="n">
        <v>538.3502900000001</v>
      </c>
      <c r="CQ24" s="142">
        <f>CO24-CP24</f>
        <v/>
      </c>
      <c r="CR24" s="143">
        <f>+IF(IFERROR(CO24/CP24-1,"-")&lt;300%,IFERROR(CO24/CP24-1,"-"),"n.a.")</f>
        <v/>
      </c>
      <c r="CS24" s="142">
        <f>CS12+CS22</f>
        <v/>
      </c>
      <c r="CT24" s="142">
        <f>CO24-CS24</f>
        <v/>
      </c>
      <c r="CU24" s="143">
        <f>+IF(IFERROR(CO24/CS24-1,"-")&lt;300%,IFERROR(CO24/CS24-1,"-"),"n.a.")</f>
        <v/>
      </c>
      <c r="CW24" s="35" t="inlineStr">
        <is>
          <t>Adjusted EBITDA</t>
        </is>
      </c>
      <c r="CX24" s="142">
        <f>CX12+CX22</f>
        <v/>
      </c>
      <c r="CY24" s="142" t="n">
        <v>11.18297000000007</v>
      </c>
      <c r="CZ24" s="142">
        <f>CX24-CY24</f>
        <v/>
      </c>
      <c r="DA24" s="143">
        <f>+IF(IFERROR(CX24/CY24-1,"-")&lt;300%,IFERROR(CX24/CY24-1,"-"),"n.a.")</f>
        <v/>
      </c>
      <c r="DB24" s="142">
        <f>DB12+DB22</f>
        <v/>
      </c>
      <c r="DC24" s="142">
        <f>CX24-DB24</f>
        <v/>
      </c>
      <c r="DD24" s="143">
        <f>+IF(IFERROR(CX24/DB24-1,"-")&lt;300%,IFERROR(CX24/DB24-1,"-"),"n.a.")</f>
        <v/>
      </c>
      <c r="DF24" s="35" t="inlineStr">
        <is>
          <t>Adjusted EBITDA</t>
        </is>
      </c>
      <c r="DG24" s="142">
        <f>DG12+DG22</f>
        <v/>
      </c>
      <c r="DH24" s="142">
        <f>DH12+DH22</f>
        <v/>
      </c>
      <c r="DI24" s="142">
        <f>DG24-DH24</f>
        <v/>
      </c>
      <c r="DJ24" s="143">
        <f>+IF(IFERROR(DG24/DH24-1,"-")&lt;300%,IFERROR(DG24/DH24-1,"-"),"n.a.")</f>
        <v/>
      </c>
      <c r="DK24" s="142">
        <f>DK12+DK22</f>
        <v/>
      </c>
      <c r="DL24" s="142">
        <f>DG24-DK24</f>
        <v/>
      </c>
      <c r="DM24" s="143">
        <f>+IF(IFERROR(DG24/DK24-1,"-")&lt;300%,IFERROR(DG24/DK24-1,"-"),"n.a.")</f>
        <v/>
      </c>
    </row>
    <row r="25">
      <c r="B25" s="39" t="inlineStr">
        <is>
          <t>% Adj. EBITDA Margin</t>
        </is>
      </c>
      <c r="C25" s="157">
        <f>C24/C10</f>
        <v/>
      </c>
      <c r="D25" s="157" t="n">
        <v>0.2705460210882891</v>
      </c>
      <c r="E25" s="146" t="n"/>
      <c r="F25" s="170">
        <f>+IF(IFERROR(C25/D25-1,"-")&lt;300%,IFERROR(C25/D25-1,"-"),"n.a.")</f>
        <v/>
      </c>
      <c r="G25" s="157">
        <f>G24/G10</f>
        <v/>
      </c>
      <c r="H25" s="146" t="n"/>
      <c r="I25" s="170" t="n"/>
      <c r="K25" s="39" t="inlineStr">
        <is>
          <t>% Adj. EBITDA Margin</t>
        </is>
      </c>
      <c r="L25" s="157">
        <f>L24/L10</f>
        <v/>
      </c>
      <c r="M25" s="157" t="n">
        <v>0.6180274160284541</v>
      </c>
      <c r="N25" s="146" t="n"/>
      <c r="O25" s="170">
        <f>+IF(IFERROR(L25/M25-1,"-")&lt;300%,IFERROR(L25/M25-1,"-"),"n.a.")</f>
        <v/>
      </c>
      <c r="P25" s="157">
        <f>P24/P10</f>
        <v/>
      </c>
      <c r="Q25" s="146" t="n"/>
      <c r="R25" s="170" t="n"/>
      <c r="T25" s="39" t="inlineStr">
        <is>
          <t>% Adj. EBITDA Margin</t>
        </is>
      </c>
      <c r="U25" s="157">
        <f>U24/U10</f>
        <v/>
      </c>
      <c r="V25" s="157" t="n">
        <v>0.5810770984525182</v>
      </c>
      <c r="W25" s="146" t="n"/>
      <c r="X25" s="170">
        <f>+IF(IFERROR(U25/V25-1,"-")&lt;300%,IFERROR(U25/V25-1,"-"),"n.a.")</f>
        <v/>
      </c>
      <c r="Y25" s="157">
        <f>Y24/Y10</f>
        <v/>
      </c>
      <c r="Z25" s="146" t="n"/>
      <c r="AA25" s="170" t="n"/>
      <c r="AB25" s="140" t="n"/>
      <c r="AC25" s="39" t="inlineStr">
        <is>
          <t>% Adj. EBITDA Margin</t>
        </is>
      </c>
      <c r="AD25" s="157">
        <f>AD24/AD10</f>
        <v/>
      </c>
      <c r="AE25" s="157" t="n">
        <v>0.4917015690112756</v>
      </c>
      <c r="AF25" s="146" t="n"/>
      <c r="AG25" s="170">
        <f>+IF(IFERROR(AD25/AE25-1,"-")&lt;300%,IFERROR(AD25/AE25-1,"-"),"n.a.")</f>
        <v/>
      </c>
      <c r="AH25" s="157">
        <f>AH24/AH10</f>
        <v/>
      </c>
      <c r="AI25" s="146" t="n"/>
      <c r="AJ25" s="170" t="n"/>
      <c r="AK25" s="140" t="n"/>
      <c r="AL25" s="39" t="inlineStr">
        <is>
          <t>% Adj. EBITDA Margin</t>
        </is>
      </c>
      <c r="AM25" s="157">
        <f>AM24/AM10</f>
        <v/>
      </c>
      <c r="AN25" s="157" t="n">
        <v>0.5547521301021801</v>
      </c>
      <c r="AO25" s="146" t="n"/>
      <c r="AP25" s="170">
        <f>+IF(IFERROR(AM25/AN25-1,"-")&lt;300%,IFERROR(AM25/AN25-1,"-"),"n.a.")</f>
        <v/>
      </c>
      <c r="AQ25" s="157">
        <f>AQ24/AQ10</f>
        <v/>
      </c>
      <c r="AR25" s="146" t="n"/>
      <c r="AS25" s="170" t="n"/>
      <c r="AT25" s="141" t="n"/>
      <c r="AU25" s="39" t="inlineStr">
        <is>
          <t>% Adj. EBITDA Margin</t>
        </is>
      </c>
      <c r="AV25" s="157">
        <f>AV24/AV10</f>
        <v/>
      </c>
      <c r="AW25" s="157" t="n">
        <v>0.4696594439693095</v>
      </c>
      <c r="AX25" s="146" t="n"/>
      <c r="AY25" s="170">
        <f>+IF(IFERROR(AV25/AW25-1,"-")&lt;300%,IFERROR(AV25/AW25-1,"-"),"n.a.")</f>
        <v/>
      </c>
      <c r="AZ25" s="157">
        <f>AZ24/AZ10</f>
        <v/>
      </c>
      <c r="BA25" s="146" t="n"/>
      <c r="BB25" s="170" t="n"/>
      <c r="BC25" s="141" t="n"/>
      <c r="BD25" s="39" t="inlineStr">
        <is>
          <t>% Adj. EBITDA Margin</t>
        </is>
      </c>
      <c r="BE25" s="157">
        <f>BE24/BE10</f>
        <v/>
      </c>
      <c r="BF25" s="157" t="n">
        <v>0.3577883487671232</v>
      </c>
      <c r="BG25" s="146" t="n"/>
      <c r="BH25" s="170">
        <f>+IF(IFERROR(BE25/BF25-1,"-")&lt;300%,IFERROR(BE25/BF25-1,"-"),"n.a.")</f>
        <v/>
      </c>
      <c r="BI25" s="157">
        <f>BI24/BI10</f>
        <v/>
      </c>
      <c r="BJ25" s="146" t="n"/>
      <c r="BK25" s="170" t="n"/>
      <c r="BL25" s="73" t="n"/>
      <c r="BM25" s="39" t="inlineStr">
        <is>
          <t>% Adj. EBITDA Margin</t>
        </is>
      </c>
      <c r="BN25" s="157">
        <f>BN24/BN10</f>
        <v/>
      </c>
      <c r="BO25" s="157" t="n">
        <v>0.3105175355962386</v>
      </c>
      <c r="BP25" s="146" t="n"/>
      <c r="BQ25" s="170">
        <f>+IF(IFERROR(BN25/BO25-1,"-")&lt;300%,IFERROR(BN25/BO25-1,"-"),"n.a.")</f>
        <v/>
      </c>
      <c r="BR25" s="157">
        <f>BR24/BR10</f>
        <v/>
      </c>
      <c r="BS25" s="146" t="n"/>
      <c r="BT25" s="170" t="n"/>
      <c r="BV25" s="39" t="inlineStr">
        <is>
          <t>% Adj. EBITDA Margin</t>
        </is>
      </c>
      <c r="BW25" s="157">
        <f>BW24/BW10</f>
        <v/>
      </c>
      <c r="BX25" s="157" t="n">
        <v>0.1326988774244399</v>
      </c>
      <c r="BY25" s="146" t="n"/>
      <c r="BZ25" s="170">
        <f>+IF(IFERROR(BW25/BX25-1,"-")&lt;300%,IFERROR(BW25/BX25-1,"-"),"n.a.")</f>
        <v/>
      </c>
      <c r="CA25" s="157">
        <f>CA24/CA10</f>
        <v/>
      </c>
      <c r="CB25" s="146" t="n"/>
      <c r="CC25" s="170" t="n"/>
      <c r="CD25" s="154" t="n"/>
      <c r="CE25" s="39" t="inlineStr">
        <is>
          <t>% Adj. EBITDA Margin</t>
        </is>
      </c>
      <c r="CF25" s="157">
        <f>CF24/CF10</f>
        <v/>
      </c>
      <c r="CG25" s="157" t="n">
        <v>0.3609756718511968</v>
      </c>
      <c r="CH25" s="146" t="n"/>
      <c r="CI25" s="170">
        <f>+IF(IFERROR(CF25/CG25-1,"-")&lt;300%,IFERROR(CF25/CG25-1,"-"),"n.a.")</f>
        <v/>
      </c>
      <c r="CJ25" s="157">
        <f>CJ24/CJ10</f>
        <v/>
      </c>
      <c r="CK25" s="146" t="n"/>
      <c r="CL25" s="170" t="n"/>
      <c r="CN25" s="39" t="inlineStr">
        <is>
          <t>% Adj. EBITDA Margin</t>
        </is>
      </c>
      <c r="CO25" s="157">
        <f>CO24/CO10</f>
        <v/>
      </c>
      <c r="CP25" s="157" t="n">
        <v>0.4393542160003066</v>
      </c>
      <c r="CQ25" s="146" t="n"/>
      <c r="CR25" s="170">
        <f>+IF(IFERROR(CO25/CP25-1,"-")&lt;300%,IFERROR(CO25/CP25-1,"-"),"n.a.")</f>
        <v/>
      </c>
      <c r="CS25" s="157">
        <f>CS24/CS10</f>
        <v/>
      </c>
      <c r="CT25" s="146" t="n"/>
      <c r="CU25" s="170" t="n"/>
      <c r="CW25" s="39" t="inlineStr">
        <is>
          <t>% Adj. EBITDA Margin</t>
        </is>
      </c>
      <c r="CX25" s="157">
        <f>CX24/CX10</f>
        <v/>
      </c>
      <c r="CY25" s="157" t="n">
        <v>0.00978895111829553</v>
      </c>
      <c r="CZ25" s="146" t="n"/>
      <c r="DA25" s="170">
        <f>+IF(IFERROR(CX25/CY25-1,"-")&lt;300%,IFERROR(CX25/CY25-1,"-"),"n.a.")</f>
        <v/>
      </c>
      <c r="DB25" s="157">
        <f>DB24/DB10</f>
        <v/>
      </c>
      <c r="DC25" s="146" t="n"/>
      <c r="DD25" s="170" t="n"/>
      <c r="DF25" s="39" t="inlineStr">
        <is>
          <t>% Adj. EBITDA Margin</t>
        </is>
      </c>
      <c r="DG25" s="157">
        <f>DG24/DG10</f>
        <v/>
      </c>
      <c r="DH25" s="157">
        <f>DH24/DH10</f>
        <v/>
      </c>
      <c r="DI25" s="146" t="n"/>
      <c r="DJ25" s="170">
        <f>+IF(IFERROR(DG25/DH25-1,"-")&lt;300%,IFERROR(DG25/DH25-1,"-"),"n.a.")</f>
        <v/>
      </c>
      <c r="DK25" s="157">
        <f>DK24/DK10</f>
        <v/>
      </c>
      <c r="DL25" s="146" t="n"/>
      <c r="DM25" s="170" t="n"/>
    </row>
    <row r="26">
      <c r="B26" s="39" t="n"/>
      <c r="C26" s="44" t="n"/>
      <c r="D26" s="44" t="n"/>
      <c r="E26" s="151" t="n"/>
      <c r="F26" s="155" t="n"/>
      <c r="G26" s="46" t="n"/>
      <c r="H26" s="151" t="n"/>
      <c r="I26" s="155" t="n"/>
      <c r="K26" s="39" t="n"/>
      <c r="L26" s="44" t="n"/>
      <c r="M26" s="44" t="n"/>
      <c r="N26" s="151" t="n"/>
      <c r="O26" s="155" t="n"/>
      <c r="P26" s="46" t="n"/>
      <c r="Q26" s="151" t="n"/>
      <c r="R26" s="155" t="n"/>
      <c r="T26" s="39" t="n"/>
      <c r="U26" s="44" t="n"/>
      <c r="V26" s="44" t="n"/>
      <c r="W26" s="151" t="n"/>
      <c r="X26" s="155" t="n"/>
      <c r="Y26" s="46" t="n"/>
      <c r="Z26" s="151" t="n"/>
      <c r="AA26" s="155" t="n"/>
      <c r="AB26" s="140" t="n"/>
      <c r="AC26" s="39" t="n"/>
      <c r="AD26" s="44" t="n"/>
      <c r="AE26" s="44" t="n"/>
      <c r="AF26" s="151" t="n"/>
      <c r="AG26" s="155" t="n"/>
      <c r="AH26" s="46" t="n"/>
      <c r="AI26" s="151" t="n"/>
      <c r="AJ26" s="155" t="n"/>
      <c r="AK26" s="140" t="n"/>
      <c r="AL26" s="39" t="n"/>
      <c r="AM26" s="44" t="n"/>
      <c r="AN26" s="44" t="n"/>
      <c r="AO26" s="151" t="n"/>
      <c r="AP26" s="155" t="n"/>
      <c r="AQ26" s="46" t="n"/>
      <c r="AR26" s="151" t="n"/>
      <c r="AS26" s="155" t="n"/>
      <c r="AT26" s="141" t="n"/>
      <c r="AU26" s="39" t="n"/>
      <c r="AV26" s="44" t="n"/>
      <c r="AW26" s="44" t="n"/>
      <c r="AX26" s="151" t="n"/>
      <c r="AY26" s="155" t="n"/>
      <c r="AZ26" s="46" t="n"/>
      <c r="BA26" s="151" t="n"/>
      <c r="BB26" s="155" t="n"/>
      <c r="BC26" s="141" t="n"/>
      <c r="BD26" s="39" t="n"/>
      <c r="BE26" s="44" t="n"/>
      <c r="BF26" s="44" t="n"/>
      <c r="BG26" s="151" t="n"/>
      <c r="BH26" s="155" t="n"/>
      <c r="BI26" s="46" t="n"/>
      <c r="BJ26" s="151" t="n"/>
      <c r="BK26" s="155" t="n"/>
      <c r="BL26" s="73" t="n"/>
      <c r="BM26" s="39" t="n"/>
      <c r="BN26" s="44" t="n"/>
      <c r="BO26" s="44" t="n"/>
      <c r="BP26" s="151" t="n"/>
      <c r="BQ26" s="155" t="n"/>
      <c r="BR26" s="46" t="n"/>
      <c r="BS26" s="151" t="n"/>
      <c r="BT26" s="155" t="n"/>
      <c r="BV26" s="39" t="n"/>
      <c r="BW26" s="44" t="n"/>
      <c r="BX26" s="44" t="n"/>
      <c r="BY26" s="151" t="n"/>
      <c r="BZ26" s="155" t="n"/>
      <c r="CA26" s="46" t="n"/>
      <c r="CB26" s="151" t="n"/>
      <c r="CC26" s="155" t="n"/>
      <c r="CD26" s="158" t="n"/>
      <c r="CE26" s="39" t="n"/>
      <c r="CF26" s="44" t="n"/>
      <c r="CG26" s="44" t="n"/>
      <c r="CH26" s="151" t="n"/>
      <c r="CI26" s="155" t="n"/>
      <c r="CJ26" s="46" t="n"/>
      <c r="CK26" s="151" t="n"/>
      <c r="CL26" s="155" t="n"/>
      <c r="CN26" s="39" t="n"/>
      <c r="CO26" s="44" t="n"/>
      <c r="CP26" s="44" t="n"/>
      <c r="CQ26" s="151" t="n"/>
      <c r="CR26" s="155" t="n"/>
      <c r="CS26" s="46" t="n"/>
      <c r="CT26" s="151" t="n"/>
      <c r="CU26" s="155" t="n"/>
      <c r="CW26" s="39" t="n"/>
      <c r="CX26" s="44" t="n"/>
      <c r="CY26" s="44" t="n"/>
      <c r="CZ26" s="151" t="n"/>
      <c r="DA26" s="155" t="n"/>
      <c r="DB26" s="46" t="n"/>
      <c r="DC26" s="151" t="n"/>
      <c r="DD26" s="155" t="n"/>
      <c r="DF26" s="39" t="n"/>
      <c r="DG26" s="44" t="n"/>
      <c r="DH26" s="44" t="n"/>
      <c r="DI26" s="151" t="n"/>
      <c r="DJ26" s="155" t="n"/>
      <c r="DK26" s="46" t="n"/>
      <c r="DL26" s="151" t="n"/>
      <c r="DM26" s="155" t="n"/>
    </row>
    <row r="27">
      <c r="B27" s="27" t="inlineStr">
        <is>
          <t>D&amp;A</t>
        </is>
      </c>
      <c r="C27" s="2">
        <f>GETPIVOTDATA("ene-27 ",TABLA!$B$3,"Nivel 4","8.- Amortización del inmovilizado")/1000</f>
        <v/>
      </c>
      <c r="D27" s="2" t="n">
        <v>-19.13287</v>
      </c>
      <c r="E27" s="141">
        <f>C27-D27</f>
        <v/>
      </c>
      <c r="F27" s="145">
        <f>+IF(IFERROR(C27/D27-1,"-")&lt;300%,IFERROR(C27/D27-1,"-"),"n.a.")</f>
        <v/>
      </c>
      <c r="G27" s="73">
        <f>C27</f>
        <v/>
      </c>
      <c r="H27" s="141">
        <f>C27-G27</f>
        <v/>
      </c>
      <c r="I27" s="145">
        <f>+IF(IFERROR(C27/G27-1,"-")&lt;300%,IFERROR(C27/G27-1,"-"),"n.a.")</f>
        <v/>
      </c>
      <c r="K27" s="27" t="inlineStr">
        <is>
          <t>D&amp;A</t>
        </is>
      </c>
      <c r="L27" s="2">
        <f>GETPIVOTDATA("feb-27 ",TABLA!$B$3,"Nivel 4","8.- Amortización del inmovilizado")/1000</f>
        <v/>
      </c>
      <c r="M27" s="2" t="n">
        <v>-19.13287</v>
      </c>
      <c r="N27" s="141">
        <f>L27-M27</f>
        <v/>
      </c>
      <c r="O27" s="145">
        <f>+IF(IFERROR(L27/M27-1,"-")&lt;300%,IFERROR(L27/M27-1,"-"),"n.a.")</f>
        <v/>
      </c>
      <c r="P27" s="73">
        <f>L27</f>
        <v/>
      </c>
      <c r="Q27" s="141">
        <f>L27-P27</f>
        <v/>
      </c>
      <c r="R27" s="145">
        <f>+IF(IFERROR(L27/P27-1,"-")&lt;300%,IFERROR(L27/P27-1,"-"),"n.a.")</f>
        <v/>
      </c>
      <c r="T27" s="27" t="inlineStr">
        <is>
          <t>D&amp;A</t>
        </is>
      </c>
      <c r="U27" s="2">
        <f>GETPIVOTDATA("mar-27 ",TABLA!$B$3,"Nivel 4","8.- Amortización del inmovilizado")/1000</f>
        <v/>
      </c>
      <c r="V27" s="2" t="n">
        <v>-18.90355</v>
      </c>
      <c r="W27" s="141">
        <f>U27-V27</f>
        <v/>
      </c>
      <c r="X27" s="145">
        <f>+IF(IFERROR(U27/V27-1,"-")&lt;300%,IFERROR(U27/V27-1,"-"),"n.a.")</f>
        <v/>
      </c>
      <c r="Y27" s="73">
        <f>U27</f>
        <v/>
      </c>
      <c r="Z27" s="141">
        <f>U27-Y27</f>
        <v/>
      </c>
      <c r="AA27" s="145">
        <f>+IF(IFERROR(U27/Y27-1,"-")&lt;300%,IFERROR(U27/Y27-1,"-"),"n.a.")</f>
        <v/>
      </c>
      <c r="AB27" s="137" t="n"/>
      <c r="AC27" s="27" t="inlineStr">
        <is>
          <t>D&amp;A</t>
        </is>
      </c>
      <c r="AD27" s="2">
        <f>GETPIVOTDATA("abr-27 ",TABLA!$B$3,"Nivel 4","8.- Amortización del inmovilizado")/1000</f>
        <v/>
      </c>
      <c r="AE27" s="2" t="n">
        <v>-18.90355</v>
      </c>
      <c r="AF27" s="141">
        <f>AD27-AE27</f>
        <v/>
      </c>
      <c r="AG27" s="145">
        <f>+IF(IFERROR(AD27/AE27-1,"-")&lt;300%,IFERROR(AD27/AE27-1,"-"),"n.a.")</f>
        <v/>
      </c>
      <c r="AH27" s="73">
        <f>AD27</f>
        <v/>
      </c>
      <c r="AI27" s="141">
        <f>AD27-AH27</f>
        <v/>
      </c>
      <c r="AJ27" s="145">
        <f>+IF(IFERROR(AD27/AH27-1,"-")&lt;300%,IFERROR(AD27/AH27-1,"-"),"n.a.")</f>
        <v/>
      </c>
      <c r="AK27" s="137" t="n"/>
      <c r="AL27" s="27" t="inlineStr">
        <is>
          <t>D&amp;A</t>
        </is>
      </c>
      <c r="AM27" s="2">
        <f>GETPIVOTDATA("may-27 ",TABLA!$B$3,"Nivel 4","8.- Amortización del inmovilizado")/1000</f>
        <v/>
      </c>
      <c r="AN27" s="2" t="n">
        <v>-19.18968</v>
      </c>
      <c r="AO27" s="141">
        <f>AM27-AN27</f>
        <v/>
      </c>
      <c r="AP27" s="145">
        <f>+IF(IFERROR(AM27/AN27-1,"-")&lt;300%,IFERROR(AM27/AN27-1,"-"),"n.a.")</f>
        <v/>
      </c>
      <c r="AQ27" s="73">
        <f>AM27</f>
        <v/>
      </c>
      <c r="AR27" s="141">
        <f>AM27-AQ27</f>
        <v/>
      </c>
      <c r="AS27" s="145">
        <f>+IF(IFERROR(AM27/AQ27-1,"-")&lt;300%,IFERROR(AM27/AQ27-1,"-"),"n.a.")</f>
        <v/>
      </c>
      <c r="AT27" s="138" t="n"/>
      <c r="AU27" s="27" t="inlineStr">
        <is>
          <t>D&amp;A</t>
        </is>
      </c>
      <c r="AV27" s="2">
        <f>GETPIVOTDATA("ago-27 ",TABLA!$B$3,"Nivel 4","8.- Amortización del inmovilizado")/1000</f>
        <v/>
      </c>
      <c r="AW27" s="2" t="n">
        <v>-19.06025</v>
      </c>
      <c r="AX27" s="141">
        <f>AV27-AW27</f>
        <v/>
      </c>
      <c r="AY27" s="145">
        <f>+IF(IFERROR(AV27/AW27-1,"-")&lt;300%,IFERROR(AV27/AW27-1,"-"),"n.a.")</f>
        <v/>
      </c>
      <c r="AZ27" s="73">
        <f>AV27</f>
        <v/>
      </c>
      <c r="BA27" s="141">
        <f>AV27-AZ27</f>
        <v/>
      </c>
      <c r="BB27" s="145">
        <f>+IF(IFERROR(AV27/AZ27-1,"-")&lt;300%,IFERROR(AV27/AZ27-1,"-"),"n.a.")</f>
        <v/>
      </c>
      <c r="BC27" s="138" t="n"/>
      <c r="BD27" s="27" t="inlineStr">
        <is>
          <t>D&amp;A</t>
        </is>
      </c>
      <c r="BE27" s="2">
        <f>GETPIVOTDATA("jul-27 ",TABLA!$B$3,"Nivel 4","8.- Amortización del inmovilizado")/1000</f>
        <v/>
      </c>
      <c r="BF27" s="2" t="n">
        <v>-19.22529</v>
      </c>
      <c r="BG27" s="141">
        <f>BE27-BF27</f>
        <v/>
      </c>
      <c r="BH27" s="145">
        <f>+IF(IFERROR(BE27/BF27-1,"-")&lt;300%,IFERROR(BE27/BF27-1,"-"),"n.a.")</f>
        <v/>
      </c>
      <c r="BI27" s="73">
        <f>BE27</f>
        <v/>
      </c>
      <c r="BJ27" s="141">
        <f>BE27-BI27</f>
        <v/>
      </c>
      <c r="BK27" s="145">
        <f>+IF(IFERROR(BE27/BI27-1,"-")&lt;300%,IFERROR(BE27/BI27-1,"-"),"n.a.")</f>
        <v/>
      </c>
      <c r="BL27" s="138" t="n"/>
      <c r="BM27" s="27" t="inlineStr">
        <is>
          <t>D&amp;A</t>
        </is>
      </c>
      <c r="BN27" s="2">
        <f>GETPIVOTDATA("ago-27 ",TABLA!$B$3,"Nivel 4","8.- Amortización del inmovilizado")/1000</f>
        <v/>
      </c>
      <c r="BO27" s="2" t="n">
        <v>-19.22529</v>
      </c>
      <c r="BP27" s="141">
        <f>BN27-BO27</f>
        <v/>
      </c>
      <c r="BQ27" s="145">
        <f>+IF(IFERROR(BN27/BO27-1,"-")&lt;300%,IFERROR(BN27/BO27-1,"-"),"n.a.")</f>
        <v/>
      </c>
      <c r="BR27" s="73">
        <f>BN27</f>
        <v/>
      </c>
      <c r="BS27" s="141">
        <f>BN27-BR27</f>
        <v/>
      </c>
      <c r="BT27" s="145">
        <f>+IF(IFERROR(BN27/BR27-1,"-")&lt;300%,IFERROR(BN27/BR27-1,"-"),"n.a.")</f>
        <v/>
      </c>
      <c r="BV27" s="27" t="inlineStr">
        <is>
          <t>D&amp;A</t>
        </is>
      </c>
      <c r="BW27" s="2">
        <f>GETPIVOTDATA("sep-27 ",TABLA!$B$3,"Nivel 4","8.- Amortización del inmovilizado")/1000</f>
        <v/>
      </c>
      <c r="BX27" s="2" t="n">
        <v>-19.22535</v>
      </c>
      <c r="BY27" s="141">
        <f>BW27-BX27</f>
        <v/>
      </c>
      <c r="BZ27" s="145">
        <f>+IF(IFERROR(BW27/BX27-1,"-")&lt;300%,IFERROR(BW27/BX27-1,"-"),"n.a.")</f>
        <v/>
      </c>
      <c r="CA27" s="73">
        <f>BW27</f>
        <v/>
      </c>
      <c r="CB27" s="141">
        <f>BW27-CA27</f>
        <v/>
      </c>
      <c r="CC27" s="145">
        <f>+IF(IFERROR(BW27/CA27-1,"-")&lt;300%,IFERROR(BW27/CA27-1,"-"),"n.a.")</f>
        <v/>
      </c>
      <c r="CD27" s="147" t="n"/>
      <c r="CE27" s="27" t="inlineStr">
        <is>
          <t>D&amp;A</t>
        </is>
      </c>
      <c r="CF27" s="2">
        <f>GETPIVOTDATA("oct-27 ",TABLA!$B$3,"Nivel 4","8.- Amortización del inmovilizado")/1000</f>
        <v/>
      </c>
      <c r="CG27" s="2" t="n">
        <v>-19.22535</v>
      </c>
      <c r="CH27" s="141">
        <f>CF27-CG27</f>
        <v/>
      </c>
      <c r="CI27" s="145">
        <f>+IF(IFERROR(CF27/CG27-1,"-")&lt;300%,IFERROR(CF27/CG27-1,"-"),"n.a.")</f>
        <v/>
      </c>
      <c r="CJ27" s="73">
        <f>CF27</f>
        <v/>
      </c>
      <c r="CK27" s="141">
        <f>CF27-CJ27</f>
        <v/>
      </c>
      <c r="CL27" s="145">
        <f>+IF(IFERROR(CF27/CJ27-1,"-")&lt;300%,IFERROR(CF27/CJ27-1,"-"),"n.a.")</f>
        <v/>
      </c>
      <c r="CN27" s="27" t="inlineStr">
        <is>
          <t>D&amp;A</t>
        </is>
      </c>
      <c r="CO27" s="2">
        <f>GETPIVOTDATA("nov-27 ",TABLA!$B$3,"Nivel 4","8.- Amortización del inmovilizado")/1000</f>
        <v/>
      </c>
      <c r="CP27" s="2" t="n">
        <v>-19.22535</v>
      </c>
      <c r="CQ27" s="141">
        <f>CO27-CP27</f>
        <v/>
      </c>
      <c r="CR27" s="145">
        <f>+IF(IFERROR(CO27/CP27-1,"-")&lt;300%,IFERROR(CO27/CP27-1,"-"),"n.a.")</f>
        <v/>
      </c>
      <c r="CS27" s="73">
        <f>CO27</f>
        <v/>
      </c>
      <c r="CT27" s="141">
        <f>CO27-CS27</f>
        <v/>
      </c>
      <c r="CU27" s="145">
        <f>+IF(IFERROR(CO27/CS27-1,"-")&lt;300%,IFERROR(CO27/CS27-1,"-"),"n.a.")</f>
        <v/>
      </c>
      <c r="CW27" s="27" t="inlineStr">
        <is>
          <t>D&amp;A</t>
        </is>
      </c>
      <c r="CX27" s="2">
        <f>GETPIVOTDATA("dic-27 ",TABLA!$B$3,"Nivel 4","8.- Amortización del inmovilizado")/1000</f>
        <v/>
      </c>
      <c r="CY27" s="2" t="n">
        <v>-19.22535</v>
      </c>
      <c r="CZ27" s="141">
        <f>CX27-CY27</f>
        <v/>
      </c>
      <c r="DA27" s="145">
        <f>+IF(IFERROR(CX27/CY27-1,"-")&lt;300%,IFERROR(CX27/CY27-1,"-"),"n.a.")</f>
        <v/>
      </c>
      <c r="DB27" s="73">
        <f>CX27</f>
        <v/>
      </c>
      <c r="DC27" s="141">
        <f>CX27-DB27</f>
        <v/>
      </c>
      <c r="DD27" s="145">
        <f>+IF(IFERROR(CX27/DB27-1,"-")&lt;300%,IFERROR(CX27/DB27-1,"-"),"n.a.")</f>
        <v/>
      </c>
      <c r="DF27" s="27" t="inlineStr">
        <is>
          <t>D&amp;A</t>
        </is>
      </c>
      <c r="DG27" s="2">
        <f>GETPIVOTDATA("Total 2027 ",TABLA!$B$3,"Nivel 4","8.- Amortización del inmovilizado")/1000</f>
        <v/>
      </c>
      <c r="DH27" s="2">
        <f>CY27+CP27+CG27+BX27+BO27+BF27+AW27+AN27+AE27+V27+M27+D27</f>
        <v/>
      </c>
      <c r="DI27" s="141">
        <f>DG27-DH27</f>
        <v/>
      </c>
      <c r="DJ27" s="145">
        <f>+IF(IFERROR(DG27/DH27-1,"-")&lt;300%,IFERROR(DG27/DH27-1,"-"),"n.a.")</f>
        <v/>
      </c>
      <c r="DK27" s="73">
        <f>DG27</f>
        <v/>
      </c>
      <c r="DL27" s="141">
        <f>DG27-DK27</f>
        <v/>
      </c>
      <c r="DM27" s="145">
        <f>+IF(IFERROR(DG27/DK27-1,"-")&lt;300%,IFERROR(DG27/DK27-1,"-"),"n.a.")</f>
        <v/>
      </c>
    </row>
    <row r="28">
      <c r="B28" s="27" t="inlineStr">
        <is>
          <t>Other Gains/Losses</t>
        </is>
      </c>
      <c r="C28" s="162">
        <f>GETPIVOTDATA("ene-27 ",TABLA!$B$3,"Nivel 4","13.- Otros resultados")/1000+GETPIVOTDATA("ago-27 ",TABLA!$B$3,"Nivel 4","11.- Deterioro y resultado por enajenaciones del inmovilizado")/1000</f>
        <v/>
      </c>
      <c r="D28" s="2" t="n">
        <v>3.06527</v>
      </c>
      <c r="E28" s="141">
        <f>C28-D28</f>
        <v/>
      </c>
      <c r="F28" s="145" t="inlineStr">
        <is>
          <t>n.a.</t>
        </is>
      </c>
      <c r="G28" s="73">
        <f>C28</f>
        <v/>
      </c>
      <c r="H28" s="141">
        <f>C28-G28</f>
        <v/>
      </c>
      <c r="I28" s="145">
        <f>+IF(IFERROR(C28/G28-1,"-")&lt;300%,IFERROR(C28/G28-1,"-"),"n.a.")</f>
        <v/>
      </c>
      <c r="K28" s="27" t="inlineStr">
        <is>
          <t>Other Gains/Losses</t>
        </is>
      </c>
      <c r="L28" s="162">
        <f>GETPIVOTDATA("feb-27 ",TABLA!$B$3,"Nivel 4","13.- Otros resultados")+GETPIVOTDATA("ago-27 ",TABLA!$B$3,"Nivel 4","11.- Deterioro y resultado por enajenaciones del inmovilizado")/1000</f>
        <v/>
      </c>
      <c r="M28" s="2" t="n">
        <v>2e-05</v>
      </c>
      <c r="N28" s="141">
        <f>L28-M28</f>
        <v/>
      </c>
      <c r="O28" s="145" t="inlineStr">
        <is>
          <t>n.a.</t>
        </is>
      </c>
      <c r="P28" s="73">
        <f>L28</f>
        <v/>
      </c>
      <c r="Q28" s="141">
        <f>L28-P28</f>
        <v/>
      </c>
      <c r="R28" s="145">
        <f>+IF(IFERROR(L28/P28-1,"-")&lt;300%,IFERROR(L28/P28-1,"-"),"n.a.")</f>
        <v/>
      </c>
      <c r="T28" s="27" t="inlineStr">
        <is>
          <t>Other Gains/Losses</t>
        </is>
      </c>
      <c r="U28" s="162">
        <f>(GETPIVOTDATA("mar-27 ",TABLA!$B$3,"Nivel 4","11.- Deterioro y resultado por enajenaciones del inmovilizado")+GETPIVOTDATA("mar-27 ",TABLA!$B$3,"Nivel 4","13.- Otros resultados"))/1000</f>
        <v/>
      </c>
      <c r="V28" s="2" t="n">
        <v>1.99986</v>
      </c>
      <c r="W28" s="141">
        <f>U28-V28</f>
        <v/>
      </c>
      <c r="X28" s="145" t="inlineStr">
        <is>
          <t>n.a.</t>
        </is>
      </c>
      <c r="Y28" s="73">
        <f>U28</f>
        <v/>
      </c>
      <c r="Z28" s="141">
        <f>U28-Y28</f>
        <v/>
      </c>
      <c r="AA28" s="145">
        <f>+IF(IFERROR(U28/Y28-1,"-")&lt;300%,IFERROR(U28/Y28-1,"-"),"n.a.")</f>
        <v/>
      </c>
      <c r="AB28" s="169" t="n"/>
      <c r="AC28" s="27" t="inlineStr">
        <is>
          <t>Other Gains/Losses</t>
        </is>
      </c>
      <c r="AD28" s="162">
        <f>GETPIVOTDATA("abr-27 ",TABLA!$B$3,"Nivel 4","13.- Otros resultados")/1000+GETPIVOTDATA("ago-27 ",TABLA!$B$3,"Nivel 4","11.- Deterioro y resultado por enajenaciones del inmovilizado")/1000</f>
        <v/>
      </c>
      <c r="AE28" s="2" t="n">
        <v>1.02426</v>
      </c>
      <c r="AF28" s="141">
        <f>AD28-AE28</f>
        <v/>
      </c>
      <c r="AG28" s="145" t="inlineStr">
        <is>
          <t>n.a.</t>
        </is>
      </c>
      <c r="AH28" s="73">
        <f>AD28</f>
        <v/>
      </c>
      <c r="AI28" s="141">
        <f>AD28-AH28</f>
        <v/>
      </c>
      <c r="AJ28" s="145">
        <f>+IF(IFERROR(AD28/AH28-1,"-")&lt;300%,IFERROR(AD28/AH28-1,"-"),"n.a.")</f>
        <v/>
      </c>
      <c r="AK28" s="169" t="n"/>
      <c r="AL28" s="27" t="inlineStr">
        <is>
          <t>Other Gains/Losses</t>
        </is>
      </c>
      <c r="AM28" s="162">
        <f>GETPIVOTDATA("may-27 ",TABLA!$B$3,"Nivel 4","13.- Otros resultados")+GETPIVOTDATA("ago-27 ",TABLA!$B$3,"Nivel 4","11.- Deterioro y resultado por enajenaciones del inmovilizado")/1000</f>
        <v/>
      </c>
      <c r="AN28" s="2" t="n">
        <v>0</v>
      </c>
      <c r="AO28" s="141">
        <f>AM28-AN28</f>
        <v/>
      </c>
      <c r="AP28" s="145" t="inlineStr">
        <is>
          <t>n.a.</t>
        </is>
      </c>
      <c r="AQ28" s="73">
        <f>AM28</f>
        <v/>
      </c>
      <c r="AR28" s="141">
        <f>AM28-AQ28</f>
        <v/>
      </c>
      <c r="AS28" s="145">
        <f>+IF(IFERROR(AM28/AQ28-1,"-")&lt;300%,IFERROR(AM28/AQ28-1,"-"),"n.a.")</f>
        <v/>
      </c>
      <c r="AT28" s="154" t="n"/>
      <c r="AU28" s="27" t="inlineStr">
        <is>
          <t>Other Gains/Losses</t>
        </is>
      </c>
      <c r="AV28" s="162">
        <f>(GETPIVOTDATA("jun-27 ",TABLA!$B$3,"Nivel 4","11.- Deterioro y resultado por enajenaciones del inmovilizado")+GETPIVOTDATA("jun-27 ",TABLA!$B$3,"Nivel 4","13.- Otros resultados"))/1000</f>
        <v/>
      </c>
      <c r="AW28" s="2" t="n">
        <v>0</v>
      </c>
      <c r="AX28" s="141">
        <f>AV28-AW28</f>
        <v/>
      </c>
      <c r="AY28" s="145" t="inlineStr">
        <is>
          <t>n.a.</t>
        </is>
      </c>
      <c r="AZ28" s="73">
        <f>AV28</f>
        <v/>
      </c>
      <c r="BA28" s="141">
        <f>AV28-AZ28</f>
        <v/>
      </c>
      <c r="BB28" s="145">
        <f>+IF(IFERROR(AV28/AZ28-1,"-")&lt;300%,IFERROR(AV28/AZ28-1,"-"),"n.a.")</f>
        <v/>
      </c>
      <c r="BC28" s="154" t="n"/>
      <c r="BD28" s="27" t="inlineStr">
        <is>
          <t>Other Gains/Losses</t>
        </is>
      </c>
      <c r="BE28" s="162">
        <f>GETPIVOTDATA("jul-27 ",TABLA!$B$3,"Nivel 4","13.- Otros resultados")+GETPIVOTDATA("ago-27 ",TABLA!$B$3,"Nivel 4","11.- Deterioro y resultado por enajenaciones del inmovilizado")/1000</f>
        <v/>
      </c>
      <c r="BF28" s="2" t="n">
        <v>-0.08803</v>
      </c>
      <c r="BG28" s="141">
        <f>BE28-BF28</f>
        <v/>
      </c>
      <c r="BH28" s="145" t="inlineStr">
        <is>
          <t>n.a.</t>
        </is>
      </c>
      <c r="BI28" s="73">
        <f>BE28</f>
        <v/>
      </c>
      <c r="BJ28" s="141">
        <f>BE28-BI28</f>
        <v/>
      </c>
      <c r="BK28" s="145">
        <f>+IF(IFERROR(BE28/BI28-1,"-")&lt;300%,IFERROR(BE28/BI28-1,"-"),"n.a.")</f>
        <v/>
      </c>
      <c r="BL28" s="171" t="n"/>
      <c r="BM28" s="27" t="inlineStr">
        <is>
          <t>Other Gains/Losses</t>
        </is>
      </c>
      <c r="BN28" s="162">
        <f>GETPIVOTDATA("ago-27 ",TABLA!$B$3,"Nivel 4","13.- Otros resultados")+GETPIVOTDATA("ago-27 ",TABLA!$B$3,"Nivel 4","11.- Deterioro y resultado por enajenaciones del inmovilizado")/1000</f>
        <v/>
      </c>
      <c r="BO28" s="2" t="n">
        <v>-0.01</v>
      </c>
      <c r="BP28" s="141">
        <f>BN28-BO28</f>
        <v/>
      </c>
      <c r="BQ28" s="145" t="inlineStr">
        <is>
          <t>n.a.</t>
        </is>
      </c>
      <c r="BR28" s="73">
        <f>BN28</f>
        <v/>
      </c>
      <c r="BS28" s="141">
        <f>BN28-BR28</f>
        <v/>
      </c>
      <c r="BT28" s="145">
        <f>+IF(IFERROR(BN28/BR28-1,"-")&lt;300%,IFERROR(BN28/BR28-1,"-"),"n.a.")</f>
        <v/>
      </c>
      <c r="BV28" s="27" t="inlineStr">
        <is>
          <t>Other Gains/Losses</t>
        </is>
      </c>
      <c r="BW28" s="162">
        <f>GETPIVOTDATA("sep-27 ",TABLA!$B$3,"Nivel 4","13.- Otros resultados")+GETPIVOTDATA("ago-27 ",TABLA!$B$3,"Nivel 4","11.- Deterioro y resultado por enajenaciones del inmovilizado")/1000</f>
        <v/>
      </c>
      <c r="BX28" s="2" t="n">
        <v>0</v>
      </c>
      <c r="BY28" s="141">
        <f>BW28-BX28</f>
        <v/>
      </c>
      <c r="BZ28" s="145" t="inlineStr">
        <is>
          <t>n.a.</t>
        </is>
      </c>
      <c r="CA28" s="73">
        <f>BW28</f>
        <v/>
      </c>
      <c r="CB28" s="141">
        <f>BW28-CA28</f>
        <v/>
      </c>
      <c r="CC28" s="145">
        <f>+IF(IFERROR(BW28/CA28-1,"-")&lt;300%,IFERROR(BW28/CA28-1,"-"),"n.a.")</f>
        <v/>
      </c>
      <c r="CD28" s="147" t="n"/>
      <c r="CE28" s="27" t="inlineStr">
        <is>
          <t>Other Gains/Losses</t>
        </is>
      </c>
      <c r="CF28" s="162">
        <f>GETPIVOTDATA("oct-27 ",TABLA!$B$3,"Nivel 4","13.- Otros resultados")+GETPIVOTDATA("ago-27 ",TABLA!$B$3,"Nivel 4","11.- Deterioro y resultado por enajenaciones del inmovilizado")/1000</f>
        <v/>
      </c>
      <c r="CG28" s="2" t="n">
        <v>0</v>
      </c>
      <c r="CH28" s="141">
        <f>CF28-CG28</f>
        <v/>
      </c>
      <c r="CI28" s="145" t="inlineStr">
        <is>
          <t>n.a.</t>
        </is>
      </c>
      <c r="CJ28" s="73">
        <f>CF28</f>
        <v/>
      </c>
      <c r="CK28" s="141">
        <f>CF28-CJ28</f>
        <v/>
      </c>
      <c r="CL28" s="145">
        <f>+IF(IFERROR(CF28/CJ28-1,"-")&lt;300%,IFERROR(CF28/CJ28-1,"-"),"n.a.")</f>
        <v/>
      </c>
      <c r="CN28" s="27" t="inlineStr">
        <is>
          <t>Other Gains/Losses</t>
        </is>
      </c>
      <c r="CO28" s="162">
        <f>GETPIVOTDATA("nov-27 ",TABLA!$B$3,"Nivel 4","13.- Otros resultados")+GETPIVOTDATA("ago-27 ",TABLA!$B$3,"Nivel 4","11.- Deterioro y resultado por enajenaciones del inmovilizado")/1000</f>
        <v/>
      </c>
      <c r="CP28" s="2" t="n">
        <v>0</v>
      </c>
      <c r="CQ28" s="141">
        <f>CO28-CP28</f>
        <v/>
      </c>
      <c r="CR28" s="145" t="inlineStr">
        <is>
          <t>n.a.</t>
        </is>
      </c>
      <c r="CS28" s="73">
        <f>CO28</f>
        <v/>
      </c>
      <c r="CT28" s="141">
        <f>CO28-CS28</f>
        <v/>
      </c>
      <c r="CU28" s="145">
        <f>+IF(IFERROR(CO28/CS28-1,"-")&lt;300%,IFERROR(CO28/CS28-1,"-"),"n.a.")</f>
        <v/>
      </c>
      <c r="CW28" s="27" t="inlineStr">
        <is>
          <t>Other Gains/Losses</t>
        </is>
      </c>
      <c r="CX28" s="162">
        <f>GETPIVOTDATA("dic-27 ",TABLA!$B$3,"Nivel 4","13.- Otros resultados")+GETPIVOTDATA("ago-27 ",TABLA!$B$3,"Nivel 4","11.- Deterioro y resultado por enajenaciones del inmovilizado")/1000</f>
        <v/>
      </c>
      <c r="CY28" s="2" t="n">
        <v>0</v>
      </c>
      <c r="CZ28" s="141">
        <f>CX28-CY28</f>
        <v/>
      </c>
      <c r="DA28" s="145" t="inlineStr">
        <is>
          <t>n.a.</t>
        </is>
      </c>
      <c r="DB28" s="73">
        <f>CX28</f>
        <v/>
      </c>
      <c r="DC28" s="141">
        <f>CX28-DB28</f>
        <v/>
      </c>
      <c r="DD28" s="145">
        <f>+IF(IFERROR(CX28/DB28-1,"-")&lt;300%,IFERROR(CX28/DB28-1,"-"),"n.a.")</f>
        <v/>
      </c>
      <c r="DF28" s="27" t="inlineStr">
        <is>
          <t>Other Gains/Losses</t>
        </is>
      </c>
      <c r="DG28" s="162">
        <f>GETPIVOTDATA("Total 2027 ",TABLA!$B$3,"Nivel 4","13.- Otros resultados")/1000+GETPIVOTDATA("ago-27 ",TABLA!$B$3,"Nivel 4","11.- Deterioro y resultado por enajenaciones del inmovilizado")/1000</f>
        <v/>
      </c>
      <c r="DH28" s="2">
        <f>CY28+CP28+CG28+BX28+BO28+BF28+AW28+AN28+AE28+V28+M28+D28</f>
        <v/>
      </c>
      <c r="DI28" s="141">
        <f>DG28-DH28</f>
        <v/>
      </c>
      <c r="DJ28" s="145" t="inlineStr">
        <is>
          <t>n.a.</t>
        </is>
      </c>
      <c r="DK28" s="73">
        <f>DG28</f>
        <v/>
      </c>
      <c r="DL28" s="141">
        <f>DG28-DK28</f>
        <v/>
      </c>
      <c r="DM28" s="145">
        <f>+IF(IFERROR(DG28/DK28-1,"-")&lt;300%,IFERROR(DG28/DK28-1,"-"),"n.a.")</f>
        <v/>
      </c>
    </row>
    <row r="29">
      <c r="B29" s="35" t="inlineStr">
        <is>
          <t>Adjusted EBIT</t>
        </is>
      </c>
      <c r="C29" s="142">
        <f>C24+C27+C28</f>
        <v/>
      </c>
      <c r="D29" s="142" t="n">
        <v>250.10021</v>
      </c>
      <c r="E29" s="142">
        <f>C29-D29</f>
        <v/>
      </c>
      <c r="F29" s="143">
        <f>+IF(IFERROR(C29/D29-1,"-")&lt;300%,IFERROR(C29/D29-1,"-"),"n.a.")</f>
        <v/>
      </c>
      <c r="G29" s="142">
        <f>G24+G27+G28</f>
        <v/>
      </c>
      <c r="H29" s="142">
        <f>C29-G29</f>
        <v/>
      </c>
      <c r="I29" s="143">
        <f>+IF(IFERROR(C29/G29-1,"-")&lt;300%,IFERROR(C29/G29-1,"-"),"n.a.")</f>
        <v/>
      </c>
      <c r="K29" s="35" t="inlineStr">
        <is>
          <t>Adjusted EBIT</t>
        </is>
      </c>
      <c r="L29" s="142">
        <f>L24+L27+L28</f>
        <v/>
      </c>
      <c r="M29" s="142" t="n">
        <v>889.63206</v>
      </c>
      <c r="N29" s="142">
        <f>L29-M29</f>
        <v/>
      </c>
      <c r="O29" s="143">
        <f>+IF(IFERROR(L29/M29-1,"-")&lt;300%,IFERROR(L29/M29-1,"-"),"n.a.")</f>
        <v/>
      </c>
      <c r="P29" s="142">
        <f>P24+P27+P28</f>
        <v/>
      </c>
      <c r="Q29" s="142">
        <f>L29-P29</f>
        <v/>
      </c>
      <c r="R29" s="143">
        <f>+IF(IFERROR(L29/P29-1,"-")&lt;300%,IFERROR(L29/P29-1,"-"),"n.a.")</f>
        <v/>
      </c>
      <c r="T29" s="35" t="inlineStr">
        <is>
          <t>Adjusted EBIT</t>
        </is>
      </c>
      <c r="U29" s="142">
        <f>U24+U27+U28</f>
        <v/>
      </c>
      <c r="V29" s="142" t="n">
        <v>874.3462099999998</v>
      </c>
      <c r="W29" s="142">
        <f>U29-V29</f>
        <v/>
      </c>
      <c r="X29" s="143">
        <f>+IF(IFERROR(U29/V29-1,"-")&lt;300%,IFERROR(U29/V29-1,"-"),"n.a.")</f>
        <v/>
      </c>
      <c r="Y29" s="142">
        <f>Y24+Y27+Y28</f>
        <v/>
      </c>
      <c r="Z29" s="142">
        <f>U29-Y29</f>
        <v/>
      </c>
      <c r="AA29" s="143">
        <f>+IF(IFERROR(U29/Y29-1,"-")&lt;300%,IFERROR(U29/Y29-1,"-"),"n.a.")</f>
        <v/>
      </c>
      <c r="AC29" s="35" t="inlineStr">
        <is>
          <t>Adjusted EBIT</t>
        </is>
      </c>
      <c r="AD29" s="142">
        <f>AD24+AD27+AD28</f>
        <v/>
      </c>
      <c r="AE29" s="142" t="n">
        <v>701.0603299999999</v>
      </c>
      <c r="AF29" s="142">
        <f>AD29-AE29</f>
        <v/>
      </c>
      <c r="AG29" s="143">
        <f>+IF(IFERROR(AD29/AE29-1,"-")&lt;300%,IFERROR(AD29/AE29-1,"-"),"n.a.")</f>
        <v/>
      </c>
      <c r="AH29" s="142">
        <f>AH24+AH27+AH28</f>
        <v/>
      </c>
      <c r="AI29" s="142">
        <f>AD29-AH29</f>
        <v/>
      </c>
      <c r="AJ29" s="143">
        <f>+IF(IFERROR(AD29/AH29-1,"-")&lt;300%,IFERROR(AD29/AH29-1,"-"),"n.a.")</f>
        <v/>
      </c>
      <c r="AL29" s="35" t="inlineStr">
        <is>
          <t>Adjusted EBIT</t>
        </is>
      </c>
      <c r="AM29" s="142">
        <f>AM24+AM27+AM28</f>
        <v/>
      </c>
      <c r="AN29" s="142" t="n">
        <v>1049.22404</v>
      </c>
      <c r="AO29" s="142">
        <f>AM29-AN29</f>
        <v/>
      </c>
      <c r="AP29" s="143">
        <f>+IF(IFERROR(AM29/AN29-1,"-")&lt;300%,IFERROR(AM29/AN29-1,"-"),"n.a.")</f>
        <v/>
      </c>
      <c r="AQ29" s="142">
        <f>AQ24+AQ27+AQ28</f>
        <v/>
      </c>
      <c r="AR29" s="142">
        <f>AM29-AQ29</f>
        <v/>
      </c>
      <c r="AS29" s="143">
        <f>+IF(IFERROR(AM29/AQ29-1,"-")&lt;300%,IFERROR(AM29/AQ29-1,"-"),"n.a.")</f>
        <v/>
      </c>
      <c r="AU29" s="35" t="inlineStr">
        <is>
          <t>Adjusted EBIT</t>
        </is>
      </c>
      <c r="AV29" s="142">
        <f>AV24+AV27+AV28</f>
        <v/>
      </c>
      <c r="AW29" s="142" t="n">
        <v>902.5345499999997</v>
      </c>
      <c r="AX29" s="142">
        <f>AV29-AW29</f>
        <v/>
      </c>
      <c r="AY29" s="143">
        <f>+IF(IFERROR(AV29/AW29-1,"-")&lt;300%,IFERROR(AV29/AW29-1,"-"),"n.a.")</f>
        <v/>
      </c>
      <c r="AZ29" s="142">
        <f>AZ24+AZ27+AZ28</f>
        <v/>
      </c>
      <c r="BA29" s="142">
        <f>AV29-AZ29</f>
        <v/>
      </c>
      <c r="BB29" s="143">
        <f>+IF(IFERROR(AV29/AZ29-1,"-")&lt;300%,IFERROR(AV29/AZ29-1,"-"),"n.a.")</f>
        <v/>
      </c>
      <c r="BD29" s="35" t="inlineStr">
        <is>
          <t>Adjusted EBIT</t>
        </is>
      </c>
      <c r="BE29" s="142">
        <f>BE24+BE27+BE28</f>
        <v/>
      </c>
      <c r="BF29" s="142" t="n">
        <v>442.4677257810027</v>
      </c>
      <c r="BG29" s="142">
        <f>BE29-BF29</f>
        <v/>
      </c>
      <c r="BH29" s="143">
        <f>+IF(IFERROR(BE29/BF29-1,"-")&lt;300%,IFERROR(BE29/BF29-1,"-"),"n.a.")</f>
        <v/>
      </c>
      <c r="BI29" s="142">
        <f>BI24+BI27+BI28</f>
        <v/>
      </c>
      <c r="BJ29" s="142">
        <f>BE29-BI29</f>
        <v/>
      </c>
      <c r="BK29" s="143">
        <f>+IF(IFERROR(BE29/BI29-1,"-")&lt;300%,IFERROR(BE29/BI29-1,"-"),"n.a.")</f>
        <v/>
      </c>
      <c r="BM29" s="35" t="inlineStr">
        <is>
          <t>Adjusted EBIT</t>
        </is>
      </c>
      <c r="BN29" s="142">
        <f>BN24+BN27+BN28</f>
        <v/>
      </c>
      <c r="BO29" s="142" t="n">
        <v>225.485178968704</v>
      </c>
      <c r="BP29" s="142">
        <f>BN29-BO29</f>
        <v/>
      </c>
      <c r="BQ29" s="143">
        <f>+IF(IFERROR(BN29/BO29-1,"-")&lt;300%,IFERROR(BN29/BO29-1,"-"),"n.a.")</f>
        <v/>
      </c>
      <c r="BR29" s="142">
        <f>BR24+BR27+BR28</f>
        <v/>
      </c>
      <c r="BS29" s="142">
        <f>BN29-BR29</f>
        <v/>
      </c>
      <c r="BT29" s="143">
        <f>+IF(IFERROR(BN29/BR29-1,"-")&lt;300%,IFERROR(BN29/BR29-1,"-"),"n.a.")</f>
        <v/>
      </c>
      <c r="BV29" s="35" t="inlineStr">
        <is>
          <t>Adjusted EBIT</t>
        </is>
      </c>
      <c r="BW29" s="142">
        <f>BW24+BW27+BW28</f>
        <v/>
      </c>
      <c r="BX29" s="142" t="n">
        <v>44.87932</v>
      </c>
      <c r="BY29" s="142">
        <f>BW29-BX29</f>
        <v/>
      </c>
      <c r="BZ29" s="143">
        <f>+IF(IFERROR(BW29/BX29-1,"-")&lt;300%,IFERROR(BW29/BX29-1,"-"),"n.a.")</f>
        <v/>
      </c>
      <c r="CA29" s="142">
        <f>CA24+CA27+CA28</f>
        <v/>
      </c>
      <c r="CB29" s="142">
        <f>BW29-CA29</f>
        <v/>
      </c>
      <c r="CC29" s="143">
        <f>+IF(IFERROR(BW29/CA29-1,"-")&lt;300%,IFERROR(BW29/CA29-1,"-"),"n.a.")</f>
        <v/>
      </c>
      <c r="CD29" s="152" t="n"/>
      <c r="CE29" s="35" t="inlineStr">
        <is>
          <t>Adjusted EBIT</t>
        </is>
      </c>
      <c r="CF29" s="142">
        <f>CF24+CF27+CF28</f>
        <v/>
      </c>
      <c r="CG29" s="142" t="n">
        <v>310.0043200000001</v>
      </c>
      <c r="CH29" s="142">
        <f>CF29-CG29</f>
        <v/>
      </c>
      <c r="CI29" s="143">
        <f>+IF(IFERROR(CF29/CG29-1,"-")&lt;300%,IFERROR(CF29/CG29-1,"-"),"n.a.")</f>
        <v/>
      </c>
      <c r="CJ29" s="142">
        <f>CJ24+CJ27+CJ28</f>
        <v/>
      </c>
      <c r="CK29" s="142">
        <f>CF29-CJ29</f>
        <v/>
      </c>
      <c r="CL29" s="143">
        <f>+IF(IFERROR(CF29/CJ29-1,"-")&lt;300%,IFERROR(CF29/CJ29-1,"-"),"n.a.")</f>
        <v/>
      </c>
      <c r="CN29" s="35" t="inlineStr">
        <is>
          <t>Adjusted EBIT</t>
        </is>
      </c>
      <c r="CO29" s="142">
        <f>CO24+CO27+CO28</f>
        <v/>
      </c>
      <c r="CP29" s="142" t="n">
        <v>519.12494</v>
      </c>
      <c r="CQ29" s="142">
        <f>CO29-CP29</f>
        <v/>
      </c>
      <c r="CR29" s="143">
        <f>+IF(IFERROR(CO29/CP29-1,"-")&lt;300%,IFERROR(CO29/CP29-1,"-"),"n.a.")</f>
        <v/>
      </c>
      <c r="CS29" s="142">
        <f>CS24+CS27+CS28</f>
        <v/>
      </c>
      <c r="CT29" s="142">
        <f>CO29-CS29</f>
        <v/>
      </c>
      <c r="CU29" s="143">
        <f>+IF(IFERROR(CO29/CS29-1,"-")&lt;300%,IFERROR(CO29/CS29-1,"-"),"n.a.")</f>
        <v/>
      </c>
      <c r="CW29" s="35" t="inlineStr">
        <is>
          <t>Adjusted EBIT</t>
        </is>
      </c>
      <c r="CX29" s="142">
        <f>CX24+CX27+CX28</f>
        <v/>
      </c>
      <c r="CY29" s="142" t="n">
        <v>-8.04237999999993</v>
      </c>
      <c r="CZ29" s="142">
        <f>CX29-CY29</f>
        <v/>
      </c>
      <c r="DA29" s="143">
        <f>+IF(IFERROR(CX29/CY29-1,"-")&lt;300%,IFERROR(CX29/CY29-1,"-"),"n.a.")</f>
        <v/>
      </c>
      <c r="DB29" s="142">
        <f>DB24+DB27+DB28</f>
        <v/>
      </c>
      <c r="DC29" s="142">
        <f>CX29-DB29</f>
        <v/>
      </c>
      <c r="DD29" s="143">
        <f>+IF(IFERROR(CX29/DB29-1,"-")&lt;300%,IFERROR(CX29/DB29-1,"-"),"n.a.")</f>
        <v/>
      </c>
      <c r="DF29" s="35" t="inlineStr">
        <is>
          <t>Adjusted EBIT</t>
        </is>
      </c>
      <c r="DG29" s="142">
        <f>DG24+DG27+DG28</f>
        <v/>
      </c>
      <c r="DH29" s="142">
        <f>DH24+DH27+DH28</f>
        <v/>
      </c>
      <c r="DI29" s="142">
        <f>DG29-DH29</f>
        <v/>
      </c>
      <c r="DJ29" s="143">
        <f>+IF(IFERROR(DG29/DH29-1,"-")&lt;300%,IFERROR(DG29/DH29-1,"-"),"n.a.")</f>
        <v/>
      </c>
      <c r="DK29" s="142">
        <f>DK24+DK27+DK28</f>
        <v/>
      </c>
      <c r="DL29" s="142">
        <f>DG29-DK29</f>
        <v/>
      </c>
      <c r="DM29" s="143">
        <f>+IF(IFERROR(DG29/DK29-1,"-")&lt;300%,IFERROR(DG29/DK29-1,"-"),"n.a.")</f>
        <v/>
      </c>
    </row>
    <row r="30">
      <c r="B30" s="39" t="inlineStr">
        <is>
          <t>% EBIT Margin</t>
        </is>
      </c>
      <c r="C30" s="171">
        <f>C29/C10</f>
        <v/>
      </c>
      <c r="D30" s="171" t="n">
        <v>0.2542141241228439</v>
      </c>
      <c r="E30" s="154" t="n"/>
      <c r="F30" s="170" t="n"/>
      <c r="G30" s="171">
        <f>G29/G10</f>
        <v/>
      </c>
      <c r="H30" s="154" t="n"/>
      <c r="I30" s="170" t="n"/>
      <c r="K30" s="39" t="inlineStr">
        <is>
          <t>% EBIT Margin</t>
        </is>
      </c>
      <c r="L30" s="171">
        <f>L29/L10</f>
        <v/>
      </c>
      <c r="M30" s="171" t="n">
        <v>0.60501566159489</v>
      </c>
      <c r="N30" s="154" t="n"/>
      <c r="O30" s="170" t="n"/>
      <c r="P30" s="171">
        <f>P29/P10</f>
        <v/>
      </c>
      <c r="Q30" s="154" t="n"/>
      <c r="R30" s="170" t="n"/>
      <c r="T30" s="39" t="inlineStr">
        <is>
          <t>% EBIT Margin</t>
        </is>
      </c>
      <c r="U30" s="171">
        <f>U29/U10</f>
        <v/>
      </c>
      <c r="V30" s="171" t="n">
        <v>0.5700562308615756</v>
      </c>
      <c r="W30" s="154" t="n"/>
      <c r="X30" s="170" t="n"/>
      <c r="Y30" s="171">
        <f>Y29/Y10</f>
        <v/>
      </c>
      <c r="Z30" s="154" t="n"/>
      <c r="AA30" s="170" t="n"/>
      <c r="AC30" s="39" t="inlineStr">
        <is>
          <t>% EBIT Margin</t>
        </is>
      </c>
      <c r="AD30" s="171">
        <f>AD29/AD10</f>
        <v/>
      </c>
      <c r="AE30" s="171" t="n">
        <v>0.4794734559663893</v>
      </c>
      <c r="AF30" s="154" t="n"/>
      <c r="AG30" s="170" t="n"/>
      <c r="AH30" s="171">
        <f>AH29/AH10</f>
        <v/>
      </c>
      <c r="AI30" s="154" t="n"/>
      <c r="AJ30" s="170" t="n"/>
      <c r="AL30" s="39" t="inlineStr">
        <is>
          <t>% EBIT Margin</t>
        </is>
      </c>
      <c r="AM30" s="171">
        <f>AM29/AM10</f>
        <v/>
      </c>
      <c r="AN30" s="171" t="n">
        <v>0.5447882784062479</v>
      </c>
      <c r="AO30" s="154" t="n"/>
      <c r="AP30" s="170" t="n"/>
      <c r="AQ30" s="171">
        <f>AQ29/AQ10</f>
        <v/>
      </c>
      <c r="AR30" s="154" t="n"/>
      <c r="AS30" s="170" t="n"/>
      <c r="AU30" s="39" t="inlineStr">
        <is>
          <t>% EBIT Margin</t>
        </is>
      </c>
      <c r="AV30" s="171">
        <f>AV29/AV10</f>
        <v/>
      </c>
      <c r="AW30" s="171" t="n">
        <v>0.4599460358457871</v>
      </c>
      <c r="AX30" s="154" t="n"/>
      <c r="AY30" s="170" t="n"/>
      <c r="AZ30" s="171">
        <f>AZ29/AZ10</f>
        <v/>
      </c>
      <c r="BA30" s="154" t="n"/>
      <c r="BB30" s="170" t="n"/>
      <c r="BD30" s="39" t="inlineStr">
        <is>
          <t>% EBIT Margin</t>
        </is>
      </c>
      <c r="BE30" s="171">
        <f>BE29/BE10</f>
        <v/>
      </c>
      <c r="BF30" s="171" t="n">
        <v>0.3428243719319021</v>
      </c>
      <c r="BG30" s="154" t="n"/>
      <c r="BH30" s="170" t="n"/>
      <c r="BI30" s="171">
        <f>BI29/BI10</f>
        <v/>
      </c>
      <c r="BJ30" s="154" t="n"/>
      <c r="BK30" s="170" t="n"/>
      <c r="BM30" s="39" t="inlineStr">
        <is>
          <t>% EBIT Margin</t>
        </is>
      </c>
      <c r="BN30" s="171">
        <f>BN29/BN10</f>
        <v/>
      </c>
      <c r="BO30" s="171" t="n">
        <v>0.2861105259478434</v>
      </c>
      <c r="BP30" s="154" t="n"/>
      <c r="BQ30" s="170" t="n"/>
      <c r="BR30" s="171">
        <f>BR29/BR10</f>
        <v/>
      </c>
      <c r="BS30" s="154" t="n"/>
      <c r="BT30" s="170" t="n"/>
      <c r="BV30" s="39" t="inlineStr">
        <is>
          <t>% EBIT Margin</t>
        </is>
      </c>
      <c r="BW30" s="171">
        <f>BW29/BW10</f>
        <v/>
      </c>
      <c r="BX30" s="171" t="n">
        <v>0.09290173997576487</v>
      </c>
      <c r="BY30" s="154" t="n"/>
      <c r="BZ30" s="170" t="n"/>
      <c r="CA30" s="171">
        <f>CA29/CA10</f>
        <v/>
      </c>
      <c r="CB30" s="154" t="n"/>
      <c r="CC30" s="170" t="n"/>
      <c r="CD30" s="154" t="n"/>
      <c r="CE30" s="39" t="inlineStr">
        <is>
          <t>% EBIT Margin</t>
        </is>
      </c>
      <c r="CF30" s="171">
        <f>CF29/CF10</f>
        <v/>
      </c>
      <c r="CG30" s="171" t="n">
        <v>0.3398965156717905</v>
      </c>
      <c r="CH30" s="154" t="n"/>
      <c r="CI30" s="170" t="n"/>
      <c r="CJ30" s="171">
        <f>CJ29/CJ10</f>
        <v/>
      </c>
      <c r="CK30" s="154" t="n"/>
      <c r="CL30" s="170" t="n"/>
      <c r="CN30" s="39" t="inlineStr">
        <is>
          <t>% EBIT Margin</t>
        </is>
      </c>
      <c r="CO30" s="171">
        <f>CO29/CO10</f>
        <v/>
      </c>
      <c r="CP30" s="171" t="n">
        <v>0.4236641741567673</v>
      </c>
      <c r="CQ30" s="154" t="n"/>
      <c r="CR30" s="170" t="n"/>
      <c r="CS30" s="171">
        <f>CS29/CS10</f>
        <v/>
      </c>
      <c r="CT30" s="154" t="n"/>
      <c r="CU30" s="170" t="n"/>
      <c r="CW30" s="39" t="inlineStr">
        <is>
          <t>% EBIT Margin</t>
        </is>
      </c>
      <c r="CX30" s="171">
        <f>CX29/CX10</f>
        <v/>
      </c>
      <c r="CY30" s="171" t="n">
        <v>-0.007039852981341848</v>
      </c>
      <c r="CZ30" s="154" t="n"/>
      <c r="DA30" s="170" t="n"/>
      <c r="DB30" s="171">
        <f>DB29/DB10</f>
        <v/>
      </c>
      <c r="DC30" s="154" t="n"/>
      <c r="DD30" s="170" t="n"/>
      <c r="DF30" s="39" t="inlineStr">
        <is>
          <t>% EBIT Margin</t>
        </is>
      </c>
      <c r="DG30" s="171">
        <f>DG29/DG10</f>
        <v/>
      </c>
      <c r="DH30" s="171">
        <f>DH29/DH10</f>
        <v/>
      </c>
      <c r="DI30" s="154" t="n"/>
      <c r="DJ30" s="170" t="n"/>
      <c r="DK30" s="171">
        <f>DK29/DK10</f>
        <v/>
      </c>
      <c r="DL30" s="154" t="n"/>
      <c r="DM30" s="170" t="n"/>
    </row>
    <row r="31">
      <c r="BZ31" s="172" t="n"/>
    </row>
  </sheetData>
  <mergeCells count="13">
    <mergeCell ref="BA8:BB8"/>
    <mergeCell ref="BS8:BT8"/>
    <mergeCell ref="AR8:AS8"/>
    <mergeCell ref="Z8:AA8"/>
    <mergeCell ref="DC8:DD8"/>
    <mergeCell ref="BJ8:BK8"/>
    <mergeCell ref="CB8:CC8"/>
    <mergeCell ref="DL8:DM8"/>
    <mergeCell ref="CT8:CU8"/>
    <mergeCell ref="CK8:CL8"/>
    <mergeCell ref="Q8:R8"/>
    <mergeCell ref="H8:I8"/>
    <mergeCell ref="AI8:AJ8"/>
  </mergeCells>
  <pageMargins left="0.7" right="0.7" top="0.75" bottom="0.75" header="0.3" footer="0.3"/>
  <pageSetup orientation="landscape" paperSize="9" scale="1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E19"/>
  <sheetViews>
    <sheetView topLeftCell="J1" workbookViewId="0">
      <selection activeCell="N3" sqref="N3"/>
    </sheetView>
  </sheetViews>
  <sheetFormatPr baseColWidth="10" defaultRowHeight="14.5"/>
  <cols>
    <col width="12.453125" bestFit="1" customWidth="1" min="1" max="1"/>
    <col width="50.1796875" bestFit="1" customWidth="1" min="2" max="2"/>
    <col width="11.453125" bestFit="1" customWidth="1" min="3" max="9"/>
    <col width="10.54296875" bestFit="1" customWidth="1" min="10" max="10"/>
    <col width="10.54296875" bestFit="1" customWidth="1" style="173" min="11" max="12"/>
    <col width="11.453125" bestFit="1" customWidth="1" min="13" max="14"/>
    <col width="12.453125" bestFit="1" customWidth="1" min="15" max="15"/>
    <col width="8.453125" bestFit="1" customWidth="1" min="16" max="16"/>
    <col width="7.453125" bestFit="1" customWidth="1" min="17" max="17"/>
    <col width="8.453125" bestFit="1" customWidth="1" min="18" max="19"/>
    <col width="5.453125" bestFit="1" customWidth="1" min="20" max="20"/>
    <col width="8.453125" bestFit="1" customWidth="1" min="21" max="26"/>
    <col width="7.453125" bestFit="1" customWidth="1" min="27" max="27"/>
    <col width="8.453125" bestFit="1" customWidth="1" min="28" max="30"/>
    <col width="7.453125" bestFit="1" customWidth="1" min="31" max="35"/>
    <col width="6.453125" bestFit="1" customWidth="1" min="36" max="36"/>
    <col width="7.453125" bestFit="1" customWidth="1" min="37" max="41"/>
    <col width="4.453125" bestFit="1" customWidth="1" min="42" max="42"/>
    <col width="7.453125" bestFit="1" customWidth="1" min="43" max="48"/>
    <col width="4.453125" bestFit="1" customWidth="1" min="49" max="50"/>
    <col width="7.453125" bestFit="1" customWidth="1" min="51" max="53"/>
    <col width="4.453125" bestFit="1" customWidth="1" min="54" max="54"/>
    <col width="7.453125" bestFit="1" customWidth="1" min="55" max="55"/>
    <col width="4.453125" bestFit="1" customWidth="1" min="56" max="56"/>
    <col width="7.453125" bestFit="1" customWidth="1" min="57" max="61"/>
    <col width="4.453125" bestFit="1" customWidth="1" min="62" max="62"/>
    <col width="7.453125" bestFit="1" customWidth="1" min="63" max="63"/>
    <col width="4.453125" bestFit="1" customWidth="1" min="64" max="65"/>
    <col width="6.453125" bestFit="1" customWidth="1" min="66" max="66"/>
    <col width="7.453125" bestFit="1" customWidth="1" min="67" max="69"/>
    <col width="5.453125" bestFit="1" customWidth="1" min="70" max="70"/>
    <col width="6.453125" bestFit="1" customWidth="1" min="71" max="73"/>
    <col width="3.453125" bestFit="1" customWidth="1" min="74" max="74"/>
    <col width="5.453125" bestFit="1" customWidth="1" min="75" max="75"/>
    <col width="6.453125" bestFit="1" customWidth="1" min="76" max="76"/>
    <col width="4.453125" bestFit="1" customWidth="1" min="77" max="77"/>
    <col width="1.81640625" bestFit="1" customWidth="1" min="78" max="78"/>
    <col width="7.81640625" bestFit="1" customWidth="1" min="79" max="83"/>
    <col width="8.81640625" bestFit="1" customWidth="1" min="84" max="87"/>
    <col width="9.81640625" bestFit="1" customWidth="1" min="88" max="88"/>
    <col width="10.26953125" bestFit="1" customWidth="1" min="89" max="89"/>
    <col width="11.453125" bestFit="1" customWidth="1" min="90" max="90"/>
  </cols>
  <sheetData>
    <row r="1">
      <c r="B1" s="104" t="inlineStr">
        <is>
          <t>Periodo</t>
        </is>
      </c>
      <c r="C1" s="19" t="n">
        <v>2027</v>
      </c>
      <c r="D1" s="4" t="n"/>
      <c r="E1" s="4" t="n"/>
      <c r="F1" s="4" t="n"/>
    </row>
    <row r="2">
      <c r="C2" s="4" t="n"/>
      <c r="D2" s="4" t="n"/>
      <c r="E2" s="4" t="n"/>
      <c r="F2" s="4" t="n"/>
    </row>
    <row r="3">
      <c r="B3" s="116" t="inlineStr">
        <is>
          <t>Detalle sin Ajustar</t>
        </is>
      </c>
      <c r="C3" t="inlineStr">
        <is>
          <t xml:space="preserve">ene-27 </t>
        </is>
      </c>
      <c r="D3" t="inlineStr">
        <is>
          <t xml:space="preserve">feb-27 </t>
        </is>
      </c>
      <c r="E3" t="inlineStr">
        <is>
          <t xml:space="preserve">mar-27 </t>
        </is>
      </c>
      <c r="F3" t="inlineStr">
        <is>
          <t xml:space="preserve">abr-27 </t>
        </is>
      </c>
      <c r="G3" t="inlineStr">
        <is>
          <t xml:space="preserve">may-27 </t>
        </is>
      </c>
      <c r="H3" t="inlineStr">
        <is>
          <t xml:space="preserve">jun-27 </t>
        </is>
      </c>
      <c r="I3" t="inlineStr">
        <is>
          <t xml:space="preserve">jul-27 </t>
        </is>
      </c>
      <c r="J3" t="inlineStr">
        <is>
          <t xml:space="preserve">ago-27 </t>
        </is>
      </c>
      <c r="K3" t="inlineStr">
        <is>
          <t xml:space="preserve">sep-27 </t>
        </is>
      </c>
      <c r="L3" t="inlineStr">
        <is>
          <t xml:space="preserve">oct-27 </t>
        </is>
      </c>
      <c r="M3" t="inlineStr">
        <is>
          <t xml:space="preserve">nov-27 </t>
        </is>
      </c>
      <c r="N3" t="inlineStr">
        <is>
          <t xml:space="preserve">dic-27 </t>
        </is>
      </c>
      <c r="O3" t="inlineStr">
        <is>
          <t xml:space="preserve">Total 2027 </t>
        </is>
      </c>
    </row>
    <row r="4">
      <c r="B4" s="19" t="inlineStr">
        <is>
          <t>1.- Importe neto de la cifra de negocios</t>
        </is>
      </c>
      <c r="C4" s="4" t="n">
        <v>1143732.5</v>
      </c>
      <c r="D4" s="4" t="n">
        <v>1852641.27</v>
      </c>
      <c r="E4" s="4" t="n">
        <v>1777134.1</v>
      </c>
      <c r="F4" s="4" t="n">
        <v>1430751.84</v>
      </c>
      <c r="G4" s="4" t="n">
        <v>2349031.42</v>
      </c>
      <c r="H4" s="4" t="n">
        <v>2329483.75</v>
      </c>
      <c r="I4" s="4" t="n">
        <v>1477982.31</v>
      </c>
      <c r="J4" s="4" t="n">
        <v>943221.27</v>
      </c>
      <c r="K4" s="4" t="n">
        <v>547896.1800000001</v>
      </c>
      <c r="L4" s="4" t="n">
        <v>916296.9099999999</v>
      </c>
      <c r="M4" s="4" t="n">
        <v>1416366.81</v>
      </c>
      <c r="N4" s="4" t="n">
        <v>1553621.93</v>
      </c>
      <c r="O4" s="4" t="n">
        <v>17738160.29</v>
      </c>
    </row>
    <row r="5">
      <c r="B5" s="19" t="inlineStr">
        <is>
          <t>2.- Variación de existencias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B6" s="19" t="inlineStr">
        <is>
          <t>4.- Aprovisionamientos</t>
        </is>
      </c>
      <c r="C6" s="4" t="n">
        <v>-329984.4300000001</v>
      </c>
      <c r="D6" s="4" t="n">
        <v>-632159.77</v>
      </c>
      <c r="E6" s="4" t="n">
        <v>-664980.3700000001</v>
      </c>
      <c r="F6" s="4" t="n">
        <v>-517768.13</v>
      </c>
      <c r="G6" s="4" t="n">
        <v>-838058.2000000001</v>
      </c>
      <c r="H6" s="4" t="n">
        <v>-864738.9700000001</v>
      </c>
      <c r="I6" s="4" t="n">
        <v>-562011.2</v>
      </c>
      <c r="J6" s="4" t="n">
        <v>-339958.13</v>
      </c>
      <c r="K6" s="4" t="n">
        <v>-210012.74</v>
      </c>
      <c r="L6" s="4" t="n">
        <v>-342591.67</v>
      </c>
      <c r="M6" s="4" t="n">
        <v>-542669.87</v>
      </c>
      <c r="N6" s="4" t="n">
        <v>-562313.02</v>
      </c>
      <c r="O6" s="4" t="n">
        <v>-6407246.499999999</v>
      </c>
    </row>
    <row r="7">
      <c r="B7" s="19" t="inlineStr">
        <is>
          <t>6.- Gastos de personal</t>
        </is>
      </c>
      <c r="C7" s="4" t="n">
        <v>-162382.74</v>
      </c>
      <c r="D7" s="4" t="n">
        <v>-162382.74</v>
      </c>
      <c r="E7" s="4" t="n">
        <v>-162382.74</v>
      </c>
      <c r="F7" s="4" t="n">
        <v>-162382.74</v>
      </c>
      <c r="G7" s="4" t="n">
        <v>-162382.74</v>
      </c>
      <c r="H7" s="4" t="n">
        <v>-162382.74</v>
      </c>
      <c r="I7" s="4" t="n">
        <v>-162382.74</v>
      </c>
      <c r="J7" s="4" t="n">
        <v>-162382.74</v>
      </c>
      <c r="K7" s="4" t="n">
        <v>-162382.74</v>
      </c>
      <c r="L7" s="4" t="n">
        <v>-162382.74</v>
      </c>
      <c r="M7" s="4" t="n">
        <v>-163382.74</v>
      </c>
      <c r="N7" s="4" t="n">
        <v>-441399.46</v>
      </c>
      <c r="O7" s="4" t="n">
        <v>-2228609.6</v>
      </c>
    </row>
    <row r="8">
      <c r="B8" s="19" t="inlineStr">
        <is>
          <t>5.- Otros ingresos de explotación</t>
        </is>
      </c>
      <c r="C8" s="4" t="n">
        <v>29809.2</v>
      </c>
      <c r="D8" s="4" t="n">
        <v>21246.7</v>
      </c>
      <c r="E8" s="4" t="n">
        <v>19638.3</v>
      </c>
      <c r="F8" s="4" t="n">
        <v>8004.2</v>
      </c>
      <c r="G8" s="4" t="n">
        <v>38718.8</v>
      </c>
      <c r="H8" s="4" t="n">
        <v>33492</v>
      </c>
      <c r="I8" s="4" t="n">
        <v>13212.8</v>
      </c>
      <c r="J8" s="4" t="n">
        <v>18509.6</v>
      </c>
      <c r="K8" s="4" t="n">
        <v>24148.9</v>
      </c>
      <c r="L8" s="4" t="n">
        <v>23411.3</v>
      </c>
      <c r="M8" s="4" t="n">
        <v>40650.7</v>
      </c>
      <c r="N8" s="4" t="n">
        <v>34380.8</v>
      </c>
      <c r="O8" s="4" t="n">
        <v>305223.3</v>
      </c>
    </row>
    <row r="9">
      <c r="B9" s="19" t="inlineStr">
        <is>
          <t>7.- Otros gastos de explotación</t>
        </is>
      </c>
      <c r="C9" s="4" t="n">
        <v>-162854.8999999999</v>
      </c>
      <c r="D9" s="4" t="n">
        <v>-156654.6299999999</v>
      </c>
      <c r="E9" s="4" t="n">
        <v>-161541.2199999999</v>
      </c>
      <c r="F9" s="4" t="n">
        <v>-151886.7</v>
      </c>
      <c r="G9" s="4" t="n">
        <v>-184776.7099999999</v>
      </c>
      <c r="H9" s="4" t="n">
        <v>-161344.6799999999</v>
      </c>
      <c r="I9" s="4" t="n">
        <v>-132696.54</v>
      </c>
      <c r="J9" s="4" t="n">
        <v>-131764.64</v>
      </c>
      <c r="K9" s="4" t="n">
        <v>-150222.85</v>
      </c>
      <c r="L9" s="4" t="n">
        <v>-146341.94</v>
      </c>
      <c r="M9" s="4" t="n">
        <v>-183507.0299999999</v>
      </c>
      <c r="N9" s="4" t="n">
        <v>-286915.8900000001</v>
      </c>
      <c r="O9" s="4" t="n">
        <v>-2010507.73</v>
      </c>
    </row>
    <row r="10">
      <c r="B10" s="19" t="inlineStr">
        <is>
          <t>11.- Deterioro y resultado por enajenaciones del inmovilizado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B11" s="19" t="inlineStr">
        <is>
          <t>8.- Amortización del inmovilizado</t>
        </is>
      </c>
      <c r="C11" s="4" t="n">
        <v>-19225.35</v>
      </c>
      <c r="D11" s="4" t="n">
        <v>-19225.35</v>
      </c>
      <c r="E11" s="4" t="n">
        <v>-19225.35</v>
      </c>
      <c r="F11" s="4" t="n">
        <v>-19225.35</v>
      </c>
      <c r="G11" s="4" t="n">
        <v>-19225.35</v>
      </c>
      <c r="H11" s="4" t="n">
        <v>-19225.35</v>
      </c>
      <c r="I11" s="4" t="n">
        <v>-19225.35</v>
      </c>
      <c r="J11" s="4" t="n">
        <v>-19225.35</v>
      </c>
      <c r="K11" s="4" t="n">
        <v>-19225.35</v>
      </c>
      <c r="L11" s="4" t="n">
        <v>-19225.35</v>
      </c>
      <c r="M11" s="4" t="n">
        <v>-19225.35</v>
      </c>
      <c r="N11" s="4" t="n">
        <v>-19225.35</v>
      </c>
      <c r="O11" s="4" t="n">
        <v>-230704.2</v>
      </c>
    </row>
    <row r="12">
      <c r="B12" s="19" t="inlineStr">
        <is>
          <t>13.- Otros resultados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B13" s="19" t="inlineStr">
        <is>
          <t>15.- Gastos financieros</t>
        </is>
      </c>
      <c r="C13" s="4" t="n">
        <v>-30880.78</v>
      </c>
      <c r="D13" s="4" t="n">
        <v>-50021.31</v>
      </c>
      <c r="E13" s="4" t="n">
        <v>-47982.62</v>
      </c>
      <c r="F13" s="4" t="n">
        <v>-38630.3</v>
      </c>
      <c r="G13" s="4" t="n">
        <v>-63423.85</v>
      </c>
      <c r="H13" s="4" t="n">
        <v>-62896.06</v>
      </c>
      <c r="I13" s="4" t="n">
        <v>-39905.52</v>
      </c>
      <c r="J13" s="4" t="n">
        <v>-25466.97</v>
      </c>
      <c r="K13" s="4" t="n">
        <v>-14793.2</v>
      </c>
      <c r="L13" s="4" t="n">
        <v>-24740.02</v>
      </c>
      <c r="M13" s="4" t="n">
        <v>-38241.9</v>
      </c>
      <c r="N13" s="4" t="n">
        <v>-41947.79</v>
      </c>
      <c r="O13" s="4" t="n">
        <v>-478930.3200000001</v>
      </c>
    </row>
    <row r="14">
      <c r="B14" s="19" t="inlineStr">
        <is>
          <t>17.- Diferencias de cambio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</row>
    <row r="15">
      <c r="B15" s="19" t="inlineStr">
        <is>
          <t>14.- Ingresos financieros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</row>
    <row r="16">
      <c r="B16" s="19" t="inlineStr">
        <is>
          <t>Total general</t>
        </is>
      </c>
      <c r="C16" s="4" t="n">
        <v>468213.4999999997</v>
      </c>
      <c r="D16" s="4" t="n">
        <v>853444.1700000002</v>
      </c>
      <c r="E16" s="4" t="n">
        <v>740660.0999999999</v>
      </c>
      <c r="F16" s="4" t="n">
        <v>548862.8200000001</v>
      </c>
      <c r="G16" s="4" t="n">
        <v>1119883.37</v>
      </c>
      <c r="H16" s="4" t="n">
        <v>1092387.949999999</v>
      </c>
      <c r="I16" s="4" t="n">
        <v>574973.7600000001</v>
      </c>
      <c r="J16" s="4" t="n">
        <v>282933.04</v>
      </c>
      <c r="K16" s="4" t="n">
        <v>15408.20000000009</v>
      </c>
      <c r="L16" s="4" t="n">
        <v>244426.4899999999</v>
      </c>
      <c r="M16" s="4" t="n">
        <v>509990.6200000001</v>
      </c>
      <c r="N16" s="4" t="n">
        <v>236201.2199999999</v>
      </c>
      <c r="O16" s="4" t="n">
        <v>6687385.239999999</v>
      </c>
    </row>
    <row r="17">
      <c r="B17" s="19" t="inlineStr">
        <is>
          <t>EBITDA</t>
        </is>
      </c>
      <c r="C17" s="4">
        <f>+SUM(C4:C9)</f>
        <v/>
      </c>
      <c r="D17" s="4">
        <f>+SUM(D4:D9)</f>
        <v/>
      </c>
      <c r="E17" s="4">
        <f>+SUM(E4:E9)</f>
        <v/>
      </c>
      <c r="F17" s="4">
        <f>+SUM(F4:F9)</f>
        <v/>
      </c>
      <c r="G17" s="4">
        <f>+SUM(G4:G9)</f>
        <v/>
      </c>
      <c r="H17" s="4">
        <f>+SUM(H4:H9)</f>
        <v/>
      </c>
      <c r="I17" s="4">
        <f>+SUM(I4:I9)</f>
        <v/>
      </c>
      <c r="J17" s="4">
        <f>+SUM(J4:J9)</f>
        <v/>
      </c>
      <c r="K17" s="4">
        <f>+SUM(K4:K9)</f>
        <v/>
      </c>
      <c r="L17" s="4">
        <f>+SUM(L4:L9)</f>
        <v/>
      </c>
      <c r="M17" s="4">
        <f>+SUM(M4:M9)</f>
        <v/>
      </c>
      <c r="N17" s="4">
        <f>+SUM(N4:N9)</f>
        <v/>
      </c>
      <c r="O17" s="4">
        <f>+SUM(O4:O9)</f>
        <v/>
      </c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</row>
    <row r="18">
      <c r="B18" s="6" t="inlineStr">
        <is>
          <t>EBITDA %</t>
        </is>
      </c>
      <c r="C18" s="118">
        <f>C17/C4</f>
        <v/>
      </c>
      <c r="D18" s="118">
        <f>D17/D4</f>
        <v/>
      </c>
      <c r="E18" s="118">
        <f>E17/E4</f>
        <v/>
      </c>
      <c r="F18" s="118">
        <f>F17/F4</f>
        <v/>
      </c>
      <c r="G18" s="118">
        <f>G17/G4</f>
        <v/>
      </c>
      <c r="H18" s="118">
        <f>H17/H4</f>
        <v/>
      </c>
      <c r="I18" s="118">
        <f>I17/I4</f>
        <v/>
      </c>
      <c r="J18" s="118">
        <f>J17/J4</f>
        <v/>
      </c>
      <c r="K18" s="118">
        <f>K17/K4</f>
        <v/>
      </c>
      <c r="L18" s="118">
        <f>L17/L4</f>
        <v/>
      </c>
      <c r="M18" s="118">
        <f>M17/M4</f>
        <v/>
      </c>
      <c r="N18" s="118">
        <f>N17/N4</f>
        <v/>
      </c>
      <c r="O18" s="118">
        <f>O17/O4</f>
        <v/>
      </c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</row>
    <row r="19">
      <c r="C19" s="4" t="n"/>
      <c r="D19" s="4" t="n"/>
      <c r="E19" s="4" t="n"/>
      <c r="F19" s="4" t="n"/>
      <c r="G19" s="4" t="n"/>
      <c r="H19" s="4" t="n"/>
      <c r="L19" s="4" t="n"/>
      <c r="M19" s="173" t="n"/>
      <c r="N19" s="115" t="inlineStr">
        <is>
          <t>Check</t>
        </is>
      </c>
      <c r="O19" s="115">
        <f>SUM(C16:N16)-O16</f>
        <v/>
      </c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59"/>
  <sheetViews>
    <sheetView topLeftCell="G1" zoomScale="85" zoomScaleNormal="85" workbookViewId="0">
      <selection activeCell="B4" sqref="B4:X205"/>
    </sheetView>
  </sheetViews>
  <sheetFormatPr baseColWidth="10" defaultRowHeight="14.5"/>
  <cols>
    <col width="2" customWidth="1" min="1" max="1"/>
    <col width="14.26953125" customWidth="1" min="2" max="2"/>
    <col width="12" customWidth="1" min="3" max="3"/>
    <col width="24.453125" customWidth="1" min="4" max="4"/>
    <col width="30.26953125" customWidth="1" min="5" max="5"/>
    <col width="29.1796875" customWidth="1" min="6" max="6"/>
    <col width="51.81640625" customWidth="1" min="7" max="7"/>
    <col width="58.54296875" customWidth="1" min="8" max="8"/>
    <col width="64.81640625" bestFit="1" customWidth="1" min="9" max="9"/>
    <col width="30.26953125" customWidth="1" min="10" max="10"/>
    <col width="12.1796875" bestFit="1" customWidth="1" min="11" max="11"/>
    <col width="12.1796875" customWidth="1" min="12" max="14"/>
    <col width="15.7265625" customWidth="1" style="173" min="15" max="15"/>
    <col width="14.453125" customWidth="1" min="16" max="16"/>
    <col width="21.81640625" customWidth="1" style="173" min="17" max="17"/>
    <col width="21.81640625" customWidth="1" min="18" max="18"/>
    <col width="11.1796875" bestFit="1" customWidth="1" min="19" max="20"/>
    <col width="12.1796875" bestFit="1" customWidth="1" min="21" max="22"/>
    <col width="13.26953125" bestFit="1" customWidth="1" min="23" max="23"/>
    <col width="150.81640625" bestFit="1" customWidth="1" min="24" max="24"/>
  </cols>
  <sheetData>
    <row r="1"/>
    <row r="2">
      <c r="K2" s="4">
        <f>SUBTOTAL(9,K4:K215)</f>
        <v/>
      </c>
      <c r="L2" s="4">
        <f>SUBTOTAL(9,L4:L215)</f>
        <v/>
      </c>
      <c r="M2" s="4">
        <f>SUBTOTAL(9,M4:M215)</f>
        <v/>
      </c>
      <c r="N2" s="4">
        <f>SUBTOTAL(9,N4:N215)</f>
        <v/>
      </c>
      <c r="O2" s="173">
        <f>SUBTOTAL(9,O4:O2027)</f>
        <v/>
      </c>
      <c r="P2" s="173">
        <f>SUBTOTAL(9,P4:P2027)</f>
        <v/>
      </c>
      <c r="Q2" s="173">
        <f>SUBTOTAL(9,Q4:Q2096)</f>
        <v/>
      </c>
      <c r="R2" s="4">
        <f>SUBTOTAL(9,R4:R2015)</f>
        <v/>
      </c>
      <c r="S2" s="4">
        <f>SUBTOTAL(9,S4:S215)</f>
        <v/>
      </c>
      <c r="T2" s="4">
        <f>SUBTOTAL(9,T4:T215)</f>
        <v/>
      </c>
      <c r="U2" s="4">
        <f>SUBTOTAL(9,U4:U215)</f>
        <v/>
      </c>
      <c r="V2" s="4">
        <f>SUBTOTAL(9,V4:V215)</f>
        <v/>
      </c>
      <c r="W2" s="4">
        <f>SUBTOTAL(9,W4:W2036)</f>
        <v/>
      </c>
    </row>
    <row r="3">
      <c r="B3" s="87" t="inlineStr">
        <is>
          <t>Periodo</t>
        </is>
      </c>
      <c r="C3" s="87" t="inlineStr">
        <is>
          <t>Empresa</t>
        </is>
      </c>
      <c r="D3" s="87" t="inlineStr">
        <is>
          <t>Nivel 1</t>
        </is>
      </c>
      <c r="E3" s="87" t="inlineStr">
        <is>
          <t>Nivel 2</t>
        </is>
      </c>
      <c r="F3" s="87" t="inlineStr">
        <is>
          <t>Nivel 3</t>
        </is>
      </c>
      <c r="G3" s="87" t="inlineStr">
        <is>
          <t>Nivel 4</t>
        </is>
      </c>
      <c r="H3" s="87" t="inlineStr">
        <is>
          <t>Nivel 5</t>
        </is>
      </c>
      <c r="I3" s="87" t="inlineStr">
        <is>
          <t>Cuenta</t>
        </is>
      </c>
      <c r="J3" s="87" t="inlineStr">
        <is>
          <t>Grupo Ext Item</t>
        </is>
      </c>
      <c r="K3" s="88" t="n">
        <v>46388</v>
      </c>
      <c r="L3" s="88" t="n">
        <v>46419</v>
      </c>
      <c r="M3" s="88" t="n">
        <v>46447</v>
      </c>
      <c r="N3" s="88" t="n">
        <v>46478</v>
      </c>
      <c r="O3" s="88" t="n">
        <v>46508</v>
      </c>
      <c r="P3" s="88" t="n">
        <v>46539</v>
      </c>
      <c r="Q3" s="88" t="n">
        <v>46569</v>
      </c>
      <c r="R3" s="88" t="n">
        <v>46600</v>
      </c>
      <c r="S3" s="88" t="n">
        <v>46631</v>
      </c>
      <c r="T3" s="88" t="n">
        <v>46661</v>
      </c>
      <c r="U3" s="88" t="n">
        <v>46692</v>
      </c>
      <c r="V3" s="88" t="n">
        <v>46722</v>
      </c>
      <c r="W3" s="88" t="inlineStr">
        <is>
          <t>Total 2027</t>
        </is>
      </c>
    </row>
    <row r="4">
      <c r="B4" t="n">
        <v>2027</v>
      </c>
      <c r="C4" t="inlineStr">
        <is>
          <t>Codiagro</t>
        </is>
      </c>
      <c r="D4" t="inlineStr">
        <is>
          <t>RESULTADO DEL EJERCICIO</t>
        </is>
      </c>
      <c r="E4" t="inlineStr">
        <is>
          <t>RESULTADO ANTES DE IMPUESTOS</t>
        </is>
      </c>
      <c r="F4" t="inlineStr">
        <is>
          <t>RESULTADO DE LA EXPLOTACION</t>
        </is>
      </c>
      <c r="G4" t="inlineStr">
        <is>
          <t>1.- Importe neto de la cifra de negocios</t>
        </is>
      </c>
      <c r="H4" t="inlineStr">
        <is>
          <t>(700) Ventas</t>
        </is>
      </c>
      <c r="I4" t="inlineStr">
        <is>
          <t>700000000 - Ventas de mercaderías</t>
        </is>
      </c>
      <c r="J4" t="inlineStr">
        <is>
          <t>-</t>
        </is>
      </c>
      <c r="K4" s="4" t="n">
        <v>1167113.16</v>
      </c>
      <c r="L4" s="4" t="n">
        <v>1890513.74</v>
      </c>
      <c r="M4" s="4" t="n">
        <v>1813463.02</v>
      </c>
      <c r="N4" s="4" t="n">
        <v>1459999.87</v>
      </c>
      <c r="O4" s="173" t="n">
        <v>2397051.31</v>
      </c>
      <c r="P4" s="4" t="n">
        <v>2377104.03</v>
      </c>
      <c r="Q4" s="4" t="n">
        <v>1508195.84</v>
      </c>
      <c r="R4" s="4" t="n">
        <v>962502.99</v>
      </c>
      <c r="S4" s="4" t="n">
        <v>559096.5</v>
      </c>
      <c r="T4" s="4" t="n">
        <v>935028.24</v>
      </c>
      <c r="U4" s="4" t="n">
        <v>1445320.77</v>
      </c>
      <c r="V4" s="4" t="n">
        <v>1585381.72</v>
      </c>
      <c r="W4" s="4" t="n">
        <v>18100771.19</v>
      </c>
      <c r="X4" t="inlineStr">
        <is>
          <t>Presupuesto de Ventas Brutas 2027 ajustado (18.100.771,19 €) para obtener exactamente 17.738.160,29 € de Cifra Neta tras rappels (397k €) y envases (34k €).</t>
        </is>
      </c>
    </row>
    <row r="5">
      <c r="B5" t="n">
        <v>2027</v>
      </c>
      <c r="C5" t="inlineStr">
        <is>
          <t>Codiagro</t>
        </is>
      </c>
      <c r="D5" t="inlineStr">
        <is>
          <t>RESULTADO DEL EJERCICIO</t>
        </is>
      </c>
      <c r="E5" t="inlineStr">
        <is>
          <t>RESULTADO ANTES DE IMPUESTOS</t>
        </is>
      </c>
      <c r="F5" t="inlineStr">
        <is>
          <t>RESULTADO DE LA EXPLOTACION</t>
        </is>
      </c>
      <c r="G5" t="inlineStr">
        <is>
          <t>1.- Importe neto de la cifra de negocios</t>
        </is>
      </c>
      <c r="H5" t="inlineStr">
        <is>
          <t>(700) Ventas</t>
        </is>
      </c>
      <c r="I5" t="inlineStr">
        <is>
          <t>700000001 - VENTA MERCADERIAS POR ANTICIPO</t>
        </is>
      </c>
      <c r="J5" t="inlineStr">
        <is>
          <t>-</t>
        </is>
      </c>
      <c r="K5" s="4" t="n">
        <v>0</v>
      </c>
      <c r="L5" s="4" t="n">
        <v>0</v>
      </c>
      <c r="M5" s="4" t="n">
        <v>0</v>
      </c>
      <c r="N5" s="4" t="n">
        <v>0</v>
      </c>
      <c r="O5" s="173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t="inlineStr">
        <is>
          <t>Sin dotación presupuestada en 2027 por corresponder a partidas singulares/no recurrentes.</t>
        </is>
      </c>
    </row>
    <row r="6">
      <c r="B6" t="n">
        <v>2027</v>
      </c>
      <c r="C6" t="inlineStr">
        <is>
          <t>Codiagro</t>
        </is>
      </c>
      <c r="D6" t="inlineStr">
        <is>
          <t>RESULTADO DEL EJERCICIO</t>
        </is>
      </c>
      <c r="E6" t="inlineStr">
        <is>
          <t>RESULTADO ANTES DE IMPUESTOS</t>
        </is>
      </c>
      <c r="F6" t="inlineStr">
        <is>
          <t>RESULTADO DE LA EXPLOTACION</t>
        </is>
      </c>
      <c r="G6" t="inlineStr">
        <is>
          <t>1.- Importe neto de la cifra de negocios</t>
        </is>
      </c>
      <c r="H6" t="inlineStr">
        <is>
          <t>(700) Ventas</t>
        </is>
      </c>
      <c r="I6" t="inlineStr">
        <is>
          <t>700000624 - VENTA POR TRANSP. REP. AL CLIENTE</t>
        </is>
      </c>
      <c r="J6" t="inlineStr">
        <is>
          <t>-</t>
        </is>
      </c>
      <c r="K6" s="4" t="n">
        <v>0</v>
      </c>
      <c r="L6" s="4" t="n">
        <v>0</v>
      </c>
      <c r="M6" s="4" t="n">
        <v>0</v>
      </c>
      <c r="N6" s="4" t="n">
        <v>0</v>
      </c>
      <c r="O6" s="173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t="inlineStr">
        <is>
          <t>Sin dotación presupuestada en 2027 por corresponder a partidas singulares/no recurrentes.</t>
        </is>
      </c>
    </row>
    <row r="7">
      <c r="B7" t="n">
        <v>2027</v>
      </c>
      <c r="C7" t="inlineStr">
        <is>
          <t>Codiagro</t>
        </is>
      </c>
      <c r="D7" t="inlineStr">
        <is>
          <t>RESULTADO DEL EJERCICIO</t>
        </is>
      </c>
      <c r="E7" t="inlineStr">
        <is>
          <t>RESULTADO ANTES DE IMPUESTOS</t>
        </is>
      </c>
      <c r="F7" t="inlineStr">
        <is>
          <t>RESULTADO DE LA EXPLOTACION</t>
        </is>
      </c>
      <c r="G7" t="inlineStr">
        <is>
          <t>5.- Otros ingresos de explotación</t>
        </is>
      </c>
      <c r="H7" t="inlineStr">
        <is>
          <t>(700) Ventas</t>
        </is>
      </c>
      <c r="I7" t="inlineStr">
        <is>
          <t>700001624 - VENTA POR TRANSPORTE REP. AL CLIENTE DEFINITIVO</t>
        </is>
      </c>
      <c r="J7" t="inlineStr">
        <is>
          <t>-</t>
        </is>
      </c>
      <c r="K7" s="4" t="n">
        <v>29809.2</v>
      </c>
      <c r="L7" s="4" t="n">
        <v>21246.7</v>
      </c>
      <c r="M7" s="4" t="n">
        <v>19638.3</v>
      </c>
      <c r="N7" s="4" t="n">
        <v>8004.2</v>
      </c>
      <c r="O7" s="173" t="n">
        <v>38718.8</v>
      </c>
      <c r="P7" s="4" t="n">
        <v>33492</v>
      </c>
      <c r="Q7" s="4" t="n">
        <v>13212.8</v>
      </c>
      <c r="R7" s="4" t="n">
        <v>18509.6</v>
      </c>
      <c r="S7" s="4" t="n">
        <v>24148.9</v>
      </c>
      <c r="T7" s="4" t="n">
        <v>23411.3</v>
      </c>
      <c r="U7" s="4" t="n">
        <v>40650.7</v>
      </c>
      <c r="V7" s="4" t="n">
        <v>34380.8</v>
      </c>
      <c r="W7" s="4" t="n">
        <v>305223.3</v>
      </c>
      <c r="X7" t="inlineStr">
        <is>
          <t>Según presupuesto de transporte 2027: facturación y repercusión íntegra del transporte de exportación al cliente (+305.223,30 €). Efecto compensado al 100% con el gasto 624000002 (impacto 0 en EBITDA).</t>
        </is>
      </c>
    </row>
    <row r="8">
      <c r="B8" t="n">
        <v>2027</v>
      </c>
      <c r="C8" t="inlineStr">
        <is>
          <t>Codiagro</t>
        </is>
      </c>
      <c r="D8" t="inlineStr">
        <is>
          <t>RESULTADO DEL EJERCICIO</t>
        </is>
      </c>
      <c r="E8" t="inlineStr">
        <is>
          <t>RESULTADO ANTES DE IMPUESTOS</t>
        </is>
      </c>
      <c r="F8" t="inlineStr">
        <is>
          <t>RESULTADO DE LA EXPLOTACION</t>
        </is>
      </c>
      <c r="G8" t="inlineStr">
        <is>
          <t>1.- Importe neto de la cifra de negocios</t>
        </is>
      </c>
      <c r="H8" t="inlineStr">
        <is>
          <t>(700) Ventas</t>
        </is>
      </c>
      <c r="I8" t="inlineStr">
        <is>
          <t>700000769 - INGRESOS POR RETRASOS DE COBRO Y ACTUALIZACION</t>
        </is>
      </c>
      <c r="J8" t="inlineStr">
        <is>
          <t>-</t>
        </is>
      </c>
      <c r="K8" s="4" t="n">
        <v>0</v>
      </c>
      <c r="L8" s="4" t="n">
        <v>0</v>
      </c>
      <c r="M8" s="4" t="n">
        <v>0</v>
      </c>
      <c r="N8" s="4" t="n">
        <v>0</v>
      </c>
      <c r="O8" s="173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t="inlineStr">
        <is>
          <t>Sin dotación presupuestada en 2027 por corresponder a partidas singulares/no recurrentes.</t>
        </is>
      </c>
    </row>
    <row r="9">
      <c r="B9" t="n">
        <v>2027</v>
      </c>
      <c r="C9" t="inlineStr">
        <is>
          <t>Codiagro</t>
        </is>
      </c>
      <c r="D9" t="inlineStr">
        <is>
          <t>RESULTADO DEL EJERCICIO</t>
        </is>
      </c>
      <c r="E9" t="inlineStr">
        <is>
          <t>RESULTADO ANTES DE IMPUESTOS</t>
        </is>
      </c>
      <c r="F9" t="inlineStr">
        <is>
          <t>RESULTADO FINANCIERO</t>
        </is>
      </c>
      <c r="G9" t="inlineStr">
        <is>
          <t>14.- Ingresos financieros</t>
        </is>
      </c>
      <c r="H9" t="inlineStr">
        <is>
          <t>(700) Ventas</t>
        </is>
      </c>
      <c r="I9" t="inlineStr">
        <is>
          <t>700000769 - INGRESOS POR RETRASOS DE COBRO Y ACTUALIZACION</t>
        </is>
      </c>
      <c r="J9" t="inlineStr">
        <is>
          <t>-</t>
        </is>
      </c>
      <c r="K9" s="4" t="n">
        <v>0</v>
      </c>
      <c r="L9" s="4" t="n">
        <v>0</v>
      </c>
      <c r="M9" s="4" t="n">
        <v>0</v>
      </c>
      <c r="N9" s="4" t="n">
        <v>0</v>
      </c>
      <c r="O9" s="173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t="inlineStr">
        <is>
          <t>Sin dotación presupuestada en 2027 por corresponder a partidas singulares/no recurrentes.</t>
        </is>
      </c>
    </row>
    <row r="10">
      <c r="B10" t="n">
        <v>2027</v>
      </c>
      <c r="C10" t="inlineStr">
        <is>
          <t>Codiagro</t>
        </is>
      </c>
      <c r="D10" t="inlineStr">
        <is>
          <t>RESULTADO DEL EJERCICIO</t>
        </is>
      </c>
      <c r="E10" t="inlineStr">
        <is>
          <t>RESULTADO ANTES DE IMPUESTOS</t>
        </is>
      </c>
      <c r="F10" t="inlineStr">
        <is>
          <t>RESULTADO DE LA EXPLOTACION</t>
        </is>
      </c>
      <c r="G10" t="inlineStr">
        <is>
          <t>1.- Importe neto de la cifra de negocios</t>
        </is>
      </c>
      <c r="H10" t="inlineStr">
        <is>
          <t>(702) Ventas de productos semiterminados</t>
        </is>
      </c>
      <c r="I10" t="inlineStr">
        <is>
          <t>702000000 - Ventas de productos semiterminados</t>
        </is>
      </c>
      <c r="J10" t="inlineStr">
        <is>
          <t>-</t>
        </is>
      </c>
      <c r="K10" s="4" t="n">
        <v>0</v>
      </c>
      <c r="L10" s="4" t="n">
        <v>0</v>
      </c>
      <c r="M10" s="4" t="n">
        <v>0</v>
      </c>
      <c r="N10" s="4" t="n">
        <v>0</v>
      </c>
      <c r="O10" s="173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t="inlineStr">
        <is>
          <t>Sin dotación presupuestada en 2027 por corresponder a partidas singulares/no recurrentes.</t>
        </is>
      </c>
    </row>
    <row r="11">
      <c r="B11" t="n">
        <v>2027</v>
      </c>
      <c r="C11" t="inlineStr">
        <is>
          <t>Codiagro</t>
        </is>
      </c>
      <c r="D11" t="inlineStr">
        <is>
          <t>RESULTADO DEL EJERCICIO</t>
        </is>
      </c>
      <c r="E11" t="inlineStr">
        <is>
          <t>RESULTADO ANTES DE IMPUESTOS</t>
        </is>
      </c>
      <c r="F11" t="inlineStr">
        <is>
          <t>RESULTADO DE LA EXPLOTACION</t>
        </is>
      </c>
      <c r="G11" t="inlineStr">
        <is>
          <t>1.- Importe neto de la cifra de negocios</t>
        </is>
      </c>
      <c r="H11" t="inlineStr">
        <is>
          <t>(703) Ventas por subproductos y residuos</t>
        </is>
      </c>
      <c r="I11" t="inlineStr">
        <is>
          <t>703000000 - Ventas de subproductos y residuos</t>
        </is>
      </c>
      <c r="J11" t="inlineStr">
        <is>
          <t>-</t>
        </is>
      </c>
      <c r="K11" s="4" t="n">
        <v>0</v>
      </c>
      <c r="L11" s="4" t="n">
        <v>0</v>
      </c>
      <c r="M11" s="4" t="n">
        <v>0</v>
      </c>
      <c r="N11" s="4" t="n">
        <v>0</v>
      </c>
      <c r="O11" s="173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t="inlineStr">
        <is>
          <t>Sin dotación presupuestada en 2027 por corresponder a partidas singulares/no recurrentes.</t>
        </is>
      </c>
    </row>
    <row r="12">
      <c r="B12" t="n">
        <v>2027</v>
      </c>
      <c r="C12" t="inlineStr">
        <is>
          <t>Codiagro</t>
        </is>
      </c>
      <c r="D12" t="inlineStr">
        <is>
          <t>RESULTADO DEL EJERCICIO</t>
        </is>
      </c>
      <c r="E12" t="inlineStr">
        <is>
          <t>RESULTADO ANTES DE IMPUESTOS</t>
        </is>
      </c>
      <c r="F12" t="inlineStr">
        <is>
          <t>RESULTADO DE LA EXPLOTACION</t>
        </is>
      </c>
      <c r="G12" t="inlineStr">
        <is>
          <t>1.- Importe neto de la cifra de negocios</t>
        </is>
      </c>
      <c r="H12" t="inlineStr">
        <is>
          <t>(704) Venta de envases y embalajes</t>
        </is>
      </c>
      <c r="I12" t="inlineStr">
        <is>
          <t>704000000 - Ventas de envases y embalajes</t>
        </is>
      </c>
      <c r="J12" t="inlineStr">
        <is>
          <t>-</t>
        </is>
      </c>
      <c r="K12" s="4" t="n">
        <v>0</v>
      </c>
      <c r="L12" s="4" t="n">
        <v>0</v>
      </c>
      <c r="M12" s="4" t="n">
        <v>0</v>
      </c>
      <c r="N12" s="4" t="n">
        <v>0</v>
      </c>
      <c r="O12" s="173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t="inlineStr">
        <is>
          <t>Sin dotación presupuestada en 2027 por corresponder a partidas singulares/no recurrentes.</t>
        </is>
      </c>
    </row>
    <row r="13">
      <c r="B13" t="n">
        <v>2027</v>
      </c>
      <c r="C13" t="inlineStr">
        <is>
          <t>Codiagro</t>
        </is>
      </c>
      <c r="D13" t="inlineStr">
        <is>
          <t>RESULTADO DEL EJERCICIO</t>
        </is>
      </c>
      <c r="E13" t="inlineStr">
        <is>
          <t>RESULTADO ANTES DE IMPUESTOS</t>
        </is>
      </c>
      <c r="F13" t="inlineStr">
        <is>
          <t>RESULTADO DE LA EXPLOTACION</t>
        </is>
      </c>
      <c r="G13" t="inlineStr">
        <is>
          <t>1.- Importe neto de la cifra de negocios</t>
        </is>
      </c>
      <c r="H13" t="inlineStr">
        <is>
          <t>(705) Prestación de servicios</t>
        </is>
      </c>
      <c r="I13" t="inlineStr">
        <is>
          <t>705000000 - Prestaciones de servicios</t>
        </is>
      </c>
      <c r="J13" t="inlineStr">
        <is>
          <t>-</t>
        </is>
      </c>
      <c r="K13" s="4" t="n">
        <v>0</v>
      </c>
      <c r="L13" s="4" t="n">
        <v>0</v>
      </c>
      <c r="M13" s="4" t="n">
        <v>0</v>
      </c>
      <c r="N13" s="4" t="n">
        <v>0</v>
      </c>
      <c r="O13" s="173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t="inlineStr">
        <is>
          <t>Sin dotación presupuestada en 2027 por corresponder a partidas singulares/no recurrentes.</t>
        </is>
      </c>
    </row>
    <row r="14">
      <c r="B14" t="n">
        <v>2027</v>
      </c>
      <c r="C14" t="inlineStr">
        <is>
          <t>Codiagro</t>
        </is>
      </c>
      <c r="D14" t="inlineStr">
        <is>
          <t>RESULTADO DEL EJERCICIO</t>
        </is>
      </c>
      <c r="E14" t="inlineStr">
        <is>
          <t>RESULTADO ANTES DE IMPUESTOS</t>
        </is>
      </c>
      <c r="F14" t="inlineStr">
        <is>
          <t>RESULTADO DE LA EXPLOTACION</t>
        </is>
      </c>
      <c r="G14" t="inlineStr">
        <is>
          <t>1.- Importe neto de la cifra de negocios</t>
        </is>
      </c>
      <c r="H14" t="inlineStr">
        <is>
          <t>(705) Prestación de servicios</t>
        </is>
      </c>
      <c r="I14" t="inlineStr">
        <is>
          <t>705000001 - INGRESO POR GESTIÓN DE ENVASES</t>
        </is>
      </c>
      <c r="J14" t="inlineStr">
        <is>
          <t>-</t>
        </is>
      </c>
      <c r="K14" s="4" t="n">
        <v>2221.91</v>
      </c>
      <c r="L14" s="4" t="n">
        <v>3599.09</v>
      </c>
      <c r="M14" s="4" t="n">
        <v>3452.4</v>
      </c>
      <c r="N14" s="4" t="n">
        <v>2779.49</v>
      </c>
      <c r="O14" s="173" t="n">
        <v>4563.41</v>
      </c>
      <c r="P14" s="4" t="n">
        <v>4525.44</v>
      </c>
      <c r="Q14" s="4" t="n">
        <v>2871.25</v>
      </c>
      <c r="R14" s="4" t="n">
        <v>1832.38</v>
      </c>
      <c r="S14" s="4" t="n">
        <v>1064.39</v>
      </c>
      <c r="T14" s="4" t="n">
        <v>1780.07</v>
      </c>
      <c r="U14" s="4" t="n">
        <v>2751.55</v>
      </c>
      <c r="V14" s="4" t="n">
        <v>3018.19</v>
      </c>
      <c r="W14" s="4" t="n">
        <v>34459.57</v>
      </c>
      <c r="X14" t="inlineStr">
        <is>
          <t>Ingreso por gestión de envases 2027 (+34.459,57 €), facturación recurrente complementaria.</t>
        </is>
      </c>
    </row>
    <row r="15">
      <c r="B15" t="n">
        <v>2027</v>
      </c>
      <c r="C15" t="inlineStr">
        <is>
          <t>Codiagro</t>
        </is>
      </c>
      <c r="D15" t="inlineStr">
        <is>
          <t>RESULTADO DEL EJERCICIO</t>
        </is>
      </c>
      <c r="E15" t="inlineStr">
        <is>
          <t>RESULTADO ANTES DE IMPUESTOS</t>
        </is>
      </c>
      <c r="F15" t="inlineStr">
        <is>
          <t>RESULTADO DE LA EXPLOTACION</t>
        </is>
      </c>
      <c r="G15" t="inlineStr">
        <is>
          <t>1.- Importe neto de la cifra de negocios</t>
        </is>
      </c>
      <c r="H15" t="inlineStr">
        <is>
          <t>(706) Dto. s/vtas p.p.</t>
        </is>
      </c>
      <c r="I15" t="inlineStr">
        <is>
          <t>706000000 - Dtos. ventas por pronto pago mercaderías</t>
        </is>
      </c>
      <c r="J15" t="inlineStr">
        <is>
          <t>-</t>
        </is>
      </c>
      <c r="K15" s="4" t="n">
        <v>0</v>
      </c>
      <c r="L15" s="4" t="n">
        <v>0</v>
      </c>
      <c r="M15" s="4" t="n">
        <v>0</v>
      </c>
      <c r="N15" s="4" t="n">
        <v>0</v>
      </c>
      <c r="O15" s="173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t="inlineStr">
        <is>
          <t>Sin dotación presupuestada en 2027 por corresponder a partidas singulares/no recurrentes.</t>
        </is>
      </c>
    </row>
    <row r="16">
      <c r="B16" t="n">
        <v>2027</v>
      </c>
      <c r="C16" t="inlineStr">
        <is>
          <t>Codiagro</t>
        </is>
      </c>
      <c r="D16" t="inlineStr">
        <is>
          <t>RESULTADO DEL EJERCICIO</t>
        </is>
      </c>
      <c r="E16" t="inlineStr">
        <is>
          <t>RESULTADO ANTES DE IMPUESTOS</t>
        </is>
      </c>
      <c r="F16" t="inlineStr">
        <is>
          <t>RESULTADO DE LA EXPLOTACION</t>
        </is>
      </c>
      <c r="G16" t="inlineStr">
        <is>
          <t>1.- Importe neto de la cifra de negocios</t>
        </is>
      </c>
      <c r="H16" t="inlineStr">
        <is>
          <t>(709) Bonificaciones s/ventas</t>
        </is>
      </c>
      <c r="I16" t="inlineStr">
        <is>
          <t>709000000 - «Rappels» ventas de mercaderías</t>
        </is>
      </c>
      <c r="J16" t="inlineStr">
        <is>
          <t>-</t>
        </is>
      </c>
      <c r="K16" s="4" t="n">
        <v>0</v>
      </c>
      <c r="L16" s="4" t="n">
        <v>0</v>
      </c>
      <c r="M16" s="4" t="n">
        <v>0</v>
      </c>
      <c r="N16" s="4" t="n">
        <v>0</v>
      </c>
      <c r="O16" s="173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t="inlineStr">
        <is>
          <t>Sin dotación presupuestada en 2027 por corresponder a partidas singulares/no recurrentes.</t>
        </is>
      </c>
    </row>
    <row r="17">
      <c r="B17" t="n">
        <v>2027</v>
      </c>
      <c r="C17" t="inlineStr">
        <is>
          <t>Codiagro</t>
        </is>
      </c>
      <c r="D17" t="inlineStr">
        <is>
          <t>RESULTADO DEL EJERCICIO</t>
        </is>
      </c>
      <c r="E17" t="inlineStr">
        <is>
          <t>RESULTADO ANTES DE IMPUESTOS</t>
        </is>
      </c>
      <c r="F17" t="inlineStr">
        <is>
          <t>RESULTADO DE LA EXPLOTACION</t>
        </is>
      </c>
      <c r="G17" t="inlineStr">
        <is>
          <t>1.- Importe neto de la cifra de negocios</t>
        </is>
      </c>
      <c r="H17" t="inlineStr">
        <is>
          <t>(709) Bonificaciones s/ventas</t>
        </is>
      </c>
      <c r="I17" t="inlineStr">
        <is>
          <t>709000001 - PROVISION RAPPELS</t>
        </is>
      </c>
      <c r="J17" t="inlineStr">
        <is>
          <t>-</t>
        </is>
      </c>
      <c r="K17" s="4" t="n">
        <v>-25602.57</v>
      </c>
      <c r="L17" s="4" t="n">
        <v>-41471.56</v>
      </c>
      <c r="M17" s="4" t="n">
        <v>-39781.32</v>
      </c>
      <c r="N17" s="4" t="n">
        <v>-32027.52</v>
      </c>
      <c r="O17" s="173" t="n">
        <v>-52583.3</v>
      </c>
      <c r="P17" s="4" t="n">
        <v>-52145.72</v>
      </c>
      <c r="Q17" s="4" t="n">
        <v>-33084.78</v>
      </c>
      <c r="R17" s="4" t="n">
        <v>-21114.1</v>
      </c>
      <c r="S17" s="4" t="n">
        <v>-12264.71</v>
      </c>
      <c r="T17" s="4" t="n">
        <v>-20511.4</v>
      </c>
      <c r="U17" s="4" t="n">
        <v>-31705.51</v>
      </c>
      <c r="V17" s="4" t="n">
        <v>-34777.98</v>
      </c>
      <c r="W17" s="4" t="n">
        <v>-397070.47</v>
      </c>
      <c r="X17" t="inlineStr">
        <is>
          <t>Provisión de rappels comerciales 2027: 2,19% s/ventas brutas (-397.070,47 €), cuadrando la Cifra Neta de Negocios en 17.738.160,29 € exactos.</t>
        </is>
      </c>
    </row>
    <row r="18">
      <c r="B18" t="n">
        <v>2027</v>
      </c>
      <c r="C18" t="inlineStr">
        <is>
          <t>Codiagro</t>
        </is>
      </c>
      <c r="D18" t="inlineStr">
        <is>
          <t>RESULTADO DEL EJERCICIO</t>
        </is>
      </c>
      <c r="E18" t="inlineStr">
        <is>
          <t>RESULTADO ANTES DE IMPUESTOS</t>
        </is>
      </c>
      <c r="F18" t="inlineStr">
        <is>
          <t>RESULTADO DE LA EXPLOTACION</t>
        </is>
      </c>
      <c r="G18" t="inlineStr">
        <is>
          <t>11.- Deterioro y resultado por enajenaciones del inmovilizado</t>
        </is>
      </c>
      <c r="H18" t="inlineStr">
        <is>
          <t>(771) Beneficios procedentes IM</t>
        </is>
      </c>
      <c r="I18" t="inlineStr">
        <is>
          <t>771000000 - Beneficios del inmovilizado material</t>
        </is>
      </c>
      <c r="J18" t="inlineStr">
        <is>
          <t>-</t>
        </is>
      </c>
      <c r="K18" s="4" t="n">
        <v>0</v>
      </c>
      <c r="L18" s="4" t="n">
        <v>0</v>
      </c>
      <c r="M18" s="4" t="n">
        <v>0</v>
      </c>
      <c r="N18" s="4" t="n">
        <v>0</v>
      </c>
      <c r="O18" s="173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t="inlineStr">
        <is>
          <t>Sin dotación presupuestada en 2027 por corresponder a partidas singulares/no recurrentes.</t>
        </is>
      </c>
    </row>
    <row r="19">
      <c r="B19" t="n">
        <v>2027</v>
      </c>
      <c r="C19" t="inlineStr">
        <is>
          <t>Codiagro</t>
        </is>
      </c>
      <c r="D19" t="inlineStr">
        <is>
          <t>RESULTADO DEL EJERCICIO</t>
        </is>
      </c>
      <c r="E19" t="inlineStr">
        <is>
          <t>RESULTADO ANTES DE IMPUESTOS</t>
        </is>
      </c>
      <c r="F19" t="inlineStr">
        <is>
          <t>RESULTADO DE LA EXPLOTACION</t>
        </is>
      </c>
      <c r="G19" t="inlineStr">
        <is>
          <t>13.- Otros resultados</t>
        </is>
      </c>
      <c r="H19" t="inlineStr">
        <is>
          <t>(678) Gastos excepcionales PGC 2008</t>
        </is>
      </c>
      <c r="I19" t="inlineStr">
        <is>
          <t>678000000 - Gastos excepcionales</t>
        </is>
      </c>
      <c r="J19" t="inlineStr">
        <is>
          <t>-</t>
        </is>
      </c>
      <c r="K19" s="4" t="n">
        <v>0</v>
      </c>
      <c r="L19" s="4" t="n">
        <v>0</v>
      </c>
      <c r="M19" s="4" t="n">
        <v>0</v>
      </c>
      <c r="N19" s="4" t="n">
        <v>0</v>
      </c>
      <c r="O19" s="173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t="inlineStr">
        <is>
          <t>Sin dotación presupuestada en 2027 por corresponder a partidas singulares/no recurrentes.</t>
        </is>
      </c>
    </row>
    <row r="20">
      <c r="B20" t="n">
        <v>2027</v>
      </c>
      <c r="C20" t="inlineStr">
        <is>
          <t>Codiagro</t>
        </is>
      </c>
      <c r="D20" t="inlineStr">
        <is>
          <t>RESULTADO DEL EJERCICIO</t>
        </is>
      </c>
      <c r="E20" t="inlineStr">
        <is>
          <t>RESULTADO ANTES DE IMPUESTOS</t>
        </is>
      </c>
      <c r="F20" t="inlineStr">
        <is>
          <t>RESULTADO DE LA EXPLOTACION</t>
        </is>
      </c>
      <c r="G20" t="inlineStr">
        <is>
          <t>13.- Otros resultados</t>
        </is>
      </c>
      <c r="H20" t="inlineStr">
        <is>
          <t>(778) Ingresos excepcionales PGC 2008</t>
        </is>
      </c>
      <c r="I20" t="inlineStr">
        <is>
          <t>778000000 - Ingresos excepcionales</t>
        </is>
      </c>
      <c r="J20" t="inlineStr">
        <is>
          <t>-</t>
        </is>
      </c>
      <c r="K20" s="4" t="n">
        <v>0</v>
      </c>
      <c r="L20" s="4" t="n">
        <v>0</v>
      </c>
      <c r="M20" s="4" t="n">
        <v>0</v>
      </c>
      <c r="N20" s="4" t="n">
        <v>0</v>
      </c>
      <c r="O20" s="173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t="inlineStr">
        <is>
          <t>Sin dotación presupuestada en 2027 por corresponder a partidas singulares/no recurrentes.</t>
        </is>
      </c>
    </row>
    <row r="21">
      <c r="B21" t="n">
        <v>2027</v>
      </c>
      <c r="C21" t="inlineStr">
        <is>
          <t>Codiagro</t>
        </is>
      </c>
      <c r="D21" t="inlineStr">
        <is>
          <t>RESULTADO DEL EJERCICIO</t>
        </is>
      </c>
      <c r="E21" t="inlineStr">
        <is>
          <t>RESULTADO ANTES DE IMPUESTOS</t>
        </is>
      </c>
      <c r="F21" t="inlineStr">
        <is>
          <t>RESULTADO DE LA EXPLOTACION</t>
        </is>
      </c>
      <c r="G21" t="inlineStr">
        <is>
          <t>2.- Variación de existencias</t>
        </is>
      </c>
      <c r="H21" t="inlineStr">
        <is>
          <t>(711) Variación de existencias de productos semiterminados</t>
        </is>
      </c>
      <c r="I21" t="inlineStr">
        <is>
          <t>711000000 - Variación existencias de prod. semiterminados</t>
        </is>
      </c>
      <c r="J21" t="inlineStr">
        <is>
          <t>-</t>
        </is>
      </c>
      <c r="K21" s="4" t="n">
        <v>0</v>
      </c>
      <c r="L21" s="4" t="n">
        <v>0</v>
      </c>
      <c r="M21" s="4" t="n">
        <v>0</v>
      </c>
      <c r="N21" s="4" t="n">
        <v>0</v>
      </c>
      <c r="O21" s="173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t="inlineStr">
        <is>
          <t>Cuenta inactiva / sin saldo previsto en 2027.</t>
        </is>
      </c>
    </row>
    <row r="22">
      <c r="B22" t="n">
        <v>2027</v>
      </c>
      <c r="C22" t="inlineStr">
        <is>
          <t>Codiagro</t>
        </is>
      </c>
      <c r="D22" t="inlineStr">
        <is>
          <t>RESULTADO DEL EJERCICIO</t>
        </is>
      </c>
      <c r="E22" t="inlineStr">
        <is>
          <t>RESULTADO ANTES DE IMPUESTOS</t>
        </is>
      </c>
      <c r="F22" t="inlineStr">
        <is>
          <t>RESULTADO DE LA EXPLOTACION</t>
        </is>
      </c>
      <c r="G22" t="inlineStr">
        <is>
          <t>2.- Variación de existencias</t>
        </is>
      </c>
      <c r="H22" t="inlineStr">
        <is>
          <t>(712) Variación de existencias producto terminado</t>
        </is>
      </c>
      <c r="I22" t="inlineStr">
        <is>
          <t>712000000 - Variación existencias de prod. terminados</t>
        </is>
      </c>
      <c r="J22" t="inlineStr">
        <is>
          <t>-</t>
        </is>
      </c>
      <c r="K22" s="4" t="n">
        <v>0</v>
      </c>
      <c r="L22" s="4" t="n">
        <v>0</v>
      </c>
      <c r="M22" s="4" t="n">
        <v>0</v>
      </c>
      <c r="N22" s="4" t="n">
        <v>0</v>
      </c>
      <c r="O22" s="173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t="inlineStr">
        <is>
          <t>Cuenta inactiva / sin saldo previsto en 2027.</t>
        </is>
      </c>
    </row>
    <row r="23">
      <c r="B23" t="n">
        <v>2027</v>
      </c>
      <c r="C23" t="inlineStr">
        <is>
          <t>Codiagro</t>
        </is>
      </c>
      <c r="D23" t="inlineStr">
        <is>
          <t>RESULTADO DEL EJERCICIO</t>
        </is>
      </c>
      <c r="E23" t="inlineStr">
        <is>
          <t>RESULTADO ANTES DE IMPUESTOS</t>
        </is>
      </c>
      <c r="F23" t="inlineStr">
        <is>
          <t>RESULTADO DE LA EXPLOTACION</t>
        </is>
      </c>
      <c r="G23" t="inlineStr">
        <is>
          <t>4.- Aprovisionamientos</t>
        </is>
      </c>
      <c r="H23" t="inlineStr">
        <is>
          <t>(601) Compras de materias primas</t>
        </is>
      </c>
      <c r="I23" t="inlineStr">
        <is>
          <t>601000000 - Compras de materias primas</t>
        </is>
      </c>
      <c r="J23" t="inlineStr">
        <is>
          <t>-</t>
        </is>
      </c>
      <c r="K23" s="4" t="n">
        <v>-247571.61</v>
      </c>
      <c r="L23" s="4" t="n">
        <v>-480047.38</v>
      </c>
      <c r="M23" s="4" t="n">
        <v>-505499.75</v>
      </c>
      <c r="N23" s="4" t="n">
        <v>-391336.67</v>
      </c>
      <c r="O23" s="173" t="n">
        <v>-639721.61</v>
      </c>
      <c r="P23" s="4" t="n">
        <v>-660412.55</v>
      </c>
      <c r="Q23" s="4" t="n">
        <v>-425647.17</v>
      </c>
      <c r="R23" s="4" t="n">
        <v>-255306.21</v>
      </c>
      <c r="S23" s="4" t="n">
        <v>-154533.56</v>
      </c>
      <c r="T23" s="4" t="n">
        <v>-257348.52</v>
      </c>
      <c r="U23" s="4" t="n">
        <v>-410647.96</v>
      </c>
      <c r="V23" s="4" t="n">
        <v>-422003.72</v>
      </c>
      <c r="W23" s="4" t="n">
        <v>-4850076.71</v>
      </c>
      <c r="X23" t="inlineStr">
        <is>
          <t>Presupuesto de Compras 2027: Materias primas según necesidades netas de formulación industrial (-4.850.076,71 € base; 4.995.578,01 € con reserva MOQ 3%).</t>
        </is>
      </c>
    </row>
    <row r="24">
      <c r="B24" t="n">
        <v>2027</v>
      </c>
      <c r="C24" t="inlineStr">
        <is>
          <t>Codiagro</t>
        </is>
      </c>
      <c r="D24" t="inlineStr">
        <is>
          <t>RESULTADO DEL EJERCICIO</t>
        </is>
      </c>
      <c r="E24" t="inlineStr">
        <is>
          <t>RESULTADO ANTES DE IMPUESTOS</t>
        </is>
      </c>
      <c r="F24" t="inlineStr">
        <is>
          <t>RESULTADO DE LA EXPLOTACION</t>
        </is>
      </c>
      <c r="G24" t="inlineStr">
        <is>
          <t>4.- Aprovisionamientos</t>
        </is>
      </c>
      <c r="H24" t="inlineStr">
        <is>
          <t>(602) Compras de otros aprovisionamientos</t>
        </is>
      </c>
      <c r="I24" t="inlineStr">
        <is>
          <t>602000001 - COMPRA DE ENVASES Y EMBALAJES</t>
        </is>
      </c>
      <c r="J24" t="inlineStr">
        <is>
          <t>-</t>
        </is>
      </c>
      <c r="K24" s="4" t="n">
        <v>-51110.53</v>
      </c>
      <c r="L24" s="4" t="n">
        <v>-99104.56</v>
      </c>
      <c r="M24" s="4" t="n">
        <v>-104359.14</v>
      </c>
      <c r="N24" s="4" t="n">
        <v>-80790.46000000001</v>
      </c>
      <c r="O24" s="173" t="n">
        <v>-132068.9</v>
      </c>
      <c r="P24" s="4" t="n">
        <v>-136340.49</v>
      </c>
      <c r="Q24" s="4" t="n">
        <v>-87873.77</v>
      </c>
      <c r="R24" s="4" t="n">
        <v>-52707.32</v>
      </c>
      <c r="S24" s="4" t="n">
        <v>-31903.06</v>
      </c>
      <c r="T24" s="4" t="n">
        <v>-53128.95</v>
      </c>
      <c r="U24" s="4" t="n">
        <v>-84777.23</v>
      </c>
      <c r="V24" s="4" t="n">
        <v>-87121.59</v>
      </c>
      <c r="W24" s="4" t="n">
        <v>-1001286</v>
      </c>
      <c r="X24" t="inlineStr">
        <is>
          <t>Presupuesto de Compras 2027: Envases y bidones de envasado (-1.001.286,00 €; 1.031.324,58 € con MOQ 3%).</t>
        </is>
      </c>
    </row>
    <row r="25">
      <c r="B25" t="n">
        <v>2027</v>
      </c>
      <c r="C25" t="inlineStr">
        <is>
          <t>Codiagro</t>
        </is>
      </c>
      <c r="D25" t="inlineStr">
        <is>
          <t>RESULTADO DEL EJERCICIO</t>
        </is>
      </c>
      <c r="E25" t="inlineStr">
        <is>
          <t>RESULTADO ANTES DE IMPUESTOS</t>
        </is>
      </c>
      <c r="F25" t="inlineStr">
        <is>
          <t>RESULTADO DE LA EXPLOTACION</t>
        </is>
      </c>
      <c r="G25" t="inlineStr">
        <is>
          <t>4.- Aprovisionamientos</t>
        </is>
      </c>
      <c r="H25" t="inlineStr">
        <is>
          <t>(602) Compras de otros aprovisionamientos</t>
        </is>
      </c>
      <c r="I25" t="inlineStr">
        <is>
          <t>602000000 - Compras de otros aprovisionamientos</t>
        </is>
      </c>
      <c r="J25" t="inlineStr">
        <is>
          <t>-</t>
        </is>
      </c>
      <c r="K25" s="4" t="n">
        <v>0</v>
      </c>
      <c r="L25" s="4" t="n">
        <v>0</v>
      </c>
      <c r="M25" s="4" t="n">
        <v>0</v>
      </c>
      <c r="N25" s="4" t="n">
        <v>0</v>
      </c>
      <c r="O25" s="173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t="inlineStr">
        <is>
          <t>Cuenta fusionada con 602000001. Saldo fijado a 0 en 2027.</t>
        </is>
      </c>
    </row>
    <row r="26">
      <c r="B26" t="n">
        <v>2027</v>
      </c>
      <c r="C26" t="inlineStr">
        <is>
          <t>Codiagro</t>
        </is>
      </c>
      <c r="D26" t="inlineStr">
        <is>
          <t>RESULTADO DEL EJERCICIO</t>
        </is>
      </c>
      <c r="E26" t="inlineStr">
        <is>
          <t>RESULTADO ANTES DE IMPUESTOS</t>
        </is>
      </c>
      <c r="F26" t="inlineStr">
        <is>
          <t>RESULTADO DE LA EXPLOTACION</t>
        </is>
      </c>
      <c r="G26" t="inlineStr">
        <is>
          <t>4.- Aprovisionamientos</t>
        </is>
      </c>
      <c r="H26" t="inlineStr">
        <is>
          <t>(602) Compras de otros aprovisionamientos</t>
        </is>
      </c>
      <c r="I26" t="inlineStr">
        <is>
          <t>602000002 - COMPRA DE ETIQUETAS</t>
        </is>
      </c>
      <c r="J26" t="inlineStr">
        <is>
          <t>-</t>
        </is>
      </c>
      <c r="K26" s="4" t="n">
        <v>-7981.03</v>
      </c>
      <c r="L26" s="4" t="n">
        <v>-15475.42</v>
      </c>
      <c r="M26" s="4" t="n">
        <v>-16295.93</v>
      </c>
      <c r="N26" s="4" t="n">
        <v>-12615.62</v>
      </c>
      <c r="O26" s="173" t="n">
        <v>-20622.88</v>
      </c>
      <c r="P26" s="4" t="n">
        <v>-21289.9</v>
      </c>
      <c r="Q26" s="4" t="n">
        <v>-13721.7</v>
      </c>
      <c r="R26" s="4" t="n">
        <v>-8230.370000000001</v>
      </c>
      <c r="S26" s="4" t="n">
        <v>-4981.74</v>
      </c>
      <c r="T26" s="4" t="n">
        <v>-8296.209999999999</v>
      </c>
      <c r="U26" s="4" t="n">
        <v>-13238.17</v>
      </c>
      <c r="V26" s="4" t="n">
        <v>-13604.25</v>
      </c>
      <c r="W26" s="4" t="n">
        <v>-156353.22</v>
      </c>
      <c r="X26" t="inlineStr">
        <is>
          <t>Presupuesto de Compras 2027: Etiquetas bobina y adhesivas (-156.353,22 €; 161.043,82 € con MOQ 3%).</t>
        </is>
      </c>
    </row>
    <row r="27">
      <c r="B27" t="n">
        <v>2027</v>
      </c>
      <c r="C27" t="inlineStr">
        <is>
          <t>Codiagro</t>
        </is>
      </c>
      <c r="D27" t="inlineStr">
        <is>
          <t>RESULTADO DEL EJERCICIO</t>
        </is>
      </c>
      <c r="E27" t="inlineStr">
        <is>
          <t>RESULTADO ANTES DE IMPUESTOS</t>
        </is>
      </c>
      <c r="F27" t="inlineStr">
        <is>
          <t>RESULTADO DE LA EXPLOTACION</t>
        </is>
      </c>
      <c r="G27" t="inlineStr">
        <is>
          <t>4.- Aprovisionamientos</t>
        </is>
      </c>
      <c r="H27" t="inlineStr">
        <is>
          <t>(602) Compras de otros aprovisionamientos</t>
        </is>
      </c>
      <c r="I27" t="inlineStr">
        <is>
          <t>602000003 - COMPRA DE PALETS</t>
        </is>
      </c>
      <c r="J27" t="inlineStr">
        <is>
          <t>-</t>
        </is>
      </c>
      <c r="K27" s="4" t="n">
        <v>-8300.27</v>
      </c>
      <c r="L27" s="4" t="n">
        <v>-16094.43</v>
      </c>
      <c r="M27" s="4" t="n">
        <v>-16947.77</v>
      </c>
      <c r="N27" s="4" t="n">
        <v>-13120.25</v>
      </c>
      <c r="O27" s="173" t="n">
        <v>-21447.79</v>
      </c>
      <c r="P27" s="4" t="n">
        <v>-22141.49</v>
      </c>
      <c r="Q27" s="4" t="n">
        <v>-14270.57</v>
      </c>
      <c r="R27" s="4" t="n">
        <v>-8559.59</v>
      </c>
      <c r="S27" s="4" t="n">
        <v>-5181.01</v>
      </c>
      <c r="T27" s="4" t="n">
        <v>-8628.059999999999</v>
      </c>
      <c r="U27" s="4" t="n">
        <v>-13767.69</v>
      </c>
      <c r="V27" s="4" t="n">
        <v>-14148.42</v>
      </c>
      <c r="W27" s="4" t="n">
        <v>-162607.34</v>
      </c>
      <c r="X27" t="inlineStr">
        <is>
          <t>Presupuesto de Compras 2027: Palets homologados nacional y exportación (-162.607,34 €; 167.485,56 € con MOQ 3%).</t>
        </is>
      </c>
    </row>
    <row r="28">
      <c r="B28" t="n">
        <v>2027</v>
      </c>
      <c r="C28" t="inlineStr">
        <is>
          <t>Codiagro</t>
        </is>
      </c>
      <c r="D28" t="inlineStr">
        <is>
          <t>RESULTADO DEL EJERCICIO</t>
        </is>
      </c>
      <c r="E28" t="inlineStr">
        <is>
          <t>RESULTADO ANTES DE IMPUESTOS</t>
        </is>
      </c>
      <c r="F28" t="inlineStr">
        <is>
          <t>RESULTADO DE LA EXPLOTACION</t>
        </is>
      </c>
      <c r="G28" t="inlineStr">
        <is>
          <t>4.- Aprovisionamientos</t>
        </is>
      </c>
      <c r="H28" t="inlineStr">
        <is>
          <t>(602) Compras de otros aprovisionamientos</t>
        </is>
      </c>
      <c r="I28" t="inlineStr">
        <is>
          <t>602000004 - COMPRA MATERIAL DE LIMPIEZA</t>
        </is>
      </c>
      <c r="J28" t="inlineStr">
        <is>
          <t>-</t>
        </is>
      </c>
      <c r="K28" s="4" t="n">
        <v>-131.92</v>
      </c>
      <c r="L28" s="4" t="n">
        <v>-131.92</v>
      </c>
      <c r="M28" s="4" t="n">
        <v>-131.92</v>
      </c>
      <c r="N28" s="4" t="n">
        <v>-131.92</v>
      </c>
      <c r="O28" s="173" t="n">
        <v>-131.92</v>
      </c>
      <c r="P28" s="4" t="n">
        <v>-131.92</v>
      </c>
      <c r="Q28" s="4" t="n">
        <v>-131.92</v>
      </c>
      <c r="R28" s="4" t="n">
        <v>-131.92</v>
      </c>
      <c r="S28" s="4" t="n">
        <v>-131.92</v>
      </c>
      <c r="T28" s="4" t="n">
        <v>-131.92</v>
      </c>
      <c r="U28" s="4" t="n">
        <v>-131.92</v>
      </c>
      <c r="V28" s="4" t="n">
        <v>-131.92</v>
      </c>
      <c r="W28" s="4" t="n">
        <v>-1583.04</v>
      </c>
      <c r="X28" t="inlineStr">
        <is>
          <t>Coste operativo menor de planta: proyección basada en el promedio mensual consolidado.</t>
        </is>
      </c>
    </row>
    <row r="29">
      <c r="B29" t="n">
        <v>2027</v>
      </c>
      <c r="C29" t="inlineStr">
        <is>
          <t>Codiagro</t>
        </is>
      </c>
      <c r="D29" t="inlineStr">
        <is>
          <t>RESULTADO DEL EJERCICIO</t>
        </is>
      </c>
      <c r="E29" t="inlineStr">
        <is>
          <t>RESULTADO ANTES DE IMPUESTOS</t>
        </is>
      </c>
      <c r="F29" t="inlineStr">
        <is>
          <t>RESULTADO DE LA EXPLOTACION</t>
        </is>
      </c>
      <c r="G29" t="inlineStr">
        <is>
          <t>4.- Aprovisionamientos</t>
        </is>
      </c>
      <c r="H29" t="inlineStr">
        <is>
          <t>(602) Compras de otros aprovisionamientos</t>
        </is>
      </c>
      <c r="I29" t="inlineStr">
        <is>
          <t>602000005 - COMPRA MATERIAL DE OFICINA</t>
        </is>
      </c>
      <c r="J29" t="inlineStr">
        <is>
          <t>-</t>
        </is>
      </c>
      <c r="K29" s="4" t="n">
        <v>-204.02</v>
      </c>
      <c r="L29" s="4" t="n">
        <v>-204.02</v>
      </c>
      <c r="M29" s="4" t="n">
        <v>-204.02</v>
      </c>
      <c r="N29" s="4" t="n">
        <v>-204.02</v>
      </c>
      <c r="O29" s="173" t="n">
        <v>-204.02</v>
      </c>
      <c r="P29" s="4" t="n">
        <v>-204.02</v>
      </c>
      <c r="Q29" s="4" t="n">
        <v>-204.02</v>
      </c>
      <c r="R29" s="4" t="n">
        <v>-204.02</v>
      </c>
      <c r="S29" s="4" t="n">
        <v>-204.02</v>
      </c>
      <c r="T29" s="4" t="n">
        <v>-204.02</v>
      </c>
      <c r="U29" s="4" t="n">
        <v>-204.02</v>
      </c>
      <c r="V29" s="4" t="n">
        <v>-204.02</v>
      </c>
      <c r="W29" s="4" t="n">
        <v>-2448.24</v>
      </c>
      <c r="X29" t="inlineStr">
        <is>
          <t>Coste operativo menor de planta: proyección basada en el promedio mensual consolidado.</t>
        </is>
      </c>
    </row>
    <row r="30">
      <c r="B30" t="n">
        <v>2027</v>
      </c>
      <c r="C30" t="inlineStr">
        <is>
          <t>Codiagro</t>
        </is>
      </c>
      <c r="D30" t="inlineStr">
        <is>
          <t>RESULTADO DEL EJERCICIO</t>
        </is>
      </c>
      <c r="E30" t="inlineStr">
        <is>
          <t>RESULTADO ANTES DE IMPUESTOS</t>
        </is>
      </c>
      <c r="F30" t="inlineStr">
        <is>
          <t>RESULTADO DE LA EXPLOTACION</t>
        </is>
      </c>
      <c r="G30" t="inlineStr">
        <is>
          <t>4.- Aprovisionamientos</t>
        </is>
      </c>
      <c r="H30" t="inlineStr">
        <is>
          <t>(602) Compras de otros aprovisionamientos</t>
        </is>
      </c>
      <c r="I30" t="inlineStr">
        <is>
          <t>602000006 - COMPRA TAPONES DE ENVASES</t>
        </is>
      </c>
      <c r="J30" t="inlineStr">
        <is>
          <t>-</t>
        </is>
      </c>
      <c r="K30" s="4" t="n">
        <v>-4277.83</v>
      </c>
      <c r="L30" s="4" t="n">
        <v>-8294.82</v>
      </c>
      <c r="M30" s="4" t="n">
        <v>-8734.620000000001</v>
      </c>
      <c r="N30" s="4" t="n">
        <v>-6761.97</v>
      </c>
      <c r="O30" s="173" t="n">
        <v>-11053.86</v>
      </c>
      <c r="P30" s="4" t="n">
        <v>-11411.38</v>
      </c>
      <c r="Q30" s="4" t="n">
        <v>-7354.83</v>
      </c>
      <c r="R30" s="4" t="n">
        <v>-4411.48</v>
      </c>
      <c r="S30" s="4" t="n">
        <v>-2670.21</v>
      </c>
      <c r="T30" s="4" t="n">
        <v>-4446.77</v>
      </c>
      <c r="U30" s="4" t="n">
        <v>-7095.66</v>
      </c>
      <c r="V30" s="4" t="n">
        <v>-7291.88</v>
      </c>
      <c r="W30" s="4" t="n">
        <v>-83805.31000000001</v>
      </c>
      <c r="X30" t="inlineStr">
        <is>
          <t>Presupuesto de Compras 2027: Tapones dosificadores y de seguridad (-83.805,31 €; 86.319,47 € con MOQ 3%).</t>
        </is>
      </c>
    </row>
    <row r="31">
      <c r="B31" t="n">
        <v>2027</v>
      </c>
      <c r="C31" t="inlineStr">
        <is>
          <t>Codiagro</t>
        </is>
      </c>
      <c r="D31" t="inlineStr">
        <is>
          <t>RESULTADO DEL EJERCICIO</t>
        </is>
      </c>
      <c r="E31" t="inlineStr">
        <is>
          <t>RESULTADO ANTES DE IMPUESTOS</t>
        </is>
      </c>
      <c r="F31" t="inlineStr">
        <is>
          <t>RESULTADO DE LA EXPLOTACION</t>
        </is>
      </c>
      <c r="G31" t="inlineStr">
        <is>
          <t>4.- Aprovisionamientos</t>
        </is>
      </c>
      <c r="H31" t="inlineStr">
        <is>
          <t>(602) Compras de otros aprovisionamientos</t>
        </is>
      </c>
      <c r="I31" t="inlineStr">
        <is>
          <t>602000007 - COMPRAS LABORATORIO</t>
        </is>
      </c>
      <c r="J31" t="inlineStr">
        <is>
          <t>-</t>
        </is>
      </c>
      <c r="K31" s="4" t="n">
        <v>0</v>
      </c>
      <c r="L31" s="4" t="n">
        <v>0</v>
      </c>
      <c r="M31" s="4" t="n">
        <v>0</v>
      </c>
      <c r="N31" s="4" t="n">
        <v>0</v>
      </c>
      <c r="O31" s="173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t="inlineStr">
        <is>
          <t>Cuenta inactiva / sin saldo previsto en 2027.</t>
        </is>
      </c>
    </row>
    <row r="32">
      <c r="B32" t="n">
        <v>2027</v>
      </c>
      <c r="C32" t="inlineStr">
        <is>
          <t>Codiagro</t>
        </is>
      </c>
      <c r="D32" t="inlineStr">
        <is>
          <t>RESULTADO DEL EJERCICIO</t>
        </is>
      </c>
      <c r="E32" t="inlineStr">
        <is>
          <t>RESULTADO ANTES DE IMPUESTOS</t>
        </is>
      </c>
      <c r="F32" t="inlineStr">
        <is>
          <t>RESULTADO DE LA EXPLOTACION</t>
        </is>
      </c>
      <c r="G32" t="inlineStr">
        <is>
          <t>4.- Aprovisionamientos</t>
        </is>
      </c>
      <c r="H32" t="inlineStr">
        <is>
          <t>(602) Compras de otros aprovisionamientos</t>
        </is>
      </c>
      <c r="I32" t="inlineStr">
        <is>
          <t>602000008 - RESPUESTOS PLANTA</t>
        </is>
      </c>
      <c r="J32" t="inlineStr">
        <is>
          <t>-</t>
        </is>
      </c>
      <c r="K32" s="4" t="n">
        <v>0</v>
      </c>
      <c r="L32" s="4" t="n">
        <v>0</v>
      </c>
      <c r="M32" s="4" t="n">
        <v>0</v>
      </c>
      <c r="N32" s="4" t="n">
        <v>0</v>
      </c>
      <c r="O32" s="173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t="inlineStr">
        <is>
          <t>Cuenta inactiva / sin saldo previsto en 2027.</t>
        </is>
      </c>
    </row>
    <row r="33">
      <c r="B33" t="n">
        <v>2027</v>
      </c>
      <c r="C33" t="inlineStr">
        <is>
          <t>Codiagro</t>
        </is>
      </c>
      <c r="D33" t="inlineStr">
        <is>
          <t>RESULTADO DEL EJERCICIO</t>
        </is>
      </c>
      <c r="E33" t="inlineStr">
        <is>
          <t>RESULTADO ANTES DE IMPUESTOS</t>
        </is>
      </c>
      <c r="F33" t="inlineStr">
        <is>
          <t>RESULTADO DE LA EXPLOTACION</t>
        </is>
      </c>
      <c r="G33" t="inlineStr">
        <is>
          <t>4.- Aprovisionamientos</t>
        </is>
      </c>
      <c r="H33" t="inlineStr">
        <is>
          <t>(602) Compras de otros aprovisionamientos</t>
        </is>
      </c>
      <c r="I33" t="inlineStr">
        <is>
          <t>602000010 - COMPRA RIBBON</t>
        </is>
      </c>
      <c r="J33" t="inlineStr">
        <is>
          <t>-</t>
        </is>
      </c>
      <c r="K33" s="4" t="n">
        <v>0</v>
      </c>
      <c r="L33" s="4" t="n">
        <v>0</v>
      </c>
      <c r="M33" s="4" t="n">
        <v>0</v>
      </c>
      <c r="N33" s="4" t="n">
        <v>0</v>
      </c>
      <c r="O33" s="173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t="inlineStr">
        <is>
          <t>Cuenta inactiva / sin saldo previsto en 2027.</t>
        </is>
      </c>
    </row>
    <row r="34">
      <c r="B34" t="n">
        <v>2027</v>
      </c>
      <c r="C34" t="inlineStr">
        <is>
          <t>Codiagro</t>
        </is>
      </c>
      <c r="D34" t="inlineStr">
        <is>
          <t>RESULTADO DEL EJERCICIO</t>
        </is>
      </c>
      <c r="E34" t="inlineStr">
        <is>
          <t>RESULTADO ANTES DE IMPUESTOS</t>
        </is>
      </c>
      <c r="F34" t="inlineStr">
        <is>
          <t>RESULTADO DE LA EXPLOTACION</t>
        </is>
      </c>
      <c r="G34" t="inlineStr">
        <is>
          <t>4.- Aprovisionamientos</t>
        </is>
      </c>
      <c r="H34" t="inlineStr">
        <is>
          <t>(602) Compras de otros aprovisionamientos</t>
        </is>
      </c>
      <c r="I34" t="inlineStr">
        <is>
          <t>602000011 - COMPRAS VARIAS PLANTA</t>
        </is>
      </c>
      <c r="J34" t="inlineStr">
        <is>
          <t>-</t>
        </is>
      </c>
      <c r="K34" s="4" t="n">
        <v>-964.39</v>
      </c>
      <c r="L34" s="4" t="n">
        <v>-964.39</v>
      </c>
      <c r="M34" s="4" t="n">
        <v>-964.39</v>
      </c>
      <c r="N34" s="4" t="n">
        <v>-964.39</v>
      </c>
      <c r="O34" s="173" t="n">
        <v>-964.39</v>
      </c>
      <c r="P34" s="4" t="n">
        <v>-964.39</v>
      </c>
      <c r="Q34" s="4" t="n">
        <v>-964.39</v>
      </c>
      <c r="R34" s="4" t="n">
        <v>-964.39</v>
      </c>
      <c r="S34" s="4" t="n">
        <v>-964.39</v>
      </c>
      <c r="T34" s="4" t="n">
        <v>-964.39</v>
      </c>
      <c r="U34" s="4" t="n">
        <v>-964.39</v>
      </c>
      <c r="V34" s="4" t="n">
        <v>-964.39</v>
      </c>
      <c r="W34" s="4" t="n">
        <v>-11572.68</v>
      </c>
      <c r="X34" t="inlineStr">
        <is>
          <t>Coste operativo menor de planta: proyección basada en el promedio mensual consolidado.</t>
        </is>
      </c>
    </row>
    <row r="35">
      <c r="B35" t="n">
        <v>2027</v>
      </c>
      <c r="C35" t="inlineStr">
        <is>
          <t>Codiagro</t>
        </is>
      </c>
      <c r="D35" t="inlineStr">
        <is>
          <t>RESULTADO DEL EJERCICIO</t>
        </is>
      </c>
      <c r="E35" t="inlineStr">
        <is>
          <t>RESULTADO ANTES DE IMPUESTOS</t>
        </is>
      </c>
      <c r="F35" t="inlineStr">
        <is>
          <t>RESULTADO DE LA EXPLOTACION</t>
        </is>
      </c>
      <c r="G35" t="inlineStr">
        <is>
          <t>4.- Aprovisionamientos</t>
        </is>
      </c>
      <c r="H35" t="inlineStr">
        <is>
          <t>(602) Compras de otros aprovisionamientos</t>
        </is>
      </c>
      <c r="I35" t="inlineStr">
        <is>
          <t>602000012 - REPUESTOS INFORMATICOS</t>
        </is>
      </c>
      <c r="J35" t="inlineStr">
        <is>
          <t>-</t>
        </is>
      </c>
      <c r="K35" s="4" t="n">
        <v>-1559.63</v>
      </c>
      <c r="L35" s="4" t="n">
        <v>-1559.63</v>
      </c>
      <c r="M35" s="4" t="n">
        <v>-1559.63</v>
      </c>
      <c r="N35" s="4" t="n">
        <v>-1559.63</v>
      </c>
      <c r="O35" s="173" t="n">
        <v>-1559.63</v>
      </c>
      <c r="P35" s="4" t="n">
        <v>-1559.63</v>
      </c>
      <c r="Q35" s="4" t="n">
        <v>-1559.63</v>
      </c>
      <c r="R35" s="4" t="n">
        <v>-1559.63</v>
      </c>
      <c r="S35" s="4" t="n">
        <v>-1559.63</v>
      </c>
      <c r="T35" s="4" t="n">
        <v>-1559.63</v>
      </c>
      <c r="U35" s="4" t="n">
        <v>-1559.63</v>
      </c>
      <c r="V35" s="4" t="n">
        <v>-1559.63</v>
      </c>
      <c r="W35" s="4" t="n">
        <v>-18715.56</v>
      </c>
      <c r="X35" t="inlineStr">
        <is>
          <t>Coste operativo menor de planta: proyección basada en el promedio mensual consolidado.</t>
        </is>
      </c>
    </row>
    <row r="36">
      <c r="B36" t="n">
        <v>2027</v>
      </c>
      <c r="C36" t="inlineStr">
        <is>
          <t>Codiagro</t>
        </is>
      </c>
      <c r="D36" t="inlineStr">
        <is>
          <t>RESULTADO DEL EJERCICIO</t>
        </is>
      </c>
      <c r="E36" t="inlineStr">
        <is>
          <t>RESULTADO ANTES DE IMPUESTOS</t>
        </is>
      </c>
      <c r="F36" t="inlineStr">
        <is>
          <t>RESULTADO DE LA EXPLOTACION</t>
        </is>
      </c>
      <c r="G36" t="inlineStr">
        <is>
          <t>4.- Aprovisionamientos</t>
        </is>
      </c>
      <c r="H36" t="inlineStr">
        <is>
          <t>(602) Compras de otros aprovisionamientos</t>
        </is>
      </c>
      <c r="I36" t="inlineStr">
        <is>
          <t>602000013 - COMPRA TINTA INPRESORA ETIQUETAS</t>
        </is>
      </c>
      <c r="J36" t="inlineStr">
        <is>
          <t>-</t>
        </is>
      </c>
      <c r="K36" s="4" t="n">
        <v>-2200</v>
      </c>
      <c r="L36" s="4" t="n">
        <v>-2600</v>
      </c>
      <c r="M36" s="4" t="n">
        <v>-2600</v>
      </c>
      <c r="N36" s="4" t="n">
        <v>-2600</v>
      </c>
      <c r="O36" s="173" t="n">
        <v>-2600</v>
      </c>
      <c r="P36" s="4" t="n">
        <v>-2600</v>
      </c>
      <c r="Q36" s="4" t="n">
        <v>-2600</v>
      </c>
      <c r="R36" s="4" t="n">
        <v>-2200</v>
      </c>
      <c r="S36" s="4" t="n">
        <v>-2200</v>
      </c>
      <c r="T36" s="4" t="n">
        <v>-2200</v>
      </c>
      <c r="U36" s="4" t="n">
        <v>-2600</v>
      </c>
      <c r="V36" s="4" t="n">
        <v>-2600</v>
      </c>
      <c r="W36" s="4" t="n">
        <v>-29600</v>
      </c>
      <c r="X36" t="inlineStr">
        <is>
          <t>Coste semi-variable de consumibles de marcaje y codificación en planta según volumen fabril.</t>
        </is>
      </c>
    </row>
    <row r="37">
      <c r="B37" t="n">
        <v>2027</v>
      </c>
      <c r="C37" t="inlineStr">
        <is>
          <t>Codiagro</t>
        </is>
      </c>
      <c r="D37" t="inlineStr">
        <is>
          <t>RESULTADO DEL EJERCICIO</t>
        </is>
      </c>
      <c r="E37" t="inlineStr">
        <is>
          <t>RESULTADO ANTES DE IMPUESTOS</t>
        </is>
      </c>
      <c r="F37" t="inlineStr">
        <is>
          <t>RESULTADO DE LA EXPLOTACION</t>
        </is>
      </c>
      <c r="G37" t="inlineStr">
        <is>
          <t>4.- Aprovisionamientos</t>
        </is>
      </c>
      <c r="H37" t="inlineStr">
        <is>
          <t>(602) Compras de otros aprovisionamientos</t>
        </is>
      </c>
      <c r="I37" t="inlineStr">
        <is>
          <t>602000100 - ENVASES Y EMBALAJES A DEVOLVER</t>
        </is>
      </c>
      <c r="J37" t="inlineStr">
        <is>
          <t>-</t>
        </is>
      </c>
      <c r="K37" s="4" t="n">
        <v>-183.2</v>
      </c>
      <c r="L37" s="4" t="n">
        <v>-183.2</v>
      </c>
      <c r="M37" s="4" t="n">
        <v>-183.2</v>
      </c>
      <c r="N37" s="4" t="n">
        <v>-183.2</v>
      </c>
      <c r="O37" s="173" t="n">
        <v>-183.2</v>
      </c>
      <c r="P37" s="4" t="n">
        <v>-183.2</v>
      </c>
      <c r="Q37" s="4" t="n">
        <v>-183.2</v>
      </c>
      <c r="R37" s="4" t="n">
        <v>-183.2</v>
      </c>
      <c r="S37" s="4" t="n">
        <v>-183.2</v>
      </c>
      <c r="T37" s="4" t="n">
        <v>-183.2</v>
      </c>
      <c r="U37" s="4" t="n">
        <v>-183.2</v>
      </c>
      <c r="V37" s="4" t="n">
        <v>-183.2</v>
      </c>
      <c r="W37" s="4" t="n">
        <v>-2198.4</v>
      </c>
      <c r="X37" t="inlineStr">
        <is>
          <t>Coste operativo menor de planta: proyección basada en el promedio mensual consolidado.</t>
        </is>
      </c>
    </row>
    <row r="38">
      <c r="B38" t="n">
        <v>2027</v>
      </c>
      <c r="C38" t="inlineStr">
        <is>
          <t>Codiagro</t>
        </is>
      </c>
      <c r="D38" t="inlineStr">
        <is>
          <t>RESULTADO DEL EJERCICIO</t>
        </is>
      </c>
      <c r="E38" t="inlineStr">
        <is>
          <t>RESULTADO ANTES DE IMPUESTOS</t>
        </is>
      </c>
      <c r="F38" t="inlineStr">
        <is>
          <t>RESULTADO DE LA EXPLOTACION</t>
        </is>
      </c>
      <c r="G38" t="inlineStr">
        <is>
          <t>4.- Aprovisionamientos</t>
        </is>
      </c>
      <c r="H38" t="inlineStr">
        <is>
          <t>(607) Trabajos realizados por otras empresas</t>
        </is>
      </c>
      <c r="I38" t="inlineStr">
        <is>
          <t>607000000 - Trabajos realizados por otras empresas</t>
        </is>
      </c>
      <c r="J38" t="inlineStr">
        <is>
          <t>-</t>
        </is>
      </c>
      <c r="K38" s="4" t="n">
        <v>-5500</v>
      </c>
      <c r="L38" s="4" t="n">
        <v>-7500</v>
      </c>
      <c r="M38" s="4" t="n">
        <v>-7500</v>
      </c>
      <c r="N38" s="4" t="n">
        <v>-7500</v>
      </c>
      <c r="O38" s="173" t="n">
        <v>-7500</v>
      </c>
      <c r="P38" s="4" t="n">
        <v>-7500</v>
      </c>
      <c r="Q38" s="4" t="n">
        <v>-7500</v>
      </c>
      <c r="R38" s="4" t="n">
        <v>-5500</v>
      </c>
      <c r="S38" s="4" t="n">
        <v>-5500</v>
      </c>
      <c r="T38" s="4" t="n">
        <v>-5500</v>
      </c>
      <c r="U38" s="4" t="n">
        <v>-7500</v>
      </c>
      <c r="V38" s="4" t="n">
        <v>-7500</v>
      </c>
      <c r="W38" s="4" t="n">
        <v>-82000</v>
      </c>
      <c r="X38" t="inlineStr">
        <is>
          <t>Coste variable: subcontratación y apoyos externos de formulación según picos de carga fabril.</t>
        </is>
      </c>
    </row>
    <row r="39">
      <c r="B39" t="n">
        <v>2027</v>
      </c>
      <c r="C39" t="inlineStr">
        <is>
          <t>Codiagro</t>
        </is>
      </c>
      <c r="D39" t="inlineStr">
        <is>
          <t>RESULTADO DEL EJERCICIO</t>
        </is>
      </c>
      <c r="E39" t="inlineStr">
        <is>
          <t>RESULTADO ANTES DE IMPUESTOS</t>
        </is>
      </c>
      <c r="F39" t="inlineStr">
        <is>
          <t>RESULTADO DE LA EXPLOTACION</t>
        </is>
      </c>
      <c r="G39" t="inlineStr">
        <is>
          <t>4.- Aprovisionamientos</t>
        </is>
      </c>
      <c r="H39" t="inlineStr">
        <is>
          <t>(611) Variación de existencias de materias primas</t>
        </is>
      </c>
      <c r="I39" t="inlineStr">
        <is>
          <t>611000000 - Variación de existencias de materias primas</t>
        </is>
      </c>
      <c r="J39" t="inlineStr">
        <is>
          <t>-</t>
        </is>
      </c>
      <c r="K39" s="4" t="n">
        <v>0</v>
      </c>
      <c r="L39" s="4" t="n">
        <v>0</v>
      </c>
      <c r="M39" s="4" t="n">
        <v>0</v>
      </c>
      <c r="N39" s="4" t="n">
        <v>0</v>
      </c>
      <c r="O39" s="173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-15000</v>
      </c>
      <c r="W39" s="4" t="n">
        <v>-15000</v>
      </c>
      <c r="X39" t="inlineStr">
        <is>
          <t>Ajuste previsional de variación de existencias para regularización de inventarios a cierre de ejercicio.</t>
        </is>
      </c>
    </row>
    <row r="40">
      <c r="B40" t="n">
        <v>2027</v>
      </c>
      <c r="C40" t="inlineStr">
        <is>
          <t>Codiagro</t>
        </is>
      </c>
      <c r="D40" t="inlineStr">
        <is>
          <t>RESULTADO DEL EJERCICIO</t>
        </is>
      </c>
      <c r="E40" t="inlineStr">
        <is>
          <t>RESULTADO ANTES DE IMPUESTOS</t>
        </is>
      </c>
      <c r="F40" t="inlineStr">
        <is>
          <t>RESULTADO DE LA EXPLOTACION</t>
        </is>
      </c>
      <c r="G40" t="inlineStr">
        <is>
          <t>4.- Aprovisionamientos</t>
        </is>
      </c>
      <c r="H40" t="inlineStr">
        <is>
          <t>(612) Variación de existencias envases/etiquetas</t>
        </is>
      </c>
      <c r="I40" t="inlineStr">
        <is>
          <t>612000000 - Variación de existencias otros aprovisionamientos</t>
        </is>
      </c>
      <c r="J40" t="inlineStr">
        <is>
          <t>-</t>
        </is>
      </c>
      <c r="K40" s="4" t="n">
        <v>0</v>
      </c>
      <c r="L40" s="4" t="n">
        <v>0</v>
      </c>
      <c r="M40" s="4" t="n">
        <v>0</v>
      </c>
      <c r="N40" s="4" t="n">
        <v>0</v>
      </c>
      <c r="O40" s="173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10000</v>
      </c>
      <c r="W40" s="4" t="n">
        <v>10000</v>
      </c>
      <c r="X40" t="inlineStr">
        <is>
          <t>Ajuste previsional de variación de existencias otros aprovisionamientos a cierre de ejercicio.</t>
        </is>
      </c>
    </row>
    <row r="41">
      <c r="B41" t="n">
        <v>2027</v>
      </c>
      <c r="C41" t="inlineStr">
        <is>
          <t>Codiagro</t>
        </is>
      </c>
      <c r="D41" t="inlineStr">
        <is>
          <t>RESULTADO DEL EJERCICIO</t>
        </is>
      </c>
      <c r="E41" t="inlineStr">
        <is>
          <t>RESULTADO ANTES DE IMPUESTOS</t>
        </is>
      </c>
      <c r="F41" t="inlineStr">
        <is>
          <t>RESULTADO DE LA EXPLOTACION</t>
        </is>
      </c>
      <c r="G41" t="inlineStr">
        <is>
          <t>5.- Otros ingresos de explotación</t>
        </is>
      </c>
      <c r="H41" t="inlineStr">
        <is>
          <t>(759) Otros ingresos de gestión</t>
        </is>
      </c>
      <c r="I41" t="inlineStr">
        <is>
          <t>759000000 - Ingresos por servicios diversos</t>
        </is>
      </c>
      <c r="J41" t="inlineStr">
        <is>
          <t>-</t>
        </is>
      </c>
      <c r="K41" s="4" t="n">
        <v>0</v>
      </c>
      <c r="L41" s="4" t="n">
        <v>0</v>
      </c>
      <c r="M41" s="4" t="n">
        <v>0</v>
      </c>
      <c r="N41" s="4" t="n">
        <v>0</v>
      </c>
      <c r="O41" s="173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t="inlineStr">
        <is>
          <t>Cuenta inactiva / sin saldo previsto en 2027.</t>
        </is>
      </c>
    </row>
    <row r="42">
      <c r="B42" t="n">
        <v>2027</v>
      </c>
      <c r="C42" t="inlineStr">
        <is>
          <t>Codiagro</t>
        </is>
      </c>
      <c r="D42" t="inlineStr">
        <is>
          <t>RESULTADO DEL EJERCICIO</t>
        </is>
      </c>
      <c r="E42" t="inlineStr">
        <is>
          <t>RESULTADO ANTES DE IMPUESTOS</t>
        </is>
      </c>
      <c r="F42" t="inlineStr">
        <is>
          <t>RESULTADO DE LA EXPLOTACION</t>
        </is>
      </c>
      <c r="G42" t="inlineStr">
        <is>
          <t>6.- Gastos de personal</t>
        </is>
      </c>
      <c r="H42" t="inlineStr">
        <is>
          <t>(640) Sueldos y salarios</t>
        </is>
      </c>
      <c r="I42" t="inlineStr">
        <is>
          <t>640000000 - Sueldos y salarios</t>
        </is>
      </c>
      <c r="J42" t="inlineStr">
        <is>
          <t>-</t>
        </is>
      </c>
      <c r="K42" s="4" t="n">
        <v>-127379.94</v>
      </c>
      <c r="L42" s="4" t="n">
        <v>-127379.94</v>
      </c>
      <c r="M42" s="4" t="n">
        <v>-127379.94</v>
      </c>
      <c r="N42" s="4" t="n">
        <v>-127379.94</v>
      </c>
      <c r="O42" s="173" t="n">
        <v>-127379.94</v>
      </c>
      <c r="P42" s="4" t="n">
        <v>-127379.94</v>
      </c>
      <c r="Q42" s="4" t="n">
        <v>-127379.94</v>
      </c>
      <c r="R42" s="4" t="n">
        <v>-127379.94</v>
      </c>
      <c r="S42" s="4" t="n">
        <v>-127379.94</v>
      </c>
      <c r="T42" s="4" t="n">
        <v>-127379.94</v>
      </c>
      <c r="U42" s="4" t="n">
        <v>-127379.94</v>
      </c>
      <c r="V42" s="4" t="n">
        <v>-404896.66</v>
      </c>
      <c r="W42" s="4" t="n">
        <v>-1806076</v>
      </c>
      <c r="X42" t="inlineStr">
        <is>
          <t>Sueldos y salarios definitivos 2027 (V3): -1.806.076,00 € brutos. Reparto mensual proporcional al histórico: -127.379,94 €/mes (Ene-Nov) y -404.896,66 € en Dic (pagas extras y regularización).</t>
        </is>
      </c>
    </row>
    <row r="43">
      <c r="B43" t="n">
        <v>2027</v>
      </c>
      <c r="C43" t="inlineStr">
        <is>
          <t>Codiagro</t>
        </is>
      </c>
      <c r="D43" t="inlineStr">
        <is>
          <t>RESULTADO DEL EJERCICIO</t>
        </is>
      </c>
      <c r="E43" t="inlineStr">
        <is>
          <t>RESULTADO ANTES DE IMPUESTOS</t>
        </is>
      </c>
      <c r="F43" t="inlineStr">
        <is>
          <t>RESULTADO DE LA EXPLOTACION</t>
        </is>
      </c>
      <c r="G43" t="inlineStr">
        <is>
          <t>6.- Gastos de personal</t>
        </is>
      </c>
      <c r="H43" t="inlineStr">
        <is>
          <t>(642) Seguridad social a cargo empresa</t>
        </is>
      </c>
      <c r="I43" t="inlineStr">
        <is>
          <t>642000000 - Seguridad Social a cargo empresa</t>
        </is>
      </c>
      <c r="J43" t="inlineStr">
        <is>
          <t>-</t>
        </is>
      </c>
      <c r="K43" s="4" t="n">
        <v>-35002.8</v>
      </c>
      <c r="L43" s="4" t="n">
        <v>-35002.8</v>
      </c>
      <c r="M43" s="4" t="n">
        <v>-35002.8</v>
      </c>
      <c r="N43" s="4" t="n">
        <v>-35002.8</v>
      </c>
      <c r="O43" s="173" t="n">
        <v>-35002.8</v>
      </c>
      <c r="P43" s="4" t="n">
        <v>-35002.8</v>
      </c>
      <c r="Q43" s="4" t="n">
        <v>-35002.8</v>
      </c>
      <c r="R43" s="4" t="n">
        <v>-35002.8</v>
      </c>
      <c r="S43" s="4" t="n">
        <v>-35002.8</v>
      </c>
      <c r="T43" s="4" t="n">
        <v>-35002.8</v>
      </c>
      <c r="U43" s="4" t="n">
        <v>-35002.8</v>
      </c>
      <c r="V43" s="4" t="n">
        <v>-35002.8</v>
      </c>
      <c r="W43" s="4" t="n">
        <v>-420033.5999999999</v>
      </c>
      <c r="X43" t="inlineStr">
        <is>
          <t>Seguridad Social a cargo de la empresa definitiva 2027 (V3): -420.033,60 €. Reparto lineal uniforme: -35.002,80 €/mes.</t>
        </is>
      </c>
    </row>
    <row r="44">
      <c r="B44" t="n">
        <v>2027</v>
      </c>
      <c r="C44" t="inlineStr">
        <is>
          <t>Codiagro</t>
        </is>
      </c>
      <c r="D44" t="inlineStr">
        <is>
          <t>RESULTADO DEL EJERCICIO</t>
        </is>
      </c>
      <c r="E44" t="inlineStr">
        <is>
          <t>RESULTADO ANTES DE IMPUESTOS</t>
        </is>
      </c>
      <c r="F44" t="inlineStr">
        <is>
          <t>RESULTADO DE LA EXPLOTACION</t>
        </is>
      </c>
      <c r="G44" t="inlineStr">
        <is>
          <t>6.- Gastos de personal</t>
        </is>
      </c>
      <c r="H44" t="inlineStr">
        <is>
          <t>(649) Otros gastos sociales</t>
        </is>
      </c>
      <c r="I44" t="inlineStr">
        <is>
          <t>649000000 - Otros gastos sociales</t>
        </is>
      </c>
      <c r="J44" t="inlineStr">
        <is>
          <t>-</t>
        </is>
      </c>
      <c r="K44" s="4" t="n">
        <v>0</v>
      </c>
      <c r="L44" s="4" t="n">
        <v>0</v>
      </c>
      <c r="M44" s="4" t="n">
        <v>0</v>
      </c>
      <c r="N44" s="4" t="n">
        <v>0</v>
      </c>
      <c r="O44" s="173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t="inlineStr">
        <is>
          <t>Cuenta inactiva / sin saldo previsto en 2027.</t>
        </is>
      </c>
    </row>
    <row r="45">
      <c r="B45" t="n">
        <v>2027</v>
      </c>
      <c r="C45" t="inlineStr">
        <is>
          <t>Codiagro</t>
        </is>
      </c>
      <c r="D45" t="inlineStr">
        <is>
          <t>RESULTADO DEL EJERCICIO</t>
        </is>
      </c>
      <c r="E45" t="inlineStr">
        <is>
          <t>RESULTADO ANTES DE IMPUESTOS</t>
        </is>
      </c>
      <c r="F45" t="inlineStr">
        <is>
          <t>RESULTADO DE LA EXPLOTACION</t>
        </is>
      </c>
      <c r="G45" t="inlineStr">
        <is>
          <t>6.- Gastos de personal</t>
        </is>
      </c>
      <c r="H45" t="inlineStr">
        <is>
          <t>(649) Otros gastos sociales</t>
        </is>
      </c>
      <c r="I45" t="inlineStr">
        <is>
          <t>649000001 - GASTOS COMERCIALES NIEVES RUIZ</t>
        </is>
      </c>
      <c r="J45" t="inlineStr">
        <is>
          <t>-</t>
        </is>
      </c>
      <c r="K45" s="4" t="n">
        <v>0</v>
      </c>
      <c r="L45" s="4" t="n">
        <v>0</v>
      </c>
      <c r="M45" s="4" t="n">
        <v>0</v>
      </c>
      <c r="N45" s="4" t="n">
        <v>0</v>
      </c>
      <c r="O45" s="173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t="inlineStr">
        <is>
          <t>Cuenta inactiva / sin saldo previsto en 2027.</t>
        </is>
      </c>
    </row>
    <row r="46">
      <c r="B46" t="n">
        <v>2027</v>
      </c>
      <c r="C46" t="inlineStr">
        <is>
          <t>Codiagro</t>
        </is>
      </c>
      <c r="D46" t="inlineStr">
        <is>
          <t>RESULTADO DEL EJERCICIO</t>
        </is>
      </c>
      <c r="E46" t="inlineStr">
        <is>
          <t>RESULTADO ANTES DE IMPUESTOS</t>
        </is>
      </c>
      <c r="F46" t="inlineStr">
        <is>
          <t>RESULTADO DE LA EXPLOTACION</t>
        </is>
      </c>
      <c r="G46" t="inlineStr">
        <is>
          <t>6.- Gastos de personal</t>
        </is>
      </c>
      <c r="H46" t="inlineStr">
        <is>
          <t>(649) Otros gastos sociales</t>
        </is>
      </c>
      <c r="I46" t="inlineStr">
        <is>
          <t>649000002 - GASTOS EMPR. ANTONIO ANDREU</t>
        </is>
      </c>
      <c r="J46" t="inlineStr">
        <is>
          <t>-</t>
        </is>
      </c>
      <c r="K46" s="4" t="n">
        <v>0</v>
      </c>
      <c r="L46" s="4" t="n">
        <v>0</v>
      </c>
      <c r="M46" s="4" t="n">
        <v>0</v>
      </c>
      <c r="N46" s="4" t="n">
        <v>0</v>
      </c>
      <c r="O46" s="173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t="inlineStr">
        <is>
          <t>Cuenta inactiva / sin saldo previsto en 2027.</t>
        </is>
      </c>
    </row>
    <row r="47">
      <c r="B47" t="n">
        <v>2027</v>
      </c>
      <c r="C47" t="inlineStr">
        <is>
          <t>Codiagro</t>
        </is>
      </c>
      <c r="D47" t="inlineStr">
        <is>
          <t>RESULTADO DEL EJERCICIO</t>
        </is>
      </c>
      <c r="E47" t="inlineStr">
        <is>
          <t>RESULTADO ANTES DE IMPUESTOS</t>
        </is>
      </c>
      <c r="F47" t="inlineStr">
        <is>
          <t>RESULTADO DE LA EXPLOTACION</t>
        </is>
      </c>
      <c r="G47" t="inlineStr">
        <is>
          <t>6.- Gastos de personal</t>
        </is>
      </c>
      <c r="H47" t="inlineStr">
        <is>
          <t>(649) Otros gastos sociales</t>
        </is>
      </c>
      <c r="I47" t="inlineStr">
        <is>
          <t>649000004 - GASTOS COMERCIALES RICARDO PEREZ</t>
        </is>
      </c>
      <c r="J47" t="inlineStr">
        <is>
          <t>-</t>
        </is>
      </c>
      <c r="K47" s="4" t="n">
        <v>0</v>
      </c>
      <c r="L47" s="4" t="n">
        <v>0</v>
      </c>
      <c r="M47" s="4" t="n">
        <v>0</v>
      </c>
      <c r="N47" s="4" t="n">
        <v>0</v>
      </c>
      <c r="O47" s="173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t="inlineStr">
        <is>
          <t>Cuenta inactiva / sin saldo previsto en 2027.</t>
        </is>
      </c>
    </row>
    <row r="48">
      <c r="B48" t="n">
        <v>2027</v>
      </c>
      <c r="C48" t="inlineStr">
        <is>
          <t>Codiagro</t>
        </is>
      </c>
      <c r="D48" t="inlineStr">
        <is>
          <t>RESULTADO DEL EJERCICIO</t>
        </is>
      </c>
      <c r="E48" t="inlineStr">
        <is>
          <t>RESULTADO ANTES DE IMPUESTOS</t>
        </is>
      </c>
      <c r="F48" t="inlineStr">
        <is>
          <t>RESULTADO DE LA EXPLOTACION</t>
        </is>
      </c>
      <c r="G48" t="inlineStr">
        <is>
          <t>6.- Gastos de personal</t>
        </is>
      </c>
      <c r="H48" t="inlineStr">
        <is>
          <t>(649) Otros gastos sociales</t>
        </is>
      </c>
      <c r="I48" t="inlineStr">
        <is>
          <t>649000007 - GASTOS COMERCIALES J.PAREDES</t>
        </is>
      </c>
      <c r="J48" t="inlineStr">
        <is>
          <t>-</t>
        </is>
      </c>
      <c r="K48" s="4" t="n">
        <v>0</v>
      </c>
      <c r="L48" s="4" t="n">
        <v>0</v>
      </c>
      <c r="M48" s="4" t="n">
        <v>0</v>
      </c>
      <c r="N48" s="4" t="n">
        <v>0</v>
      </c>
      <c r="O48" s="173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t="inlineStr">
        <is>
          <t>Cuenta inactiva / sin saldo previsto en 2027.</t>
        </is>
      </c>
    </row>
    <row r="49">
      <c r="B49" t="n">
        <v>2027</v>
      </c>
      <c r="C49" t="inlineStr">
        <is>
          <t>Codiagro</t>
        </is>
      </c>
      <c r="D49" t="inlineStr">
        <is>
          <t>RESULTADO DEL EJERCICIO</t>
        </is>
      </c>
      <c r="E49" t="inlineStr">
        <is>
          <t>RESULTADO ANTES DE IMPUESTOS</t>
        </is>
      </c>
      <c r="F49" t="inlineStr">
        <is>
          <t>RESULTADO DE LA EXPLOTACION</t>
        </is>
      </c>
      <c r="G49" t="inlineStr">
        <is>
          <t>6.- Gastos de personal</t>
        </is>
      </c>
      <c r="H49" t="inlineStr">
        <is>
          <t>(649) Otros gastos sociales</t>
        </is>
      </c>
      <c r="I49" t="inlineStr">
        <is>
          <t>649000009 - GASTOS COMERCIALES J.A. GARCIA</t>
        </is>
      </c>
      <c r="J49" t="inlineStr">
        <is>
          <t>-</t>
        </is>
      </c>
      <c r="K49" s="4" t="n">
        <v>0</v>
      </c>
      <c r="L49" s="4" t="n">
        <v>0</v>
      </c>
      <c r="M49" s="4" t="n">
        <v>0</v>
      </c>
      <c r="N49" s="4" t="n">
        <v>0</v>
      </c>
      <c r="O49" s="173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t="inlineStr">
        <is>
          <t>Cuenta inactiva / sin saldo previsto en 2027.</t>
        </is>
      </c>
    </row>
    <row r="50">
      <c r="B50" t="n">
        <v>2027</v>
      </c>
      <c r="C50" t="inlineStr">
        <is>
          <t>Codiagro</t>
        </is>
      </c>
      <c r="D50" t="inlineStr">
        <is>
          <t>RESULTADO DEL EJERCICIO</t>
        </is>
      </c>
      <c r="E50" t="inlineStr">
        <is>
          <t>RESULTADO ANTES DE IMPUESTOS</t>
        </is>
      </c>
      <c r="F50" t="inlineStr">
        <is>
          <t>RESULTADO DE LA EXPLOTACION</t>
        </is>
      </c>
      <c r="G50" t="inlineStr">
        <is>
          <t>6.- Gastos de personal</t>
        </is>
      </c>
      <c r="H50" t="inlineStr">
        <is>
          <t>(649) Otros gastos sociales</t>
        </is>
      </c>
      <c r="I50" t="inlineStr">
        <is>
          <t>649000010 - GASTOS EMP. CURRO</t>
        </is>
      </c>
      <c r="J50" t="inlineStr">
        <is>
          <t>-</t>
        </is>
      </c>
      <c r="K50" s="4" t="n">
        <v>0</v>
      </c>
      <c r="L50" s="4" t="n">
        <v>0</v>
      </c>
      <c r="M50" s="4" t="n">
        <v>0</v>
      </c>
      <c r="N50" s="4" t="n">
        <v>0</v>
      </c>
      <c r="O50" s="173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t="inlineStr">
        <is>
          <t>Cuenta inactiva / sin saldo previsto en 2027.</t>
        </is>
      </c>
    </row>
    <row r="51">
      <c r="B51" t="n">
        <v>2027</v>
      </c>
      <c r="C51" t="inlineStr">
        <is>
          <t>Codiagro</t>
        </is>
      </c>
      <c r="D51" t="inlineStr">
        <is>
          <t>RESULTADO DEL EJERCICIO</t>
        </is>
      </c>
      <c r="E51" t="inlineStr">
        <is>
          <t>RESULTADO ANTES DE IMPUESTOS</t>
        </is>
      </c>
      <c r="F51" t="inlineStr">
        <is>
          <t>RESULTADO DE LA EXPLOTACION</t>
        </is>
      </c>
      <c r="G51" t="inlineStr">
        <is>
          <t>6.- Gastos de personal</t>
        </is>
      </c>
      <c r="H51" t="inlineStr">
        <is>
          <t>(649) Otros gastos sociales</t>
        </is>
      </c>
      <c r="I51" t="inlineStr">
        <is>
          <t>649000012 - GASTOS COMERCIALES IRENE GARCIA</t>
        </is>
      </c>
      <c r="J51" t="inlineStr">
        <is>
          <t>-</t>
        </is>
      </c>
      <c r="K51" s="4" t="n">
        <v>0</v>
      </c>
      <c r="L51" s="4" t="n">
        <v>0</v>
      </c>
      <c r="M51" s="4" t="n">
        <v>0</v>
      </c>
      <c r="N51" s="4" t="n">
        <v>0</v>
      </c>
      <c r="O51" s="173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t="inlineStr">
        <is>
          <t>Cuenta inactiva / sin saldo previsto en 2027.</t>
        </is>
      </c>
    </row>
    <row r="52">
      <c r="B52" t="n">
        <v>2027</v>
      </c>
      <c r="C52" t="inlineStr">
        <is>
          <t>Codiagro</t>
        </is>
      </c>
      <c r="D52" t="inlineStr">
        <is>
          <t>RESULTADO DEL EJERCICIO</t>
        </is>
      </c>
      <c r="E52" t="inlineStr">
        <is>
          <t>RESULTADO ANTES DE IMPUESTOS</t>
        </is>
      </c>
      <c r="F52" t="inlineStr">
        <is>
          <t>RESULTADO DE LA EXPLOTACION</t>
        </is>
      </c>
      <c r="G52" t="inlineStr">
        <is>
          <t>6.- Gastos de personal</t>
        </is>
      </c>
      <c r="H52" t="inlineStr">
        <is>
          <t>(649) Otros gastos sociales</t>
        </is>
      </c>
      <c r="I52" t="inlineStr">
        <is>
          <t>649000100 - GTOS. CURSOS PERSONAL</t>
        </is>
      </c>
      <c r="J52" t="inlineStr">
        <is>
          <t>-</t>
        </is>
      </c>
      <c r="K52" s="4" t="n">
        <v>0</v>
      </c>
      <c r="L52" s="4" t="n">
        <v>0</v>
      </c>
      <c r="M52" s="4" t="n">
        <v>0</v>
      </c>
      <c r="N52" s="4" t="n">
        <v>0</v>
      </c>
      <c r="O52" s="173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-1000</v>
      </c>
      <c r="V52" s="4" t="n">
        <v>-1500</v>
      </c>
      <c r="W52" s="4" t="n">
        <v>-2500</v>
      </c>
      <c r="X52" t="inlineStr">
        <is>
          <t>Formación bonificada y capacitación técnica del personal.</t>
        </is>
      </c>
    </row>
    <row r="53">
      <c r="B53" t="n">
        <v>2027</v>
      </c>
      <c r="C53" t="inlineStr">
        <is>
          <t>Codiagro</t>
        </is>
      </c>
      <c r="D53" t="inlineStr">
        <is>
          <t>RESULTADO DEL EJERCICIO</t>
        </is>
      </c>
      <c r="E53" t="inlineStr">
        <is>
          <t>RESULTADO ANTES DE IMPUESTOS</t>
        </is>
      </c>
      <c r="F53" t="inlineStr">
        <is>
          <t>RESULTADO DE LA EXPLOTACION</t>
        </is>
      </c>
      <c r="G53" t="inlineStr">
        <is>
          <t>6.- Gastos de personal</t>
        </is>
      </c>
      <c r="H53" t="inlineStr">
        <is>
          <t>(649) Otros gastos sociales</t>
        </is>
      </c>
      <c r="I53" t="inlineStr">
        <is>
          <t>649000101 - GTOS. SEG. Y RIESGOS PERSONAL</t>
        </is>
      </c>
      <c r="J53" t="inlineStr">
        <is>
          <t>-</t>
        </is>
      </c>
      <c r="K53" s="4" t="n">
        <v>0</v>
      </c>
      <c r="L53" s="4" t="n">
        <v>0</v>
      </c>
      <c r="M53" s="4" t="n">
        <v>0</v>
      </c>
      <c r="N53" s="4" t="n">
        <v>0</v>
      </c>
      <c r="O53" s="173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t="inlineStr">
        <is>
          <t>Cuenta inactiva / sin saldo previsto en 2027.</t>
        </is>
      </c>
    </row>
    <row r="54">
      <c r="B54" t="n">
        <v>2027</v>
      </c>
      <c r="C54" t="inlineStr">
        <is>
          <t>Codiagro</t>
        </is>
      </c>
      <c r="D54" t="inlineStr">
        <is>
          <t>RESULTADO DEL EJERCICIO</t>
        </is>
      </c>
      <c r="E54" t="inlineStr">
        <is>
          <t>RESULTADO ANTES DE IMPUESTOS</t>
        </is>
      </c>
      <c r="F54" t="inlineStr">
        <is>
          <t>RESULTADO DE LA EXPLOTACION</t>
        </is>
      </c>
      <c r="G54" t="inlineStr">
        <is>
          <t>6.- Gastos de personal</t>
        </is>
      </c>
      <c r="H54" t="inlineStr">
        <is>
          <t>(649) Otros gastos sociales</t>
        </is>
      </c>
      <c r="I54" t="inlineStr">
        <is>
          <t>649000102 - GASTOS ROPA UNIFORMES TRABAJADORES</t>
        </is>
      </c>
      <c r="J54" t="inlineStr">
        <is>
          <t>-</t>
        </is>
      </c>
      <c r="K54" s="4" t="n">
        <v>0</v>
      </c>
      <c r="L54" s="4" t="n">
        <v>0</v>
      </c>
      <c r="M54" s="4" t="n">
        <v>0</v>
      </c>
      <c r="N54" s="4" t="n">
        <v>0</v>
      </c>
      <c r="O54" s="173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t="inlineStr">
        <is>
          <t>Cuenta inactiva / sin saldo previsto en 2027.</t>
        </is>
      </c>
    </row>
    <row r="55">
      <c r="B55" t="n">
        <v>2027</v>
      </c>
      <c r="C55" t="inlineStr">
        <is>
          <t>Codiagro</t>
        </is>
      </c>
      <c r="D55" t="inlineStr">
        <is>
          <t>RESULTADO DEL EJERCICIO</t>
        </is>
      </c>
      <c r="E55" t="inlineStr">
        <is>
          <t>RESULTADO ANTES DE IMPUESTOS</t>
        </is>
      </c>
      <c r="F55" t="inlineStr">
        <is>
          <t>RESULTADO DE LA EXPLOTACION</t>
        </is>
      </c>
      <c r="G55" t="inlineStr">
        <is>
          <t>6.- Gastos de personal</t>
        </is>
      </c>
      <c r="H55" t="inlineStr">
        <is>
          <t>(649) Otros gastos sociales</t>
        </is>
      </c>
      <c r="I55" t="inlineStr">
        <is>
          <t>649000103 - GASTOS COMBUSTIBLE TRAB.</t>
        </is>
      </c>
      <c r="J55" t="inlineStr">
        <is>
          <t>-</t>
        </is>
      </c>
      <c r="K55" s="4" t="n">
        <v>0</v>
      </c>
      <c r="L55" s="4" t="n">
        <v>0</v>
      </c>
      <c r="M55" s="4" t="n">
        <v>0</v>
      </c>
      <c r="N55" s="4" t="n">
        <v>0</v>
      </c>
      <c r="O55" s="173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t="inlineStr">
        <is>
          <t>Cuenta inactiva / sin saldo previsto en 2027.</t>
        </is>
      </c>
    </row>
    <row r="56">
      <c r="B56" t="n">
        <v>2027</v>
      </c>
      <c r="C56" t="inlineStr">
        <is>
          <t>Codiagro</t>
        </is>
      </c>
      <c r="D56" t="inlineStr">
        <is>
          <t>RESULTADO DEL EJERCICIO</t>
        </is>
      </c>
      <c r="E56" t="inlineStr">
        <is>
          <t>RESULTADO ANTES DE IMPUESTOS</t>
        </is>
      </c>
      <c r="F56" t="inlineStr">
        <is>
          <t>RESULTADO DE LA EXPLOTACION</t>
        </is>
      </c>
      <c r="G56" t="inlineStr">
        <is>
          <t>6.- Gastos de personal</t>
        </is>
      </c>
      <c r="H56" t="inlineStr">
        <is>
          <t>(649) Otros gastos sociales</t>
        </is>
      </c>
      <c r="I56" t="inlineStr">
        <is>
          <t>649100001 - GTOS. COMIDAS TRAB.</t>
        </is>
      </c>
      <c r="J56" t="inlineStr">
        <is>
          <t>-</t>
        </is>
      </c>
      <c r="K56" s="4" t="n">
        <v>0</v>
      </c>
      <c r="L56" s="4" t="n">
        <v>0</v>
      </c>
      <c r="M56" s="4" t="n">
        <v>0</v>
      </c>
      <c r="N56" s="4" t="n">
        <v>0</v>
      </c>
      <c r="O56" s="173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t="inlineStr">
        <is>
          <t>Cuenta inactiva / sin saldo previsto en 2027.</t>
        </is>
      </c>
    </row>
    <row r="57">
      <c r="B57" t="n">
        <v>2027</v>
      </c>
      <c r="C57" t="inlineStr">
        <is>
          <t>Codiagro</t>
        </is>
      </c>
      <c r="D57" t="inlineStr">
        <is>
          <t>RESULTADO DEL EJERCICIO</t>
        </is>
      </c>
      <c r="E57" t="inlineStr">
        <is>
          <t>RESULTADO ANTES DE IMPUESTOS</t>
        </is>
      </c>
      <c r="F57" t="inlineStr">
        <is>
          <t>RESULTADO DE LA EXPLOTACION</t>
        </is>
      </c>
      <c r="G57" t="inlineStr">
        <is>
          <t>6.- Gastos de personal</t>
        </is>
      </c>
      <c r="H57" t="inlineStr">
        <is>
          <t>(649) Otros gastos sociales</t>
        </is>
      </c>
      <c r="I57" t="inlineStr">
        <is>
          <t>649100002 - GASTOS TRAB. EMPRESA VARIOS</t>
        </is>
      </c>
      <c r="J57" t="inlineStr">
        <is>
          <t>-</t>
        </is>
      </c>
      <c r="K57" s="4" t="n">
        <v>0</v>
      </c>
      <c r="L57" s="4" t="n">
        <v>0</v>
      </c>
      <c r="M57" s="4" t="n">
        <v>0</v>
      </c>
      <c r="N57" s="4" t="n">
        <v>0</v>
      </c>
      <c r="O57" s="173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t="inlineStr">
        <is>
          <t>Cuenta inactiva / sin saldo previsto en 2027.</t>
        </is>
      </c>
    </row>
    <row r="58">
      <c r="B58" t="n">
        <v>2027</v>
      </c>
      <c r="C58" t="inlineStr">
        <is>
          <t>Codiagro</t>
        </is>
      </c>
      <c r="D58" t="inlineStr">
        <is>
          <t>RESULTADO DEL EJERCICIO</t>
        </is>
      </c>
      <c r="E58" t="inlineStr">
        <is>
          <t>RESULTADO ANTES DE IMPUESTOS</t>
        </is>
      </c>
      <c r="F58" t="inlineStr">
        <is>
          <t>RESULTADO DE LA EXPLOTACION</t>
        </is>
      </c>
      <c r="G58" t="inlineStr">
        <is>
          <t>7.- Otros gastos de explotación</t>
        </is>
      </c>
      <c r="H58" t="inlineStr">
        <is>
          <t>(620) Gastos de investigación y desarrollo</t>
        </is>
      </c>
      <c r="I58" t="inlineStr">
        <is>
          <t>620000002 - COMPRAS LABORATORIO</t>
        </is>
      </c>
      <c r="J58" t="inlineStr">
        <is>
          <t>-</t>
        </is>
      </c>
      <c r="K58" s="4" t="n">
        <v>-322.5</v>
      </c>
      <c r="L58" s="4" t="n">
        <v>-322.5</v>
      </c>
      <c r="M58" s="4" t="n">
        <v>-322.5</v>
      </c>
      <c r="N58" s="4" t="n">
        <v>-322.5</v>
      </c>
      <c r="O58" s="173" t="n">
        <v>-322.5</v>
      </c>
      <c r="P58" s="4" t="n">
        <v>-322.5</v>
      </c>
      <c r="Q58" s="4" t="n">
        <v>-322.5</v>
      </c>
      <c r="R58" s="4" t="n">
        <v>-322.5</v>
      </c>
      <c r="S58" s="4" t="n">
        <v>-322.5</v>
      </c>
      <c r="T58" s="4" t="n">
        <v>-322.5</v>
      </c>
      <c r="U58" s="4" t="n">
        <v>-322.5</v>
      </c>
      <c r="V58" s="4" t="n">
        <v>-322.5</v>
      </c>
      <c r="W58" s="4" t="n">
        <v>-3870</v>
      </c>
      <c r="X58" t="inlineStr">
        <is>
          <t>Coste estratégico de I+D: ensayos agronómicos de eficacia y desarrollo de bioestimulantes.</t>
        </is>
      </c>
    </row>
    <row r="59">
      <c r="B59" t="n">
        <v>2027</v>
      </c>
      <c r="C59" t="inlineStr">
        <is>
          <t>Codiagro</t>
        </is>
      </c>
      <c r="D59" t="inlineStr">
        <is>
          <t>RESULTADO DEL EJERCICIO</t>
        </is>
      </c>
      <c r="E59" t="inlineStr">
        <is>
          <t>RESULTADO ANTES DE IMPUESTOS</t>
        </is>
      </c>
      <c r="F59" t="inlineStr">
        <is>
          <t>RESULTADO DE LA EXPLOTACION</t>
        </is>
      </c>
      <c r="G59" t="inlineStr">
        <is>
          <t>7.- Otros gastos de explotación</t>
        </is>
      </c>
      <c r="H59" t="inlineStr">
        <is>
          <t>(620) Gastos de investigación y desarrollo</t>
        </is>
      </c>
      <c r="I59" t="inlineStr">
        <is>
          <t>620000003 - SUMINISTROS LABORATORIO</t>
        </is>
      </c>
      <c r="J59" t="inlineStr">
        <is>
          <t>-</t>
        </is>
      </c>
      <c r="K59" s="4" t="n">
        <v>-812.59</v>
      </c>
      <c r="L59" s="4" t="n">
        <v>-812.59</v>
      </c>
      <c r="M59" s="4" t="n">
        <v>-812.59</v>
      </c>
      <c r="N59" s="4" t="n">
        <v>-812.59</v>
      </c>
      <c r="O59" s="173" t="n">
        <v>-812.59</v>
      </c>
      <c r="P59" s="4" t="n">
        <v>-812.59</v>
      </c>
      <c r="Q59" s="4" t="n">
        <v>-812.59</v>
      </c>
      <c r="R59" s="4" t="n">
        <v>-812.59</v>
      </c>
      <c r="S59" s="4" t="n">
        <v>-812.59</v>
      </c>
      <c r="T59" s="4" t="n">
        <v>-812.59</v>
      </c>
      <c r="U59" s="4" t="n">
        <v>-812.59</v>
      </c>
      <c r="V59" s="4" t="n">
        <v>-812.59</v>
      </c>
      <c r="W59" s="4" t="n">
        <v>-9751.08</v>
      </c>
      <c r="X59" t="inlineStr">
        <is>
          <t>Coste estratégico de I+D: ensayos agronómicos de eficacia y desarrollo de bioestimulantes.</t>
        </is>
      </c>
    </row>
    <row r="60">
      <c r="B60" t="n">
        <v>2027</v>
      </c>
      <c r="C60" t="inlineStr">
        <is>
          <t>Codiagro</t>
        </is>
      </c>
      <c r="D60" t="inlineStr">
        <is>
          <t>RESULTADO DEL EJERCICIO</t>
        </is>
      </c>
      <c r="E60" t="inlineStr">
        <is>
          <t>RESULTADO ANTES DE IMPUESTOS</t>
        </is>
      </c>
      <c r="F60" t="inlineStr">
        <is>
          <t>RESULTADO DE LA EXPLOTACION</t>
        </is>
      </c>
      <c r="G60" t="inlineStr">
        <is>
          <t>7.- Otros gastos de explotación</t>
        </is>
      </c>
      <c r="H60" t="inlineStr">
        <is>
          <t>(620) Gastos de investigación y desarrollo</t>
        </is>
      </c>
      <c r="I60" t="inlineStr">
        <is>
          <t>620000004 - GTOS. ANALISIS LABORATORIOS</t>
        </is>
      </c>
      <c r="J60" t="inlineStr">
        <is>
          <t>-</t>
        </is>
      </c>
      <c r="K60" s="4" t="n">
        <v>-1229.19</v>
      </c>
      <c r="L60" s="4" t="n">
        <v>-1229.19</v>
      </c>
      <c r="M60" s="4" t="n">
        <v>-1229.19</v>
      </c>
      <c r="N60" s="4" t="n">
        <v>-1229.19</v>
      </c>
      <c r="O60" s="173" t="n">
        <v>-1229.19</v>
      </c>
      <c r="P60" s="4" t="n">
        <v>-1229.19</v>
      </c>
      <c r="Q60" s="4" t="n">
        <v>-1229.19</v>
      </c>
      <c r="R60" s="4" t="n">
        <v>-1229.19</v>
      </c>
      <c r="S60" s="4" t="n">
        <v>-1229.19</v>
      </c>
      <c r="T60" s="4" t="n">
        <v>-1229.19</v>
      </c>
      <c r="U60" s="4" t="n">
        <v>-1229.19</v>
      </c>
      <c r="V60" s="4" t="n">
        <v>-1229.19</v>
      </c>
      <c r="W60" s="4" t="n">
        <v>-14750.28</v>
      </c>
      <c r="X60" t="inlineStr">
        <is>
          <t>Coste estratégico de I+D: ensayos agronómicos de eficacia y desarrollo de bioestimulantes.</t>
        </is>
      </c>
    </row>
    <row r="61">
      <c r="B61" t="n">
        <v>2027</v>
      </c>
      <c r="C61" t="inlineStr">
        <is>
          <t>Codiagro</t>
        </is>
      </c>
      <c r="D61" t="inlineStr">
        <is>
          <t>RESULTADO DEL EJERCICIO</t>
        </is>
      </c>
      <c r="E61" t="inlineStr">
        <is>
          <t>RESULTADO ANTES DE IMPUESTOS</t>
        </is>
      </c>
      <c r="F61" t="inlineStr">
        <is>
          <t>RESULTADO DE LA EXPLOTACION</t>
        </is>
      </c>
      <c r="G61" t="inlineStr">
        <is>
          <t>7.- Otros gastos de explotación</t>
        </is>
      </c>
      <c r="H61" t="inlineStr">
        <is>
          <t>(621) Arrendamientos y cánones</t>
        </is>
      </c>
      <c r="I61" t="inlineStr">
        <is>
          <t>621000001 - ALQUILER OFICINA CARTAGENA</t>
        </is>
      </c>
      <c r="J61" t="inlineStr">
        <is>
          <t>-</t>
        </is>
      </c>
      <c r="K61" s="4" t="n">
        <v>-192</v>
      </c>
      <c r="L61" s="4" t="n">
        <v>-192</v>
      </c>
      <c r="M61" s="4" t="n">
        <v>-192</v>
      </c>
      <c r="N61" s="4" t="n">
        <v>-192</v>
      </c>
      <c r="O61" s="173" t="n">
        <v>-192</v>
      </c>
      <c r="P61" s="4" t="n">
        <v>-192</v>
      </c>
      <c r="Q61" s="4" t="n">
        <v>-192</v>
      </c>
      <c r="R61" s="4" t="n">
        <v>-192</v>
      </c>
      <c r="S61" s="4" t="n">
        <v>-192</v>
      </c>
      <c r="T61" s="4" t="n">
        <v>-192</v>
      </c>
      <c r="U61" s="4" t="n">
        <v>-192</v>
      </c>
      <c r="V61" s="4" t="n">
        <v>-192</v>
      </c>
      <c r="W61" s="4" t="n">
        <v>-2304</v>
      </c>
      <c r="X61" t="inlineStr">
        <is>
          <t>Coste fijo mensual según contratos vigentes de renting de vehículos y maquinaria auxiliar.</t>
        </is>
      </c>
    </row>
    <row r="62">
      <c r="B62" t="n">
        <v>2027</v>
      </c>
      <c r="C62" t="inlineStr">
        <is>
          <t>Codiagro</t>
        </is>
      </c>
      <c r="D62" t="inlineStr">
        <is>
          <t>RESULTADO DEL EJERCICIO</t>
        </is>
      </c>
      <c r="E62" t="inlineStr">
        <is>
          <t>RESULTADO ANTES DE IMPUESTOS</t>
        </is>
      </c>
      <c r="F62" t="inlineStr">
        <is>
          <t>RESULTADO DE LA EXPLOTACION</t>
        </is>
      </c>
      <c r="G62" t="inlineStr">
        <is>
          <t>7.- Otros gastos de explotación</t>
        </is>
      </c>
      <c r="H62" t="inlineStr">
        <is>
          <t>(621) Arrendamientos y cánones</t>
        </is>
      </c>
      <c r="I62" t="inlineStr">
        <is>
          <t>621000014 - ALQUILER MURANO</t>
        </is>
      </c>
      <c r="J62" t="inlineStr">
        <is>
          <t>-</t>
        </is>
      </c>
      <c r="K62" s="4" t="n">
        <v>-1877.6</v>
      </c>
      <c r="L62" s="4" t="n">
        <v>-1877.6</v>
      </c>
      <c r="M62" s="4" t="n">
        <v>-1877.6</v>
      </c>
      <c r="N62" s="4" t="n">
        <v>-1877.6</v>
      </c>
      <c r="O62" s="173" t="n">
        <v>-1877.6</v>
      </c>
      <c r="P62" s="4" t="n">
        <v>-1877.6</v>
      </c>
      <c r="Q62" s="4" t="n">
        <v>-1877.6</v>
      </c>
      <c r="R62" s="4" t="n">
        <v>-1877.6</v>
      </c>
      <c r="S62" s="4" t="n">
        <v>-1877.6</v>
      </c>
      <c r="T62" s="4" t="n">
        <v>-1877.6</v>
      </c>
      <c r="U62" s="4" t="n">
        <v>-1877.6</v>
      </c>
      <c r="V62" s="4" t="n">
        <v>-1877.6</v>
      </c>
      <c r="W62" s="4" t="n">
        <v>-22531.2</v>
      </c>
      <c r="X62" t="inlineStr">
        <is>
          <t>Arrendamiento Murano: coste anual pagado en 2026 (21.560,96 €) ajustado por inflación (+4,5% = 22.531,20 €/año, -1.877,60 €/mes).</t>
        </is>
      </c>
    </row>
    <row r="63">
      <c r="B63" t="n">
        <v>2027</v>
      </c>
      <c r="C63" t="inlineStr">
        <is>
          <t>Codiagro</t>
        </is>
      </c>
      <c r="D63" t="inlineStr">
        <is>
          <t>RESULTADO DEL EJERCICIO</t>
        </is>
      </c>
      <c r="E63" t="inlineStr">
        <is>
          <t>RESULTADO ANTES DE IMPUESTOS</t>
        </is>
      </c>
      <c r="F63" t="inlineStr">
        <is>
          <t>RESULTADO DE LA EXPLOTACION</t>
        </is>
      </c>
      <c r="G63" t="inlineStr">
        <is>
          <t>7.- Otros gastos de explotación</t>
        </is>
      </c>
      <c r="H63" t="inlineStr">
        <is>
          <t>(621) Arrendamientos y cánones</t>
        </is>
      </c>
      <c r="I63" t="inlineStr">
        <is>
          <t>621000023 - RENTING TRANSPALETA ELECTRICA DE PIE</t>
        </is>
      </c>
      <c r="J63" t="inlineStr">
        <is>
          <t>-</t>
        </is>
      </c>
      <c r="K63" s="4" t="n">
        <v>0</v>
      </c>
      <c r="L63" s="4" t="n">
        <v>0</v>
      </c>
      <c r="M63" s="4" t="n">
        <v>0</v>
      </c>
      <c r="N63" s="4" t="n">
        <v>0</v>
      </c>
      <c r="O63" s="173" t="n">
        <v>0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t="inlineStr">
        <is>
          <t>Sin dotación presupuestada en 2027.</t>
        </is>
      </c>
    </row>
    <row r="64">
      <c r="B64" t="n">
        <v>2027</v>
      </c>
      <c r="C64" t="inlineStr">
        <is>
          <t>Codiagro</t>
        </is>
      </c>
      <c r="D64" t="inlineStr">
        <is>
          <t>RESULTADO DEL EJERCICIO</t>
        </is>
      </c>
      <c r="E64" t="inlineStr">
        <is>
          <t>RESULTADO ANTES DE IMPUESTOS</t>
        </is>
      </c>
      <c r="F64" t="inlineStr">
        <is>
          <t>RESULTADO DE LA EXPLOTACION</t>
        </is>
      </c>
      <c r="G64" t="inlineStr">
        <is>
          <t>7.- Otros gastos de explotación</t>
        </is>
      </c>
      <c r="H64" t="inlineStr">
        <is>
          <t>(621) Arrendamientos y cánones</t>
        </is>
      </c>
      <c r="I64" t="inlineStr">
        <is>
          <t>621000024 - ALQUILER RENTING 2255KXN ANTONIO</t>
        </is>
      </c>
      <c r="J64" t="inlineStr">
        <is>
          <t>-</t>
        </is>
      </c>
      <c r="K64" s="4" t="n">
        <v>-361.46</v>
      </c>
      <c r="L64" s="4" t="n">
        <v>-361.46</v>
      </c>
      <c r="M64" s="4" t="n">
        <v>-361.46</v>
      </c>
      <c r="N64" s="4" t="n">
        <v>-361.46</v>
      </c>
      <c r="O64" s="173" t="n">
        <v>-361.46</v>
      </c>
      <c r="P64" s="4" t="n">
        <v>-361.46</v>
      </c>
      <c r="Q64" s="4" t="n">
        <v>-361.46</v>
      </c>
      <c r="R64" s="4" t="n">
        <v>-361.46</v>
      </c>
      <c r="S64" s="4" t="n">
        <v>-361.46</v>
      </c>
      <c r="T64" s="4" t="n">
        <v>-361.46</v>
      </c>
      <c r="U64" s="4" t="n">
        <v>-361.46</v>
      </c>
      <c r="V64" s="4" t="n">
        <v>-361.46</v>
      </c>
      <c r="W64" s="4" t="n">
        <v>-4337.52</v>
      </c>
      <c r="X64" t="inlineStr">
        <is>
          <t>Coste fijo mensual según contratos vigentes de renting de vehículos y maquinaria auxiliar.</t>
        </is>
      </c>
    </row>
    <row r="65">
      <c r="B65" t="n">
        <v>2027</v>
      </c>
      <c r="C65" t="inlineStr">
        <is>
          <t>Codiagro</t>
        </is>
      </c>
      <c r="D65" t="inlineStr">
        <is>
          <t>RESULTADO DEL EJERCICIO</t>
        </is>
      </c>
      <c r="E65" t="inlineStr">
        <is>
          <t>RESULTADO ANTES DE IMPUESTOS</t>
        </is>
      </c>
      <c r="F65" t="inlineStr">
        <is>
          <t>RESULTADO DE LA EXPLOTACION</t>
        </is>
      </c>
      <c r="G65" t="inlineStr">
        <is>
          <t>7.- Otros gastos de explotación</t>
        </is>
      </c>
      <c r="H65" t="inlineStr">
        <is>
          <t>(621) Arrendamientos y cánones</t>
        </is>
      </c>
      <c r="I65" t="inlineStr">
        <is>
          <t>621000025 - ALQUILER RENTING 9128 LBT NIEVES</t>
        </is>
      </c>
      <c r="J65" t="inlineStr">
        <is>
          <t>-</t>
        </is>
      </c>
      <c r="K65" s="4" t="n">
        <v>0</v>
      </c>
      <c r="L65" s="4" t="n">
        <v>0</v>
      </c>
      <c r="M65" s="4" t="n">
        <v>0</v>
      </c>
      <c r="N65" s="4" t="n">
        <v>0</v>
      </c>
      <c r="O65" s="173" t="n">
        <v>0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t="inlineStr">
        <is>
          <t>Sin dotación presupuestada en 2027.</t>
        </is>
      </c>
    </row>
    <row r="66">
      <c r="B66" t="n">
        <v>2027</v>
      </c>
      <c r="C66" t="inlineStr">
        <is>
          <t>Codiagro</t>
        </is>
      </c>
      <c r="D66" t="inlineStr">
        <is>
          <t>RESULTADO DEL EJERCICIO</t>
        </is>
      </c>
      <c r="E66" t="inlineStr">
        <is>
          <t>RESULTADO ANTES DE IMPUESTOS</t>
        </is>
      </c>
      <c r="F66" t="inlineStr">
        <is>
          <t>RESULTADO DE LA EXPLOTACION</t>
        </is>
      </c>
      <c r="G66" t="inlineStr">
        <is>
          <t>7.- Otros gastos de explotación</t>
        </is>
      </c>
      <c r="H66" t="inlineStr">
        <is>
          <t>(621) Arrendamientos y cánones</t>
        </is>
      </c>
      <c r="I66" t="inlineStr">
        <is>
          <t>621000026 - ALQUILER RENTING 9319LCL CURRO</t>
        </is>
      </c>
      <c r="J66" t="inlineStr">
        <is>
          <t>-</t>
        </is>
      </c>
      <c r="K66" s="4" t="n">
        <v>-369.97</v>
      </c>
      <c r="L66" s="4" t="n">
        <v>-369.97</v>
      </c>
      <c r="M66" s="4" t="n">
        <v>-369.97</v>
      </c>
      <c r="N66" s="4" t="n">
        <v>-369.97</v>
      </c>
      <c r="O66" s="173" t="n">
        <v>-369.97</v>
      </c>
      <c r="P66" s="4" t="n">
        <v>-369.97</v>
      </c>
      <c r="Q66" s="4" t="n">
        <v>-369.97</v>
      </c>
      <c r="R66" s="4" t="n">
        <v>-369.97</v>
      </c>
      <c r="S66" s="4" t="n">
        <v>-369.97</v>
      </c>
      <c r="T66" s="4" t="n">
        <v>-369.97</v>
      </c>
      <c r="U66" s="4" t="n">
        <v>-369.97</v>
      </c>
      <c r="V66" s="4" t="n">
        <v>-369.97</v>
      </c>
      <c r="W66" s="4" t="n">
        <v>-4439.640000000001</v>
      </c>
      <c r="X66" t="inlineStr">
        <is>
          <t>Coste fijo mensual según contratos vigentes de renting de vehículos y maquinaria auxiliar.</t>
        </is>
      </c>
    </row>
    <row r="67">
      <c r="B67" t="n">
        <v>2027</v>
      </c>
      <c r="C67" t="inlineStr">
        <is>
          <t>Codiagro</t>
        </is>
      </c>
      <c r="D67" t="inlineStr">
        <is>
          <t>RESULTADO DEL EJERCICIO</t>
        </is>
      </c>
      <c r="E67" t="inlineStr">
        <is>
          <t>RESULTADO ANTES DE IMPUESTOS</t>
        </is>
      </c>
      <c r="F67" t="inlineStr">
        <is>
          <t>RESULTADO DE LA EXPLOTACION</t>
        </is>
      </c>
      <c r="G67" t="inlineStr">
        <is>
          <t>7.- Otros gastos de explotación</t>
        </is>
      </c>
      <c r="H67" t="inlineStr">
        <is>
          <t>(621) Arrendamientos y cánones</t>
        </is>
      </c>
      <c r="I67" t="inlineStr">
        <is>
          <t>621000030 - ALQUILER RENTING 1075-LSC GARCIA</t>
        </is>
      </c>
      <c r="J67" t="inlineStr">
        <is>
          <t>-</t>
        </is>
      </c>
      <c r="K67" s="4" t="n">
        <v>0</v>
      </c>
      <c r="L67" s="4" t="n">
        <v>0</v>
      </c>
      <c r="M67" s="4" t="n">
        <v>0</v>
      </c>
      <c r="N67" s="4" t="n">
        <v>0</v>
      </c>
      <c r="O67" s="173" t="n">
        <v>0</v>
      </c>
      <c r="P67" s="4" t="n">
        <v>0</v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t="inlineStr">
        <is>
          <t>Sin dotación presupuestada en 2027.</t>
        </is>
      </c>
    </row>
    <row r="68">
      <c r="B68" t="n">
        <v>2027</v>
      </c>
      <c r="C68" t="inlineStr">
        <is>
          <t>Codiagro</t>
        </is>
      </c>
      <c r="D68" t="inlineStr">
        <is>
          <t>RESULTADO DEL EJERCICIO</t>
        </is>
      </c>
      <c r="E68" t="inlineStr">
        <is>
          <t>RESULTADO ANTES DE IMPUESTOS</t>
        </is>
      </c>
      <c r="F68" t="inlineStr">
        <is>
          <t>RESULTADO DE LA EXPLOTACION</t>
        </is>
      </c>
      <c r="G68" t="inlineStr">
        <is>
          <t>7.- Otros gastos de explotación</t>
        </is>
      </c>
      <c r="H68" t="inlineStr">
        <is>
          <t>(621) Arrendamientos y cánones</t>
        </is>
      </c>
      <c r="I68" t="inlineStr">
        <is>
          <t>621000031 - ALQUILER RENTING KONICA-MINOLTA Y KYOCERA</t>
        </is>
      </c>
      <c r="J68" t="inlineStr">
        <is>
          <t>-</t>
        </is>
      </c>
      <c r="K68" s="4" t="n">
        <v>-338</v>
      </c>
      <c r="L68" s="4" t="n">
        <v>-338</v>
      </c>
      <c r="M68" s="4" t="n">
        <v>-338</v>
      </c>
      <c r="N68" s="4" t="n">
        <v>-338</v>
      </c>
      <c r="O68" s="173" t="n">
        <v>-338</v>
      </c>
      <c r="P68" s="4" t="n">
        <v>-338</v>
      </c>
      <c r="Q68" s="4" t="n">
        <v>-338</v>
      </c>
      <c r="R68" s="4" t="n">
        <v>-338</v>
      </c>
      <c r="S68" s="4" t="n">
        <v>-338</v>
      </c>
      <c r="T68" s="4" t="n">
        <v>-338</v>
      </c>
      <c r="U68" s="4" t="n">
        <v>-338</v>
      </c>
      <c r="V68" s="4" t="n">
        <v>-338</v>
      </c>
      <c r="W68" s="4" t="n">
        <v>-4056</v>
      </c>
      <c r="X68" t="inlineStr">
        <is>
          <t>Coste fijo mensual según contratos vigentes de renting de vehículos y maquinaria auxiliar.</t>
        </is>
      </c>
    </row>
    <row r="69">
      <c r="B69" t="n">
        <v>2027</v>
      </c>
      <c r="C69" t="inlineStr">
        <is>
          <t>Codiagro</t>
        </is>
      </c>
      <c r="D69" t="inlineStr">
        <is>
          <t>RESULTADO DEL EJERCICIO</t>
        </is>
      </c>
      <c r="E69" t="inlineStr">
        <is>
          <t>RESULTADO ANTES DE IMPUESTOS</t>
        </is>
      </c>
      <c r="F69" t="inlineStr">
        <is>
          <t>RESULTADO DE LA EXPLOTACION</t>
        </is>
      </c>
      <c r="G69" t="inlineStr">
        <is>
          <t>7.- Otros gastos de explotación</t>
        </is>
      </c>
      <c r="H69" t="inlineStr">
        <is>
          <t>(621) Arrendamientos y cánones</t>
        </is>
      </c>
      <c r="I69" t="inlineStr">
        <is>
          <t>621000032 - ALQUILER RENTING 6665-LVK JOSE JUAN</t>
        </is>
      </c>
      <c r="J69" t="inlineStr">
        <is>
          <t>-</t>
        </is>
      </c>
      <c r="K69" s="4" t="n">
        <v>-470.16</v>
      </c>
      <c r="L69" s="4" t="n">
        <v>-470.16</v>
      </c>
      <c r="M69" s="4" t="n">
        <v>-470.16</v>
      </c>
      <c r="N69" s="4" t="n">
        <v>-470.16</v>
      </c>
      <c r="O69" s="173" t="n">
        <v>-470.16</v>
      </c>
      <c r="P69" s="4" t="n">
        <v>-470.16</v>
      </c>
      <c r="Q69" s="4" t="n">
        <v>-470.16</v>
      </c>
      <c r="R69" s="4" t="n">
        <v>-470.16</v>
      </c>
      <c r="S69" s="4" t="n">
        <v>-470.16</v>
      </c>
      <c r="T69" s="4" t="n">
        <v>-470.16</v>
      </c>
      <c r="U69" s="4" t="n">
        <v>-470.16</v>
      </c>
      <c r="V69" s="4" t="n">
        <v>-470.16</v>
      </c>
      <c r="W69" s="4" t="n">
        <v>-5641.919999999999</v>
      </c>
      <c r="X69" t="inlineStr">
        <is>
          <t>Coste fijo mensual según contratos vigentes de renting de vehículos y maquinaria auxiliar.</t>
        </is>
      </c>
    </row>
    <row r="70">
      <c r="B70" t="n">
        <v>2027</v>
      </c>
      <c r="C70" t="inlineStr">
        <is>
          <t>Codiagro</t>
        </is>
      </c>
      <c r="D70" t="inlineStr">
        <is>
          <t>RESULTADO DEL EJERCICIO</t>
        </is>
      </c>
      <c r="E70" t="inlineStr">
        <is>
          <t>RESULTADO ANTES DE IMPUESTOS</t>
        </is>
      </c>
      <c r="F70" t="inlineStr">
        <is>
          <t>RESULTADO DE LA EXPLOTACION</t>
        </is>
      </c>
      <c r="G70" t="inlineStr">
        <is>
          <t>7.- Otros gastos de explotación</t>
        </is>
      </c>
      <c r="H70" t="inlineStr">
        <is>
          <t>(621) Arrendamientos y cánones</t>
        </is>
      </c>
      <c r="I70" t="inlineStr">
        <is>
          <t>621000033 - ALQUILER RENTING 2612-MBY ANTONIO</t>
        </is>
      </c>
      <c r="J70" t="inlineStr">
        <is>
          <t>-</t>
        </is>
      </c>
      <c r="K70" s="4" t="n">
        <v>-345.06</v>
      </c>
      <c r="L70" s="4" t="n">
        <v>-345.06</v>
      </c>
      <c r="M70" s="4" t="n">
        <v>-345.06</v>
      </c>
      <c r="N70" s="4" t="n">
        <v>-345.06</v>
      </c>
      <c r="O70" s="173" t="n">
        <v>-345.06</v>
      </c>
      <c r="P70" s="4" t="n">
        <v>-345.06</v>
      </c>
      <c r="Q70" s="4" t="n">
        <v>-345.06</v>
      </c>
      <c r="R70" s="4" t="n">
        <v>-345.06</v>
      </c>
      <c r="S70" s="4" t="n">
        <v>-345.06</v>
      </c>
      <c r="T70" s="4" t="n">
        <v>-345.06</v>
      </c>
      <c r="U70" s="4" t="n">
        <v>-345.06</v>
      </c>
      <c r="V70" s="4" t="n">
        <v>-345.06</v>
      </c>
      <c r="W70" s="4" t="n">
        <v>-4140.72</v>
      </c>
      <c r="X70" t="inlineStr">
        <is>
          <t>Coste fijo mensual según contratos vigentes de renting de vehículos y maquinaria auxiliar.</t>
        </is>
      </c>
    </row>
    <row r="71">
      <c r="B71" t="n">
        <v>2027</v>
      </c>
      <c r="C71" t="inlineStr">
        <is>
          <t>Codiagro</t>
        </is>
      </c>
      <c r="D71" t="inlineStr">
        <is>
          <t>RESULTADO DEL EJERCICIO</t>
        </is>
      </c>
      <c r="E71" t="inlineStr">
        <is>
          <t>RESULTADO ANTES DE IMPUESTOS</t>
        </is>
      </c>
      <c r="F71" t="inlineStr">
        <is>
          <t>RESULTADO DE LA EXPLOTACION</t>
        </is>
      </c>
      <c r="G71" t="inlineStr">
        <is>
          <t>7.- Otros gastos de explotación</t>
        </is>
      </c>
      <c r="H71" t="inlineStr">
        <is>
          <t>(621) Arrendamientos y cánones</t>
        </is>
      </c>
      <c r="I71" t="inlineStr">
        <is>
          <t>621000034 - ALQUILER RENTING 3108-LZM NIEVES</t>
        </is>
      </c>
      <c r="J71" t="inlineStr">
        <is>
          <t>-</t>
        </is>
      </c>
      <c r="K71" s="4" t="n">
        <v>-813.6900000000001</v>
      </c>
      <c r="L71" s="4" t="n">
        <v>-813.6900000000001</v>
      </c>
      <c r="M71" s="4" t="n">
        <v>-813.6900000000001</v>
      </c>
      <c r="N71" s="4" t="n">
        <v>-813.6900000000001</v>
      </c>
      <c r="O71" s="173" t="n">
        <v>-813.6900000000001</v>
      </c>
      <c r="P71" s="4" t="n">
        <v>-813.6900000000001</v>
      </c>
      <c r="Q71" s="4" t="n">
        <v>-813.6900000000001</v>
      </c>
      <c r="R71" s="4" t="n">
        <v>-813.6900000000001</v>
      </c>
      <c r="S71" s="4" t="n">
        <v>-813.6900000000001</v>
      </c>
      <c r="T71" s="4" t="n">
        <v>-813.6900000000001</v>
      </c>
      <c r="U71" s="4" t="n">
        <v>-813.6900000000001</v>
      </c>
      <c r="V71" s="4" t="n">
        <v>-813.6900000000001</v>
      </c>
      <c r="W71" s="4" t="n">
        <v>-9764.280000000002</v>
      </c>
      <c r="X71" t="inlineStr">
        <is>
          <t>Coste fijo mensual según contratos vigentes de renting de vehículos y maquinaria auxiliar.</t>
        </is>
      </c>
    </row>
    <row r="72">
      <c r="B72" t="n">
        <v>2027</v>
      </c>
      <c r="C72" t="inlineStr">
        <is>
          <t>Codiagro</t>
        </is>
      </c>
      <c r="D72" t="inlineStr">
        <is>
          <t>RESULTADO DEL EJERCICIO</t>
        </is>
      </c>
      <c r="E72" t="inlineStr">
        <is>
          <t>RESULTADO ANTES DE IMPUESTOS</t>
        </is>
      </c>
      <c r="F72" t="inlineStr">
        <is>
          <t>RESULTADO DE LA EXPLOTACION</t>
        </is>
      </c>
      <c r="G72" t="inlineStr">
        <is>
          <t>7.- Otros gastos de explotación</t>
        </is>
      </c>
      <c r="H72" t="inlineStr">
        <is>
          <t>(621) Arrendamientos y cánones</t>
        </is>
      </c>
      <c r="I72" t="inlineStr">
        <is>
          <t>621000035 - ALQUILER RENTING 2142-MCS RICARDO</t>
        </is>
      </c>
      <c r="J72" t="inlineStr">
        <is>
          <t>-</t>
        </is>
      </c>
      <c r="K72" s="4" t="n">
        <v>0</v>
      </c>
      <c r="L72" s="4" t="n">
        <v>0</v>
      </c>
      <c r="M72" s="4" t="n">
        <v>0</v>
      </c>
      <c r="N72" s="4" t="n">
        <v>0</v>
      </c>
      <c r="O72" s="173" t="n">
        <v>0</v>
      </c>
      <c r="P72" s="4" t="n">
        <v>0</v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t="inlineStr">
        <is>
          <t>Sin dotación presupuestada en 2027.</t>
        </is>
      </c>
    </row>
    <row r="73">
      <c r="B73" t="n">
        <v>2027</v>
      </c>
      <c r="C73" t="inlineStr">
        <is>
          <t>Codiagro</t>
        </is>
      </c>
      <c r="D73" t="inlineStr">
        <is>
          <t>RESULTADO DEL EJERCICIO</t>
        </is>
      </c>
      <c r="E73" t="inlineStr">
        <is>
          <t>RESULTADO ANTES DE IMPUESTOS</t>
        </is>
      </c>
      <c r="F73" t="inlineStr">
        <is>
          <t>RESULTADO DE LA EXPLOTACION</t>
        </is>
      </c>
      <c r="G73" t="inlineStr">
        <is>
          <t>7.- Otros gastos de explotación</t>
        </is>
      </c>
      <c r="H73" t="inlineStr">
        <is>
          <t>(621) Arrendamientos y cánones</t>
        </is>
      </c>
      <c r="I73" t="inlineStr">
        <is>
          <t>621000036 - ALQUILER RENTING 3277-MDX JAVIER</t>
        </is>
      </c>
      <c r="J73" t="inlineStr">
        <is>
          <t>-</t>
        </is>
      </c>
      <c r="K73" s="4" t="n">
        <v>0</v>
      </c>
      <c r="L73" s="4" t="n">
        <v>0</v>
      </c>
      <c r="M73" s="4" t="n">
        <v>0</v>
      </c>
      <c r="N73" s="4" t="n">
        <v>0</v>
      </c>
      <c r="O73" s="173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t="inlineStr">
        <is>
          <t>Sin dotación presupuestada en 2027.</t>
        </is>
      </c>
    </row>
    <row r="74">
      <c r="B74" t="n">
        <v>2027</v>
      </c>
      <c r="C74" t="inlineStr">
        <is>
          <t>Codiagro</t>
        </is>
      </c>
      <c r="D74" t="inlineStr">
        <is>
          <t>RESULTADO DEL EJERCICIO</t>
        </is>
      </c>
      <c r="E74" t="inlineStr">
        <is>
          <t>RESULTADO ANTES DE IMPUESTOS</t>
        </is>
      </c>
      <c r="F74" t="inlineStr">
        <is>
          <t>RESULTADO DE LA EXPLOTACION</t>
        </is>
      </c>
      <c r="G74" t="inlineStr">
        <is>
          <t>7.- Otros gastos de explotación</t>
        </is>
      </c>
      <c r="H74" t="inlineStr">
        <is>
          <t>(621) Arrendamientos y cánones</t>
        </is>
      </c>
      <c r="I74" t="inlineStr">
        <is>
          <t>621000037 - CARRETILLA STILL ELEKTROSTAPLER 516213H00521</t>
        </is>
      </c>
      <c r="J74" t="inlineStr">
        <is>
          <t>-</t>
        </is>
      </c>
      <c r="K74" s="4" t="n">
        <v>-228.57</v>
      </c>
      <c r="L74" s="4" t="n">
        <v>-228.57</v>
      </c>
      <c r="M74" s="4" t="n">
        <v>-228.57</v>
      </c>
      <c r="N74" s="4" t="n">
        <v>-228.57</v>
      </c>
      <c r="O74" s="173" t="n">
        <v>-228.57</v>
      </c>
      <c r="P74" s="4" t="n">
        <v>-228.57</v>
      </c>
      <c r="Q74" s="4" t="n">
        <v>-228.57</v>
      </c>
      <c r="R74" s="4" t="n">
        <v>-228.57</v>
      </c>
      <c r="S74" s="4" t="n">
        <v>-228.57</v>
      </c>
      <c r="T74" s="4" t="n">
        <v>-228.57</v>
      </c>
      <c r="U74" s="4" t="n">
        <v>-228.57</v>
      </c>
      <c r="V74" s="4" t="n">
        <v>-228.57</v>
      </c>
      <c r="W74" s="4" t="n">
        <v>-2742.84</v>
      </c>
      <c r="X74" t="inlineStr">
        <is>
          <t>Coste fijo mensual según contratos vigentes de renting de vehículos y maquinaria auxiliar.</t>
        </is>
      </c>
    </row>
    <row r="75">
      <c r="B75" t="n">
        <v>2027</v>
      </c>
      <c r="C75" t="inlineStr">
        <is>
          <t>Codiagro</t>
        </is>
      </c>
      <c r="D75" t="inlineStr">
        <is>
          <t>RESULTADO DEL EJERCICIO</t>
        </is>
      </c>
      <c r="E75" t="inlineStr">
        <is>
          <t>RESULTADO ANTES DE IMPUESTOS</t>
        </is>
      </c>
      <c r="F75" t="inlineStr">
        <is>
          <t>RESULTADO DE LA EXPLOTACION</t>
        </is>
      </c>
      <c r="G75" t="inlineStr">
        <is>
          <t>7.- Otros gastos de explotación</t>
        </is>
      </c>
      <c r="H75" t="inlineStr">
        <is>
          <t>(621) Arrendamientos y cánones</t>
        </is>
      </c>
      <c r="I75" t="inlineStr">
        <is>
          <t>621000038 - CARRETILLA STILL ELEKTROSTAPLER 516223J00123</t>
        </is>
      </c>
      <c r="J75" t="inlineStr">
        <is>
          <t>-</t>
        </is>
      </c>
      <c r="K75" s="4" t="n">
        <v>-228.82</v>
      </c>
      <c r="L75" s="4" t="n">
        <v>-228.82</v>
      </c>
      <c r="M75" s="4" t="n">
        <v>-228.82</v>
      </c>
      <c r="N75" s="4" t="n">
        <v>-228.82</v>
      </c>
      <c r="O75" s="173" t="n">
        <v>-228.82</v>
      </c>
      <c r="P75" s="4" t="n">
        <v>-228.82</v>
      </c>
      <c r="Q75" s="4" t="n">
        <v>-228.82</v>
      </c>
      <c r="R75" s="4" t="n">
        <v>-228.82</v>
      </c>
      <c r="S75" s="4" t="n">
        <v>-228.82</v>
      </c>
      <c r="T75" s="4" t="n">
        <v>-228.82</v>
      </c>
      <c r="U75" s="4" t="n">
        <v>-228.82</v>
      </c>
      <c r="V75" s="4" t="n">
        <v>-228.82</v>
      </c>
      <c r="W75" s="4" t="n">
        <v>-2745.84</v>
      </c>
      <c r="X75" t="inlineStr">
        <is>
          <t>Coste fijo mensual según contratos vigentes de renting de vehículos y maquinaria auxiliar.</t>
        </is>
      </c>
    </row>
    <row r="76">
      <c r="B76" t="n">
        <v>2027</v>
      </c>
      <c r="C76" t="inlineStr">
        <is>
          <t>Codiagro</t>
        </is>
      </c>
      <c r="D76" t="inlineStr">
        <is>
          <t>RESULTADO DEL EJERCICIO</t>
        </is>
      </c>
      <c r="E76" t="inlineStr">
        <is>
          <t>RESULTADO ANTES DE IMPUESTOS</t>
        </is>
      </c>
      <c r="F76" t="inlineStr">
        <is>
          <t>RESULTADO DE LA EXPLOTACION</t>
        </is>
      </c>
      <c r="G76" t="inlineStr">
        <is>
          <t>7.- Otros gastos de explotación</t>
        </is>
      </c>
      <c r="H76" t="inlineStr">
        <is>
          <t>(621) Arrendamientos y cánones</t>
        </is>
      </c>
      <c r="I76" t="inlineStr">
        <is>
          <t>621000039 - ALQUILER RENTING 5043-MWW CURRO</t>
        </is>
      </c>
      <c r="J76" t="inlineStr">
        <is>
          <t>-</t>
        </is>
      </c>
      <c r="K76" s="4" t="n">
        <v>-482.36</v>
      </c>
      <c r="L76" s="4" t="n">
        <v>-482.36</v>
      </c>
      <c r="M76" s="4" t="n">
        <v>-482.36</v>
      </c>
      <c r="N76" s="4" t="n">
        <v>-482.36</v>
      </c>
      <c r="O76" s="173" t="n">
        <v>-482.36</v>
      </c>
      <c r="P76" s="4" t="n">
        <v>-482.36</v>
      </c>
      <c r="Q76" s="4" t="n">
        <v>-482.36</v>
      </c>
      <c r="R76" s="4" t="n">
        <v>-482.36</v>
      </c>
      <c r="S76" s="4" t="n">
        <v>-482.36</v>
      </c>
      <c r="T76" s="4" t="n">
        <v>-482.36</v>
      </c>
      <c r="U76" s="4" t="n">
        <v>-482.36</v>
      </c>
      <c r="V76" s="4" t="n">
        <v>-482.36</v>
      </c>
      <c r="W76" s="4" t="n">
        <v>-5788.32</v>
      </c>
      <c r="X76" t="inlineStr">
        <is>
          <t>Coste fijo mensual según contratos vigentes de renting de vehículos y maquinaria auxiliar.</t>
        </is>
      </c>
    </row>
    <row r="77">
      <c r="B77" t="n">
        <v>2027</v>
      </c>
      <c r="C77" t="inlineStr">
        <is>
          <t>Codiagro</t>
        </is>
      </c>
      <c r="D77" t="inlineStr">
        <is>
          <t>RESULTADO DEL EJERCICIO</t>
        </is>
      </c>
      <c r="E77" t="inlineStr">
        <is>
          <t>RESULTADO ANTES DE IMPUESTOS</t>
        </is>
      </c>
      <c r="F77" t="inlineStr">
        <is>
          <t>RESULTADO DE LA EXPLOTACION</t>
        </is>
      </c>
      <c r="G77" t="inlineStr">
        <is>
          <t>7.- Otros gastos de explotación</t>
        </is>
      </c>
      <c r="H77" t="inlineStr">
        <is>
          <t>(621) Arrendamientos y cánones</t>
        </is>
      </c>
      <c r="I77" t="inlineStr">
        <is>
          <t>621000040 - ALQUILER RENTING 8917-MZT JAVIER</t>
        </is>
      </c>
      <c r="J77" t="inlineStr">
        <is>
          <t>-</t>
        </is>
      </c>
      <c r="K77" s="4" t="n">
        <v>-1557.86</v>
      </c>
      <c r="L77" s="4" t="n">
        <v>-1557.86</v>
      </c>
      <c r="M77" s="4" t="n">
        <v>-1557.86</v>
      </c>
      <c r="N77" s="4" t="n">
        <v>-1557.86</v>
      </c>
      <c r="O77" s="173" t="n">
        <v>-1557.86</v>
      </c>
      <c r="P77" s="4" t="n">
        <v>-1557.86</v>
      </c>
      <c r="Q77" s="4" t="n">
        <v>-1557.86</v>
      </c>
      <c r="R77" s="4" t="n">
        <v>-1557.86</v>
      </c>
      <c r="S77" s="4" t="n">
        <v>-1557.86</v>
      </c>
      <c r="T77" s="4" t="n">
        <v>-1557.86</v>
      </c>
      <c r="U77" s="4" t="n">
        <v>-1557.86</v>
      </c>
      <c r="V77" s="4" t="n">
        <v>-1557.86</v>
      </c>
      <c r="W77" s="4" t="n">
        <v>-18694.32</v>
      </c>
      <c r="X77" t="inlineStr">
        <is>
          <t>Coste fijo mensual según contratos vigentes de renting de vehículos y maquinaria auxiliar.</t>
        </is>
      </c>
    </row>
    <row r="78">
      <c r="B78" t="n">
        <v>2027</v>
      </c>
      <c r="C78" t="inlineStr">
        <is>
          <t>Codiagro</t>
        </is>
      </c>
      <c r="D78" t="inlineStr">
        <is>
          <t>RESULTADO DEL EJERCICIO</t>
        </is>
      </c>
      <c r="E78" t="inlineStr">
        <is>
          <t>RESULTADO ANTES DE IMPUESTOS</t>
        </is>
      </c>
      <c r="F78" t="inlineStr">
        <is>
          <t>RESULTADO DE LA EXPLOTACION</t>
        </is>
      </c>
      <c r="G78" t="inlineStr">
        <is>
          <t>7.- Otros gastos de explotación</t>
        </is>
      </c>
      <c r="H78" t="inlineStr">
        <is>
          <t>(621) Arrendamientos y cánones</t>
        </is>
      </c>
      <c r="I78" t="inlineStr">
        <is>
          <t>621000041 - ALQUILER RENTING 8929-MZT RICARDO</t>
        </is>
      </c>
      <c r="J78" t="inlineStr">
        <is>
          <t>-</t>
        </is>
      </c>
      <c r="K78" s="4" t="n">
        <v>-1338.15</v>
      </c>
      <c r="L78" s="4" t="n">
        <v>-1338.15</v>
      </c>
      <c r="M78" s="4" t="n">
        <v>-1338.15</v>
      </c>
      <c r="N78" s="4" t="n">
        <v>-1338.15</v>
      </c>
      <c r="O78" s="173" t="n">
        <v>-1338.15</v>
      </c>
      <c r="P78" s="4" t="n">
        <v>-1338.15</v>
      </c>
      <c r="Q78" s="4" t="n">
        <v>-1338.15</v>
      </c>
      <c r="R78" s="4" t="n">
        <v>-1338.15</v>
      </c>
      <c r="S78" s="4" t="n">
        <v>-1338.15</v>
      </c>
      <c r="T78" s="4" t="n">
        <v>-1338.15</v>
      </c>
      <c r="U78" s="4" t="n">
        <v>-1338.15</v>
      </c>
      <c r="V78" s="4" t="n">
        <v>-1338.15</v>
      </c>
      <c r="W78" s="4" t="n">
        <v>-16057.8</v>
      </c>
      <c r="X78" t="inlineStr">
        <is>
          <t>Coste fijo mensual según contratos vigentes de renting de vehículos y maquinaria auxiliar.</t>
        </is>
      </c>
    </row>
    <row r="79">
      <c r="B79" t="n">
        <v>2027</v>
      </c>
      <c r="C79" t="inlineStr">
        <is>
          <t>Codiagro</t>
        </is>
      </c>
      <c r="D79" t="inlineStr">
        <is>
          <t>RESULTADO DEL EJERCICIO</t>
        </is>
      </c>
      <c r="E79" t="inlineStr">
        <is>
          <t>RESULTADO ANTES DE IMPUESTOS</t>
        </is>
      </c>
      <c r="F79" t="inlineStr">
        <is>
          <t>RESULTADO DE LA EXPLOTACION</t>
        </is>
      </c>
      <c r="G79" t="inlineStr">
        <is>
          <t>7.- Otros gastos de explotación</t>
        </is>
      </c>
      <c r="H79" t="inlineStr">
        <is>
          <t>(621) Arrendamientos y cánones</t>
        </is>
      </c>
      <c r="I79" t="inlineStr">
        <is>
          <t>621000042 - ALQUILER RENTING 4946-NFH GARCIA</t>
        </is>
      </c>
      <c r="J79" t="inlineStr">
        <is>
          <t>-</t>
        </is>
      </c>
      <c r="K79" s="4" t="n">
        <v>-645.34</v>
      </c>
      <c r="L79" s="4" t="n">
        <v>-645.34</v>
      </c>
      <c r="M79" s="4" t="n">
        <v>-645.34</v>
      </c>
      <c r="N79" s="4" t="n">
        <v>-645.34</v>
      </c>
      <c r="O79" s="173" t="n">
        <v>-645.34</v>
      </c>
      <c r="P79" s="4" t="n">
        <v>-645.34</v>
      </c>
      <c r="Q79" s="4" t="n">
        <v>-645.34</v>
      </c>
      <c r="R79" s="4" t="n">
        <v>-645.34</v>
      </c>
      <c r="S79" s="4" t="n">
        <v>-645.34</v>
      </c>
      <c r="T79" s="4" t="n">
        <v>-645.34</v>
      </c>
      <c r="U79" s="4" t="n">
        <v>-645.34</v>
      </c>
      <c r="V79" s="4" t="n">
        <v>-645.34</v>
      </c>
      <c r="W79" s="4" t="n">
        <v>-7744.080000000001</v>
      </c>
      <c r="X79" t="inlineStr">
        <is>
          <t>Coste fijo mensual según contratos vigentes de renting de vehículos y maquinaria auxiliar.</t>
        </is>
      </c>
    </row>
    <row r="80">
      <c r="B80" t="n">
        <v>2027</v>
      </c>
      <c r="C80" t="inlineStr">
        <is>
          <t>Codiagro</t>
        </is>
      </c>
      <c r="D80" t="inlineStr">
        <is>
          <t>RESULTADO DEL EJERCICIO</t>
        </is>
      </c>
      <c r="E80" t="inlineStr">
        <is>
          <t>RESULTADO ANTES DE IMPUESTOS</t>
        </is>
      </c>
      <c r="F80" t="inlineStr">
        <is>
          <t>RESULTADO DE LA EXPLOTACION</t>
        </is>
      </c>
      <c r="G80" t="inlineStr">
        <is>
          <t>7.- Otros gastos de explotación</t>
        </is>
      </c>
      <c r="H80" t="inlineStr">
        <is>
          <t>(621) Arrendamientos y cánones</t>
        </is>
      </c>
      <c r="I80" t="inlineStr">
        <is>
          <t>621000044 - ALQUILER COMPRESOR DE TORNILLO 37KW KAESER BSD 75C</t>
        </is>
      </c>
      <c r="J80" t="inlineStr">
        <is>
          <t>-</t>
        </is>
      </c>
      <c r="K80" s="4" t="n">
        <v>-1600</v>
      </c>
      <c r="L80" s="4" t="n">
        <v>-1600</v>
      </c>
      <c r="M80" s="4" t="n">
        <v>-1600</v>
      </c>
      <c r="N80" s="4" t="n">
        <v>-1600</v>
      </c>
      <c r="O80" s="173" t="n">
        <v>-1600</v>
      </c>
      <c r="P80" s="4" t="n">
        <v>-1600</v>
      </c>
      <c r="Q80" s="4" t="n">
        <v>-1600</v>
      </c>
      <c r="R80" s="4" t="n">
        <v>-1600</v>
      </c>
      <c r="S80" s="4" t="n">
        <v>-1600</v>
      </c>
      <c r="T80" s="4" t="n">
        <v>-1600</v>
      </c>
      <c r="U80" s="4" t="n">
        <v>-1600</v>
      </c>
      <c r="V80" s="4" t="n">
        <v>-1600</v>
      </c>
      <c r="W80" s="4" t="n">
        <v>-19200</v>
      </c>
      <c r="X80" t="inlineStr">
        <is>
          <t>Coste fijo mensual según contratos vigentes de renting de vehículos y maquinaria auxiliar.</t>
        </is>
      </c>
    </row>
    <row r="81">
      <c r="B81" t="n">
        <v>2027</v>
      </c>
      <c r="C81" t="inlineStr">
        <is>
          <t>Codiagro</t>
        </is>
      </c>
      <c r="D81" t="inlineStr">
        <is>
          <t>RESULTADO DEL EJERCICIO</t>
        </is>
      </c>
      <c r="E81" t="inlineStr">
        <is>
          <t>RESULTADO ANTES DE IMPUESTOS</t>
        </is>
      </c>
      <c r="F81" t="inlineStr">
        <is>
          <t>RESULTADO DE LA EXPLOTACION</t>
        </is>
      </c>
      <c r="G81" t="inlineStr">
        <is>
          <t>7.- Otros gastos de explotación</t>
        </is>
      </c>
      <c r="H81" t="inlineStr">
        <is>
          <t>(621) Arrendamientos y cánones</t>
        </is>
      </c>
      <c r="I81" t="inlineStr">
        <is>
          <t>621000045 - ALQUILER RENTING 3421-NJT PERE</t>
        </is>
      </c>
      <c r="J81" t="inlineStr">
        <is>
          <t>-</t>
        </is>
      </c>
      <c r="K81" s="4" t="n">
        <v>-1093.31</v>
      </c>
      <c r="L81" s="4" t="n">
        <v>-1093.31</v>
      </c>
      <c r="M81" s="4" t="n">
        <v>-1093.31</v>
      </c>
      <c r="N81" s="4" t="n">
        <v>-1093.31</v>
      </c>
      <c r="O81" s="173" t="n">
        <v>-1093.31</v>
      </c>
      <c r="P81" s="4" t="n">
        <v>-1093.31</v>
      </c>
      <c r="Q81" s="4" t="n">
        <v>-1093.31</v>
      </c>
      <c r="R81" s="4" t="n">
        <v>-1093.31</v>
      </c>
      <c r="S81" s="4" t="n">
        <v>-1093.31</v>
      </c>
      <c r="T81" s="4" t="n">
        <v>-1093.31</v>
      </c>
      <c r="U81" s="4" t="n">
        <v>-1093.31</v>
      </c>
      <c r="V81" s="4" t="n">
        <v>-1093.31</v>
      </c>
      <c r="W81" s="4" t="n">
        <v>-13119.72</v>
      </c>
      <c r="X81" t="inlineStr">
        <is>
          <t>Coste fijo mensual según contratos vigentes de renting de vehículos y maquinaria auxiliar.</t>
        </is>
      </c>
    </row>
    <row r="82">
      <c r="B82" t="n">
        <v>2027</v>
      </c>
      <c r="C82" t="inlineStr">
        <is>
          <t>Codiagro</t>
        </is>
      </c>
      <c r="D82" t="inlineStr">
        <is>
          <t>RESULTADO DEL EJERCICIO</t>
        </is>
      </c>
      <c r="E82" t="inlineStr">
        <is>
          <t>RESULTADO ANTES DE IMPUESTOS</t>
        </is>
      </c>
      <c r="F82" t="inlineStr">
        <is>
          <t>RESULTADO DE LA EXPLOTACION</t>
        </is>
      </c>
      <c r="G82" t="inlineStr">
        <is>
          <t>7.- Otros gastos de explotación</t>
        </is>
      </c>
      <c r="H82" t="inlineStr">
        <is>
          <t>(621) Arrendamientos y cánones</t>
        </is>
      </c>
      <c r="I82" t="inlineStr">
        <is>
          <t>621000046 - ALQUILER CARRETILLAS</t>
        </is>
      </c>
      <c r="J82" t="inlineStr">
        <is>
          <t>-</t>
        </is>
      </c>
      <c r="K82" s="4" t="n">
        <v>-677.75</v>
      </c>
      <c r="L82" s="4" t="n">
        <v>-677.75</v>
      </c>
      <c r="M82" s="4" t="n">
        <v>-677.75</v>
      </c>
      <c r="N82" s="4" t="n">
        <v>-677.75</v>
      </c>
      <c r="O82" s="173" t="n">
        <v>-677.75</v>
      </c>
      <c r="P82" s="4" t="n">
        <v>-677.75</v>
      </c>
      <c r="Q82" s="4" t="n">
        <v>-677.75</v>
      </c>
      <c r="R82" s="4" t="n">
        <v>-677.75</v>
      </c>
      <c r="S82" s="4" t="n">
        <v>-677.75</v>
      </c>
      <c r="T82" s="4" t="n">
        <v>-677.75</v>
      </c>
      <c r="U82" s="4" t="n">
        <v>-677.75</v>
      </c>
      <c r="V82" s="4" t="n">
        <v>-677.75</v>
      </c>
      <c r="W82" s="4" t="n">
        <v>-8133</v>
      </c>
      <c r="X82" t="inlineStr">
        <is>
          <t>Coste fijo mensual según contratos vigentes de renting de vehículos y maquinaria auxiliar.</t>
        </is>
      </c>
    </row>
    <row r="83">
      <c r="B83" t="n">
        <v>2027</v>
      </c>
      <c r="C83" t="inlineStr">
        <is>
          <t>Codiagro</t>
        </is>
      </c>
      <c r="D83" t="inlineStr">
        <is>
          <t>RESULTADO DEL EJERCICIO</t>
        </is>
      </c>
      <c r="E83" t="inlineStr">
        <is>
          <t>RESULTADO ANTES DE IMPUESTOS</t>
        </is>
      </c>
      <c r="F83" t="inlineStr">
        <is>
          <t>RESULTADO DE LA EXPLOTACION</t>
        </is>
      </c>
      <c r="G83" t="inlineStr">
        <is>
          <t>7.- Otros gastos de explotación</t>
        </is>
      </c>
      <c r="H83" t="inlineStr">
        <is>
          <t>(622) Reparación/conservación/mantenimiento</t>
        </is>
      </c>
      <c r="I83" t="inlineStr">
        <is>
          <t>622000001 - REPAR. EQUIPOS INFORM. Y FOTOCOPIADORAS</t>
        </is>
      </c>
      <c r="J83" t="inlineStr">
        <is>
          <t>-</t>
        </is>
      </c>
      <c r="K83" s="4" t="n">
        <v>-748.65</v>
      </c>
      <c r="L83" s="4" t="n">
        <v>-748.65</v>
      </c>
      <c r="M83" s="4" t="n">
        <v>-748.65</v>
      </c>
      <c r="N83" s="4" t="n">
        <v>-748.65</v>
      </c>
      <c r="O83" s="173" t="n">
        <v>-748.65</v>
      </c>
      <c r="P83" s="4" t="n">
        <v>-748.65</v>
      </c>
      <c r="Q83" s="4" t="n">
        <v>-748.65</v>
      </c>
      <c r="R83" s="4" t="n">
        <v>-748.65</v>
      </c>
      <c r="S83" s="4" t="n">
        <v>-748.65</v>
      </c>
      <c r="T83" s="4" t="n">
        <v>-748.65</v>
      </c>
      <c r="U83" s="4" t="n">
        <v>-748.65</v>
      </c>
      <c r="V83" s="4" t="n">
        <v>-748.65</v>
      </c>
      <c r="W83" s="4" t="n">
        <v>-8983.799999999997</v>
      </c>
      <c r="X83" t="inlineStr">
        <is>
          <t>Coste semi-variable: mantenimiento preventivo y correctivo de planta industrial.</t>
        </is>
      </c>
    </row>
    <row r="84">
      <c r="B84" t="n">
        <v>2027</v>
      </c>
      <c r="C84" t="inlineStr">
        <is>
          <t>Codiagro</t>
        </is>
      </c>
      <c r="D84" t="inlineStr">
        <is>
          <t>RESULTADO DEL EJERCICIO</t>
        </is>
      </c>
      <c r="E84" t="inlineStr">
        <is>
          <t>RESULTADO ANTES DE IMPUESTOS</t>
        </is>
      </c>
      <c r="F84" t="inlineStr">
        <is>
          <t>RESULTADO DE LA EXPLOTACION</t>
        </is>
      </c>
      <c r="G84" t="inlineStr">
        <is>
          <t>7.- Otros gastos de explotación</t>
        </is>
      </c>
      <c r="H84" t="inlineStr">
        <is>
          <t>(622) Reparación/conservación/mantenimiento</t>
        </is>
      </c>
      <c r="I84" t="inlineStr">
        <is>
          <t>622000004 - REP. Y CONSERV. CARRETILLA ELECTRICA</t>
        </is>
      </c>
      <c r="J84" t="inlineStr">
        <is>
          <t>-</t>
        </is>
      </c>
      <c r="K84" s="4" t="n">
        <v>-731.87</v>
      </c>
      <c r="L84" s="4" t="n">
        <v>-731.87</v>
      </c>
      <c r="M84" s="4" t="n">
        <v>-731.87</v>
      </c>
      <c r="N84" s="4" t="n">
        <v>-731.87</v>
      </c>
      <c r="O84" s="173" t="n">
        <v>-731.87</v>
      </c>
      <c r="P84" s="4" t="n">
        <v>-731.87</v>
      </c>
      <c r="Q84" s="4" t="n">
        <v>-731.87</v>
      </c>
      <c r="R84" s="4" t="n">
        <v>-731.87</v>
      </c>
      <c r="S84" s="4" t="n">
        <v>-731.87</v>
      </c>
      <c r="T84" s="4" t="n">
        <v>-731.87</v>
      </c>
      <c r="U84" s="4" t="n">
        <v>-731.87</v>
      </c>
      <c r="V84" s="4" t="n">
        <v>-731.87</v>
      </c>
      <c r="W84" s="4" t="n">
        <v>-8782.440000000001</v>
      </c>
      <c r="X84" t="inlineStr">
        <is>
          <t>Coste semi-variable: mantenimiento preventivo y correctivo de planta industrial.</t>
        </is>
      </c>
    </row>
    <row r="85">
      <c r="B85" t="n">
        <v>2027</v>
      </c>
      <c r="C85" t="inlineStr">
        <is>
          <t>Codiagro</t>
        </is>
      </c>
      <c r="D85" t="inlineStr">
        <is>
          <t>RESULTADO DEL EJERCICIO</t>
        </is>
      </c>
      <c r="E85" t="inlineStr">
        <is>
          <t>RESULTADO ANTES DE IMPUESTOS</t>
        </is>
      </c>
      <c r="F85" t="inlineStr">
        <is>
          <t>RESULTADO DE LA EXPLOTACION</t>
        </is>
      </c>
      <c r="G85" t="inlineStr">
        <is>
          <t>7.- Otros gastos de explotación</t>
        </is>
      </c>
      <c r="H85" t="inlineStr">
        <is>
          <t>(622) Reparación/conservación/mantenimiento</t>
        </is>
      </c>
      <c r="I85" t="inlineStr">
        <is>
          <t>622000005 - REP. Y MANT. EQUIPOS SEGURIDAD</t>
        </is>
      </c>
      <c r="J85" t="inlineStr">
        <is>
          <t>-</t>
        </is>
      </c>
      <c r="K85" s="4" t="n">
        <v>-122.19</v>
      </c>
      <c r="L85" s="4" t="n">
        <v>-122.19</v>
      </c>
      <c r="M85" s="4" t="n">
        <v>-122.19</v>
      </c>
      <c r="N85" s="4" t="n">
        <v>-122.19</v>
      </c>
      <c r="O85" s="173" t="n">
        <v>-122.19</v>
      </c>
      <c r="P85" s="4" t="n">
        <v>-122.19</v>
      </c>
      <c r="Q85" s="4" t="n">
        <v>-122.19</v>
      </c>
      <c r="R85" s="4" t="n">
        <v>-122.19</v>
      </c>
      <c r="S85" s="4" t="n">
        <v>-122.19</v>
      </c>
      <c r="T85" s="4" t="n">
        <v>-122.19</v>
      </c>
      <c r="U85" s="4" t="n">
        <v>-122.19</v>
      </c>
      <c r="V85" s="4" t="n">
        <v>-122.19</v>
      </c>
      <c r="W85" s="4" t="n">
        <v>-1466.28</v>
      </c>
      <c r="X85" t="inlineStr">
        <is>
          <t>Coste semi-variable: mantenimiento preventivo y correctivo de planta industrial.</t>
        </is>
      </c>
    </row>
    <row r="86">
      <c r="B86" t="n">
        <v>2027</v>
      </c>
      <c r="C86" t="inlineStr">
        <is>
          <t>Codiagro</t>
        </is>
      </c>
      <c r="D86" t="inlineStr">
        <is>
          <t>RESULTADO DEL EJERCICIO</t>
        </is>
      </c>
      <c r="E86" t="inlineStr">
        <is>
          <t>RESULTADO ANTES DE IMPUESTOS</t>
        </is>
      </c>
      <c r="F86" t="inlineStr">
        <is>
          <t>RESULTADO DE LA EXPLOTACION</t>
        </is>
      </c>
      <c r="G86" t="inlineStr">
        <is>
          <t>7.- Otros gastos de explotación</t>
        </is>
      </c>
      <c r="H86" t="inlineStr">
        <is>
          <t>(622) Reparación/conservación/mantenimiento</t>
        </is>
      </c>
      <c r="I86" t="inlineStr">
        <is>
          <t>622000006 - REP. Y MANT. INSTALACIONES VARIAS</t>
        </is>
      </c>
      <c r="J86" t="inlineStr">
        <is>
          <t>-</t>
        </is>
      </c>
      <c r="K86" s="4" t="n">
        <v>-3015.5</v>
      </c>
      <c r="L86" s="4" t="n">
        <v>-800</v>
      </c>
      <c r="M86" s="4" t="n">
        <v>-800</v>
      </c>
      <c r="N86" s="4" t="n">
        <v>-800</v>
      </c>
      <c r="O86" s="173" t="n">
        <v>-800</v>
      </c>
      <c r="P86" s="4" t="n">
        <v>-800</v>
      </c>
      <c r="Q86" s="4" t="n">
        <v>-800</v>
      </c>
      <c r="R86" s="4" t="n">
        <v>-3174.84</v>
      </c>
      <c r="S86" s="4" t="n">
        <v>-3128.9</v>
      </c>
      <c r="T86" s="4" t="n">
        <v>-2577.65</v>
      </c>
      <c r="U86" s="4" t="n">
        <v>-800</v>
      </c>
      <c r="V86" s="4" t="n">
        <v>-1351.25</v>
      </c>
      <c r="W86" s="4" t="n">
        <v>-18848.14</v>
      </c>
      <c r="X86" t="inlineStr">
        <is>
          <t>Presupuesto Mantenimiento Fábrica 2027: Instalaciones y edificios (-18.848,14 €). La adecuación estructural de cubierta/nave enfrente (9.600 €) es activable en cta 211.</t>
        </is>
      </c>
    </row>
    <row r="87">
      <c r="B87" t="n">
        <v>2027</v>
      </c>
      <c r="C87" t="inlineStr">
        <is>
          <t>Codiagro</t>
        </is>
      </c>
      <c r="D87" t="inlineStr">
        <is>
          <t>RESULTADO DEL EJERCICIO</t>
        </is>
      </c>
      <c r="E87" t="inlineStr">
        <is>
          <t>RESULTADO ANTES DE IMPUESTOS</t>
        </is>
      </c>
      <c r="F87" t="inlineStr">
        <is>
          <t>RESULTADO DE LA EXPLOTACION</t>
        </is>
      </c>
      <c r="G87" t="inlineStr">
        <is>
          <t>7.- Otros gastos de explotación</t>
        </is>
      </c>
      <c r="H87" t="inlineStr">
        <is>
          <t>(622) Reparación/conservación/mantenimiento</t>
        </is>
      </c>
      <c r="I87" t="inlineStr">
        <is>
          <t>622000007 - REP. Y MANT. HYUNDAI 0377CJG</t>
        </is>
      </c>
      <c r="J87" t="inlineStr">
        <is>
          <t>-</t>
        </is>
      </c>
      <c r="K87" s="4" t="n">
        <v>-249.63</v>
      </c>
      <c r="L87" s="4" t="n">
        <v>-249.63</v>
      </c>
      <c r="M87" s="4" t="n">
        <v>-249.63</v>
      </c>
      <c r="N87" s="4" t="n">
        <v>-249.63</v>
      </c>
      <c r="O87" s="173" t="n">
        <v>-249.63</v>
      </c>
      <c r="P87" s="4" t="n">
        <v>-249.63</v>
      </c>
      <c r="Q87" s="4" t="n">
        <v>-249.63</v>
      </c>
      <c r="R87" s="4" t="n">
        <v>-249.63</v>
      </c>
      <c r="S87" s="4" t="n">
        <v>-249.63</v>
      </c>
      <c r="T87" s="4" t="n">
        <v>-249.63</v>
      </c>
      <c r="U87" s="4" t="n">
        <v>-249.63</v>
      </c>
      <c r="V87" s="4" t="n">
        <v>-249.63</v>
      </c>
      <c r="W87" s="4" t="n">
        <v>-2995.560000000001</v>
      </c>
      <c r="X87" t="inlineStr">
        <is>
          <t>Coste semi-variable: mantenimiento preventivo y correctivo de planta industrial.</t>
        </is>
      </c>
    </row>
    <row r="88">
      <c r="B88" t="n">
        <v>2027</v>
      </c>
      <c r="C88" t="inlineStr">
        <is>
          <t>Codiagro</t>
        </is>
      </c>
      <c r="D88" t="inlineStr">
        <is>
          <t>RESULTADO DEL EJERCICIO</t>
        </is>
      </c>
      <c r="E88" t="inlineStr">
        <is>
          <t>RESULTADO ANTES DE IMPUESTOS</t>
        </is>
      </c>
      <c r="F88" t="inlineStr">
        <is>
          <t>RESULTADO DE LA EXPLOTACION</t>
        </is>
      </c>
      <c r="G88" t="inlineStr">
        <is>
          <t>7.- Otros gastos de explotación</t>
        </is>
      </c>
      <c r="H88" t="inlineStr">
        <is>
          <t>(622) Reparación/conservación/mantenimiento</t>
        </is>
      </c>
      <c r="I88" t="inlineStr">
        <is>
          <t>622000008 - REP. Y MANT. MAQUINA BARREDORA</t>
        </is>
      </c>
      <c r="J88" t="inlineStr">
        <is>
          <t>-</t>
        </is>
      </c>
      <c r="K88" s="4" t="n">
        <v>-515.01</v>
      </c>
      <c r="L88" s="4" t="n">
        <v>-515.01</v>
      </c>
      <c r="M88" s="4" t="n">
        <v>-515.01</v>
      </c>
      <c r="N88" s="4" t="n">
        <v>-515.01</v>
      </c>
      <c r="O88" s="173" t="n">
        <v>-515.01</v>
      </c>
      <c r="P88" s="4" t="n">
        <v>-515.01</v>
      </c>
      <c r="Q88" s="4" t="n">
        <v>-515.01</v>
      </c>
      <c r="R88" s="4" t="n">
        <v>-515.01</v>
      </c>
      <c r="S88" s="4" t="n">
        <v>-515.01</v>
      </c>
      <c r="T88" s="4" t="n">
        <v>-515.01</v>
      </c>
      <c r="U88" s="4" t="n">
        <v>-515.01</v>
      </c>
      <c r="V88" s="4" t="n">
        <v>-515.01</v>
      </c>
      <c r="W88" s="4" t="n">
        <v>-6180.120000000002</v>
      </c>
      <c r="X88" t="inlineStr">
        <is>
          <t>Coste semi-variable: mantenimiento preventivo y correctivo de planta industrial.</t>
        </is>
      </c>
    </row>
    <row r="89">
      <c r="B89" t="n">
        <v>2027</v>
      </c>
      <c r="C89" t="inlineStr">
        <is>
          <t>Codiagro</t>
        </is>
      </c>
      <c r="D89" t="inlineStr">
        <is>
          <t>RESULTADO DEL EJERCICIO</t>
        </is>
      </c>
      <c r="E89" t="inlineStr">
        <is>
          <t>RESULTADO ANTES DE IMPUESTOS</t>
        </is>
      </c>
      <c r="F89" t="inlineStr">
        <is>
          <t>RESULTADO DE LA EXPLOTACION</t>
        </is>
      </c>
      <c r="G89" t="inlineStr">
        <is>
          <t>7.- Otros gastos de explotación</t>
        </is>
      </c>
      <c r="H89" t="inlineStr">
        <is>
          <t>(622) Reparación/conservación/mantenimiento</t>
        </is>
      </c>
      <c r="I89" t="inlineStr">
        <is>
          <t>622000009 - REP. Y MANT. FURGONETA 2589CRJ</t>
        </is>
      </c>
      <c r="J89" t="inlineStr">
        <is>
          <t>-</t>
        </is>
      </c>
      <c r="K89" s="4" t="n">
        <v>0</v>
      </c>
      <c r="L89" s="4" t="n">
        <v>0</v>
      </c>
      <c r="M89" s="4" t="n">
        <v>0</v>
      </c>
      <c r="N89" s="4" t="n">
        <v>0</v>
      </c>
      <c r="O89" s="173" t="n">
        <v>0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t="inlineStr">
        <is>
          <t>Sin dotación presupuestada en 2027.</t>
        </is>
      </c>
    </row>
    <row r="90">
      <c r="B90" t="n">
        <v>2027</v>
      </c>
      <c r="C90" t="inlineStr">
        <is>
          <t>Codiagro</t>
        </is>
      </c>
      <c r="D90" t="inlineStr">
        <is>
          <t>RESULTADO DEL EJERCICIO</t>
        </is>
      </c>
      <c r="E90" t="inlineStr">
        <is>
          <t>RESULTADO ANTES DE IMPUESTOS</t>
        </is>
      </c>
      <c r="F90" t="inlineStr">
        <is>
          <t>RESULTADO DE LA EXPLOTACION</t>
        </is>
      </c>
      <c r="G90" t="inlineStr">
        <is>
          <t>7.- Otros gastos de explotación</t>
        </is>
      </c>
      <c r="H90" t="inlineStr">
        <is>
          <t>(622) Reparación/conservación/mantenimiento</t>
        </is>
      </c>
      <c r="I90" t="inlineStr">
        <is>
          <t>622000012 - LIMPIEZA OFICINAS, LABORATORIO Y VESTUARIOS</t>
        </is>
      </c>
      <c r="J90" t="inlineStr">
        <is>
          <t>-</t>
        </is>
      </c>
      <c r="K90" s="4" t="n">
        <v>-935.11</v>
      </c>
      <c r="L90" s="4" t="n">
        <v>-935.11</v>
      </c>
      <c r="M90" s="4" t="n">
        <v>-935.11</v>
      </c>
      <c r="N90" s="4" t="n">
        <v>-935.11</v>
      </c>
      <c r="O90" s="173" t="n">
        <v>-935.11</v>
      </c>
      <c r="P90" s="4" t="n">
        <v>-935.11</v>
      </c>
      <c r="Q90" s="4" t="n">
        <v>-935.11</v>
      </c>
      <c r="R90" s="4" t="n">
        <v>-935.11</v>
      </c>
      <c r="S90" s="4" t="n">
        <v>-935.11</v>
      </c>
      <c r="T90" s="4" t="n">
        <v>-935.11</v>
      </c>
      <c r="U90" s="4" t="n">
        <v>-935.11</v>
      </c>
      <c r="V90" s="4" t="n">
        <v>-935.11</v>
      </c>
      <c r="W90" s="4" t="n">
        <v>-11221.32</v>
      </c>
      <c r="X90" t="inlineStr">
        <is>
          <t>Coste semi-variable: mantenimiento preventivo y correctivo de planta industrial.</t>
        </is>
      </c>
    </row>
    <row r="91">
      <c r="B91" t="n">
        <v>2027</v>
      </c>
      <c r="C91" t="inlineStr">
        <is>
          <t>Codiagro</t>
        </is>
      </c>
      <c r="D91" t="inlineStr">
        <is>
          <t>RESULTADO DEL EJERCICIO</t>
        </is>
      </c>
      <c r="E91" t="inlineStr">
        <is>
          <t>RESULTADO ANTES DE IMPUESTOS</t>
        </is>
      </c>
      <c r="F91" t="inlineStr">
        <is>
          <t>RESULTADO DE LA EXPLOTACION</t>
        </is>
      </c>
      <c r="G91" t="inlineStr">
        <is>
          <t>7.- Otros gastos de explotación</t>
        </is>
      </c>
      <c r="H91" t="inlineStr">
        <is>
          <t>(622) Reparación/conservación/mantenimiento</t>
        </is>
      </c>
      <c r="I91" t="inlineStr">
        <is>
          <t>622010000 MANTENIMIENTO</t>
        </is>
      </c>
      <c r="J91" t="inlineStr">
        <is>
          <t>-</t>
        </is>
      </c>
      <c r="K91" s="4" t="n">
        <v>-1472.45</v>
      </c>
      <c r="L91" s="4" t="n">
        <v>-1472.45</v>
      </c>
      <c r="M91" s="4" t="n">
        <v>-1472.45</v>
      </c>
      <c r="N91" s="4" t="n">
        <v>-1472.45</v>
      </c>
      <c r="O91" s="173" t="n">
        <v>-1472.45</v>
      </c>
      <c r="P91" s="4" t="n">
        <v>-1472.45</v>
      </c>
      <c r="Q91" s="4" t="n">
        <v>-1472.45</v>
      </c>
      <c r="R91" s="4" t="n">
        <v>-1472.45</v>
      </c>
      <c r="S91" s="4" t="n">
        <v>-1472.45</v>
      </c>
      <c r="T91" s="4" t="n">
        <v>-1472.45</v>
      </c>
      <c r="U91" s="4" t="n">
        <v>-1472.45</v>
      </c>
      <c r="V91" s="4" t="n">
        <v>-1472.45</v>
      </c>
      <c r="W91" s="4" t="n">
        <v>-17669.40000000001</v>
      </c>
      <c r="X91" t="inlineStr">
        <is>
          <t>Coste semi-variable: mantenimiento preventivo y correctivo de planta industrial.</t>
        </is>
      </c>
    </row>
    <row r="92">
      <c r="B92" t="n">
        <v>2027</v>
      </c>
      <c r="C92" t="inlineStr">
        <is>
          <t>Codiagro</t>
        </is>
      </c>
      <c r="D92" t="inlineStr">
        <is>
          <t>RESULTADO DEL EJERCICIO</t>
        </is>
      </c>
      <c r="E92" t="inlineStr">
        <is>
          <t>RESULTADO ANTES DE IMPUESTOS</t>
        </is>
      </c>
      <c r="F92" t="inlineStr">
        <is>
          <t>RESULTADO DE LA EXPLOTACION</t>
        </is>
      </c>
      <c r="G92" t="inlineStr">
        <is>
          <t>7.- Otros gastos de explotación</t>
        </is>
      </c>
      <c r="H92" t="inlineStr">
        <is>
          <t>(622) Reparación/conservación/mantenimiento</t>
        </is>
      </c>
      <c r="I92" t="inlineStr">
        <is>
          <t>622010001 - MANTENIMIENTO REPUESTO COMPRA AMAZON</t>
        </is>
      </c>
      <c r="J92" t="inlineStr">
        <is>
          <t>-</t>
        </is>
      </c>
      <c r="K92" s="4" t="n">
        <v>0</v>
      </c>
      <c r="L92" s="4" t="n">
        <v>0</v>
      </c>
      <c r="M92" s="4" t="n">
        <v>0</v>
      </c>
      <c r="N92" s="4" t="n">
        <v>0</v>
      </c>
      <c r="O92" s="173" t="n">
        <v>0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t="inlineStr">
        <is>
          <t>Sin dotación presupuestada en 2027.</t>
        </is>
      </c>
    </row>
    <row r="93">
      <c r="B93" t="n">
        <v>2027</v>
      </c>
      <c r="C93" t="inlineStr">
        <is>
          <t>Codiagro</t>
        </is>
      </c>
      <c r="D93" t="inlineStr">
        <is>
          <t>RESULTADO DEL EJERCICIO</t>
        </is>
      </c>
      <c r="E93" t="inlineStr">
        <is>
          <t>RESULTADO ANTES DE IMPUESTOS</t>
        </is>
      </c>
      <c r="F93" t="inlineStr">
        <is>
          <t>RESULTADO DE LA EXPLOTACION</t>
        </is>
      </c>
      <c r="G93" t="inlineStr">
        <is>
          <t>7.- Otros gastos de explotación</t>
        </is>
      </c>
      <c r="H93" t="inlineStr">
        <is>
          <t>(622) Reparación/conservación/mantenimiento</t>
        </is>
      </c>
      <c r="I93" t="inlineStr">
        <is>
          <t>622010200 - ALCAPLANT</t>
        </is>
      </c>
      <c r="J93" t="inlineStr">
        <is>
          <t>-</t>
        </is>
      </c>
      <c r="K93" s="4" t="n">
        <v>0</v>
      </c>
      <c r="L93" s="4" t="n">
        <v>0</v>
      </c>
      <c r="M93" s="4" t="n">
        <v>0</v>
      </c>
      <c r="N93" s="4" t="n">
        <v>-554.4</v>
      </c>
      <c r="O93" s="173" t="n">
        <v>0</v>
      </c>
      <c r="P93" s="4" t="n">
        <v>0</v>
      </c>
      <c r="Q93" s="4" t="n">
        <v>0</v>
      </c>
      <c r="R93" s="4" t="n">
        <v>-1050</v>
      </c>
      <c r="S93" s="4" t="n">
        <v>-840</v>
      </c>
      <c r="T93" s="4" t="n">
        <v>-3150</v>
      </c>
      <c r="U93" s="4" t="n">
        <v>0</v>
      </c>
      <c r="V93" s="4" t="n">
        <v>0</v>
      </c>
      <c r="W93" s="4" t="n">
        <v>-5594.4</v>
      </c>
      <c r="X93" t="inlineStr">
        <is>
          <t>Presupuesto Mantenimiento Fábrica 2027: Molinos y línea Alcaplant (-5.594,40 € gasto corriente). Las mejoras estructurales de molinos (9.410 €) son activables en cta 213.</t>
        </is>
      </c>
    </row>
    <row r="94">
      <c r="B94" t="n">
        <v>2027</v>
      </c>
      <c r="C94" t="inlineStr">
        <is>
          <t>Codiagro</t>
        </is>
      </c>
      <c r="D94" t="inlineStr">
        <is>
          <t>RESULTADO DEL EJERCICIO</t>
        </is>
      </c>
      <c r="E94" t="inlineStr">
        <is>
          <t>RESULTADO ANTES DE IMPUESTOS</t>
        </is>
      </c>
      <c r="F94" t="inlineStr">
        <is>
          <t>RESULTADO DE LA EXPLOTACION</t>
        </is>
      </c>
      <c r="G94" t="inlineStr">
        <is>
          <t>7.- Otros gastos de explotación</t>
        </is>
      </c>
      <c r="H94" t="inlineStr">
        <is>
          <t>(622) Reparación/conservación/mantenimiento</t>
        </is>
      </c>
      <c r="I94" t="inlineStr">
        <is>
          <t>622010201 - REPARACIONES ALCAPLANT</t>
        </is>
      </c>
      <c r="J94" t="inlineStr">
        <is>
          <t>-</t>
        </is>
      </c>
      <c r="K94" s="4" t="n">
        <v>0</v>
      </c>
      <c r="L94" s="4" t="n">
        <v>0</v>
      </c>
      <c r="M94" s="4" t="n">
        <v>0</v>
      </c>
      <c r="N94" s="4" t="n">
        <v>0</v>
      </c>
      <c r="O94" s="173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t="inlineStr">
        <is>
          <t>Fusionado en 622010200 según estructura presupuestaria de fábrica.</t>
        </is>
      </c>
    </row>
    <row r="95">
      <c r="B95" t="n">
        <v>2027</v>
      </c>
      <c r="C95" t="inlineStr">
        <is>
          <t>Codiagro</t>
        </is>
      </c>
      <c r="D95" t="inlineStr">
        <is>
          <t>RESULTADO DEL EJERCICIO</t>
        </is>
      </c>
      <c r="E95" t="inlineStr">
        <is>
          <t>RESULTADO ANTES DE IMPUESTOS</t>
        </is>
      </c>
      <c r="F95" t="inlineStr">
        <is>
          <t>RESULTADO DE LA EXPLOTACION</t>
        </is>
      </c>
      <c r="G95" t="inlineStr">
        <is>
          <t>7.- Otros gastos de explotación</t>
        </is>
      </c>
      <c r="H95" t="inlineStr">
        <is>
          <t>(622) Reparación/conservación/mantenimiento</t>
        </is>
      </c>
      <c r="I95" t="inlineStr">
        <is>
          <t>622010300 - SOLIDOS</t>
        </is>
      </c>
      <c r="J95" t="inlineStr">
        <is>
          <t>-</t>
        </is>
      </c>
      <c r="K95" s="4" t="n">
        <v>-367.5</v>
      </c>
      <c r="L95" s="4" t="n">
        <v>-367.5</v>
      </c>
      <c r="M95" s="4" t="n">
        <v>-367.5</v>
      </c>
      <c r="N95" s="4" t="n">
        <v>-367.5</v>
      </c>
      <c r="O95" s="173" t="n">
        <v>-367.5</v>
      </c>
      <c r="P95" s="4" t="n">
        <v>-367.5</v>
      </c>
      <c r="Q95" s="4" t="n">
        <v>-367.5</v>
      </c>
      <c r="R95" s="4" t="n">
        <v>-367.5</v>
      </c>
      <c r="S95" s="4" t="n">
        <v>-367.5</v>
      </c>
      <c r="T95" s="4" t="n">
        <v>-367.5</v>
      </c>
      <c r="U95" s="4" t="n">
        <v>-2992.5</v>
      </c>
      <c r="V95" s="4" t="n">
        <v>-367.5</v>
      </c>
      <c r="W95" s="4" t="n">
        <v>-7035</v>
      </c>
      <c r="X95" t="inlineStr">
        <is>
          <t>Presupuesto Mantenimiento Fábrica 2027: Mantenimiento ensacadora y sinfines línea sólidos Elocom/Proymec (-7.035,00 €).</t>
        </is>
      </c>
    </row>
    <row r="96">
      <c r="B96" t="n">
        <v>2027</v>
      </c>
      <c r="C96" t="inlineStr">
        <is>
          <t>Codiagro</t>
        </is>
      </c>
      <c r="D96" t="inlineStr">
        <is>
          <t>RESULTADO DEL EJERCICIO</t>
        </is>
      </c>
      <c r="E96" t="inlineStr">
        <is>
          <t>RESULTADO ANTES DE IMPUESTOS</t>
        </is>
      </c>
      <c r="F96" t="inlineStr">
        <is>
          <t>RESULTADO DE LA EXPLOTACION</t>
        </is>
      </c>
      <c r="G96" t="inlineStr">
        <is>
          <t>7.- Otros gastos de explotación</t>
        </is>
      </c>
      <c r="H96" t="inlineStr">
        <is>
          <t>(622) Reparación/conservación/mantenimiento</t>
        </is>
      </c>
      <c r="I96" t="inlineStr">
        <is>
          <t>622010400 - LIQUIDOS</t>
        </is>
      </c>
      <c r="J96" t="inlineStr">
        <is>
          <t>-</t>
        </is>
      </c>
      <c r="K96" s="4" t="n">
        <v>-420</v>
      </c>
      <c r="L96" s="4" t="n">
        <v>0</v>
      </c>
      <c r="M96" s="4" t="n">
        <v>0</v>
      </c>
      <c r="N96" s="4" t="n">
        <v>-630</v>
      </c>
      <c r="O96" s="173" t="n">
        <v>0</v>
      </c>
      <c r="P96" s="4" t="n">
        <v>0</v>
      </c>
      <c r="Q96" s="4" t="n">
        <v>0</v>
      </c>
      <c r="R96" s="4" t="n">
        <v>0</v>
      </c>
      <c r="S96" s="4" t="n">
        <v>-3885</v>
      </c>
      <c r="T96" s="4" t="n">
        <v>-1155</v>
      </c>
      <c r="U96" s="4" t="n">
        <v>0</v>
      </c>
      <c r="V96" s="4" t="n">
        <v>0</v>
      </c>
      <c r="W96" s="4" t="n">
        <v>-6090</v>
      </c>
      <c r="X96" t="inlineStr">
        <is>
          <t>Presupuesto Mantenimiento Fábrica 2027: Valvulería, propulsores y conducciones línea líquidos (-6.090,00 €).</t>
        </is>
      </c>
    </row>
    <row r="97">
      <c r="B97" t="n">
        <v>2027</v>
      </c>
      <c r="C97" t="inlineStr">
        <is>
          <t>Codiagro</t>
        </is>
      </c>
      <c r="D97" t="inlineStr">
        <is>
          <t>RESULTADO DEL EJERCICIO</t>
        </is>
      </c>
      <c r="E97" t="inlineStr">
        <is>
          <t>RESULTADO ANTES DE IMPUESTOS</t>
        </is>
      </c>
      <c r="F97" t="inlineStr">
        <is>
          <t>RESULTADO DE LA EXPLOTACION</t>
        </is>
      </c>
      <c r="G97" t="inlineStr">
        <is>
          <t>7.- Otros gastos de explotación</t>
        </is>
      </c>
      <c r="H97" t="inlineStr">
        <is>
          <t>(622) Reparación/conservación/mantenimiento</t>
        </is>
      </c>
      <c r="I97" t="inlineStr">
        <is>
          <t>622010500 - REPUESTOS MANT. VARIOS</t>
        </is>
      </c>
      <c r="J97" t="inlineStr">
        <is>
          <t>-</t>
        </is>
      </c>
      <c r="K97" s="4" t="n">
        <v>-262.5</v>
      </c>
      <c r="L97" s="4" t="n">
        <v>-262.5</v>
      </c>
      <c r="M97" s="4" t="n">
        <v>-262.5</v>
      </c>
      <c r="N97" s="4" t="n">
        <v>-262.5</v>
      </c>
      <c r="O97" s="173" t="n">
        <v>-262.5</v>
      </c>
      <c r="P97" s="4" t="n">
        <v>-262.5</v>
      </c>
      <c r="Q97" s="4" t="n">
        <v>-262.5</v>
      </c>
      <c r="R97" s="4" t="n">
        <v>-262.5</v>
      </c>
      <c r="S97" s="4" t="n">
        <v>-367.5</v>
      </c>
      <c r="T97" s="4" t="n">
        <v>-262.5</v>
      </c>
      <c r="U97" s="4" t="n">
        <v>-262.5</v>
      </c>
      <c r="V97" s="4" t="n">
        <v>-262.5</v>
      </c>
      <c r="W97" s="4" t="n">
        <v>-3255</v>
      </c>
      <c r="X97" t="inlineStr">
        <is>
          <t>Presupuesto Mantenimiento Fábrica 2027: Repuestos generales de taller y planta (-3.255,00 €).</t>
        </is>
      </c>
    </row>
    <row r="98">
      <c r="B98" t="n">
        <v>2027</v>
      </c>
      <c r="C98" t="inlineStr">
        <is>
          <t>Codiagro</t>
        </is>
      </c>
      <c r="D98" t="inlineStr">
        <is>
          <t>RESULTADO DEL EJERCICIO</t>
        </is>
      </c>
      <c r="E98" t="inlineStr">
        <is>
          <t>RESULTADO ANTES DE IMPUESTOS</t>
        </is>
      </c>
      <c r="F98" t="inlineStr">
        <is>
          <t>RESULTADO DE LA EXPLOTACION</t>
        </is>
      </c>
      <c r="G98" t="inlineStr">
        <is>
          <t>7.- Otros gastos de explotación</t>
        </is>
      </c>
      <c r="H98" t="inlineStr">
        <is>
          <t>(622) Reparación/conservación/mantenimiento</t>
        </is>
      </c>
      <c r="I98" t="inlineStr">
        <is>
          <t>622010501 - REP. MANT. FONTANERIA</t>
        </is>
      </c>
      <c r="J98" t="inlineStr">
        <is>
          <t>-</t>
        </is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t="inlineStr">
        <is>
          <t>Integrado en repuestos generales y fontanería de planta (622010400 / 622010500).</t>
        </is>
      </c>
    </row>
    <row r="99">
      <c r="B99" t="n">
        <v>2027</v>
      </c>
      <c r="C99" t="inlineStr">
        <is>
          <t>Codiagro</t>
        </is>
      </c>
      <c r="D99" t="inlineStr">
        <is>
          <t>RESULTADO DEL EJERCICIO</t>
        </is>
      </c>
      <c r="E99" t="inlineStr">
        <is>
          <t>RESULTADO ANTES DE IMPUESTOS</t>
        </is>
      </c>
      <c r="F99" t="inlineStr">
        <is>
          <t>RESULTADO DE LA EXPLOTACION</t>
        </is>
      </c>
      <c r="G99" t="inlineStr">
        <is>
          <t>7.- Otros gastos de explotación</t>
        </is>
      </c>
      <c r="H99" t="inlineStr">
        <is>
          <t>(623) Servicios profesionales independientes</t>
        </is>
      </c>
      <c r="I99" t="inlineStr">
        <is>
          <t>623000001 - SERV. PROF. INDEPENDIENTES</t>
        </is>
      </c>
      <c r="J99" t="inlineStr">
        <is>
          <t>-</t>
        </is>
      </c>
      <c r="K99" s="4" t="n">
        <v>-6000</v>
      </c>
      <c r="L99" s="4" t="n">
        <v>-6000</v>
      </c>
      <c r="M99" s="4" t="n">
        <v>-6000</v>
      </c>
      <c r="N99" s="4" t="n">
        <v>-6000</v>
      </c>
      <c r="O99" s="173" t="n">
        <v>-6000</v>
      </c>
      <c r="P99" s="4" t="n">
        <v>-6000</v>
      </c>
      <c r="Q99" s="4" t="n">
        <v>-6000</v>
      </c>
      <c r="R99" s="4" t="n">
        <v>-6000</v>
      </c>
      <c r="S99" s="4" t="n">
        <v>-6000</v>
      </c>
      <c r="T99" s="4" t="n">
        <v>-6000</v>
      </c>
      <c r="U99" s="4" t="n">
        <v>-6000</v>
      </c>
      <c r="V99" s="4" t="n">
        <v>-8000</v>
      </c>
      <c r="W99" s="4" t="n">
        <v>-74000</v>
      </c>
      <c r="X99" t="inlineStr">
        <is>
          <t>Coste fijo de asesoramiento legal, técnico y fiscal, con refuerzo en diciembre por preparación del cierre y auditoría.</t>
        </is>
      </c>
    </row>
    <row r="100">
      <c r="B100" t="n">
        <v>2027</v>
      </c>
      <c r="C100" t="inlineStr">
        <is>
          <t>Codiagro</t>
        </is>
      </c>
      <c r="D100" t="inlineStr">
        <is>
          <t>RESULTADO DEL EJERCICIO</t>
        </is>
      </c>
      <c r="E100" t="inlineStr">
        <is>
          <t>RESULTADO ANTES DE IMPUESTOS</t>
        </is>
      </c>
      <c r="F100" t="inlineStr">
        <is>
          <t>RESULTADO DE LA EXPLOTACION</t>
        </is>
      </c>
      <c r="G100" t="inlineStr">
        <is>
          <t>7.- Otros gastos de explotación</t>
        </is>
      </c>
      <c r="H100" t="inlineStr">
        <is>
          <t>(623) Servicios profesionales independientes</t>
        </is>
      </c>
      <c r="I100" t="inlineStr">
        <is>
          <t>623000002 - SERVICIOS CONTABLES Y FINANCIEROS</t>
        </is>
      </c>
      <c r="J100" t="inlineStr">
        <is>
          <t>-</t>
        </is>
      </c>
      <c r="K100" s="4" t="n">
        <v>-1400</v>
      </c>
      <c r="L100" s="4" t="n">
        <v>-1400</v>
      </c>
      <c r="M100" s="4" t="n">
        <v>-1400</v>
      </c>
      <c r="N100" s="4" t="n">
        <v>-1400</v>
      </c>
      <c r="O100" s="173" t="n">
        <v>-1400</v>
      </c>
      <c r="P100" s="4" t="n">
        <v>-1400</v>
      </c>
      <c r="Q100" s="4" t="n">
        <v>-1400</v>
      </c>
      <c r="R100" s="4" t="n">
        <v>-1400</v>
      </c>
      <c r="S100" s="4" t="n">
        <v>-1400</v>
      </c>
      <c r="T100" s="4" t="n">
        <v>-1400</v>
      </c>
      <c r="U100" s="4" t="n">
        <v>-1400</v>
      </c>
      <c r="V100" s="4" t="n">
        <v>-1400</v>
      </c>
      <c r="W100" s="4" t="n">
        <v>-16800</v>
      </c>
      <c r="X100" t="inlineStr">
        <is>
          <t>Servicios contables y financieros externos: reducción del 50% (-1.400,00 €/mes) aplicada en 2027 según instrucción.</t>
        </is>
      </c>
    </row>
    <row r="101">
      <c r="B101" t="n">
        <v>2027</v>
      </c>
      <c r="C101" t="inlineStr">
        <is>
          <t>Codiagro</t>
        </is>
      </c>
      <c r="D101" t="inlineStr">
        <is>
          <t>RESULTADO DEL EJERCICIO</t>
        </is>
      </c>
      <c r="E101" t="inlineStr">
        <is>
          <t>RESULTADO ANTES DE IMPUESTOS</t>
        </is>
      </c>
      <c r="F101" t="inlineStr">
        <is>
          <t>RESULTADO DE LA EXPLOTACION</t>
        </is>
      </c>
      <c r="G101" t="inlineStr">
        <is>
          <t>7.- Otros gastos de explotación</t>
        </is>
      </c>
      <c r="H101" t="inlineStr">
        <is>
          <t>(623) Servicios profesionales independientes</t>
        </is>
      </c>
      <c r="I101" t="inlineStr">
        <is>
          <t>623000003 - SERV. NOTARIOS, REGISTROS, LEGAL</t>
        </is>
      </c>
      <c r="J101" t="inlineStr">
        <is>
          <t>-</t>
        </is>
      </c>
      <c r="K101" s="4" t="n">
        <v>-550</v>
      </c>
      <c r="L101" s="4" t="n">
        <v>0</v>
      </c>
      <c r="M101" s="4" t="n">
        <v>0</v>
      </c>
      <c r="N101" s="4" t="n">
        <v>0</v>
      </c>
      <c r="O101" s="173" t="n">
        <v>0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-550</v>
      </c>
      <c r="X101" t="inlineStr">
        <is>
          <t>Presupuesto Regulatory 2027: Tasas y notaría de registros recurrentes (-550,00 € gasto corriente). Los expedientes de registro de nuevos formulados (25.900 € en Azerbaiyán, Sudáfrica y Guatemala) son activables en cta 203.</t>
        </is>
      </c>
    </row>
    <row r="102">
      <c r="B102" t="n">
        <v>2027</v>
      </c>
      <c r="C102" t="inlineStr">
        <is>
          <t>Codiagro</t>
        </is>
      </c>
      <c r="D102" t="inlineStr">
        <is>
          <t>RESULTADO DEL EJERCICIO</t>
        </is>
      </c>
      <c r="E102" t="inlineStr">
        <is>
          <t>RESULTADO ANTES DE IMPUESTOS</t>
        </is>
      </c>
      <c r="F102" t="inlineStr">
        <is>
          <t>RESULTADO DE LA EXPLOTACION</t>
        </is>
      </c>
      <c r="G102" t="inlineStr">
        <is>
          <t>7.- Otros gastos de explotación</t>
        </is>
      </c>
      <c r="H102" t="inlineStr">
        <is>
          <t>(623) Servicios profesionales independientes</t>
        </is>
      </c>
      <c r="I102" t="inlineStr">
        <is>
          <t>623000004 - GTOS. BCS. OKO</t>
        </is>
      </c>
      <c r="J102" t="inlineStr">
        <is>
          <t>-</t>
        </is>
      </c>
      <c r="K102" s="4" t="n">
        <v>-980</v>
      </c>
      <c r="L102" s="4" t="n">
        <v>-970</v>
      </c>
      <c r="M102" s="4" t="n">
        <v>-2700</v>
      </c>
      <c r="N102" s="4" t="n">
        <v>0</v>
      </c>
      <c r="O102" s="173" t="n">
        <v>-1610</v>
      </c>
      <c r="P102" s="4" t="n">
        <v>-1268</v>
      </c>
      <c r="Q102" s="4" t="n">
        <v>0</v>
      </c>
      <c r="R102" s="4" t="n">
        <v>0</v>
      </c>
      <c r="S102" s="4" t="n">
        <v>0</v>
      </c>
      <c r="T102" s="4" t="n">
        <v>-180</v>
      </c>
      <c r="U102" s="4" t="n">
        <v>-1100</v>
      </c>
      <c r="V102" s="4" t="n">
        <v>-1385</v>
      </c>
      <c r="W102" s="4" t="n">
        <v>-10193</v>
      </c>
      <c r="X102" t="inlineStr">
        <is>
          <t>Presupuesto Regulatory 2027: Auditorías y certificaciones ecológicas oficiales (BCS-Kiwa, OMRI, Ecocert) (-10.193,00 €).</t>
        </is>
      </c>
    </row>
    <row r="103">
      <c r="B103" t="n">
        <v>2027</v>
      </c>
      <c r="C103" t="inlineStr">
        <is>
          <t>Codiagro</t>
        </is>
      </c>
      <c r="D103" t="inlineStr">
        <is>
          <t>RESULTADO DEL EJERCICIO</t>
        </is>
      </c>
      <c r="E103" t="inlineStr">
        <is>
          <t>RESULTADO ANTES DE IMPUESTOS</t>
        </is>
      </c>
      <c r="F103" t="inlineStr">
        <is>
          <t>RESULTADO DE LA EXPLOTACION</t>
        </is>
      </c>
      <c r="G103" t="inlineStr">
        <is>
          <t>7.- Otros gastos de explotación</t>
        </is>
      </c>
      <c r="H103" t="inlineStr">
        <is>
          <t>(623) Servicios profesionales independientes</t>
        </is>
      </c>
      <c r="I103" t="inlineStr">
        <is>
          <t>623000005 - SERVICIOS PREST. CAMARA COMERCIO</t>
        </is>
      </c>
      <c r="J103" t="inlineStr">
        <is>
          <t>-</t>
        </is>
      </c>
      <c r="K103" s="4" t="n">
        <v>-610.5599999999999</v>
      </c>
      <c r="L103" s="4" t="n">
        <v>-610.5599999999999</v>
      </c>
      <c r="M103" s="4" t="n">
        <v>-610.5599999999999</v>
      </c>
      <c r="N103" s="4" t="n">
        <v>-610.5599999999999</v>
      </c>
      <c r="O103" s="173" t="n">
        <v>-610.5599999999999</v>
      </c>
      <c r="P103" s="4" t="n">
        <v>-610.5599999999999</v>
      </c>
      <c r="Q103" s="4" t="n">
        <v>-610.5599999999999</v>
      </c>
      <c r="R103" s="4" t="n">
        <v>-610.5599999999999</v>
      </c>
      <c r="S103" s="4" t="n">
        <v>-610.5599999999999</v>
      </c>
      <c r="T103" s="4" t="n">
        <v>-610.5599999999999</v>
      </c>
      <c r="U103" s="4" t="n">
        <v>-610.5599999999999</v>
      </c>
      <c r="V103" s="4" t="n">
        <v>-610.5599999999999</v>
      </c>
      <c r="W103" s="4" t="n">
        <v>-7326.719999999998</v>
      </c>
      <c r="X103" t="inlineStr">
        <is>
          <t>Proyección extrapolada de actividad recurrente.</t>
        </is>
      </c>
    </row>
    <row r="104">
      <c r="B104" t="n">
        <v>2027</v>
      </c>
      <c r="C104" t="inlineStr">
        <is>
          <t>Codiagro</t>
        </is>
      </c>
      <c r="D104" t="inlineStr">
        <is>
          <t>RESULTADO DEL EJERCICIO</t>
        </is>
      </c>
      <c r="E104" t="inlineStr">
        <is>
          <t>RESULTADO ANTES DE IMPUESTOS</t>
        </is>
      </c>
      <c r="F104" t="inlineStr">
        <is>
          <t>RESULTADO DE LA EXPLOTACION</t>
        </is>
      </c>
      <c r="G104" t="inlineStr">
        <is>
          <t>7.- Otros gastos de explotación</t>
        </is>
      </c>
      <c r="H104" t="inlineStr">
        <is>
          <t>(623) Servicios profesionales independientes</t>
        </is>
      </c>
      <c r="I104" t="inlineStr">
        <is>
          <t>623100002 - GASTOS MAURICIO ALISTE</t>
        </is>
      </c>
      <c r="J104" t="inlineStr">
        <is>
          <t>-</t>
        </is>
      </c>
      <c r="K104" s="4" t="n">
        <v>-4000</v>
      </c>
      <c r="L104" s="4" t="n">
        <v>-4000</v>
      </c>
      <c r="M104" s="4" t="n">
        <v>-4000</v>
      </c>
      <c r="N104" s="4" t="n">
        <v>-4000</v>
      </c>
      <c r="O104" s="173" t="n">
        <v>-4000</v>
      </c>
      <c r="P104" s="4" t="n">
        <v>-4000</v>
      </c>
      <c r="Q104" s="4" t="n">
        <v>-4000</v>
      </c>
      <c r="R104" s="4" t="n">
        <v>-4000</v>
      </c>
      <c r="S104" s="4" t="n">
        <v>-4000</v>
      </c>
      <c r="T104" s="4" t="n">
        <v>-4000</v>
      </c>
      <c r="U104" s="4" t="n">
        <v>-4000</v>
      </c>
      <c r="V104" s="4" t="n">
        <v>-9000</v>
      </c>
      <c r="W104" s="4" t="n">
        <v>-53000</v>
      </c>
      <c r="X104" t="inlineStr">
        <is>
          <t>Honorarios y gastos comerciales de zona: -4.000 €/mes + 5.000 € extra en dic (Total: -53.000 €). Sin incremento en 2027.</t>
        </is>
      </c>
    </row>
    <row r="105">
      <c r="B105" t="n">
        <v>2027</v>
      </c>
      <c r="C105" t="inlineStr">
        <is>
          <t>Codiagro</t>
        </is>
      </c>
      <c r="D105" t="inlineStr">
        <is>
          <t>RESULTADO DEL EJERCICIO</t>
        </is>
      </c>
      <c r="E105" t="inlineStr">
        <is>
          <t>RESULTADO ANTES DE IMPUESTOS</t>
        </is>
      </c>
      <c r="F105" t="inlineStr">
        <is>
          <t>RESULTADO DE LA EXPLOTACION</t>
        </is>
      </c>
      <c r="G105" t="inlineStr">
        <is>
          <t>7.- Otros gastos de explotación</t>
        </is>
      </c>
      <c r="H105" t="inlineStr">
        <is>
          <t>(623) Servicios profesionales independientes</t>
        </is>
      </c>
      <c r="I105" t="inlineStr">
        <is>
          <t>623100006 - GASTOS Y SERVICIOS AGRICOLA DEL JUCAR</t>
        </is>
      </c>
      <c r="J105" t="inlineStr">
        <is>
          <t>-</t>
        </is>
      </c>
      <c r="K105" s="4" t="n">
        <v>-500</v>
      </c>
      <c r="L105" s="4" t="n">
        <v>-500</v>
      </c>
      <c r="M105" s="4" t="n">
        <v>-500</v>
      </c>
      <c r="N105" s="4" t="n">
        <v>-500</v>
      </c>
      <c r="O105" s="173" t="n">
        <v>-500</v>
      </c>
      <c r="P105" s="4" t="n">
        <v>-500</v>
      </c>
      <c r="Q105" s="4" t="n">
        <v>-500</v>
      </c>
      <c r="R105" s="4" t="n">
        <v>-500</v>
      </c>
      <c r="S105" s="4" t="n">
        <v>-500</v>
      </c>
      <c r="T105" s="4" t="n">
        <v>-500</v>
      </c>
      <c r="U105" s="4" t="n">
        <v>-500</v>
      </c>
      <c r="V105" s="4" t="n">
        <v>-30500</v>
      </c>
      <c r="W105" s="4" t="n">
        <v>-36000</v>
      </c>
      <c r="X105" t="inlineStr">
        <is>
          <t>Dotación mensual comercial: -500 €/mes + 30.000 € extraordinarios en dic (Total: -36.000 €). Sin incremento en 2027.</t>
        </is>
      </c>
    </row>
    <row r="106">
      <c r="B106" t="n">
        <v>2027</v>
      </c>
      <c r="C106" t="inlineStr">
        <is>
          <t>Codiagro</t>
        </is>
      </c>
      <c r="D106" t="inlineStr">
        <is>
          <t>RESULTADO DEL EJERCICIO</t>
        </is>
      </c>
      <c r="E106" t="inlineStr">
        <is>
          <t>RESULTADO ANTES DE IMPUESTOS</t>
        </is>
      </c>
      <c r="F106" t="inlineStr">
        <is>
          <t>RESULTADO DE LA EXPLOTACION</t>
        </is>
      </c>
      <c r="G106" t="inlineStr">
        <is>
          <t>7.- Otros gastos de explotación</t>
        </is>
      </c>
      <c r="H106" t="inlineStr">
        <is>
          <t>(623) Servicios profesionales independientes</t>
        </is>
      </c>
      <c r="I106" t="inlineStr">
        <is>
          <t>623100007 - GASTOS Y SUELDO MEHMET CILOGLU</t>
        </is>
      </c>
      <c r="J106" t="inlineStr">
        <is>
          <t>-</t>
        </is>
      </c>
      <c r="K106" s="4" t="n">
        <v>-6000</v>
      </c>
      <c r="L106" s="4" t="n">
        <v>-6000</v>
      </c>
      <c r="M106" s="4" t="n">
        <v>-6000</v>
      </c>
      <c r="N106" s="4" t="n">
        <v>-6000</v>
      </c>
      <c r="O106" s="173" t="n">
        <v>-6000</v>
      </c>
      <c r="P106" s="4" t="n">
        <v>-6000</v>
      </c>
      <c r="Q106" s="4" t="n">
        <v>-6000</v>
      </c>
      <c r="R106" s="4" t="n">
        <v>-6000</v>
      </c>
      <c r="S106" s="4" t="n">
        <v>-6000</v>
      </c>
      <c r="T106" s="4" t="n">
        <v>-6000</v>
      </c>
      <c r="U106" s="4" t="n">
        <v>-6000</v>
      </c>
      <c r="V106" s="4" t="n">
        <v>-106000</v>
      </c>
      <c r="W106" s="4" t="n">
        <v>-172000</v>
      </c>
      <c r="X106" t="inlineStr">
        <is>
          <t>Gestión comercial Mehmet: -6.000 €/mes + 100.000 € extraordinarios en dic (Total: -172.000 €). Sin incremento en 2027.</t>
        </is>
      </c>
    </row>
    <row r="107">
      <c r="B107" t="n">
        <v>2027</v>
      </c>
      <c r="C107" t="inlineStr">
        <is>
          <t>Codiagro</t>
        </is>
      </c>
      <c r="D107" t="inlineStr">
        <is>
          <t>RESULTADO DEL EJERCICIO</t>
        </is>
      </c>
      <c r="E107" t="inlineStr">
        <is>
          <t>RESULTADO ANTES DE IMPUESTOS</t>
        </is>
      </c>
      <c r="F107" t="inlineStr">
        <is>
          <t>RESULTADO DE LA EXPLOTACION</t>
        </is>
      </c>
      <c r="G107" t="inlineStr">
        <is>
          <t>7.- Otros gastos de explotación</t>
        </is>
      </c>
      <c r="H107" t="inlineStr">
        <is>
          <t>(623) Servicios profesionales independientes</t>
        </is>
      </c>
      <c r="I107" t="inlineStr">
        <is>
          <t>623100008 - COMISIONES KAMAL KEHAL</t>
        </is>
      </c>
      <c r="J107" t="inlineStr">
        <is>
          <t>-</t>
        </is>
      </c>
      <c r="K107" s="4" t="n">
        <v>-283.21</v>
      </c>
      <c r="L107" s="4" t="n">
        <v>-283.21</v>
      </c>
      <c r="M107" s="4" t="n">
        <v>-283.21</v>
      </c>
      <c r="N107" s="4" t="n">
        <v>-283.21</v>
      </c>
      <c r="O107" s="173" t="n">
        <v>-283.21</v>
      </c>
      <c r="P107" s="4" t="n">
        <v>-283.21</v>
      </c>
      <c r="Q107" s="4" t="n">
        <v>-283.21</v>
      </c>
      <c r="R107" s="4" t="n">
        <v>-283.21</v>
      </c>
      <c r="S107" s="4" t="n">
        <v>-283.21</v>
      </c>
      <c r="T107" s="4" t="n">
        <v>-283.21</v>
      </c>
      <c r="U107" s="4" t="n">
        <v>-283.21</v>
      </c>
      <c r="V107" s="4" t="n">
        <v>-283.21</v>
      </c>
      <c r="W107" s="4" t="n">
        <v>-3398.52</v>
      </c>
      <c r="X107" t="inlineStr">
        <is>
          <t>Comisiones Kamal Kehal: presupuestada en 2027 la misma cantidad anual real del 2026 (-3.398,55 €/año, -283,21 €/mes).</t>
        </is>
      </c>
    </row>
    <row r="108">
      <c r="B108" t="n">
        <v>2027</v>
      </c>
      <c r="C108" t="inlineStr">
        <is>
          <t>Codiagro</t>
        </is>
      </c>
      <c r="D108" t="inlineStr">
        <is>
          <t>RESULTADO DEL EJERCICIO</t>
        </is>
      </c>
      <c r="E108" t="inlineStr">
        <is>
          <t>RESULTADO ANTES DE IMPUESTOS</t>
        </is>
      </c>
      <c r="F108" t="inlineStr">
        <is>
          <t>RESULTADO DE LA EXPLOTACION</t>
        </is>
      </c>
      <c r="G108" t="inlineStr">
        <is>
          <t>7.- Otros gastos de explotación</t>
        </is>
      </c>
      <c r="H108" t="inlineStr">
        <is>
          <t>(623) Servicios profesionales independientes</t>
        </is>
      </c>
      <c r="I108" t="inlineStr">
        <is>
          <t>623100009 - COMISIONES ABEL SALAZAR</t>
        </is>
      </c>
      <c r="J108" t="inlineStr">
        <is>
          <t>-</t>
        </is>
      </c>
      <c r="K108" s="4" t="n">
        <v>0</v>
      </c>
      <c r="L108" s="4" t="n">
        <v>0</v>
      </c>
      <c r="M108" s="4" t="n">
        <v>0</v>
      </c>
      <c r="N108" s="4" t="n">
        <v>0</v>
      </c>
      <c r="O108" s="173" t="n">
        <v>0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t="inlineStr">
        <is>
          <t>Sin dotación presupuestada en 2027.</t>
        </is>
      </c>
    </row>
    <row r="109">
      <c r="B109" t="n">
        <v>2027</v>
      </c>
      <c r="C109" t="inlineStr">
        <is>
          <t>Codiagro</t>
        </is>
      </c>
      <c r="D109" t="inlineStr">
        <is>
          <t>RESULTADO DEL EJERCICIO</t>
        </is>
      </c>
      <c r="E109" t="inlineStr">
        <is>
          <t>RESULTADO ANTES DE IMPUESTOS</t>
        </is>
      </c>
      <c r="F109" t="inlineStr">
        <is>
          <t>RESULTADO DE LA EXPLOTACION</t>
        </is>
      </c>
      <c r="G109" t="inlineStr">
        <is>
          <t>7.- Otros gastos de explotación</t>
        </is>
      </c>
      <c r="H109" t="inlineStr">
        <is>
          <t>(623) Servicios profesionales independientes</t>
        </is>
      </c>
      <c r="I109" t="inlineStr">
        <is>
          <t>623200001 - GASTOS MARCAS EN ESPAÑA</t>
        </is>
      </c>
      <c r="J109" t="inlineStr">
        <is>
          <t>-</t>
        </is>
      </c>
      <c r="K109" s="4" t="n">
        <v>0</v>
      </c>
      <c r="L109" s="4" t="n">
        <v>0</v>
      </c>
      <c r="M109" s="4" t="n">
        <v>0</v>
      </c>
      <c r="N109" s="4" t="n">
        <v>0</v>
      </c>
      <c r="O109" s="173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t="inlineStr">
        <is>
          <t>Sin dotación individual; centralizado en cuenta 623200017.</t>
        </is>
      </c>
    </row>
    <row r="110">
      <c r="B110" t="n">
        <v>2027</v>
      </c>
      <c r="C110" t="inlineStr">
        <is>
          <t>Codiagro</t>
        </is>
      </c>
      <c r="D110" t="inlineStr">
        <is>
          <t>RESULTADO DEL EJERCICIO</t>
        </is>
      </c>
      <c r="E110" t="inlineStr">
        <is>
          <t>RESULTADO ANTES DE IMPUESTOS</t>
        </is>
      </c>
      <c r="F110" t="inlineStr">
        <is>
          <t>RESULTADO DE LA EXPLOTACION</t>
        </is>
      </c>
      <c r="G110" t="inlineStr">
        <is>
          <t>7.- Otros gastos de explotación</t>
        </is>
      </c>
      <c r="H110" t="inlineStr">
        <is>
          <t>(623) Servicios profesionales independientes</t>
        </is>
      </c>
      <c r="I110" t="inlineStr">
        <is>
          <t>623200005 - GASTOS MARCAS CHILE</t>
        </is>
      </c>
      <c r="J110" t="inlineStr">
        <is>
          <t>-</t>
        </is>
      </c>
      <c r="K110" s="4" t="n">
        <v>0</v>
      </c>
      <c r="L110" s="4" t="n">
        <v>0</v>
      </c>
      <c r="M110" s="4" t="n">
        <v>0</v>
      </c>
      <c r="N110" s="4" t="n">
        <v>0</v>
      </c>
      <c r="O110" s="173" t="n">
        <v>0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t="inlineStr">
        <is>
          <t>Sin dotación individual; centralizado en cuenta 623200017.</t>
        </is>
      </c>
    </row>
    <row r="111">
      <c r="B111" t="n">
        <v>2027</v>
      </c>
      <c r="C111" t="inlineStr">
        <is>
          <t>Codiagro</t>
        </is>
      </c>
      <c r="D111" t="inlineStr">
        <is>
          <t>RESULTADO DEL EJERCICIO</t>
        </is>
      </c>
      <c r="E111" t="inlineStr">
        <is>
          <t>RESULTADO ANTES DE IMPUESTOS</t>
        </is>
      </c>
      <c r="F111" t="inlineStr">
        <is>
          <t>RESULTADO DE LA EXPLOTACION</t>
        </is>
      </c>
      <c r="G111" t="inlineStr">
        <is>
          <t>7.- Otros gastos de explotación</t>
        </is>
      </c>
      <c r="H111" t="inlineStr">
        <is>
          <t>(623) Servicios profesionales independientes</t>
        </is>
      </c>
      <c r="I111" t="inlineStr">
        <is>
          <t>623200006 - MARCAS UNION EUROPEA</t>
        </is>
      </c>
      <c r="J111" t="inlineStr">
        <is>
          <t>-</t>
        </is>
      </c>
      <c r="K111" s="4" t="n">
        <v>0</v>
      </c>
      <c r="L111" s="4" t="n">
        <v>0</v>
      </c>
      <c r="M111" s="4" t="n">
        <v>0</v>
      </c>
      <c r="N111" s="4" t="n">
        <v>0</v>
      </c>
      <c r="O111" s="173" t="n">
        <v>0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t="inlineStr">
        <is>
          <t>Sin dotación individual; centralizado en cuenta 623200017.</t>
        </is>
      </c>
    </row>
    <row r="112">
      <c r="B112" t="n">
        <v>2027</v>
      </c>
      <c r="C112" t="inlineStr">
        <is>
          <t>Codiagro</t>
        </is>
      </c>
      <c r="D112" t="inlineStr">
        <is>
          <t>RESULTADO DEL EJERCICIO</t>
        </is>
      </c>
      <c r="E112" t="inlineStr">
        <is>
          <t>RESULTADO ANTES DE IMPUESTOS</t>
        </is>
      </c>
      <c r="F112" t="inlineStr">
        <is>
          <t>RESULTADO DE LA EXPLOTACION</t>
        </is>
      </c>
      <c r="G112" t="inlineStr">
        <is>
          <t>7.- Otros gastos de explotación</t>
        </is>
      </c>
      <c r="H112" t="inlineStr">
        <is>
          <t>(623) Servicios profesionales independientes</t>
        </is>
      </c>
      <c r="I112" t="inlineStr">
        <is>
          <t>623200011 - GASTOS MARCAS COLOMBIA</t>
        </is>
      </c>
      <c r="J112" t="inlineStr">
        <is>
          <t>-</t>
        </is>
      </c>
      <c r="K112" s="4" t="n">
        <v>0</v>
      </c>
      <c r="L112" s="4" t="n">
        <v>0</v>
      </c>
      <c r="M112" s="4" t="n">
        <v>0</v>
      </c>
      <c r="N112" s="4" t="n">
        <v>0</v>
      </c>
      <c r="O112" s="173" t="n">
        <v>0</v>
      </c>
      <c r="P112" s="4" t="n">
        <v>0</v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t="inlineStr">
        <is>
          <t>Sin dotación individual; centralizado en cuenta 623200017.</t>
        </is>
      </c>
    </row>
    <row r="113">
      <c r="B113" t="n">
        <v>2027</v>
      </c>
      <c r="C113" t="inlineStr">
        <is>
          <t>Codiagro</t>
        </is>
      </c>
      <c r="D113" t="inlineStr">
        <is>
          <t>RESULTADO DEL EJERCICIO</t>
        </is>
      </c>
      <c r="E113" t="inlineStr">
        <is>
          <t>RESULTADO ANTES DE IMPUESTOS</t>
        </is>
      </c>
      <c r="F113" t="inlineStr">
        <is>
          <t>RESULTADO DE LA EXPLOTACION</t>
        </is>
      </c>
      <c r="G113" t="inlineStr">
        <is>
          <t>7.- Otros gastos de explotación</t>
        </is>
      </c>
      <c r="H113" t="inlineStr">
        <is>
          <t>(623) Servicios profesionales independientes</t>
        </is>
      </c>
      <c r="I113" t="inlineStr">
        <is>
          <t>623200021 - GASTOS MARCAS GUATEMALA</t>
        </is>
      </c>
      <c r="J113" t="inlineStr">
        <is>
          <t>-</t>
        </is>
      </c>
      <c r="K113" s="4" t="n">
        <v>0</v>
      </c>
      <c r="L113" s="4" t="n">
        <v>0</v>
      </c>
      <c r="M113" s="4" t="n">
        <v>0</v>
      </c>
      <c r="N113" s="4" t="n">
        <v>0</v>
      </c>
      <c r="O113" s="173" t="n">
        <v>0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t="inlineStr">
        <is>
          <t>Sin dotación individual; centralizado en cuenta 623200017.</t>
        </is>
      </c>
    </row>
    <row r="114">
      <c r="B114" t="n">
        <v>2027</v>
      </c>
      <c r="C114" t="inlineStr">
        <is>
          <t>Codiagro</t>
        </is>
      </c>
      <c r="D114" t="inlineStr">
        <is>
          <t>RESULTADO DEL EJERCICIO</t>
        </is>
      </c>
      <c r="E114" t="inlineStr">
        <is>
          <t>RESULTADO ANTES DE IMPUESTOS</t>
        </is>
      </c>
      <c r="F114" t="inlineStr">
        <is>
          <t>RESULTADO DE LA EXPLOTACION</t>
        </is>
      </c>
      <c r="G114" t="inlineStr">
        <is>
          <t>7.- Otros gastos de explotación</t>
        </is>
      </c>
      <c r="H114" t="inlineStr">
        <is>
          <t>(623) Servicios profesionales independientes</t>
        </is>
      </c>
      <c r="I114" t="inlineStr">
        <is>
          <t>623200023 - GASTOS MARCAS ARGELIA</t>
        </is>
      </c>
      <c r="J114" t="inlineStr">
        <is>
          <t>-</t>
        </is>
      </c>
      <c r="K114" s="4" t="n">
        <v>0</v>
      </c>
      <c r="L114" s="4" t="n">
        <v>0</v>
      </c>
      <c r="M114" s="4" t="n">
        <v>0</v>
      </c>
      <c r="N114" s="4" t="n">
        <v>0</v>
      </c>
      <c r="O114" s="173" t="n">
        <v>0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t="inlineStr">
        <is>
          <t>Sin dotación individual; centralizado en cuenta 623200017.</t>
        </is>
      </c>
    </row>
    <row r="115">
      <c r="B115" t="n">
        <v>2027</v>
      </c>
      <c r="C115" t="inlineStr">
        <is>
          <t>Codiagro</t>
        </is>
      </c>
      <c r="D115" t="inlineStr">
        <is>
          <t>RESULTADO DEL EJERCICIO</t>
        </is>
      </c>
      <c r="E115" t="inlineStr">
        <is>
          <t>RESULTADO ANTES DE IMPUESTOS</t>
        </is>
      </c>
      <c r="F115" t="inlineStr">
        <is>
          <t>RESULTADO DE LA EXPLOTACION</t>
        </is>
      </c>
      <c r="G115" t="inlineStr">
        <is>
          <t>7.- Otros gastos de explotación</t>
        </is>
      </c>
      <c r="H115" t="inlineStr">
        <is>
          <t>(623) Servicios profesionales independientes</t>
        </is>
      </c>
      <c r="I115" t="inlineStr">
        <is>
          <t>623200002 - GASTOS MARCAS MEXICO</t>
        </is>
      </c>
      <c r="J115" t="inlineStr">
        <is>
          <t>-</t>
        </is>
      </c>
      <c r="K115" s="4" t="n">
        <v>0</v>
      </c>
      <c r="L115" s="4" t="n">
        <v>0</v>
      </c>
      <c r="M115" s="4" t="n">
        <v>0</v>
      </c>
      <c r="N115" s="4" t="n">
        <v>0</v>
      </c>
      <c r="O115" s="173" t="n">
        <v>0</v>
      </c>
      <c r="P115" s="4" t="n">
        <v>0</v>
      </c>
      <c r="Q115" s="4" t="n">
        <v>0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t="inlineStr">
        <is>
          <t>Sin dotación individual; centralizado en cuenta 623200017.</t>
        </is>
      </c>
    </row>
    <row r="116">
      <c r="B116" t="n">
        <v>2027</v>
      </c>
      <c r="C116" t="inlineStr">
        <is>
          <t>Codiagro</t>
        </is>
      </c>
      <c r="D116" t="inlineStr">
        <is>
          <t>RESULTADO DEL EJERCICIO</t>
        </is>
      </c>
      <c r="E116" t="inlineStr">
        <is>
          <t>RESULTADO ANTES DE IMPUESTOS</t>
        </is>
      </c>
      <c r="F116" t="inlineStr">
        <is>
          <t>RESULTADO DE LA EXPLOTACION</t>
        </is>
      </c>
      <c r="G116" t="inlineStr">
        <is>
          <t>7.- Otros gastos de explotación</t>
        </is>
      </c>
      <c r="H116" t="inlineStr">
        <is>
          <t>(623) Servicios profesionales independientes</t>
        </is>
      </c>
      <c r="I116" t="inlineStr">
        <is>
          <t>623200033 - GASTOS MARCAS MUNDIAL</t>
        </is>
      </c>
      <c r="J116" t="inlineStr">
        <is>
          <t>-</t>
        </is>
      </c>
      <c r="K116" s="4" t="n">
        <v>0</v>
      </c>
      <c r="L116" s="4" t="n">
        <v>0</v>
      </c>
      <c r="M116" s="4" t="n">
        <v>0</v>
      </c>
      <c r="N116" s="4" t="n">
        <v>0</v>
      </c>
      <c r="O116" s="173" t="n">
        <v>0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t="inlineStr">
        <is>
          <t>Sin dotación individual; centralizado en cuenta 623200017.</t>
        </is>
      </c>
    </row>
    <row r="117">
      <c r="B117" t="n">
        <v>2027</v>
      </c>
      <c r="C117" t="inlineStr">
        <is>
          <t>Codiagro</t>
        </is>
      </c>
      <c r="D117" t="inlineStr">
        <is>
          <t>RESULTADO DEL EJERCICIO</t>
        </is>
      </c>
      <c r="E117" t="inlineStr">
        <is>
          <t>RESULTADO ANTES DE IMPUESTOS</t>
        </is>
      </c>
      <c r="F117" t="inlineStr">
        <is>
          <t>RESULTADO DE LA EXPLOTACION</t>
        </is>
      </c>
      <c r="G117" t="inlineStr">
        <is>
          <t>7.- Otros gastos de explotación</t>
        </is>
      </c>
      <c r="H117" t="inlineStr">
        <is>
          <t>(623) Servicios profesionales independientes</t>
        </is>
      </c>
      <c r="I117" t="inlineStr">
        <is>
          <t>623200008 - GASTOS MARCAS EGIPTO</t>
        </is>
      </c>
      <c r="J117" t="inlineStr">
        <is>
          <t>-</t>
        </is>
      </c>
      <c r="K117" s="4" t="n">
        <v>0</v>
      </c>
      <c r="L117" s="4" t="n">
        <v>0</v>
      </c>
      <c r="M117" s="4" t="n">
        <v>0</v>
      </c>
      <c r="N117" s="4" t="n">
        <v>0</v>
      </c>
      <c r="O117" s="173" t="n">
        <v>0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t="inlineStr">
        <is>
          <t>Sin dotación individual; centralizado en cuenta 623200017.</t>
        </is>
      </c>
    </row>
    <row r="118">
      <c r="B118" t="n">
        <v>2027</v>
      </c>
      <c r="C118" t="inlineStr">
        <is>
          <t>Codiagro</t>
        </is>
      </c>
      <c r="D118" t="inlineStr">
        <is>
          <t>RESULTADO DEL EJERCICIO</t>
        </is>
      </c>
      <c r="E118" t="inlineStr">
        <is>
          <t>RESULTADO ANTES DE IMPUESTOS</t>
        </is>
      </c>
      <c r="F118" t="inlineStr">
        <is>
          <t>RESULTADO DE LA EXPLOTACION</t>
        </is>
      </c>
      <c r="G118" t="inlineStr">
        <is>
          <t>7.- Otros gastos de explotación</t>
        </is>
      </c>
      <c r="H118" t="inlineStr">
        <is>
          <t>(623) Servicios profesionales independientes</t>
        </is>
      </c>
      <c r="I118" t="inlineStr">
        <is>
          <t>623200009 - GASTOS MARCAS MARRUECOS</t>
        </is>
      </c>
      <c r="J118" t="inlineStr">
        <is>
          <t>-</t>
        </is>
      </c>
      <c r="K118" s="4" t="n">
        <v>0</v>
      </c>
      <c r="L118" s="4" t="n">
        <v>0</v>
      </c>
      <c r="M118" s="4" t="n">
        <v>0</v>
      </c>
      <c r="N118" s="4" t="n">
        <v>0</v>
      </c>
      <c r="O118" s="173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t="inlineStr">
        <is>
          <t>Sin dotación individual; centralizado en cuenta 623200017.</t>
        </is>
      </c>
    </row>
    <row r="119">
      <c r="B119" t="n">
        <v>2027</v>
      </c>
      <c r="C119" t="inlineStr">
        <is>
          <t>Codiagro</t>
        </is>
      </c>
      <c r="D119" t="inlineStr">
        <is>
          <t>RESULTADO DEL EJERCICIO</t>
        </is>
      </c>
      <c r="E119" t="inlineStr">
        <is>
          <t>RESULTADO ANTES DE IMPUESTOS</t>
        </is>
      </c>
      <c r="F119" t="inlineStr">
        <is>
          <t>RESULTADO DE LA EXPLOTACION</t>
        </is>
      </c>
      <c r="G119" t="inlineStr">
        <is>
          <t>7.- Otros gastos de explotación</t>
        </is>
      </c>
      <c r="H119" t="inlineStr">
        <is>
          <t>(623) Servicios profesionales independientes</t>
        </is>
      </c>
      <c r="I119" t="inlineStr">
        <is>
          <t>623200010 - GASTOS MARCAS TURQUIA</t>
        </is>
      </c>
      <c r="J119" t="inlineStr">
        <is>
          <t>-</t>
        </is>
      </c>
      <c r="K119" s="4" t="n">
        <v>0</v>
      </c>
      <c r="L119" s="4" t="n">
        <v>0</v>
      </c>
      <c r="M119" s="4" t="n">
        <v>0</v>
      </c>
      <c r="N119" s="4" t="n">
        <v>0</v>
      </c>
      <c r="O119" s="173" t="n">
        <v>0</v>
      </c>
      <c r="P119" s="4" t="n">
        <v>0</v>
      </c>
      <c r="Q119" s="4" t="n">
        <v>0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t="inlineStr">
        <is>
          <t>Sin dotación individual; centralizado en cuenta 623200017.</t>
        </is>
      </c>
    </row>
    <row r="120">
      <c r="B120" t="n">
        <v>2027</v>
      </c>
      <c r="C120" t="inlineStr">
        <is>
          <t>Codiagro</t>
        </is>
      </c>
      <c r="D120" t="inlineStr">
        <is>
          <t>RESULTADO DEL EJERCICIO</t>
        </is>
      </c>
      <c r="E120" t="inlineStr">
        <is>
          <t>RESULTADO ANTES DE IMPUESTOS</t>
        </is>
      </c>
      <c r="F120" t="inlineStr">
        <is>
          <t>RESULTADO DE LA EXPLOTACION</t>
        </is>
      </c>
      <c r="G120" t="inlineStr">
        <is>
          <t>7.- Otros gastos de explotación</t>
        </is>
      </c>
      <c r="H120" t="inlineStr">
        <is>
          <t>(623) Servicios profesionales independientes</t>
        </is>
      </c>
      <c r="I120" t="inlineStr">
        <is>
          <t>623200016 - GASTOS MARCAS ECUADOR</t>
        </is>
      </c>
      <c r="J120" t="inlineStr">
        <is>
          <t>-</t>
        </is>
      </c>
      <c r="K120" s="4" t="n">
        <v>0</v>
      </c>
      <c r="L120" s="4" t="n">
        <v>0</v>
      </c>
      <c r="M120" s="4" t="n">
        <v>0</v>
      </c>
      <c r="N120" s="4" t="n">
        <v>0</v>
      </c>
      <c r="O120" s="173" t="n">
        <v>0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t="inlineStr">
        <is>
          <t>Sin dotación individual; centralizado en cuenta 623200017.</t>
        </is>
      </c>
    </row>
    <row r="121">
      <c r="B121" t="n">
        <v>2027</v>
      </c>
      <c r="C121" t="inlineStr">
        <is>
          <t>Codiagro</t>
        </is>
      </c>
      <c r="D121" t="inlineStr">
        <is>
          <t>RESULTADO DEL EJERCICIO</t>
        </is>
      </c>
      <c r="E121" t="inlineStr">
        <is>
          <t>RESULTADO ANTES DE IMPUESTOS</t>
        </is>
      </c>
      <c r="F121" t="inlineStr">
        <is>
          <t>RESULTADO DE LA EXPLOTACION</t>
        </is>
      </c>
      <c r="G121" t="inlineStr">
        <is>
          <t>7.- Otros gastos de explotación</t>
        </is>
      </c>
      <c r="H121" t="inlineStr">
        <is>
          <t>(623) Servicios profesionales independientes</t>
        </is>
      </c>
      <c r="I121" t="inlineStr">
        <is>
          <t>623200017 GASTOS MARCAS EL SALVADOR</t>
        </is>
      </c>
      <c r="J121" t="inlineStr">
        <is>
          <t>-</t>
        </is>
      </c>
      <c r="K121" s="4" t="n">
        <v>0</v>
      </c>
      <c r="L121" s="4" t="n">
        <v>0</v>
      </c>
      <c r="M121" s="4" t="n">
        <v>0</v>
      </c>
      <c r="N121" s="4" t="n">
        <v>0</v>
      </c>
      <c r="O121" s="173" t="n">
        <v>0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t="inlineStr">
        <is>
          <t>Sin dotación individual; centralizado en cuenta 623200017.</t>
        </is>
      </c>
    </row>
    <row r="122">
      <c r="B122" t="n">
        <v>2027</v>
      </c>
      <c r="C122" t="inlineStr">
        <is>
          <t>Codiagro</t>
        </is>
      </c>
      <c r="D122" t="inlineStr">
        <is>
          <t>RESULTADO DEL EJERCICIO</t>
        </is>
      </c>
      <c r="E122" t="inlineStr">
        <is>
          <t>RESULTADO ANTES DE IMPUESTOS</t>
        </is>
      </c>
      <c r="F122" t="inlineStr">
        <is>
          <t>RESULTADO DE LA EXPLOTACION</t>
        </is>
      </c>
      <c r="G122" t="inlineStr">
        <is>
          <t>7.- Otros gastos de explotación</t>
        </is>
      </c>
      <c r="H122" t="inlineStr">
        <is>
          <t>(623) Servicios profesionales independientes</t>
        </is>
      </c>
      <c r="I122" t="inlineStr">
        <is>
          <t>623200020 - GASTOS MARCAS TUNEZ</t>
        </is>
      </c>
      <c r="J122" t="inlineStr">
        <is>
          <t>-</t>
        </is>
      </c>
      <c r="K122" s="4" t="n">
        <v>0</v>
      </c>
      <c r="L122" s="4" t="n">
        <v>0</v>
      </c>
      <c r="M122" s="4" t="n">
        <v>0</v>
      </c>
      <c r="N122" s="4" t="n">
        <v>0</v>
      </c>
      <c r="O122" s="173" t="n">
        <v>0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t="inlineStr">
        <is>
          <t>Sin dotación individual; centralizado en cuenta 623200017.</t>
        </is>
      </c>
    </row>
    <row r="123">
      <c r="B123" t="n">
        <v>2027</v>
      </c>
      <c r="C123" t="inlineStr">
        <is>
          <t>Codiagro</t>
        </is>
      </c>
      <c r="D123" t="inlineStr">
        <is>
          <t>RESULTADO DEL EJERCICIO</t>
        </is>
      </c>
      <c r="E123" t="inlineStr">
        <is>
          <t>RESULTADO ANTES DE IMPUESTOS</t>
        </is>
      </c>
      <c r="F123" t="inlineStr">
        <is>
          <t>RESULTADO DE LA EXPLOTACION</t>
        </is>
      </c>
      <c r="G123" t="inlineStr">
        <is>
          <t>7.- Otros gastos de explotación</t>
        </is>
      </c>
      <c r="H123" t="inlineStr">
        <is>
          <t>(623) Servicios profesionales independientes</t>
        </is>
      </c>
      <c r="I123" t="inlineStr">
        <is>
          <t>623200022 - GASTOS MARCAS BOLIVIA</t>
        </is>
      </c>
      <c r="J123" t="inlineStr">
        <is>
          <t>-</t>
        </is>
      </c>
      <c r="K123" s="4" t="n">
        <v>0</v>
      </c>
      <c r="L123" s="4" t="n">
        <v>0</v>
      </c>
      <c r="M123" s="4" t="n">
        <v>0</v>
      </c>
      <c r="N123" s="4" t="n">
        <v>0</v>
      </c>
      <c r="O123" s="173" t="n">
        <v>0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t="inlineStr">
        <is>
          <t>Sin dotación individual; centralizado en cuenta 623200017.</t>
        </is>
      </c>
    </row>
    <row r="124">
      <c r="B124" t="n">
        <v>2027</v>
      </c>
      <c r="C124" t="inlineStr">
        <is>
          <t>Codiagro</t>
        </is>
      </c>
      <c r="D124" t="inlineStr">
        <is>
          <t>RESULTADO DEL EJERCICIO</t>
        </is>
      </c>
      <c r="E124" t="inlineStr">
        <is>
          <t>RESULTADO ANTES DE IMPUESTOS</t>
        </is>
      </c>
      <c r="F124" t="inlineStr">
        <is>
          <t>RESULTADO DE LA EXPLOTACION</t>
        </is>
      </c>
      <c r="G124" t="inlineStr">
        <is>
          <t>7.- Otros gastos de explotación</t>
        </is>
      </c>
      <c r="H124" t="inlineStr">
        <is>
          <t>(623) Servicios profesionales independientes</t>
        </is>
      </c>
      <c r="I124" t="inlineStr">
        <is>
          <t>623200024 - GASTOS MARCAS INTERNACIONALES</t>
        </is>
      </c>
      <c r="J124" t="inlineStr">
        <is>
          <t>-</t>
        </is>
      </c>
      <c r="K124" s="4" t="n">
        <v>0</v>
      </c>
      <c r="L124" s="4" t="n">
        <v>0</v>
      </c>
      <c r="M124" s="4" t="n">
        <v>0</v>
      </c>
      <c r="N124" s="4" t="n">
        <v>0</v>
      </c>
      <c r="O124" s="173" t="n">
        <v>0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t="inlineStr">
        <is>
          <t>Sin dotación individual; centralizado en cuenta 623200017.</t>
        </is>
      </c>
    </row>
    <row r="125">
      <c r="B125" t="n">
        <v>2027</v>
      </c>
      <c r="C125" t="inlineStr">
        <is>
          <t>Codiagro</t>
        </is>
      </c>
      <c r="D125" t="inlineStr">
        <is>
          <t>RESULTADO DEL EJERCICIO</t>
        </is>
      </c>
      <c r="E125" t="inlineStr">
        <is>
          <t>RESULTADO ANTES DE IMPUESTOS</t>
        </is>
      </c>
      <c r="F125" t="inlineStr">
        <is>
          <t>RESULTADO DE LA EXPLOTACION</t>
        </is>
      </c>
      <c r="G125" t="inlineStr">
        <is>
          <t>7.- Otros gastos de explotación</t>
        </is>
      </c>
      <c r="H125" t="inlineStr">
        <is>
          <t>(623) Servicios profesionales independientes</t>
        </is>
      </c>
      <c r="I125" t="inlineStr">
        <is>
          <t>623200029 - GASTOS MARCAS GEORGIA</t>
        </is>
      </c>
      <c r="J125" t="inlineStr">
        <is>
          <t>-</t>
        </is>
      </c>
      <c r="K125" s="4" t="n">
        <v>0</v>
      </c>
      <c r="L125" s="4" t="n">
        <v>0</v>
      </c>
      <c r="M125" s="4" t="n">
        <v>0</v>
      </c>
      <c r="N125" s="4" t="n">
        <v>0</v>
      </c>
      <c r="O125" s="173" t="n">
        <v>0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t="inlineStr">
        <is>
          <t>Sin dotación individual; centralizado en cuenta 623200017.</t>
        </is>
      </c>
    </row>
    <row r="126">
      <c r="B126" t="n">
        <v>2027</v>
      </c>
      <c r="C126" t="inlineStr">
        <is>
          <t>Codiagro</t>
        </is>
      </c>
      <c r="D126" t="inlineStr">
        <is>
          <t>RESULTADO DEL EJERCICIO</t>
        </is>
      </c>
      <c r="E126" t="inlineStr">
        <is>
          <t>RESULTADO ANTES DE IMPUESTOS</t>
        </is>
      </c>
      <c r="F126" t="inlineStr">
        <is>
          <t>RESULTADO DE LA EXPLOTACION</t>
        </is>
      </c>
      <c r="G126" t="inlineStr">
        <is>
          <t>7.- Otros gastos de explotación</t>
        </is>
      </c>
      <c r="H126" t="inlineStr">
        <is>
          <t>(623) Servicios profesionales independientes</t>
        </is>
      </c>
      <c r="I126" t="inlineStr">
        <is>
          <t>623200030 - GASTOS MARCAS AZERBAIYAN</t>
        </is>
      </c>
      <c r="J126" t="inlineStr">
        <is>
          <t>-</t>
        </is>
      </c>
      <c r="K126" s="4" t="n">
        <v>0</v>
      </c>
      <c r="L126" s="4" t="n">
        <v>0</v>
      </c>
      <c r="M126" s="4" t="n">
        <v>0</v>
      </c>
      <c r="N126" s="4" t="n">
        <v>0</v>
      </c>
      <c r="O126" s="173" t="n">
        <v>0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t="inlineStr">
        <is>
          <t>Sin dotación individual; centralizado en cuenta 623200017.</t>
        </is>
      </c>
    </row>
    <row r="127">
      <c r="B127" t="n">
        <v>2027</v>
      </c>
      <c r="C127" t="inlineStr">
        <is>
          <t>Codiagro</t>
        </is>
      </c>
      <c r="D127" t="inlineStr">
        <is>
          <t>RESULTADO DEL EJERCICIO</t>
        </is>
      </c>
      <c r="E127" t="inlineStr">
        <is>
          <t>RESULTADO ANTES DE IMPUESTOS</t>
        </is>
      </c>
      <c r="F127" t="inlineStr">
        <is>
          <t>RESULTADO DE LA EXPLOTACION</t>
        </is>
      </c>
      <c r="G127" t="inlineStr">
        <is>
          <t>7.- Otros gastos de explotación</t>
        </is>
      </c>
      <c r="H127" t="inlineStr">
        <is>
          <t>(623) Servicios profesionales independientes</t>
        </is>
      </c>
      <c r="I127" t="inlineStr">
        <is>
          <t>623200037 - GASTOS MARCAS ESTADOS UNIDOS</t>
        </is>
      </c>
      <c r="J127" t="inlineStr">
        <is>
          <t>-</t>
        </is>
      </c>
      <c r="K127" s="4" t="n">
        <v>0</v>
      </c>
      <c r="L127" s="4" t="n">
        <v>0</v>
      </c>
      <c r="M127" s="4" t="n">
        <v>0</v>
      </c>
      <c r="N127" s="4" t="n">
        <v>0</v>
      </c>
      <c r="O127" s="173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t="inlineStr">
        <is>
          <t>Sin dotación individual; centralizado en cuenta 623200017.</t>
        </is>
      </c>
    </row>
    <row r="128">
      <c r="B128" t="n">
        <v>2027</v>
      </c>
      <c r="C128" t="inlineStr">
        <is>
          <t>Codiagro</t>
        </is>
      </c>
      <c r="D128" t="inlineStr">
        <is>
          <t>RESULTADO DEL EJERCICIO</t>
        </is>
      </c>
      <c r="E128" t="inlineStr">
        <is>
          <t>RESULTADO ANTES DE IMPUESTOS</t>
        </is>
      </c>
      <c r="F128" t="inlineStr">
        <is>
          <t>RESULTADO DE LA EXPLOTACION</t>
        </is>
      </c>
      <c r="G128" t="inlineStr">
        <is>
          <t>7.- Otros gastos de explotación</t>
        </is>
      </c>
      <c r="H128" t="inlineStr">
        <is>
          <t>(624) Transportes ventas</t>
        </is>
      </c>
      <c r="I128" t="inlineStr">
        <is>
          <t>624000001 - TRANSPORTES NACIONAL</t>
        </is>
      </c>
      <c r="J128" t="inlineStr">
        <is>
          <t>-</t>
        </is>
      </c>
      <c r="K128" s="4" t="n">
        <v>-7016.85</v>
      </c>
      <c r="L128" s="4" t="n">
        <v>-13619.9</v>
      </c>
      <c r="M128" s="4" t="n">
        <v>-18607.54</v>
      </c>
      <c r="N128" s="4" t="n">
        <v>-22055.44</v>
      </c>
      <c r="O128" s="173" t="n">
        <v>-18645.63</v>
      </c>
      <c r="P128" s="4" t="n">
        <v>-20396.41</v>
      </c>
      <c r="Q128" s="4" t="n">
        <v>-14747.91</v>
      </c>
      <c r="R128" s="4" t="n">
        <v>-13338.45</v>
      </c>
      <c r="S128" s="4" t="n">
        <v>-7825.86</v>
      </c>
      <c r="T128" s="4" t="n">
        <v>-12700.12</v>
      </c>
      <c r="U128" s="4" t="n">
        <v>-12528.19</v>
      </c>
      <c r="V128" s="4" t="n">
        <v>-4989.85</v>
      </c>
      <c r="W128" s="4" t="n">
        <v>-166472.15</v>
      </c>
      <c r="X128" t="inlineStr">
        <is>
          <t>Presupuesto Transporte 2027: Logística nacional terrestre (Campillo) mensualizada según volumen de ventas (-166.472,15 €).</t>
        </is>
      </c>
    </row>
    <row r="129">
      <c r="B129" t="n">
        <v>2027</v>
      </c>
      <c r="C129" t="inlineStr">
        <is>
          <t>Codiagro</t>
        </is>
      </c>
      <c r="D129" t="inlineStr">
        <is>
          <t>RESULTADO DEL EJERCICIO</t>
        </is>
      </c>
      <c r="E129" t="inlineStr">
        <is>
          <t>RESULTADO ANTES DE IMPUESTOS</t>
        </is>
      </c>
      <c r="F129" t="inlineStr">
        <is>
          <t>RESULTADO DE LA EXPLOTACION</t>
        </is>
      </c>
      <c r="G129" t="inlineStr">
        <is>
          <t>7.- Otros gastos de explotación</t>
        </is>
      </c>
      <c r="H129" t="inlineStr">
        <is>
          <t>(624) Transportes ventas</t>
        </is>
      </c>
      <c r="I129" t="inlineStr">
        <is>
          <t>624000002 - TRANSPORTE INTERNACIONAL</t>
        </is>
      </c>
      <c r="J129" t="inlineStr">
        <is>
          <t>-</t>
        </is>
      </c>
      <c r="K129" s="4" t="n">
        <v>-29809.2</v>
      </c>
      <c r="L129" s="4" t="n">
        <v>-21246.7</v>
      </c>
      <c r="M129" s="4" t="n">
        <v>-19638.3</v>
      </c>
      <c r="N129" s="4" t="n">
        <v>-8004.2</v>
      </c>
      <c r="O129" s="173" t="n">
        <v>-38718.8</v>
      </c>
      <c r="P129" s="4" t="n">
        <v>-33492</v>
      </c>
      <c r="Q129" s="4" t="n">
        <v>-13212.8</v>
      </c>
      <c r="R129" s="4" t="n">
        <v>-18509.6</v>
      </c>
      <c r="S129" s="4" t="n">
        <v>-24148.9</v>
      </c>
      <c r="T129" s="4" t="n">
        <v>-23411.3</v>
      </c>
      <c r="U129" s="4" t="n">
        <v>-40650.7</v>
      </c>
      <c r="V129" s="4" t="n">
        <v>-34380.8</v>
      </c>
      <c r="W129" s="4" t="n">
        <v>-305223.3</v>
      </c>
      <c r="X129" t="inlineStr">
        <is>
          <t>Según presupuesto de transporte 2027: coste de transporte internacional de exportación (-305.223,30 €). Repercutido 1:1 en factura al cliente mediante cuenta 700001624 (impacto 0 en EBITDA).</t>
        </is>
      </c>
    </row>
    <row r="130">
      <c r="B130" t="n">
        <v>2027</v>
      </c>
      <c r="C130" t="inlineStr">
        <is>
          <t>Codiagro</t>
        </is>
      </c>
      <c r="D130" t="inlineStr">
        <is>
          <t>RESULTADO DEL EJERCICIO</t>
        </is>
      </c>
      <c r="E130" t="inlineStr">
        <is>
          <t>RESULTADO ANTES DE IMPUESTOS</t>
        </is>
      </c>
      <c r="F130" t="inlineStr">
        <is>
          <t>RESULTADO DE LA EXPLOTACION</t>
        </is>
      </c>
      <c r="G130" t="inlineStr">
        <is>
          <t>7.- Otros gastos de explotación</t>
        </is>
      </c>
      <c r="H130" t="inlineStr">
        <is>
          <t>(624) Transportes ventas</t>
        </is>
      </c>
      <c r="I130" t="inlineStr">
        <is>
          <t>624000003 - TRANSPORTES CANARIAS</t>
        </is>
      </c>
      <c r="J130" t="inlineStr">
        <is>
          <t>-</t>
        </is>
      </c>
      <c r="K130" s="4" t="n">
        <v>-6088.18</v>
      </c>
      <c r="L130" s="4" t="n">
        <v>-5367.26</v>
      </c>
      <c r="M130" s="4" t="n">
        <v>-7224.72</v>
      </c>
      <c r="N130" s="4" t="n">
        <v>-3712.04</v>
      </c>
      <c r="O130" s="173" t="n">
        <v>-14028.95</v>
      </c>
      <c r="P130" s="4" t="n">
        <v>-2584.44</v>
      </c>
      <c r="Q130" s="4" t="n">
        <v>-4588.3</v>
      </c>
      <c r="R130" s="4" t="n">
        <v>-8667.690000000001</v>
      </c>
      <c r="S130" s="4" t="n">
        <v>-2950.85</v>
      </c>
      <c r="T130" s="4" t="n">
        <v>-9635.040000000001</v>
      </c>
      <c r="U130" s="4" t="n">
        <v>-13725.16</v>
      </c>
      <c r="V130" s="4" t="n">
        <v>-625.65</v>
      </c>
      <c r="W130" s="4" t="n">
        <v>-79198.28</v>
      </c>
      <c r="X130" t="inlineStr">
        <is>
          <t>Presupuesto Transporte 2027: Logística marítima Canarias (Sealine) (-79.198,29 €).</t>
        </is>
      </c>
    </row>
    <row r="131">
      <c r="B131" t="n">
        <v>2027</v>
      </c>
      <c r="C131" t="inlineStr">
        <is>
          <t>Codiagro</t>
        </is>
      </c>
      <c r="D131" t="inlineStr">
        <is>
          <t>RESULTADO DEL EJERCICIO</t>
        </is>
      </c>
      <c r="E131" t="inlineStr">
        <is>
          <t>RESULTADO ANTES DE IMPUESTOS</t>
        </is>
      </c>
      <c r="F131" t="inlineStr">
        <is>
          <t>RESULTADO DE LA EXPLOTACION</t>
        </is>
      </c>
      <c r="G131" t="inlineStr">
        <is>
          <t>7.- Otros gastos de explotación</t>
        </is>
      </c>
      <c r="H131" t="inlineStr">
        <is>
          <t>(624) Transportes ventas</t>
        </is>
      </c>
      <c r="I131" t="inlineStr">
        <is>
          <t>624000004 - GTOS. FLETE REP. AL CLIENTE</t>
        </is>
      </c>
      <c r="J131" t="inlineStr">
        <is>
          <t>-</t>
        </is>
      </c>
      <c r="K131" s="4" t="n">
        <v>0</v>
      </c>
      <c r="L131" s="4" t="n">
        <v>0</v>
      </c>
      <c r="M131" s="4" t="n">
        <v>0</v>
      </c>
      <c r="N131" s="4" t="n">
        <v>0</v>
      </c>
      <c r="O131" s="173" t="n">
        <v>0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t="inlineStr">
        <is>
          <t>REPERCUTIDO AL CLIENTE (0,00 €): Fletes marítimos y aéreos facturados directamente a clientes sin coste operativo para Codiagro.</t>
        </is>
      </c>
    </row>
    <row r="132">
      <c r="B132" t="n">
        <v>2027</v>
      </c>
      <c r="C132" t="inlineStr">
        <is>
          <t>Codiagro</t>
        </is>
      </c>
      <c r="D132" t="inlineStr">
        <is>
          <t>RESULTADO DEL EJERCICIO</t>
        </is>
      </c>
      <c r="E132" t="inlineStr">
        <is>
          <t>RESULTADO ANTES DE IMPUESTOS</t>
        </is>
      </c>
      <c r="F132" t="inlineStr">
        <is>
          <t>RESULTADO DE LA EXPLOTACION</t>
        </is>
      </c>
      <c r="G132" t="inlineStr">
        <is>
          <t>7.- Otros gastos de explotación</t>
        </is>
      </c>
      <c r="H132" t="inlineStr">
        <is>
          <t>(624) Transportes ventas</t>
        </is>
      </c>
      <c r="I132" t="inlineStr">
        <is>
          <t>624000005 - TTE. PAQUETERIA</t>
        </is>
      </c>
      <c r="J132" t="inlineStr">
        <is>
          <t>-</t>
        </is>
      </c>
      <c r="K132" s="4" t="n">
        <v>-591.46</v>
      </c>
      <c r="L132" s="4" t="n">
        <v>-591.46</v>
      </c>
      <c r="M132" s="4" t="n">
        <v>-591.46</v>
      </c>
      <c r="N132" s="4" t="n">
        <v>-591.46</v>
      </c>
      <c r="O132" s="173" t="n">
        <v>-591.46</v>
      </c>
      <c r="P132" s="4" t="n">
        <v>-591.46</v>
      </c>
      <c r="Q132" s="4" t="n">
        <v>-591.46</v>
      </c>
      <c r="R132" s="4" t="n">
        <v>-591.46</v>
      </c>
      <c r="S132" s="4" t="n">
        <v>-591.46</v>
      </c>
      <c r="T132" s="4" t="n">
        <v>-591.46</v>
      </c>
      <c r="U132" s="4" t="n">
        <v>-591.46</v>
      </c>
      <c r="V132" s="4" t="n">
        <v>-591.46</v>
      </c>
      <c r="W132" s="4" t="n">
        <v>-7097.52</v>
      </c>
      <c r="X132" t="inlineStr">
        <is>
          <t>Proyección extrapolada de actividad recurrente.</t>
        </is>
      </c>
    </row>
    <row r="133">
      <c r="B133" t="n">
        <v>2027</v>
      </c>
      <c r="C133" t="inlineStr">
        <is>
          <t>Codiagro</t>
        </is>
      </c>
      <c r="D133" t="inlineStr">
        <is>
          <t>RESULTADO DEL EJERCICIO</t>
        </is>
      </c>
      <c r="E133" t="inlineStr">
        <is>
          <t>RESULTADO ANTES DE IMPUESTOS</t>
        </is>
      </c>
      <c r="F133" t="inlineStr">
        <is>
          <t>RESULTADO DE LA EXPLOTACION</t>
        </is>
      </c>
      <c r="G133" t="inlineStr">
        <is>
          <t>7.- Otros gastos de explotación</t>
        </is>
      </c>
      <c r="H133" t="inlineStr">
        <is>
          <t>(624) Transportes ventas</t>
        </is>
      </c>
      <c r="I133" t="inlineStr">
        <is>
          <t>624000006 - TRANSPORTES IMPORTACIÓN</t>
        </is>
      </c>
      <c r="J133" t="inlineStr">
        <is>
          <t>-</t>
        </is>
      </c>
      <c r="K133" s="4" t="n">
        <v>-1389.04</v>
      </c>
      <c r="L133" s="4" t="n">
        <v>-1389.04</v>
      </c>
      <c r="M133" s="4" t="n">
        <v>-1389.04</v>
      </c>
      <c r="N133" s="4" t="n">
        <v>-1389.04</v>
      </c>
      <c r="O133" s="173" t="n">
        <v>-1389.04</v>
      </c>
      <c r="P133" s="4" t="n">
        <v>-1389.04</v>
      </c>
      <c r="Q133" s="4" t="n">
        <v>-1389.04</v>
      </c>
      <c r="R133" s="4" t="n">
        <v>-1389.04</v>
      </c>
      <c r="S133" s="4" t="n">
        <v>-1389.04</v>
      </c>
      <c r="T133" s="4" t="n">
        <v>-1389.04</v>
      </c>
      <c r="U133" s="4" t="n">
        <v>-1389.04</v>
      </c>
      <c r="V133" s="4" t="n">
        <v>-1389.04</v>
      </c>
      <c r="W133" s="4" t="n">
        <v>-16668.48</v>
      </c>
      <c r="X133" t="inlineStr">
        <is>
          <t>Proyección extrapolada de actividad recurrente.</t>
        </is>
      </c>
    </row>
    <row r="134">
      <c r="B134" t="n">
        <v>2027</v>
      </c>
      <c r="C134" t="inlineStr">
        <is>
          <t>Codiagro</t>
        </is>
      </c>
      <c r="D134" t="inlineStr">
        <is>
          <t>RESULTADO DEL EJERCICIO</t>
        </is>
      </c>
      <c r="E134" t="inlineStr">
        <is>
          <t>RESULTADO ANTES DE IMPUESTOS</t>
        </is>
      </c>
      <c r="F134" t="inlineStr">
        <is>
          <t>RESULTADO DE LA EXPLOTACION</t>
        </is>
      </c>
      <c r="G134" t="inlineStr">
        <is>
          <t>7.- Otros gastos de explotación</t>
        </is>
      </c>
      <c r="H134" t="inlineStr">
        <is>
          <t>(624) Transportes ventas</t>
        </is>
      </c>
      <c r="I134" t="inlineStr">
        <is>
          <t>624000007 - ENVIO MUESTRAS</t>
        </is>
      </c>
      <c r="J134" t="inlineStr">
        <is>
          <t>-</t>
        </is>
      </c>
      <c r="K134" s="4" t="n">
        <v>0</v>
      </c>
      <c r="L134" s="4" t="n">
        <v>0</v>
      </c>
      <c r="M134" s="4" t="n">
        <v>0</v>
      </c>
      <c r="N134" s="4" t="n">
        <v>0</v>
      </c>
      <c r="O134" s="173" t="n">
        <v>0</v>
      </c>
      <c r="P134" s="4" t="n">
        <v>0</v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t="inlineStr">
        <is>
          <t>Sin dotación presupuestada en 2027.</t>
        </is>
      </c>
    </row>
    <row r="135">
      <c r="B135" t="n">
        <v>2027</v>
      </c>
      <c r="C135" t="inlineStr">
        <is>
          <t>Codiagro</t>
        </is>
      </c>
      <c r="D135" t="inlineStr">
        <is>
          <t>RESULTADO DEL EJERCICIO</t>
        </is>
      </c>
      <c r="E135" t="inlineStr">
        <is>
          <t>RESULTADO ANTES DE IMPUESTOS</t>
        </is>
      </c>
      <c r="F135" t="inlineStr">
        <is>
          <t>RESULTADO DE LA EXPLOTACION</t>
        </is>
      </c>
      <c r="G135" t="inlineStr">
        <is>
          <t>7.- Otros gastos de explotación</t>
        </is>
      </c>
      <c r="H135" t="inlineStr">
        <is>
          <t>(625) Primas de seguros</t>
        </is>
      </c>
      <c r="I135" t="inlineStr">
        <is>
          <t>625000001 - SEGUROS VEHÍCULOS</t>
        </is>
      </c>
      <c r="J135" t="inlineStr">
        <is>
          <t>-</t>
        </is>
      </c>
      <c r="K135" s="4" t="n">
        <v>-188.17</v>
      </c>
      <c r="L135" s="4" t="n">
        <v>-188.17</v>
      </c>
      <c r="M135" s="4" t="n">
        <v>-188.17</v>
      </c>
      <c r="N135" s="4" t="n">
        <v>-188.17</v>
      </c>
      <c r="O135" s="173" t="n">
        <v>-188.17</v>
      </c>
      <c r="P135" s="4" t="n">
        <v>-188.17</v>
      </c>
      <c r="Q135" s="4" t="n">
        <v>-188.17</v>
      </c>
      <c r="R135" s="4" t="n">
        <v>-188.17</v>
      </c>
      <c r="S135" s="4" t="n">
        <v>-188.17</v>
      </c>
      <c r="T135" s="4" t="n">
        <v>-188.17</v>
      </c>
      <c r="U135" s="4" t="n">
        <v>-188.17</v>
      </c>
      <c r="V135" s="4" t="n">
        <v>-188.17</v>
      </c>
      <c r="W135" s="4" t="n">
        <v>-2258.04</v>
      </c>
      <c r="X135" t="inlineStr">
        <is>
          <t>Coste fijo: prima mensualizada de pólizas de seguro industrial y responsabilidad civil.</t>
        </is>
      </c>
    </row>
    <row r="136">
      <c r="B136" t="n">
        <v>2027</v>
      </c>
      <c r="C136" t="inlineStr">
        <is>
          <t>Codiagro</t>
        </is>
      </c>
      <c r="D136" t="inlineStr">
        <is>
          <t>RESULTADO DEL EJERCICIO</t>
        </is>
      </c>
      <c r="E136" t="inlineStr">
        <is>
          <t>RESULTADO ANTES DE IMPUESTOS</t>
        </is>
      </c>
      <c r="F136" t="inlineStr">
        <is>
          <t>RESULTADO DE LA EXPLOTACION</t>
        </is>
      </c>
      <c r="G136" t="inlineStr">
        <is>
          <t>7.- Otros gastos de explotación</t>
        </is>
      </c>
      <c r="H136" t="inlineStr">
        <is>
          <t>(625) Primas de seguros</t>
        </is>
      </c>
      <c r="I136" t="inlineStr">
        <is>
          <t>625000003 SEGURO ACCIDENTES TRABAJADORES</t>
        </is>
      </c>
      <c r="J136" t="inlineStr">
        <is>
          <t>-</t>
        </is>
      </c>
      <c r="K136" s="4" t="n">
        <v>-194.64</v>
      </c>
      <c r="L136" s="4" t="n">
        <v>-194.64</v>
      </c>
      <c r="M136" s="4" t="n">
        <v>-194.64</v>
      </c>
      <c r="N136" s="4" t="n">
        <v>-194.64</v>
      </c>
      <c r="O136" s="173" t="n">
        <v>-194.64</v>
      </c>
      <c r="P136" s="4" t="n">
        <v>-194.64</v>
      </c>
      <c r="Q136" s="4" t="n">
        <v>-194.64</v>
      </c>
      <c r="R136" s="4" t="n">
        <v>-194.64</v>
      </c>
      <c r="S136" s="4" t="n">
        <v>-194.64</v>
      </c>
      <c r="T136" s="4" t="n">
        <v>-194.64</v>
      </c>
      <c r="U136" s="4" t="n">
        <v>-194.64</v>
      </c>
      <c r="V136" s="4" t="n">
        <v>-194.64</v>
      </c>
      <c r="W136" s="4" t="n">
        <v>-2335.679999999999</v>
      </c>
      <c r="X136" t="inlineStr">
        <is>
          <t>Coste fijo: prima mensualizada de pólizas de seguro industrial y responsabilidad civil.</t>
        </is>
      </c>
    </row>
    <row r="137">
      <c r="B137" t="n">
        <v>2027</v>
      </c>
      <c r="C137" t="inlineStr">
        <is>
          <t>Codiagro</t>
        </is>
      </c>
      <c r="D137" t="inlineStr">
        <is>
          <t>RESULTADO DEL EJERCICIO</t>
        </is>
      </c>
      <c r="E137" t="inlineStr">
        <is>
          <t>RESULTADO ANTES DE IMPUESTOS</t>
        </is>
      </c>
      <c r="F137" t="inlineStr">
        <is>
          <t>RESULTADO DE LA EXPLOTACION</t>
        </is>
      </c>
      <c r="G137" t="inlineStr">
        <is>
          <t>7.- Otros gastos de explotación</t>
        </is>
      </c>
      <c r="H137" t="inlineStr">
        <is>
          <t>(625) Primas de seguros</t>
        </is>
      </c>
      <c r="I137" t="inlineStr">
        <is>
          <t>625000004 - SEGURO RESP. CIVIL</t>
        </is>
      </c>
      <c r="J137" t="inlineStr">
        <is>
          <t>-</t>
        </is>
      </c>
      <c r="K137" s="4" t="n">
        <v>-3281.59</v>
      </c>
      <c r="L137" s="4" t="n">
        <v>-3281.59</v>
      </c>
      <c r="M137" s="4" t="n">
        <v>-3281.59</v>
      </c>
      <c r="N137" s="4" t="n">
        <v>-3281.59</v>
      </c>
      <c r="O137" s="173" t="n">
        <v>-3281.59</v>
      </c>
      <c r="P137" s="4" t="n">
        <v>-3281.59</v>
      </c>
      <c r="Q137" s="4" t="n">
        <v>-3281.59</v>
      </c>
      <c r="R137" s="4" t="n">
        <v>-3281.59</v>
      </c>
      <c r="S137" s="4" t="n">
        <v>-3281.59</v>
      </c>
      <c r="T137" s="4" t="n">
        <v>-3281.59</v>
      </c>
      <c r="U137" s="4" t="n">
        <v>-3281.59</v>
      </c>
      <c r="V137" s="4" t="n">
        <v>-3281.59</v>
      </c>
      <c r="W137" s="4" t="n">
        <v>-39379.08</v>
      </c>
      <c r="X137" t="inlineStr">
        <is>
          <t>Coste fijo: prima mensualizada de pólizas de seguro industrial y responsabilidad civil.</t>
        </is>
      </c>
    </row>
    <row r="138">
      <c r="B138" t="n">
        <v>2027</v>
      </c>
      <c r="C138" t="inlineStr">
        <is>
          <t>Codiagro</t>
        </is>
      </c>
      <c r="D138" t="inlineStr">
        <is>
          <t>RESULTADO DEL EJERCICIO</t>
        </is>
      </c>
      <c r="E138" t="inlineStr">
        <is>
          <t>RESULTADO ANTES DE IMPUESTOS</t>
        </is>
      </c>
      <c r="F138" t="inlineStr">
        <is>
          <t>RESULTADO DE LA EXPLOTACION</t>
        </is>
      </c>
      <c r="G138" t="inlineStr">
        <is>
          <t>7.- Otros gastos de explotación</t>
        </is>
      </c>
      <c r="H138" t="inlineStr">
        <is>
          <t>(625) Primas de seguros</t>
        </is>
      </c>
      <c r="I138" t="inlineStr">
        <is>
          <t>625000005 - SEGUROS ACTIVIDAD</t>
        </is>
      </c>
      <c r="J138" t="inlineStr">
        <is>
          <t>-</t>
        </is>
      </c>
      <c r="K138" s="4" t="n">
        <v>-2975.68</v>
      </c>
      <c r="L138" s="4" t="n">
        <v>-2975.68</v>
      </c>
      <c r="M138" s="4" t="n">
        <v>-2975.68</v>
      </c>
      <c r="N138" s="4" t="n">
        <v>-2975.68</v>
      </c>
      <c r="O138" s="173" t="n">
        <v>-2975.68</v>
      </c>
      <c r="P138" s="4" t="n">
        <v>-2975.68</v>
      </c>
      <c r="Q138" s="4" t="n">
        <v>-2975.68</v>
      </c>
      <c r="R138" s="4" t="n">
        <v>-2975.68</v>
      </c>
      <c r="S138" s="4" t="n">
        <v>-2975.68</v>
      </c>
      <c r="T138" s="4" t="n">
        <v>-2975.68</v>
      </c>
      <c r="U138" s="4" t="n">
        <v>-2975.68</v>
      </c>
      <c r="V138" s="4" t="n">
        <v>-2975.68</v>
      </c>
      <c r="W138" s="4" t="n">
        <v>-35708.16</v>
      </c>
      <c r="X138" t="inlineStr">
        <is>
          <t>Coste fijo: prima mensualizada de pólizas de seguro industrial y responsabilidad civil.</t>
        </is>
      </c>
    </row>
    <row r="139">
      <c r="B139" t="n">
        <v>2027</v>
      </c>
      <c r="C139" t="inlineStr">
        <is>
          <t>Codiagro</t>
        </is>
      </c>
      <c r="D139" t="inlineStr">
        <is>
          <t>RESULTADO DEL EJERCICIO</t>
        </is>
      </c>
      <c r="E139" t="inlineStr">
        <is>
          <t>RESULTADO ANTES DE IMPUESTOS</t>
        </is>
      </c>
      <c r="F139" t="inlineStr">
        <is>
          <t>RESULTADO DE LA EXPLOTACION</t>
        </is>
      </c>
      <c r="G139" t="inlineStr">
        <is>
          <t>7.- Otros gastos de explotación</t>
        </is>
      </c>
      <c r="H139" t="inlineStr">
        <is>
          <t>(626) Servicios bancarios</t>
        </is>
      </c>
      <c r="I139" t="inlineStr">
        <is>
          <t>626000000 - Servicios bancarios y similares</t>
        </is>
      </c>
      <c r="J139" t="inlineStr">
        <is>
          <t>-</t>
        </is>
      </c>
      <c r="K139" s="4" t="n">
        <v>0</v>
      </c>
      <c r="L139" s="4" t="n">
        <v>0</v>
      </c>
      <c r="M139" s="4" t="n">
        <v>0</v>
      </c>
      <c r="N139" s="4" t="n">
        <v>0</v>
      </c>
      <c r="O139" s="173" t="n">
        <v>0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t="inlineStr">
        <is>
          <t>Sin dotación presupuestada en 2027.</t>
        </is>
      </c>
    </row>
    <row r="140">
      <c r="B140" t="n">
        <v>2027</v>
      </c>
      <c r="C140" t="inlineStr">
        <is>
          <t>Codiagro</t>
        </is>
      </c>
      <c r="D140" t="inlineStr">
        <is>
          <t>RESULTADO DEL EJERCICIO</t>
        </is>
      </c>
      <c r="E140" t="inlineStr">
        <is>
          <t>RESULTADO ANTES DE IMPUESTOS</t>
        </is>
      </c>
      <c r="F140" t="inlineStr">
        <is>
          <t>RESULTADO DE LA EXPLOTACION</t>
        </is>
      </c>
      <c r="G140" t="inlineStr">
        <is>
          <t>7.- Otros gastos de explotación</t>
        </is>
      </c>
      <c r="H140" t="inlineStr">
        <is>
          <t>(626) Servicios bancarios</t>
        </is>
      </c>
      <c r="I140" t="inlineStr">
        <is>
          <t>626000002 - GASTOS Y COMISIONES BANCO SABADELL</t>
        </is>
      </c>
      <c r="J140" t="inlineStr">
        <is>
          <t>-</t>
        </is>
      </c>
      <c r="K140" s="4" t="n">
        <v>-49.02</v>
      </c>
      <c r="L140" s="4" t="n">
        <v>-49.02</v>
      </c>
      <c r="M140" s="4" t="n">
        <v>-49.02</v>
      </c>
      <c r="N140" s="4" t="n">
        <v>-49.02</v>
      </c>
      <c r="O140" s="173" t="n">
        <v>-49.02</v>
      </c>
      <c r="P140" s="4" t="n">
        <v>-49.02</v>
      </c>
      <c r="Q140" s="4" t="n">
        <v>-49.02</v>
      </c>
      <c r="R140" s="4" t="n">
        <v>-49.02</v>
      </c>
      <c r="S140" s="4" t="n">
        <v>-49.02</v>
      </c>
      <c r="T140" s="4" t="n">
        <v>-49.02</v>
      </c>
      <c r="U140" s="4" t="n">
        <v>-49.02</v>
      </c>
      <c r="V140" s="4" t="n">
        <v>-49.02</v>
      </c>
      <c r="W140" s="4" t="n">
        <v>-588.2399999999999</v>
      </c>
      <c r="X140" t="inlineStr">
        <is>
          <t>Coste operativo recurrente por transaccionalidad bancaria y comisiones de gestión.</t>
        </is>
      </c>
    </row>
    <row r="141">
      <c r="B141" t="n">
        <v>2027</v>
      </c>
      <c r="C141" t="inlineStr">
        <is>
          <t>Codiagro</t>
        </is>
      </c>
      <c r="D141" t="inlineStr">
        <is>
          <t>RESULTADO DEL EJERCICIO</t>
        </is>
      </c>
      <c r="E141" t="inlineStr">
        <is>
          <t>RESULTADO ANTES DE IMPUESTOS</t>
        </is>
      </c>
      <c r="F141" t="inlineStr">
        <is>
          <t>RESULTADO DE LA EXPLOTACION</t>
        </is>
      </c>
      <c r="G141" t="inlineStr">
        <is>
          <t>7.- Otros gastos de explotación</t>
        </is>
      </c>
      <c r="H141" t="inlineStr">
        <is>
          <t>(626) Servicios bancarios</t>
        </is>
      </c>
      <c r="I141" t="inlineStr">
        <is>
          <t>626000005 - GASTOS Y COMISIONES CAIXALMASSORA</t>
        </is>
      </c>
      <c r="J141" t="inlineStr">
        <is>
          <t>-</t>
        </is>
      </c>
      <c r="K141" s="4" t="n">
        <v>-171.17</v>
      </c>
      <c r="L141" s="4" t="n">
        <v>-171.17</v>
      </c>
      <c r="M141" s="4" t="n">
        <v>-171.17</v>
      </c>
      <c r="N141" s="4" t="n">
        <v>-171.17</v>
      </c>
      <c r="O141" s="173" t="n">
        <v>-171.17</v>
      </c>
      <c r="P141" s="4" t="n">
        <v>-171.17</v>
      </c>
      <c r="Q141" s="4" t="n">
        <v>-171.17</v>
      </c>
      <c r="R141" s="4" t="n">
        <v>-171.17</v>
      </c>
      <c r="S141" s="4" t="n">
        <v>-171.17</v>
      </c>
      <c r="T141" s="4" t="n">
        <v>-171.17</v>
      </c>
      <c r="U141" s="4" t="n">
        <v>-171.17</v>
      </c>
      <c r="V141" s="4" t="n">
        <v>-171.17</v>
      </c>
      <c r="W141" s="4" t="n">
        <v>-2054.04</v>
      </c>
      <c r="X141" t="inlineStr">
        <is>
          <t>Coste operativo recurrente por transaccionalidad bancaria y comisiones de gestión.</t>
        </is>
      </c>
    </row>
    <row r="142">
      <c r="B142" t="n">
        <v>2027</v>
      </c>
      <c r="C142" t="inlineStr">
        <is>
          <t>Codiagro</t>
        </is>
      </c>
      <c r="D142" t="inlineStr">
        <is>
          <t>RESULTADO DEL EJERCICIO</t>
        </is>
      </c>
      <c r="E142" t="inlineStr">
        <is>
          <t>RESULTADO ANTES DE IMPUESTOS</t>
        </is>
      </c>
      <c r="F142" t="inlineStr">
        <is>
          <t>RESULTADO DE LA EXPLOTACION</t>
        </is>
      </c>
      <c r="G142" t="inlineStr">
        <is>
          <t>7.- Otros gastos de explotación</t>
        </is>
      </c>
      <c r="H142" t="inlineStr">
        <is>
          <t>(626) Servicios bancarios</t>
        </is>
      </c>
      <c r="I142" t="inlineStr">
        <is>
          <t>626000007 - GASTOS Y COMISIONES BBVA</t>
        </is>
      </c>
      <c r="J142" t="inlineStr">
        <is>
          <t>-</t>
        </is>
      </c>
      <c r="K142" s="4" t="n">
        <v>-811.09</v>
      </c>
      <c r="L142" s="4" t="n">
        <v>-811.09</v>
      </c>
      <c r="M142" s="4" t="n">
        <v>-811.09</v>
      </c>
      <c r="N142" s="4" t="n">
        <v>-811.09</v>
      </c>
      <c r="O142" s="173" t="n">
        <v>-811.09</v>
      </c>
      <c r="P142" s="4" t="n">
        <v>-811.09</v>
      </c>
      <c r="Q142" s="4" t="n">
        <v>-811.09</v>
      </c>
      <c r="R142" s="4" t="n">
        <v>-811.09</v>
      </c>
      <c r="S142" s="4" t="n">
        <v>-811.09</v>
      </c>
      <c r="T142" s="4" t="n">
        <v>-811.09</v>
      </c>
      <c r="U142" s="4" t="n">
        <v>-811.09</v>
      </c>
      <c r="V142" s="4" t="n">
        <v>-811.09</v>
      </c>
      <c r="W142" s="4" t="n">
        <v>-9733.08</v>
      </c>
      <c r="X142" t="inlineStr">
        <is>
          <t>Coste operativo recurrente por transaccionalidad bancaria y comisiones de gestión.</t>
        </is>
      </c>
    </row>
    <row r="143">
      <c r="B143" t="n">
        <v>2027</v>
      </c>
      <c r="C143" t="inlineStr">
        <is>
          <t>Codiagro</t>
        </is>
      </c>
      <c r="D143" t="inlineStr">
        <is>
          <t>RESULTADO DEL EJERCICIO</t>
        </is>
      </c>
      <c r="E143" t="inlineStr">
        <is>
          <t>RESULTADO ANTES DE IMPUESTOS</t>
        </is>
      </c>
      <c r="F143" t="inlineStr">
        <is>
          <t>RESULTADO DE LA EXPLOTACION</t>
        </is>
      </c>
      <c r="G143" t="inlineStr">
        <is>
          <t>7.- Otros gastos de explotación</t>
        </is>
      </c>
      <c r="H143" t="inlineStr">
        <is>
          <t>(627) Publicidad</t>
        </is>
      </c>
      <c r="I143" t="inlineStr">
        <is>
          <t>627000001 - GTOS. PUBLICIDAD EN INTERNET</t>
        </is>
      </c>
      <c r="J143" t="inlineStr">
        <is>
          <t>-</t>
        </is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0</v>
      </c>
      <c r="P143" s="4" t="n">
        <v>0</v>
      </c>
      <c r="Q143" s="4" t="n">
        <v>0</v>
      </c>
      <c r="R143" s="4" t="n">
        <v>0</v>
      </c>
      <c r="S143" s="4" t="n">
        <v>0</v>
      </c>
      <c r="T143" s="4" t="n">
        <v>0</v>
      </c>
      <c r="U143" s="4" t="n">
        <v>0</v>
      </c>
      <c r="V143" s="4" t="n">
        <v>0</v>
      </c>
      <c r="W143" s="4" t="n">
        <v>0</v>
      </c>
      <c r="X143" t="inlineStr">
        <is>
          <t>Sin dotación presupuestada en 2027.</t>
        </is>
      </c>
    </row>
    <row r="144">
      <c r="B144" t="n">
        <v>2027</v>
      </c>
      <c r="C144" t="inlineStr">
        <is>
          <t>Codiagro</t>
        </is>
      </c>
      <c r="D144" t="inlineStr">
        <is>
          <t>RESULTADO DEL EJERCICIO</t>
        </is>
      </c>
      <c r="E144" t="inlineStr">
        <is>
          <t>RESULTADO ANTES DE IMPUESTOS</t>
        </is>
      </c>
      <c r="F144" t="inlineStr">
        <is>
          <t>RESULTADO DE LA EXPLOTACION</t>
        </is>
      </c>
      <c r="G144" t="inlineStr">
        <is>
          <t>7.- Otros gastos de explotación</t>
        </is>
      </c>
      <c r="H144" t="inlineStr">
        <is>
          <t>(627) Publicidad</t>
        </is>
      </c>
      <c r="I144" t="inlineStr">
        <is>
          <t>627000004 - RELACIONES PUBLICAS</t>
        </is>
      </c>
      <c r="J144" t="inlineStr">
        <is>
          <t>-</t>
        </is>
      </c>
      <c r="K144" s="4" t="n">
        <v>0</v>
      </c>
      <c r="L144" s="4" t="n">
        <v>0</v>
      </c>
      <c r="M144" s="4" t="n">
        <v>0</v>
      </c>
      <c r="N144" s="4" t="n">
        <v>0</v>
      </c>
      <c r="O144" s="173" t="n">
        <v>0</v>
      </c>
      <c r="P144" s="4" t="n">
        <v>0</v>
      </c>
      <c r="Q144" s="4" t="n">
        <v>0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t="inlineStr">
        <is>
          <t>Integrado dentro de los programas de activación comercial por cliente-producto (cuenta 627000008).</t>
        </is>
      </c>
    </row>
    <row r="145">
      <c r="B145" t="n">
        <v>2027</v>
      </c>
      <c r="C145" t="inlineStr">
        <is>
          <t>Codiagro</t>
        </is>
      </c>
      <c r="D145" t="inlineStr">
        <is>
          <t>RESULTADO DEL EJERCICIO</t>
        </is>
      </c>
      <c r="E145" t="inlineStr">
        <is>
          <t>RESULTADO ANTES DE IMPUESTOS</t>
        </is>
      </c>
      <c r="F145" t="inlineStr">
        <is>
          <t>RESULTADO DE LA EXPLOTACION</t>
        </is>
      </c>
      <c r="G145" t="inlineStr">
        <is>
          <t>7.- Otros gastos de explotación</t>
        </is>
      </c>
      <c r="H145" t="inlineStr">
        <is>
          <t>(627) Publicidad</t>
        </is>
      </c>
      <c r="I145" t="inlineStr">
        <is>
          <t>627000005 - INVITACIONES CLIENTES</t>
        </is>
      </c>
      <c r="J145" t="inlineStr">
        <is>
          <t>-</t>
        </is>
      </c>
      <c r="K145" s="4" t="n">
        <v>0</v>
      </c>
      <c r="L145" s="4" t="n">
        <v>0</v>
      </c>
      <c r="M145" s="4" t="n">
        <v>0</v>
      </c>
      <c r="N145" s="4" t="n">
        <v>0</v>
      </c>
      <c r="O145" s="173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t="inlineStr">
        <is>
          <t>Integrado dentro de los programas de activación comercial por cliente-producto (cuenta 627000008).</t>
        </is>
      </c>
    </row>
    <row r="146">
      <c r="B146" t="n">
        <v>2027</v>
      </c>
      <c r="C146" t="inlineStr">
        <is>
          <t>Codiagro</t>
        </is>
      </c>
      <c r="D146" t="inlineStr">
        <is>
          <t>RESULTADO DEL EJERCICIO</t>
        </is>
      </c>
      <c r="E146" t="inlineStr">
        <is>
          <t>RESULTADO ANTES DE IMPUESTOS</t>
        </is>
      </c>
      <c r="F146" t="inlineStr">
        <is>
          <t>RESULTADO DE LA EXPLOTACION</t>
        </is>
      </c>
      <c r="G146" t="inlineStr">
        <is>
          <t>7.- Otros gastos de explotación</t>
        </is>
      </c>
      <c r="H146" t="inlineStr">
        <is>
          <t>(627) Publicidad</t>
        </is>
      </c>
      <c r="I146" t="inlineStr">
        <is>
          <t>627000006 - PUBLICIDAD CATALOGOS Y FOLLETOS</t>
        </is>
      </c>
      <c r="J146" t="inlineStr">
        <is>
          <t>-</t>
        </is>
      </c>
      <c r="K146" s="4" t="n">
        <v>-2469.92</v>
      </c>
      <c r="L146" s="4" t="n">
        <v>-3006.08</v>
      </c>
      <c r="M146" s="4" t="n">
        <v>-2874.69</v>
      </c>
      <c r="N146" s="4" t="n">
        <v>-3233.22</v>
      </c>
      <c r="O146" s="173" t="n">
        <v>-2543.62</v>
      </c>
      <c r="P146" s="4" t="n">
        <v>-1816.83</v>
      </c>
      <c r="Q146" s="4" t="n">
        <v>-1556.94</v>
      </c>
      <c r="R146" s="4" t="n">
        <v>-658.01</v>
      </c>
      <c r="S146" s="4" t="n">
        <v>-1867.78</v>
      </c>
      <c r="T146" s="4" t="n">
        <v>-1290.69</v>
      </c>
      <c r="U146" s="4" t="n">
        <v>-2792.91</v>
      </c>
      <c r="V146" s="4" t="n">
        <v>-1519.31</v>
      </c>
      <c r="W146" s="4" t="n">
        <v>-25630</v>
      </c>
      <c r="X146" t="inlineStr">
        <is>
          <t>Presupuesto Marketing V5: Marketing corporativo transversal, catálogos técnicos, packaging y branding web (-25.630,00 €).</t>
        </is>
      </c>
    </row>
    <row r="147">
      <c r="B147" t="n">
        <v>2027</v>
      </c>
      <c r="C147" t="inlineStr">
        <is>
          <t>Codiagro</t>
        </is>
      </c>
      <c r="D147" t="inlineStr">
        <is>
          <t>RESULTADO DEL EJERCICIO</t>
        </is>
      </c>
      <c r="E147" t="inlineStr">
        <is>
          <t>RESULTADO ANTES DE IMPUESTOS</t>
        </is>
      </c>
      <c r="F147" t="inlineStr">
        <is>
          <t>RESULTADO DE LA EXPLOTACION</t>
        </is>
      </c>
      <c r="G147" t="inlineStr">
        <is>
          <t>7.- Otros gastos de explotación</t>
        </is>
      </c>
      <c r="H147" t="inlineStr">
        <is>
          <t>(627) Publicidad</t>
        </is>
      </c>
      <c r="I147" t="inlineStr">
        <is>
          <t>627000007 - FERIAS</t>
        </is>
      </c>
      <c r="J147" t="inlineStr">
        <is>
          <t>-</t>
        </is>
      </c>
      <c r="K147" s="4" t="n">
        <v>-3254.36</v>
      </c>
      <c r="L147" s="4" t="n">
        <v>-3960.8</v>
      </c>
      <c r="M147" s="4" t="n">
        <v>-3787.68</v>
      </c>
      <c r="N147" s="4" t="n">
        <v>-4260.08</v>
      </c>
      <c r="O147" s="173" t="n">
        <v>-3351.46</v>
      </c>
      <c r="P147" s="4" t="n">
        <v>-2393.84</v>
      </c>
      <c r="Q147" s="4" t="n">
        <v>-2051.41</v>
      </c>
      <c r="R147" s="4" t="n">
        <v>-866.99</v>
      </c>
      <c r="S147" s="4" t="n">
        <v>-2460.99</v>
      </c>
      <c r="T147" s="4" t="n">
        <v>-1700.61</v>
      </c>
      <c r="U147" s="4" t="n">
        <v>-3679.93</v>
      </c>
      <c r="V147" s="4" t="n">
        <v>-2001.84</v>
      </c>
      <c r="W147" s="4" t="n">
        <v>-33769.99</v>
      </c>
      <c r="X147" t="inlineStr">
        <is>
          <t>Presupuesto Marketing V5: Calendario ferial internacional (Fruit Attraction, Fruit Logistica, Sahara Expo, Growtech, etc.) (-33.770,00 €).</t>
        </is>
      </c>
    </row>
    <row r="148">
      <c r="B148" t="n">
        <v>2027</v>
      </c>
      <c r="C148" t="inlineStr">
        <is>
          <t>Codiagro</t>
        </is>
      </c>
      <c r="D148" t="inlineStr">
        <is>
          <t>RESULTADO DEL EJERCICIO</t>
        </is>
      </c>
      <c r="E148" t="inlineStr">
        <is>
          <t>RESULTADO ANTES DE IMPUESTOS</t>
        </is>
      </c>
      <c r="F148" t="inlineStr">
        <is>
          <t>RESULTADO DE LA EXPLOTACION</t>
        </is>
      </c>
      <c r="G148" t="inlineStr">
        <is>
          <t>7.- Otros gastos de explotación</t>
        </is>
      </c>
      <c r="H148" t="inlineStr">
        <is>
          <t>(627) Publicidad</t>
        </is>
      </c>
      <c r="I148" t="inlineStr">
        <is>
          <t>627000008 - MARKETING</t>
        </is>
      </c>
      <c r="J148" t="inlineStr">
        <is>
          <t>-</t>
        </is>
      </c>
      <c r="K148" s="4" t="n">
        <v>-18917.14</v>
      </c>
      <c r="L148" s="4" t="n">
        <v>-23023.56</v>
      </c>
      <c r="M148" s="4" t="n">
        <v>-22017.24</v>
      </c>
      <c r="N148" s="4" t="n">
        <v>-24763.22</v>
      </c>
      <c r="O148" s="173" t="n">
        <v>-19481.53</v>
      </c>
      <c r="P148" s="4" t="n">
        <v>-13915.06</v>
      </c>
      <c r="Q148" s="4" t="n">
        <v>-11924.56</v>
      </c>
      <c r="R148" s="4" t="n">
        <v>-5039.7</v>
      </c>
      <c r="S148" s="4" t="n">
        <v>-14305.34</v>
      </c>
      <c r="T148" s="4" t="n">
        <v>-9885.370000000001</v>
      </c>
      <c r="U148" s="4" t="n">
        <v>-21390.88</v>
      </c>
      <c r="V148" s="4" t="n">
        <v>-11636.39</v>
      </c>
      <c r="W148" s="4" t="n">
        <v>-196299.99</v>
      </c>
      <c r="X148" t="inlineStr">
        <is>
          <t>Presupuesto Marketing V5: Programas de activación comercial por cliente clave y producto estratégico Familias A/B (-196.300,00 €).</t>
        </is>
      </c>
    </row>
    <row r="149">
      <c r="B149" t="n">
        <v>2027</v>
      </c>
      <c r="C149" t="inlineStr">
        <is>
          <t>Codiagro</t>
        </is>
      </c>
      <c r="D149" t="inlineStr">
        <is>
          <t>RESULTADO DEL EJERCICIO</t>
        </is>
      </c>
      <c r="E149" t="inlineStr">
        <is>
          <t>RESULTADO ANTES DE IMPUESTOS</t>
        </is>
      </c>
      <c r="F149" t="inlineStr">
        <is>
          <t>RESULTADO DE LA EXPLOTACION</t>
        </is>
      </c>
      <c r="G149" t="inlineStr">
        <is>
          <t>7.- Otros gastos de explotación</t>
        </is>
      </c>
      <c r="H149" t="inlineStr">
        <is>
          <t>(627) Publicidad</t>
        </is>
      </c>
      <c r="I149" t="inlineStr">
        <is>
          <t>627000009 - ARTICULOS PUBLICIDAD</t>
        </is>
      </c>
      <c r="J149" t="inlineStr">
        <is>
          <t>-</t>
        </is>
      </c>
      <c r="K149" s="4" t="n">
        <v>-999.5700000000001</v>
      </c>
      <c r="L149" s="4" t="n">
        <v>-1216.55</v>
      </c>
      <c r="M149" s="4" t="n">
        <v>-1163.38</v>
      </c>
      <c r="N149" s="4" t="n">
        <v>-1308.48</v>
      </c>
      <c r="O149" s="173" t="n">
        <v>-1029.39</v>
      </c>
      <c r="P149" s="4" t="n">
        <v>-735.27</v>
      </c>
      <c r="Q149" s="4" t="n">
        <v>-630.09</v>
      </c>
      <c r="R149" s="4" t="n">
        <v>-266.3</v>
      </c>
      <c r="S149" s="4" t="n">
        <v>-755.89</v>
      </c>
      <c r="T149" s="4" t="n">
        <v>-522.34</v>
      </c>
      <c r="U149" s="4" t="n">
        <v>-1130.28</v>
      </c>
      <c r="V149" s="4" t="n">
        <v>-614.86</v>
      </c>
      <c r="W149" s="4" t="n">
        <v>-10372.4</v>
      </c>
      <c r="X149" t="inlineStr">
        <is>
          <t>Presupuesto Marketing V5: Reserva táctica de marketing y promociones especiales (-10.372,40 €).</t>
        </is>
      </c>
    </row>
    <row r="150">
      <c r="B150" t="n">
        <v>2027</v>
      </c>
      <c r="C150" t="inlineStr">
        <is>
          <t>Codiagro</t>
        </is>
      </c>
      <c r="D150" t="inlineStr">
        <is>
          <t>RESULTADO DEL EJERCICIO</t>
        </is>
      </c>
      <c r="E150" t="inlineStr">
        <is>
          <t>RESULTADO ANTES DE IMPUESTOS</t>
        </is>
      </c>
      <c r="F150" t="inlineStr">
        <is>
          <t>RESULTADO DE LA EXPLOTACION</t>
        </is>
      </c>
      <c r="G150" t="inlineStr">
        <is>
          <t>7.- Otros gastos de explotación</t>
        </is>
      </c>
      <c r="H150" t="inlineStr">
        <is>
          <t>(627) Publicidad</t>
        </is>
      </c>
      <c r="I150" t="inlineStr">
        <is>
          <t>627000010 - RELACIONES PUBLICAS TEC. CLIENTES</t>
        </is>
      </c>
      <c r="J150" t="inlineStr">
        <is>
          <t>-</t>
        </is>
      </c>
      <c r="K150" s="4" t="n">
        <v>0</v>
      </c>
      <c r="L150" s="4" t="n">
        <v>0</v>
      </c>
      <c r="M150" s="4" t="n">
        <v>0</v>
      </c>
      <c r="N150" s="4" t="n">
        <v>0</v>
      </c>
      <c r="O150" s="173" t="n">
        <v>0</v>
      </c>
      <c r="P150" s="4" t="n">
        <v>0</v>
      </c>
      <c r="Q150" s="4" t="n">
        <v>0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t="inlineStr">
        <is>
          <t>Integrado dentro de los programas de activación comercial por cliente-producto (cuenta 627000008).</t>
        </is>
      </c>
    </row>
    <row r="151">
      <c r="B151" t="n">
        <v>2027</v>
      </c>
      <c r="C151" t="inlineStr">
        <is>
          <t>Codiagro</t>
        </is>
      </c>
      <c r="D151" t="inlineStr">
        <is>
          <t>RESULTADO DEL EJERCICIO</t>
        </is>
      </c>
      <c r="E151" t="inlineStr">
        <is>
          <t>RESULTADO ANTES DE IMPUESTOS</t>
        </is>
      </c>
      <c r="F151" t="inlineStr">
        <is>
          <t>RESULTADO DE LA EXPLOTACION</t>
        </is>
      </c>
      <c r="G151" t="inlineStr">
        <is>
          <t>7.- Otros gastos de explotación</t>
        </is>
      </c>
      <c r="H151" t="inlineStr">
        <is>
          <t>(628) Suministros</t>
        </is>
      </c>
      <c r="I151" t="inlineStr">
        <is>
          <t>628000001 - SUMINISTROS INFORMATICOS</t>
        </is>
      </c>
      <c r="J151" t="inlineStr">
        <is>
          <t>-</t>
        </is>
      </c>
      <c r="K151" s="4" t="n">
        <v>-489</v>
      </c>
      <c r="L151" s="4" t="n">
        <v>-489</v>
      </c>
      <c r="M151" s="4" t="n">
        <v>-489</v>
      </c>
      <c r="N151" s="4" t="n">
        <v>-489</v>
      </c>
      <c r="O151" s="173" t="n">
        <v>-489</v>
      </c>
      <c r="P151" s="4" t="n">
        <v>-489</v>
      </c>
      <c r="Q151" s="4" t="n">
        <v>-489</v>
      </c>
      <c r="R151" s="4" t="n">
        <v>-489</v>
      </c>
      <c r="S151" s="4" t="n">
        <v>-489</v>
      </c>
      <c r="T151" s="4" t="n">
        <v>-489</v>
      </c>
      <c r="U151" s="4" t="n">
        <v>-489</v>
      </c>
      <c r="V151" s="4" t="n">
        <v>-489</v>
      </c>
      <c r="W151" s="4" t="n">
        <v>-5868</v>
      </c>
      <c r="X151" t="inlineStr">
        <is>
          <t>Proyección extrapolada de actividad recurrente.</t>
        </is>
      </c>
    </row>
    <row r="152">
      <c r="B152" t="n">
        <v>2027</v>
      </c>
      <c r="C152" t="inlineStr">
        <is>
          <t>Codiagro</t>
        </is>
      </c>
      <c r="D152" t="inlineStr">
        <is>
          <t>RESULTADO DEL EJERCICIO</t>
        </is>
      </c>
      <c r="E152" t="inlineStr">
        <is>
          <t>RESULTADO ANTES DE IMPUESTOS</t>
        </is>
      </c>
      <c r="F152" t="inlineStr">
        <is>
          <t>RESULTADO DE LA EXPLOTACION</t>
        </is>
      </c>
      <c r="G152" t="inlineStr">
        <is>
          <t>7.- Otros gastos de explotación</t>
        </is>
      </c>
      <c r="H152" t="inlineStr">
        <is>
          <t>(628) Suministros</t>
        </is>
      </c>
      <c r="I152" t="inlineStr">
        <is>
          <t>628000002 - SUMINISTROS ELECTRICIDAD</t>
        </is>
      </c>
      <c r="J152" t="inlineStr">
        <is>
          <t>-</t>
        </is>
      </c>
      <c r="K152" s="4" t="n">
        <v>-3500</v>
      </c>
      <c r="L152" s="4" t="n">
        <v>-4200</v>
      </c>
      <c r="M152" s="4" t="n">
        <v>-4200</v>
      </c>
      <c r="N152" s="4" t="n">
        <v>-4200</v>
      </c>
      <c r="O152" s="173" t="n">
        <v>-4200</v>
      </c>
      <c r="P152" s="4" t="n">
        <v>-4200</v>
      </c>
      <c r="Q152" s="4" t="n">
        <v>-4200</v>
      </c>
      <c r="R152" s="4" t="n">
        <v>-3500</v>
      </c>
      <c r="S152" s="4" t="n">
        <v>-3500</v>
      </c>
      <c r="T152" s="4" t="n">
        <v>-3500</v>
      </c>
      <c r="U152" s="4" t="n">
        <v>-4200</v>
      </c>
      <c r="V152" s="4" t="n">
        <v>-4200</v>
      </c>
      <c r="W152" s="4" t="n">
        <v>-47600</v>
      </c>
      <c r="X152" t="inlineStr">
        <is>
          <t>Coste semi-variable: término fijo de potencia contratada + consumo eléctrico según horas de producción.</t>
        </is>
      </c>
    </row>
    <row r="153">
      <c r="B153" t="n">
        <v>2027</v>
      </c>
      <c r="C153" t="inlineStr">
        <is>
          <t>Codiagro</t>
        </is>
      </c>
      <c r="D153" t="inlineStr">
        <is>
          <t>RESULTADO DEL EJERCICIO</t>
        </is>
      </c>
      <c r="E153" t="inlineStr">
        <is>
          <t>RESULTADO ANTES DE IMPUESTOS</t>
        </is>
      </c>
      <c r="F153" t="inlineStr">
        <is>
          <t>RESULTADO DE LA EXPLOTACION</t>
        </is>
      </c>
      <c r="G153" t="inlineStr">
        <is>
          <t>7.- Otros gastos de explotación</t>
        </is>
      </c>
      <c r="H153" t="inlineStr">
        <is>
          <t>(628) Suministros</t>
        </is>
      </c>
      <c r="I153" t="inlineStr">
        <is>
          <t>628000003 - SUMINISTROS AGUA</t>
        </is>
      </c>
      <c r="J153" t="inlineStr">
        <is>
          <t>-</t>
        </is>
      </c>
      <c r="K153" s="4" t="n">
        <v>-1435.94</v>
      </c>
      <c r="L153" s="4" t="n">
        <v>-1435.94</v>
      </c>
      <c r="M153" s="4" t="n">
        <v>-1435.94</v>
      </c>
      <c r="N153" s="4" t="n">
        <v>-1435.94</v>
      </c>
      <c r="O153" s="173" t="n">
        <v>-1435.94</v>
      </c>
      <c r="P153" s="4" t="n">
        <v>-1435.94</v>
      </c>
      <c r="Q153" s="4" t="n">
        <v>-1435.94</v>
      </c>
      <c r="R153" s="4" t="n">
        <v>-1435.94</v>
      </c>
      <c r="S153" s="4" t="n">
        <v>-1435.94</v>
      </c>
      <c r="T153" s="4" t="n">
        <v>-1435.94</v>
      </c>
      <c r="U153" s="4" t="n">
        <v>-1435.94</v>
      </c>
      <c r="V153" s="4" t="n">
        <v>-1435.94</v>
      </c>
      <c r="W153" s="4" t="n">
        <v>-17231.28</v>
      </c>
      <c r="X153" t="inlineStr">
        <is>
          <t>Proyección extrapolada de actividad recurrente.</t>
        </is>
      </c>
    </row>
    <row r="154">
      <c r="B154" t="n">
        <v>2027</v>
      </c>
      <c r="C154" t="inlineStr">
        <is>
          <t>Codiagro</t>
        </is>
      </c>
      <c r="D154" t="inlineStr">
        <is>
          <t>RESULTADO DEL EJERCICIO</t>
        </is>
      </c>
      <c r="E154" t="inlineStr">
        <is>
          <t>RESULTADO ANTES DE IMPUESTOS</t>
        </is>
      </c>
      <c r="F154" t="inlineStr">
        <is>
          <t>RESULTADO DE LA EXPLOTACION</t>
        </is>
      </c>
      <c r="G154" t="inlineStr">
        <is>
          <t>7.- Otros gastos de explotación</t>
        </is>
      </c>
      <c r="H154" t="inlineStr">
        <is>
          <t>(628) Suministros</t>
        </is>
      </c>
      <c r="I154" t="inlineStr">
        <is>
          <t>628000004 - SUMINISTROS TELEFONIA E INTERNET</t>
        </is>
      </c>
      <c r="J154" t="inlineStr">
        <is>
          <t>-</t>
        </is>
      </c>
      <c r="K154" s="4" t="n">
        <v>-800</v>
      </c>
      <c r="L154" s="4" t="n">
        <v>-800</v>
      </c>
      <c r="M154" s="4" t="n">
        <v>-250</v>
      </c>
      <c r="N154" s="4" t="n">
        <v>-250</v>
      </c>
      <c r="O154" s="173" t="n">
        <v>-250</v>
      </c>
      <c r="P154" s="4" t="n">
        <v>-250</v>
      </c>
      <c r="Q154" s="4" t="n">
        <v>-250</v>
      </c>
      <c r="R154" s="4" t="n">
        <v>-250</v>
      </c>
      <c r="S154" s="4" t="n">
        <v>-250</v>
      </c>
      <c r="T154" s="4" t="n">
        <v>-250</v>
      </c>
      <c r="U154" s="4" t="n">
        <v>-800</v>
      </c>
      <c r="V154" s="4" t="n">
        <v>-800</v>
      </c>
      <c r="W154" s="4" t="n">
        <v>-5200</v>
      </c>
      <c r="X154" t="inlineStr">
        <is>
          <t>Coste semi-variable estacional: climatización de instalaciones y caldera en meses fríos.</t>
        </is>
      </c>
    </row>
    <row r="155">
      <c r="B155" t="n">
        <v>2027</v>
      </c>
      <c r="C155" t="inlineStr">
        <is>
          <t>Codiagro</t>
        </is>
      </c>
      <c r="D155" t="inlineStr">
        <is>
          <t>RESULTADO DEL EJERCICIO</t>
        </is>
      </c>
      <c r="E155" t="inlineStr">
        <is>
          <t>RESULTADO ANTES DE IMPUESTOS</t>
        </is>
      </c>
      <c r="F155" t="inlineStr">
        <is>
          <t>RESULTADO DE LA EXPLOTACION</t>
        </is>
      </c>
      <c r="G155" t="inlineStr">
        <is>
          <t>7.- Otros gastos de explotación</t>
        </is>
      </c>
      <c r="H155" t="inlineStr">
        <is>
          <t>(628) Suministros</t>
        </is>
      </c>
      <c r="I155" t="inlineStr">
        <is>
          <t>628000005 - SUMINISTROS GASOLEO</t>
        </is>
      </c>
      <c r="J155" t="inlineStr">
        <is>
          <t>-</t>
        </is>
      </c>
      <c r="K155" s="4" t="n">
        <v>-1693.78</v>
      </c>
      <c r="L155" s="4" t="n">
        <v>-1693.78</v>
      </c>
      <c r="M155" s="4" t="n">
        <v>-1693.78</v>
      </c>
      <c r="N155" s="4" t="n">
        <v>-1693.78</v>
      </c>
      <c r="O155" s="173" t="n">
        <v>-1693.78</v>
      </c>
      <c r="P155" s="4" t="n">
        <v>-1693.78</v>
      </c>
      <c r="Q155" s="4" t="n">
        <v>-1693.78</v>
      </c>
      <c r="R155" s="4" t="n">
        <v>-1693.78</v>
      </c>
      <c r="S155" s="4" t="n">
        <v>-1693.78</v>
      </c>
      <c r="T155" s="4" t="n">
        <v>-1693.78</v>
      </c>
      <c r="U155" s="4" t="n">
        <v>-1693.78</v>
      </c>
      <c r="V155" s="4" t="n">
        <v>-1693.78</v>
      </c>
      <c r="W155" s="4" t="n">
        <v>-20325.36</v>
      </c>
      <c r="X155" t="inlineStr">
        <is>
          <t>Proyección extrapolada de actividad recurrente.</t>
        </is>
      </c>
    </row>
    <row r="156">
      <c r="B156" t="n">
        <v>2027</v>
      </c>
      <c r="C156" t="inlineStr">
        <is>
          <t>Codiagro</t>
        </is>
      </c>
      <c r="D156" t="inlineStr">
        <is>
          <t>RESULTADO DEL EJERCICIO</t>
        </is>
      </c>
      <c r="E156" t="inlineStr">
        <is>
          <t>RESULTADO ANTES DE IMPUESTOS</t>
        </is>
      </c>
      <c r="F156" t="inlineStr">
        <is>
          <t>RESULTADO DE LA EXPLOTACION</t>
        </is>
      </c>
      <c r="G156" t="inlineStr">
        <is>
          <t>7.- Otros gastos de explotación</t>
        </is>
      </c>
      <c r="H156" t="inlineStr">
        <is>
          <t>(629) Otros servicios</t>
        </is>
      </c>
      <c r="I156" t="inlineStr">
        <is>
          <t>629000001 - HOSPEDAJE WEB</t>
        </is>
      </c>
      <c r="J156" t="inlineStr">
        <is>
          <t>-</t>
        </is>
      </c>
      <c r="K156" s="4" t="n">
        <v>-213</v>
      </c>
      <c r="L156" s="4" t="n">
        <v>-213</v>
      </c>
      <c r="M156" s="4" t="n">
        <v>-213</v>
      </c>
      <c r="N156" s="4" t="n">
        <v>-213</v>
      </c>
      <c r="O156" s="173" t="n">
        <v>-213</v>
      </c>
      <c r="P156" s="4" t="n">
        <v>-213</v>
      </c>
      <c r="Q156" s="4" t="n">
        <v>-213</v>
      </c>
      <c r="R156" s="4" t="n">
        <v>-213</v>
      </c>
      <c r="S156" s="4" t="n">
        <v>-213</v>
      </c>
      <c r="T156" s="4" t="n">
        <v>-213</v>
      </c>
      <c r="U156" s="4" t="n">
        <v>-213</v>
      </c>
      <c r="V156" s="4" t="n">
        <v>-213</v>
      </c>
      <c r="W156" s="4" t="n">
        <v>-2556</v>
      </c>
      <c r="X156" t="inlineStr">
        <is>
          <t>Coste operativo general de estructura y servicios de oficinas/fábrica.</t>
        </is>
      </c>
    </row>
    <row r="157">
      <c r="B157" t="n">
        <v>2027</v>
      </c>
      <c r="C157" t="inlineStr">
        <is>
          <t>Codiagro</t>
        </is>
      </c>
      <c r="D157" t="inlineStr">
        <is>
          <t>RESULTADO DEL EJERCICIO</t>
        </is>
      </c>
      <c r="E157" t="inlineStr">
        <is>
          <t>RESULTADO ANTES DE IMPUESTOS</t>
        </is>
      </c>
      <c r="F157" t="inlineStr">
        <is>
          <t>RESULTADO DE LA EXPLOTACION</t>
        </is>
      </c>
      <c r="G157" t="inlineStr">
        <is>
          <t>7.- Otros gastos de explotación</t>
        </is>
      </c>
      <c r="H157" t="inlineStr">
        <is>
          <t>(629) Otros servicios</t>
        </is>
      </c>
      <c r="I157" t="inlineStr">
        <is>
          <t>629000002 - OTROS GASTOS</t>
        </is>
      </c>
      <c r="J157" t="inlineStr">
        <is>
          <t>-</t>
        </is>
      </c>
      <c r="K157" s="4" t="n">
        <v>-7550</v>
      </c>
      <c r="L157" s="4" t="n">
        <v>0</v>
      </c>
      <c r="M157" s="4" t="n">
        <v>0</v>
      </c>
      <c r="N157" s="4" t="n">
        <v>0</v>
      </c>
      <c r="O157" s="173" t="n">
        <v>0</v>
      </c>
      <c r="P157" s="4" t="n">
        <v>0</v>
      </c>
      <c r="Q157" s="4" t="n">
        <v>-515</v>
      </c>
      <c r="R157" s="4" t="n">
        <v>0</v>
      </c>
      <c r="S157" s="4" t="n">
        <v>-8625</v>
      </c>
      <c r="T157" s="4" t="n">
        <v>0</v>
      </c>
      <c r="U157" s="4" t="n">
        <v>0</v>
      </c>
      <c r="V157" s="4" t="n">
        <v>-8625</v>
      </c>
      <c r="W157" s="4" t="n">
        <v>-25315</v>
      </c>
      <c r="X157" t="inlineStr">
        <is>
          <t>Presupuesto Regulatory 2027: Declaración y cuotas anuales SCRAP envases agrarios AEVAE (-25.315,00 €).</t>
        </is>
      </c>
    </row>
    <row r="158">
      <c r="B158" t="n">
        <v>2027</v>
      </c>
      <c r="C158" t="inlineStr">
        <is>
          <t>Codiagro</t>
        </is>
      </c>
      <c r="D158" t="inlineStr">
        <is>
          <t>RESULTADO DEL EJERCICIO</t>
        </is>
      </c>
      <c r="E158" t="inlineStr">
        <is>
          <t>RESULTADO ANTES DE IMPUESTOS</t>
        </is>
      </c>
      <c r="F158" t="inlineStr">
        <is>
          <t>RESULTADO DE LA EXPLOTACION</t>
        </is>
      </c>
      <c r="G158" t="inlineStr">
        <is>
          <t>7.- Otros gastos de explotación</t>
        </is>
      </c>
      <c r="H158" t="inlineStr">
        <is>
          <t>(629) Otros servicios</t>
        </is>
      </c>
      <c r="I158" t="inlineStr">
        <is>
          <t>629000003 - SUSCRIPCIONES A REVISTAS Y PERIODICOS</t>
        </is>
      </c>
      <c r="J158" t="inlineStr">
        <is>
          <t>-</t>
        </is>
      </c>
      <c r="K158" s="4" t="n">
        <v>-460.58</v>
      </c>
      <c r="L158" s="4" t="n">
        <v>-460.58</v>
      </c>
      <c r="M158" s="4" t="n">
        <v>-460.58</v>
      </c>
      <c r="N158" s="4" t="n">
        <v>-460.58</v>
      </c>
      <c r="O158" s="173" t="n">
        <v>-460.58</v>
      </c>
      <c r="P158" s="4" t="n">
        <v>-460.58</v>
      </c>
      <c r="Q158" s="4" t="n">
        <v>-460.58</v>
      </c>
      <c r="R158" s="4" t="n">
        <v>-460.58</v>
      </c>
      <c r="S158" s="4" t="n">
        <v>-460.58</v>
      </c>
      <c r="T158" s="4" t="n">
        <v>-460.58</v>
      </c>
      <c r="U158" s="4" t="n">
        <v>-460.58</v>
      </c>
      <c r="V158" s="4" t="n">
        <v>-460.58</v>
      </c>
      <c r="W158" s="4" t="n">
        <v>-5526.96</v>
      </c>
      <c r="X158" t="inlineStr">
        <is>
          <t>Coste operativo general de estructura y servicios de oficinas/fábrica.</t>
        </is>
      </c>
    </row>
    <row r="159">
      <c r="B159" t="n">
        <v>2027</v>
      </c>
      <c r="C159" t="inlineStr">
        <is>
          <t>Codiagro</t>
        </is>
      </c>
      <c r="D159" t="inlineStr">
        <is>
          <t>RESULTADO DEL EJERCICIO</t>
        </is>
      </c>
      <c r="E159" t="inlineStr">
        <is>
          <t>RESULTADO ANTES DE IMPUESTOS</t>
        </is>
      </c>
      <c r="F159" t="inlineStr">
        <is>
          <t>RESULTADO DE LA EXPLOTACION</t>
        </is>
      </c>
      <c r="G159" t="inlineStr">
        <is>
          <t>7.- Otros gastos de explotación</t>
        </is>
      </c>
      <c r="H159" t="inlineStr">
        <is>
          <t>(629) Otros servicios</t>
        </is>
      </c>
      <c r="I159" t="inlineStr">
        <is>
          <t>629000004 - GTOS. SERV. VIGILANCIA</t>
        </is>
      </c>
      <c r="J159" t="inlineStr">
        <is>
          <t>-</t>
        </is>
      </c>
      <c r="K159" s="4" t="n">
        <v>-74.98999999999999</v>
      </c>
      <c r="L159" s="4" t="n">
        <v>-74.98999999999999</v>
      </c>
      <c r="M159" s="4" t="n">
        <v>-74.98999999999999</v>
      </c>
      <c r="N159" s="4" t="n">
        <v>-74.98999999999999</v>
      </c>
      <c r="O159" s="173" t="n">
        <v>-74.98999999999999</v>
      </c>
      <c r="P159" s="4" t="n">
        <v>-74.98999999999999</v>
      </c>
      <c r="Q159" s="4" t="n">
        <v>-74.98999999999999</v>
      </c>
      <c r="R159" s="4" t="n">
        <v>-74.98999999999999</v>
      </c>
      <c r="S159" s="4" t="n">
        <v>-74.98999999999999</v>
      </c>
      <c r="T159" s="4" t="n">
        <v>-74.98999999999999</v>
      </c>
      <c r="U159" s="4" t="n">
        <v>-74.98999999999999</v>
      </c>
      <c r="V159" s="4" t="n">
        <v>-74.98999999999999</v>
      </c>
      <c r="W159" s="4" t="n">
        <v>-899.88</v>
      </c>
      <c r="X159" t="inlineStr">
        <is>
          <t>Coste operativo general de estructura y servicios de oficinas/fábrica.</t>
        </is>
      </c>
    </row>
    <row r="160">
      <c r="B160" t="n">
        <v>2027</v>
      </c>
      <c r="C160" t="inlineStr">
        <is>
          <t>Codiagro</t>
        </is>
      </c>
      <c r="D160" t="inlineStr">
        <is>
          <t>RESULTADO DEL EJERCICIO</t>
        </is>
      </c>
      <c r="E160" t="inlineStr">
        <is>
          <t>RESULTADO ANTES DE IMPUESTOS</t>
        </is>
      </c>
      <c r="F160" t="inlineStr">
        <is>
          <t>RESULTADO DE LA EXPLOTACION</t>
        </is>
      </c>
      <c r="G160" t="inlineStr">
        <is>
          <t>7.- Otros gastos de explotación</t>
        </is>
      </c>
      <c r="H160" t="inlineStr">
        <is>
          <t>(629) Otros servicios</t>
        </is>
      </c>
      <c r="I160" t="inlineStr">
        <is>
          <t>629000005 - GTOS. ANALISIS LABORATORIOS</t>
        </is>
      </c>
      <c r="J160" t="inlineStr">
        <is>
          <t>-</t>
        </is>
      </c>
      <c r="K160" s="4" t="n">
        <v>-550</v>
      </c>
      <c r="L160" s="4" t="n">
        <v>-550</v>
      </c>
      <c r="M160" s="4" t="n">
        <v>-550</v>
      </c>
      <c r="N160" s="4" t="n">
        <v>-550</v>
      </c>
      <c r="O160" s="173" t="n">
        <v>-550</v>
      </c>
      <c r="P160" s="4" t="n">
        <v>-550</v>
      </c>
      <c r="Q160" s="4" t="n">
        <v>-550</v>
      </c>
      <c r="R160" s="4" t="n">
        <v>-550</v>
      </c>
      <c r="S160" s="4" t="n">
        <v>-550</v>
      </c>
      <c r="T160" s="4" t="n">
        <v>-550</v>
      </c>
      <c r="U160" s="4" t="n">
        <v>-550</v>
      </c>
      <c r="V160" s="4" t="n">
        <v>-550</v>
      </c>
      <c r="W160" s="4" t="n">
        <v>-6600</v>
      </c>
      <c r="X160" t="inlineStr">
        <is>
          <t>Presupuesto Regulatory 2027: Análisis externos de laboratorio para soporte regulatorio (-550 €/mes = -6.600,00 €).</t>
        </is>
      </c>
    </row>
    <row r="161">
      <c r="B161" t="n">
        <v>2027</v>
      </c>
      <c r="C161" t="inlineStr">
        <is>
          <t>Codiagro</t>
        </is>
      </c>
      <c r="D161" t="inlineStr">
        <is>
          <t>RESULTADO DEL EJERCICIO</t>
        </is>
      </c>
      <c r="E161" t="inlineStr">
        <is>
          <t>RESULTADO ANTES DE IMPUESTOS</t>
        </is>
      </c>
      <c r="F161" t="inlineStr">
        <is>
          <t>RESULTADO DE LA EXPLOTACION</t>
        </is>
      </c>
      <c r="G161" t="inlineStr">
        <is>
          <t>7.- Otros gastos de explotación</t>
        </is>
      </c>
      <c r="H161" t="inlineStr">
        <is>
          <t>(629) Otros servicios</t>
        </is>
      </c>
      <c r="I161" t="inlineStr">
        <is>
          <t>629000006 - GASTOS CORREOS</t>
        </is>
      </c>
      <c r="J161" t="inlineStr">
        <is>
          <t>-</t>
        </is>
      </c>
      <c r="K161" s="4" t="n">
        <v>-96</v>
      </c>
      <c r="L161" s="4" t="n">
        <v>-96</v>
      </c>
      <c r="M161" s="4" t="n">
        <v>-96</v>
      </c>
      <c r="N161" s="4" t="n">
        <v>-96</v>
      </c>
      <c r="O161" s="173" t="n">
        <v>-96</v>
      </c>
      <c r="P161" s="4" t="n">
        <v>-96</v>
      </c>
      <c r="Q161" s="4" t="n">
        <v>-96</v>
      </c>
      <c r="R161" s="4" t="n">
        <v>-96</v>
      </c>
      <c r="S161" s="4" t="n">
        <v>-96</v>
      </c>
      <c r="T161" s="4" t="n">
        <v>-96</v>
      </c>
      <c r="U161" s="4" t="n">
        <v>-96</v>
      </c>
      <c r="V161" s="4" t="n">
        <v>-96</v>
      </c>
      <c r="W161" s="4" t="n">
        <v>-1152</v>
      </c>
      <c r="X161" t="inlineStr">
        <is>
          <t>Coste operativo general de estructura y servicios de oficinas/fábrica.</t>
        </is>
      </c>
    </row>
    <row r="162">
      <c r="B162" t="n">
        <v>2027</v>
      </c>
      <c r="C162" t="inlineStr">
        <is>
          <t>Codiagro</t>
        </is>
      </c>
      <c r="D162" t="inlineStr">
        <is>
          <t>RESULTADO DEL EJERCICIO</t>
        </is>
      </c>
      <c r="E162" t="inlineStr">
        <is>
          <t>RESULTADO ANTES DE IMPUESTOS</t>
        </is>
      </c>
      <c r="F162" t="inlineStr">
        <is>
          <t>RESULTADO DE LA EXPLOTACION</t>
        </is>
      </c>
      <c r="G162" t="inlineStr">
        <is>
          <t>7.- Otros gastos de explotación</t>
        </is>
      </c>
      <c r="H162" t="inlineStr">
        <is>
          <t>(629) Otros servicios</t>
        </is>
      </c>
      <c r="I162" t="inlineStr">
        <is>
          <t>629000007 - GASTOS RETIRADA DE RESIDUOS</t>
        </is>
      </c>
      <c r="J162" t="inlineStr">
        <is>
          <t>-</t>
        </is>
      </c>
      <c r="K162" s="4" t="n">
        <v>-6200</v>
      </c>
      <c r="L162" s="4" t="n">
        <v>-6200</v>
      </c>
      <c r="M162" s="4" t="n">
        <v>-6200</v>
      </c>
      <c r="N162" s="4" t="n">
        <v>-6200</v>
      </c>
      <c r="O162" s="173" t="n">
        <v>-6200</v>
      </c>
      <c r="P162" s="4" t="n">
        <v>-6200</v>
      </c>
      <c r="Q162" s="4" t="n">
        <v>-6200</v>
      </c>
      <c r="R162" s="4" t="n">
        <v>-6200</v>
      </c>
      <c r="S162" s="4" t="n">
        <v>-6200</v>
      </c>
      <c r="T162" s="4" t="n">
        <v>-6200</v>
      </c>
      <c r="U162" s="4" t="n">
        <v>-6200</v>
      </c>
      <c r="V162" s="4" t="n">
        <v>-6200</v>
      </c>
      <c r="W162" s="4" t="n">
        <v>-74400</v>
      </c>
      <c r="X162" t="inlineStr">
        <is>
          <t>Presupuesto Regulatory 2027: Retirada y gestión medioambiental de residuos industriales (-6.200 €/mes = -74.400,00 € anual).</t>
        </is>
      </c>
    </row>
    <row r="163">
      <c r="B163" t="n">
        <v>2027</v>
      </c>
      <c r="C163" t="inlineStr">
        <is>
          <t>Codiagro</t>
        </is>
      </c>
      <c r="D163" t="inlineStr">
        <is>
          <t>RESULTADO DEL EJERCICIO</t>
        </is>
      </c>
      <c r="E163" t="inlineStr">
        <is>
          <t>RESULTADO ANTES DE IMPUESTOS</t>
        </is>
      </c>
      <c r="F163" t="inlineStr">
        <is>
          <t>RESULTADO DE LA EXPLOTACION</t>
        </is>
      </c>
      <c r="G163" t="inlineStr">
        <is>
          <t>7.- Otros gastos de explotación</t>
        </is>
      </c>
      <c r="H163" t="inlineStr">
        <is>
          <t>(629) Otros servicios</t>
        </is>
      </c>
      <c r="I163" t="inlineStr">
        <is>
          <t>629000008 - CUOTAS ASOCIACIONES</t>
        </is>
      </c>
      <c r="J163" t="inlineStr">
        <is>
          <t>-</t>
        </is>
      </c>
      <c r="K163" s="4" t="n">
        <v>-600</v>
      </c>
      <c r="L163" s="4" t="n">
        <v>0</v>
      </c>
      <c r="M163" s="4" t="n">
        <v>0</v>
      </c>
      <c r="N163" s="4" t="n">
        <v>-600</v>
      </c>
      <c r="O163" s="173" t="n">
        <v>0</v>
      </c>
      <c r="P163" s="4" t="n">
        <v>0</v>
      </c>
      <c r="Q163" s="4" t="n">
        <v>-600</v>
      </c>
      <c r="R163" s="4" t="n">
        <v>0</v>
      </c>
      <c r="S163" s="4" t="n">
        <v>0</v>
      </c>
      <c r="T163" s="4" t="n">
        <v>0</v>
      </c>
      <c r="U163" s="4" t="n">
        <v>-600</v>
      </c>
      <c r="V163" s="4" t="n">
        <v>0</v>
      </c>
      <c r="W163" s="4" t="n">
        <v>-2400</v>
      </c>
      <c r="X163" t="inlineStr">
        <is>
          <t>Presupuesto Regulatory 2027: Cuota anual asociación sectorial química Quimacova (-2.400,00 €).</t>
        </is>
      </c>
    </row>
    <row r="164">
      <c r="B164" t="n">
        <v>2027</v>
      </c>
      <c r="C164" t="inlineStr">
        <is>
          <t>Codiagro</t>
        </is>
      </c>
      <c r="D164" t="inlineStr">
        <is>
          <t>RESULTADO DEL EJERCICIO</t>
        </is>
      </c>
      <c r="E164" t="inlineStr">
        <is>
          <t>RESULTADO ANTES DE IMPUESTOS</t>
        </is>
      </c>
      <c r="F164" t="inlineStr">
        <is>
          <t>RESULTADO DE LA EXPLOTACION</t>
        </is>
      </c>
      <c r="G164" t="inlineStr">
        <is>
          <t>7.- Otros gastos de explotación</t>
        </is>
      </c>
      <c r="H164" t="inlineStr">
        <is>
          <t>(629) Otros servicios</t>
        </is>
      </c>
      <c r="I164" t="inlineStr">
        <is>
          <t>629000009 - SANCIONES Y MULTAS</t>
        </is>
      </c>
      <c r="J164" t="inlineStr">
        <is>
          <t>-</t>
        </is>
      </c>
      <c r="K164" s="4" t="n">
        <v>-90</v>
      </c>
      <c r="L164" s="4" t="n">
        <v>-90</v>
      </c>
      <c r="M164" s="4" t="n">
        <v>-90</v>
      </c>
      <c r="N164" s="4" t="n">
        <v>-90</v>
      </c>
      <c r="O164" s="173" t="n">
        <v>-90</v>
      </c>
      <c r="P164" s="4" t="n">
        <v>-90</v>
      </c>
      <c r="Q164" s="4" t="n">
        <v>-90</v>
      </c>
      <c r="R164" s="4" t="n">
        <v>-90</v>
      </c>
      <c r="S164" s="4" t="n">
        <v>-90</v>
      </c>
      <c r="T164" s="4" t="n">
        <v>-90</v>
      </c>
      <c r="U164" s="4" t="n">
        <v>-90</v>
      </c>
      <c r="V164" s="4" t="n">
        <v>-90</v>
      </c>
      <c r="W164" s="4" t="n">
        <v>-1080</v>
      </c>
      <c r="X164" t="inlineStr">
        <is>
          <t>Coste operativo general de estructura y servicios de oficinas/fábrica.</t>
        </is>
      </c>
    </row>
    <row r="165">
      <c r="B165" t="n">
        <v>2027</v>
      </c>
      <c r="C165" t="inlineStr">
        <is>
          <t>Codiagro</t>
        </is>
      </c>
      <c r="D165" t="inlineStr">
        <is>
          <t>RESULTADO DEL EJERCICIO</t>
        </is>
      </c>
      <c r="E165" t="inlineStr">
        <is>
          <t>RESULTADO ANTES DE IMPUESTOS</t>
        </is>
      </c>
      <c r="F165" t="inlineStr">
        <is>
          <t>RESULTADO DE LA EXPLOTACION</t>
        </is>
      </c>
      <c r="G165" t="inlineStr">
        <is>
          <t>7.- Otros gastos de explotación</t>
        </is>
      </c>
      <c r="H165" t="inlineStr">
        <is>
          <t>(629) Otros servicios</t>
        </is>
      </c>
      <c r="I165" t="inlineStr">
        <is>
          <t>629000010 - GASTOS COMERCIALES</t>
        </is>
      </c>
      <c r="J165" t="inlineStr">
        <is>
          <t>-</t>
        </is>
      </c>
      <c r="K165" s="4" t="n">
        <v>-819.53</v>
      </c>
      <c r="L165" s="4" t="n">
        <v>-819.53</v>
      </c>
      <c r="M165" s="4" t="n">
        <v>-819.53</v>
      </c>
      <c r="N165" s="4" t="n">
        <v>-819.53</v>
      </c>
      <c r="O165" s="173" t="n">
        <v>-819.53</v>
      </c>
      <c r="P165" s="4" t="n">
        <v>-819.53</v>
      </c>
      <c r="Q165" s="4" t="n">
        <v>-819.53</v>
      </c>
      <c r="R165" s="4" t="n">
        <v>-819.53</v>
      </c>
      <c r="S165" s="4" t="n">
        <v>-819.53</v>
      </c>
      <c r="T165" s="4" t="n">
        <v>-819.53</v>
      </c>
      <c r="U165" s="4" t="n">
        <v>-819.53</v>
      </c>
      <c r="V165" s="4" t="n">
        <v>-819.53</v>
      </c>
      <c r="W165" s="4" t="n">
        <v>-9834.360000000001</v>
      </c>
      <c r="X165" t="inlineStr">
        <is>
          <t>Coste operativo general de estructura y servicios de oficinas/fábrica.</t>
        </is>
      </c>
    </row>
    <row r="166">
      <c r="B166" t="n">
        <v>2027</v>
      </c>
      <c r="C166" t="inlineStr">
        <is>
          <t>Codiagro</t>
        </is>
      </c>
      <c r="D166" t="inlineStr">
        <is>
          <t>RESULTADO DEL EJERCICIO</t>
        </is>
      </c>
      <c r="E166" t="inlineStr">
        <is>
          <t>RESULTADO ANTES DE IMPUESTOS</t>
        </is>
      </c>
      <c r="F166" t="inlineStr">
        <is>
          <t>RESULTADO DE LA EXPLOTACION</t>
        </is>
      </c>
      <c r="G166" t="inlineStr">
        <is>
          <t>7.- Otros gastos de explotación</t>
        </is>
      </c>
      <c r="H166" t="inlineStr">
        <is>
          <t>(629) Otros servicios</t>
        </is>
      </c>
      <c r="I166" t="inlineStr">
        <is>
          <t>629000011 - EPIS PERSONAL</t>
        </is>
      </c>
      <c r="J166" t="inlineStr">
        <is>
          <t>-</t>
        </is>
      </c>
      <c r="K166" s="4" t="n">
        <v>-295.08</v>
      </c>
      <c r="L166" s="4" t="n">
        <v>-295.08</v>
      </c>
      <c r="M166" s="4" t="n">
        <v>-295.08</v>
      </c>
      <c r="N166" s="4" t="n">
        <v>-295.08</v>
      </c>
      <c r="O166" s="173" t="n">
        <v>-295.08</v>
      </c>
      <c r="P166" s="4" t="n">
        <v>-295.08</v>
      </c>
      <c r="Q166" s="4" t="n">
        <v>-295.08</v>
      </c>
      <c r="R166" s="4" t="n">
        <v>-295.08</v>
      </c>
      <c r="S166" s="4" t="n">
        <v>-295.08</v>
      </c>
      <c r="T166" s="4" t="n">
        <v>-295.08</v>
      </c>
      <c r="U166" s="4" t="n">
        <v>-295.08</v>
      </c>
      <c r="V166" s="4" t="n">
        <v>-295.08</v>
      </c>
      <c r="W166" s="4" t="n">
        <v>-3540.96</v>
      </c>
      <c r="X166" t="inlineStr">
        <is>
          <t>Coste operativo general de estructura y servicios de oficinas/fábrica.</t>
        </is>
      </c>
    </row>
    <row r="167">
      <c r="B167" t="n">
        <v>2027</v>
      </c>
      <c r="C167" t="inlineStr">
        <is>
          <t>Codiagro</t>
        </is>
      </c>
      <c r="D167" t="inlineStr">
        <is>
          <t>RESULTADO DEL EJERCICIO</t>
        </is>
      </c>
      <c r="E167" t="inlineStr">
        <is>
          <t>RESULTADO ANTES DE IMPUESTOS</t>
        </is>
      </c>
      <c r="F167" t="inlineStr">
        <is>
          <t>RESULTADO DE LA EXPLOTACION</t>
        </is>
      </c>
      <c r="G167" t="inlineStr">
        <is>
          <t>7.- Otros gastos de explotación</t>
        </is>
      </c>
      <c r="H167" t="inlineStr">
        <is>
          <t>(629) Otros servicios</t>
        </is>
      </c>
      <c r="I167" t="inlineStr">
        <is>
          <t>629000012 - GASTOS VARIOS PERSONAL</t>
        </is>
      </c>
      <c r="J167" t="inlineStr">
        <is>
          <t>-</t>
        </is>
      </c>
      <c r="K167" s="4" t="n">
        <v>-1326.15</v>
      </c>
      <c r="L167" s="4" t="n">
        <v>-1326.15</v>
      </c>
      <c r="M167" s="4" t="n">
        <v>-1326.15</v>
      </c>
      <c r="N167" s="4" t="n">
        <v>-1326.15</v>
      </c>
      <c r="O167" s="173" t="n">
        <v>-1326.15</v>
      </c>
      <c r="P167" s="4" t="n">
        <v>-1326.15</v>
      </c>
      <c r="Q167" s="4" t="n">
        <v>-1326.15</v>
      </c>
      <c r="R167" s="4" t="n">
        <v>-1326.15</v>
      </c>
      <c r="S167" s="4" t="n">
        <v>-1326.15</v>
      </c>
      <c r="T167" s="4" t="n">
        <v>-1326.15</v>
      </c>
      <c r="U167" s="4" t="n">
        <v>-1326.15</v>
      </c>
      <c r="V167" s="4" t="n">
        <v>-1326.15</v>
      </c>
      <c r="W167" s="4" t="n">
        <v>-15913.8</v>
      </c>
      <c r="X167" t="inlineStr">
        <is>
          <t>Coste operativo general de estructura y servicios de oficinas/fábrica.</t>
        </is>
      </c>
    </row>
    <row r="168">
      <c r="B168" t="n">
        <v>2027</v>
      </c>
      <c r="C168" t="inlineStr">
        <is>
          <t>Codiagro</t>
        </is>
      </c>
      <c r="D168" t="inlineStr">
        <is>
          <t>RESULTADO DEL EJERCICIO</t>
        </is>
      </c>
      <c r="E168" t="inlineStr">
        <is>
          <t>RESULTADO ANTES DE IMPUESTOS</t>
        </is>
      </c>
      <c r="F168" t="inlineStr">
        <is>
          <t>RESULTADO DE LA EXPLOTACION</t>
        </is>
      </c>
      <c r="G168" t="inlineStr">
        <is>
          <t>7.- Otros gastos de explotación</t>
        </is>
      </c>
      <c r="H168" t="inlineStr">
        <is>
          <t>(629) Otros servicios</t>
        </is>
      </c>
      <c r="I168" t="inlineStr">
        <is>
          <t>629000013 - FORMACION NO BONIFICADA</t>
        </is>
      </c>
      <c r="J168" t="inlineStr">
        <is>
          <t>-</t>
        </is>
      </c>
      <c r="K168" s="4" t="n">
        <v>-4434.58</v>
      </c>
      <c r="L168" s="4" t="n">
        <v>-4434.58</v>
      </c>
      <c r="M168" s="4" t="n">
        <v>-4434.58</v>
      </c>
      <c r="N168" s="4" t="n">
        <v>-4434.58</v>
      </c>
      <c r="O168" s="173" t="n">
        <v>-4434.58</v>
      </c>
      <c r="P168" s="4" t="n">
        <v>-4434.58</v>
      </c>
      <c r="Q168" s="4" t="n">
        <v>-4434.58</v>
      </c>
      <c r="R168" s="4" t="n">
        <v>-4434.58</v>
      </c>
      <c r="S168" s="4" t="n">
        <v>-4434.58</v>
      </c>
      <c r="T168" s="4" t="n">
        <v>-4434.58</v>
      </c>
      <c r="U168" s="4" t="n">
        <v>-4434.58</v>
      </c>
      <c r="V168" s="4" t="n">
        <v>-4434.62</v>
      </c>
      <c r="W168" s="4" t="n">
        <v>-53215</v>
      </c>
      <c r="X168" t="inlineStr">
        <is>
          <t>Presupuesto anual formación no bonificada (53.215,00 €) con reparto mensual lineal homogéneo.</t>
        </is>
      </c>
    </row>
    <row r="169">
      <c r="B169" t="n">
        <v>2027</v>
      </c>
      <c r="C169" t="inlineStr">
        <is>
          <t>Codiagro</t>
        </is>
      </c>
      <c r="D169" t="inlineStr">
        <is>
          <t>RESULTADO DEL EJERCICIO</t>
        </is>
      </c>
      <c r="E169" t="inlineStr">
        <is>
          <t>RESULTADO ANTES DE IMPUESTOS</t>
        </is>
      </c>
      <c r="F169" t="inlineStr">
        <is>
          <t>RESULTADO DE LA EXPLOTACION</t>
        </is>
      </c>
      <c r="G169" t="inlineStr">
        <is>
          <t>7.- Otros gastos de explotación</t>
        </is>
      </c>
      <c r="H169" t="inlineStr">
        <is>
          <t>(629) Otros servicios</t>
        </is>
      </c>
      <c r="I169" t="inlineStr">
        <is>
          <t>629000014 - ROPA LABORAL</t>
        </is>
      </c>
      <c r="J169" t="inlineStr">
        <is>
          <t>-</t>
        </is>
      </c>
      <c r="K169" s="4" t="n">
        <v>-263.4</v>
      </c>
      <c r="L169" s="4" t="n">
        <v>-263.4</v>
      </c>
      <c r="M169" s="4" t="n">
        <v>-263.4</v>
      </c>
      <c r="N169" s="4" t="n">
        <v>-263.4</v>
      </c>
      <c r="O169" s="173" t="n">
        <v>-263.4</v>
      </c>
      <c r="P169" s="4" t="n">
        <v>-263.4</v>
      </c>
      <c r="Q169" s="4" t="n">
        <v>-263.4</v>
      </c>
      <c r="R169" s="4" t="n">
        <v>-263.4</v>
      </c>
      <c r="S169" s="4" t="n">
        <v>-263.4</v>
      </c>
      <c r="T169" s="4" t="n">
        <v>-263.4</v>
      </c>
      <c r="U169" s="4" t="n">
        <v>-263.4</v>
      </c>
      <c r="V169" s="4" t="n">
        <v>-263.4</v>
      </c>
      <c r="W169" s="4" t="n">
        <v>-3160.800000000001</v>
      </c>
      <c r="X169" t="inlineStr">
        <is>
          <t>Coste operativo general de estructura y servicios de oficinas/fábrica.</t>
        </is>
      </c>
    </row>
    <row r="170">
      <c r="B170" t="n">
        <v>2027</v>
      </c>
      <c r="C170" t="inlineStr">
        <is>
          <t>Codiagro</t>
        </is>
      </c>
      <c r="D170" t="inlineStr">
        <is>
          <t>RESULTADO DEL EJERCICIO</t>
        </is>
      </c>
      <c r="E170" t="inlineStr">
        <is>
          <t>RESULTADO ANTES DE IMPUESTOS</t>
        </is>
      </c>
      <c r="F170" t="inlineStr">
        <is>
          <t>RESULTADO DE LA EXPLOTACION</t>
        </is>
      </c>
      <c r="G170" t="inlineStr">
        <is>
          <t>7.- Otros gastos de explotación</t>
        </is>
      </c>
      <c r="H170" t="inlineStr">
        <is>
          <t>(629) Otros servicios</t>
        </is>
      </c>
      <c r="I170" t="inlineStr">
        <is>
          <t>629000015 MATERIAL DE OFICINA</t>
        </is>
      </c>
      <c r="J170" t="inlineStr">
        <is>
          <t>-</t>
        </is>
      </c>
      <c r="K170" s="4" t="n">
        <v>-156.84</v>
      </c>
      <c r="L170" s="4" t="n">
        <v>-156.84</v>
      </c>
      <c r="M170" s="4" t="n">
        <v>-156.84</v>
      </c>
      <c r="N170" s="4" t="n">
        <v>-156.84</v>
      </c>
      <c r="O170" s="173" t="n">
        <v>-156.84</v>
      </c>
      <c r="P170" s="4" t="n">
        <v>-156.84</v>
      </c>
      <c r="Q170" s="4" t="n">
        <v>-156.84</v>
      </c>
      <c r="R170" s="4" t="n">
        <v>-156.84</v>
      </c>
      <c r="S170" s="4" t="n">
        <v>-156.84</v>
      </c>
      <c r="T170" s="4" t="n">
        <v>-156.84</v>
      </c>
      <c r="U170" s="4" t="n">
        <v>-156.84</v>
      </c>
      <c r="V170" s="4" t="n">
        <v>-156.84</v>
      </c>
      <c r="W170" s="4" t="n">
        <v>-1882.08</v>
      </c>
      <c r="X170" t="inlineStr">
        <is>
          <t>Coste operativo general de estructura y servicios de oficinas/fábrica.</t>
        </is>
      </c>
    </row>
    <row r="171">
      <c r="B171" t="n">
        <v>2027</v>
      </c>
      <c r="C171" t="inlineStr">
        <is>
          <t>Codiagro</t>
        </is>
      </c>
      <c r="D171" t="inlineStr">
        <is>
          <t>RESULTADO DEL EJERCICIO</t>
        </is>
      </c>
      <c r="E171" t="inlineStr">
        <is>
          <t>RESULTADO ANTES DE IMPUESTOS</t>
        </is>
      </c>
      <c r="F171" t="inlineStr">
        <is>
          <t>RESULTADO DE LA EXPLOTACION</t>
        </is>
      </c>
      <c r="G171" t="inlineStr">
        <is>
          <t>7.- Otros gastos de explotación</t>
        </is>
      </c>
      <c r="H171" t="inlineStr">
        <is>
          <t>(629) Otros servicios</t>
        </is>
      </c>
      <c r="I171" t="inlineStr">
        <is>
          <t>629000016 HERRAMIENTAS</t>
        </is>
      </c>
      <c r="J171" t="inlineStr">
        <is>
          <t>-</t>
        </is>
      </c>
      <c r="K171" s="4" t="n">
        <v>-500.03</v>
      </c>
      <c r="L171" s="4" t="n">
        <v>-500.03</v>
      </c>
      <c r="M171" s="4" t="n">
        <v>-500.03</v>
      </c>
      <c r="N171" s="4" t="n">
        <v>-500.03</v>
      </c>
      <c r="O171" s="173" t="n">
        <v>-500.03</v>
      </c>
      <c r="P171" s="4" t="n">
        <v>-500.03</v>
      </c>
      <c r="Q171" s="4" t="n">
        <v>-500.03</v>
      </c>
      <c r="R171" s="4" t="n">
        <v>-500.03</v>
      </c>
      <c r="S171" s="4" t="n">
        <v>-500.03</v>
      </c>
      <c r="T171" s="4" t="n">
        <v>-500.03</v>
      </c>
      <c r="U171" s="4" t="n">
        <v>-500.03</v>
      </c>
      <c r="V171" s="4" t="n">
        <v>-500.03</v>
      </c>
      <c r="W171" s="4" t="n">
        <v>-6000.359999999998</v>
      </c>
      <c r="X171" t="inlineStr">
        <is>
          <t>Coste operativo general de estructura y servicios de oficinas/fábrica.</t>
        </is>
      </c>
    </row>
    <row r="172">
      <c r="B172" t="n">
        <v>2027</v>
      </c>
      <c r="C172" t="inlineStr">
        <is>
          <t>Codiagro</t>
        </is>
      </c>
      <c r="D172" t="inlineStr">
        <is>
          <t>RESULTADO DEL EJERCICIO</t>
        </is>
      </c>
      <c r="E172" t="inlineStr">
        <is>
          <t>RESULTADO ANTES DE IMPUESTOS</t>
        </is>
      </c>
      <c r="F172" t="inlineStr">
        <is>
          <t>RESULTADO DE LA EXPLOTACION</t>
        </is>
      </c>
      <c r="G172" t="inlineStr">
        <is>
          <t>7.- Otros gastos de explotación</t>
        </is>
      </c>
      <c r="H172" t="inlineStr">
        <is>
          <t>(629) Otros servicios</t>
        </is>
      </c>
      <c r="I172" t="inlineStr">
        <is>
          <t>629100001 - GASTOS COMERCIALES PERE PORTA</t>
        </is>
      </c>
      <c r="J172" t="inlineStr">
        <is>
          <t>-</t>
        </is>
      </c>
      <c r="K172" s="4" t="n">
        <v>-1500</v>
      </c>
      <c r="L172" s="4" t="n">
        <v>-2000</v>
      </c>
      <c r="M172" s="4" t="n">
        <v>-2000</v>
      </c>
      <c r="N172" s="4" t="n">
        <v>-2000</v>
      </c>
      <c r="O172" s="173" t="n">
        <v>-2000</v>
      </c>
      <c r="P172" s="4" t="n">
        <v>-2000</v>
      </c>
      <c r="Q172" s="4" t="n">
        <v>-2000</v>
      </c>
      <c r="R172" s="4" t="n">
        <v>-1000</v>
      </c>
      <c r="S172" s="4" t="n">
        <v>-2000</v>
      </c>
      <c r="T172" s="4" t="n">
        <v>-2000</v>
      </c>
      <c r="U172" s="4" t="n">
        <v>-2000</v>
      </c>
      <c r="V172" s="4" t="n">
        <v>-1500</v>
      </c>
      <c r="W172" s="4" t="n">
        <v>-22000</v>
      </c>
      <c r="X172" t="inlineStr">
        <is>
          <t>Gastos comerciales Pere Porta: 2,000.00 €/mes (Agosto al 50%, Enero y Diciembre al 75%). Total año: 22,000.00 €.</t>
        </is>
      </c>
    </row>
    <row r="173">
      <c r="B173" t="n">
        <v>2027</v>
      </c>
      <c r="C173" t="inlineStr">
        <is>
          <t>Codiagro</t>
        </is>
      </c>
      <c r="D173" t="inlineStr">
        <is>
          <t>RESULTADO DEL EJERCICIO</t>
        </is>
      </c>
      <c r="E173" t="inlineStr">
        <is>
          <t>RESULTADO ANTES DE IMPUESTOS</t>
        </is>
      </c>
      <c r="F173" t="inlineStr">
        <is>
          <t>RESULTADO DE LA EXPLOTACION</t>
        </is>
      </c>
      <c r="G173" t="inlineStr">
        <is>
          <t>7.- Otros gastos de explotación</t>
        </is>
      </c>
      <c r="H173" t="inlineStr">
        <is>
          <t>(629) Otros servicios</t>
        </is>
      </c>
      <c r="I173" t="inlineStr">
        <is>
          <t>629100002 - GASTOS RICARDO PEREZ-SANTAMARINA</t>
        </is>
      </c>
      <c r="J173" t="inlineStr">
        <is>
          <t>-</t>
        </is>
      </c>
      <c r="K173" s="4" t="n">
        <v>-1500</v>
      </c>
      <c r="L173" s="4" t="n">
        <v>-2000</v>
      </c>
      <c r="M173" s="4" t="n">
        <v>-2000</v>
      </c>
      <c r="N173" s="4" t="n">
        <v>-2000</v>
      </c>
      <c r="O173" s="173" t="n">
        <v>-2000</v>
      </c>
      <c r="P173" s="4" t="n">
        <v>-2000</v>
      </c>
      <c r="Q173" s="4" t="n">
        <v>-2000</v>
      </c>
      <c r="R173" s="4" t="n">
        <v>-1000</v>
      </c>
      <c r="S173" s="4" t="n">
        <v>-2000</v>
      </c>
      <c r="T173" s="4" t="n">
        <v>-2000</v>
      </c>
      <c r="U173" s="4" t="n">
        <v>-2000</v>
      </c>
      <c r="V173" s="4" t="n">
        <v>-1500</v>
      </c>
      <c r="W173" s="4" t="n">
        <v>-22000</v>
      </c>
      <c r="X173" t="inlineStr">
        <is>
          <t>Gastos comerciales Ricardo Perez: 2,000.00 €/mes (Agosto al 50%, Enero y Diciembre al 75%). Total año: 22,000.00 €.</t>
        </is>
      </c>
    </row>
    <row r="174">
      <c r="B174" t="n">
        <v>2027</v>
      </c>
      <c r="C174" t="inlineStr">
        <is>
          <t>Codiagro</t>
        </is>
      </c>
      <c r="D174" t="inlineStr">
        <is>
          <t>RESULTADO DEL EJERCICIO</t>
        </is>
      </c>
      <c r="E174" t="inlineStr">
        <is>
          <t>RESULTADO ANTES DE IMPUESTOS</t>
        </is>
      </c>
      <c r="F174" t="inlineStr">
        <is>
          <t>RESULTADO DE LA EXPLOTACION</t>
        </is>
      </c>
      <c r="G174" t="inlineStr">
        <is>
          <t>7.- Otros gastos de explotación</t>
        </is>
      </c>
      <c r="H174" t="inlineStr">
        <is>
          <t>(629) Otros servicios</t>
        </is>
      </c>
      <c r="I174" t="inlineStr">
        <is>
          <t>629100003 - GASTOS JAVIER PAREDES</t>
        </is>
      </c>
      <c r="J174" t="inlineStr">
        <is>
          <t>-</t>
        </is>
      </c>
      <c r="K174" s="4" t="n">
        <v>-900</v>
      </c>
      <c r="L174" s="4" t="n">
        <v>-1200</v>
      </c>
      <c r="M174" s="4" t="n">
        <v>-1200</v>
      </c>
      <c r="N174" s="4" t="n">
        <v>-1200</v>
      </c>
      <c r="O174" s="173" t="n">
        <v>-1200</v>
      </c>
      <c r="P174" s="4" t="n">
        <v>-1200</v>
      </c>
      <c r="Q174" s="4" t="n">
        <v>-1200</v>
      </c>
      <c r="R174" s="4" t="n">
        <v>-600</v>
      </c>
      <c r="S174" s="4" t="n">
        <v>-1200</v>
      </c>
      <c r="T174" s="4" t="n">
        <v>-1200</v>
      </c>
      <c r="U174" s="4" t="n">
        <v>-1200</v>
      </c>
      <c r="V174" s="4" t="n">
        <v>-900</v>
      </c>
      <c r="W174" s="4" t="n">
        <v>-13200</v>
      </c>
      <c r="X174" t="inlineStr">
        <is>
          <t>Gastos comerciales Javier Paredes: 1,200.00 €/mes (Agosto al 50%, Enero y Diciembre al 75%). Total año: 13,200.00 €.</t>
        </is>
      </c>
    </row>
    <row r="175">
      <c r="B175" t="n">
        <v>2027</v>
      </c>
      <c r="C175" t="inlineStr">
        <is>
          <t>Codiagro</t>
        </is>
      </c>
      <c r="D175" t="inlineStr">
        <is>
          <t>RESULTADO DEL EJERCICIO</t>
        </is>
      </c>
      <c r="E175" t="inlineStr">
        <is>
          <t>RESULTADO ANTES DE IMPUESTOS</t>
        </is>
      </c>
      <c r="F175" t="inlineStr">
        <is>
          <t>RESULTADO DE LA EXPLOTACION</t>
        </is>
      </c>
      <c r="G175" t="inlineStr">
        <is>
          <t>7.- Otros gastos de explotación</t>
        </is>
      </c>
      <c r="H175" t="inlineStr">
        <is>
          <t>(629) Otros servicios</t>
        </is>
      </c>
      <c r="I175" t="inlineStr">
        <is>
          <t>629100004 - GASTOS GARCIA</t>
        </is>
      </c>
      <c r="J175" t="inlineStr">
        <is>
          <t>-</t>
        </is>
      </c>
      <c r="K175" s="4" t="n">
        <v>-1500</v>
      </c>
      <c r="L175" s="4" t="n">
        <v>-2000</v>
      </c>
      <c r="M175" s="4" t="n">
        <v>-2000</v>
      </c>
      <c r="N175" s="4" t="n">
        <v>-2000</v>
      </c>
      <c r="O175" s="173" t="n">
        <v>-2000</v>
      </c>
      <c r="P175" s="4" t="n">
        <v>-2000</v>
      </c>
      <c r="Q175" s="4" t="n">
        <v>-2000</v>
      </c>
      <c r="R175" s="4" t="n">
        <v>-1000</v>
      </c>
      <c r="S175" s="4" t="n">
        <v>-2000</v>
      </c>
      <c r="T175" s="4" t="n">
        <v>-2000</v>
      </c>
      <c r="U175" s="4" t="n">
        <v>-2000</v>
      </c>
      <c r="V175" s="4" t="n">
        <v>-1500</v>
      </c>
      <c r="W175" s="4" t="n">
        <v>-22000</v>
      </c>
      <c r="X175" t="inlineStr">
        <is>
          <t>Gastos comerciales Garcia: 2,000.00 €/mes (Agosto al 50%, Enero y Diciembre al 75%). Total año: 22,000.00 €.</t>
        </is>
      </c>
    </row>
    <row r="176">
      <c r="B176" t="n">
        <v>2027</v>
      </c>
      <c r="C176" t="inlineStr">
        <is>
          <t>Codiagro</t>
        </is>
      </c>
      <c r="D176" t="inlineStr">
        <is>
          <t>RESULTADO DEL EJERCICIO</t>
        </is>
      </c>
      <c r="E176" t="inlineStr">
        <is>
          <t>RESULTADO ANTES DE IMPUESTOS</t>
        </is>
      </c>
      <c r="F176" t="inlineStr">
        <is>
          <t>RESULTADO DE LA EXPLOTACION</t>
        </is>
      </c>
      <c r="G176" t="inlineStr">
        <is>
          <t>7.- Otros gastos de explotación</t>
        </is>
      </c>
      <c r="H176" t="inlineStr">
        <is>
          <t>(629) Otros servicios</t>
        </is>
      </c>
      <c r="I176" t="inlineStr">
        <is>
          <t>629100005 - GASTOS IRENE</t>
        </is>
      </c>
      <c r="J176" t="inlineStr">
        <is>
          <t>-</t>
        </is>
      </c>
      <c r="K176" s="4" t="n">
        <v>-450</v>
      </c>
      <c r="L176" s="4" t="n">
        <v>-600</v>
      </c>
      <c r="M176" s="4" t="n">
        <v>-600</v>
      </c>
      <c r="N176" s="4" t="n">
        <v>-600</v>
      </c>
      <c r="O176" s="173" t="n">
        <v>-600</v>
      </c>
      <c r="P176" s="4" t="n">
        <v>-600</v>
      </c>
      <c r="Q176" s="4" t="n">
        <v>-600</v>
      </c>
      <c r="R176" s="4" t="n">
        <v>-300</v>
      </c>
      <c r="S176" s="4" t="n">
        <v>-600</v>
      </c>
      <c r="T176" s="4" t="n">
        <v>-600</v>
      </c>
      <c r="U176" s="4" t="n">
        <v>-600</v>
      </c>
      <c r="V176" s="4" t="n">
        <v>-450</v>
      </c>
      <c r="W176" s="4" t="n">
        <v>-6600</v>
      </c>
      <c r="X176" t="inlineStr">
        <is>
          <t>Gastos comerciales Irene: 600.00 €/mes (Agosto al 50%, Enero y Diciembre al 75%). Total año: 6,600.00 €.</t>
        </is>
      </c>
    </row>
    <row r="177">
      <c r="B177" t="n">
        <v>2027</v>
      </c>
      <c r="C177" t="inlineStr">
        <is>
          <t>Codiagro</t>
        </is>
      </c>
      <c r="D177" t="inlineStr">
        <is>
          <t>RESULTADO DEL EJERCICIO</t>
        </is>
      </c>
      <c r="E177" t="inlineStr">
        <is>
          <t>RESULTADO ANTES DE IMPUESTOS</t>
        </is>
      </c>
      <c r="F177" t="inlineStr">
        <is>
          <t>RESULTADO DE LA EXPLOTACION</t>
        </is>
      </c>
      <c r="G177" t="inlineStr">
        <is>
          <t>7.- Otros gastos de explotación</t>
        </is>
      </c>
      <c r="H177" t="inlineStr">
        <is>
          <t>(629) Otros servicios</t>
        </is>
      </c>
      <c r="I177" t="inlineStr">
        <is>
          <t>629100006 - GASTOS ANTONIO ANDREU</t>
        </is>
      </c>
      <c r="J177" t="inlineStr">
        <is>
          <t>-</t>
        </is>
      </c>
      <c r="K177" s="4" t="n">
        <v>-202.44</v>
      </c>
      <c r="L177" s="4" t="n">
        <v>-202.44</v>
      </c>
      <c r="M177" s="4" t="n">
        <v>-202.44</v>
      </c>
      <c r="N177" s="4" t="n">
        <v>-202.44</v>
      </c>
      <c r="O177" s="4" t="n">
        <v>-202.44</v>
      </c>
      <c r="P177" s="4" t="n">
        <v>-202.44</v>
      </c>
      <c r="Q177" s="4" t="n">
        <v>-202.44</v>
      </c>
      <c r="R177" s="4" t="n">
        <v>-202.44</v>
      </c>
      <c r="S177" s="4" t="n">
        <v>-202.44</v>
      </c>
      <c r="T177" s="4" t="n">
        <v>-202.44</v>
      </c>
      <c r="U177" s="4" t="n">
        <v>-202.44</v>
      </c>
      <c r="V177" s="4" t="n">
        <v>-202.44</v>
      </c>
      <c r="W177" s="4" t="n">
        <v>-2429.28</v>
      </c>
      <c r="X177" t="inlineStr">
        <is>
          <t>Coste operativo general de estructura y servicios de oficinas/fábrica.</t>
        </is>
      </c>
    </row>
    <row r="178">
      <c r="B178" t="n">
        <v>2027</v>
      </c>
      <c r="C178" t="inlineStr">
        <is>
          <t>Codiagro</t>
        </is>
      </c>
      <c r="D178" t="inlineStr">
        <is>
          <t>RESULTADO DEL EJERCICIO</t>
        </is>
      </c>
      <c r="E178" t="inlineStr">
        <is>
          <t>RESULTADO ANTES DE IMPUESTOS</t>
        </is>
      </c>
      <c r="F178" t="inlineStr">
        <is>
          <t>RESULTADO DE LA EXPLOTACION</t>
        </is>
      </c>
      <c r="G178" t="inlineStr">
        <is>
          <t>7.- Otros gastos de explotación</t>
        </is>
      </c>
      <c r="H178" t="inlineStr">
        <is>
          <t>(629) Otros servicios</t>
        </is>
      </c>
      <c r="I178" t="inlineStr">
        <is>
          <t>629100007 - GASTOS CURRO</t>
        </is>
      </c>
      <c r="J178" t="inlineStr">
        <is>
          <t>-</t>
        </is>
      </c>
      <c r="K178" s="4" t="n">
        <v>-91.05</v>
      </c>
      <c r="L178" s="4" t="n">
        <v>-91.05</v>
      </c>
      <c r="M178" s="4" t="n">
        <v>-91.05</v>
      </c>
      <c r="N178" s="4" t="n">
        <v>-91.05</v>
      </c>
      <c r="O178" s="4" t="n">
        <v>-91.05</v>
      </c>
      <c r="P178" s="4" t="n">
        <v>-91.05</v>
      </c>
      <c r="Q178" s="4" t="n">
        <v>-91.05</v>
      </c>
      <c r="R178" s="4" t="n">
        <v>-91.05</v>
      </c>
      <c r="S178" s="4" t="n">
        <v>-91.05</v>
      </c>
      <c r="T178" s="4" t="n">
        <v>-91.05</v>
      </c>
      <c r="U178" s="4" t="n">
        <v>-91.05</v>
      </c>
      <c r="V178" s="4" t="n">
        <v>-91.05</v>
      </c>
      <c r="W178" s="4" t="n">
        <v>-1092.6</v>
      </c>
      <c r="X178" t="inlineStr">
        <is>
          <t>Coste operativo general de estructura y servicios de oficinas/fábrica.</t>
        </is>
      </c>
    </row>
    <row r="179">
      <c r="B179" t="n">
        <v>2027</v>
      </c>
      <c r="C179" t="inlineStr">
        <is>
          <t>Codiagro</t>
        </is>
      </c>
      <c r="D179" t="inlineStr">
        <is>
          <t>RESULTADO DEL EJERCICIO</t>
        </is>
      </c>
      <c r="E179" t="inlineStr">
        <is>
          <t>RESULTADO ANTES DE IMPUESTOS</t>
        </is>
      </c>
      <c r="F179" t="inlineStr">
        <is>
          <t>RESULTADO DE LA EXPLOTACION</t>
        </is>
      </c>
      <c r="G179" t="inlineStr">
        <is>
          <t>7.- Otros gastos de explotación</t>
        </is>
      </c>
      <c r="H179" t="inlineStr">
        <is>
          <t>(629) Otros servicios</t>
        </is>
      </c>
      <c r="I179" t="inlineStr">
        <is>
          <t>629100008 GASTOS PEDRO MEDINA</t>
        </is>
      </c>
      <c r="J179" t="inlineStr">
        <is>
          <t>-</t>
        </is>
      </c>
      <c r="K179" s="4" t="n">
        <v>-450</v>
      </c>
      <c r="L179" s="4" t="n">
        <v>-600</v>
      </c>
      <c r="M179" s="4" t="n">
        <v>-600</v>
      </c>
      <c r="N179" s="4" t="n">
        <v>-600</v>
      </c>
      <c r="O179" s="173" t="n">
        <v>-600</v>
      </c>
      <c r="P179" s="4" t="n">
        <v>-600</v>
      </c>
      <c r="Q179" s="4" t="n">
        <v>-600</v>
      </c>
      <c r="R179" s="4" t="n">
        <v>-300</v>
      </c>
      <c r="S179" s="4" t="n">
        <v>-600</v>
      </c>
      <c r="T179" s="4" t="n">
        <v>-600</v>
      </c>
      <c r="U179" s="4" t="n">
        <v>-600</v>
      </c>
      <c r="V179" s="4" t="n">
        <v>-450</v>
      </c>
      <c r="W179" s="4" t="n">
        <v>-6600</v>
      </c>
      <c r="X179" t="inlineStr">
        <is>
          <t>Gastos comerciales Pedro Medina: 600.00 €/mes (Agosto al 50%, Enero y Diciembre al 75%). Total año: 6,600.00 €.</t>
        </is>
      </c>
    </row>
    <row r="180">
      <c r="B180" t="n">
        <v>2027</v>
      </c>
      <c r="C180" t="inlineStr">
        <is>
          <t>Codiagro</t>
        </is>
      </c>
      <c r="D180" t="inlineStr">
        <is>
          <t>RESULTADO DEL EJERCICIO</t>
        </is>
      </c>
      <c r="E180" t="inlineStr">
        <is>
          <t>RESULTADO ANTES DE IMPUESTOS</t>
        </is>
      </c>
      <c r="F180" t="inlineStr">
        <is>
          <t>RESULTADO DE LA EXPLOTACION</t>
        </is>
      </c>
      <c r="G180" t="inlineStr">
        <is>
          <t>7.- Otros gastos de explotación</t>
        </is>
      </c>
      <c r="H180" t="inlineStr">
        <is>
          <t>(631) Otros tributos</t>
        </is>
      </c>
      <c r="I180" t="inlineStr">
        <is>
          <t>631000001 - IMPUESTOS VEHÍCULOS</t>
        </is>
      </c>
      <c r="J180" t="inlineStr">
        <is>
          <t>-</t>
        </is>
      </c>
      <c r="K180" s="4" t="n">
        <v>-156.06</v>
      </c>
      <c r="L180" s="4" t="n">
        <v>-156.06</v>
      </c>
      <c r="M180" s="4" t="n">
        <v>-156.06</v>
      </c>
      <c r="N180" s="4" t="n">
        <v>-156.06</v>
      </c>
      <c r="O180" s="173" t="n">
        <v>-156.06</v>
      </c>
      <c r="P180" s="4" t="n">
        <v>-156.06</v>
      </c>
      <c r="Q180" s="4" t="n">
        <v>-156.06</v>
      </c>
      <c r="R180" s="4" t="n">
        <v>-156.06</v>
      </c>
      <c r="S180" s="4" t="n">
        <v>-156.06</v>
      </c>
      <c r="T180" s="4" t="n">
        <v>-156.06</v>
      </c>
      <c r="U180" s="4" t="n">
        <v>-156.06</v>
      </c>
      <c r="V180" s="4" t="n">
        <v>-156.06</v>
      </c>
      <c r="W180" s="4" t="n">
        <v>-1872.72</v>
      </c>
      <c r="X180" t="inlineStr">
        <is>
          <t>Coste fijo tributario: tasas municipales y tributos recurrentes de la actividad.</t>
        </is>
      </c>
    </row>
    <row r="181">
      <c r="B181" t="n">
        <v>2027</v>
      </c>
      <c r="C181" t="inlineStr">
        <is>
          <t>Codiagro</t>
        </is>
      </c>
      <c r="D181" t="inlineStr">
        <is>
          <t>RESULTADO DEL EJERCICIO</t>
        </is>
      </c>
      <c r="E181" t="inlineStr">
        <is>
          <t>RESULTADO ANTES DE IMPUESTOS</t>
        </is>
      </c>
      <c r="F181" t="inlineStr">
        <is>
          <t>RESULTADO DE LA EXPLOTACION</t>
        </is>
      </c>
      <c r="G181" t="inlineStr">
        <is>
          <t>7.- Otros gastos de explotación</t>
        </is>
      </c>
      <c r="H181" t="inlineStr">
        <is>
          <t>(631) Otros tributos</t>
        </is>
      </c>
      <c r="I181" t="inlineStr">
        <is>
          <t>631000002 - TASAS</t>
        </is>
      </c>
      <c r="J181" t="inlineStr">
        <is>
          <t>-</t>
        </is>
      </c>
      <c r="K181" s="4" t="n">
        <v>0</v>
      </c>
      <c r="L181" s="4" t="n">
        <v>0</v>
      </c>
      <c r="M181" s="4" t="n">
        <v>0</v>
      </c>
      <c r="N181" s="4" t="n">
        <v>0</v>
      </c>
      <c r="O181" s="173" t="n">
        <v>-581.49</v>
      </c>
      <c r="P181" s="4" t="n">
        <v>0</v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0</v>
      </c>
      <c r="V181" s="4" t="n">
        <v>0</v>
      </c>
      <c r="W181" s="4" t="n">
        <v>-581.49</v>
      </c>
      <c r="X181" t="inlineStr">
        <is>
          <t>Tasas municipales: replicado el gasto de 2026 en el mismo mes de devengo (mayo: -581,49 €).</t>
        </is>
      </c>
    </row>
    <row r="182">
      <c r="B182" t="n">
        <v>2027</v>
      </c>
      <c r="C182" t="inlineStr">
        <is>
          <t>Codiagro</t>
        </is>
      </c>
      <c r="D182" t="inlineStr">
        <is>
          <t>RESULTADO DEL EJERCICIO</t>
        </is>
      </c>
      <c r="E182" t="inlineStr">
        <is>
          <t>RESULTADO ANTES DE IMPUESTOS</t>
        </is>
      </c>
      <c r="F182" t="inlineStr">
        <is>
          <t>RESULTADO DE LA EXPLOTACION</t>
        </is>
      </c>
      <c r="G182" t="inlineStr">
        <is>
          <t>7.- Otros gastos de explotación</t>
        </is>
      </c>
      <c r="H182" t="inlineStr">
        <is>
          <t>(631) Otros tributos</t>
        </is>
      </c>
      <c r="I182" t="inlineStr">
        <is>
          <t>631000004 IBIB</t>
        </is>
      </c>
      <c r="J182" t="inlineStr">
        <is>
          <t>-</t>
        </is>
      </c>
      <c r="K182" s="4" t="n">
        <v>-616.38</v>
      </c>
      <c r="L182" s="4" t="n">
        <v>-616.38</v>
      </c>
      <c r="M182" s="4" t="n">
        <v>-616.38</v>
      </c>
      <c r="N182" s="4" t="n">
        <v>-616.38</v>
      </c>
      <c r="O182" s="173" t="n">
        <v>-616.38</v>
      </c>
      <c r="P182" s="4" t="n">
        <v>-616.38</v>
      </c>
      <c r="Q182" s="4" t="n">
        <v>-616.38</v>
      </c>
      <c r="R182" s="4" t="n">
        <v>-616.38</v>
      </c>
      <c r="S182" s="4" t="n">
        <v>-616.38</v>
      </c>
      <c r="T182" s="4" t="n">
        <v>-616.38</v>
      </c>
      <c r="U182" s="4" t="n">
        <v>-616.38</v>
      </c>
      <c r="V182" s="4" t="n">
        <v>-616.38</v>
      </c>
      <c r="W182" s="4" t="n">
        <v>-7396.56</v>
      </c>
      <c r="X182" t="inlineStr">
        <is>
          <t>Tasas e IBI: presupuestada en 2027 la misma cantidad anual pagada en 2026 (-7.396,59 €/año, -616,38 €/mes).</t>
        </is>
      </c>
    </row>
    <row r="183">
      <c r="B183" t="n">
        <v>2027</v>
      </c>
      <c r="C183" t="inlineStr">
        <is>
          <t>Codiagro</t>
        </is>
      </c>
      <c r="D183" t="inlineStr">
        <is>
          <t>RESULTADO DEL EJERCICIO</t>
        </is>
      </c>
      <c r="E183" t="inlineStr">
        <is>
          <t>RESULTADO ANTES DE IMPUESTOS</t>
        </is>
      </c>
      <c r="F183" t="inlineStr">
        <is>
          <t>RESULTADO DE LA EXPLOTACION</t>
        </is>
      </c>
      <c r="G183" t="inlineStr">
        <is>
          <t>7.- Otros gastos de explotación</t>
        </is>
      </c>
      <c r="H183" t="inlineStr">
        <is>
          <t>(631) Otros tributos</t>
        </is>
      </c>
      <c r="I183" t="inlineStr">
        <is>
          <t>631000006 - IMPUESTO PLASTICO NO RECICLADO</t>
        </is>
      </c>
      <c r="J183" t="inlineStr">
        <is>
          <t>-</t>
        </is>
      </c>
      <c r="K183" s="4" t="n">
        <v>-2516.21</v>
      </c>
      <c r="L183" s="4" t="n">
        <v>-4075.81</v>
      </c>
      <c r="M183" s="4" t="n">
        <v>-3909.7</v>
      </c>
      <c r="N183" s="4" t="n">
        <v>-3147.65</v>
      </c>
      <c r="O183" s="173" t="n">
        <v>-5167.87</v>
      </c>
      <c r="P183" s="4" t="n">
        <v>-5124.86</v>
      </c>
      <c r="Q183" s="4" t="n">
        <v>-3251.56</v>
      </c>
      <c r="R183" s="4" t="n">
        <v>-2075.09</v>
      </c>
      <c r="S183" s="4" t="n">
        <v>-1205.37</v>
      </c>
      <c r="T183" s="4" t="n">
        <v>-2015.85</v>
      </c>
      <c r="U183" s="4" t="n">
        <v>-3116.01</v>
      </c>
      <c r="V183" s="4" t="n">
        <v>-3417.97</v>
      </c>
      <c r="W183" s="4" t="n">
        <v>-39023.95</v>
      </c>
      <c r="X183" t="inlineStr">
        <is>
          <t>Coste variable regulatorio sobre envases de plástico virgen envasados.</t>
        </is>
      </c>
    </row>
    <row r="184">
      <c r="B184" t="n">
        <v>2027</v>
      </c>
      <c r="C184" t="inlineStr">
        <is>
          <t>Codiagro</t>
        </is>
      </c>
      <c r="D184" t="inlineStr">
        <is>
          <t>RESULTADO DEL EJERCICIO</t>
        </is>
      </c>
      <c r="E184" t="inlineStr">
        <is>
          <t>RESULTADO ANTES DE IMPUESTOS</t>
        </is>
      </c>
      <c r="F184" t="inlineStr">
        <is>
          <t>RESULTADO DE LA EXPLOTACION</t>
        </is>
      </c>
      <c r="G184" t="inlineStr">
        <is>
          <t>7.- Otros gastos de explotación</t>
        </is>
      </c>
      <c r="H184" t="inlineStr">
        <is>
          <t>(634) Ajustes negativos en la imposición indirecta</t>
        </is>
      </c>
      <c r="I184" t="inlineStr">
        <is>
          <t>634100000 - Ajustes negat. IVA circulante</t>
        </is>
      </c>
      <c r="J184" t="inlineStr">
        <is>
          <t>-</t>
        </is>
      </c>
      <c r="K184" s="4" t="n">
        <v>0</v>
      </c>
      <c r="L184" s="4" t="n">
        <v>0</v>
      </c>
      <c r="M184" s="4" t="n">
        <v>0</v>
      </c>
      <c r="N184" s="4" t="n">
        <v>0</v>
      </c>
      <c r="O184" s="173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t="inlineStr">
        <is>
          <t>Ajustes negativos IVA: sin saldo previsto en 2027.</t>
        </is>
      </c>
    </row>
    <row r="185">
      <c r="B185" t="n">
        <v>2027</v>
      </c>
      <c r="C185" t="inlineStr">
        <is>
          <t>Codiagro</t>
        </is>
      </c>
      <c r="D185" t="inlineStr">
        <is>
          <t>RESULTADO DEL EJERCICIO</t>
        </is>
      </c>
      <c r="E185" t="inlineStr">
        <is>
          <t>RESULTADO ANTES DE IMPUESTOS</t>
        </is>
      </c>
      <c r="F185" t="inlineStr">
        <is>
          <t>RESULTADO DE LA EXPLOTACION</t>
        </is>
      </c>
      <c r="G185" t="inlineStr">
        <is>
          <t>7.- Otros gastos de explotación</t>
        </is>
      </c>
      <c r="H185" t="inlineStr">
        <is>
          <t>(694) Pérdidas por op. Comerciales</t>
        </is>
      </c>
      <c r="I185" t="inlineStr">
        <is>
          <t>694000000 - Pérdidas deterioro de créditos por op.comerciales</t>
        </is>
      </c>
      <c r="J185" t="inlineStr">
        <is>
          <t>-</t>
        </is>
      </c>
      <c r="K185" s="4" t="n">
        <v>0</v>
      </c>
      <c r="L185" s="4" t="n">
        <v>0</v>
      </c>
      <c r="M185" s="4" t="n">
        <v>0</v>
      </c>
      <c r="N185" s="4" t="n">
        <v>0</v>
      </c>
      <c r="O185" s="173" t="n">
        <v>0</v>
      </c>
      <c r="P185" s="4" t="n">
        <v>0</v>
      </c>
      <c r="Q185" s="4" t="n">
        <v>0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t="inlineStr">
        <is>
          <t>Pérdidas deterioro créditos: sin saldo previsto en 2027.</t>
        </is>
      </c>
    </row>
    <row r="186">
      <c r="B186" t="n">
        <v>2027</v>
      </c>
      <c r="C186" t="inlineStr">
        <is>
          <t>Codiagro</t>
        </is>
      </c>
      <c r="D186" t="inlineStr">
        <is>
          <t>RESULTADO DEL EJERCICIO</t>
        </is>
      </c>
      <c r="E186" t="inlineStr">
        <is>
          <t>RESULTADO ANTES DE IMPUESTOS</t>
        </is>
      </c>
      <c r="F186" t="inlineStr">
        <is>
          <t>RESULTADO DE LA EXPLOTACION</t>
        </is>
      </c>
      <c r="G186" t="inlineStr">
        <is>
          <t>8.- Amortización del inmovilizado</t>
        </is>
      </c>
      <c r="H186" t="inlineStr">
        <is>
          <t>(681) Amortización del inmovilizado material</t>
        </is>
      </c>
      <c r="I186" t="inlineStr">
        <is>
          <t>681100000 - Amortización de construcciones</t>
        </is>
      </c>
      <c r="J186" t="inlineStr">
        <is>
          <t>-</t>
        </is>
      </c>
      <c r="K186" s="4" t="n">
        <v>-3154.35</v>
      </c>
      <c r="L186" s="4" t="n">
        <v>-3154.35</v>
      </c>
      <c r="M186" s="4" t="n">
        <v>-3154.35</v>
      </c>
      <c r="N186" s="4" t="n">
        <v>-3154.35</v>
      </c>
      <c r="O186" s="173" t="n">
        <v>-3154.35</v>
      </c>
      <c r="P186" s="4" t="n">
        <v>-3154.35</v>
      </c>
      <c r="Q186" s="4" t="n">
        <v>-3154.35</v>
      </c>
      <c r="R186" s="4" t="n">
        <v>-3154.35</v>
      </c>
      <c r="S186" s="4" t="n">
        <v>-3154.35</v>
      </c>
      <c r="T186" s="4" t="n">
        <v>-3154.35</v>
      </c>
      <c r="U186" s="4" t="n">
        <v>-3154.35</v>
      </c>
      <c r="V186" s="4" t="n">
        <v>-3154.35</v>
      </c>
      <c r="W186" s="4" t="n">
        <v>-37852.19999999999</v>
      </c>
      <c r="X186" t="inlineStr">
        <is>
          <t>Coste fijo estricto: dotación lineal mensual calculada según las tablas oficiales de amortización fiscal y vida útil del inmovilizado.</t>
        </is>
      </c>
    </row>
    <row r="187">
      <c r="B187" t="n">
        <v>2027</v>
      </c>
      <c r="C187" t="inlineStr">
        <is>
          <t>Codiagro</t>
        </is>
      </c>
      <c r="D187" t="inlineStr">
        <is>
          <t>RESULTADO DEL EJERCICIO</t>
        </is>
      </c>
      <c r="E187" t="inlineStr">
        <is>
          <t>RESULTADO ANTES DE IMPUESTOS</t>
        </is>
      </c>
      <c r="F187" t="inlineStr">
        <is>
          <t>RESULTADO DE LA EXPLOTACION</t>
        </is>
      </c>
      <c r="G187" t="inlineStr">
        <is>
          <t>8.- Amortización del inmovilizado</t>
        </is>
      </c>
      <c r="H187" t="inlineStr">
        <is>
          <t>(681) Amortización del inmovilizado material</t>
        </is>
      </c>
      <c r="I187" t="inlineStr">
        <is>
          <t>681200000 - Amortización de instalaciones técnicas</t>
        </is>
      </c>
      <c r="J187" t="inlineStr">
        <is>
          <t>-</t>
        </is>
      </c>
      <c r="K187" s="4" t="n">
        <v>-5772</v>
      </c>
      <c r="L187" s="4" t="n">
        <v>-5772</v>
      </c>
      <c r="M187" s="4" t="n">
        <v>-5772</v>
      </c>
      <c r="N187" s="4" t="n">
        <v>-5772</v>
      </c>
      <c r="O187" s="173" t="n">
        <v>-5772</v>
      </c>
      <c r="P187" s="4" t="n">
        <v>-5772</v>
      </c>
      <c r="Q187" s="4" t="n">
        <v>-5772</v>
      </c>
      <c r="R187" s="4" t="n">
        <v>-5772</v>
      </c>
      <c r="S187" s="4" t="n">
        <v>-5772</v>
      </c>
      <c r="T187" s="4" t="n">
        <v>-5772</v>
      </c>
      <c r="U187" s="4" t="n">
        <v>-5772</v>
      </c>
      <c r="V187" s="4" t="n">
        <v>-5772</v>
      </c>
      <c r="W187" s="4" t="n">
        <v>-69264</v>
      </c>
      <c r="X187" t="inlineStr">
        <is>
          <t>Coste fijo estricto: dotación lineal mensual calculada según las tablas oficiales de amortización fiscal y vida útil del inmovilizado.</t>
        </is>
      </c>
    </row>
    <row r="188">
      <c r="B188" t="n">
        <v>2027</v>
      </c>
      <c r="C188" t="inlineStr">
        <is>
          <t>Codiagro</t>
        </is>
      </c>
      <c r="D188" t="inlineStr">
        <is>
          <t>RESULTADO DEL EJERCICIO</t>
        </is>
      </c>
      <c r="E188" t="inlineStr">
        <is>
          <t>RESULTADO ANTES DE IMPUESTOS</t>
        </is>
      </c>
      <c r="F188" t="inlineStr">
        <is>
          <t>RESULTADO DE LA EXPLOTACION</t>
        </is>
      </c>
      <c r="G188" t="inlineStr">
        <is>
          <t>8.- Amortización del inmovilizado</t>
        </is>
      </c>
      <c r="H188" t="inlineStr">
        <is>
          <t>(681) Amortización del inmovilizado material</t>
        </is>
      </c>
      <c r="I188" t="inlineStr">
        <is>
          <t>681300000 - Amortización de maquinaria</t>
        </is>
      </c>
      <c r="J188" t="inlineStr">
        <is>
          <t>-</t>
        </is>
      </c>
      <c r="K188" s="4" t="n">
        <v>-6419</v>
      </c>
      <c r="L188" s="4" t="n">
        <v>-6419</v>
      </c>
      <c r="M188" s="4" t="n">
        <v>-6419</v>
      </c>
      <c r="N188" s="4" t="n">
        <v>-6419</v>
      </c>
      <c r="O188" s="173" t="n">
        <v>-6419</v>
      </c>
      <c r="P188" s="4" t="n">
        <v>-6419</v>
      </c>
      <c r="Q188" s="4" t="n">
        <v>-6419</v>
      </c>
      <c r="R188" s="4" t="n">
        <v>-6419</v>
      </c>
      <c r="S188" s="4" t="n">
        <v>-6419</v>
      </c>
      <c r="T188" s="4" t="n">
        <v>-6419</v>
      </c>
      <c r="U188" s="4" t="n">
        <v>-6419</v>
      </c>
      <c r="V188" s="4" t="n">
        <v>-6419</v>
      </c>
      <c r="W188" s="4" t="n">
        <v>-77028</v>
      </c>
      <c r="X188" t="inlineStr">
        <is>
          <t>Coste fijo estricto: dotación lineal mensual calculada según las tablas oficiales de amortización fiscal y vida útil del inmovilizado.</t>
        </is>
      </c>
    </row>
    <row r="189">
      <c r="B189" t="n">
        <v>2027</v>
      </c>
      <c r="C189" t="inlineStr">
        <is>
          <t>Codiagro</t>
        </is>
      </c>
      <c r="D189" t="inlineStr">
        <is>
          <t>RESULTADO DEL EJERCICIO</t>
        </is>
      </c>
      <c r="E189" t="inlineStr">
        <is>
          <t>RESULTADO ANTES DE IMPUESTOS</t>
        </is>
      </c>
      <c r="F189" t="inlineStr">
        <is>
          <t>RESULTADO DE LA EXPLOTACION</t>
        </is>
      </c>
      <c r="G189" t="inlineStr">
        <is>
          <t>8.- Amortización del inmovilizado</t>
        </is>
      </c>
      <c r="H189" t="inlineStr">
        <is>
          <t>(681) Amortización del inmovilizado material</t>
        </is>
      </c>
      <c r="I189" t="inlineStr">
        <is>
          <t>681500000 - Amortización de otras instalaciones</t>
        </is>
      </c>
      <c r="J189" t="inlineStr">
        <is>
          <t>-</t>
        </is>
      </c>
      <c r="K189" s="4" t="n">
        <v>-1642</v>
      </c>
      <c r="L189" s="4" t="n">
        <v>-1642</v>
      </c>
      <c r="M189" s="4" t="n">
        <v>-1642</v>
      </c>
      <c r="N189" s="4" t="n">
        <v>-1642</v>
      </c>
      <c r="O189" s="173" t="n">
        <v>-1642</v>
      </c>
      <c r="P189" s="4" t="n">
        <v>-1642</v>
      </c>
      <c r="Q189" s="4" t="n">
        <v>-1642</v>
      </c>
      <c r="R189" s="4" t="n">
        <v>-1642</v>
      </c>
      <c r="S189" s="4" t="n">
        <v>-1642</v>
      </c>
      <c r="T189" s="4" t="n">
        <v>-1642</v>
      </c>
      <c r="U189" s="4" t="n">
        <v>-1642</v>
      </c>
      <c r="V189" s="4" t="n">
        <v>-1642</v>
      </c>
      <c r="W189" s="4" t="n">
        <v>-19704</v>
      </c>
      <c r="X189" t="inlineStr">
        <is>
          <t>Coste fijo estricto: dotación lineal mensual calculada según las tablas oficiales de amortización fiscal y vida útil del inmovilizado.</t>
        </is>
      </c>
    </row>
    <row r="190">
      <c r="B190" t="n">
        <v>2027</v>
      </c>
      <c r="C190" t="inlineStr">
        <is>
          <t>Codiagro</t>
        </is>
      </c>
      <c r="D190" t="inlineStr">
        <is>
          <t>RESULTADO DEL EJERCICIO</t>
        </is>
      </c>
      <c r="E190" t="inlineStr">
        <is>
          <t>RESULTADO ANTES DE IMPUESTOS</t>
        </is>
      </c>
      <c r="F190" t="inlineStr">
        <is>
          <t>RESULTADO DE LA EXPLOTACION</t>
        </is>
      </c>
      <c r="G190" t="inlineStr">
        <is>
          <t>8.- Amortización del inmovilizado</t>
        </is>
      </c>
      <c r="H190" t="inlineStr">
        <is>
          <t>(681) Amortización del inmovilizado material</t>
        </is>
      </c>
      <c r="I190" t="inlineStr">
        <is>
          <t>681600000 - Amortización de mobiliario</t>
        </is>
      </c>
      <c r="J190" t="inlineStr">
        <is>
          <t>-</t>
        </is>
      </c>
      <c r="K190" s="4" t="n">
        <v>-1337</v>
      </c>
      <c r="L190" s="4" t="n">
        <v>-1337</v>
      </c>
      <c r="M190" s="4" t="n">
        <v>-1337</v>
      </c>
      <c r="N190" s="4" t="n">
        <v>-1337</v>
      </c>
      <c r="O190" s="173" t="n">
        <v>-1337</v>
      </c>
      <c r="P190" s="4" t="n">
        <v>-1337</v>
      </c>
      <c r="Q190" s="4" t="n">
        <v>-1337</v>
      </c>
      <c r="R190" s="4" t="n">
        <v>-1337</v>
      </c>
      <c r="S190" s="4" t="n">
        <v>-1337</v>
      </c>
      <c r="T190" s="4" t="n">
        <v>-1337</v>
      </c>
      <c r="U190" s="4" t="n">
        <v>-1337</v>
      </c>
      <c r="V190" s="4" t="n">
        <v>-1337</v>
      </c>
      <c r="W190" s="4" t="n">
        <v>-16044</v>
      </c>
      <c r="X190" t="inlineStr">
        <is>
          <t>Coste fijo estricto: dotación lineal mensual calculada según las tablas oficiales de amortización fiscal y vida útil del inmovilizado.</t>
        </is>
      </c>
    </row>
    <row r="191">
      <c r="B191" t="n">
        <v>2027</v>
      </c>
      <c r="C191" t="inlineStr">
        <is>
          <t>Codiagro</t>
        </is>
      </c>
      <c r="D191" t="inlineStr">
        <is>
          <t>RESULTADO DEL EJERCICIO</t>
        </is>
      </c>
      <c r="E191" t="inlineStr">
        <is>
          <t>RESULTADO ANTES DE IMPUESTOS</t>
        </is>
      </c>
      <c r="F191" t="inlineStr">
        <is>
          <t>RESULTADO DE LA EXPLOTACION</t>
        </is>
      </c>
      <c r="G191" t="inlineStr">
        <is>
          <t>8.- Amortización del inmovilizado</t>
        </is>
      </c>
      <c r="H191" t="inlineStr">
        <is>
          <t>(681) Amortización del inmovilizado material</t>
        </is>
      </c>
      <c r="I191" t="inlineStr">
        <is>
          <t>681700000 - Amortización de equipos para procesos de informac.</t>
        </is>
      </c>
      <c r="J191" t="inlineStr">
        <is>
          <t>-</t>
        </is>
      </c>
      <c r="K191" s="4" t="n">
        <v>-856</v>
      </c>
      <c r="L191" s="4" t="n">
        <v>-856</v>
      </c>
      <c r="M191" s="4" t="n">
        <v>-856</v>
      </c>
      <c r="N191" s="4" t="n">
        <v>-856</v>
      </c>
      <c r="O191" s="173" t="n">
        <v>-856</v>
      </c>
      <c r="P191" s="4" t="n">
        <v>-856</v>
      </c>
      <c r="Q191" s="4" t="n">
        <v>-856</v>
      </c>
      <c r="R191" s="4" t="n">
        <v>-856</v>
      </c>
      <c r="S191" s="4" t="n">
        <v>-856</v>
      </c>
      <c r="T191" s="4" t="n">
        <v>-856</v>
      </c>
      <c r="U191" s="4" t="n">
        <v>-856</v>
      </c>
      <c r="V191" s="4" t="n">
        <v>-856</v>
      </c>
      <c r="W191" s="4" t="n">
        <v>-10272</v>
      </c>
      <c r="X191" t="inlineStr">
        <is>
          <t>Coste fijo estricto: dotación lineal mensual calculada según las tablas oficiales de amortización fiscal y vida útil del inmovilizado.</t>
        </is>
      </c>
    </row>
    <row r="192">
      <c r="B192" t="n">
        <v>2027</v>
      </c>
      <c r="C192" t="inlineStr">
        <is>
          <t>Codiagro</t>
        </is>
      </c>
      <c r="D192" t="inlineStr">
        <is>
          <t>RESULTADO DEL EJERCICIO</t>
        </is>
      </c>
      <c r="E192" t="inlineStr">
        <is>
          <t>RESULTADO ANTES DE IMPUESTOS</t>
        </is>
      </c>
      <c r="F192" t="inlineStr">
        <is>
          <t>RESULTADO DE LA EXPLOTACION</t>
        </is>
      </c>
      <c r="G192" t="inlineStr">
        <is>
          <t>8.- Amortización del inmovilizado</t>
        </is>
      </c>
      <c r="H192" t="inlineStr">
        <is>
          <t>(681) Amortización del inmovilizado material</t>
        </is>
      </c>
      <c r="I192" t="inlineStr">
        <is>
          <t>681800000 - Amortización de elementos de transporte</t>
        </is>
      </c>
      <c r="J192" t="inlineStr">
        <is>
          <t>-</t>
        </is>
      </c>
      <c r="K192" s="4" t="n">
        <v>-45</v>
      </c>
      <c r="L192" s="4" t="n">
        <v>-45</v>
      </c>
      <c r="M192" s="4" t="n">
        <v>-45</v>
      </c>
      <c r="N192" s="4" t="n">
        <v>-45</v>
      </c>
      <c r="O192" s="173" t="n">
        <v>-45</v>
      </c>
      <c r="P192" s="4" t="n">
        <v>-45</v>
      </c>
      <c r="Q192" s="4" t="n">
        <v>-45</v>
      </c>
      <c r="R192" s="4" t="n">
        <v>-45</v>
      </c>
      <c r="S192" s="4" t="n">
        <v>-45</v>
      </c>
      <c r="T192" s="4" t="n">
        <v>-45</v>
      </c>
      <c r="U192" s="4" t="n">
        <v>-45</v>
      </c>
      <c r="V192" s="4" t="n">
        <v>-45</v>
      </c>
      <c r="W192" s="4" t="n">
        <v>-540</v>
      </c>
      <c r="X192" t="inlineStr">
        <is>
          <t>Coste fijo estricto: dotación lineal mensual calculada según las tablas oficiales de amortización fiscal y vida útil del inmovilizado.</t>
        </is>
      </c>
    </row>
    <row r="193">
      <c r="B193" t="n">
        <v>2027</v>
      </c>
      <c r="C193" t="inlineStr">
        <is>
          <t>Codiagro</t>
        </is>
      </c>
      <c r="D193" t="inlineStr">
        <is>
          <t>RESULTADO DEL EJERCICIO</t>
        </is>
      </c>
      <c r="E193" t="inlineStr">
        <is>
          <t>RESULTADO ANTES DE IMPUESTOS</t>
        </is>
      </c>
      <c r="F193" t="inlineStr">
        <is>
          <t>RESULTADO FINANCIERO</t>
        </is>
      </c>
      <c r="G193" t="inlineStr">
        <is>
          <t>15.- Gastos financieros</t>
        </is>
      </c>
      <c r="H193" t="inlineStr">
        <is>
          <t>(706) Dto. s/vtas p.p.</t>
        </is>
      </c>
      <c r="I193" t="inlineStr">
        <is>
          <t>706000001 - DESCUENTO POR PRONTO PAGO DEFINITIVO</t>
        </is>
      </c>
      <c r="J193" t="inlineStr">
        <is>
          <t>-</t>
        </is>
      </c>
      <c r="K193" s="4" t="n">
        <v>-30880.78</v>
      </c>
      <c r="L193" s="4" t="n">
        <v>-50021.31</v>
      </c>
      <c r="M193" s="4" t="n">
        <v>-47982.62</v>
      </c>
      <c r="N193" s="4" t="n">
        <v>-38630.3</v>
      </c>
      <c r="O193" s="173" t="n">
        <v>-63423.85</v>
      </c>
      <c r="P193" s="4" t="n">
        <v>-62896.06</v>
      </c>
      <c r="Q193" s="4" t="n">
        <v>-39905.52</v>
      </c>
      <c r="R193" s="4" t="n">
        <v>-25466.97</v>
      </c>
      <c r="S193" s="4" t="n">
        <v>-14793.2</v>
      </c>
      <c r="T193" s="4" t="n">
        <v>-24740.02</v>
      </c>
      <c r="U193" s="4" t="n">
        <v>-38241.9</v>
      </c>
      <c r="V193" s="4" t="n">
        <v>-41947.79</v>
      </c>
      <c r="W193" s="4" t="n">
        <v>-478930.3200000001</v>
      </c>
      <c r="X193" t="inlineStr">
        <is>
          <t>Coste financiero variable: descuentos por pronto pago concedidos a clientes (2,70% s/ventas presupuestadas).</t>
        </is>
      </c>
    </row>
    <row r="194">
      <c r="B194" t="n">
        <v>2027</v>
      </c>
      <c r="C194" t="inlineStr">
        <is>
          <t>Codiagro</t>
        </is>
      </c>
      <c r="D194" t="inlineStr">
        <is>
          <t>RESULTADO DEL EJERCICIO</t>
        </is>
      </c>
      <c r="E194" t="inlineStr">
        <is>
          <t>RESULTADO ANTES DE IMPUESTOS</t>
        </is>
      </c>
      <c r="F194" t="inlineStr">
        <is>
          <t>RESULTADO FINANCIERO</t>
        </is>
      </c>
      <c r="G194" t="inlineStr">
        <is>
          <t>15.- Gastos financieros</t>
        </is>
      </c>
      <c r="H194" t="inlineStr">
        <is>
          <t>(665) Intereses por descuento de efectos y operaciones de "factoring"</t>
        </is>
      </c>
      <c r="I194" t="inlineStr">
        <is>
          <t>665700015 - INTERESES PAGO FINANCIADO POR BBVA</t>
        </is>
      </c>
      <c r="J194" t="inlineStr">
        <is>
          <t>-</t>
        </is>
      </c>
      <c r="K194" s="4" t="n">
        <v>0</v>
      </c>
      <c r="L194" s="4" t="n">
        <v>0</v>
      </c>
      <c r="M194" s="4" t="n">
        <v>0</v>
      </c>
      <c r="N194" s="4" t="n">
        <v>0</v>
      </c>
      <c r="O194" s="173" t="n">
        <v>0</v>
      </c>
      <c r="P194" s="4" t="n">
        <v>0</v>
      </c>
      <c r="Q194" s="4" t="n">
        <v>0</v>
      </c>
      <c r="R194" s="4" t="n">
        <v>0</v>
      </c>
      <c r="S194" s="4" t="n">
        <v>0</v>
      </c>
      <c r="T194" s="4" t="n">
        <v>0</v>
      </c>
      <c r="U194" s="4" t="n">
        <v>0</v>
      </c>
      <c r="V194" s="4" t="n">
        <v>0</v>
      </c>
      <c r="W194" s="4" t="n">
        <v>0</v>
      </c>
      <c r="X194" t="inlineStr">
        <is>
          <t>Intereses pago financiado proveedores: operación no recurrente, fijado a 0 en 2027.</t>
        </is>
      </c>
    </row>
    <row r="195">
      <c r="B195" t="n">
        <v>2027</v>
      </c>
      <c r="C195" t="inlineStr">
        <is>
          <t>Codiagro</t>
        </is>
      </c>
      <c r="D195" t="inlineStr">
        <is>
          <t>RESULTADO DEL EJERCICIO</t>
        </is>
      </c>
      <c r="E195" t="inlineStr">
        <is>
          <t>RESULTADO ANTES DE IMPUESTOS</t>
        </is>
      </c>
      <c r="F195" t="inlineStr">
        <is>
          <t>RESULTADO FINANCIERO</t>
        </is>
      </c>
      <c r="G195" t="inlineStr">
        <is>
          <t>15.- Gastos financieros</t>
        </is>
      </c>
      <c r="H195" t="inlineStr">
        <is>
          <t>(662) Intereses de deudas con entidades de crédito</t>
        </is>
      </c>
      <c r="I195" t="inlineStr">
        <is>
          <t>662310005 - INTERESES PRESTAMO CAIXALMASSORA</t>
        </is>
      </c>
      <c r="J195" t="inlineStr">
        <is>
          <t>-</t>
        </is>
      </c>
      <c r="K195" s="4" t="n">
        <v>0</v>
      </c>
      <c r="L195" s="4" t="n">
        <v>0</v>
      </c>
      <c r="M195" s="4" t="n">
        <v>0</v>
      </c>
      <c r="N195" s="4" t="n">
        <v>0</v>
      </c>
      <c r="O195" s="173" t="n">
        <v>0</v>
      </c>
      <c r="P195" s="4" t="n">
        <v>0</v>
      </c>
      <c r="Q195" s="4" t="n">
        <v>0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t="inlineStr">
        <is>
          <t>Intereses préstamo Caixabank: préstamo finalizado, fijado a 0 en 2027.</t>
        </is>
      </c>
    </row>
    <row r="196">
      <c r="B196" t="n">
        <v>2027</v>
      </c>
      <c r="C196" t="inlineStr">
        <is>
          <t>Codiagro</t>
        </is>
      </c>
      <c r="D196" t="inlineStr">
        <is>
          <t>RESULTADO DEL EJERCICIO</t>
        </is>
      </c>
      <c r="E196" t="inlineStr">
        <is>
          <t>RESULTADO ANTES DE IMPUESTOS</t>
        </is>
      </c>
      <c r="F196" t="inlineStr">
        <is>
          <t>RESULTADO FINANCIERO</t>
        </is>
      </c>
      <c r="G196" t="inlineStr">
        <is>
          <t>15.- Gastos financieros</t>
        </is>
      </c>
      <c r="H196" t="inlineStr">
        <is>
          <t>(669) Otros gastos financieros</t>
        </is>
      </c>
      <c r="I196" t="inlineStr">
        <is>
          <t>669000002 - OTROS GTOS. DTO. EFECTOS SABADELL</t>
        </is>
      </c>
      <c r="J196" t="inlineStr">
        <is>
          <t>-</t>
        </is>
      </c>
      <c r="K196" s="4" t="n">
        <v>0</v>
      </c>
      <c r="L196" s="4" t="n">
        <v>0</v>
      </c>
      <c r="M196" s="4" t="n">
        <v>0</v>
      </c>
      <c r="N196" s="4" t="n">
        <v>0</v>
      </c>
      <c r="O196" s="173" t="n">
        <v>0</v>
      </c>
      <c r="P196" s="4" t="n">
        <v>0</v>
      </c>
      <c r="Q196" s="4" t="n">
        <v>0</v>
      </c>
      <c r="R196" s="4" t="n">
        <v>0</v>
      </c>
      <c r="S196" s="4" t="n">
        <v>0</v>
      </c>
      <c r="T196" s="4" t="n">
        <v>0</v>
      </c>
      <c r="U196" s="4" t="n">
        <v>0</v>
      </c>
      <c r="V196" s="4" t="n">
        <v>0</v>
      </c>
      <c r="W196" s="4" t="n">
        <v>0</v>
      </c>
      <c r="X196" t="inlineStr">
        <is>
          <t>Cuenta inactiva / sin saldo previsto en 2027.</t>
        </is>
      </c>
    </row>
    <row r="197">
      <c r="B197" t="n">
        <v>2027</v>
      </c>
      <c r="C197" t="inlineStr">
        <is>
          <t>Codiagro</t>
        </is>
      </c>
      <c r="D197" t="inlineStr">
        <is>
          <t>RESULTADO DEL EJERCICIO</t>
        </is>
      </c>
      <c r="E197" t="inlineStr">
        <is>
          <t>RESULTADO ANTES DE IMPUESTOS</t>
        </is>
      </c>
      <c r="F197" t="inlineStr">
        <is>
          <t>RESULTADO FINANCIERO</t>
        </is>
      </c>
      <c r="G197" t="inlineStr">
        <is>
          <t>15.- Gastos financieros</t>
        </is>
      </c>
      <c r="H197" t="inlineStr">
        <is>
          <t>(669) Otros gastos financieros</t>
        </is>
      </c>
      <c r="I197" t="inlineStr">
        <is>
          <t>669000007 - OTROS GTOS. DTO.EFECTOS BBVA</t>
        </is>
      </c>
      <c r="J197" t="inlineStr">
        <is>
          <t>-</t>
        </is>
      </c>
      <c r="K197" s="4" t="n">
        <v>0</v>
      </c>
      <c r="L197" s="4" t="n">
        <v>0</v>
      </c>
      <c r="M197" s="4" t="n">
        <v>0</v>
      </c>
      <c r="N197" s="4" t="n">
        <v>0</v>
      </c>
      <c r="O197" s="173" t="n">
        <v>0</v>
      </c>
      <c r="P197" s="4" t="n">
        <v>0</v>
      </c>
      <c r="Q197" s="4" t="n">
        <v>0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t="inlineStr">
        <is>
          <t>Cuenta inactiva / sin saldo previsto en 2027.</t>
        </is>
      </c>
    </row>
    <row r="198">
      <c r="B198" t="n">
        <v>2027</v>
      </c>
      <c r="C198" t="inlineStr">
        <is>
          <t>Codiagro</t>
        </is>
      </c>
      <c r="D198" t="inlineStr">
        <is>
          <t>RESULTADO DEL EJERCICIO</t>
        </is>
      </c>
      <c r="E198" t="inlineStr">
        <is>
          <t>RESULTADO ANTES DE IMPUESTOS</t>
        </is>
      </c>
      <c r="F198" t="inlineStr">
        <is>
          <t>RESULTADO FINANCIERO</t>
        </is>
      </c>
      <c r="G198" t="inlineStr">
        <is>
          <t>15.- Gastos financieros</t>
        </is>
      </c>
      <c r="H198" t="inlineStr">
        <is>
          <t>(669) Otros gastos financieros</t>
        </is>
      </c>
      <c r="I198" t="inlineStr">
        <is>
          <t>669100002 - OTROS GTOS. FINAN. SABADELL</t>
        </is>
      </c>
      <c r="J198" t="inlineStr">
        <is>
          <t>-</t>
        </is>
      </c>
      <c r="K198" s="4" t="n">
        <v>0</v>
      </c>
      <c r="L198" s="4" t="n">
        <v>0</v>
      </c>
      <c r="M198" s="4" t="n">
        <v>0</v>
      </c>
      <c r="N198" s="4" t="n">
        <v>0</v>
      </c>
      <c r="O198" s="173" t="n">
        <v>0</v>
      </c>
      <c r="P198" s="4" t="n">
        <v>0</v>
      </c>
      <c r="Q198" s="4" t="n">
        <v>0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 t="n">
        <v>0</v>
      </c>
      <c r="X198" t="inlineStr">
        <is>
          <t>Cuenta inactiva / sin saldo previsto en 2027.</t>
        </is>
      </c>
    </row>
    <row r="199">
      <c r="B199" t="n">
        <v>2027</v>
      </c>
      <c r="C199" t="inlineStr">
        <is>
          <t>Codiagro</t>
        </is>
      </c>
      <c r="D199" t="inlineStr">
        <is>
          <t>RESULTADO DEL EJERCICIO</t>
        </is>
      </c>
      <c r="E199" t="inlineStr">
        <is>
          <t>RESULTADO ANTES DE IMPUESTOS</t>
        </is>
      </c>
      <c r="F199" t="inlineStr">
        <is>
          <t>RESULTADO FINANCIERO</t>
        </is>
      </c>
      <c r="G199" t="inlineStr">
        <is>
          <t>15.- Gastos financieros</t>
        </is>
      </c>
      <c r="H199" t="inlineStr">
        <is>
          <t>(669) Otros gastos financieros</t>
        </is>
      </c>
      <c r="I199" t="inlineStr">
        <is>
          <t>669100005 - OTROS GTOS. FINAN. C.RURAL ALMASSORA</t>
        </is>
      </c>
      <c r="J199" t="inlineStr">
        <is>
          <t>-</t>
        </is>
      </c>
      <c r="K199" s="4" t="n">
        <v>0</v>
      </c>
      <c r="L199" s="4" t="n">
        <v>0</v>
      </c>
      <c r="M199" s="4" t="n">
        <v>0</v>
      </c>
      <c r="N199" s="4" t="n">
        <v>0</v>
      </c>
      <c r="O199" s="173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t="inlineStr">
        <is>
          <t>Cuenta inactiva / sin saldo previsto en 2027.</t>
        </is>
      </c>
    </row>
    <row r="200">
      <c r="B200" t="n">
        <v>2027</v>
      </c>
      <c r="C200" t="inlineStr">
        <is>
          <t>Codiagro</t>
        </is>
      </c>
      <c r="D200" t="inlineStr">
        <is>
          <t>RESULTADO DEL EJERCICIO</t>
        </is>
      </c>
      <c r="E200" t="inlineStr">
        <is>
          <t>RESULTADO ANTES DE IMPUESTOS</t>
        </is>
      </c>
      <c r="F200" t="inlineStr">
        <is>
          <t>RESULTADO FINANCIERO</t>
        </is>
      </c>
      <c r="G200" t="inlineStr">
        <is>
          <t>15.- Gastos financieros</t>
        </is>
      </c>
      <c r="H200" t="inlineStr">
        <is>
          <t>(669) Otros gastos financieros</t>
        </is>
      </c>
      <c r="I200" t="inlineStr">
        <is>
          <t>669100007 - OTROS GTOS. FINAN. BBVA.</t>
        </is>
      </c>
      <c r="J200" t="inlineStr">
        <is>
          <t>-</t>
        </is>
      </c>
      <c r="K200" s="4" t="n">
        <v>0</v>
      </c>
      <c r="L200" s="4" t="n">
        <v>0</v>
      </c>
      <c r="M200" s="4" t="n">
        <v>0</v>
      </c>
      <c r="N200" s="4" t="n">
        <v>0</v>
      </c>
      <c r="O200" s="173" t="n">
        <v>0</v>
      </c>
      <c r="P200" s="4" t="n">
        <v>0</v>
      </c>
      <c r="Q200" s="4" t="n">
        <v>0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t="inlineStr">
        <is>
          <t>Cuenta inactiva / sin saldo previsto en 2027.</t>
        </is>
      </c>
    </row>
    <row r="201">
      <c r="B201" t="n">
        <v>2027</v>
      </c>
      <c r="C201" t="inlineStr">
        <is>
          <t>Codiagro</t>
        </is>
      </c>
      <c r="D201" t="inlineStr">
        <is>
          <t>RESULTADO DEL EJERCICIO</t>
        </is>
      </c>
      <c r="E201" t="inlineStr">
        <is>
          <t>RESULTADO ANTES DE IMPUESTOS</t>
        </is>
      </c>
      <c r="F201" t="inlineStr">
        <is>
          <t>RESULTADO FINANCIERO</t>
        </is>
      </c>
      <c r="G201" t="inlineStr">
        <is>
          <t>15.- Gastos financieros</t>
        </is>
      </c>
      <c r="H201" t="inlineStr">
        <is>
          <t>(669) Otros gastos financieros</t>
        </is>
      </c>
      <c r="I201" t="inlineStr">
        <is>
          <t>669200002 - GTOS. COBRO EXPORT B.SABADELL</t>
        </is>
      </c>
      <c r="J201" t="inlineStr">
        <is>
          <t>-</t>
        </is>
      </c>
      <c r="K201" s="4" t="n">
        <v>0</v>
      </c>
      <c r="L201" s="4" t="n">
        <v>0</v>
      </c>
      <c r="M201" s="4" t="n">
        <v>0</v>
      </c>
      <c r="N201" s="4" t="n">
        <v>0</v>
      </c>
      <c r="O201" s="173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t="inlineStr">
        <is>
          <t>Cuenta inactiva / sin saldo previsto en 2027.</t>
        </is>
      </c>
    </row>
    <row r="202">
      <c r="B202" t="n">
        <v>2027</v>
      </c>
      <c r="C202" t="inlineStr">
        <is>
          <t>Codiagro</t>
        </is>
      </c>
      <c r="D202" t="inlineStr">
        <is>
          <t>RESULTADO DEL EJERCICIO</t>
        </is>
      </c>
      <c r="E202" t="inlineStr">
        <is>
          <t>RESULTADO ANTES DE IMPUESTOS</t>
        </is>
      </c>
      <c r="F202" t="inlineStr">
        <is>
          <t>RESULTADO FINANCIERO</t>
        </is>
      </c>
      <c r="G202" t="inlineStr">
        <is>
          <t>15.- Gastos financieros</t>
        </is>
      </c>
      <c r="H202" t="inlineStr">
        <is>
          <t>(669) Otros gastos financieros</t>
        </is>
      </c>
      <c r="I202" t="inlineStr">
        <is>
          <t>669200007 - GTOS. COBRO EXPORT. BBVA</t>
        </is>
      </c>
      <c r="J202" t="inlineStr">
        <is>
          <t>-</t>
        </is>
      </c>
      <c r="K202" s="4" t="n">
        <v>0</v>
      </c>
      <c r="L202" s="4" t="n">
        <v>0</v>
      </c>
      <c r="M202" s="4" t="n">
        <v>0</v>
      </c>
      <c r="N202" s="4" t="n">
        <v>0</v>
      </c>
      <c r="O202" s="173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t="inlineStr">
        <is>
          <t>Cuenta inactiva / sin saldo previsto en 2027.</t>
        </is>
      </c>
    </row>
    <row r="203">
      <c r="B203" t="n">
        <v>2027</v>
      </c>
      <c r="C203" t="inlineStr">
        <is>
          <t>Codiagro</t>
        </is>
      </c>
      <c r="D203" t="inlineStr">
        <is>
          <t>RESULTADO DEL EJERCICIO</t>
        </is>
      </c>
      <c r="E203" t="inlineStr">
        <is>
          <t>RESULTADO ANTES DE IMPUESTOS</t>
        </is>
      </c>
      <c r="F203" t="inlineStr">
        <is>
          <t>RESULTADO FINANCIERO</t>
        </is>
      </c>
      <c r="G203" t="inlineStr">
        <is>
          <t>17.- Diferencias de cambio</t>
        </is>
      </c>
      <c r="H203" t="inlineStr">
        <is>
          <t>(768) Diferencias positivas de cambio</t>
        </is>
      </c>
      <c r="I203" t="inlineStr">
        <is>
          <t>768000000 - Diferencias positivas de cambio</t>
        </is>
      </c>
      <c r="J203" t="inlineStr">
        <is>
          <t>-</t>
        </is>
      </c>
      <c r="K203" s="4" t="n">
        <v>0</v>
      </c>
      <c r="L203" s="4" t="n">
        <v>0</v>
      </c>
      <c r="M203" s="4" t="n">
        <v>0</v>
      </c>
      <c r="N203" s="4" t="n">
        <v>0</v>
      </c>
      <c r="O203" s="173" t="n">
        <v>0</v>
      </c>
      <c r="P203" s="4" t="n">
        <v>0</v>
      </c>
      <c r="Q203" s="4" t="n">
        <v>0</v>
      </c>
      <c r="R203" s="4" t="n">
        <v>0</v>
      </c>
      <c r="S203" s="4" t="n">
        <v>0</v>
      </c>
      <c r="T203" s="4" t="n">
        <v>0</v>
      </c>
      <c r="U203" s="4" t="n">
        <v>0</v>
      </c>
      <c r="V203" s="4" t="n">
        <v>0</v>
      </c>
      <c r="W203" s="4" t="n">
        <v>0</v>
      </c>
      <c r="X203" t="inlineStr">
        <is>
          <t>Diferencias positivas de cambio: sin estimación en 2027 por criterio de prudencia.</t>
        </is>
      </c>
    </row>
    <row r="204">
      <c r="B204" t="n">
        <v>2027</v>
      </c>
      <c r="C204" t="inlineStr">
        <is>
          <t>Codiagro</t>
        </is>
      </c>
      <c r="D204" t="inlineStr">
        <is>
          <t>RESULTADO DEL EJERCICIO</t>
        </is>
      </c>
      <c r="E204" t="inlineStr">
        <is>
          <t>RESULTADO ANTES DE IMPUESTOS</t>
        </is>
      </c>
      <c r="F204" t="inlineStr">
        <is>
          <t>RESULTADO DE LA EXPLOTACION</t>
        </is>
      </c>
      <c r="G204" t="inlineStr">
        <is>
          <t>7.- Otros gastos de explotación</t>
        </is>
      </c>
      <c r="H204" t="inlineStr">
        <is>
          <t>(709) Publicidad</t>
        </is>
      </c>
      <c r="I204" t="inlineStr">
        <is>
          <t>709001500 - RAPPEL BONIFICACIONES POR PMK DEFINITIVO</t>
        </is>
      </c>
      <c r="J204" t="inlineStr">
        <is>
          <t>-</t>
        </is>
      </c>
      <c r="K204" s="4" t="n">
        <v>0</v>
      </c>
      <c r="L204" s="4" t="n">
        <v>0</v>
      </c>
      <c r="M204" s="4" t="n">
        <v>0</v>
      </c>
      <c r="N204" s="4" t="n">
        <v>0</v>
      </c>
      <c r="O204" s="173" t="n">
        <v>0</v>
      </c>
      <c r="P204" s="4" t="n">
        <v>0</v>
      </c>
      <c r="Q204" s="4" t="n">
        <v>0</v>
      </c>
      <c r="R204" s="4" t="n">
        <v>0</v>
      </c>
      <c r="S204" s="4" t="n">
        <v>0</v>
      </c>
      <c r="T204" s="4" t="n">
        <v>0</v>
      </c>
      <c r="U204" s="4" t="n">
        <v>0</v>
      </c>
      <c r="V204" s="4" t="n">
        <v>0</v>
      </c>
      <c r="W204" s="4" t="n">
        <v>0</v>
      </c>
      <c r="X204" t="inlineStr">
        <is>
          <t>Sin dotación presupuestada en 2027 por corresponder a partidas singulares/no recurrentes.</t>
        </is>
      </c>
    </row>
    <row r="205">
      <c r="B205" t="n">
        <v>2027</v>
      </c>
      <c r="C205" t="inlineStr">
        <is>
          <t>Codiagro</t>
        </is>
      </c>
      <c r="D205" t="inlineStr">
        <is>
          <t>RESULTADO DEL EJERCICIO</t>
        </is>
      </c>
      <c r="E205" t="inlineStr">
        <is>
          <t>RESULTADO ANTES DE IMPUESTOS</t>
        </is>
      </c>
      <c r="F205" t="inlineStr">
        <is>
          <t>RESULTADO FINANCIERO</t>
        </is>
      </c>
      <c r="G205" t="inlineStr">
        <is>
          <t>14.- Ingresos financieros</t>
        </is>
      </c>
      <c r="H205" t="inlineStr">
        <is>
          <t>(769) Otros ingresos financieros</t>
        </is>
      </c>
      <c r="I205" t="inlineStr">
        <is>
          <t>769000000 - Otros ingresos financieros</t>
        </is>
      </c>
      <c r="J205" t="inlineStr">
        <is>
          <t>-</t>
        </is>
      </c>
      <c r="K205" s="4" t="n">
        <v>0</v>
      </c>
      <c r="L205" s="4" t="n">
        <v>0</v>
      </c>
      <c r="M205" s="4" t="n">
        <v>0</v>
      </c>
      <c r="N205" s="4" t="n">
        <v>0</v>
      </c>
      <c r="O205" s="173" t="n">
        <v>0</v>
      </c>
      <c r="P205" s="4" t="n">
        <v>0</v>
      </c>
      <c r="Q205" s="4" t="n">
        <v>0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t="inlineStr">
        <is>
          <t>Otros ingresos financieros: sin estimación en 2027.</t>
        </is>
      </c>
    </row>
    <row r="206">
      <c r="K206" s="4" t="n"/>
      <c r="L206" s="4" t="n"/>
      <c r="M206" s="4" t="n"/>
      <c r="N206" s="4" t="n"/>
      <c r="P206" s="4" t="n"/>
      <c r="Q206" s="4" t="n"/>
      <c r="R206" s="4" t="n"/>
      <c r="S206" s="4" t="n"/>
      <c r="T206" s="4" t="n"/>
      <c r="U206" s="4" t="n"/>
      <c r="V206" s="4" t="n"/>
      <c r="W206" s="4" t="n"/>
    </row>
    <row r="207">
      <c r="K207" s="4" t="n"/>
      <c r="L207" s="4" t="n"/>
      <c r="M207" s="4" t="n"/>
      <c r="N207" s="4" t="n"/>
      <c r="P207" s="4" t="n"/>
      <c r="Q207" s="4" t="n"/>
      <c r="R207" s="4" t="n"/>
      <c r="S207" s="4" t="n"/>
      <c r="T207" s="4" t="n"/>
      <c r="U207" s="4" t="n"/>
      <c r="V207" s="4" t="n"/>
      <c r="W207" s="4" t="n"/>
    </row>
    <row r="208">
      <c r="K208" s="4" t="n"/>
      <c r="L208" s="4" t="n"/>
      <c r="M208" s="4" t="n"/>
      <c r="N208" s="4" t="n"/>
      <c r="P208" s="4" t="n"/>
      <c r="Q208" s="4" t="n"/>
      <c r="R208" s="4" t="n"/>
      <c r="S208" s="4" t="n"/>
      <c r="T208" s="4" t="n"/>
      <c r="U208" s="4" t="n"/>
      <c r="V208" s="4" t="n"/>
      <c r="W208" s="4" t="n"/>
    </row>
    <row r="209">
      <c r="K209" s="4" t="n"/>
      <c r="L209" s="4" t="n"/>
      <c r="M209" s="4" t="n"/>
      <c r="N209" s="4" t="n"/>
      <c r="P209" s="4" t="n"/>
      <c r="Q209" s="4" t="n"/>
      <c r="R209" s="4" t="n"/>
      <c r="S209" s="4" t="n"/>
      <c r="T209" s="4" t="n"/>
      <c r="U209" s="4" t="n"/>
      <c r="V209" s="4" t="n"/>
      <c r="W209" s="4" t="n"/>
    </row>
    <row r="210">
      <c r="K210" s="4" t="n"/>
      <c r="L210" s="4" t="n"/>
      <c r="M210" s="4" t="n"/>
      <c r="N210" s="4" t="n"/>
      <c r="P210" s="4" t="n"/>
      <c r="Q210" s="4" t="n"/>
      <c r="R210" s="4" t="n"/>
      <c r="S210" s="4" t="n"/>
      <c r="T210" s="4" t="n"/>
      <c r="U210" s="4" t="n"/>
      <c r="V210" s="4" t="n"/>
      <c r="W210" s="4" t="n"/>
    </row>
    <row r="211">
      <c r="P211" s="4" t="n"/>
      <c r="Q211" s="4" t="n"/>
      <c r="R211" s="4" t="n"/>
      <c r="W211" s="4" t="n"/>
    </row>
    <row r="212">
      <c r="K212" s="4" t="n"/>
      <c r="L212" s="4" t="n"/>
      <c r="M212" s="4" t="n"/>
      <c r="N212" s="4" t="n"/>
      <c r="P212" s="4" t="n"/>
      <c r="R212" s="4" t="n"/>
      <c r="S212" s="4" t="n"/>
      <c r="T212" s="4" t="n"/>
      <c r="U212" s="4" t="n"/>
      <c r="V212" s="4" t="n"/>
      <c r="W212" s="4" t="n"/>
    </row>
    <row r="213">
      <c r="K213" s="4" t="n"/>
      <c r="L213" s="4" t="n"/>
      <c r="M213" s="4" t="n"/>
      <c r="N213" s="4" t="n"/>
      <c r="P213" s="4" t="n"/>
      <c r="R213" s="4" t="n"/>
      <c r="S213" s="4" t="n"/>
      <c r="T213" s="4" t="n"/>
      <c r="U213" s="4" t="n"/>
      <c r="V213" s="4" t="n"/>
      <c r="W213" s="4" t="n"/>
    </row>
    <row r="214">
      <c r="K214" s="4" t="n"/>
      <c r="L214" s="4" t="n"/>
      <c r="M214" s="4" t="n"/>
      <c r="N214" s="4" t="n"/>
      <c r="P214" s="4" t="n"/>
      <c r="R214" s="4" t="n"/>
      <c r="S214" s="4" t="n"/>
      <c r="T214" s="4" t="n"/>
      <c r="U214" s="4" t="n"/>
      <c r="V214" s="4" t="n"/>
      <c r="W214" s="4" t="n"/>
    </row>
    <row r="215">
      <c r="K215" s="4" t="n"/>
      <c r="L215" s="4" t="n"/>
      <c r="M215" s="4" t="n"/>
      <c r="N215" s="4" t="n"/>
      <c r="P215" s="4" t="n"/>
      <c r="R215" s="4" t="n"/>
      <c r="S215" s="4" t="n"/>
      <c r="T215" s="4" t="n"/>
      <c r="U215" s="4" t="n"/>
      <c r="V215" s="4" t="n"/>
      <c r="W215" s="4" t="n"/>
    </row>
    <row r="216">
      <c r="K216" s="4" t="n"/>
      <c r="L216" s="4" t="n"/>
      <c r="M216" s="4" t="n"/>
      <c r="N216" s="4" t="n"/>
      <c r="P216" s="4" t="n"/>
      <c r="R216" s="4" t="n"/>
      <c r="W216" s="4" t="n"/>
    </row>
    <row r="217">
      <c r="K217" s="4" t="n"/>
      <c r="L217" s="4" t="n"/>
      <c r="M217" s="4" t="n"/>
      <c r="N217" s="4" t="n"/>
      <c r="P217" s="4" t="n"/>
      <c r="R217" s="4" t="n"/>
      <c r="W217" s="4" t="n"/>
    </row>
    <row r="218">
      <c r="K218" s="4" t="n"/>
      <c r="L218" s="4" t="n"/>
      <c r="M218" s="4" t="n"/>
      <c r="N218" s="4" t="n"/>
      <c r="P218" s="4" t="n"/>
      <c r="R218" s="4" t="n"/>
      <c r="W218" s="4" t="n"/>
    </row>
    <row r="219">
      <c r="K219" s="4" t="n"/>
      <c r="L219" s="4" t="n"/>
      <c r="M219" s="4" t="n"/>
      <c r="N219" s="4" t="n"/>
      <c r="P219" s="4" t="n"/>
      <c r="R219" s="4" t="n"/>
      <c r="W219" s="4" t="n"/>
    </row>
    <row r="220">
      <c r="K220" s="4" t="n"/>
      <c r="L220" s="4" t="n"/>
      <c r="M220" s="4" t="n"/>
      <c r="N220" s="4" t="n"/>
      <c r="O220" s="173" t="n"/>
      <c r="P220" s="173" t="n"/>
      <c r="R220" s="4" t="n"/>
      <c r="S220" s="4" t="n"/>
      <c r="T220" s="4" t="n"/>
      <c r="U220" s="4" t="n"/>
      <c r="V220" s="4" t="n"/>
      <c r="W220" s="4" t="n"/>
    </row>
    <row r="221">
      <c r="K221" s="4" t="n"/>
      <c r="L221" s="4" t="n"/>
      <c r="M221" s="4" t="n"/>
      <c r="N221" s="4" t="n"/>
      <c r="O221" s="173" t="n"/>
      <c r="P221" s="173" t="n"/>
      <c r="R221" s="4" t="n"/>
      <c r="S221" s="4" t="n"/>
      <c r="T221" s="4" t="n"/>
      <c r="U221" s="4" t="n"/>
      <c r="V221" s="4" t="n"/>
      <c r="W221" s="4" t="n"/>
    </row>
    <row r="222">
      <c r="K222" s="4" t="n"/>
      <c r="L222" s="4" t="n"/>
      <c r="M222" s="4" t="n"/>
      <c r="N222" s="4" t="n"/>
      <c r="O222" s="173" t="n"/>
      <c r="P222" s="173" t="n"/>
      <c r="R222" s="4" t="n"/>
      <c r="S222" s="4" t="n"/>
      <c r="T222" s="4" t="n"/>
      <c r="U222" s="4" t="n"/>
      <c r="V222" s="4" t="n"/>
      <c r="W222" s="4" t="n"/>
    </row>
    <row r="223">
      <c r="K223" s="4" t="n"/>
      <c r="L223" s="4" t="n"/>
      <c r="M223" s="4" t="n"/>
      <c r="N223" s="4" t="n"/>
      <c r="O223" s="173" t="n"/>
      <c r="P223" s="4" t="n"/>
      <c r="R223" s="4" t="n"/>
      <c r="W223" s="4" t="n"/>
    </row>
    <row r="224">
      <c r="K224" s="4" t="n"/>
      <c r="L224" s="4" t="n"/>
      <c r="M224" s="4" t="n"/>
      <c r="N224" s="4" t="n"/>
      <c r="O224" s="173" t="n"/>
      <c r="P224" s="4" t="n"/>
      <c r="R224" s="4" t="n"/>
      <c r="W224" s="4" t="n"/>
    </row>
    <row r="225">
      <c r="P225" s="4" t="n"/>
      <c r="Q225" s="4" t="n"/>
      <c r="R225" s="4" t="n"/>
      <c r="W225" s="4" t="n"/>
    </row>
    <row r="226">
      <c r="W226" s="4" t="n"/>
    </row>
    <row r="227">
      <c r="W227" s="4" t="n"/>
    </row>
    <row r="228">
      <c r="W228" s="4" t="n"/>
    </row>
    <row r="229">
      <c r="W229" s="4" t="n"/>
    </row>
    <row r="230">
      <c r="W230" s="4" t="n"/>
    </row>
    <row r="231">
      <c r="W231" s="4" t="n"/>
    </row>
    <row r="232">
      <c r="W232" s="4" t="n"/>
    </row>
    <row r="233">
      <c r="W233" s="4" t="n"/>
    </row>
    <row r="234">
      <c r="W234" s="4" t="n"/>
    </row>
    <row r="235">
      <c r="W235" s="4" t="n"/>
    </row>
    <row r="236">
      <c r="W236" s="4" t="n"/>
    </row>
    <row r="237">
      <c r="W237" s="4" t="n"/>
    </row>
    <row r="238">
      <c r="W238" s="4" t="n"/>
    </row>
    <row r="239">
      <c r="W239" s="4" t="n"/>
    </row>
    <row r="240">
      <c r="W240" s="4" t="n"/>
    </row>
    <row r="241">
      <c r="W241" s="4" t="n"/>
    </row>
    <row r="242">
      <c r="W242" s="4" t="n"/>
    </row>
    <row r="243">
      <c r="W243" s="4" t="n"/>
    </row>
    <row r="244">
      <c r="W244" s="4" t="n"/>
    </row>
    <row r="245">
      <c r="W245" s="4" t="n"/>
    </row>
    <row r="246">
      <c r="W246" s="4" t="n"/>
    </row>
    <row r="247">
      <c r="W247" s="4" t="n"/>
    </row>
    <row r="248">
      <c r="W248" s="4" t="n"/>
    </row>
    <row r="249">
      <c r="W249" s="4" t="n"/>
    </row>
    <row r="250">
      <c r="W250" s="4" t="n"/>
    </row>
    <row r="251">
      <c r="W251" s="4" t="n"/>
    </row>
    <row r="252">
      <c r="W252" s="4" t="n"/>
    </row>
    <row r="253">
      <c r="W253" s="4" t="n"/>
    </row>
    <row r="254">
      <c r="W254" s="4" t="n"/>
    </row>
    <row r="255">
      <c r="W255" s="4" t="n"/>
    </row>
    <row r="256">
      <c r="W256" s="4" t="n"/>
    </row>
    <row r="257">
      <c r="W257" s="4" t="n"/>
    </row>
    <row r="258">
      <c r="W258" s="4" t="n"/>
    </row>
    <row r="259">
      <c r="W259" s="4" t="n"/>
    </row>
  </sheetData>
  <autoFilter ref="B3:X205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I158"/>
  <sheetViews>
    <sheetView workbookViewId="0">
      <selection activeCell="A1" sqref="A1"/>
    </sheetView>
  </sheetViews>
  <sheetFormatPr baseColWidth="10" defaultRowHeight="14.5"/>
  <cols>
    <col width="61.453125" bestFit="1" customWidth="1" min="1" max="1"/>
    <col width="12.54296875" bestFit="1" customWidth="1" min="2" max="2"/>
    <col width="6.453125" bestFit="1" customWidth="1" min="3" max="3"/>
    <col width="6" bestFit="1" customWidth="1" min="4" max="4"/>
    <col width="6.54296875" bestFit="1" customWidth="1" min="5" max="5"/>
    <col width="6.1796875" bestFit="1" customWidth="1" min="6" max="6"/>
    <col width="12.453125" bestFit="1" customWidth="1" min="7" max="7"/>
    <col width="16.26953125" bestFit="1" customWidth="1" style="173" min="8" max="8"/>
    <col width="12.54296875" bestFit="1" customWidth="1" min="9" max="9"/>
  </cols>
  <sheetData>
    <row r="1">
      <c r="A1" t="inlineStr">
        <is>
          <t>Cuenta</t>
        </is>
      </c>
      <c r="B1" t="inlineStr">
        <is>
          <t>Grupo Ext Item</t>
        </is>
      </c>
      <c r="C1" s="106" t="n">
        <v>46023</v>
      </c>
      <c r="D1" s="106" t="n">
        <v>46054</v>
      </c>
      <c r="E1" s="106" t="n">
        <v>46082</v>
      </c>
      <c r="F1" s="106" t="n">
        <v>46113</v>
      </c>
      <c r="G1" s="106" t="n">
        <v>46143</v>
      </c>
      <c r="H1" s="173" t="inlineStr">
        <is>
          <t>Comprobación</t>
        </is>
      </c>
      <c r="I1" t="inlineStr">
        <is>
          <t>Dif</t>
        </is>
      </c>
    </row>
    <row r="2">
      <c r="A2" t="inlineStr">
        <is>
          <t>700000000 - Ventas de mercaderías</t>
        </is>
      </c>
      <c r="B2" t="inlineStr">
        <is>
          <t>-</t>
        </is>
      </c>
      <c r="G2" s="4" t="n">
        <v>2029266.99</v>
      </c>
      <c r="H2" s="173">
        <f>VLOOKUP(A2,'PL Mensual 2027'!I:O,7,0)</f>
        <v/>
      </c>
      <c r="I2" s="174">
        <f>G2-H2</f>
        <v/>
      </c>
    </row>
    <row r="3">
      <c r="A3" t="inlineStr">
        <is>
          <t>700000001 - VENTA MERCADERIAS POR ANTICIPO</t>
        </is>
      </c>
      <c r="B3" t="inlineStr">
        <is>
          <t>-</t>
        </is>
      </c>
      <c r="G3" s="4" t="n">
        <v>-106250.17</v>
      </c>
      <c r="H3" s="173">
        <f>VLOOKUP(A3,'PL Mensual 2027'!I:O,7,0)</f>
        <v/>
      </c>
      <c r="I3" s="174">
        <f>G3-H3</f>
        <v/>
      </c>
    </row>
    <row r="4">
      <c r="A4" t="inlineStr">
        <is>
          <t>700000624 - VENTA POR TRANSP. REP. AL CLIENTE</t>
        </is>
      </c>
      <c r="B4" t="inlineStr">
        <is>
          <t>-</t>
        </is>
      </c>
      <c r="G4" t="inlineStr">
        <is>
          <t xml:space="preserve">                            -  </t>
        </is>
      </c>
      <c r="H4" s="173">
        <f>VLOOKUP(A4,'PL Mensual 2027'!I:O,7,0)</f>
        <v/>
      </c>
      <c r="I4" s="174" t="n"/>
    </row>
    <row r="5">
      <c r="A5" t="inlineStr">
        <is>
          <t>700000769 - INGRESOS POR RETRASOS DE COBRO Y ACTUALIZACION</t>
        </is>
      </c>
      <c r="B5" t="inlineStr">
        <is>
          <t>-</t>
        </is>
      </c>
      <c r="G5" t="inlineStr">
        <is>
          <t xml:space="preserve">                            -  </t>
        </is>
      </c>
      <c r="H5" s="173">
        <f>VLOOKUP(A5,'PL Mensual 2027'!I:O,7,0)</f>
        <v/>
      </c>
      <c r="I5" s="174" t="n"/>
    </row>
    <row r="6">
      <c r="A6" t="inlineStr">
        <is>
          <t>700001624 - VENTA POR TRANSPORTE REP. AL CLIENTE DEFINITIVO</t>
        </is>
      </c>
      <c r="B6" t="inlineStr">
        <is>
          <t>-</t>
        </is>
      </c>
      <c r="G6" s="4" t="n">
        <v>25140.75</v>
      </c>
      <c r="H6" s="173">
        <f>VLOOKUP(A6,'PL Mensual 2027'!I:O,7,0)</f>
        <v/>
      </c>
      <c r="I6" s="174">
        <f>G6-H6</f>
        <v/>
      </c>
    </row>
    <row r="7">
      <c r="A7" t="inlineStr">
        <is>
          <t>702000000 - Ventas de productos semiterminados</t>
        </is>
      </c>
      <c r="B7" t="inlineStr">
        <is>
          <t>-</t>
        </is>
      </c>
      <c r="G7" s="4" t="n">
        <v>101865.8</v>
      </c>
      <c r="H7" s="173">
        <f>VLOOKUP(A7,'PL Mensual 2027'!I:O,7,0)</f>
        <v/>
      </c>
      <c r="I7" s="174">
        <f>G7-H7</f>
        <v/>
      </c>
    </row>
    <row r="8">
      <c r="A8" t="inlineStr">
        <is>
          <t>703000000 - Ventas de subproductos y residuos</t>
        </is>
      </c>
      <c r="B8" t="inlineStr">
        <is>
          <t>-</t>
        </is>
      </c>
      <c r="G8" t="inlineStr">
        <is>
          <t xml:space="preserve">                            -  </t>
        </is>
      </c>
      <c r="H8" s="173">
        <f>VLOOKUP(A8,'PL Mensual 2027'!I:O,7,0)</f>
        <v/>
      </c>
      <c r="I8" s="174" t="n"/>
    </row>
    <row r="9">
      <c r="A9" t="inlineStr">
        <is>
          <t>704000000 - Ventas de envases y embalajes</t>
        </is>
      </c>
      <c r="B9" t="inlineStr">
        <is>
          <t>-</t>
        </is>
      </c>
      <c r="G9" s="4" t="n">
        <v>80917.99000000001</v>
      </c>
      <c r="H9" s="173">
        <f>VLOOKUP(A9,'PL Mensual 2027'!I:O,7,0)</f>
        <v/>
      </c>
      <c r="I9" s="174">
        <f>G9-H9</f>
        <v/>
      </c>
    </row>
    <row r="10">
      <c r="A10" t="inlineStr">
        <is>
          <t>705000000 - Prestaciones de servicios</t>
        </is>
      </c>
      <c r="B10" t="inlineStr">
        <is>
          <t>-</t>
        </is>
      </c>
      <c r="G10" s="4" t="n">
        <v>111557.6</v>
      </c>
      <c r="H10" s="173">
        <f>VLOOKUP(A10,'PL Mensual 2027'!I:O,7,0)</f>
        <v/>
      </c>
      <c r="I10" s="174">
        <f>G10-H10</f>
        <v/>
      </c>
    </row>
    <row r="11">
      <c r="A11" t="inlineStr">
        <is>
          <t xml:space="preserve">- - </t>
        </is>
      </c>
      <c r="B11" t="inlineStr">
        <is>
          <t>Maquila</t>
        </is>
      </c>
      <c r="G11" s="4" t="n">
        <v>-111557.6</v>
      </c>
      <c r="H11" s="173">
        <f>VLOOKUP(A11,'PL Mensual 2027'!I:O,7,0)</f>
        <v/>
      </c>
      <c r="I11" s="174">
        <f>G11-H11</f>
        <v/>
      </c>
    </row>
    <row r="12">
      <c r="A12" t="inlineStr">
        <is>
          <t>705000001 - INGRESO POR GESTIÓN DE ENVASES</t>
        </is>
      </c>
      <c r="B12" t="inlineStr">
        <is>
          <t>-</t>
        </is>
      </c>
      <c r="G12" s="4" t="n">
        <v>2913.09</v>
      </c>
      <c r="H12" s="173">
        <f>VLOOKUP(A12,'PL Mensual 2027'!I:O,7,0)</f>
        <v/>
      </c>
      <c r="I12" s="174">
        <f>G12-H12</f>
        <v/>
      </c>
    </row>
    <row r="13">
      <c r="A13" t="inlineStr">
        <is>
          <t>706000000 - Dtos. ventas por pronto pago mercaderías</t>
        </is>
      </c>
      <c r="B13" t="inlineStr">
        <is>
          <t>-</t>
        </is>
      </c>
      <c r="G13" t="inlineStr">
        <is>
          <t xml:space="preserve">                            -  </t>
        </is>
      </c>
      <c r="H13" s="173">
        <f>VLOOKUP(A13,'PL Mensual 2027'!I:O,7,0)</f>
        <v/>
      </c>
      <c r="I13" s="174" t="n"/>
    </row>
    <row r="14">
      <c r="A14" t="inlineStr">
        <is>
          <t>706000001 - DESCUENTO POR PRONTO PAGO DEFINITIVO</t>
        </is>
      </c>
      <c r="B14" t="inlineStr">
        <is>
          <t>-</t>
        </is>
      </c>
      <c r="G14" s="4" t="n">
        <v>-38633.95</v>
      </c>
      <c r="H14" s="173">
        <f>VLOOKUP(A14,'PL Mensual 2027'!I:O,7,0)</f>
        <v/>
      </c>
      <c r="I14" s="174">
        <f>G14-H14</f>
        <v/>
      </c>
    </row>
    <row r="15">
      <c r="A15" t="inlineStr">
        <is>
          <t>709000000 - «Rappels» ventas de mercaderías</t>
        </is>
      </c>
      <c r="B15" t="inlineStr">
        <is>
          <t>-</t>
        </is>
      </c>
      <c r="G15" t="inlineStr">
        <is>
          <t xml:space="preserve">                            -  </t>
        </is>
      </c>
      <c r="H15" s="173">
        <f>VLOOKUP(A15,'PL Mensual 2027'!I:O,7,0)</f>
        <v/>
      </c>
      <c r="I15" s="174" t="n"/>
    </row>
    <row r="16">
      <c r="A16" t="inlineStr">
        <is>
          <t>709000001 - PROVISION RAPPELS</t>
        </is>
      </c>
      <c r="B16" t="inlineStr">
        <is>
          <t>-</t>
        </is>
      </c>
      <c r="G16" t="inlineStr">
        <is>
          <t xml:space="preserve">                            -  </t>
        </is>
      </c>
      <c r="H16" s="173">
        <f>VLOOKUP(A16,'PL Mensual 2027'!I:O,7,0)</f>
        <v/>
      </c>
      <c r="I16" s="174" t="n"/>
    </row>
    <row r="17">
      <c r="A17" t="inlineStr">
        <is>
          <t>709001500 - RAPPEL BONIFICACIONES POR PMK DEFINITIVO</t>
        </is>
      </c>
      <c r="B17" t="inlineStr">
        <is>
          <t>-</t>
        </is>
      </c>
      <c r="G17" s="4" t="n">
        <v>-1350</v>
      </c>
      <c r="H17" s="173">
        <f>VLOOKUP(A17,'PL Mensual 2027'!I:O,7,0)</f>
        <v/>
      </c>
      <c r="I17" s="174">
        <f>G17-H17</f>
        <v/>
      </c>
    </row>
    <row r="18">
      <c r="A18" t="inlineStr">
        <is>
          <t>711000000 - Variación existencias de prod. semiterminados</t>
        </is>
      </c>
      <c r="B18" t="inlineStr">
        <is>
          <t>-</t>
        </is>
      </c>
      <c r="G18" s="4" t="n">
        <v>4436.02</v>
      </c>
      <c r="H18" s="173">
        <f>VLOOKUP(A18,'PL Mensual 2027'!I:O,7,0)</f>
        <v/>
      </c>
      <c r="I18" s="174">
        <f>G18-H18</f>
        <v/>
      </c>
    </row>
    <row r="19">
      <c r="A19" t="inlineStr">
        <is>
          <t>712000000 - Variación existencias de prod. terminados</t>
        </is>
      </c>
      <c r="B19" t="inlineStr">
        <is>
          <t>-</t>
        </is>
      </c>
      <c r="G19" s="4" t="n">
        <v>-34727.12</v>
      </c>
      <c r="H19" s="173">
        <f>VLOOKUP(A19,'PL Mensual 2027'!I:O,7,0)</f>
        <v/>
      </c>
      <c r="I19" s="174">
        <f>G19-H19</f>
        <v/>
      </c>
    </row>
    <row r="20">
      <c r="A20" t="inlineStr">
        <is>
          <t>601000000 - Compras de materias primas</t>
        </is>
      </c>
      <c r="B20" t="inlineStr">
        <is>
          <t>-</t>
        </is>
      </c>
      <c r="G20" s="4" t="n">
        <v>-417425.43</v>
      </c>
      <c r="H20" s="173">
        <f>VLOOKUP(A20,'PL Mensual 2027'!I:O,7,0)</f>
        <v/>
      </c>
      <c r="I20" s="174">
        <f>G20-H20</f>
        <v/>
      </c>
    </row>
    <row r="21">
      <c r="A21" t="inlineStr">
        <is>
          <t>601000001 - COMPRAS MAT. PRIMAS INTRACOMUNITARIAS</t>
        </is>
      </c>
      <c r="B21" t="inlineStr">
        <is>
          <t>-</t>
        </is>
      </c>
      <c r="G21" s="4" t="n">
        <v>-108150</v>
      </c>
      <c r="H21" s="173">
        <f>VLOOKUP(A21,'PL Mensual 2027'!I:O,7,0)</f>
        <v/>
      </c>
      <c r="I21" s="174">
        <f>G21-H21</f>
        <v/>
      </c>
    </row>
    <row r="22">
      <c r="A22" t="inlineStr">
        <is>
          <t>602000001 - COMPRA DE ENVASES Y EMBALAJES</t>
        </is>
      </c>
      <c r="B22" t="inlineStr">
        <is>
          <t>-</t>
        </is>
      </c>
      <c r="G22" s="4" t="n">
        <v>-111111.14</v>
      </c>
      <c r="H22" s="173">
        <f>VLOOKUP(A22,'PL Mensual 2027'!I:O,7,0)</f>
        <v/>
      </c>
      <c r="I22" s="174">
        <f>G22-H22</f>
        <v/>
      </c>
    </row>
    <row r="23">
      <c r="A23" t="inlineStr">
        <is>
          <t>602000002 - COMPRA DE ETIQUETAS</t>
        </is>
      </c>
      <c r="B23" t="inlineStr">
        <is>
          <t>-</t>
        </is>
      </c>
      <c r="G23" s="4" t="n">
        <v>-2784.91</v>
      </c>
      <c r="H23" s="173">
        <f>VLOOKUP(A23,'PL Mensual 2027'!I:O,7,0)</f>
        <v/>
      </c>
      <c r="I23" s="174">
        <f>G23-H23</f>
        <v/>
      </c>
    </row>
    <row r="24">
      <c r="A24" t="inlineStr">
        <is>
          <t>602000003 - COMPRA DE PALETS</t>
        </is>
      </c>
      <c r="B24" t="inlineStr">
        <is>
          <t>-</t>
        </is>
      </c>
      <c r="G24" s="4" t="n">
        <v>-17326.4</v>
      </c>
      <c r="H24" s="173">
        <f>VLOOKUP(A24,'PL Mensual 2027'!I:O,7,0)</f>
        <v/>
      </c>
      <c r="I24" s="174">
        <f>G24-H24</f>
        <v/>
      </c>
    </row>
    <row r="25">
      <c r="A25" t="inlineStr">
        <is>
          <t>602000004 - COMPRA MATERIAL DE LIMPIEZA</t>
        </is>
      </c>
      <c r="B25" t="inlineStr">
        <is>
          <t>-</t>
        </is>
      </c>
      <c r="G25" t="inlineStr">
        <is>
          <t xml:space="preserve">                            -  </t>
        </is>
      </c>
      <c r="H25" s="173">
        <f>VLOOKUP(A25,'PL Mensual 2027'!I:O,7,0)</f>
        <v/>
      </c>
      <c r="I25" s="174" t="n"/>
    </row>
    <row r="26">
      <c r="A26" t="inlineStr">
        <is>
          <t>602000005 - COMPRA MATERIAL DE OFICINA</t>
        </is>
      </c>
      <c r="B26" t="inlineStr">
        <is>
          <t>-</t>
        </is>
      </c>
      <c r="G26" t="inlineStr">
        <is>
          <t xml:space="preserve">                            -  </t>
        </is>
      </c>
      <c r="H26" s="173">
        <f>VLOOKUP(A26,'PL Mensual 2027'!I:O,7,0)</f>
        <v/>
      </c>
      <c r="I26" s="174" t="n"/>
    </row>
    <row r="27">
      <c r="A27" t="inlineStr">
        <is>
          <t>602000006 - COMPRA TAPONES DE ENVASES</t>
        </is>
      </c>
      <c r="B27" t="inlineStr">
        <is>
          <t>-</t>
        </is>
      </c>
      <c r="G27" t="inlineStr">
        <is>
          <t xml:space="preserve">                            -  </t>
        </is>
      </c>
      <c r="H27" s="173">
        <f>VLOOKUP(A27,'PL Mensual 2027'!I:O,7,0)</f>
        <v/>
      </c>
      <c r="I27" s="174" t="n"/>
    </row>
    <row r="28">
      <c r="A28" t="inlineStr">
        <is>
          <t>602000011 - COMPRAS VARIAS PLANTA</t>
        </is>
      </c>
      <c r="B28" t="inlineStr">
        <is>
          <t>-</t>
        </is>
      </c>
      <c r="G28" t="inlineStr">
        <is>
          <t xml:space="preserve">                            -  </t>
        </is>
      </c>
      <c r="H28" s="173">
        <f>VLOOKUP(A28,'PL Mensual 2027'!I:O,7,0)</f>
        <v/>
      </c>
      <c r="I28" s="174" t="n"/>
    </row>
    <row r="29">
      <c r="A29" t="inlineStr">
        <is>
          <t>602000012 - REPUESTOS INFORMATICOS</t>
        </is>
      </c>
      <c r="B29" t="inlineStr">
        <is>
          <t>-</t>
        </is>
      </c>
      <c r="G29" t="inlineStr">
        <is>
          <t xml:space="preserve">                            -  </t>
        </is>
      </c>
      <c r="H29" s="173">
        <f>VLOOKUP(A29,'PL Mensual 2027'!I:O,7,0)</f>
        <v/>
      </c>
      <c r="I29" s="174" t="n"/>
    </row>
    <row r="30">
      <c r="A30" t="inlineStr">
        <is>
          <t>602000013 - COMPRA TINTA INPRESORA ETIQUETAS</t>
        </is>
      </c>
      <c r="B30" t="inlineStr">
        <is>
          <t>-</t>
        </is>
      </c>
      <c r="G30" t="n">
        <v>-480.84</v>
      </c>
      <c r="H30" s="173">
        <f>VLOOKUP(A30,'PL Mensual 2027'!I:O,7,0)</f>
        <v/>
      </c>
      <c r="I30" s="174">
        <f>G30-H30</f>
        <v/>
      </c>
    </row>
    <row r="31">
      <c r="A31" t="inlineStr">
        <is>
          <t>602000100 - ENVASES Y EMBALAJES A DEVOLVER</t>
        </is>
      </c>
      <c r="B31" t="inlineStr">
        <is>
          <t>-</t>
        </is>
      </c>
      <c r="G31" s="4" t="n">
        <v>1124</v>
      </c>
      <c r="H31" s="173">
        <f>VLOOKUP(A31,'PL Mensual 2027'!I:O,7,0)</f>
        <v/>
      </c>
      <c r="I31" s="174">
        <f>G31-H31</f>
        <v/>
      </c>
    </row>
    <row r="32">
      <c r="A32" t="inlineStr">
        <is>
          <t>607000000 - Trabajos realizados por otras empresas</t>
        </is>
      </c>
      <c r="B32" t="inlineStr">
        <is>
          <t>-</t>
        </is>
      </c>
      <c r="G32" s="4" t="n">
        <v>-32102.71</v>
      </c>
      <c r="H32" s="173">
        <f>VLOOKUP(A32,'PL Mensual 2027'!I:O,7,0)</f>
        <v/>
      </c>
      <c r="I32" s="174">
        <f>G32-H32</f>
        <v/>
      </c>
    </row>
    <row r="33">
      <c r="A33" t="inlineStr">
        <is>
          <t xml:space="preserve">- - </t>
        </is>
      </c>
      <c r="B33" t="inlineStr">
        <is>
          <t>Maquila</t>
        </is>
      </c>
      <c r="G33" s="4" t="n">
        <v>28562.71</v>
      </c>
      <c r="H33" s="173">
        <f>VLOOKUP(A33,'PL Mensual 2027'!I:O,7,0)</f>
        <v/>
      </c>
      <c r="I33" s="174">
        <f>G33-H33</f>
        <v/>
      </c>
    </row>
    <row r="34">
      <c r="A34" t="inlineStr">
        <is>
          <t>611000000 - Variación de existencias de materias primas</t>
        </is>
      </c>
      <c r="B34" t="inlineStr">
        <is>
          <t>-</t>
        </is>
      </c>
      <c r="G34" s="4" t="n">
        <v>-43504.89</v>
      </c>
      <c r="H34" s="173">
        <f>VLOOKUP(A34,'PL Mensual 2027'!I:O,7,0)</f>
        <v/>
      </c>
      <c r="I34" s="174">
        <f>G34-H34</f>
        <v/>
      </c>
    </row>
    <row r="35">
      <c r="A35" t="inlineStr">
        <is>
          <t>612000000 - Variación de existencias otros aprovisionamientos</t>
        </is>
      </c>
      <c r="B35" t="inlineStr">
        <is>
          <t>-</t>
        </is>
      </c>
      <c r="G35" s="4" t="n">
        <v>-73565.42</v>
      </c>
      <c r="H35" s="173">
        <f>VLOOKUP(A35,'PL Mensual 2027'!I:O,7,0)</f>
        <v/>
      </c>
      <c r="I35" s="174">
        <f>G35-H35</f>
        <v/>
      </c>
    </row>
    <row r="36">
      <c r="A36" t="inlineStr">
        <is>
          <t>640000000 - Sueldos y salarios</t>
        </is>
      </c>
      <c r="B36" t="inlineStr">
        <is>
          <t>-</t>
        </is>
      </c>
      <c r="G36" s="4" t="n">
        <v>-104048.18</v>
      </c>
      <c r="H36" s="173">
        <f>VLOOKUP(A36,'PL Mensual 2027'!I:O,7,0)</f>
        <v/>
      </c>
      <c r="I36" s="174">
        <f>G36-H36</f>
        <v/>
      </c>
    </row>
    <row r="37">
      <c r="A37" t="inlineStr">
        <is>
          <t>641000000 - Indemnizaciones</t>
        </is>
      </c>
      <c r="B37" t="inlineStr">
        <is>
          <t>-</t>
        </is>
      </c>
      <c r="G37" t="inlineStr">
        <is>
          <t xml:space="preserve">                            -  </t>
        </is>
      </c>
      <c r="H37" s="173">
        <f>VLOOKUP(A37,'PL Mensual 2027'!I:O,7,0)</f>
        <v/>
      </c>
      <c r="I37" s="174" t="n"/>
    </row>
    <row r="38">
      <c r="A38" t="inlineStr">
        <is>
          <t>642000000 - Seguridad Social a cargo empresa</t>
        </is>
      </c>
      <c r="B38" t="inlineStr">
        <is>
          <t>-</t>
        </is>
      </c>
      <c r="G38" s="4" t="n">
        <v>-30856.34</v>
      </c>
      <c r="H38" s="173">
        <f>VLOOKUP(A38,'PL Mensual 2027'!I:O,7,0)</f>
        <v/>
      </c>
      <c r="I38" s="174">
        <f>G38-H38</f>
        <v/>
      </c>
    </row>
    <row r="39">
      <c r="A39" t="inlineStr">
        <is>
          <t>649000100 - GTOS. CURSOS PERSONAL</t>
        </is>
      </c>
      <c r="B39" t="inlineStr">
        <is>
          <t>-</t>
        </is>
      </c>
      <c r="G39" t="n">
        <v>-88</v>
      </c>
      <c r="H39" s="173">
        <f>VLOOKUP(A39,'PL Mensual 2027'!I:O,7,0)</f>
        <v/>
      </c>
      <c r="I39" s="174">
        <f>G39-H39</f>
        <v/>
      </c>
    </row>
    <row r="40">
      <c r="A40" t="inlineStr">
        <is>
          <t>620000002 - COMPRAS LABORATORIO</t>
        </is>
      </c>
      <c r="B40" t="inlineStr">
        <is>
          <t>-</t>
        </is>
      </c>
      <c r="G40" t="n">
        <v>-487.47</v>
      </c>
      <c r="H40" s="173">
        <f>VLOOKUP(A40,'PL Mensual 2027'!I:O,7,0)</f>
        <v/>
      </c>
      <c r="I40" s="174">
        <f>G40-H40</f>
        <v/>
      </c>
    </row>
    <row r="41">
      <c r="A41" t="inlineStr">
        <is>
          <t>620000003 - SUMINISTROS LABORATORIO</t>
        </is>
      </c>
      <c r="B41" t="inlineStr">
        <is>
          <t>-</t>
        </is>
      </c>
      <c r="G41" s="4" t="n">
        <v>-1464.58</v>
      </c>
      <c r="H41" s="173">
        <f>VLOOKUP(A41,'PL Mensual 2027'!I:O,7,0)</f>
        <v/>
      </c>
      <c r="I41" s="174">
        <f>G41-H41</f>
        <v/>
      </c>
    </row>
    <row r="42">
      <c r="A42" t="inlineStr">
        <is>
          <t>620000004 - GTOS. ANALISIS LABORATORIOS</t>
        </is>
      </c>
      <c r="B42" t="inlineStr">
        <is>
          <t>-</t>
        </is>
      </c>
      <c r="G42" s="4" t="n">
        <v>-1476.12</v>
      </c>
      <c r="H42" s="173">
        <f>VLOOKUP(A42,'PL Mensual 2027'!I:O,7,0)</f>
        <v/>
      </c>
      <c r="I42" s="174">
        <f>G42-H42</f>
        <v/>
      </c>
    </row>
    <row r="43">
      <c r="A43" t="inlineStr">
        <is>
          <t>621000001 - ALQUILER OFICINA CARTAGENA</t>
        </is>
      </c>
      <c r="B43" t="inlineStr">
        <is>
          <t>-</t>
        </is>
      </c>
      <c r="G43" t="n">
        <v>-192</v>
      </c>
      <c r="H43" s="173">
        <f>VLOOKUP(A43,'PL Mensual 2027'!I:O,7,0)</f>
        <v/>
      </c>
      <c r="I43" s="174">
        <f>G43-H43</f>
        <v/>
      </c>
    </row>
    <row r="44">
      <c r="A44" t="inlineStr">
        <is>
          <t>621000014 - ALQUILER MURANO</t>
        </is>
      </c>
      <c r="B44" t="inlineStr">
        <is>
          <t>-</t>
        </is>
      </c>
      <c r="G44" s="4" t="n">
        <v>-15421.92</v>
      </c>
      <c r="H44" s="173">
        <f>VLOOKUP(A44,'PL Mensual 2027'!I:O,7,0)</f>
        <v/>
      </c>
      <c r="I44" s="174">
        <f>G44-H44</f>
        <v/>
      </c>
    </row>
    <row r="45">
      <c r="A45" t="inlineStr">
        <is>
          <t>621000024 - ALQUILER RENTING 2255KXN ANTONIO</t>
        </is>
      </c>
      <c r="B45" t="inlineStr">
        <is>
          <t>-</t>
        </is>
      </c>
      <c r="G45" t="inlineStr">
        <is>
          <t xml:space="preserve">                            -  </t>
        </is>
      </c>
      <c r="H45" s="173">
        <f>VLOOKUP(A45,'PL Mensual 2027'!I:O,7,0)</f>
        <v/>
      </c>
      <c r="I45" s="174" t="n"/>
    </row>
    <row r="46">
      <c r="A46" t="inlineStr">
        <is>
          <t>621000026 - ALQUILER RENTING 9319LCL CURRO</t>
        </is>
      </c>
      <c r="B46" t="inlineStr">
        <is>
          <t>-</t>
        </is>
      </c>
      <c r="G46" t="inlineStr">
        <is>
          <t xml:space="preserve">                            -  </t>
        </is>
      </c>
      <c r="H46" s="173">
        <f>VLOOKUP(A46,'PL Mensual 2027'!I:O,7,0)</f>
        <v/>
      </c>
      <c r="I46" s="174" t="n"/>
    </row>
    <row r="47">
      <c r="A47" t="inlineStr">
        <is>
          <t>621000031 - ALQUILER RENTING KONICA-MINOLTA Y KYOCERA</t>
        </is>
      </c>
      <c r="B47" t="inlineStr">
        <is>
          <t>-</t>
        </is>
      </c>
      <c r="G47" t="n">
        <v>-338</v>
      </c>
      <c r="H47" s="173">
        <f>VLOOKUP(A47,'PL Mensual 2027'!I:O,7,0)</f>
        <v/>
      </c>
      <c r="I47" s="174">
        <f>G47-H47</f>
        <v/>
      </c>
    </row>
    <row r="48">
      <c r="A48" t="inlineStr">
        <is>
          <t>621000032 - ALQUILER RENTING 6665-LVK JOSE JUAN</t>
        </is>
      </c>
      <c r="B48" t="inlineStr">
        <is>
          <t>-</t>
        </is>
      </c>
      <c r="G48" t="n">
        <v>-443.49</v>
      </c>
      <c r="H48" s="173">
        <f>VLOOKUP(A48,'PL Mensual 2027'!I:O,7,0)</f>
        <v/>
      </c>
      <c r="I48" s="174">
        <f>G48-H48</f>
        <v/>
      </c>
    </row>
    <row r="49">
      <c r="A49" t="inlineStr">
        <is>
          <t>621000033 - ALQUILER RENTING 2612-MBY ANTONIO</t>
        </is>
      </c>
      <c r="B49" t="inlineStr">
        <is>
          <t>-</t>
        </is>
      </c>
      <c r="G49" t="n">
        <v>-399.42</v>
      </c>
      <c r="H49" s="173">
        <f>VLOOKUP(A49,'PL Mensual 2027'!I:O,7,0)</f>
        <v/>
      </c>
      <c r="I49" s="174">
        <f>G49-H49</f>
        <v/>
      </c>
    </row>
    <row r="50">
      <c r="A50" t="inlineStr">
        <is>
          <t>621000034 - ALQUILER RENTING 3108-LZM NIEVES</t>
        </is>
      </c>
      <c r="B50" t="inlineStr">
        <is>
          <t>-</t>
        </is>
      </c>
      <c r="G50" t="inlineStr">
        <is>
          <t xml:space="preserve">                            -  </t>
        </is>
      </c>
      <c r="H50" s="173">
        <f>VLOOKUP(A50,'PL Mensual 2027'!I:O,7,0)</f>
        <v/>
      </c>
      <c r="I50" s="174" t="n"/>
    </row>
    <row r="51">
      <c r="A51" t="inlineStr">
        <is>
          <t>621000037 - CARRETILLA STILL ELEKTROSTAPLER 516213H00521</t>
        </is>
      </c>
      <c r="B51" t="inlineStr">
        <is>
          <t>-</t>
        </is>
      </c>
      <c r="G51" t="n">
        <v>-200</v>
      </c>
      <c r="H51" s="173">
        <f>VLOOKUP(A51,'PL Mensual 2027'!I:O,7,0)</f>
        <v/>
      </c>
      <c r="I51" s="174">
        <f>G51-H51</f>
        <v/>
      </c>
    </row>
    <row r="52">
      <c r="A52" t="inlineStr">
        <is>
          <t>621000038 - CARRETILLA STILL ELEKTROSTAPLER 516223J00123</t>
        </is>
      </c>
      <c r="B52" t="inlineStr">
        <is>
          <t>-</t>
        </is>
      </c>
      <c r="G52" t="n">
        <v>-200.22</v>
      </c>
      <c r="H52" s="173">
        <f>VLOOKUP(A52,'PL Mensual 2027'!I:O,7,0)</f>
        <v/>
      </c>
      <c r="I52" s="174">
        <f>G52-H52</f>
        <v/>
      </c>
    </row>
    <row r="53">
      <c r="A53" t="inlineStr">
        <is>
          <t>621000039 - ALQUILER RENTING 5043-MWW CURRO</t>
        </is>
      </c>
      <c r="B53" t="inlineStr">
        <is>
          <t>-</t>
        </is>
      </c>
      <c r="G53" t="inlineStr">
        <is>
          <t xml:space="preserve">                            -  </t>
        </is>
      </c>
      <c r="H53" s="173">
        <f>VLOOKUP(A53,'PL Mensual 2027'!I:O,7,0)</f>
        <v/>
      </c>
      <c r="I53" s="174" t="n"/>
    </row>
    <row r="54">
      <c r="A54" t="inlineStr">
        <is>
          <t>621000040 - ALQUILER RENTING 8917-MZT JAVIER</t>
        </is>
      </c>
      <c r="B54" t="inlineStr">
        <is>
          <t>-</t>
        </is>
      </c>
      <c r="G54" s="4" t="n">
        <v>-1172.14</v>
      </c>
      <c r="H54" s="173">
        <f>VLOOKUP(A54,'PL Mensual 2027'!I:O,7,0)</f>
        <v/>
      </c>
      <c r="I54" s="174">
        <f>G54-H54</f>
        <v/>
      </c>
    </row>
    <row r="55">
      <c r="A55" t="inlineStr">
        <is>
          <t>621000041 - ALQUILER RENTING 8929-MZT RICARDO</t>
        </is>
      </c>
      <c r="B55" t="inlineStr">
        <is>
          <t>-</t>
        </is>
      </c>
      <c r="G55" s="4" t="n">
        <v>-1015.21</v>
      </c>
      <c r="H55" s="173">
        <f>VLOOKUP(A55,'PL Mensual 2027'!I:O,7,0)</f>
        <v/>
      </c>
      <c r="I55" s="174">
        <f>G55-H55</f>
        <v/>
      </c>
    </row>
    <row r="56">
      <c r="A56" t="inlineStr">
        <is>
          <t>621000042 - ALQUILER RENTING 4946-NFH GARCIA</t>
        </is>
      </c>
      <c r="B56" t="inlineStr">
        <is>
          <t>-</t>
        </is>
      </c>
      <c r="G56" t="n">
        <v>-677.53</v>
      </c>
      <c r="H56" s="173">
        <f>VLOOKUP(A56,'PL Mensual 2027'!I:O,7,0)</f>
        <v/>
      </c>
      <c r="I56" s="174">
        <f>G56-H56</f>
        <v/>
      </c>
    </row>
    <row r="57">
      <c r="A57" t="inlineStr">
        <is>
          <t>621000044 - ALQUILER COMPRESOR DE TORNILLO 37KW KAESER BSD 75C</t>
        </is>
      </c>
      <c r="B57" t="inlineStr">
        <is>
          <t>-</t>
        </is>
      </c>
      <c r="G57" s="4" t="n">
        <v>-1600</v>
      </c>
      <c r="H57" s="173">
        <f>VLOOKUP(A57,'PL Mensual 2027'!I:O,7,0)</f>
        <v/>
      </c>
      <c r="I57" s="174">
        <f>G57-H57</f>
        <v/>
      </c>
    </row>
    <row r="58">
      <c r="A58" t="inlineStr">
        <is>
          <t>621000045 - ALQUILER RENTING 3421-NJT PERE</t>
        </is>
      </c>
      <c r="B58" t="inlineStr">
        <is>
          <t>-</t>
        </is>
      </c>
      <c r="G58" s="4" t="n">
        <v>-1208.01</v>
      </c>
      <c r="H58" s="173">
        <f>VLOOKUP(A58,'PL Mensual 2027'!I:O,7,0)</f>
        <v/>
      </c>
      <c r="I58" s="174">
        <f>G58-H58</f>
        <v/>
      </c>
    </row>
    <row r="59">
      <c r="A59" t="inlineStr">
        <is>
          <t>621000046 - ALQUILER CARRETILLAS</t>
        </is>
      </c>
      <c r="B59" t="inlineStr">
        <is>
          <t>-</t>
        </is>
      </c>
      <c r="G59" t="n">
        <v>-665</v>
      </c>
      <c r="H59" s="173">
        <f>VLOOKUP(A59,'PL Mensual 2027'!I:O,7,0)</f>
        <v/>
      </c>
      <c r="I59" s="174">
        <f>G59-H59</f>
        <v/>
      </c>
    </row>
    <row r="60">
      <c r="A60" t="inlineStr">
        <is>
          <t xml:space="preserve">- - </t>
        </is>
      </c>
      <c r="B60" t="inlineStr">
        <is>
          <t>Maquila</t>
        </is>
      </c>
      <c r="G60" t="n">
        <v>665</v>
      </c>
      <c r="H60" s="173">
        <f>VLOOKUP(A60,'PL Mensual 2027'!I:O,7,0)</f>
        <v/>
      </c>
      <c r="I60" s="174">
        <f>G60-H60</f>
        <v/>
      </c>
    </row>
    <row r="61">
      <c r="A61" t="inlineStr">
        <is>
          <t>622000001 - REPAR. EQUIPOS INFORM. Y FOTOCOPIADORAS</t>
        </is>
      </c>
      <c r="B61" t="inlineStr">
        <is>
          <t>-</t>
        </is>
      </c>
      <c r="G61" t="inlineStr">
        <is>
          <t xml:space="preserve">                            -  </t>
        </is>
      </c>
      <c r="H61" s="173">
        <f>VLOOKUP(A61,'PL Mensual 2027'!I:O,7,0)</f>
        <v/>
      </c>
      <c r="I61" s="174" t="n"/>
    </row>
    <row r="62">
      <c r="A62" t="inlineStr">
        <is>
          <t>622000004 - REP. Y CONSERV. CARRETILLA ELECTRICA</t>
        </is>
      </c>
      <c r="B62" t="inlineStr">
        <is>
          <t>-</t>
        </is>
      </c>
      <c r="G62" t="inlineStr">
        <is>
          <t xml:space="preserve">                            -  </t>
        </is>
      </c>
      <c r="H62" s="173">
        <f>VLOOKUP(A62,'PL Mensual 2027'!I:O,7,0)</f>
        <v/>
      </c>
      <c r="I62" s="174" t="n"/>
    </row>
    <row r="63">
      <c r="A63" t="inlineStr">
        <is>
          <t>622000005 - REP. Y MANT. EQUIPOS SEGURIDAD</t>
        </is>
      </c>
      <c r="B63" t="inlineStr">
        <is>
          <t>-</t>
        </is>
      </c>
      <c r="G63" t="n">
        <v>-183.66</v>
      </c>
      <c r="H63" s="173">
        <f>VLOOKUP(A63,'PL Mensual 2027'!I:O,7,0)</f>
        <v/>
      </c>
      <c r="I63" s="174">
        <f>G63-H63</f>
        <v/>
      </c>
    </row>
    <row r="64">
      <c r="A64" t="inlineStr">
        <is>
          <t>622000006 - REP. Y MANT. INSTALACIONES VARIAS</t>
        </is>
      </c>
      <c r="B64" t="inlineStr">
        <is>
          <t>-</t>
        </is>
      </c>
      <c r="G64" t="inlineStr">
        <is>
          <t xml:space="preserve">                            -  </t>
        </is>
      </c>
      <c r="H64" s="173">
        <f>VLOOKUP(A64,'PL Mensual 2027'!I:O,7,0)</f>
        <v/>
      </c>
      <c r="I64" s="174" t="n"/>
    </row>
    <row r="65">
      <c r="A65" t="inlineStr">
        <is>
          <t>622000007 - REP. Y MANT. HYUNDAI 0377CJG</t>
        </is>
      </c>
      <c r="B65" t="inlineStr">
        <is>
          <t>-</t>
        </is>
      </c>
      <c r="G65" t="inlineStr">
        <is>
          <t xml:space="preserve">                            -  </t>
        </is>
      </c>
      <c r="H65" s="173">
        <f>VLOOKUP(A65,'PL Mensual 2027'!I:O,7,0)</f>
        <v/>
      </c>
      <c r="I65" s="174" t="n"/>
    </row>
    <row r="66">
      <c r="A66" t="inlineStr">
        <is>
          <t>622000008 - REP. Y MANT. MAQUINA BARREDORA</t>
        </is>
      </c>
      <c r="B66" t="inlineStr">
        <is>
          <t>-</t>
        </is>
      </c>
      <c r="G66" t="inlineStr">
        <is>
          <t xml:space="preserve">                            -  </t>
        </is>
      </c>
      <c r="H66" s="173">
        <f>VLOOKUP(A66,'PL Mensual 2027'!I:O,7,0)</f>
        <v/>
      </c>
      <c r="I66" s="174" t="n"/>
    </row>
    <row r="67">
      <c r="A67" t="inlineStr">
        <is>
          <t>622000012 - LIMPIEZA OFICINAS, LABORATORIO Y VESTUARIOS</t>
        </is>
      </c>
      <c r="B67" t="inlineStr">
        <is>
          <t>-</t>
        </is>
      </c>
      <c r="G67" t="inlineStr">
        <is>
          <t xml:space="preserve">                            -  </t>
        </is>
      </c>
      <c r="H67" s="173">
        <f>VLOOKUP(A67,'PL Mensual 2027'!I:O,7,0)</f>
        <v/>
      </c>
      <c r="I67" s="174" t="n"/>
    </row>
    <row r="68">
      <c r="A68" t="inlineStr">
        <is>
          <t>622010200 - ALCAPLANT</t>
        </is>
      </c>
      <c r="B68" t="inlineStr">
        <is>
          <t>-</t>
        </is>
      </c>
      <c r="G68" t="n">
        <v>-942.88</v>
      </c>
      <c r="H68" s="173">
        <f>VLOOKUP(A68,'PL Mensual 2027'!I:O,7,0)</f>
        <v/>
      </c>
      <c r="I68" s="174">
        <f>G68-H68</f>
        <v/>
      </c>
    </row>
    <row r="69">
      <c r="A69" t="inlineStr">
        <is>
          <t>622010201 - REPARACIONES ALCAPLANT</t>
        </is>
      </c>
      <c r="B69" t="inlineStr">
        <is>
          <t>-</t>
        </is>
      </c>
      <c r="G69" t="inlineStr">
        <is>
          <t xml:space="preserve">                            -  </t>
        </is>
      </c>
      <c r="H69" s="173">
        <f>VLOOKUP(A69,'PL Mensual 2027'!I:O,7,0)</f>
        <v/>
      </c>
      <c r="I69" s="174" t="n"/>
    </row>
    <row r="70">
      <c r="A70" t="inlineStr">
        <is>
          <t>622010300 - SOLIDOS</t>
        </is>
      </c>
      <c r="B70" t="inlineStr">
        <is>
          <t>-</t>
        </is>
      </c>
      <c r="G70" t="inlineStr">
        <is>
          <t xml:space="preserve">                            -  </t>
        </is>
      </c>
      <c r="H70" s="173">
        <f>VLOOKUP(A70,'PL Mensual 2027'!I:O,7,0)</f>
        <v/>
      </c>
      <c r="I70" s="174" t="n"/>
    </row>
    <row r="71">
      <c r="A71" t="inlineStr">
        <is>
          <t>622010400 - LIQUIDOS</t>
        </is>
      </c>
      <c r="B71" t="inlineStr">
        <is>
          <t>-</t>
        </is>
      </c>
      <c r="G71" s="4" t="n">
        <v>-1092.45</v>
      </c>
      <c r="H71" s="173">
        <f>VLOOKUP(A71,'PL Mensual 2027'!I:O,7,0)</f>
        <v/>
      </c>
      <c r="I71" s="174">
        <f>G71-H71</f>
        <v/>
      </c>
    </row>
    <row r="72">
      <c r="A72" t="inlineStr">
        <is>
          <t>622010500 - REPUESTOS MANT. VARIOS</t>
        </is>
      </c>
      <c r="B72" t="inlineStr">
        <is>
          <t>-</t>
        </is>
      </c>
      <c r="G72" t="n">
        <v>-799.04</v>
      </c>
      <c r="H72" s="173">
        <f>VLOOKUP(A72,'PL Mensual 2027'!I:O,7,0)</f>
        <v/>
      </c>
      <c r="I72" s="174">
        <f>G72-H72</f>
        <v/>
      </c>
    </row>
    <row r="73">
      <c r="A73" t="inlineStr">
        <is>
          <t>622010501 - REP. MANT. FONTANERIA</t>
        </is>
      </c>
      <c r="B73" t="inlineStr">
        <is>
          <t>-</t>
        </is>
      </c>
      <c r="G73" t="inlineStr">
        <is>
          <t xml:space="preserve">                            -  </t>
        </is>
      </c>
      <c r="H73" s="173">
        <f>VLOOKUP(A73,'PL Mensual 2027'!I:O,7,0)</f>
        <v/>
      </c>
      <c r="I73" s="174" t="n"/>
    </row>
    <row r="74">
      <c r="A74" t="inlineStr">
        <is>
          <t>623000001 - SERV. PROF. INDEPENDIENTES</t>
        </is>
      </c>
      <c r="B74" t="inlineStr">
        <is>
          <t>-</t>
        </is>
      </c>
      <c r="G74" s="4" t="n">
        <v>-21698</v>
      </c>
      <c r="H74" s="173">
        <f>VLOOKUP(A74,'PL Mensual 2027'!I:O,7,0)</f>
        <v/>
      </c>
      <c r="I74" s="174">
        <f>G74-H74</f>
        <v/>
      </c>
    </row>
    <row r="75">
      <c r="A75" t="inlineStr">
        <is>
          <t>623000002 - SERVICIOS CONTABLES Y FINANCIEROS</t>
        </is>
      </c>
      <c r="B75" t="inlineStr">
        <is>
          <t>-</t>
        </is>
      </c>
      <c r="G75" s="4" t="n">
        <v>-2891.19</v>
      </c>
      <c r="H75" s="173">
        <f>VLOOKUP(A75,'PL Mensual 2027'!I:O,7,0)</f>
        <v/>
      </c>
      <c r="I75" s="174">
        <f>G75-H75</f>
        <v/>
      </c>
    </row>
    <row r="76">
      <c r="A76" t="inlineStr">
        <is>
          <t>623000003 - SERV. NOTARIOS, REGISTROS, LEGAL</t>
        </is>
      </c>
      <c r="B76" t="inlineStr">
        <is>
          <t>-</t>
        </is>
      </c>
      <c r="G76" s="4" t="n">
        <v>-2271.24</v>
      </c>
      <c r="H76" s="173">
        <f>VLOOKUP(A76,'PL Mensual 2027'!I:O,7,0)</f>
        <v/>
      </c>
      <c r="I76" s="174">
        <f>G76-H76</f>
        <v/>
      </c>
    </row>
    <row r="77">
      <c r="A77" t="inlineStr">
        <is>
          <t>623000004 - GTOS. BCS. OKO</t>
        </is>
      </c>
      <c r="B77" t="inlineStr">
        <is>
          <t>-</t>
        </is>
      </c>
      <c r="G77" s="4" t="n">
        <v>-1574.71</v>
      </c>
      <c r="H77" s="173">
        <f>VLOOKUP(A77,'PL Mensual 2027'!I:O,7,0)</f>
        <v/>
      </c>
      <c r="I77" s="174">
        <f>G77-H77</f>
        <v/>
      </c>
    </row>
    <row r="78">
      <c r="A78" t="inlineStr">
        <is>
          <t>623000005 - SERVICIOS PREST. CAMARA COMERCIO</t>
        </is>
      </c>
      <c r="B78" t="inlineStr">
        <is>
          <t>-</t>
        </is>
      </c>
      <c r="G78" t="n">
        <v>-429</v>
      </c>
      <c r="H78" s="173">
        <f>VLOOKUP(A78,'PL Mensual 2027'!I:O,7,0)</f>
        <v/>
      </c>
      <c r="I78" s="174">
        <f>G78-H78</f>
        <v/>
      </c>
    </row>
    <row r="79">
      <c r="A79" t="inlineStr">
        <is>
          <t>623100002 - GASTOS MAURICIO ALISTE</t>
        </is>
      </c>
      <c r="B79" t="inlineStr">
        <is>
          <t>-</t>
        </is>
      </c>
      <c r="G79" s="4" t="n">
        <v>-4225.22</v>
      </c>
      <c r="H79" s="173">
        <f>VLOOKUP(A79,'PL Mensual 2027'!I:O,7,0)</f>
        <v/>
      </c>
      <c r="I79" s="174">
        <f>G79-H79</f>
        <v/>
      </c>
    </row>
    <row r="80">
      <c r="A80" t="inlineStr">
        <is>
          <t>623100006 - GASTOS Y SERVICIOS AGRICOLA DEL JUCAR</t>
        </is>
      </c>
      <c r="B80" t="inlineStr">
        <is>
          <t>-</t>
        </is>
      </c>
      <c r="G80" t="n">
        <v>-141.55</v>
      </c>
      <c r="H80" s="173">
        <f>VLOOKUP(A80,'PL Mensual 2027'!I:O,7,0)</f>
        <v/>
      </c>
      <c r="I80" s="174">
        <f>G80-H80</f>
        <v/>
      </c>
    </row>
    <row r="81">
      <c r="A81" t="inlineStr">
        <is>
          <t>623100007 - GASTOS Y SUELDO MEHMET CILOGLU</t>
        </is>
      </c>
      <c r="B81" t="inlineStr">
        <is>
          <t>-</t>
        </is>
      </c>
      <c r="G81" t="inlineStr">
        <is>
          <t xml:space="preserve">                            -  </t>
        </is>
      </c>
      <c r="H81" s="173">
        <f>VLOOKUP(A81,'PL Mensual 2027'!I:O,7,0)</f>
        <v/>
      </c>
      <c r="I81" s="174" t="n"/>
    </row>
    <row r="82">
      <c r="A82" t="inlineStr">
        <is>
          <t>623100008 - COMISIONES KAMAL KEHAL</t>
        </is>
      </c>
      <c r="B82" t="inlineStr">
        <is>
          <t>-</t>
        </is>
      </c>
      <c r="G82" s="4" t="n">
        <v>-3398.55</v>
      </c>
      <c r="H82" s="173">
        <f>VLOOKUP(A82,'PL Mensual 2027'!I:O,7,0)</f>
        <v/>
      </c>
      <c r="I82" s="174">
        <f>G82-H82</f>
        <v/>
      </c>
    </row>
    <row r="83">
      <c r="A83" t="inlineStr">
        <is>
          <t>623200001 - GASTOS MARCAS EN ESPAÑA</t>
        </is>
      </c>
      <c r="B83" t="inlineStr">
        <is>
          <t>-</t>
        </is>
      </c>
      <c r="G83" t="n">
        <v>-377.56</v>
      </c>
      <c r="H83" s="173">
        <f>VLOOKUP(A83,'PL Mensual 2027'!I:O,7,0)</f>
        <v/>
      </c>
      <c r="I83" s="174">
        <f>G83-H83</f>
        <v/>
      </c>
    </row>
    <row r="84">
      <c r="A84" t="inlineStr">
        <is>
          <t>623200006 - MARCAS UNION EUROPEA</t>
        </is>
      </c>
      <c r="B84" t="inlineStr">
        <is>
          <t>-</t>
        </is>
      </c>
      <c r="G84" t="inlineStr">
        <is>
          <t xml:space="preserve">                            -  </t>
        </is>
      </c>
      <c r="H84" s="173">
        <f>VLOOKUP(A84,'PL Mensual 2027'!I:O,7,0)</f>
        <v/>
      </c>
      <c r="I84" s="174" t="n"/>
    </row>
    <row r="85">
      <c r="A85" t="inlineStr">
        <is>
          <t>623200008 - GASTOS MARCAS EGIPTO</t>
        </is>
      </c>
      <c r="B85" t="inlineStr">
        <is>
          <t>-</t>
        </is>
      </c>
      <c r="G85" t="n">
        <v>-53.14</v>
      </c>
      <c r="H85" s="173">
        <f>VLOOKUP(A85,'PL Mensual 2027'!I:O,7,0)</f>
        <v/>
      </c>
      <c r="I85" s="174">
        <f>G85-H85</f>
        <v/>
      </c>
    </row>
    <row r="86">
      <c r="A86" t="inlineStr">
        <is>
          <t>623200009 - GASTOS MARCAS MARRUECOS</t>
        </is>
      </c>
      <c r="B86" t="inlineStr">
        <is>
          <t>-</t>
        </is>
      </c>
      <c r="G86" t="inlineStr">
        <is>
          <t xml:space="preserve">                            -  </t>
        </is>
      </c>
      <c r="H86" s="173">
        <f>VLOOKUP(A86,'PL Mensual 2027'!I:O,7,0)</f>
        <v/>
      </c>
      <c r="I86" s="174" t="n"/>
    </row>
    <row r="87">
      <c r="A87" t="inlineStr">
        <is>
          <t>623200010 - GASTOS MARCAS TURQUIA</t>
        </is>
      </c>
      <c r="B87" t="inlineStr">
        <is>
          <t>-</t>
        </is>
      </c>
      <c r="G87" t="inlineStr">
        <is>
          <t xml:space="preserve">                            -  </t>
        </is>
      </c>
      <c r="H87" s="173">
        <f>VLOOKUP(A87,'PL Mensual 2027'!I:O,7,0)</f>
        <v/>
      </c>
      <c r="I87" s="174" t="n"/>
    </row>
    <row r="88">
      <c r="A88" t="inlineStr">
        <is>
          <t>623200011 - GASTOS MARCAS COLOMBIA</t>
        </is>
      </c>
      <c r="B88" t="inlineStr">
        <is>
          <t>-</t>
        </is>
      </c>
      <c r="G88" t="n">
        <v>-53.12</v>
      </c>
      <c r="H88" s="173">
        <f>VLOOKUP(A88,'PL Mensual 2027'!I:O,7,0)</f>
        <v/>
      </c>
      <c r="I88" s="174">
        <f>G88-H88</f>
        <v/>
      </c>
    </row>
    <row r="89">
      <c r="A89" t="inlineStr">
        <is>
          <t>623200016 - GASTOS MARCAS ECUADOR</t>
        </is>
      </c>
      <c r="B89" t="inlineStr">
        <is>
          <t>-</t>
        </is>
      </c>
      <c r="G89" t="inlineStr">
        <is>
          <t xml:space="preserve">                            -  </t>
        </is>
      </c>
      <c r="H89" s="173">
        <f>VLOOKUP(A89,'PL Mensual 2027'!I:O,7,0)</f>
        <v/>
      </c>
      <c r="I89" s="174" t="n"/>
    </row>
    <row r="90">
      <c r="A90" t="inlineStr">
        <is>
          <t>623200020 - GASTOS MARCAS TUNEZ</t>
        </is>
      </c>
      <c r="B90" t="inlineStr">
        <is>
          <t>-</t>
        </is>
      </c>
      <c r="G90" t="inlineStr">
        <is>
          <t xml:space="preserve">                            -  </t>
        </is>
      </c>
      <c r="H90" s="173">
        <f>VLOOKUP(A90,'PL Mensual 2027'!I:O,7,0)</f>
        <v/>
      </c>
      <c r="I90" s="174" t="n"/>
    </row>
    <row r="91">
      <c r="A91" t="inlineStr">
        <is>
          <t>623200022 - GASTOS MARCAS BOLIVIA</t>
        </is>
      </c>
      <c r="B91" t="inlineStr">
        <is>
          <t>-</t>
        </is>
      </c>
      <c r="G91" t="inlineStr">
        <is>
          <t xml:space="preserve">                            -  </t>
        </is>
      </c>
      <c r="H91" s="173">
        <f>VLOOKUP(A91,'PL Mensual 2027'!I:O,7,0)</f>
        <v/>
      </c>
      <c r="I91" s="174" t="n"/>
    </row>
    <row r="92">
      <c r="A92" t="inlineStr">
        <is>
          <t>623200023 - GASTOS MARCAS ARGELIA</t>
        </is>
      </c>
      <c r="B92" t="inlineStr">
        <is>
          <t>-</t>
        </is>
      </c>
      <c r="G92" t="n">
        <v>-53.12</v>
      </c>
      <c r="H92" s="173">
        <f>VLOOKUP(A92,'PL Mensual 2027'!I:O,7,0)</f>
        <v/>
      </c>
      <c r="I92" s="174">
        <f>G92-H92</f>
        <v/>
      </c>
    </row>
    <row r="93">
      <c r="A93" t="inlineStr">
        <is>
          <t>623200024 - GASTOS MARCAS INTERNACIONALES</t>
        </is>
      </c>
      <c r="B93" t="inlineStr">
        <is>
          <t>-</t>
        </is>
      </c>
      <c r="G93" t="inlineStr">
        <is>
          <t xml:space="preserve">                            -  </t>
        </is>
      </c>
      <c r="H93" s="173">
        <f>VLOOKUP(A93,'PL Mensual 2027'!I:O,7,0)</f>
        <v/>
      </c>
      <c r="I93" s="174" t="n"/>
    </row>
    <row r="94">
      <c r="A94" t="inlineStr">
        <is>
          <t>623200029 - GASTOS MARCAS GEORGIA</t>
        </is>
      </c>
      <c r="B94" t="inlineStr">
        <is>
          <t>-</t>
        </is>
      </c>
      <c r="G94" t="inlineStr">
        <is>
          <t xml:space="preserve">                            -  </t>
        </is>
      </c>
      <c r="H94" s="173">
        <f>VLOOKUP(A94,'PL Mensual 2027'!I:O,7,0)</f>
        <v/>
      </c>
      <c r="I94" s="174" t="n"/>
    </row>
    <row r="95">
      <c r="A95" t="inlineStr">
        <is>
          <t>623200030 - GASTOS MARCAS AZERBAIYAN</t>
        </is>
      </c>
      <c r="B95" t="inlineStr">
        <is>
          <t>-</t>
        </is>
      </c>
      <c r="G95" t="n">
        <v>-53.12</v>
      </c>
      <c r="H95" s="173">
        <f>VLOOKUP(A95,'PL Mensual 2027'!I:O,7,0)</f>
        <v/>
      </c>
      <c r="I95" s="174">
        <f>G95-H95</f>
        <v/>
      </c>
    </row>
    <row r="96">
      <c r="A96" t="inlineStr">
        <is>
          <t>624000001 - TRANSPORTES NACIONAL</t>
        </is>
      </c>
      <c r="B96" t="inlineStr">
        <is>
          <t>-</t>
        </is>
      </c>
      <c r="G96" s="4" t="n">
        <v>-17966.84</v>
      </c>
      <c r="H96" s="173">
        <f>VLOOKUP(A96,'PL Mensual 2027'!I:O,7,0)</f>
        <v/>
      </c>
      <c r="I96" s="174">
        <f>G96-H96</f>
        <v/>
      </c>
    </row>
    <row r="97">
      <c r="A97" t="inlineStr">
        <is>
          <t>624000002 - TRANSPORTE INTERNACIONAL</t>
        </is>
      </c>
      <c r="B97" t="inlineStr">
        <is>
          <t>-</t>
        </is>
      </c>
      <c r="G97" t="n">
        <v>-951.38</v>
      </c>
      <c r="H97" s="173">
        <f>VLOOKUP(A97,'PL Mensual 2027'!I:O,7,0)</f>
        <v/>
      </c>
      <c r="I97" s="174">
        <f>G97-H97</f>
        <v/>
      </c>
    </row>
    <row r="98">
      <c r="A98" t="inlineStr">
        <is>
          <t>624000003 - TRANSPORTES CANARIAS</t>
        </is>
      </c>
      <c r="B98" t="inlineStr">
        <is>
          <t>-</t>
        </is>
      </c>
      <c r="G98" s="4" t="n">
        <v>-6790.44</v>
      </c>
      <c r="H98" s="173">
        <f>VLOOKUP(A98,'PL Mensual 2027'!I:O,7,0)</f>
        <v/>
      </c>
      <c r="I98" s="174">
        <f>G98-H98</f>
        <v/>
      </c>
    </row>
    <row r="99">
      <c r="A99" t="inlineStr">
        <is>
          <t>624000004 - GTOS. FLETE REP. AL CLIENTE</t>
        </is>
      </c>
      <c r="B99" t="inlineStr">
        <is>
          <t>-</t>
        </is>
      </c>
      <c r="G99" t="inlineStr">
        <is>
          <t xml:space="preserve">                            -  </t>
        </is>
      </c>
      <c r="H99" s="173">
        <f>VLOOKUP(A99,'PL Mensual 2027'!I:O,7,0)</f>
        <v/>
      </c>
      <c r="I99" s="174" t="n"/>
    </row>
    <row r="100">
      <c r="A100" t="inlineStr">
        <is>
          <t xml:space="preserve">624000005 - TTE. PAQUETERIA </t>
        </is>
      </c>
      <c r="B100" t="inlineStr">
        <is>
          <t>-</t>
        </is>
      </c>
      <c r="G100" t="inlineStr">
        <is>
          <t xml:space="preserve">                            -  </t>
        </is>
      </c>
      <c r="H100" s="173">
        <f>VLOOKUP(A100,'PL Mensual 2027'!I:O,7,0)</f>
        <v/>
      </c>
      <c r="I100" s="174" t="n"/>
    </row>
    <row r="101">
      <c r="A101" t="inlineStr">
        <is>
          <t>624000006 - TRANSPORTES IMPORTACIÓN</t>
        </is>
      </c>
      <c r="B101" t="inlineStr">
        <is>
          <t>-</t>
        </is>
      </c>
      <c r="G101" t="inlineStr">
        <is>
          <t xml:space="preserve">                            -  </t>
        </is>
      </c>
      <c r="H101" s="173">
        <f>VLOOKUP(A101,'PL Mensual 2027'!I:O,7,0)</f>
        <v/>
      </c>
      <c r="I101" s="174" t="n"/>
    </row>
    <row r="102">
      <c r="A102" t="inlineStr">
        <is>
          <t>625000001 - SEGUROS VEHÍCULOS</t>
        </is>
      </c>
      <c r="B102" t="inlineStr">
        <is>
          <t>-</t>
        </is>
      </c>
      <c r="G102" t="inlineStr">
        <is>
          <t xml:space="preserve">                            -  </t>
        </is>
      </c>
      <c r="H102" s="173">
        <f>VLOOKUP(A102,'PL Mensual 2027'!I:O,7,0)</f>
        <v/>
      </c>
      <c r="I102" s="174" t="n"/>
    </row>
    <row r="103">
      <c r="A103" t="inlineStr">
        <is>
          <t>625000004 - SEGURO RESP. CIVIL</t>
        </is>
      </c>
      <c r="B103" t="inlineStr">
        <is>
          <t>-</t>
        </is>
      </c>
      <c r="G103" s="4" t="n">
        <v>-5788.51</v>
      </c>
      <c r="H103" s="173">
        <f>VLOOKUP(A103,'PL Mensual 2027'!I:O,7,0)</f>
        <v/>
      </c>
      <c r="I103" s="174">
        <f>G103-H103</f>
        <v/>
      </c>
    </row>
    <row r="104">
      <c r="A104" t="inlineStr">
        <is>
          <t>625000005 - SEGUROS ACTIVIDAD</t>
        </is>
      </c>
      <c r="B104" t="inlineStr">
        <is>
          <t>-</t>
        </is>
      </c>
      <c r="G104" t="inlineStr">
        <is>
          <t xml:space="preserve">                            -  </t>
        </is>
      </c>
      <c r="H104" s="173">
        <f>VLOOKUP(A104,'PL Mensual 2027'!I:O,7,0)</f>
        <v/>
      </c>
      <c r="I104" s="174" t="n"/>
    </row>
    <row r="105">
      <c r="A105" t="inlineStr">
        <is>
          <t>626000002 - GASTOS Y COMISIONES BANCO SABADELL</t>
        </is>
      </c>
      <c r="B105" t="inlineStr">
        <is>
          <t>-</t>
        </is>
      </c>
      <c r="G105" t="n">
        <v>-8.470000000000001</v>
      </c>
      <c r="H105" s="173">
        <f>VLOOKUP(A105,'PL Mensual 2027'!I:O,7,0)</f>
        <v/>
      </c>
      <c r="I105" s="174">
        <f>G105-H105</f>
        <v/>
      </c>
    </row>
    <row r="106">
      <c r="A106" t="inlineStr">
        <is>
          <t>626000005 - GASTOS Y COMISIONES CAIXALMASSORA</t>
        </is>
      </c>
      <c r="B106" t="inlineStr">
        <is>
          <t>-</t>
        </is>
      </c>
      <c r="G106" t="n">
        <v>-43.09</v>
      </c>
      <c r="H106" s="173">
        <f>VLOOKUP(A106,'PL Mensual 2027'!I:O,7,0)</f>
        <v/>
      </c>
      <c r="I106" s="174">
        <f>G106-H106</f>
        <v/>
      </c>
    </row>
    <row r="107">
      <c r="A107" t="inlineStr">
        <is>
          <t>626000007 - GASTOS Y COMISIONES BBVA</t>
        </is>
      </c>
      <c r="B107" t="inlineStr">
        <is>
          <t>-</t>
        </is>
      </c>
      <c r="G107" s="4" t="n">
        <v>-1201.98</v>
      </c>
      <c r="H107" s="173">
        <f>VLOOKUP(A107,'PL Mensual 2027'!I:O,7,0)</f>
        <v/>
      </c>
      <c r="I107" s="174">
        <f>G107-H107</f>
        <v/>
      </c>
    </row>
    <row r="108">
      <c r="A108" t="inlineStr">
        <is>
          <t>627000006 - PUBLICIDAD CATALOGOS Y FOLLETOS</t>
        </is>
      </c>
      <c r="B108" t="inlineStr">
        <is>
          <t>-</t>
        </is>
      </c>
      <c r="G108" t="n">
        <v>-170.36</v>
      </c>
      <c r="H108" s="173">
        <f>VLOOKUP(A108,'PL Mensual 2027'!I:O,7,0)</f>
        <v/>
      </c>
      <c r="I108" s="174">
        <f>G108-H108</f>
        <v/>
      </c>
    </row>
    <row r="109">
      <c r="A109" t="inlineStr">
        <is>
          <t>627000007 - FERIAS</t>
        </is>
      </c>
      <c r="B109" t="inlineStr">
        <is>
          <t>-</t>
        </is>
      </c>
      <c r="G109" t="inlineStr">
        <is>
          <t xml:space="preserve">                            -  </t>
        </is>
      </c>
      <c r="H109" s="173">
        <f>VLOOKUP(A109,'PL Mensual 2027'!I:O,7,0)</f>
        <v/>
      </c>
      <c r="I109" s="174" t="n"/>
    </row>
    <row r="110">
      <c r="A110" t="inlineStr">
        <is>
          <t>627000008 - MARKETING</t>
        </is>
      </c>
      <c r="B110" t="inlineStr">
        <is>
          <t>-</t>
        </is>
      </c>
      <c r="G110" t="n">
        <v>-55</v>
      </c>
      <c r="H110" s="173">
        <f>VLOOKUP(A110,'PL Mensual 2027'!I:O,7,0)</f>
        <v/>
      </c>
      <c r="I110" s="174">
        <f>G110-H110</f>
        <v/>
      </c>
    </row>
    <row r="111">
      <c r="A111" t="inlineStr">
        <is>
          <t>627000009 - ARTICULOS PUBLICIDAD</t>
        </is>
      </c>
      <c r="B111" t="inlineStr">
        <is>
          <t>-</t>
        </is>
      </c>
      <c r="G111" s="4" t="n">
        <v>-3208.9</v>
      </c>
      <c r="H111" s="173">
        <f>VLOOKUP(A111,'PL Mensual 2027'!I:O,7,0)</f>
        <v/>
      </c>
      <c r="I111" s="174">
        <f>G111-H111</f>
        <v/>
      </c>
    </row>
    <row r="112">
      <c r="A112" t="inlineStr">
        <is>
          <t>627000010 - RELACIONES PUBLICAS TEC. CLIENTES</t>
        </is>
      </c>
      <c r="B112" t="inlineStr">
        <is>
          <t>-</t>
        </is>
      </c>
      <c r="G112" t="inlineStr">
        <is>
          <t xml:space="preserve">                            -  </t>
        </is>
      </c>
      <c r="H112" s="173">
        <f>VLOOKUP(A112,'PL Mensual 2027'!I:O,7,0)</f>
        <v/>
      </c>
      <c r="I112" s="174" t="n"/>
    </row>
    <row r="113">
      <c r="A113" t="inlineStr">
        <is>
          <t>628000002 - SUMINISTROS ELECTRICIDAD</t>
        </is>
      </c>
      <c r="B113" t="inlineStr">
        <is>
          <t>-</t>
        </is>
      </c>
      <c r="G113" s="4" t="n">
        <v>-2638.99</v>
      </c>
      <c r="H113" s="173">
        <f>VLOOKUP(A113,'PL Mensual 2027'!I:O,7,0)</f>
        <v/>
      </c>
      <c r="I113" s="174">
        <f>G113-H113</f>
        <v/>
      </c>
    </row>
    <row r="114">
      <c r="A114" t="inlineStr">
        <is>
          <t xml:space="preserve">- - </t>
        </is>
      </c>
      <c r="B114" t="inlineStr">
        <is>
          <t>Maquila</t>
        </is>
      </c>
      <c r="G114" s="4" t="n">
        <v>1523.79</v>
      </c>
      <c r="H114" s="173">
        <f>VLOOKUP(A114,'PL Mensual 2027'!I:O,7,0)</f>
        <v/>
      </c>
      <c r="I114" s="174">
        <f>G114-H114</f>
        <v/>
      </c>
    </row>
    <row r="115">
      <c r="A115" t="inlineStr">
        <is>
          <t>628000003 - SUMINISTROS AGUA</t>
        </is>
      </c>
      <c r="B115" t="inlineStr">
        <is>
          <t>-</t>
        </is>
      </c>
      <c r="G115" t="inlineStr">
        <is>
          <t xml:space="preserve">                            -  </t>
        </is>
      </c>
      <c r="H115" s="173">
        <f>VLOOKUP(A115,'PL Mensual 2027'!I:O,7,0)</f>
        <v/>
      </c>
      <c r="I115" s="174" t="n"/>
    </row>
    <row r="116">
      <c r="A116" t="inlineStr">
        <is>
          <t>628000004 - SUMINISTROS TELEFONIA E INTERNET</t>
        </is>
      </c>
      <c r="B116" t="inlineStr">
        <is>
          <t>-</t>
        </is>
      </c>
      <c r="G116" t="n">
        <v>-259.61</v>
      </c>
      <c r="H116" s="173">
        <f>VLOOKUP(A116,'PL Mensual 2027'!I:O,7,0)</f>
        <v/>
      </c>
      <c r="I116" s="174">
        <f>G116-H116</f>
        <v/>
      </c>
    </row>
    <row r="117">
      <c r="A117" t="inlineStr">
        <is>
          <t>628000005 - SUMINISTROS GASOLEO</t>
        </is>
      </c>
      <c r="B117" t="inlineStr">
        <is>
          <t>-</t>
        </is>
      </c>
      <c r="G117" s="4" t="n">
        <v>-1891.22</v>
      </c>
      <c r="H117" s="173">
        <f>VLOOKUP(A117,'PL Mensual 2027'!I:O,7,0)</f>
        <v/>
      </c>
      <c r="I117" s="174">
        <f>G117-H117</f>
        <v/>
      </c>
    </row>
    <row r="118">
      <c r="A118" t="inlineStr">
        <is>
          <t>629000001 - HOSPEDAJE WEB</t>
        </is>
      </c>
      <c r="B118" t="inlineStr">
        <is>
          <t>-</t>
        </is>
      </c>
      <c r="G118" t="inlineStr">
        <is>
          <t xml:space="preserve">                            -  </t>
        </is>
      </c>
      <c r="H118" s="173">
        <f>VLOOKUP(A118,'PL Mensual 2027'!I:O,7,0)</f>
        <v/>
      </c>
      <c r="I118" s="174" t="n"/>
    </row>
    <row r="119">
      <c r="A119" t="inlineStr">
        <is>
          <t>629000002 - OTROS GASTOS</t>
        </is>
      </c>
      <c r="B119" t="inlineStr">
        <is>
          <t>-</t>
        </is>
      </c>
      <c r="G119" t="n">
        <v>-277.84</v>
      </c>
      <c r="H119" s="173">
        <f>VLOOKUP(A119,'PL Mensual 2027'!I:O,7,0)</f>
        <v/>
      </c>
      <c r="I119" s="174">
        <f>G119-H119</f>
        <v/>
      </c>
    </row>
    <row r="120">
      <c r="A120" t="inlineStr">
        <is>
          <t>629000003 - SUSCRIPCIONES A REVISTAS Y PERIODICOS</t>
        </is>
      </c>
      <c r="B120" t="inlineStr">
        <is>
          <t>-</t>
        </is>
      </c>
      <c r="G120" t="inlineStr">
        <is>
          <t xml:space="preserve">                            -  </t>
        </is>
      </c>
      <c r="H120" s="173">
        <f>VLOOKUP(A120,'PL Mensual 2027'!I:O,7,0)</f>
        <v/>
      </c>
      <c r="I120" s="174" t="n"/>
    </row>
    <row r="121">
      <c r="A121" t="inlineStr">
        <is>
          <t>629000004 - GTOS. SERV. VIGILANCIA</t>
        </is>
      </c>
      <c r="B121" t="inlineStr">
        <is>
          <t>-</t>
        </is>
      </c>
      <c r="G121" t="n">
        <v>-75.94</v>
      </c>
      <c r="H121" s="173">
        <f>VLOOKUP(A121,'PL Mensual 2027'!I:O,7,0)</f>
        <v/>
      </c>
      <c r="I121" s="174">
        <f>G121-H121</f>
        <v/>
      </c>
    </row>
    <row r="122">
      <c r="A122" t="inlineStr">
        <is>
          <t>629000005 - GTOS. ANALISIS LABORATORIOS</t>
        </is>
      </c>
      <c r="B122" t="inlineStr">
        <is>
          <t>-</t>
        </is>
      </c>
      <c r="G122" t="n">
        <v>36.18</v>
      </c>
      <c r="H122" s="173">
        <f>VLOOKUP(A122,'PL Mensual 2027'!I:O,7,0)</f>
        <v/>
      </c>
      <c r="I122" s="174">
        <f>G122-H122</f>
        <v/>
      </c>
    </row>
    <row r="123">
      <c r="A123" t="inlineStr">
        <is>
          <t>629000006 - GASTOS CORREOS</t>
        </is>
      </c>
      <c r="B123" t="inlineStr">
        <is>
          <t>-</t>
        </is>
      </c>
      <c r="G123" t="n">
        <v>-144</v>
      </c>
      <c r="H123" s="173">
        <f>VLOOKUP(A123,'PL Mensual 2027'!I:O,7,0)</f>
        <v/>
      </c>
      <c r="I123" s="174">
        <f>G123-H123</f>
        <v/>
      </c>
    </row>
    <row r="124">
      <c r="A124" t="inlineStr">
        <is>
          <t>629000007 - GASTOS RETIRADA DE RESIDUOS</t>
        </is>
      </c>
      <c r="B124" t="inlineStr">
        <is>
          <t>-</t>
        </is>
      </c>
      <c r="G124" t="n">
        <v>-971.1799999999999</v>
      </c>
      <c r="H124" s="173">
        <f>VLOOKUP(A124,'PL Mensual 2027'!I:O,7,0)</f>
        <v/>
      </c>
      <c r="I124" s="174">
        <f>G124-H124</f>
        <v/>
      </c>
    </row>
    <row r="125">
      <c r="A125" t="inlineStr">
        <is>
          <t xml:space="preserve">- - </t>
        </is>
      </c>
      <c r="B125" t="inlineStr">
        <is>
          <t>Maquila</t>
        </is>
      </c>
      <c r="G125" t="n">
        <v>425.73</v>
      </c>
      <c r="H125" s="173">
        <f>VLOOKUP(A125,'PL Mensual 2027'!I:O,7,0)</f>
        <v/>
      </c>
      <c r="I125" s="174">
        <f>G125-H125</f>
        <v/>
      </c>
    </row>
    <row r="126">
      <c r="A126" t="inlineStr">
        <is>
          <t>629000008 - CUOTAS ASOCIACIONES</t>
        </is>
      </c>
      <c r="B126" t="inlineStr">
        <is>
          <t>-</t>
        </is>
      </c>
      <c r="G126" t="inlineStr">
        <is>
          <t xml:space="preserve">                            -  </t>
        </is>
      </c>
      <c r="H126" s="173">
        <f>VLOOKUP(A126,'PL Mensual 2027'!I:O,7,0)</f>
        <v/>
      </c>
      <c r="I126" s="174" t="n"/>
    </row>
    <row r="127">
      <c r="A127" t="inlineStr">
        <is>
          <t>629000010 - GASTOS COMERCIALES</t>
        </is>
      </c>
      <c r="B127" t="inlineStr">
        <is>
          <t>-</t>
        </is>
      </c>
      <c r="G127" t="n">
        <v>29.06</v>
      </c>
      <c r="H127" s="173">
        <f>VLOOKUP(A127,'PL Mensual 2027'!I:O,7,0)</f>
        <v/>
      </c>
      <c r="I127" s="174">
        <f>G127-H127</f>
        <v/>
      </c>
    </row>
    <row r="128">
      <c r="A128" t="inlineStr">
        <is>
          <t>629000011 - EPIS PERSONAL</t>
        </is>
      </c>
      <c r="B128" t="inlineStr">
        <is>
          <t>-</t>
        </is>
      </c>
      <c r="G128" t="n">
        <v>-425</v>
      </c>
      <c r="H128" s="173">
        <f>VLOOKUP(A128,'PL Mensual 2027'!I:O,7,0)</f>
        <v/>
      </c>
      <c r="I128" s="174">
        <f>G128-H128</f>
        <v/>
      </c>
    </row>
    <row r="129">
      <c r="A129" t="inlineStr">
        <is>
          <t>629000012 - GASTOS VARIOS PERSONAL</t>
        </is>
      </c>
      <c r="B129" t="inlineStr">
        <is>
          <t>-</t>
        </is>
      </c>
      <c r="G129" s="4" t="n">
        <v>-2671.84</v>
      </c>
      <c r="H129" s="173">
        <f>VLOOKUP(A129,'PL Mensual 2027'!I:O,7,0)</f>
        <v/>
      </c>
      <c r="I129" s="174">
        <f>G129-H129</f>
        <v/>
      </c>
    </row>
    <row r="130">
      <c r="A130" t="inlineStr">
        <is>
          <t>629000013 - FORMACION NO BONIFICADA</t>
        </is>
      </c>
      <c r="B130" t="inlineStr">
        <is>
          <t>-</t>
        </is>
      </c>
      <c r="G130" t="n">
        <v>-625.2</v>
      </c>
      <c r="H130" s="173">
        <f>VLOOKUP(A130,'PL Mensual 2027'!I:O,7,0)</f>
        <v/>
      </c>
      <c r="I130" s="174">
        <f>G130-H130</f>
        <v/>
      </c>
    </row>
    <row r="131">
      <c r="A131" t="inlineStr">
        <is>
          <t>629000014 - ROPA LABORAL</t>
        </is>
      </c>
      <c r="B131" t="inlineStr">
        <is>
          <t>-</t>
        </is>
      </c>
      <c r="G131" t="inlineStr">
        <is>
          <t xml:space="preserve">                            -  </t>
        </is>
      </c>
      <c r="H131" s="173">
        <f>VLOOKUP(A131,'PL Mensual 2027'!I:O,7,0)</f>
        <v/>
      </c>
      <c r="I131" s="174" t="n"/>
    </row>
    <row r="132">
      <c r="A132" t="inlineStr">
        <is>
          <t>629100001 - GASTOS COMERCIALES PERE PORTA</t>
        </is>
      </c>
      <c r="B132" t="inlineStr">
        <is>
          <t>-</t>
        </is>
      </c>
      <c r="G132" s="4" t="n">
        <v>-2533.93</v>
      </c>
      <c r="H132" s="173">
        <f>VLOOKUP(A132,'PL Mensual 2027'!I:O,7,0)</f>
        <v/>
      </c>
      <c r="I132" s="174">
        <f>G132-H132</f>
        <v/>
      </c>
    </row>
    <row r="133">
      <c r="A133" t="inlineStr">
        <is>
          <t>629100002 - GASTOS RICARDO PEREZ-SANTAMARINA</t>
        </is>
      </c>
      <c r="B133" t="inlineStr">
        <is>
          <t>-</t>
        </is>
      </c>
      <c r="G133" s="4" t="n">
        <v>-2522.26</v>
      </c>
      <c r="H133" s="173">
        <f>VLOOKUP(A133,'PL Mensual 2027'!I:O,7,0)</f>
        <v/>
      </c>
      <c r="I133" s="174">
        <f>G133-H133</f>
        <v/>
      </c>
    </row>
    <row r="134">
      <c r="A134" t="inlineStr">
        <is>
          <t>629100003 - GASTOS JAVIER PAREDES</t>
        </is>
      </c>
      <c r="B134" t="inlineStr">
        <is>
          <t>-</t>
        </is>
      </c>
      <c r="G134" s="4" t="n">
        <v>-1786.27</v>
      </c>
      <c r="H134" s="173">
        <f>VLOOKUP(A134,'PL Mensual 2027'!I:O,7,0)</f>
        <v/>
      </c>
      <c r="I134" s="174">
        <f>G134-H134</f>
        <v/>
      </c>
    </row>
    <row r="135">
      <c r="A135" t="inlineStr">
        <is>
          <t>629100004 - GASTOS GARCIA</t>
        </is>
      </c>
      <c r="B135" t="inlineStr">
        <is>
          <t>-</t>
        </is>
      </c>
      <c r="G135" s="4" t="n">
        <v>-3016.62</v>
      </c>
      <c r="H135" s="173">
        <f>VLOOKUP(A135,'PL Mensual 2027'!I:O,7,0)</f>
        <v/>
      </c>
      <c r="I135" s="174">
        <f>G135-H135</f>
        <v/>
      </c>
    </row>
    <row r="136">
      <c r="A136" t="inlineStr">
        <is>
          <t>629100005 - GASTOS IRENE</t>
        </is>
      </c>
      <c r="B136" t="inlineStr">
        <is>
          <t>-</t>
        </is>
      </c>
      <c r="G136" t="n">
        <v>-506.79</v>
      </c>
      <c r="H136" s="173">
        <f>VLOOKUP(A136,'PL Mensual 2027'!I:O,7,0)</f>
        <v/>
      </c>
      <c r="I136" s="174">
        <f>G136-H136</f>
        <v/>
      </c>
    </row>
    <row r="137">
      <c r="A137" t="inlineStr">
        <is>
          <t>629100006 - GASTOS ANTONIO ANDREU</t>
        </is>
      </c>
      <c r="B137" t="inlineStr">
        <is>
          <t>-</t>
        </is>
      </c>
      <c r="G137" t="n">
        <v>-222.62</v>
      </c>
      <c r="H137" s="173">
        <f>VLOOKUP(A137,'PL Mensual 2027'!I:O,7,0)</f>
        <v/>
      </c>
      <c r="I137" s="174">
        <f>G137-H137</f>
        <v/>
      </c>
    </row>
    <row r="138">
      <c r="A138" t="inlineStr">
        <is>
          <t>629100007 - GASTOS CURRO</t>
        </is>
      </c>
      <c r="B138" t="inlineStr">
        <is>
          <t>-</t>
        </is>
      </c>
      <c r="G138" t="inlineStr">
        <is>
          <t xml:space="preserve">                            -  </t>
        </is>
      </c>
      <c r="H138" s="173">
        <f>VLOOKUP(A138,'PL Mensual 2027'!I:O,7,0)</f>
        <v/>
      </c>
      <c r="I138" s="174" t="n"/>
    </row>
    <row r="139">
      <c r="A139" t="inlineStr">
        <is>
          <t>631000001 - IMPUESTOS VEHÍCULOS</t>
        </is>
      </c>
      <c r="B139" t="inlineStr">
        <is>
          <t>-</t>
        </is>
      </c>
      <c r="G139" t="n">
        <v>-27.57</v>
      </c>
      <c r="H139" s="173">
        <f>VLOOKUP(A139,'PL Mensual 2027'!I:O,7,0)</f>
        <v/>
      </c>
      <c r="I139" s="174">
        <f>G139-H139</f>
        <v/>
      </c>
    </row>
    <row r="140">
      <c r="A140" t="inlineStr">
        <is>
          <t>631000002 - TASAS</t>
        </is>
      </c>
      <c r="B140" t="inlineStr">
        <is>
          <t>-</t>
        </is>
      </c>
      <c r="G140" t="n">
        <v>-581.49</v>
      </c>
      <c r="H140" s="173">
        <f>VLOOKUP(A140,'PL Mensual 2027'!I:O,7,0)</f>
        <v/>
      </c>
      <c r="I140" s="174">
        <f>G140-H140</f>
        <v/>
      </c>
    </row>
    <row r="141">
      <c r="A141" t="inlineStr">
        <is>
          <t>631000006 - IMPUESTO PLASTICO NO RECICLADO</t>
        </is>
      </c>
      <c r="B141" t="inlineStr">
        <is>
          <t>-</t>
        </is>
      </c>
      <c r="G141" t="n">
        <v>-159.84</v>
      </c>
      <c r="H141" s="173">
        <f>VLOOKUP(A141,'PL Mensual 2027'!I:O,7,0)</f>
        <v/>
      </c>
      <c r="I141" s="174">
        <f>G141-H141</f>
        <v/>
      </c>
    </row>
    <row r="142">
      <c r="A142" t="inlineStr">
        <is>
          <t>634100000 - Ajustes negat. IVA circulante</t>
        </is>
      </c>
      <c r="B142" t="inlineStr">
        <is>
          <t>-</t>
        </is>
      </c>
      <c r="G142" t="inlineStr">
        <is>
          <t xml:space="preserve">                            -  </t>
        </is>
      </c>
      <c r="H142" s="173">
        <f>VLOOKUP(A142,'PL Mensual 2027'!I:O,7,0)</f>
        <v/>
      </c>
      <c r="I142" s="174" t="n"/>
    </row>
    <row r="143">
      <c r="A143" t="inlineStr">
        <is>
          <t>681100000 - Amortización de construcciones</t>
        </is>
      </c>
      <c r="B143" t="inlineStr">
        <is>
          <t>-</t>
        </is>
      </c>
      <c r="G143" s="4" t="n">
        <v>-3154.35</v>
      </c>
      <c r="H143" s="173">
        <f>VLOOKUP(A143,'PL Mensual 2027'!I:O,7,0)</f>
        <v/>
      </c>
      <c r="I143" s="174">
        <f>G143-H143</f>
        <v/>
      </c>
    </row>
    <row r="144">
      <c r="A144" t="inlineStr">
        <is>
          <t>681200000 - Amortización de instalaciones técnicas</t>
        </is>
      </c>
      <c r="B144" t="inlineStr">
        <is>
          <t>-</t>
        </is>
      </c>
      <c r="G144" s="4" t="n">
        <v>-5719.74</v>
      </c>
      <c r="H144" s="173">
        <f>VLOOKUP(A144,'PL Mensual 2027'!I:O,7,0)</f>
        <v/>
      </c>
      <c r="I144" s="174">
        <f>G144-H144</f>
        <v/>
      </c>
    </row>
    <row r="145">
      <c r="A145" t="inlineStr">
        <is>
          <t>681300000 - Amortización de maquinaria</t>
        </is>
      </c>
      <c r="B145" t="inlineStr">
        <is>
          <t>-</t>
        </is>
      </c>
      <c r="G145" s="4" t="n">
        <v>-6398.5</v>
      </c>
      <c r="H145" s="173">
        <f>VLOOKUP(A145,'PL Mensual 2027'!I:O,7,0)</f>
        <v/>
      </c>
      <c r="I145" s="174">
        <f>G145-H145</f>
        <v/>
      </c>
    </row>
    <row r="146">
      <c r="A146" t="inlineStr">
        <is>
          <t>681500000 - Amortización de otras instalaciones</t>
        </is>
      </c>
      <c r="B146" t="inlineStr">
        <is>
          <t>-</t>
        </is>
      </c>
      <c r="G146" s="4" t="n">
        <v>-1522.43</v>
      </c>
      <c r="H146" s="173">
        <f>VLOOKUP(A146,'PL Mensual 2027'!I:O,7,0)</f>
        <v/>
      </c>
      <c r="I146" s="174">
        <f>G146-H146</f>
        <v/>
      </c>
    </row>
    <row r="147">
      <c r="A147" t="inlineStr">
        <is>
          <t>681600000 - Amortización de mobiliario</t>
        </is>
      </c>
      <c r="B147" t="inlineStr">
        <is>
          <t>-</t>
        </is>
      </c>
      <c r="G147" s="4" t="n">
        <v>-1325.66</v>
      </c>
      <c r="H147" s="173">
        <f>VLOOKUP(A147,'PL Mensual 2027'!I:O,7,0)</f>
        <v/>
      </c>
      <c r="I147" s="174">
        <f>G147-H147</f>
        <v/>
      </c>
    </row>
    <row r="148">
      <c r="A148" t="inlineStr">
        <is>
          <t>681700000 - Amortización de equipos para procesos de informac.</t>
        </is>
      </c>
      <c r="B148" t="inlineStr">
        <is>
          <t>-</t>
        </is>
      </c>
      <c r="G148" t="n">
        <v>-937.75</v>
      </c>
      <c r="H148" s="173">
        <f>VLOOKUP(A148,'PL Mensual 2027'!I:O,7,0)</f>
        <v/>
      </c>
      <c r="I148" s="174">
        <f>G148-H148</f>
        <v/>
      </c>
    </row>
    <row r="149">
      <c r="A149" t="inlineStr">
        <is>
          <t>681800000 - Amortización de elementos de transporte</t>
        </is>
      </c>
      <c r="B149" t="inlineStr">
        <is>
          <t>-</t>
        </is>
      </c>
      <c r="G149" t="n">
        <v>-131.25</v>
      </c>
      <c r="H149" s="173">
        <f>VLOOKUP(A149,'PL Mensual 2027'!I:O,7,0)</f>
        <v/>
      </c>
      <c r="I149" s="174">
        <f>G149-H149</f>
        <v/>
      </c>
    </row>
    <row r="150">
      <c r="A150" t="inlineStr">
        <is>
          <t>771000000 - Beneficios del inmovilizado material</t>
        </is>
      </c>
      <c r="B150" t="inlineStr">
        <is>
          <t>-</t>
        </is>
      </c>
      <c r="G150" t="inlineStr">
        <is>
          <t xml:space="preserve">                            -  </t>
        </is>
      </c>
      <c r="H150" s="173">
        <f>VLOOKUP(A150,'PL Mensual 2027'!I:O,7,0)</f>
        <v/>
      </c>
      <c r="I150" s="174" t="n"/>
    </row>
    <row r="151">
      <c r="A151" t="inlineStr">
        <is>
          <t>678000000 - Gastos excepcionales</t>
        </is>
      </c>
      <c r="B151" t="inlineStr">
        <is>
          <t>-</t>
        </is>
      </c>
      <c r="G151" t="inlineStr">
        <is>
          <t xml:space="preserve">                            -  </t>
        </is>
      </c>
      <c r="H151" s="173">
        <f>VLOOKUP(A151,'PL Mensual 2027'!I:O,7,0)</f>
        <v/>
      </c>
      <c r="I151" s="174" t="n"/>
    </row>
    <row r="152">
      <c r="A152" t="inlineStr">
        <is>
          <t>778000000 - Ingresos excepcionales</t>
        </is>
      </c>
      <c r="B152" t="inlineStr">
        <is>
          <t>-</t>
        </is>
      </c>
      <c r="G152" t="inlineStr">
        <is>
          <t xml:space="preserve">                            -  </t>
        </is>
      </c>
      <c r="H152" s="173">
        <f>VLOOKUP(A152,'PL Mensual 2027'!I:O,7,0)</f>
        <v/>
      </c>
      <c r="I152" s="174" t="n"/>
    </row>
    <row r="153">
      <c r="A153" t="inlineStr">
        <is>
          <t>662310005 - INTERESES PRESTAMO CAIXALMASSORA</t>
        </is>
      </c>
      <c r="B153" t="inlineStr">
        <is>
          <t>-</t>
        </is>
      </c>
      <c r="G153" t="n">
        <v>-17.69</v>
      </c>
      <c r="H153" s="173">
        <f>VLOOKUP(A153,'PL Mensual 2027'!I:O,7,0)</f>
        <v/>
      </c>
      <c r="I153" s="174">
        <f>G153-H153</f>
        <v/>
      </c>
    </row>
    <row r="154">
      <c r="A154" t="inlineStr">
        <is>
          <t>665700015 - INTERESES PAGO FINANCIADO POR BBVA</t>
        </is>
      </c>
      <c r="B154" t="inlineStr">
        <is>
          <t>-</t>
        </is>
      </c>
      <c r="G154" t="inlineStr">
        <is>
          <t xml:space="preserve">                            -  </t>
        </is>
      </c>
      <c r="H154" s="173">
        <f>VLOOKUP(A154,'PL Mensual 2027'!I:O,7,0)</f>
        <v/>
      </c>
      <c r="I154" s="174" t="n"/>
    </row>
    <row r="155">
      <c r="A155" t="inlineStr">
        <is>
          <t>768000000 - Diferencias positivas de cambio</t>
        </is>
      </c>
      <c r="B155" t="inlineStr">
        <is>
          <t>-</t>
        </is>
      </c>
      <c r="G155" s="4" t="n">
        <v>2879.75</v>
      </c>
      <c r="H155" s="173">
        <f>VLOOKUP(A155,'PL Mensual 2027'!I:O,7,0)</f>
        <v/>
      </c>
      <c r="I155" s="174">
        <f>G155-H155</f>
        <v/>
      </c>
    </row>
    <row r="156">
      <c r="G156" s="4">
        <f>SUM(G2:G155)</f>
        <v/>
      </c>
      <c r="H156" s="4">
        <f>SUM(H2:H155)</f>
        <v/>
      </c>
      <c r="I156" s="4">
        <f>SUM(I2:I155)</f>
        <v/>
      </c>
    </row>
    <row r="157">
      <c r="G157" s="4">
        <f>'PL Mensual 2027'!O2</f>
        <v/>
      </c>
    </row>
    <row r="158">
      <c r="F158" s="110" t="inlineStr">
        <is>
          <t>CHECK</t>
        </is>
      </c>
      <c r="G158" s="175">
        <f>G156-G157</f>
        <v/>
      </c>
      <c r="H158" s="176" t="n"/>
    </row>
  </sheetData>
  <autoFilter ref="A1:I155"/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M7"/>
  <sheetViews>
    <sheetView workbookViewId="0">
      <selection activeCell="A1" sqref="A1"/>
    </sheetView>
  </sheetViews>
  <sheetFormatPr baseColWidth="10" defaultRowHeight="14.5"/>
  <cols>
    <col width="4.81640625" customWidth="1" min="1" max="1"/>
  </cols>
  <sheetData>
    <row r="1">
      <c r="B1" s="6" t="inlineStr">
        <is>
          <t xml:space="preserve">EXTRAITEMS </t>
        </is>
      </c>
    </row>
    <row r="2">
      <c r="B2" s="1" t="n">
        <v>2026</v>
      </c>
      <c r="C2" s="5" t="n"/>
    </row>
    <row r="3">
      <c r="C3" s="5" t="n"/>
    </row>
    <row r="4" ht="15" customHeight="1" thickBot="1">
      <c r="B4" s="10" t="n">
        <v>1</v>
      </c>
      <c r="C4" s="10" t="n">
        <v>2</v>
      </c>
      <c r="D4" s="10" t="n">
        <v>3</v>
      </c>
      <c r="E4" s="10" t="n">
        <v>4</v>
      </c>
      <c r="F4" s="10" t="n">
        <v>5</v>
      </c>
      <c r="G4" s="10" t="n">
        <v>6</v>
      </c>
      <c r="H4" s="10" t="n">
        <v>7</v>
      </c>
      <c r="I4" s="10" t="n">
        <v>8</v>
      </c>
      <c r="J4" s="10" t="n">
        <v>9</v>
      </c>
      <c r="K4" s="10" t="n">
        <v>10</v>
      </c>
      <c r="L4" s="10" t="n">
        <v>11</v>
      </c>
      <c r="M4" s="10" t="n">
        <v>12</v>
      </c>
    </row>
    <row r="5" ht="15" customHeight="1" thickBot="1">
      <c r="B5" s="11" t="inlineStr">
        <is>
          <t>ENERO</t>
        </is>
      </c>
      <c r="C5" s="12" t="inlineStr">
        <is>
          <t>FEBRERO</t>
        </is>
      </c>
      <c r="D5" s="12" t="inlineStr">
        <is>
          <t>MARZO</t>
        </is>
      </c>
      <c r="E5" s="12" t="inlineStr">
        <is>
          <t>ABRIL</t>
        </is>
      </c>
      <c r="F5" s="12" t="inlineStr">
        <is>
          <t>MAYO</t>
        </is>
      </c>
      <c r="G5" s="12" t="inlineStr">
        <is>
          <t>JUNIO</t>
        </is>
      </c>
      <c r="H5" s="12" t="inlineStr">
        <is>
          <t>JULIO</t>
        </is>
      </c>
      <c r="I5" s="12" t="inlineStr">
        <is>
          <t>AGOSTO</t>
        </is>
      </c>
      <c r="J5" s="12" t="inlineStr">
        <is>
          <t>SEPTIEMBRE</t>
        </is>
      </c>
      <c r="K5" s="12" t="inlineStr">
        <is>
          <t>OCTUBRE</t>
        </is>
      </c>
      <c r="L5" s="12" t="inlineStr">
        <is>
          <t>NOVIEMBRE</t>
        </is>
      </c>
      <c r="M5" s="13" t="inlineStr">
        <is>
          <t>DICIEMBRE</t>
        </is>
      </c>
    </row>
    <row r="6" ht="15" customHeight="1" thickBot="1">
      <c r="B6" s="14" t="n">
        <v>26.2017</v>
      </c>
      <c r="C6" s="15" t="n">
        <v>40.07489</v>
      </c>
      <c r="D6" s="15" t="n">
        <v>29.27336</v>
      </c>
      <c r="E6" s="16" t="n">
        <v>0</v>
      </c>
      <c r="F6" s="16" t="n"/>
      <c r="G6" s="16" t="n"/>
      <c r="H6" s="16" t="n"/>
      <c r="I6" s="16" t="n"/>
      <c r="J6" s="16" t="n"/>
      <c r="K6" s="16" t="n"/>
      <c r="L6" s="16" t="n"/>
      <c r="M6" s="17" t="n"/>
    </row>
    <row r="7">
      <c r="B7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9"/>
  <sheetViews>
    <sheetView topLeftCell="A43" workbookViewId="0">
      <selection activeCell="D71" sqref="D71"/>
    </sheetView>
  </sheetViews>
  <sheetFormatPr baseColWidth="10" defaultRowHeight="14.5"/>
  <cols>
    <col width="12.7265625" customWidth="1" min="1" max="1"/>
    <col width="10.54296875" bestFit="1" customWidth="1" min="2" max="2"/>
    <col width="8.81640625" bestFit="1" customWidth="1" min="3" max="3"/>
    <col width="22.54296875" customWidth="1" min="4" max="4"/>
    <col width="7.81640625" bestFit="1" customWidth="1" min="5" max="5"/>
    <col width="24.453125" bestFit="1" customWidth="1" min="6" max="6"/>
    <col width="30.26953125" bestFit="1" customWidth="1" min="7" max="7"/>
    <col width="29.1796875" bestFit="1" customWidth="1" min="8" max="8"/>
    <col width="19.453125" bestFit="1" customWidth="1" min="9" max="9"/>
    <col width="36.26953125" bestFit="1" customWidth="1" min="10" max="10"/>
    <col width="43.1796875" bestFit="1" customWidth="1" min="11" max="11"/>
    <col width="16.7265625" customWidth="1" min="12" max="12"/>
    <col width="10.1796875" bestFit="1" customWidth="1" min="13" max="13"/>
    <col width="11.81640625" bestFit="1" customWidth="1" style="173" min="14" max="14"/>
    <col width="33.1796875" bestFit="1" customWidth="1" min="15" max="15"/>
  </cols>
  <sheetData>
    <row r="1">
      <c r="N1" s="173">
        <f>SUM(N3:N2300)</f>
        <v/>
      </c>
    </row>
    <row r="2" ht="15" customHeight="1" thickBot="1">
      <c r="A2" s="89" t="inlineStr">
        <is>
          <t>Fecha de contabilización</t>
        </is>
      </c>
      <c r="B2" s="90" t="inlineStr">
        <is>
          <t>Mes report</t>
        </is>
      </c>
      <c r="C2" s="91" t="inlineStr">
        <is>
          <t>Empresa</t>
        </is>
      </c>
      <c r="D2" s="91" t="inlineStr">
        <is>
          <t>Grupo EI</t>
        </is>
      </c>
      <c r="E2" s="92" t="inlineStr">
        <is>
          <t>Factura</t>
        </is>
      </c>
      <c r="F2" s="92" t="inlineStr">
        <is>
          <t>Nivel 1</t>
        </is>
      </c>
      <c r="G2" s="92" t="inlineStr">
        <is>
          <t>Nivel 2</t>
        </is>
      </c>
      <c r="H2" s="92" t="inlineStr">
        <is>
          <t>Nivel 3</t>
        </is>
      </c>
      <c r="I2" s="92" t="inlineStr">
        <is>
          <t>Nivel 4</t>
        </is>
      </c>
      <c r="J2" s="93" t="inlineStr">
        <is>
          <t>Nivel 5</t>
        </is>
      </c>
      <c r="K2" s="93" t="inlineStr">
        <is>
          <t>Cuenta contable</t>
        </is>
      </c>
      <c r="L2" s="92" t="inlineStr">
        <is>
          <t>Acreedor/Proveedor</t>
        </is>
      </c>
      <c r="M2" s="92" t="inlineStr">
        <is>
          <t>Detalle</t>
        </is>
      </c>
      <c r="N2" s="177" t="inlineStr">
        <is>
          <t>Importe €</t>
        </is>
      </c>
      <c r="O2" s="94" t="inlineStr">
        <is>
          <t>Comentarios</t>
        </is>
      </c>
    </row>
    <row r="3" ht="15" customHeight="1" thickTop="1">
      <c r="A3" s="95" t="n">
        <v>46053</v>
      </c>
      <c r="B3" t="n">
        <v>1</v>
      </c>
      <c r="C3" t="inlineStr">
        <is>
          <t>Codiagro</t>
        </is>
      </c>
      <c r="D3" t="inlineStr">
        <is>
          <t>Personal</t>
        </is>
      </c>
      <c r="F3" t="inlineStr">
        <is>
          <t>RESULTADO DEL EJERCICIO</t>
        </is>
      </c>
      <c r="G3" t="inlineStr">
        <is>
          <t>RESULTADO ANTES DE IMPUESTOS</t>
        </is>
      </c>
      <c r="H3" s="18" t="inlineStr">
        <is>
          <t>RESULTADO DE LA EXPLOTACION</t>
        </is>
      </c>
      <c r="I3" t="inlineStr">
        <is>
          <t>6.- Gastos de personal</t>
        </is>
      </c>
      <c r="J3" t="inlineStr">
        <is>
          <t>(640) Sueldos y salarios</t>
        </is>
      </c>
      <c r="K3" t="inlineStr">
        <is>
          <t>-</t>
        </is>
      </c>
      <c r="N3" s="173" t="n">
        <v>7934.82</v>
      </c>
      <c r="O3" t="inlineStr">
        <is>
          <t>NIEVES RUIZ CESPEDES</t>
        </is>
      </c>
    </row>
    <row r="4">
      <c r="A4" s="95" t="n">
        <v>46053</v>
      </c>
      <c r="B4" t="n">
        <v>1</v>
      </c>
      <c r="C4" t="inlineStr">
        <is>
          <t>Codiagro</t>
        </is>
      </c>
      <c r="D4" t="inlineStr">
        <is>
          <t>Personal</t>
        </is>
      </c>
      <c r="F4" t="inlineStr">
        <is>
          <t>RESULTADO DEL EJERCICIO</t>
        </is>
      </c>
      <c r="G4" t="inlineStr">
        <is>
          <t>RESULTADO ANTES DE IMPUESTOS</t>
        </is>
      </c>
      <c r="H4" s="18" t="inlineStr">
        <is>
          <t>RESULTADO DE LA EXPLOTACION</t>
        </is>
      </c>
      <c r="I4" t="inlineStr">
        <is>
          <t>6.- Gastos de personal</t>
        </is>
      </c>
      <c r="J4" t="inlineStr">
        <is>
          <t>(642) Seguridad social a cargo empresa</t>
        </is>
      </c>
      <c r="K4" t="inlineStr">
        <is>
          <t>-</t>
        </is>
      </c>
      <c r="N4" s="173" t="n">
        <v>1693.8</v>
      </c>
      <c r="O4" t="inlineStr">
        <is>
          <t>NIEVES RUIZ CESPEDES</t>
        </is>
      </c>
    </row>
    <row r="5">
      <c r="A5" s="95" t="n">
        <v>46053</v>
      </c>
      <c r="B5" t="n">
        <v>1</v>
      </c>
      <c r="C5" t="inlineStr">
        <is>
          <t>Codiagro</t>
        </is>
      </c>
      <c r="D5" t="inlineStr">
        <is>
          <t>Personal</t>
        </is>
      </c>
      <c r="F5" t="inlineStr">
        <is>
          <t>RESULTADO DEL EJERCICIO</t>
        </is>
      </c>
      <c r="G5" t="inlineStr">
        <is>
          <t>RESULTADO ANTES DE IMPUESTOS</t>
        </is>
      </c>
      <c r="H5" s="18" t="inlineStr">
        <is>
          <t>RESULTADO DE LA EXPLOTACION</t>
        </is>
      </c>
      <c r="I5" t="inlineStr">
        <is>
          <t>6.- Gastos de personal</t>
        </is>
      </c>
      <c r="J5" t="inlineStr">
        <is>
          <t>(640) Sueldos y salarios</t>
        </is>
      </c>
      <c r="K5" t="inlineStr">
        <is>
          <t>-</t>
        </is>
      </c>
      <c r="N5" s="173" t="n">
        <v>2166.76</v>
      </c>
      <c r="O5" t="inlineStr">
        <is>
          <t>FRANCISCO LAGOSTENA DE GUZMAN</t>
        </is>
      </c>
    </row>
    <row r="6">
      <c r="A6" s="95" t="n">
        <v>46053</v>
      </c>
      <c r="B6" t="n">
        <v>1</v>
      </c>
      <c r="C6" t="inlineStr">
        <is>
          <t>Codiagro</t>
        </is>
      </c>
      <c r="D6" t="inlineStr">
        <is>
          <t>Personal</t>
        </is>
      </c>
      <c r="F6" t="inlineStr">
        <is>
          <t>RESULTADO DEL EJERCICIO</t>
        </is>
      </c>
      <c r="G6" t="inlineStr">
        <is>
          <t>RESULTADO ANTES DE IMPUESTOS</t>
        </is>
      </c>
      <c r="H6" s="18" t="inlineStr">
        <is>
          <t>RESULTADO DE LA EXPLOTACION</t>
        </is>
      </c>
      <c r="I6" t="inlineStr">
        <is>
          <t>6.- Gastos de personal</t>
        </is>
      </c>
      <c r="J6" t="inlineStr">
        <is>
          <t>(642) Seguridad social a cargo empresa</t>
        </is>
      </c>
      <c r="K6" t="inlineStr">
        <is>
          <t>-</t>
        </is>
      </c>
      <c r="N6" s="173" t="n">
        <v>911.41</v>
      </c>
      <c r="O6" t="inlineStr">
        <is>
          <t>FRANCISCO LAGOSTENA DE GUZMAN</t>
        </is>
      </c>
    </row>
    <row r="7">
      <c r="A7" s="95" t="n">
        <v>46053</v>
      </c>
      <c r="B7" t="n">
        <v>1</v>
      </c>
      <c r="C7" t="inlineStr">
        <is>
          <t>Codiagro</t>
        </is>
      </c>
      <c r="D7" t="inlineStr">
        <is>
          <t>Personal</t>
        </is>
      </c>
      <c r="F7" t="inlineStr">
        <is>
          <t>RESULTADO DEL EJERCICIO</t>
        </is>
      </c>
      <c r="G7" t="inlineStr">
        <is>
          <t>RESULTADO ANTES DE IMPUESTOS</t>
        </is>
      </c>
      <c r="H7" s="18" t="inlineStr">
        <is>
          <t>RESULTADO DE LA EXPLOTACION</t>
        </is>
      </c>
      <c r="I7" t="inlineStr">
        <is>
          <t>6.- Gastos de personal</t>
        </is>
      </c>
      <c r="J7" t="inlineStr">
        <is>
          <t>(640) Sueldos y salarios</t>
        </is>
      </c>
      <c r="K7" t="inlineStr">
        <is>
          <t>-</t>
        </is>
      </c>
      <c r="N7" s="173" t="n">
        <v>4444.21</v>
      </c>
      <c r="O7" t="inlineStr">
        <is>
          <t>RAUL AMELA MELIA</t>
        </is>
      </c>
    </row>
    <row r="8">
      <c r="A8" s="95" t="n">
        <v>46053</v>
      </c>
      <c r="B8" t="n">
        <v>1</v>
      </c>
      <c r="C8" t="inlineStr">
        <is>
          <t>Codiagro</t>
        </is>
      </c>
      <c r="D8" t="inlineStr">
        <is>
          <t>Personal</t>
        </is>
      </c>
      <c r="F8" t="inlineStr">
        <is>
          <t>RESULTADO DEL EJERCICIO</t>
        </is>
      </c>
      <c r="G8" t="inlineStr">
        <is>
          <t>RESULTADO ANTES DE IMPUESTOS</t>
        </is>
      </c>
      <c r="H8" s="18" t="inlineStr">
        <is>
          <t>RESULTADO DE LA EXPLOTACION</t>
        </is>
      </c>
      <c r="I8" t="inlineStr">
        <is>
          <t>6.- Gastos de personal</t>
        </is>
      </c>
      <c r="J8" t="inlineStr">
        <is>
          <t>(642) Seguridad social a cargo empresa</t>
        </is>
      </c>
      <c r="K8" t="inlineStr">
        <is>
          <t>-</t>
        </is>
      </c>
      <c r="N8" s="173" t="n">
        <v>1720.91</v>
      </c>
      <c r="O8" t="inlineStr">
        <is>
          <t>RAUL AMELA MELIA</t>
        </is>
      </c>
    </row>
    <row r="9">
      <c r="A9" s="95" t="n">
        <v>46053</v>
      </c>
      <c r="B9" t="n">
        <v>1</v>
      </c>
      <c r="C9" t="inlineStr">
        <is>
          <t>Codiagro</t>
        </is>
      </c>
      <c r="D9" t="inlineStr">
        <is>
          <t>Personal</t>
        </is>
      </c>
      <c r="F9" t="inlineStr">
        <is>
          <t>RESULTADO DEL EJERCICIO</t>
        </is>
      </c>
      <c r="G9" t="inlineStr">
        <is>
          <t>RESULTADO ANTES DE IMPUESTOS</t>
        </is>
      </c>
      <c r="H9" s="18" t="inlineStr">
        <is>
          <t>RESULTADO DE LA EXPLOTACION</t>
        </is>
      </c>
      <c r="I9" t="inlineStr">
        <is>
          <t>6.- Gastos de personal</t>
        </is>
      </c>
      <c r="J9" t="inlineStr">
        <is>
          <t>(640) Sueldos y salarios</t>
        </is>
      </c>
      <c r="K9" t="inlineStr">
        <is>
          <t>-</t>
        </is>
      </c>
      <c r="N9" s="173" t="n">
        <v>5593.98</v>
      </c>
      <c r="O9" t="inlineStr">
        <is>
          <t>CARLOS BARREDA MAS</t>
        </is>
      </c>
    </row>
    <row r="10">
      <c r="A10" s="95" t="n">
        <v>46053</v>
      </c>
      <c r="B10" t="n">
        <v>1</v>
      </c>
      <c r="C10" t="inlineStr">
        <is>
          <t>Codiagro</t>
        </is>
      </c>
      <c r="D10" t="inlineStr">
        <is>
          <t>Personal</t>
        </is>
      </c>
      <c r="F10" t="inlineStr">
        <is>
          <t>RESULTADO DEL EJERCICIO</t>
        </is>
      </c>
      <c r="G10" t="inlineStr">
        <is>
          <t>RESULTADO ANTES DE IMPUESTOS</t>
        </is>
      </c>
      <c r="H10" s="18" t="inlineStr">
        <is>
          <t>RESULTADO DE LA EXPLOTACION</t>
        </is>
      </c>
      <c r="I10" t="inlineStr">
        <is>
          <t>6.- Gastos de personal</t>
        </is>
      </c>
      <c r="J10" t="inlineStr">
        <is>
          <t>(642) Seguridad social a cargo empresa</t>
        </is>
      </c>
      <c r="K10" t="inlineStr">
        <is>
          <t>-</t>
        </is>
      </c>
      <c r="N10" s="173" t="n">
        <v>1735.81</v>
      </c>
      <c r="O10" t="inlineStr">
        <is>
          <t>CARLOS BARREDA MAS</t>
        </is>
      </c>
    </row>
    <row r="11">
      <c r="A11" s="95" t="n">
        <v>46081</v>
      </c>
      <c r="B11" t="n">
        <v>2</v>
      </c>
      <c r="C11" t="inlineStr">
        <is>
          <t>Codiagro</t>
        </is>
      </c>
      <c r="D11" t="inlineStr">
        <is>
          <t>Personal</t>
        </is>
      </c>
      <c r="F11" t="inlineStr">
        <is>
          <t>RESULTADO DEL EJERCICIO</t>
        </is>
      </c>
      <c r="G11" t="inlineStr">
        <is>
          <t>RESULTADO ANTES DE IMPUESTOS</t>
        </is>
      </c>
      <c r="H11" s="18" t="inlineStr">
        <is>
          <t>RESULTADO DE LA EXPLOTACION</t>
        </is>
      </c>
      <c r="I11" t="inlineStr">
        <is>
          <t>6.- Gastos de personal</t>
        </is>
      </c>
      <c r="J11" t="inlineStr">
        <is>
          <t>(640) Sueldos y salarios</t>
        </is>
      </c>
      <c r="K11" t="inlineStr">
        <is>
          <t>-</t>
        </is>
      </c>
      <c r="N11" s="173" t="n">
        <v>9273.34</v>
      </c>
      <c r="O11" t="inlineStr">
        <is>
          <t>NIEVES RUIZ CESPEDES</t>
        </is>
      </c>
    </row>
    <row r="12">
      <c r="A12" s="95" t="n">
        <v>46081</v>
      </c>
      <c r="B12" t="n">
        <v>2</v>
      </c>
      <c r="C12" t="inlineStr">
        <is>
          <t>Codiagro</t>
        </is>
      </c>
      <c r="D12" t="inlineStr">
        <is>
          <t>Personal</t>
        </is>
      </c>
      <c r="F12" t="inlineStr">
        <is>
          <t>RESULTADO DEL EJERCICIO</t>
        </is>
      </c>
      <c r="G12" t="inlineStr">
        <is>
          <t>RESULTADO ANTES DE IMPUESTOS</t>
        </is>
      </c>
      <c r="H12" s="18" t="inlineStr">
        <is>
          <t>RESULTADO DE LA EXPLOTACION</t>
        </is>
      </c>
      <c r="I12" t="inlineStr">
        <is>
          <t>6.- Gastos de personal</t>
        </is>
      </c>
      <c r="J12" t="inlineStr">
        <is>
          <t>(642) Seguridad social a cargo empresa</t>
        </is>
      </c>
      <c r="K12" t="inlineStr">
        <is>
          <t>-</t>
        </is>
      </c>
      <c r="N12" s="173" t="n">
        <v>1774.57</v>
      </c>
      <c r="O12" t="inlineStr">
        <is>
          <t>NIEVES RUIZ CESPEDES</t>
        </is>
      </c>
    </row>
    <row r="13">
      <c r="A13" s="95" t="n">
        <v>46081</v>
      </c>
      <c r="B13" t="n">
        <v>2</v>
      </c>
      <c r="C13" t="inlineStr">
        <is>
          <t>Codiagro</t>
        </is>
      </c>
      <c r="D13" t="inlineStr">
        <is>
          <t>Personal</t>
        </is>
      </c>
      <c r="F13" t="inlineStr">
        <is>
          <t>RESULTADO DEL EJERCICIO</t>
        </is>
      </c>
      <c r="G13" t="inlineStr">
        <is>
          <t>RESULTADO ANTES DE IMPUESTOS</t>
        </is>
      </c>
      <c r="H13" s="18" t="inlineStr">
        <is>
          <t>RESULTADO DE LA EXPLOTACION</t>
        </is>
      </c>
      <c r="I13" t="inlineStr">
        <is>
          <t>6.- Gastos de personal</t>
        </is>
      </c>
      <c r="J13" t="inlineStr">
        <is>
          <t>(640) Sueldos y salarios</t>
        </is>
      </c>
      <c r="K13" t="inlineStr">
        <is>
          <t>-</t>
        </is>
      </c>
      <c r="N13" s="173" t="n">
        <v>3414.13</v>
      </c>
      <c r="O13" t="inlineStr">
        <is>
          <t>FRANCISCO LAGOSTENA DE GUZMAN</t>
        </is>
      </c>
    </row>
    <row r="14">
      <c r="A14" s="95" t="n">
        <v>46081</v>
      </c>
      <c r="B14" t="n">
        <v>2</v>
      </c>
      <c r="C14" t="inlineStr">
        <is>
          <t>Codiagro</t>
        </is>
      </c>
      <c r="D14" t="inlineStr">
        <is>
          <t>Personal</t>
        </is>
      </c>
      <c r="F14" t="inlineStr">
        <is>
          <t>RESULTADO DEL EJERCICIO</t>
        </is>
      </c>
      <c r="G14" t="inlineStr">
        <is>
          <t>RESULTADO ANTES DE IMPUESTOS</t>
        </is>
      </c>
      <c r="H14" s="18" t="inlineStr">
        <is>
          <t>RESULTADO DE LA EXPLOTACION</t>
        </is>
      </c>
      <c r="I14" t="inlineStr">
        <is>
          <t>6.- Gastos de personal</t>
        </is>
      </c>
      <c r="J14" t="inlineStr">
        <is>
          <t>(642) Seguridad social a cargo empresa</t>
        </is>
      </c>
      <c r="K14" t="inlineStr">
        <is>
          <t>-</t>
        </is>
      </c>
      <c r="N14" s="173" t="n">
        <v>838.96</v>
      </c>
      <c r="O14" t="inlineStr">
        <is>
          <t>FRANCISCO LAGOSTENA DE GUZMAN</t>
        </is>
      </c>
    </row>
    <row r="15">
      <c r="A15" s="95" t="n">
        <v>46081</v>
      </c>
      <c r="B15" t="n">
        <v>2</v>
      </c>
      <c r="C15" t="inlineStr">
        <is>
          <t>Codiagro</t>
        </is>
      </c>
      <c r="D15" t="inlineStr">
        <is>
          <t>Indemnizaciones</t>
        </is>
      </c>
      <c r="F15" t="inlineStr">
        <is>
          <t>RESULTADO DEL EJERCICIO</t>
        </is>
      </c>
      <c r="G15" t="inlineStr">
        <is>
          <t>RESULTADO ANTES DE IMPUESTOS</t>
        </is>
      </c>
      <c r="H15" s="18" t="inlineStr">
        <is>
          <t>RESULTADO DE LA EXPLOTACION</t>
        </is>
      </c>
      <c r="I15" t="inlineStr">
        <is>
          <t>6.- Gastos de personal</t>
        </is>
      </c>
      <c r="J15" t="inlineStr">
        <is>
          <t>(641) Imdenizaciones</t>
        </is>
      </c>
      <c r="K15" t="inlineStr">
        <is>
          <t>-</t>
        </is>
      </c>
      <c r="N15" s="173" t="n">
        <v>11278.98</v>
      </c>
      <c r="O15" t="inlineStr">
        <is>
          <t>FRANCISCO LAGOSTENA DE GUZMAN</t>
        </is>
      </c>
    </row>
    <row r="16">
      <c r="A16" s="95" t="n">
        <v>46081</v>
      </c>
      <c r="B16" t="n">
        <v>2</v>
      </c>
      <c r="C16" t="inlineStr">
        <is>
          <t>Codiagro</t>
        </is>
      </c>
      <c r="D16" t="inlineStr">
        <is>
          <t>Personal</t>
        </is>
      </c>
      <c r="F16" t="inlineStr">
        <is>
          <t>RESULTADO DEL EJERCICIO</t>
        </is>
      </c>
      <c r="G16" t="inlineStr">
        <is>
          <t>RESULTADO ANTES DE IMPUESTOS</t>
        </is>
      </c>
      <c r="H16" s="18" t="inlineStr">
        <is>
          <t>RESULTADO DE LA EXPLOTACION</t>
        </is>
      </c>
      <c r="I16" t="inlineStr">
        <is>
          <t>6.- Gastos de personal</t>
        </is>
      </c>
      <c r="J16" t="inlineStr">
        <is>
          <t>(640) Sueldos y salarios</t>
        </is>
      </c>
      <c r="K16" t="inlineStr">
        <is>
          <t>-</t>
        </is>
      </c>
      <c r="N16" s="173" t="n">
        <v>4444.21</v>
      </c>
      <c r="O16" t="inlineStr">
        <is>
          <t>RAUL AMELA MELIA</t>
        </is>
      </c>
    </row>
    <row r="17">
      <c r="A17" s="95" t="n">
        <v>46081</v>
      </c>
      <c r="B17" t="n">
        <v>2</v>
      </c>
      <c r="C17" t="inlineStr">
        <is>
          <t>Codiagro</t>
        </is>
      </c>
      <c r="D17" t="inlineStr">
        <is>
          <t>Personal</t>
        </is>
      </c>
      <c r="F17" t="inlineStr">
        <is>
          <t>RESULTADO DEL EJERCICIO</t>
        </is>
      </c>
      <c r="G17" t="inlineStr">
        <is>
          <t>RESULTADO ANTES DE IMPUESTOS</t>
        </is>
      </c>
      <c r="H17" s="18" t="inlineStr">
        <is>
          <t>RESULTADO DE LA EXPLOTACION</t>
        </is>
      </c>
      <c r="I17" t="inlineStr">
        <is>
          <t>6.- Gastos de personal</t>
        </is>
      </c>
      <c r="J17" t="inlineStr">
        <is>
          <t>(642) Seguridad social a cargo empresa</t>
        </is>
      </c>
      <c r="K17" t="inlineStr">
        <is>
          <t>-</t>
        </is>
      </c>
      <c r="N17" s="173" t="n">
        <v>1720.91</v>
      </c>
      <c r="O17" t="inlineStr">
        <is>
          <t>RAUL AMELA MELIA</t>
        </is>
      </c>
    </row>
    <row r="18">
      <c r="A18" s="95" t="n">
        <v>46081</v>
      </c>
      <c r="B18" t="n">
        <v>2</v>
      </c>
      <c r="C18" t="inlineStr">
        <is>
          <t>Codiagro</t>
        </is>
      </c>
      <c r="D18" t="inlineStr">
        <is>
          <t>Personal</t>
        </is>
      </c>
      <c r="F18" t="inlineStr">
        <is>
          <t>RESULTADO DEL EJERCICIO</t>
        </is>
      </c>
      <c r="G18" t="inlineStr">
        <is>
          <t>RESULTADO ANTES DE IMPUESTOS</t>
        </is>
      </c>
      <c r="H18" s="18" t="inlineStr">
        <is>
          <t>RESULTADO DE LA EXPLOTACION</t>
        </is>
      </c>
      <c r="I18" t="inlineStr">
        <is>
          <t>6.- Gastos de personal</t>
        </is>
      </c>
      <c r="J18" t="inlineStr">
        <is>
          <t>(640) Sueldos y salarios</t>
        </is>
      </c>
      <c r="K18" t="inlineStr">
        <is>
          <t>-</t>
        </is>
      </c>
      <c r="N18" s="173" t="n">
        <v>5593.98</v>
      </c>
      <c r="O18" t="inlineStr">
        <is>
          <t>CARLOS BARREDA MAS</t>
        </is>
      </c>
    </row>
    <row r="19">
      <c r="A19" s="95" t="n">
        <v>46081</v>
      </c>
      <c r="B19" t="n">
        <v>2</v>
      </c>
      <c r="C19" t="inlineStr">
        <is>
          <t>Codiagro</t>
        </is>
      </c>
      <c r="D19" t="inlineStr">
        <is>
          <t>Personal</t>
        </is>
      </c>
      <c r="F19" t="inlineStr">
        <is>
          <t>RESULTADO DEL EJERCICIO</t>
        </is>
      </c>
      <c r="G19" t="inlineStr">
        <is>
          <t>RESULTADO ANTES DE IMPUESTOS</t>
        </is>
      </c>
      <c r="H19" s="18" t="inlineStr">
        <is>
          <t>RESULTADO DE LA EXPLOTACION</t>
        </is>
      </c>
      <c r="I19" t="inlineStr">
        <is>
          <t>6.- Gastos de personal</t>
        </is>
      </c>
      <c r="J19" t="inlineStr">
        <is>
          <t>(642) Seguridad social a cargo empresa</t>
        </is>
      </c>
      <c r="K19" t="inlineStr">
        <is>
          <t>-</t>
        </is>
      </c>
      <c r="N19" s="173" t="n">
        <v>1735.81</v>
      </c>
      <c r="O19" t="inlineStr">
        <is>
          <t>CARLOS BARREDA MAS</t>
        </is>
      </c>
    </row>
    <row r="20">
      <c r="A20" s="95" t="n">
        <v>46112</v>
      </c>
      <c r="B20" t="n">
        <v>3</v>
      </c>
      <c r="C20" t="inlineStr">
        <is>
          <t>Codiagro</t>
        </is>
      </c>
      <c r="D20" t="inlineStr">
        <is>
          <t>Personal</t>
        </is>
      </c>
      <c r="F20" t="inlineStr">
        <is>
          <t>RESULTADO DEL EJERCICIO</t>
        </is>
      </c>
      <c r="G20" t="inlineStr">
        <is>
          <t>RESULTADO ANTES DE IMPUESTOS</t>
        </is>
      </c>
      <c r="H20" s="18" t="inlineStr">
        <is>
          <t>RESULTADO DE LA EXPLOTACION</t>
        </is>
      </c>
      <c r="I20" t="inlineStr">
        <is>
          <t>6.- Gastos de personal</t>
        </is>
      </c>
      <c r="J20" t="inlineStr">
        <is>
          <t>(640) Sueldos y salarios</t>
        </is>
      </c>
      <c r="K20" t="inlineStr">
        <is>
          <t>-</t>
        </is>
      </c>
      <c r="N20" s="173" t="n">
        <v>10999.04</v>
      </c>
      <c r="O20" t="inlineStr">
        <is>
          <t>RAUL AMELA</t>
        </is>
      </c>
    </row>
    <row r="21">
      <c r="A21" s="95" t="n">
        <v>46112</v>
      </c>
      <c r="B21" t="n">
        <v>3</v>
      </c>
      <c r="C21" t="inlineStr">
        <is>
          <t>Codiagro</t>
        </is>
      </c>
      <c r="D21" t="inlineStr">
        <is>
          <t>Personal</t>
        </is>
      </c>
      <c r="F21" t="inlineStr">
        <is>
          <t>RESULTADO DEL EJERCICIO</t>
        </is>
      </c>
      <c r="G21" t="inlineStr">
        <is>
          <t>RESULTADO ANTES DE IMPUESTOS</t>
        </is>
      </c>
      <c r="H21" t="inlineStr">
        <is>
          <t>RESULTADO DE LA EXPLOTACION</t>
        </is>
      </c>
      <c r="I21" t="inlineStr">
        <is>
          <t>6.- Gastos de personal</t>
        </is>
      </c>
      <c r="J21" t="inlineStr">
        <is>
          <t>(640) Sueldos y salarios</t>
        </is>
      </c>
      <c r="K21" t="inlineStr">
        <is>
          <t>-</t>
        </is>
      </c>
      <c r="N21" s="173" t="n">
        <v>14077.68</v>
      </c>
      <c r="O21" t="inlineStr">
        <is>
          <t>CARLOS BARREDA</t>
        </is>
      </c>
    </row>
    <row r="22">
      <c r="A22" s="95" t="n">
        <v>46112</v>
      </c>
      <c r="B22" t="n">
        <v>3</v>
      </c>
      <c r="C22" t="inlineStr">
        <is>
          <t>Codiagro</t>
        </is>
      </c>
      <c r="D22" t="inlineStr">
        <is>
          <t>Personal</t>
        </is>
      </c>
      <c r="F22" t="inlineStr">
        <is>
          <t>RESULTADO DEL EJERCICIO</t>
        </is>
      </c>
      <c r="G22" t="inlineStr">
        <is>
          <t>RESULTADO ANTES DE IMPUESTOS</t>
        </is>
      </c>
      <c r="H22" t="inlineStr">
        <is>
          <t>RESULTADO DE LA EXPLOTACION</t>
        </is>
      </c>
      <c r="I22" t="inlineStr">
        <is>
          <t>6.- Gastos de personal</t>
        </is>
      </c>
      <c r="J22" t="inlineStr">
        <is>
          <t>(642) Seguridad social a cargo empresa</t>
        </is>
      </c>
      <c r="K22" t="inlineStr">
        <is>
          <t>-</t>
        </is>
      </c>
      <c r="N22" s="173" t="n">
        <v>2057.28</v>
      </c>
      <c r="O22" t="inlineStr">
        <is>
          <t>RAUL AMELA</t>
        </is>
      </c>
    </row>
    <row r="23">
      <c r="A23" s="95" t="n">
        <v>46112</v>
      </c>
      <c r="B23" t="n">
        <v>3</v>
      </c>
      <c r="C23" t="inlineStr">
        <is>
          <t>Codiagro</t>
        </is>
      </c>
      <c r="D23" t="inlineStr">
        <is>
          <t>Personal</t>
        </is>
      </c>
      <c r="F23" t="inlineStr">
        <is>
          <t>RESULTADO DEL EJERCICIO</t>
        </is>
      </c>
      <c r="G23" t="inlineStr">
        <is>
          <t>RESULTADO ANTES DE IMPUESTOS</t>
        </is>
      </c>
      <c r="H23" t="inlineStr">
        <is>
          <t>RESULTADO DE LA EXPLOTACION</t>
        </is>
      </c>
      <c r="I23" t="inlineStr">
        <is>
          <t>6.- Gastos de personal</t>
        </is>
      </c>
      <c r="J23" t="inlineStr">
        <is>
          <t>(642) Seguridad social a cargo empresa</t>
        </is>
      </c>
      <c r="K23" t="inlineStr">
        <is>
          <t>-</t>
        </is>
      </c>
      <c r="N23" s="173" t="n">
        <v>2139.36</v>
      </c>
      <c r="O23" t="inlineStr">
        <is>
          <t>CARLOS BARREDA</t>
        </is>
      </c>
    </row>
    <row r="24">
      <c r="A24" s="95" t="n">
        <v>46173</v>
      </c>
      <c r="B24" t="n">
        <v>5</v>
      </c>
      <c r="C24" t="inlineStr">
        <is>
          <t>Codiagro</t>
        </is>
      </c>
      <c r="D24" t="inlineStr">
        <is>
          <t>Producción Codiagro-SAS</t>
        </is>
      </c>
      <c r="F24" t="inlineStr">
        <is>
          <t>RESULTADO DEL EJERCICIO</t>
        </is>
      </c>
      <c r="G24" t="inlineStr">
        <is>
          <t>RESULTADO ANTES DE IMPUESTOS</t>
        </is>
      </c>
      <c r="H24" t="inlineStr">
        <is>
          <t>RESULTADO DE LA EXPLOTACION</t>
        </is>
      </c>
      <c r="I24" t="inlineStr">
        <is>
          <t>4.- Aprovisionamientos</t>
        </is>
      </c>
      <c r="J24" t="inlineStr">
        <is>
          <t>(607) Trabajos realizados por otras empresas</t>
        </is>
      </c>
      <c r="K24" t="inlineStr">
        <is>
          <t xml:space="preserve">- - </t>
        </is>
      </c>
      <c r="N24" s="173" t="n">
        <v>28562.71</v>
      </c>
      <c r="O24" t="inlineStr">
        <is>
          <t>ETT Maquila</t>
        </is>
      </c>
    </row>
    <row r="25">
      <c r="A25" s="95" t="n">
        <v>46173</v>
      </c>
      <c r="B25" t="n">
        <v>5</v>
      </c>
      <c r="C25" t="inlineStr">
        <is>
          <t>Codiagro</t>
        </is>
      </c>
      <c r="D25" t="inlineStr">
        <is>
          <t>Producción Codiagro-SAS</t>
        </is>
      </c>
      <c r="F25" t="inlineStr">
        <is>
          <t>RESULTADO DEL EJERCICIO</t>
        </is>
      </c>
      <c r="G25" t="inlineStr">
        <is>
          <t>RESULTADO ANTES DE IMPUESTOS</t>
        </is>
      </c>
      <c r="H25" t="inlineStr">
        <is>
          <t>RESULTADO DE LA EXPLOTACION</t>
        </is>
      </c>
      <c r="I25" t="inlineStr">
        <is>
          <t>7.- Otros gastos de explotación</t>
        </is>
      </c>
      <c r="J25" t="inlineStr">
        <is>
          <t>(621) Arrendamientos y cánones</t>
        </is>
      </c>
      <c r="K25" t="inlineStr">
        <is>
          <t xml:space="preserve">- - </t>
        </is>
      </c>
      <c r="N25" s="173" t="n">
        <v>665</v>
      </c>
      <c r="O25" t="inlineStr">
        <is>
          <t>Alquiler carretilla</t>
        </is>
      </c>
    </row>
    <row r="26">
      <c r="A26" s="95" t="n">
        <v>46173</v>
      </c>
      <c r="B26" t="n">
        <v>5</v>
      </c>
      <c r="C26" t="inlineStr">
        <is>
          <t>Codiagro</t>
        </is>
      </c>
      <c r="D26" t="inlineStr">
        <is>
          <t>Producción Codiagro-SAS</t>
        </is>
      </c>
      <c r="F26" t="inlineStr">
        <is>
          <t>RESULTADO DEL EJERCICIO</t>
        </is>
      </c>
      <c r="G26" t="inlineStr">
        <is>
          <t>RESULTADO ANTES DE IMPUESTOS</t>
        </is>
      </c>
      <c r="H26" t="inlineStr">
        <is>
          <t>RESULTADO DE LA EXPLOTACION</t>
        </is>
      </c>
      <c r="I26" t="inlineStr">
        <is>
          <t>7.- Otros gastos de explotación</t>
        </is>
      </c>
      <c r="J26" t="inlineStr">
        <is>
          <t>(628) Suministros</t>
        </is>
      </c>
      <c r="K26" t="inlineStr">
        <is>
          <t xml:space="preserve">- - </t>
        </is>
      </c>
      <c r="N26" s="173" t="n">
        <v>1523.79</v>
      </c>
      <c r="O26" t="inlineStr">
        <is>
          <t>Luz</t>
        </is>
      </c>
    </row>
    <row r="27">
      <c r="A27" s="95" t="n">
        <v>46173</v>
      </c>
      <c r="B27" t="n">
        <v>5</v>
      </c>
      <c r="C27" t="inlineStr">
        <is>
          <t>Codiagro</t>
        </is>
      </c>
      <c r="D27" t="inlineStr">
        <is>
          <t>Producción Codiagro-SAS</t>
        </is>
      </c>
      <c r="F27" t="inlineStr">
        <is>
          <t>RESULTADO DEL EJERCICIO</t>
        </is>
      </c>
      <c r="G27" t="inlineStr">
        <is>
          <t>RESULTADO ANTES DE IMPUESTOS</t>
        </is>
      </c>
      <c r="H27" t="inlineStr">
        <is>
          <t>RESULTADO DE LA EXPLOTACION</t>
        </is>
      </c>
      <c r="I27" t="inlineStr">
        <is>
          <t>7.- Otros gastos de explotación</t>
        </is>
      </c>
      <c r="J27" t="inlineStr">
        <is>
          <t>(629) Otros servicios</t>
        </is>
      </c>
      <c r="K27" t="inlineStr">
        <is>
          <t xml:space="preserve">- - </t>
        </is>
      </c>
      <c r="N27" s="173" t="n">
        <v>425.73</v>
      </c>
      <c r="O27" t="inlineStr">
        <is>
          <t>Tratamiento residuos</t>
        </is>
      </c>
    </row>
    <row r="28">
      <c r="A28" s="95" t="n">
        <v>46173</v>
      </c>
      <c r="B28" t="n">
        <v>5</v>
      </c>
      <c r="C28" t="inlineStr">
        <is>
          <t>Codiagro</t>
        </is>
      </c>
      <c r="D28" t="inlineStr">
        <is>
          <t>INDIVIDUAL-Ext Item Codiagro-SAS</t>
        </is>
      </c>
      <c r="F28" t="inlineStr">
        <is>
          <t>RESULTADO DEL EJERCICIO</t>
        </is>
      </c>
      <c r="G28" t="inlineStr">
        <is>
          <t>RESULTADO ANTES DE IMPUESTOS</t>
        </is>
      </c>
      <c r="H28" t="inlineStr">
        <is>
          <t>RESULTADO DE LA EXPLOTACION</t>
        </is>
      </c>
      <c r="I28" t="inlineStr">
        <is>
          <t>1.- Importe neto de la cifra de negocios</t>
        </is>
      </c>
      <c r="J28" t="inlineStr">
        <is>
          <t>(702) Ventas de productos semiterminados</t>
        </is>
      </c>
      <c r="K28" t="inlineStr">
        <is>
          <t>702000000 - Ventas de productos semiterminados</t>
        </is>
      </c>
      <c r="N28" s="173" t="n">
        <v>-101865.8</v>
      </c>
      <c r="O28" t="inlineStr">
        <is>
          <t>Materias primas repercutidas</t>
        </is>
      </c>
    </row>
    <row r="29">
      <c r="A29" s="95" t="n">
        <v>46173</v>
      </c>
      <c r="B29" t="n">
        <v>5</v>
      </c>
      <c r="C29" t="inlineStr">
        <is>
          <t>Codiagro</t>
        </is>
      </c>
      <c r="D29" t="inlineStr">
        <is>
          <t>INDIVIDUAL-Ext Item Codiagro-SAS</t>
        </is>
      </c>
      <c r="F29" t="inlineStr">
        <is>
          <t>RESULTADO DEL EJERCICIO</t>
        </is>
      </c>
      <c r="G29" t="inlineStr">
        <is>
          <t>RESULTADO ANTES DE IMPUESTOS</t>
        </is>
      </c>
      <c r="H29" t="inlineStr">
        <is>
          <t>RESULTADO DE LA EXPLOTACION</t>
        </is>
      </c>
      <c r="I29" t="inlineStr">
        <is>
          <t>1.- Importe neto de la cifra de negocios</t>
        </is>
      </c>
      <c r="J29" t="inlineStr">
        <is>
          <t>(704) Venta de envases y embalajes</t>
        </is>
      </c>
      <c r="K29" t="inlineStr">
        <is>
          <t>704000000 - Ventas de envases y embalajes</t>
        </is>
      </c>
      <c r="N29" s="173" t="n">
        <v>-80917.99000000001</v>
      </c>
      <c r="O29" t="inlineStr">
        <is>
          <t>Packing repercutido</t>
        </is>
      </c>
    </row>
    <row r="30">
      <c r="A30" s="95" t="n">
        <v>46173</v>
      </c>
      <c r="B30" t="n">
        <v>5</v>
      </c>
      <c r="C30" t="inlineStr">
        <is>
          <t>Codiagro</t>
        </is>
      </c>
      <c r="D30" t="inlineStr">
        <is>
          <t>INDIVIDUAL-Ext Item Codiagro-SAS</t>
        </is>
      </c>
      <c r="F30" t="inlineStr">
        <is>
          <t>RESULTADO DEL EJERCICIO</t>
        </is>
      </c>
      <c r="G30" t="inlineStr">
        <is>
          <t>RESULTADO ANTES DE IMPUESTOS</t>
        </is>
      </c>
      <c r="H30" t="inlineStr">
        <is>
          <t>RESULTADO DE LA EXPLOTACION</t>
        </is>
      </c>
      <c r="I30" t="inlineStr">
        <is>
          <t>1.- Importe neto de la cifra de negocios</t>
        </is>
      </c>
      <c r="J30" t="inlineStr">
        <is>
          <t>(705) Prestación de servicios</t>
        </is>
      </c>
      <c r="K30" t="inlineStr">
        <is>
          <t>705000000 - Prestaciones de servicios</t>
        </is>
      </c>
      <c r="N30" s="173" t="n">
        <v>-111557.6</v>
      </c>
      <c r="O30" t="inlineStr">
        <is>
          <t>Maquila</t>
        </is>
      </c>
    </row>
    <row r="31">
      <c r="A31" s="95" t="n">
        <v>46173</v>
      </c>
      <c r="B31" t="n">
        <v>5</v>
      </c>
      <c r="C31" t="inlineStr">
        <is>
          <t>Codiagro</t>
        </is>
      </c>
      <c r="D31" t="inlineStr">
        <is>
          <t>INDIVIDUAL-Ext Item Codiagro-SAS</t>
        </is>
      </c>
      <c r="F31" t="inlineStr">
        <is>
          <t>RESULTADO DEL EJERCICIO</t>
        </is>
      </c>
      <c r="G31" t="inlineStr">
        <is>
          <t>RESULTADO ANTES DE IMPUESTOS</t>
        </is>
      </c>
      <c r="H31" t="inlineStr">
        <is>
          <t>RESULTADO DE LA EXPLOTACION</t>
        </is>
      </c>
      <c r="I31" t="inlineStr">
        <is>
          <t>4.- Aprovisionamientos</t>
        </is>
      </c>
      <c r="J31" t="inlineStr">
        <is>
          <t>(601) Compras de materias primas</t>
        </is>
      </c>
      <c r="K31" t="inlineStr">
        <is>
          <t>601000000 - Compras de materias primas</t>
        </is>
      </c>
      <c r="N31" s="173" t="n">
        <v>101865.8</v>
      </c>
      <c r="O31" t="inlineStr">
        <is>
          <t>Materias primas repercutidas</t>
        </is>
      </c>
    </row>
    <row r="32">
      <c r="A32" s="95" t="n">
        <v>46173</v>
      </c>
      <c r="B32" t="n">
        <v>5</v>
      </c>
      <c r="C32" t="inlineStr">
        <is>
          <t>Codiagro</t>
        </is>
      </c>
      <c r="D32" t="inlineStr">
        <is>
          <t>INDIVIDUAL-Ext Item Codiagro-SAS</t>
        </is>
      </c>
      <c r="F32" t="inlineStr">
        <is>
          <t>RESULTADO DEL EJERCICIO</t>
        </is>
      </c>
      <c r="G32" t="inlineStr">
        <is>
          <t>RESULTADO ANTES DE IMPUESTOS</t>
        </is>
      </c>
      <c r="H32" t="inlineStr">
        <is>
          <t>RESULTADO DE LA EXPLOTACION</t>
        </is>
      </c>
      <c r="I32" t="inlineStr">
        <is>
          <t>4.- Aprovisionamientos</t>
        </is>
      </c>
      <c r="J32" t="inlineStr">
        <is>
          <t>(602) Compras de otros aprovisionamientos</t>
        </is>
      </c>
      <c r="K32" t="inlineStr">
        <is>
          <t>602000001 - COMPRA DE ENVASES Y EMBALAJES</t>
        </is>
      </c>
      <c r="N32" s="173" t="n">
        <v>80917.99000000001</v>
      </c>
      <c r="O32" t="inlineStr">
        <is>
          <t>Packing repercutido</t>
        </is>
      </c>
    </row>
    <row r="33">
      <c r="A33" s="95" t="n">
        <v>46203</v>
      </c>
      <c r="B33" t="n">
        <v>6</v>
      </c>
      <c r="C33" t="inlineStr">
        <is>
          <t>Codiagro</t>
        </is>
      </c>
      <c r="D33" t="inlineStr">
        <is>
          <t>Producción Codiagro-SAS</t>
        </is>
      </c>
      <c r="F33" t="inlineStr">
        <is>
          <t>RESULTADO DEL EJERCICIO</t>
        </is>
      </c>
      <c r="G33" t="inlineStr">
        <is>
          <t>RESULTADO ANTES DE IMPUESTOS</t>
        </is>
      </c>
      <c r="H33" t="inlineStr">
        <is>
          <t>RESULTADO DE LA EXPLOTACION</t>
        </is>
      </c>
      <c r="I33" t="inlineStr">
        <is>
          <t>4.- Aprovisionamientos</t>
        </is>
      </c>
      <c r="J33" t="inlineStr">
        <is>
          <t>(607) Trabajos realizados por otras empresas</t>
        </is>
      </c>
      <c r="K33" t="inlineStr">
        <is>
          <t xml:space="preserve">- - </t>
        </is>
      </c>
      <c r="N33" s="173" t="n">
        <v>36290</v>
      </c>
      <c r="O33" t="inlineStr">
        <is>
          <t>ETT Maquila</t>
        </is>
      </c>
    </row>
    <row r="34">
      <c r="A34" s="95" t="n">
        <v>46203</v>
      </c>
      <c r="B34" t="n">
        <v>6</v>
      </c>
      <c r="C34" t="inlineStr">
        <is>
          <t>Codiagro</t>
        </is>
      </c>
      <c r="D34" t="inlineStr">
        <is>
          <t>Producción Codiagro-SAS</t>
        </is>
      </c>
      <c r="F34" t="inlineStr">
        <is>
          <t>RESULTADO DEL EJERCICIO</t>
        </is>
      </c>
      <c r="G34" t="inlineStr">
        <is>
          <t>RESULTADO ANTES DE IMPUESTOS</t>
        </is>
      </c>
      <c r="H34" t="inlineStr">
        <is>
          <t>RESULTADO DE LA EXPLOTACION</t>
        </is>
      </c>
      <c r="I34" t="inlineStr">
        <is>
          <t>7.- Otros gastos de explotación</t>
        </is>
      </c>
      <c r="J34" t="inlineStr">
        <is>
          <t>(621) Arrendamientos y cánones</t>
        </is>
      </c>
      <c r="K34" t="inlineStr">
        <is>
          <t xml:space="preserve">- - </t>
        </is>
      </c>
      <c r="N34" s="173" t="n">
        <v>665</v>
      </c>
      <c r="O34" t="inlineStr">
        <is>
          <t>Alquiler carretilla</t>
        </is>
      </c>
    </row>
    <row r="35">
      <c r="A35" s="95" t="n">
        <v>46203</v>
      </c>
      <c r="B35" t="n">
        <v>6</v>
      </c>
      <c r="C35" t="inlineStr">
        <is>
          <t>Codiagro</t>
        </is>
      </c>
      <c r="D35" t="inlineStr">
        <is>
          <t>Producción Codiagro-SAS</t>
        </is>
      </c>
      <c r="F35" t="inlineStr">
        <is>
          <t>RESULTADO DEL EJERCICIO</t>
        </is>
      </c>
      <c r="G35" t="inlineStr">
        <is>
          <t>RESULTADO ANTES DE IMPUESTOS</t>
        </is>
      </c>
      <c r="H35" t="inlineStr">
        <is>
          <t>RESULTADO DE LA EXPLOTACION</t>
        </is>
      </c>
      <c r="I35" t="inlineStr">
        <is>
          <t>7.- Otros gastos de explotación</t>
        </is>
      </c>
      <c r="J35" t="inlineStr">
        <is>
          <t>(628) Suministros</t>
        </is>
      </c>
      <c r="K35" t="inlineStr">
        <is>
          <t xml:space="preserve">- - </t>
        </is>
      </c>
      <c r="N35" s="173" t="n">
        <v>1217.64</v>
      </c>
      <c r="O35" t="inlineStr">
        <is>
          <t>Luz</t>
        </is>
      </c>
    </row>
    <row r="36">
      <c r="A36" s="95" t="n">
        <v>46203</v>
      </c>
      <c r="B36" t="n">
        <v>6</v>
      </c>
      <c r="C36" t="inlineStr">
        <is>
          <t>Codiagro</t>
        </is>
      </c>
      <c r="D36" t="inlineStr">
        <is>
          <t>Producción Codiagro-SAS</t>
        </is>
      </c>
      <c r="F36" t="inlineStr">
        <is>
          <t>RESULTADO DEL EJERCICIO</t>
        </is>
      </c>
      <c r="G36" t="inlineStr">
        <is>
          <t>RESULTADO ANTES DE IMPUESTOS</t>
        </is>
      </c>
      <c r="H36" t="inlineStr">
        <is>
          <t>RESULTADO DE LA EXPLOTACION</t>
        </is>
      </c>
      <c r="I36" t="inlineStr">
        <is>
          <t>7.- Otros gastos de explotación</t>
        </is>
      </c>
      <c r="J36" t="inlineStr">
        <is>
          <t>(629) Otros servicios</t>
        </is>
      </c>
      <c r="K36" t="inlineStr">
        <is>
          <t xml:space="preserve">- - </t>
        </is>
      </c>
      <c r="N36" s="173" t="n">
        <v>340.2</v>
      </c>
      <c r="O36" t="inlineStr">
        <is>
          <t>Tratamiento residuos</t>
        </is>
      </c>
    </row>
    <row r="37">
      <c r="A37" s="95" t="n">
        <v>46203</v>
      </c>
      <c r="B37" t="n">
        <v>6</v>
      </c>
      <c r="C37" t="inlineStr">
        <is>
          <t>Codiagro</t>
        </is>
      </c>
      <c r="D37" t="inlineStr">
        <is>
          <t>INDIVIDUAL-Ext Item Codiagro-SAS</t>
        </is>
      </c>
      <c r="F37" t="inlineStr">
        <is>
          <t>RESULTADO DEL EJERCICIO</t>
        </is>
      </c>
      <c r="G37" t="inlineStr">
        <is>
          <t>RESULTADO ANTES DE IMPUESTOS</t>
        </is>
      </c>
      <c r="H37" t="inlineStr">
        <is>
          <t>RESULTADO DE LA EXPLOTACION</t>
        </is>
      </c>
      <c r="I37" t="inlineStr">
        <is>
          <t>1.- Importe neto de la cifra de negocios</t>
        </is>
      </c>
      <c r="J37" t="inlineStr">
        <is>
          <t>(702) Ventas de productos semiterminados</t>
        </is>
      </c>
      <c r="K37" t="inlineStr">
        <is>
          <t>702000000 - Ventas de productos semiterminados</t>
        </is>
      </c>
      <c r="N37" s="173" t="n">
        <v>-70011.64</v>
      </c>
      <c r="O37" t="inlineStr">
        <is>
          <t>Materias primas repercutidas</t>
        </is>
      </c>
    </row>
    <row r="38">
      <c r="A38" s="95" t="n">
        <v>46203</v>
      </c>
      <c r="B38" t="n">
        <v>6</v>
      </c>
      <c r="C38" t="inlineStr">
        <is>
          <t>Codiagro</t>
        </is>
      </c>
      <c r="D38" t="inlineStr">
        <is>
          <t>INDIVIDUAL-Ext Item Codiagro-SAS</t>
        </is>
      </c>
      <c r="F38" t="inlineStr">
        <is>
          <t>RESULTADO DEL EJERCICIO</t>
        </is>
      </c>
      <c r="G38" t="inlineStr">
        <is>
          <t>RESULTADO ANTES DE IMPUESTOS</t>
        </is>
      </c>
      <c r="H38" t="inlineStr">
        <is>
          <t>RESULTADO DE LA EXPLOTACION</t>
        </is>
      </c>
      <c r="I38" t="inlineStr">
        <is>
          <t>1.- Importe neto de la cifra de negocios</t>
        </is>
      </c>
      <c r="J38" t="inlineStr">
        <is>
          <t>(704) Venta de envases y embalajes</t>
        </is>
      </c>
      <c r="K38" t="inlineStr">
        <is>
          <t>704000000 - Ventas de envases y embalajes</t>
        </is>
      </c>
      <c r="N38" s="173" t="n">
        <v>-44823.06</v>
      </c>
      <c r="O38" t="inlineStr">
        <is>
          <t>Packing repercutido</t>
        </is>
      </c>
    </row>
    <row r="39">
      <c r="A39" s="95" t="n">
        <v>46203</v>
      </c>
      <c r="B39" t="n">
        <v>6</v>
      </c>
      <c r="C39" t="inlineStr">
        <is>
          <t>Codiagro</t>
        </is>
      </c>
      <c r="D39" t="inlineStr">
        <is>
          <t>INDIVIDUAL-Ext Item Codiagro-SAS</t>
        </is>
      </c>
      <c r="F39" t="inlineStr">
        <is>
          <t>RESULTADO DEL EJERCICIO</t>
        </is>
      </c>
      <c r="G39" t="inlineStr">
        <is>
          <t>RESULTADO ANTES DE IMPUESTOS</t>
        </is>
      </c>
      <c r="H39" t="inlineStr">
        <is>
          <t>RESULTADO DE LA EXPLOTACION</t>
        </is>
      </c>
      <c r="I39" t="inlineStr">
        <is>
          <t>1.- Importe neto de la cifra de negocios</t>
        </is>
      </c>
      <c r="J39" t="inlineStr">
        <is>
          <t>(705) Prestación de servicios</t>
        </is>
      </c>
      <c r="K39" t="inlineStr">
        <is>
          <t>705000000 - Prestaciones de servicios</t>
        </is>
      </c>
      <c r="N39" s="173" t="n">
        <v>-70833.60000000001</v>
      </c>
      <c r="O39" t="inlineStr">
        <is>
          <t>Maquila</t>
        </is>
      </c>
    </row>
    <row r="40">
      <c r="A40" s="95" t="n">
        <v>46203</v>
      </c>
      <c r="B40" t="n">
        <v>6</v>
      </c>
      <c r="C40" t="inlineStr">
        <is>
          <t>Codiagro</t>
        </is>
      </c>
      <c r="D40" t="inlineStr">
        <is>
          <t>INDIVIDUAL-Ext Item Codiagro-SAS</t>
        </is>
      </c>
      <c r="F40" t="inlineStr">
        <is>
          <t>RESULTADO DEL EJERCICIO</t>
        </is>
      </c>
      <c r="G40" t="inlineStr">
        <is>
          <t>RESULTADO ANTES DE IMPUESTOS</t>
        </is>
      </c>
      <c r="H40" t="inlineStr">
        <is>
          <t>RESULTADO DE LA EXPLOTACION</t>
        </is>
      </c>
      <c r="I40" t="inlineStr">
        <is>
          <t>4.- Aprovisionamientos</t>
        </is>
      </c>
      <c r="J40" t="inlineStr">
        <is>
          <t>(601) Compras de materias primas</t>
        </is>
      </c>
      <c r="K40" t="inlineStr">
        <is>
          <t>601000000 - Compras de materias primas</t>
        </is>
      </c>
      <c r="N40" s="173" t="n">
        <v>70011.64</v>
      </c>
      <c r="O40" t="inlineStr">
        <is>
          <t>Materias primas repercutidas</t>
        </is>
      </c>
    </row>
    <row r="41">
      <c r="A41" s="95" t="n">
        <v>46203</v>
      </c>
      <c r="B41" t="n">
        <v>6</v>
      </c>
      <c r="C41" t="inlineStr">
        <is>
          <t>Codiagro</t>
        </is>
      </c>
      <c r="D41" t="inlineStr">
        <is>
          <t>INDIVIDUAL-Ext Item Codiagro-SAS</t>
        </is>
      </c>
      <c r="F41" t="inlineStr">
        <is>
          <t>RESULTADO DEL EJERCICIO</t>
        </is>
      </c>
      <c r="G41" t="inlineStr">
        <is>
          <t>RESULTADO ANTES DE IMPUESTOS</t>
        </is>
      </c>
      <c r="H41" t="inlineStr">
        <is>
          <t>RESULTADO DE LA EXPLOTACION</t>
        </is>
      </c>
      <c r="I41" t="inlineStr">
        <is>
          <t>4.- Aprovisionamientos</t>
        </is>
      </c>
      <c r="J41" t="inlineStr">
        <is>
          <t>(602) Compras de otros aprovisionamientos</t>
        </is>
      </c>
      <c r="K41" t="inlineStr">
        <is>
          <t>602000001 - COMPRA DE ENVASES Y EMBALAJES</t>
        </is>
      </c>
      <c r="N41" s="173" t="n">
        <v>44823.06</v>
      </c>
      <c r="O41" t="inlineStr">
        <is>
          <t>Packing repercutido</t>
        </is>
      </c>
    </row>
    <row r="42">
      <c r="A42" s="95" t="n">
        <v>46234</v>
      </c>
      <c r="B42" t="n">
        <v>7</v>
      </c>
      <c r="C42" t="inlineStr">
        <is>
          <t>Codiagro</t>
        </is>
      </c>
      <c r="D42" t="inlineStr">
        <is>
          <t>Producción Codiagro-SAS</t>
        </is>
      </c>
      <c r="F42" t="inlineStr">
        <is>
          <t>RESULTADO DEL EJERCICIO</t>
        </is>
      </c>
      <c r="G42" t="inlineStr">
        <is>
          <t>RESULTADO ANTES DE IMPUESTOS</t>
        </is>
      </c>
      <c r="H42" t="inlineStr">
        <is>
          <t>RESULTADO DE LA EXPLOTACION</t>
        </is>
      </c>
      <c r="I42" t="inlineStr">
        <is>
          <t>4.- Aprovisionamientos</t>
        </is>
      </c>
      <c r="J42" t="inlineStr">
        <is>
          <t>(607) Trabajos realizados por otras empresas</t>
        </is>
      </c>
      <c r="K42" t="inlineStr">
        <is>
          <t xml:space="preserve">- - </t>
        </is>
      </c>
      <c r="N42" s="173" t="n">
        <v>34757.97</v>
      </c>
      <c r="O42" t="inlineStr">
        <is>
          <t>ETT Maquila</t>
        </is>
      </c>
    </row>
    <row r="43">
      <c r="A43" s="95" t="n">
        <v>46234</v>
      </c>
      <c r="B43" t="n">
        <v>7</v>
      </c>
      <c r="C43" t="inlineStr">
        <is>
          <t>Codiagro</t>
        </is>
      </c>
      <c r="D43" t="inlineStr">
        <is>
          <t>Producción Codiagro-SAS</t>
        </is>
      </c>
      <c r="F43" t="inlineStr">
        <is>
          <t>RESULTADO DEL EJERCICIO</t>
        </is>
      </c>
      <c r="G43" t="inlineStr">
        <is>
          <t>RESULTADO ANTES DE IMPUESTOS</t>
        </is>
      </c>
      <c r="H43" t="inlineStr">
        <is>
          <t>RESULTADO DE LA EXPLOTACION</t>
        </is>
      </c>
      <c r="I43" t="inlineStr">
        <is>
          <t>7.- Otros gastos de explotación</t>
        </is>
      </c>
      <c r="J43" t="inlineStr">
        <is>
          <t>(621) Arrendamientos y cánones</t>
        </is>
      </c>
      <c r="K43" t="inlineStr">
        <is>
          <t xml:space="preserve">- - </t>
        </is>
      </c>
      <c r="N43" s="173" t="n">
        <v>665</v>
      </c>
      <c r="O43" t="inlineStr">
        <is>
          <t>Alquiler carretilla</t>
        </is>
      </c>
    </row>
    <row r="44">
      <c r="A44" s="95" t="n">
        <v>46234</v>
      </c>
      <c r="B44" t="n">
        <v>7</v>
      </c>
      <c r="C44" t="inlineStr">
        <is>
          <t>Codiagro</t>
        </is>
      </c>
      <c r="D44" t="inlineStr">
        <is>
          <t>Producción Codiagro-SAS</t>
        </is>
      </c>
      <c r="F44" t="inlineStr">
        <is>
          <t>RESULTADO DEL EJERCICIO</t>
        </is>
      </c>
      <c r="G44" t="inlineStr">
        <is>
          <t>RESULTADO ANTES DE IMPUESTOS</t>
        </is>
      </c>
      <c r="H44" t="inlineStr">
        <is>
          <t>RESULTADO DE LA EXPLOTACION</t>
        </is>
      </c>
      <c r="I44" t="inlineStr">
        <is>
          <t>7.- Otros gastos de explotación</t>
        </is>
      </c>
      <c r="J44" t="inlineStr">
        <is>
          <t>(628) Suministros</t>
        </is>
      </c>
      <c r="K44" t="inlineStr">
        <is>
          <t xml:space="preserve">- - </t>
        </is>
      </c>
      <c r="N44" s="173" t="n">
        <v>599.6645645228923</v>
      </c>
      <c r="O44" t="inlineStr">
        <is>
          <t>Luz</t>
        </is>
      </c>
    </row>
    <row r="45">
      <c r="A45" s="95" t="n">
        <v>46234</v>
      </c>
      <c r="B45" t="n">
        <v>7</v>
      </c>
      <c r="C45" t="inlineStr">
        <is>
          <t>Codiagro</t>
        </is>
      </c>
      <c r="D45" t="inlineStr">
        <is>
          <t>Producción Codiagro-SAS</t>
        </is>
      </c>
      <c r="F45" t="inlineStr">
        <is>
          <t>RESULTADO DEL EJERCICIO</t>
        </is>
      </c>
      <c r="G45" t="inlineStr">
        <is>
          <t>RESULTADO ANTES DE IMPUESTOS</t>
        </is>
      </c>
      <c r="H45" t="inlineStr">
        <is>
          <t>RESULTADO DE LA EXPLOTACION</t>
        </is>
      </c>
      <c r="I45" t="inlineStr">
        <is>
          <t>7.- Otros gastos de explotación</t>
        </is>
      </c>
      <c r="J45" t="inlineStr">
        <is>
          <t>(629) Otros servicios</t>
        </is>
      </c>
      <c r="K45" t="inlineStr">
        <is>
          <t xml:space="preserve">- - </t>
        </is>
      </c>
      <c r="N45" s="173" t="n">
        <v>167.5412164799003</v>
      </c>
      <c r="O45" t="inlineStr">
        <is>
          <t>Tratamiento residuos</t>
        </is>
      </c>
    </row>
    <row r="46">
      <c r="A46" s="95" t="n">
        <v>46234</v>
      </c>
      <c r="B46" t="n">
        <v>7</v>
      </c>
      <c r="C46" t="inlineStr">
        <is>
          <t>Codiagro</t>
        </is>
      </c>
      <c r="D46" t="inlineStr">
        <is>
          <t>INDIVIDUAL-Ext Item Codiagro-SAS</t>
        </is>
      </c>
      <c r="F46" t="inlineStr">
        <is>
          <t>RESULTADO DEL EJERCICIO</t>
        </is>
      </c>
      <c r="G46" t="inlineStr">
        <is>
          <t>RESULTADO ANTES DE IMPUESTOS</t>
        </is>
      </c>
      <c r="H46" t="inlineStr">
        <is>
          <t>RESULTADO DE LA EXPLOTACION</t>
        </is>
      </c>
      <c r="I46" t="inlineStr">
        <is>
          <t>1.- Importe neto de la cifra de negocios</t>
        </is>
      </c>
      <c r="J46" t="inlineStr">
        <is>
          <t>(702) Ventas de productos semiterminados</t>
        </is>
      </c>
      <c r="K46" t="inlineStr">
        <is>
          <t>702000000 - Ventas de productos semiterminados</t>
        </is>
      </c>
      <c r="N46" s="173" t="n">
        <v>-17402.29</v>
      </c>
      <c r="O46" t="inlineStr">
        <is>
          <t>Materias primas repercutidas</t>
        </is>
      </c>
    </row>
    <row r="47">
      <c r="A47" s="95" t="n">
        <v>46234</v>
      </c>
      <c r="B47" t="n">
        <v>7</v>
      </c>
      <c r="C47" t="inlineStr">
        <is>
          <t>Codiagro</t>
        </is>
      </c>
      <c r="D47" t="inlineStr">
        <is>
          <t>INDIVIDUAL-Ext Item Codiagro-SAS</t>
        </is>
      </c>
      <c r="F47" t="inlineStr">
        <is>
          <t>RESULTADO DEL EJERCICIO</t>
        </is>
      </c>
      <c r="G47" t="inlineStr">
        <is>
          <t>RESULTADO ANTES DE IMPUESTOS</t>
        </is>
      </c>
      <c r="H47" t="inlineStr">
        <is>
          <t>RESULTADO DE LA EXPLOTACION</t>
        </is>
      </c>
      <c r="I47" t="inlineStr">
        <is>
          <t>1.- Importe neto de la cifra de negocios</t>
        </is>
      </c>
      <c r="J47" t="inlineStr">
        <is>
          <t>(704) Venta de envases y embalajes</t>
        </is>
      </c>
      <c r="K47" t="inlineStr">
        <is>
          <t>704000000 - Ventas de envases y embalajes</t>
        </is>
      </c>
      <c r="N47" s="173" t="n">
        <v>-26969.69</v>
      </c>
      <c r="O47" t="inlineStr">
        <is>
          <t>Packing repercutido</t>
        </is>
      </c>
    </row>
    <row r="48">
      <c r="A48" s="95" t="n">
        <v>46234</v>
      </c>
      <c r="B48" t="n">
        <v>7</v>
      </c>
      <c r="C48" t="inlineStr">
        <is>
          <t>Codiagro</t>
        </is>
      </c>
      <c r="D48" t="inlineStr">
        <is>
          <t>INDIVIDUAL-Ext Item Codiagro-SAS</t>
        </is>
      </c>
      <c r="F48" t="inlineStr">
        <is>
          <t>RESULTADO DEL EJERCICIO</t>
        </is>
      </c>
      <c r="G48" t="inlineStr">
        <is>
          <t>RESULTADO ANTES DE IMPUESTOS</t>
        </is>
      </c>
      <c r="H48" t="inlineStr">
        <is>
          <t>RESULTADO DE LA EXPLOTACION</t>
        </is>
      </c>
      <c r="I48" t="inlineStr">
        <is>
          <t>1.- Importe neto de la cifra de negocios</t>
        </is>
      </c>
      <c r="J48" t="inlineStr">
        <is>
          <t>(705) Prestación de servicios</t>
        </is>
      </c>
      <c r="K48" t="inlineStr">
        <is>
          <t>705000000 - Prestaciones de servicios</t>
        </is>
      </c>
      <c r="N48" s="173" t="n">
        <v>-41581</v>
      </c>
      <c r="O48" t="inlineStr">
        <is>
          <t>Maquila</t>
        </is>
      </c>
    </row>
    <row r="49">
      <c r="A49" s="95" t="n">
        <v>46234</v>
      </c>
      <c r="B49" t="n">
        <v>7</v>
      </c>
      <c r="C49" t="inlineStr">
        <is>
          <t>Codiagro</t>
        </is>
      </c>
      <c r="D49" t="inlineStr">
        <is>
          <t>INDIVIDUAL-Ext Item Codiagro-SAS</t>
        </is>
      </c>
      <c r="F49" t="inlineStr">
        <is>
          <t>RESULTADO DEL EJERCICIO</t>
        </is>
      </c>
      <c r="G49" t="inlineStr">
        <is>
          <t>RESULTADO ANTES DE IMPUESTOS</t>
        </is>
      </c>
      <c r="H49" t="inlineStr">
        <is>
          <t>RESULTADO DE LA EXPLOTACION</t>
        </is>
      </c>
      <c r="I49" t="inlineStr">
        <is>
          <t>4.- Aprovisionamientos</t>
        </is>
      </c>
      <c r="J49" t="inlineStr">
        <is>
          <t>(601) Compras de materias primas</t>
        </is>
      </c>
      <c r="K49" t="inlineStr">
        <is>
          <t>601000000 - Compras de materias primas</t>
        </is>
      </c>
      <c r="N49" s="173" t="n">
        <v>17402.29</v>
      </c>
      <c r="O49" t="inlineStr">
        <is>
          <t>Materias primas repercutidas</t>
        </is>
      </c>
    </row>
    <row r="50">
      <c r="A50" s="95" t="n">
        <v>46234</v>
      </c>
      <c r="B50" t="n">
        <v>7</v>
      </c>
      <c r="C50" t="inlineStr">
        <is>
          <t>Codiagro</t>
        </is>
      </c>
      <c r="D50" t="inlineStr">
        <is>
          <t>INDIVIDUAL-Ext Item Codiagro-SAS</t>
        </is>
      </c>
      <c r="F50" t="inlineStr">
        <is>
          <t>RESULTADO DEL EJERCICIO</t>
        </is>
      </c>
      <c r="G50" t="inlineStr">
        <is>
          <t>RESULTADO ANTES DE IMPUESTOS</t>
        </is>
      </c>
      <c r="H50" t="inlineStr">
        <is>
          <t>RESULTADO DE LA EXPLOTACION</t>
        </is>
      </c>
      <c r="I50" t="inlineStr">
        <is>
          <t>4.- Aprovisionamientos</t>
        </is>
      </c>
      <c r="J50" t="inlineStr">
        <is>
          <t>(602) Compras de otros aprovisionamientos</t>
        </is>
      </c>
      <c r="K50" t="inlineStr">
        <is>
          <t>602000001 - COMPRA DE ENVASES Y EMBALAJES</t>
        </is>
      </c>
      <c r="N50" s="173" t="n">
        <v>26969.69</v>
      </c>
      <c r="O50" t="inlineStr">
        <is>
          <t>Packing repercutido</t>
        </is>
      </c>
    </row>
    <row r="51">
      <c r="A51" s="95" t="n">
        <v>46265</v>
      </c>
      <c r="B51" t="n">
        <v>8</v>
      </c>
      <c r="C51" t="inlineStr">
        <is>
          <t>Codiagro</t>
        </is>
      </c>
      <c r="D51" t="inlineStr">
        <is>
          <t>Producción Codiagro-SAS</t>
        </is>
      </c>
      <c r="F51" t="inlineStr">
        <is>
          <t>RESULTADO DEL EJERCICIO</t>
        </is>
      </c>
      <c r="G51" t="inlineStr">
        <is>
          <t>RESULTADO ANTES DE IMPUESTOS</t>
        </is>
      </c>
      <c r="H51" t="inlineStr">
        <is>
          <t>RESULTADO DE LA EXPLOTACION</t>
        </is>
      </c>
      <c r="I51" t="inlineStr">
        <is>
          <t>4.- Aprovisionamientos</t>
        </is>
      </c>
      <c r="J51" t="inlineStr">
        <is>
          <t>(607) Trabajos realizados por otras empresas</t>
        </is>
      </c>
      <c r="K51" t="inlineStr">
        <is>
          <t xml:space="preserve">- - </t>
        </is>
      </c>
      <c r="N51" s="173" t="n">
        <v>19725.19</v>
      </c>
      <c r="O51" t="inlineStr">
        <is>
          <t>ETT Maquila</t>
        </is>
      </c>
    </row>
    <row r="52">
      <c r="A52" s="95" t="n">
        <v>46265</v>
      </c>
      <c r="B52" t="n">
        <v>8</v>
      </c>
      <c r="C52" t="inlineStr">
        <is>
          <t>Codiagro</t>
        </is>
      </c>
      <c r="D52" t="inlineStr">
        <is>
          <t>Producción Codiagro-SAS</t>
        </is>
      </c>
      <c r="F52" t="inlineStr">
        <is>
          <t>RESULTADO DEL EJERCICIO</t>
        </is>
      </c>
      <c r="G52" t="inlineStr">
        <is>
          <t>RESULTADO ANTES DE IMPUESTOS</t>
        </is>
      </c>
      <c r="H52" t="inlineStr">
        <is>
          <t>RESULTADO DE LA EXPLOTACION</t>
        </is>
      </c>
      <c r="I52" t="inlineStr">
        <is>
          <t>7.- Otros gastos de explotación</t>
        </is>
      </c>
      <c r="J52" t="inlineStr">
        <is>
          <t>(621) Arrendamientos y cánones</t>
        </is>
      </c>
      <c r="K52" t="inlineStr">
        <is>
          <t xml:space="preserve">- - </t>
        </is>
      </c>
      <c r="N52" s="173" t="n">
        <v>665</v>
      </c>
      <c r="O52" t="inlineStr">
        <is>
          <t>Alquiler carretilla</t>
        </is>
      </c>
    </row>
    <row r="53">
      <c r="A53" s="95" t="n">
        <v>46265</v>
      </c>
      <c r="B53" t="n">
        <v>8</v>
      </c>
      <c r="C53" t="inlineStr">
        <is>
          <t>Codiagro</t>
        </is>
      </c>
      <c r="D53" t="inlineStr">
        <is>
          <t>Producción Codiagro-SAS</t>
        </is>
      </c>
      <c r="F53" t="inlineStr">
        <is>
          <t>RESULTADO DEL EJERCICIO</t>
        </is>
      </c>
      <c r="G53" t="inlineStr">
        <is>
          <t>RESULTADO ANTES DE IMPUESTOS</t>
        </is>
      </c>
      <c r="H53" t="inlineStr">
        <is>
          <t>RESULTADO DE LA EXPLOTACION</t>
        </is>
      </c>
      <c r="I53" t="inlineStr">
        <is>
          <t>7.- Otros gastos de explotación</t>
        </is>
      </c>
      <c r="J53" t="inlineStr">
        <is>
          <t>(628) Suministros</t>
        </is>
      </c>
      <c r="K53" t="inlineStr">
        <is>
          <t xml:space="preserve">- - </t>
        </is>
      </c>
      <c r="N53" s="173" t="n">
        <v>2675.356856892766</v>
      </c>
      <c r="O53" t="inlineStr">
        <is>
          <t>Luz</t>
        </is>
      </c>
    </row>
    <row r="54">
      <c r="A54" s="95" t="n">
        <v>46265</v>
      </c>
      <c r="B54" t="n">
        <v>8</v>
      </c>
      <c r="C54" t="inlineStr">
        <is>
          <t>Codiagro</t>
        </is>
      </c>
      <c r="D54" t="inlineStr">
        <is>
          <t>Producción Codiagro-SAS</t>
        </is>
      </c>
      <c r="F54" t="inlineStr">
        <is>
          <t>RESULTADO DEL EJERCICIO</t>
        </is>
      </c>
      <c r="G54" t="inlineStr">
        <is>
          <t>RESULTADO ANTES DE IMPUESTOS</t>
        </is>
      </c>
      <c r="H54" t="inlineStr">
        <is>
          <t>RESULTADO DE LA EXPLOTACION</t>
        </is>
      </c>
      <c r="I54" t="inlineStr">
        <is>
          <t>7.- Otros gastos de explotación</t>
        </is>
      </c>
      <c r="J54" t="inlineStr">
        <is>
          <t>(629) Otros servicios</t>
        </is>
      </c>
      <c r="K54" t="inlineStr">
        <is>
          <t xml:space="preserve">- - </t>
        </is>
      </c>
      <c r="N54" s="173" t="n">
        <v>747.4721118110461</v>
      </c>
      <c r="O54" t="inlineStr">
        <is>
          <t>Tratamiento residuos</t>
        </is>
      </c>
    </row>
    <row r="55">
      <c r="A55" s="95" t="n">
        <v>46265</v>
      </c>
      <c r="B55" t="n">
        <v>8</v>
      </c>
      <c r="C55" t="inlineStr">
        <is>
          <t>Codiagro</t>
        </is>
      </c>
      <c r="D55" t="inlineStr">
        <is>
          <t>INDIVIDUAL-Ext Item Codiagro-SAS</t>
        </is>
      </c>
      <c r="F55" t="inlineStr">
        <is>
          <t>RESULTADO DEL EJERCICIO</t>
        </is>
      </c>
      <c r="G55" t="inlineStr">
        <is>
          <t>RESULTADO ANTES DE IMPUESTOS</t>
        </is>
      </c>
      <c r="H55" t="inlineStr">
        <is>
          <t>RESULTADO DE LA EXPLOTACION</t>
        </is>
      </c>
      <c r="I55" t="inlineStr">
        <is>
          <t>1.- Importe neto de la cifra de negocios</t>
        </is>
      </c>
      <c r="J55" t="inlineStr">
        <is>
          <t>(702) Ventas de productos semiterminados</t>
        </is>
      </c>
      <c r="K55" t="inlineStr">
        <is>
          <t>702000000 - Ventas de productos semiterminados</t>
        </is>
      </c>
      <c r="N55" s="173" t="n">
        <v>-141074.4</v>
      </c>
      <c r="O55" t="inlineStr">
        <is>
          <t>Materias primas repercutidas</t>
        </is>
      </c>
    </row>
    <row r="56">
      <c r="A56" s="95" t="n">
        <v>46265</v>
      </c>
      <c r="B56" t="n">
        <v>8</v>
      </c>
      <c r="C56" t="inlineStr">
        <is>
          <t>Codiagro</t>
        </is>
      </c>
      <c r="D56" t="inlineStr">
        <is>
          <t>INDIVIDUAL-Ext Item Codiagro-SAS</t>
        </is>
      </c>
      <c r="F56" t="inlineStr">
        <is>
          <t>RESULTADO DEL EJERCICIO</t>
        </is>
      </c>
      <c r="G56" t="inlineStr">
        <is>
          <t>RESULTADO ANTES DE IMPUESTOS</t>
        </is>
      </c>
      <c r="H56" t="inlineStr">
        <is>
          <t>RESULTADO DE LA EXPLOTACION</t>
        </is>
      </c>
      <c r="I56" t="inlineStr">
        <is>
          <t>1.- Importe neto de la cifra de negocios</t>
        </is>
      </c>
      <c r="J56" t="inlineStr">
        <is>
          <t>(704) Venta de envases y embalajes</t>
        </is>
      </c>
      <c r="K56" t="inlineStr">
        <is>
          <t>704000000 - Ventas de envases y embalajes</t>
        </is>
      </c>
      <c r="N56" s="173" t="n">
        <v>-59572.72</v>
      </c>
      <c r="O56" t="inlineStr">
        <is>
          <t>Packing repercutido</t>
        </is>
      </c>
    </row>
    <row r="57">
      <c r="A57" s="95" t="n">
        <v>46265</v>
      </c>
      <c r="B57" t="n">
        <v>8</v>
      </c>
      <c r="C57" t="inlineStr">
        <is>
          <t>Codiagro</t>
        </is>
      </c>
      <c r="D57" t="inlineStr">
        <is>
          <t>INDIVIDUAL-Ext Item Codiagro-SAS</t>
        </is>
      </c>
      <c r="F57" t="inlineStr">
        <is>
          <t>RESULTADO DEL EJERCICIO</t>
        </is>
      </c>
      <c r="G57" t="inlineStr">
        <is>
          <t>RESULTADO ANTES DE IMPUESTOS</t>
        </is>
      </c>
      <c r="H57" t="inlineStr">
        <is>
          <t>RESULTADO DE LA EXPLOTACION</t>
        </is>
      </c>
      <c r="I57" t="inlineStr">
        <is>
          <t>1.- Importe neto de la cifra de negocios</t>
        </is>
      </c>
      <c r="J57" t="inlineStr">
        <is>
          <t>(705) Prestación de servicios</t>
        </is>
      </c>
      <c r="K57" t="inlineStr">
        <is>
          <t>705000000 - Prestaciones de servicios</t>
        </is>
      </c>
      <c r="N57" s="173" t="n">
        <v>-101520</v>
      </c>
      <c r="O57" t="inlineStr">
        <is>
          <t>Maquila</t>
        </is>
      </c>
    </row>
    <row r="58">
      <c r="A58" s="95" t="n">
        <v>46265</v>
      </c>
      <c r="B58" t="n">
        <v>8</v>
      </c>
      <c r="C58" t="inlineStr">
        <is>
          <t>Codiagro</t>
        </is>
      </c>
      <c r="D58" t="inlineStr">
        <is>
          <t>INDIVIDUAL-Ext Item Codiagro-SAS</t>
        </is>
      </c>
      <c r="F58" t="inlineStr">
        <is>
          <t>RESULTADO DEL EJERCICIO</t>
        </is>
      </c>
      <c r="G58" t="inlineStr">
        <is>
          <t>RESULTADO ANTES DE IMPUESTOS</t>
        </is>
      </c>
      <c r="H58" t="inlineStr">
        <is>
          <t>RESULTADO DE LA EXPLOTACION</t>
        </is>
      </c>
      <c r="I58" t="inlineStr">
        <is>
          <t>4.- Aprovisionamientos</t>
        </is>
      </c>
      <c r="J58" t="inlineStr">
        <is>
          <t>(601) Compras de materias primas</t>
        </is>
      </c>
      <c r="K58" t="inlineStr">
        <is>
          <t>601000000 - Compras de materias primas</t>
        </is>
      </c>
      <c r="N58" s="173" t="n">
        <v>141074.4</v>
      </c>
      <c r="O58" t="inlineStr">
        <is>
          <t>Materias primas repercutidas</t>
        </is>
      </c>
    </row>
    <row r="59">
      <c r="A59" s="95" t="n">
        <v>46265</v>
      </c>
      <c r="B59" t="n">
        <v>8</v>
      </c>
      <c r="C59" t="inlineStr">
        <is>
          <t>Codiagro</t>
        </is>
      </c>
      <c r="D59" t="inlineStr">
        <is>
          <t>INDIVIDUAL-Ext Item Codiagro-SAS</t>
        </is>
      </c>
      <c r="F59" t="inlineStr">
        <is>
          <t>RESULTADO DEL EJERCICIO</t>
        </is>
      </c>
      <c r="G59" t="inlineStr">
        <is>
          <t>RESULTADO ANTES DE IMPUESTOS</t>
        </is>
      </c>
      <c r="H59" t="inlineStr">
        <is>
          <t>RESULTADO DE LA EXPLOTACION</t>
        </is>
      </c>
      <c r="I59" t="inlineStr">
        <is>
          <t>4.- Aprovisionamientos</t>
        </is>
      </c>
      <c r="J59" t="inlineStr">
        <is>
          <t>(602) Compras de otros aprovisionamientos</t>
        </is>
      </c>
      <c r="K59" t="inlineStr">
        <is>
          <t>602000001 - COMPRA DE ENVASES Y EMBALAJES</t>
        </is>
      </c>
      <c r="N59" s="173" t="n">
        <v>59572.72</v>
      </c>
      <c r="O59" t="inlineStr">
        <is>
          <t>Packing repercutido</t>
        </is>
      </c>
    </row>
  </sheetData>
  <autoFilter ref="A2:O59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D71" sqref="D71"/>
    </sheetView>
  </sheetViews>
  <sheetFormatPr baseColWidth="10" defaultRowHeight="14.5"/>
  <cols>
    <col width="29.1796875" bestFit="1" customWidth="1" min="8" max="8"/>
  </cols>
  <sheetData>
    <row r="1">
      <c r="L1">
        <f>SUBTOTAL(9,L3:L52)</f>
        <v/>
      </c>
    </row>
    <row r="2">
      <c r="A2" s="96" t="inlineStr">
        <is>
          <t>Ext Item/Cap</t>
        </is>
      </c>
      <c r="B2" s="96" t="inlineStr">
        <is>
          <t>Empresa</t>
        </is>
      </c>
      <c r="C2" s="96" t="inlineStr">
        <is>
          <t>Normalización</t>
        </is>
      </c>
      <c r="D2" s="96" t="inlineStr">
        <is>
          <t>Nivel 1</t>
        </is>
      </c>
      <c r="E2" s="96" t="inlineStr">
        <is>
          <t>Nivel 2</t>
        </is>
      </c>
      <c r="F2" s="96" t="inlineStr">
        <is>
          <t>Nivel 3</t>
        </is>
      </c>
      <c r="G2" s="96" t="inlineStr">
        <is>
          <t>Nivel 4</t>
        </is>
      </c>
      <c r="H2" s="96" t="inlineStr">
        <is>
          <t>Nivel 5</t>
        </is>
      </c>
      <c r="I2" s="96" t="inlineStr">
        <is>
          <t>Cuenta</t>
        </is>
      </c>
      <c r="J2" s="96" t="inlineStr">
        <is>
          <t>Mes</t>
        </is>
      </c>
      <c r="K2" s="97" t="inlineStr">
        <is>
          <t>Importe EUR</t>
        </is>
      </c>
      <c r="L2" s="97" t="inlineStr">
        <is>
          <t>Importe EUR ('000)</t>
        </is>
      </c>
      <c r="M2" s="97" t="inlineStr">
        <is>
          <t>Comentarios</t>
        </is>
      </c>
      <c r="N2" s="97" t="inlineStr">
        <is>
          <t>Grupo EI</t>
        </is>
      </c>
    </row>
    <row r="3">
      <c r="B3" s="98" t="inlineStr">
        <is>
          <t>Codiagro</t>
        </is>
      </c>
      <c r="C3" s="98" t="inlineStr">
        <is>
          <t>Gastos de personal</t>
        </is>
      </c>
      <c r="D3" s="98" t="inlineStr">
        <is>
          <t>RESULTADO DEL EJERCICIO</t>
        </is>
      </c>
      <c r="E3" s="18" t="inlineStr">
        <is>
          <t>RESULTADO ANTES DE IMPUESTOS</t>
        </is>
      </c>
      <c r="F3" s="18" t="inlineStr">
        <is>
          <t>RESULTADO DE LA EXPLOTACION</t>
        </is>
      </c>
      <c r="G3" s="18" t="inlineStr">
        <is>
          <t>6.- Gastos de personal</t>
        </is>
      </c>
      <c r="H3" s="18" t="inlineStr">
        <is>
          <t>(640) Sueldos y salarios</t>
        </is>
      </c>
      <c r="I3" s="18" t="n"/>
      <c r="J3" s="98" t="n">
        <v>1</v>
      </c>
      <c r="K3" s="99" t="n">
        <v>9918.52</v>
      </c>
      <c r="L3" s="99">
        <f>+K3/1000</f>
        <v/>
      </c>
      <c r="M3" s="178" t="inlineStr">
        <is>
          <t>NIEVES RUIZ CESPEDES</t>
        </is>
      </c>
      <c r="N3" t="inlineStr">
        <is>
          <t>Personal</t>
        </is>
      </c>
    </row>
    <row r="4">
      <c r="B4" s="98" t="inlineStr">
        <is>
          <t>Codiagro</t>
        </is>
      </c>
      <c r="C4" s="98" t="inlineStr">
        <is>
          <t>Gastos de personal</t>
        </is>
      </c>
      <c r="D4" s="98" t="inlineStr">
        <is>
          <t>RESULTADO DEL EJERCICIO</t>
        </is>
      </c>
      <c r="E4" s="18" t="inlineStr">
        <is>
          <t>RESULTADO ANTES DE IMPUESTOS</t>
        </is>
      </c>
      <c r="F4" s="18" t="inlineStr">
        <is>
          <t>RESULTADO DE LA EXPLOTACION</t>
        </is>
      </c>
      <c r="G4" s="18" t="inlineStr">
        <is>
          <t>6.- Gastos de personal</t>
        </is>
      </c>
      <c r="H4" s="18" t="inlineStr">
        <is>
          <t>(642) Seguridad social a cargo empresa</t>
        </is>
      </c>
      <c r="I4" s="18" t="n"/>
      <c r="J4" s="98" t="n">
        <v>1</v>
      </c>
      <c r="K4" s="99" t="n">
        <v>6612.34</v>
      </c>
      <c r="L4" s="99">
        <f>+K4/1000</f>
        <v/>
      </c>
      <c r="M4" s="178" t="inlineStr">
        <is>
          <t>NIEVES RUIZ CESPEDES</t>
        </is>
      </c>
      <c r="N4" t="inlineStr">
        <is>
          <t>Personal</t>
        </is>
      </c>
    </row>
    <row r="5">
      <c r="B5" s="98" t="inlineStr">
        <is>
          <t>Codiagro</t>
        </is>
      </c>
      <c r="C5" s="98" t="inlineStr">
        <is>
          <t>Gastos de personal</t>
        </is>
      </c>
      <c r="D5" s="98" t="inlineStr">
        <is>
          <t>RESULTADO DEL EJERCICIO</t>
        </is>
      </c>
      <c r="E5" s="18" t="inlineStr">
        <is>
          <t>RESULTADO ANTES DE IMPUESTOS</t>
        </is>
      </c>
      <c r="F5" s="18" t="inlineStr">
        <is>
          <t>RESULTADO DE LA EXPLOTACION</t>
        </is>
      </c>
      <c r="G5" s="18" t="inlineStr">
        <is>
          <t>6.- Gastos de personal</t>
        </is>
      </c>
      <c r="H5" s="18" t="inlineStr">
        <is>
          <t>(640) Sueldos y salarios</t>
        </is>
      </c>
      <c r="I5" s="18" t="n"/>
      <c r="J5" s="98" t="n">
        <v>2</v>
      </c>
      <c r="K5" s="99" t="n">
        <v>1295.91</v>
      </c>
      <c r="L5" s="99">
        <f>+K5/1000</f>
        <v/>
      </c>
      <c r="M5" s="178" t="inlineStr">
        <is>
          <t>NIEVES RUIZ CESPEDES</t>
        </is>
      </c>
      <c r="N5" t="inlineStr">
        <is>
          <t>Personal</t>
        </is>
      </c>
    </row>
    <row r="6">
      <c r="B6" s="98" t="inlineStr">
        <is>
          <t>Codiagro</t>
        </is>
      </c>
      <c r="C6" s="98" t="inlineStr">
        <is>
          <t>Gastos de personal</t>
        </is>
      </c>
      <c r="D6" s="98" t="inlineStr">
        <is>
          <t>RESULTADO DEL EJERCICIO</t>
        </is>
      </c>
      <c r="E6" s="18" t="inlineStr">
        <is>
          <t>RESULTADO ANTES DE IMPUESTOS</t>
        </is>
      </c>
      <c r="F6" s="18" t="inlineStr">
        <is>
          <t>RESULTADO DE LA EXPLOTACION</t>
        </is>
      </c>
      <c r="G6" s="18" t="inlineStr">
        <is>
          <t>6.- Gastos de personal</t>
        </is>
      </c>
      <c r="H6" s="18" t="inlineStr">
        <is>
          <t>(642) Seguridad social a cargo empresa</t>
        </is>
      </c>
      <c r="I6" s="18" t="n"/>
      <c r="J6" s="98" t="n">
        <v>2</v>
      </c>
      <c r="K6" s="99" t="n">
        <v>863.9400000000001</v>
      </c>
      <c r="L6" s="99">
        <f>+K6/1000</f>
        <v/>
      </c>
      <c r="M6" s="178" t="inlineStr">
        <is>
          <t>NIEVES RUIZ CESPEDES</t>
        </is>
      </c>
      <c r="N6" t="inlineStr">
        <is>
          <t>Personal</t>
        </is>
      </c>
    </row>
    <row r="7">
      <c r="B7" s="98" t="inlineStr">
        <is>
          <t>Codiagro</t>
        </is>
      </c>
      <c r="C7" s="98" t="inlineStr">
        <is>
          <t>Gastos de personal</t>
        </is>
      </c>
      <c r="D7" s="98" t="inlineStr">
        <is>
          <t>RESULTADO DEL EJERCICIO</t>
        </is>
      </c>
      <c r="E7" s="18" t="inlineStr">
        <is>
          <t>RESULTADO ANTES DE IMPUESTOS</t>
        </is>
      </c>
      <c r="F7" s="18" t="inlineStr">
        <is>
          <t>RESULTADO DE LA EXPLOTACION</t>
        </is>
      </c>
      <c r="G7" s="18" t="inlineStr">
        <is>
          <t>6.- Gastos de personal</t>
        </is>
      </c>
      <c r="H7" s="18" t="inlineStr">
        <is>
          <t>(640) Sueldos y salarios</t>
        </is>
      </c>
      <c r="I7" s="18" t="n"/>
      <c r="J7" s="98" t="n">
        <v>1</v>
      </c>
      <c r="K7" s="99" t="n">
        <v>1708.45</v>
      </c>
      <c r="L7" s="99">
        <f>+K7/1000</f>
        <v/>
      </c>
      <c r="M7" s="178" t="inlineStr">
        <is>
          <t>FRANCISCO LAGOSTENA DE GUZMAN</t>
        </is>
      </c>
      <c r="N7" t="inlineStr">
        <is>
          <t>Personal</t>
        </is>
      </c>
    </row>
    <row r="8">
      <c r="B8" s="98" t="inlineStr">
        <is>
          <t>Codiagro</t>
        </is>
      </c>
      <c r="C8" s="98" t="inlineStr">
        <is>
          <t>Gastos de personal</t>
        </is>
      </c>
      <c r="D8" s="98" t="inlineStr">
        <is>
          <t>RESULTADO DEL EJERCICIO</t>
        </is>
      </c>
      <c r="E8" s="18" t="inlineStr">
        <is>
          <t>RESULTADO ANTES DE IMPUESTOS</t>
        </is>
      </c>
      <c r="F8" s="18" t="inlineStr">
        <is>
          <t>RESULTADO DE LA EXPLOTACION</t>
        </is>
      </c>
      <c r="G8" s="18" t="inlineStr">
        <is>
          <t>6.- Gastos de personal</t>
        </is>
      </c>
      <c r="H8" s="18" t="inlineStr">
        <is>
          <t>(642) Seguridad social a cargo empresa</t>
        </is>
      </c>
      <c r="I8" s="18" t="n"/>
      <c r="J8" s="98" t="n">
        <v>1</v>
      </c>
      <c r="K8" s="99" t="n">
        <v>659.51</v>
      </c>
      <c r="L8" s="99">
        <f>+K8/1000</f>
        <v/>
      </c>
      <c r="M8" s="178" t="inlineStr">
        <is>
          <t>FRANCISCO LAGOSTENA DE GUZMAN</t>
        </is>
      </c>
      <c r="N8" t="inlineStr">
        <is>
          <t>Personal</t>
        </is>
      </c>
    </row>
    <row r="9">
      <c r="B9" s="98" t="inlineStr">
        <is>
          <t>Codiagro</t>
        </is>
      </c>
      <c r="C9" s="98" t="inlineStr">
        <is>
          <t>Gastos de personal</t>
        </is>
      </c>
      <c r="D9" s="98" t="inlineStr">
        <is>
          <t>RESULTADO DEL EJERCICIO</t>
        </is>
      </c>
      <c r="E9" s="18" t="inlineStr">
        <is>
          <t>RESULTADO ANTES DE IMPUESTOS</t>
        </is>
      </c>
      <c r="F9" s="18" t="inlineStr">
        <is>
          <t>RESULTADO DE LA EXPLOTACION</t>
        </is>
      </c>
      <c r="G9" s="18" t="inlineStr">
        <is>
          <t>6.- Gastos de personal</t>
        </is>
      </c>
      <c r="H9" s="18" t="inlineStr">
        <is>
          <t>(640) Sueldos y salarios</t>
        </is>
      </c>
      <c r="I9" s="18" t="n"/>
      <c r="J9" s="98" t="n">
        <v>2</v>
      </c>
      <c r="K9" s="99" t="n">
        <v>1708.45</v>
      </c>
      <c r="L9" s="99">
        <f>+K9/1000</f>
        <v/>
      </c>
      <c r="M9" s="178" t="inlineStr">
        <is>
          <t>FRANCISCO LAGOSTENA DE GUZMAN</t>
        </is>
      </c>
      <c r="N9" t="inlineStr">
        <is>
          <t>Personal</t>
        </is>
      </c>
    </row>
    <row r="10">
      <c r="B10" s="98" t="inlineStr">
        <is>
          <t>Codiagro</t>
        </is>
      </c>
      <c r="C10" s="98" t="inlineStr">
        <is>
          <t>Gastos de personal</t>
        </is>
      </c>
      <c r="D10" s="98" t="inlineStr">
        <is>
          <t>RESULTADO DEL EJERCICIO</t>
        </is>
      </c>
      <c r="E10" s="18" t="inlineStr">
        <is>
          <t>RESULTADO ANTES DE IMPUESTOS</t>
        </is>
      </c>
      <c r="F10" s="18" t="inlineStr">
        <is>
          <t>RESULTADO DE LA EXPLOTACION</t>
        </is>
      </c>
      <c r="G10" s="18" t="inlineStr">
        <is>
          <t>6.- Gastos de personal</t>
        </is>
      </c>
      <c r="H10" s="18" t="inlineStr">
        <is>
          <t>(642) Seguridad social a cargo empresa</t>
        </is>
      </c>
      <c r="I10" s="18" t="n"/>
      <c r="J10" s="98" t="n">
        <v>2</v>
      </c>
      <c r="K10" s="99" t="n">
        <v>659.51</v>
      </c>
      <c r="L10" s="99">
        <f>+K10/1000</f>
        <v/>
      </c>
      <c r="M10" s="178" t="inlineStr">
        <is>
          <t>FRANCISCO LAGOSTENA DE GUZMAN</t>
        </is>
      </c>
      <c r="N10" t="inlineStr">
        <is>
          <t>Personal</t>
        </is>
      </c>
    </row>
    <row r="11">
      <c r="B11" s="98" t="inlineStr">
        <is>
          <t>Codiagro</t>
        </is>
      </c>
      <c r="C11" s="98" t="inlineStr">
        <is>
          <t>Gastos de personal</t>
        </is>
      </c>
      <c r="D11" s="98" t="inlineStr">
        <is>
          <t>RESULTADO DEL EJERCICIO</t>
        </is>
      </c>
      <c r="E11" s="18" t="inlineStr">
        <is>
          <t>RESULTADO ANTES DE IMPUESTOS</t>
        </is>
      </c>
      <c r="F11" s="18" t="inlineStr">
        <is>
          <t>RESULTADO DE LA EXPLOTACION</t>
        </is>
      </c>
      <c r="G11" s="18" t="inlineStr">
        <is>
          <t>6.- Gastos de personal</t>
        </is>
      </c>
      <c r="H11" s="18" t="inlineStr">
        <is>
          <t>(640) Sueldos y salarios</t>
        </is>
      </c>
      <c r="I11" s="18" t="n"/>
      <c r="J11" s="98" t="n">
        <v>3</v>
      </c>
      <c r="K11" s="99" t="n">
        <v>1708.45</v>
      </c>
      <c r="L11" s="99">
        <f>+K11/1000</f>
        <v/>
      </c>
      <c r="M11" s="178" t="inlineStr">
        <is>
          <t>FRANCISCO LAGOSTENA DE GUZMAN</t>
        </is>
      </c>
      <c r="N11" t="inlineStr">
        <is>
          <t>Personal</t>
        </is>
      </c>
    </row>
    <row r="12">
      <c r="B12" s="98" t="inlineStr">
        <is>
          <t>Codiagro</t>
        </is>
      </c>
      <c r="C12" s="98" t="inlineStr">
        <is>
          <t>Gastos de personal</t>
        </is>
      </c>
      <c r="D12" s="98" t="inlineStr">
        <is>
          <t>RESULTADO DEL EJERCICIO</t>
        </is>
      </c>
      <c r="E12" s="18" t="inlineStr">
        <is>
          <t>RESULTADO ANTES DE IMPUESTOS</t>
        </is>
      </c>
      <c r="F12" s="18" t="inlineStr">
        <is>
          <t>RESULTADO DE LA EXPLOTACION</t>
        </is>
      </c>
      <c r="G12" s="18" t="inlineStr">
        <is>
          <t>6.- Gastos de personal</t>
        </is>
      </c>
      <c r="H12" s="18" t="inlineStr">
        <is>
          <t>(642) Seguridad social a cargo empresa</t>
        </is>
      </c>
      <c r="I12" s="18" t="n"/>
      <c r="J12" s="98" t="n">
        <v>3</v>
      </c>
      <c r="K12" s="99" t="n">
        <v>659.51</v>
      </c>
      <c r="L12" s="99">
        <f>+K12/1000</f>
        <v/>
      </c>
      <c r="M12" s="178" t="inlineStr">
        <is>
          <t>FRANCISCO LAGOSTENA DE GUZMAN</t>
        </is>
      </c>
      <c r="N12" t="inlineStr">
        <is>
          <t>Personal</t>
        </is>
      </c>
    </row>
    <row r="13">
      <c r="B13" s="98" t="inlineStr">
        <is>
          <t>Codiagro</t>
        </is>
      </c>
      <c r="C13" s="98" t="inlineStr">
        <is>
          <t>Gastos de personal</t>
        </is>
      </c>
      <c r="D13" s="98" t="inlineStr">
        <is>
          <t>RESULTADO DEL EJERCICIO</t>
        </is>
      </c>
      <c r="E13" s="18" t="inlineStr">
        <is>
          <t>RESULTADO ANTES DE IMPUESTOS</t>
        </is>
      </c>
      <c r="F13" s="18" t="inlineStr">
        <is>
          <t>RESULTADO DE LA EXPLOTACION</t>
        </is>
      </c>
      <c r="G13" s="18" t="inlineStr">
        <is>
          <t>6.- Gastos de personal</t>
        </is>
      </c>
      <c r="H13" s="18" t="inlineStr">
        <is>
          <t>(641) Indemnizaciones</t>
        </is>
      </c>
      <c r="I13" s="18" t="n"/>
      <c r="J13" s="98" t="n">
        <v>3</v>
      </c>
      <c r="K13" s="99" t="n">
        <v>19064.32</v>
      </c>
      <c r="L13" s="99">
        <f>+K13/1000</f>
        <v/>
      </c>
      <c r="M13" s="178" t="inlineStr">
        <is>
          <t>FRANCISCO LAGOSTENA DE GUZMAN</t>
        </is>
      </c>
      <c r="N13" t="inlineStr">
        <is>
          <t>Indemnizaciones</t>
        </is>
      </c>
    </row>
    <row r="14">
      <c r="B14" s="98" t="inlineStr">
        <is>
          <t>Codiagro</t>
        </is>
      </c>
      <c r="C14" s="98" t="inlineStr">
        <is>
          <t>Gastos de personal</t>
        </is>
      </c>
      <c r="D14" s="98" t="inlineStr">
        <is>
          <t>RESULTADO DEL EJERCICIO</t>
        </is>
      </c>
      <c r="E14" s="18" t="inlineStr">
        <is>
          <t>RESULTADO ANTES DE IMPUESTOS</t>
        </is>
      </c>
      <c r="F14" s="18" t="inlineStr">
        <is>
          <t>RESULTADO DE LA EXPLOTACION</t>
        </is>
      </c>
      <c r="G14" s="18" t="inlineStr">
        <is>
          <t>6.- Gastos de personal</t>
        </is>
      </c>
      <c r="H14" s="18" t="inlineStr">
        <is>
          <t>(640) Sueldos y salarios</t>
        </is>
      </c>
      <c r="I14" s="18" t="n"/>
      <c r="J14" s="98" t="n">
        <v>1</v>
      </c>
      <c r="K14" s="99" t="n">
        <v>5700.18</v>
      </c>
      <c r="L14" s="99">
        <f>+K14/1000</f>
        <v/>
      </c>
      <c r="M14" s="178" t="inlineStr">
        <is>
          <t>RAUL AMELA MELIA</t>
        </is>
      </c>
      <c r="N14" t="inlineStr">
        <is>
          <t>Personal</t>
        </is>
      </c>
    </row>
    <row r="15">
      <c r="B15" s="98" t="inlineStr">
        <is>
          <t>Codiagro</t>
        </is>
      </c>
      <c r="C15" s="98" t="inlineStr">
        <is>
          <t>Gastos de personal</t>
        </is>
      </c>
      <c r="D15" s="98" t="inlineStr">
        <is>
          <t>RESULTADO DEL EJERCICIO</t>
        </is>
      </c>
      <c r="E15" s="18" t="inlineStr">
        <is>
          <t>RESULTADO ANTES DE IMPUESTOS</t>
        </is>
      </c>
      <c r="F15" s="18" t="inlineStr">
        <is>
          <t>RESULTADO DE LA EXPLOTACION</t>
        </is>
      </c>
      <c r="G15" s="18" t="inlineStr">
        <is>
          <t>6.- Gastos de personal</t>
        </is>
      </c>
      <c r="H15" s="18" t="inlineStr">
        <is>
          <t>(642) Seguridad social a cargo empresa</t>
        </is>
      </c>
      <c r="I15" s="18" t="n"/>
      <c r="J15" s="98" t="n">
        <v>1</v>
      </c>
      <c r="K15" s="99" t="n">
        <v>1409.09</v>
      </c>
      <c r="L15" s="99">
        <f>+K15/1000</f>
        <v/>
      </c>
      <c r="M15" s="178" t="inlineStr">
        <is>
          <t>RAUL AMELA MELIA</t>
        </is>
      </c>
      <c r="N15" t="inlineStr">
        <is>
          <t>Personal</t>
        </is>
      </c>
    </row>
    <row r="16">
      <c r="B16" s="98" t="inlineStr">
        <is>
          <t>Codiagro</t>
        </is>
      </c>
      <c r="C16" s="98" t="inlineStr">
        <is>
          <t>Gastos de personal</t>
        </is>
      </c>
      <c r="D16" s="98" t="inlineStr">
        <is>
          <t>RESULTADO DEL EJERCICIO</t>
        </is>
      </c>
      <c r="E16" s="18" t="inlineStr">
        <is>
          <t>RESULTADO ANTES DE IMPUESTOS</t>
        </is>
      </c>
      <c r="F16" s="18" t="inlineStr">
        <is>
          <t>RESULTADO DE LA EXPLOTACION</t>
        </is>
      </c>
      <c r="G16" s="18" t="inlineStr">
        <is>
          <t>6.- Gastos de personal</t>
        </is>
      </c>
      <c r="H16" s="18" t="inlineStr">
        <is>
          <t>(640) Sueldos y salarios</t>
        </is>
      </c>
      <c r="I16" s="18" t="n"/>
      <c r="J16" s="98" t="n">
        <v>2</v>
      </c>
      <c r="K16" s="99" t="n">
        <v>5700.18</v>
      </c>
      <c r="L16" s="99">
        <f>+K16/1000</f>
        <v/>
      </c>
      <c r="M16" s="178" t="inlineStr">
        <is>
          <t>RAUL AMELA MELIA</t>
        </is>
      </c>
      <c r="N16" t="inlineStr">
        <is>
          <t>Personal</t>
        </is>
      </c>
    </row>
    <row r="17">
      <c r="B17" s="98" t="inlineStr">
        <is>
          <t>Codiagro</t>
        </is>
      </c>
      <c r="C17" s="98" t="inlineStr">
        <is>
          <t>Gastos de personal</t>
        </is>
      </c>
      <c r="D17" s="98" t="inlineStr">
        <is>
          <t>RESULTADO DEL EJERCICIO</t>
        </is>
      </c>
      <c r="E17" s="18" t="inlineStr">
        <is>
          <t>RESULTADO ANTES DE IMPUESTOS</t>
        </is>
      </c>
      <c r="F17" s="18" t="inlineStr">
        <is>
          <t>RESULTADO DE LA EXPLOTACION</t>
        </is>
      </c>
      <c r="G17" s="18" t="inlineStr">
        <is>
          <t>6.- Gastos de personal</t>
        </is>
      </c>
      <c r="H17" s="18" t="inlineStr">
        <is>
          <t>(642) Seguridad social a cargo empresa</t>
        </is>
      </c>
      <c r="I17" s="18" t="n"/>
      <c r="J17" s="98" t="n">
        <v>2</v>
      </c>
      <c r="K17" s="99" t="n">
        <v>1409.09</v>
      </c>
      <c r="L17" s="99">
        <f>+K17/1000</f>
        <v/>
      </c>
      <c r="M17" s="178" t="inlineStr">
        <is>
          <t>RAUL AMELA MELIA</t>
        </is>
      </c>
      <c r="N17" t="inlineStr">
        <is>
          <t>Personal</t>
        </is>
      </c>
    </row>
    <row r="18">
      <c r="B18" s="98" t="inlineStr">
        <is>
          <t>Codiagro</t>
        </is>
      </c>
      <c r="C18" s="98" t="inlineStr">
        <is>
          <t>Gastos de personal</t>
        </is>
      </c>
      <c r="D18" s="98" t="inlineStr">
        <is>
          <t>RESULTADO DEL EJERCICIO</t>
        </is>
      </c>
      <c r="E18" s="18" t="inlineStr">
        <is>
          <t>RESULTADO ANTES DE IMPUESTOS</t>
        </is>
      </c>
      <c r="F18" s="18" t="inlineStr">
        <is>
          <t>RESULTADO DE LA EXPLOTACION</t>
        </is>
      </c>
      <c r="G18" s="18" t="inlineStr">
        <is>
          <t>6.- Gastos de personal</t>
        </is>
      </c>
      <c r="H18" s="18" t="inlineStr">
        <is>
          <t>(640) Sueldos y salarios</t>
        </is>
      </c>
      <c r="I18" s="18" t="n"/>
      <c r="J18" s="98" t="n">
        <v>3</v>
      </c>
      <c r="K18" s="99" t="n">
        <v>5700.18</v>
      </c>
      <c r="L18" s="99">
        <f>+K18/1000</f>
        <v/>
      </c>
      <c r="M18" s="178" t="inlineStr">
        <is>
          <t>RAUL AMELA MELIA</t>
        </is>
      </c>
      <c r="N18" t="inlineStr">
        <is>
          <t>Personal</t>
        </is>
      </c>
    </row>
    <row r="19">
      <c r="B19" s="98" t="inlineStr">
        <is>
          <t>Codiagro</t>
        </is>
      </c>
      <c r="C19" s="98" t="inlineStr">
        <is>
          <t>Gastos de personal</t>
        </is>
      </c>
      <c r="D19" s="98" t="inlineStr">
        <is>
          <t>RESULTADO DEL EJERCICIO</t>
        </is>
      </c>
      <c r="E19" s="18" t="inlineStr">
        <is>
          <t>RESULTADO ANTES DE IMPUESTOS</t>
        </is>
      </c>
      <c r="F19" s="18" t="inlineStr">
        <is>
          <t>RESULTADO DE LA EXPLOTACION</t>
        </is>
      </c>
      <c r="G19" s="18" t="inlineStr">
        <is>
          <t>6.- Gastos de personal</t>
        </is>
      </c>
      <c r="H19" s="18" t="inlineStr">
        <is>
          <t>(642) Seguridad social a cargo empresa</t>
        </is>
      </c>
      <c r="I19" s="18" t="n"/>
      <c r="J19" s="98" t="n">
        <v>3</v>
      </c>
      <c r="K19" s="99" t="n">
        <v>1409.09</v>
      </c>
      <c r="L19" s="99">
        <f>+K19/1000</f>
        <v/>
      </c>
      <c r="M19" s="178" t="inlineStr">
        <is>
          <t>RAUL AMELA MELIA</t>
        </is>
      </c>
      <c r="N19" t="inlineStr">
        <is>
          <t>Personal</t>
        </is>
      </c>
    </row>
    <row r="20">
      <c r="B20" s="98" t="inlineStr">
        <is>
          <t>Codiagro</t>
        </is>
      </c>
      <c r="C20" s="98" t="inlineStr">
        <is>
          <t>Gastos de personal</t>
        </is>
      </c>
      <c r="D20" s="98" t="inlineStr">
        <is>
          <t>RESULTADO DEL EJERCICIO</t>
        </is>
      </c>
      <c r="E20" s="18" t="inlineStr">
        <is>
          <t>RESULTADO ANTES DE IMPUESTOS</t>
        </is>
      </c>
      <c r="F20" s="18" t="inlineStr">
        <is>
          <t>RESULTADO DE LA EXPLOTACION</t>
        </is>
      </c>
      <c r="G20" s="18" t="inlineStr">
        <is>
          <t>6.- Gastos de personal</t>
        </is>
      </c>
      <c r="H20" s="18" t="inlineStr">
        <is>
          <t>(640) Sueldos y salarios</t>
        </is>
      </c>
      <c r="I20" s="18" t="n"/>
      <c r="J20" s="98" t="n">
        <v>4</v>
      </c>
      <c r="K20" s="99" t="n">
        <v>5700.18</v>
      </c>
      <c r="L20" s="99">
        <f>+K20/1000</f>
        <v/>
      </c>
      <c r="M20" s="178" t="inlineStr">
        <is>
          <t>RAUL AMELA MELIA</t>
        </is>
      </c>
      <c r="N20" t="inlineStr">
        <is>
          <t>Personal</t>
        </is>
      </c>
    </row>
    <row r="21">
      <c r="B21" s="98" t="inlineStr">
        <is>
          <t>Codiagro</t>
        </is>
      </c>
      <c r="C21" s="98" t="inlineStr">
        <is>
          <t>Gastos de personal</t>
        </is>
      </c>
      <c r="D21" s="98" t="inlineStr">
        <is>
          <t>RESULTADO DEL EJERCICIO</t>
        </is>
      </c>
      <c r="E21" s="18" t="inlineStr">
        <is>
          <t>RESULTADO ANTES DE IMPUESTOS</t>
        </is>
      </c>
      <c r="F21" s="18" t="inlineStr">
        <is>
          <t>RESULTADO DE LA EXPLOTACION</t>
        </is>
      </c>
      <c r="G21" s="18" t="inlineStr">
        <is>
          <t>6.- Gastos de personal</t>
        </is>
      </c>
      <c r="H21" s="18" t="inlineStr">
        <is>
          <t>(642) Seguridad social a cargo empresa</t>
        </is>
      </c>
      <c r="I21" s="18" t="n"/>
      <c r="J21" s="98" t="n">
        <v>4</v>
      </c>
      <c r="K21" s="99" t="n">
        <v>1409.09</v>
      </c>
      <c r="L21" s="99">
        <f>+K21/1000</f>
        <v/>
      </c>
      <c r="M21" s="178" t="inlineStr">
        <is>
          <t>RAUL AMELA MELIA</t>
        </is>
      </c>
      <c r="N21" t="inlineStr">
        <is>
          <t>Personal</t>
        </is>
      </c>
    </row>
    <row r="22">
      <c r="B22" s="98" t="inlineStr">
        <is>
          <t>Codiagro</t>
        </is>
      </c>
      <c r="C22" s="98" t="inlineStr">
        <is>
          <t>Gastos de personal</t>
        </is>
      </c>
      <c r="D22" s="98" t="inlineStr">
        <is>
          <t>RESULTADO DEL EJERCICIO</t>
        </is>
      </c>
      <c r="E22" s="18" t="inlineStr">
        <is>
          <t>RESULTADO ANTES DE IMPUESTOS</t>
        </is>
      </c>
      <c r="F22" s="18" t="inlineStr">
        <is>
          <t>RESULTADO DE LA EXPLOTACION</t>
        </is>
      </c>
      <c r="G22" s="18" t="inlineStr">
        <is>
          <t>6.- Gastos de personal</t>
        </is>
      </c>
      <c r="H22" s="18" t="inlineStr">
        <is>
          <t>(640) Sueldos y salarios</t>
        </is>
      </c>
      <c r="I22" s="18" t="n"/>
      <c r="J22" s="98" t="n">
        <v>5</v>
      </c>
      <c r="K22" s="99" t="n">
        <v>5700.18</v>
      </c>
      <c r="L22" s="99">
        <f>+K22/1000</f>
        <v/>
      </c>
      <c r="M22" s="178" t="inlineStr">
        <is>
          <t>RAUL AMELA MELIA</t>
        </is>
      </c>
      <c r="N22" t="inlineStr">
        <is>
          <t>Personal</t>
        </is>
      </c>
    </row>
    <row r="23">
      <c r="B23" s="98" t="inlineStr">
        <is>
          <t>Codiagro</t>
        </is>
      </c>
      <c r="C23" s="98" t="inlineStr">
        <is>
          <t>Gastos de personal</t>
        </is>
      </c>
      <c r="D23" s="98" t="inlineStr">
        <is>
          <t>RESULTADO DEL EJERCICIO</t>
        </is>
      </c>
      <c r="E23" s="18" t="inlineStr">
        <is>
          <t>RESULTADO ANTES DE IMPUESTOS</t>
        </is>
      </c>
      <c r="F23" s="18" t="inlineStr">
        <is>
          <t>RESULTADO DE LA EXPLOTACION</t>
        </is>
      </c>
      <c r="G23" s="18" t="inlineStr">
        <is>
          <t>6.- Gastos de personal</t>
        </is>
      </c>
      <c r="H23" s="18" t="inlineStr">
        <is>
          <t>(642) Seguridad social a cargo empresa</t>
        </is>
      </c>
      <c r="I23" s="18" t="n"/>
      <c r="J23" s="98" t="n">
        <v>5</v>
      </c>
      <c r="K23" s="99" t="n">
        <v>1409.09</v>
      </c>
      <c r="L23" s="99">
        <f>+K23/1000</f>
        <v/>
      </c>
      <c r="M23" s="178" t="inlineStr">
        <is>
          <t>RAUL AMELA MELIA</t>
        </is>
      </c>
      <c r="N23" t="inlineStr">
        <is>
          <t>Personal</t>
        </is>
      </c>
    </row>
    <row r="24">
      <c r="B24" s="98" t="inlineStr">
        <is>
          <t>Codiagro</t>
        </is>
      </c>
      <c r="C24" s="98" t="inlineStr">
        <is>
          <t>Gastos de personal</t>
        </is>
      </c>
      <c r="D24" s="98" t="inlineStr">
        <is>
          <t>RESULTADO DEL EJERCICIO</t>
        </is>
      </c>
      <c r="E24" s="18" t="inlineStr">
        <is>
          <t>RESULTADO ANTES DE IMPUESTOS</t>
        </is>
      </c>
      <c r="F24" s="18" t="inlineStr">
        <is>
          <t>RESULTADO DE LA EXPLOTACION</t>
        </is>
      </c>
      <c r="G24" s="18" t="inlineStr">
        <is>
          <t>6.- Gastos de personal</t>
        </is>
      </c>
      <c r="H24" s="18" t="inlineStr">
        <is>
          <t>(640) Sueldos y salarios</t>
        </is>
      </c>
      <c r="I24" s="18" t="n"/>
      <c r="J24" s="98" t="n">
        <v>6</v>
      </c>
      <c r="K24" s="99" t="n">
        <v>5700.18</v>
      </c>
      <c r="L24" s="99">
        <f>+K24/1000</f>
        <v/>
      </c>
      <c r="M24" s="178" t="inlineStr">
        <is>
          <t>RAUL AMELA MELIA</t>
        </is>
      </c>
      <c r="N24" t="inlineStr">
        <is>
          <t>Personal</t>
        </is>
      </c>
    </row>
    <row r="25">
      <c r="B25" s="98" t="inlineStr">
        <is>
          <t>Codiagro</t>
        </is>
      </c>
      <c r="C25" s="98" t="inlineStr">
        <is>
          <t>Gastos de personal</t>
        </is>
      </c>
      <c r="D25" s="98" t="inlineStr">
        <is>
          <t>RESULTADO DEL EJERCICIO</t>
        </is>
      </c>
      <c r="E25" s="18" t="inlineStr">
        <is>
          <t>RESULTADO ANTES DE IMPUESTOS</t>
        </is>
      </c>
      <c r="F25" s="18" t="inlineStr">
        <is>
          <t>RESULTADO DE LA EXPLOTACION</t>
        </is>
      </c>
      <c r="G25" s="18" t="inlineStr">
        <is>
          <t>6.- Gastos de personal</t>
        </is>
      </c>
      <c r="H25" s="18" t="inlineStr">
        <is>
          <t>(642) Seguridad social a cargo empresa</t>
        </is>
      </c>
      <c r="I25" s="18" t="n"/>
      <c r="J25" s="98" t="n">
        <v>6</v>
      </c>
      <c r="K25" s="99" t="n">
        <v>1409.09</v>
      </c>
      <c r="L25" s="99">
        <f>+K25/1000</f>
        <v/>
      </c>
      <c r="M25" s="178" t="inlineStr">
        <is>
          <t>RAUL AMELA MELIA</t>
        </is>
      </c>
      <c r="N25" t="inlineStr">
        <is>
          <t>Personal</t>
        </is>
      </c>
    </row>
    <row r="26">
      <c r="B26" s="98" t="inlineStr">
        <is>
          <t>Codiagro</t>
        </is>
      </c>
      <c r="C26" s="98" t="inlineStr">
        <is>
          <t>Gastos de personal</t>
        </is>
      </c>
      <c r="D26" s="98" t="inlineStr">
        <is>
          <t>RESULTADO DEL EJERCICIO</t>
        </is>
      </c>
      <c r="E26" s="18" t="inlineStr">
        <is>
          <t>RESULTADO ANTES DE IMPUESTOS</t>
        </is>
      </c>
      <c r="F26" s="18" t="inlineStr">
        <is>
          <t>RESULTADO DE LA EXPLOTACION</t>
        </is>
      </c>
      <c r="G26" s="18" t="inlineStr">
        <is>
          <t>6.- Gastos de personal</t>
        </is>
      </c>
      <c r="H26" s="18" t="inlineStr">
        <is>
          <t>(640) Sueldos y salarios</t>
        </is>
      </c>
      <c r="I26" s="18" t="n"/>
      <c r="J26" s="98" t="n">
        <v>7</v>
      </c>
      <c r="K26" s="99" t="n">
        <v>5700.18</v>
      </c>
      <c r="L26" s="99">
        <f>+K26/1000</f>
        <v/>
      </c>
      <c r="M26" s="178" t="inlineStr">
        <is>
          <t>RAUL AMELA MELIA</t>
        </is>
      </c>
      <c r="N26" t="inlineStr">
        <is>
          <t>Personal</t>
        </is>
      </c>
    </row>
    <row r="27">
      <c r="B27" s="98" t="inlineStr">
        <is>
          <t>Codiagro</t>
        </is>
      </c>
      <c r="C27" s="98" t="inlineStr">
        <is>
          <t>Gastos de personal</t>
        </is>
      </c>
      <c r="D27" s="98" t="inlineStr">
        <is>
          <t>RESULTADO DEL EJERCICIO</t>
        </is>
      </c>
      <c r="E27" s="18" t="inlineStr">
        <is>
          <t>RESULTADO ANTES DE IMPUESTOS</t>
        </is>
      </c>
      <c r="F27" s="18" t="inlineStr">
        <is>
          <t>RESULTADO DE LA EXPLOTACION</t>
        </is>
      </c>
      <c r="G27" s="18" t="inlineStr">
        <is>
          <t>6.- Gastos de personal</t>
        </is>
      </c>
      <c r="H27" s="18" t="inlineStr">
        <is>
          <t>(642) Seguridad social a cargo empresa</t>
        </is>
      </c>
      <c r="I27" s="18" t="n"/>
      <c r="J27" s="98" t="n">
        <v>7</v>
      </c>
      <c r="K27" s="99" t="n">
        <v>1409.09</v>
      </c>
      <c r="L27" s="99">
        <f>+K27/1000</f>
        <v/>
      </c>
      <c r="M27" s="178" t="inlineStr">
        <is>
          <t>RAUL AMELA MELIA</t>
        </is>
      </c>
      <c r="N27" t="inlineStr">
        <is>
          <t>Personal</t>
        </is>
      </c>
    </row>
    <row r="28">
      <c r="B28" s="98" t="inlineStr">
        <is>
          <t>Codiagro</t>
        </is>
      </c>
      <c r="C28" s="98" t="inlineStr">
        <is>
          <t>Gastos de personal</t>
        </is>
      </c>
      <c r="D28" s="98" t="inlineStr">
        <is>
          <t>RESULTADO DEL EJERCICIO</t>
        </is>
      </c>
      <c r="E28" s="18" t="inlineStr">
        <is>
          <t>RESULTADO ANTES DE IMPUESTOS</t>
        </is>
      </c>
      <c r="F28" s="18" t="inlineStr">
        <is>
          <t>RESULTADO DE LA EXPLOTACION</t>
        </is>
      </c>
      <c r="G28" s="18" t="inlineStr">
        <is>
          <t>6.- Gastos de personal</t>
        </is>
      </c>
      <c r="H28" s="18" t="inlineStr">
        <is>
          <t>(640) Sueldos y salarios</t>
        </is>
      </c>
      <c r="I28" s="18" t="n"/>
      <c r="J28" s="98" t="n">
        <v>8</v>
      </c>
      <c r="K28" s="99" t="n">
        <v>3800.14</v>
      </c>
      <c r="L28" s="99">
        <f>+K28/1000</f>
        <v/>
      </c>
      <c r="M28" s="178" t="inlineStr">
        <is>
          <t>RAUL AMELA MELIA</t>
        </is>
      </c>
      <c r="N28" t="inlineStr">
        <is>
          <t>Personal</t>
        </is>
      </c>
    </row>
    <row r="29">
      <c r="B29" s="98" t="inlineStr">
        <is>
          <t>Codiagro</t>
        </is>
      </c>
      <c r="C29" s="98" t="inlineStr">
        <is>
          <t>Gastos de personal</t>
        </is>
      </c>
      <c r="D29" s="98" t="inlineStr">
        <is>
          <t>RESULTADO DEL EJERCICIO</t>
        </is>
      </c>
      <c r="E29" s="18" t="inlineStr">
        <is>
          <t>RESULTADO ANTES DE IMPUESTOS</t>
        </is>
      </c>
      <c r="F29" s="18" t="inlineStr">
        <is>
          <t>RESULTADO DE LA EXPLOTACION</t>
        </is>
      </c>
      <c r="G29" s="18" t="inlineStr">
        <is>
          <t>6.- Gastos de personal</t>
        </is>
      </c>
      <c r="H29" s="18" t="inlineStr">
        <is>
          <t>(642) Seguridad social a cargo empresa</t>
        </is>
      </c>
      <c r="I29" s="18" t="n"/>
      <c r="J29" s="98" t="n">
        <v>8</v>
      </c>
      <c r="K29" s="99" t="n">
        <v>939.39</v>
      </c>
      <c r="L29" s="99">
        <f>+K29/1000</f>
        <v/>
      </c>
      <c r="M29" s="178" t="inlineStr">
        <is>
          <t>RAUL AMELA MELIA</t>
        </is>
      </c>
      <c r="N29" t="inlineStr">
        <is>
          <t>Personal</t>
        </is>
      </c>
    </row>
    <row r="30">
      <c r="B30" s="98" t="inlineStr">
        <is>
          <t>Codiagro</t>
        </is>
      </c>
      <c r="C30" s="98" t="inlineStr">
        <is>
          <t>Gastos de personal</t>
        </is>
      </c>
      <c r="D30" s="98" t="inlineStr">
        <is>
          <t>RESULTADO DEL EJERCICIO</t>
        </is>
      </c>
      <c r="E30" s="18" t="inlineStr">
        <is>
          <t>RESULTADO ANTES DE IMPUESTOS</t>
        </is>
      </c>
      <c r="F30" s="18" t="inlineStr">
        <is>
          <t>RESULTADO DE LA EXPLOTACION</t>
        </is>
      </c>
      <c r="G30" s="18" t="inlineStr">
        <is>
          <t>6.- Gastos de personal</t>
        </is>
      </c>
      <c r="H30" s="18" t="inlineStr">
        <is>
          <t>(640) Sueldos y salarios</t>
        </is>
      </c>
      <c r="I30" s="18" t="n"/>
      <c r="J30" s="98" t="n">
        <v>1</v>
      </c>
      <c r="K30" s="99" t="n">
        <v>8364.976379563164</v>
      </c>
      <c r="L30" s="99">
        <f>+K30/1000</f>
        <v/>
      </c>
      <c r="M30" s="178" t="inlineStr">
        <is>
          <t>CARLOS BARREDA MAS</t>
        </is>
      </c>
      <c r="N30" t="inlineStr">
        <is>
          <t>Personal</t>
        </is>
      </c>
    </row>
    <row r="31">
      <c r="B31" s="98" t="inlineStr">
        <is>
          <t>Codiagro</t>
        </is>
      </c>
      <c r="C31" s="98" t="inlineStr">
        <is>
          <t>Gastos de personal</t>
        </is>
      </c>
      <c r="D31" s="98" t="inlineStr">
        <is>
          <t>RESULTADO DEL EJERCICIO</t>
        </is>
      </c>
      <c r="E31" s="18" t="inlineStr">
        <is>
          <t>RESULTADO ANTES DE IMPUESTOS</t>
        </is>
      </c>
      <c r="F31" s="18" t="inlineStr">
        <is>
          <t>RESULTADO DE LA EXPLOTACION</t>
        </is>
      </c>
      <c r="G31" s="18" t="inlineStr">
        <is>
          <t>6.- Gastos de personal</t>
        </is>
      </c>
      <c r="H31" s="18" t="inlineStr">
        <is>
          <t>(642) Seguridad social a cargo empresa</t>
        </is>
      </c>
      <c r="I31" s="18" t="n"/>
      <c r="J31" s="98" t="n">
        <v>1</v>
      </c>
      <c r="K31" s="99" t="n">
        <v>1425.930123993924</v>
      </c>
      <c r="L31" s="99">
        <f>+K31/1000</f>
        <v/>
      </c>
      <c r="M31" s="178" t="inlineStr">
        <is>
          <t>CARLOS BARREDA MAS</t>
        </is>
      </c>
      <c r="N31" t="inlineStr">
        <is>
          <t>Personal</t>
        </is>
      </c>
    </row>
    <row r="32">
      <c r="B32" s="98" t="inlineStr">
        <is>
          <t>Codiagro</t>
        </is>
      </c>
      <c r="C32" s="98" t="inlineStr">
        <is>
          <t>Gastos de personal</t>
        </is>
      </c>
      <c r="D32" s="98" t="inlineStr">
        <is>
          <t>RESULTADO DEL EJERCICIO</t>
        </is>
      </c>
      <c r="E32" s="18" t="inlineStr">
        <is>
          <t>RESULTADO ANTES DE IMPUESTOS</t>
        </is>
      </c>
      <c r="F32" s="18" t="inlineStr">
        <is>
          <t>RESULTADO DE LA EXPLOTACION</t>
        </is>
      </c>
      <c r="G32" s="18" t="inlineStr">
        <is>
          <t>6.- Gastos de personal</t>
        </is>
      </c>
      <c r="H32" s="18" t="inlineStr">
        <is>
          <t>(640) Sueldos y salarios</t>
        </is>
      </c>
      <c r="I32" s="18" t="n"/>
      <c r="J32" s="98" t="n">
        <v>2</v>
      </c>
      <c r="K32" s="99" t="n">
        <v>8364.976379563164</v>
      </c>
      <c r="L32" s="99">
        <f>+K32/1000</f>
        <v/>
      </c>
      <c r="M32" s="178" t="inlineStr">
        <is>
          <t>CARLOS BARREDA MAS</t>
        </is>
      </c>
      <c r="N32" t="inlineStr">
        <is>
          <t>Personal</t>
        </is>
      </c>
    </row>
    <row r="33">
      <c r="B33" s="98" t="inlineStr">
        <is>
          <t>Codiagro</t>
        </is>
      </c>
      <c r="C33" s="98" t="inlineStr">
        <is>
          <t>Gastos de personal</t>
        </is>
      </c>
      <c r="D33" s="98" t="inlineStr">
        <is>
          <t>RESULTADO DEL EJERCICIO</t>
        </is>
      </c>
      <c r="E33" s="18" t="inlineStr">
        <is>
          <t>RESULTADO ANTES DE IMPUESTOS</t>
        </is>
      </c>
      <c r="F33" s="18" t="inlineStr">
        <is>
          <t>RESULTADO DE LA EXPLOTACION</t>
        </is>
      </c>
      <c r="G33" s="18" t="inlineStr">
        <is>
          <t>6.- Gastos de personal</t>
        </is>
      </c>
      <c r="H33" s="18" t="inlineStr">
        <is>
          <t>(642) Seguridad social a cargo empresa</t>
        </is>
      </c>
      <c r="I33" s="18" t="n"/>
      <c r="J33" s="98" t="n">
        <v>2</v>
      </c>
      <c r="K33" s="99" t="n">
        <v>1425.930123993924</v>
      </c>
      <c r="L33" s="99">
        <f>+K33/1000</f>
        <v/>
      </c>
      <c r="M33" s="178" t="inlineStr">
        <is>
          <t>CARLOS BARREDA MAS</t>
        </is>
      </c>
      <c r="N33" t="inlineStr">
        <is>
          <t>Personal</t>
        </is>
      </c>
    </row>
    <row r="34">
      <c r="B34" s="98" t="inlineStr">
        <is>
          <t>Codiagro</t>
        </is>
      </c>
      <c r="C34" s="98" t="inlineStr">
        <is>
          <t>Gastos de personal</t>
        </is>
      </c>
      <c r="D34" s="98" t="inlineStr">
        <is>
          <t>RESULTADO DEL EJERCICIO</t>
        </is>
      </c>
      <c r="E34" s="18" t="inlineStr">
        <is>
          <t>RESULTADO ANTES DE IMPUESTOS</t>
        </is>
      </c>
      <c r="F34" s="18" t="inlineStr">
        <is>
          <t>RESULTADO DE LA EXPLOTACION</t>
        </is>
      </c>
      <c r="G34" s="18" t="inlineStr">
        <is>
          <t>6.- Gastos de personal</t>
        </is>
      </c>
      <c r="H34" s="18" t="inlineStr">
        <is>
          <t>(640) Sueldos y salarios</t>
        </is>
      </c>
      <c r="I34" s="18" t="n"/>
      <c r="J34" s="98" t="n">
        <v>3</v>
      </c>
      <c r="K34" s="99" t="n">
        <v>8364.976379563164</v>
      </c>
      <c r="L34" s="99">
        <f>+K34/1000</f>
        <v/>
      </c>
      <c r="M34" s="178" t="inlineStr">
        <is>
          <t>CARLOS BARREDA MAS</t>
        </is>
      </c>
      <c r="N34" t="inlineStr">
        <is>
          <t>Personal</t>
        </is>
      </c>
    </row>
    <row r="35">
      <c r="B35" s="98" t="inlineStr">
        <is>
          <t>Codiagro</t>
        </is>
      </c>
      <c r="C35" s="98" t="inlineStr">
        <is>
          <t>Gastos de personal</t>
        </is>
      </c>
      <c r="D35" s="98" t="inlineStr">
        <is>
          <t>RESULTADO DEL EJERCICIO</t>
        </is>
      </c>
      <c r="E35" s="18" t="inlineStr">
        <is>
          <t>RESULTADO ANTES DE IMPUESTOS</t>
        </is>
      </c>
      <c r="F35" s="18" t="inlineStr">
        <is>
          <t>RESULTADO DE LA EXPLOTACION</t>
        </is>
      </c>
      <c r="G35" s="18" t="inlineStr">
        <is>
          <t>6.- Gastos de personal</t>
        </is>
      </c>
      <c r="H35" s="18" t="inlineStr">
        <is>
          <t>(642) Seguridad social a cargo empresa</t>
        </is>
      </c>
      <c r="I35" s="18" t="n"/>
      <c r="J35" s="98" t="n">
        <v>3</v>
      </c>
      <c r="K35" s="99" t="n">
        <v>1425.930123993924</v>
      </c>
      <c r="L35" s="99">
        <f>+K35/1000</f>
        <v/>
      </c>
      <c r="M35" s="178" t="inlineStr">
        <is>
          <t>CARLOS BARREDA MAS</t>
        </is>
      </c>
      <c r="N35" t="inlineStr">
        <is>
          <t>Personal</t>
        </is>
      </c>
    </row>
    <row r="36">
      <c r="B36" s="98" t="inlineStr">
        <is>
          <t>Codiagro</t>
        </is>
      </c>
      <c r="C36" s="98" t="inlineStr">
        <is>
          <t>Gastos de personal</t>
        </is>
      </c>
      <c r="D36" s="98" t="inlineStr">
        <is>
          <t>RESULTADO DEL EJERCICIO</t>
        </is>
      </c>
      <c r="E36" s="18" t="inlineStr">
        <is>
          <t>RESULTADO ANTES DE IMPUESTOS</t>
        </is>
      </c>
      <c r="F36" s="18" t="inlineStr">
        <is>
          <t>RESULTADO DE LA EXPLOTACION</t>
        </is>
      </c>
      <c r="G36" s="18" t="inlineStr">
        <is>
          <t>6.- Gastos de personal</t>
        </is>
      </c>
      <c r="H36" s="18" t="inlineStr">
        <is>
          <t>(640) Sueldos y salarios</t>
        </is>
      </c>
      <c r="I36" s="18" t="n"/>
      <c r="J36" s="98" t="n">
        <v>4</v>
      </c>
      <c r="K36" s="99" t="n">
        <v>8364.976379563164</v>
      </c>
      <c r="L36" s="99">
        <f>+K36/1000</f>
        <v/>
      </c>
      <c r="M36" s="178" t="inlineStr">
        <is>
          <t>CARLOS BARREDA MAS</t>
        </is>
      </c>
      <c r="N36" t="inlineStr">
        <is>
          <t>Personal</t>
        </is>
      </c>
    </row>
    <row r="37">
      <c r="B37" s="98" t="inlineStr">
        <is>
          <t>Codiagro</t>
        </is>
      </c>
      <c r="C37" s="98" t="inlineStr">
        <is>
          <t>Gastos de personal</t>
        </is>
      </c>
      <c r="D37" s="98" t="inlineStr">
        <is>
          <t>RESULTADO DEL EJERCICIO</t>
        </is>
      </c>
      <c r="E37" s="18" t="inlineStr">
        <is>
          <t>RESULTADO ANTES DE IMPUESTOS</t>
        </is>
      </c>
      <c r="F37" s="18" t="inlineStr">
        <is>
          <t>RESULTADO DE LA EXPLOTACION</t>
        </is>
      </c>
      <c r="G37" s="18" t="inlineStr">
        <is>
          <t>6.- Gastos de personal</t>
        </is>
      </c>
      <c r="H37" s="18" t="inlineStr">
        <is>
          <t>(642) Seguridad social a cargo empresa</t>
        </is>
      </c>
      <c r="I37" s="18" t="n"/>
      <c r="J37" s="98" t="n">
        <v>4</v>
      </c>
      <c r="K37" s="99" t="n">
        <v>1425.930123993924</v>
      </c>
      <c r="L37" s="99">
        <f>+K37/1000</f>
        <v/>
      </c>
      <c r="M37" s="178" t="inlineStr">
        <is>
          <t>CARLOS BARREDA MAS</t>
        </is>
      </c>
      <c r="N37" t="inlineStr">
        <is>
          <t>Personal</t>
        </is>
      </c>
    </row>
    <row r="38">
      <c r="B38" s="98" t="inlineStr">
        <is>
          <t>Codiagro</t>
        </is>
      </c>
      <c r="C38" s="98" t="inlineStr">
        <is>
          <t>Gastos de personal</t>
        </is>
      </c>
      <c r="D38" s="98" t="inlineStr">
        <is>
          <t>RESULTADO DEL EJERCICIO</t>
        </is>
      </c>
      <c r="E38" s="18" t="inlineStr">
        <is>
          <t>RESULTADO ANTES DE IMPUESTOS</t>
        </is>
      </c>
      <c r="F38" s="18" t="inlineStr">
        <is>
          <t>RESULTADO DE LA EXPLOTACION</t>
        </is>
      </c>
      <c r="G38" s="18" t="inlineStr">
        <is>
          <t>6.- Gastos de personal</t>
        </is>
      </c>
      <c r="H38" s="18" t="inlineStr">
        <is>
          <t>(640) Sueldos y salarios</t>
        </is>
      </c>
      <c r="I38" s="18" t="n"/>
      <c r="J38" s="98" t="n">
        <v>5</v>
      </c>
      <c r="K38" s="99" t="n">
        <v>8364.976379563164</v>
      </c>
      <c r="L38" s="99">
        <f>+K38/1000</f>
        <v/>
      </c>
      <c r="M38" s="178" t="inlineStr">
        <is>
          <t>CARLOS BARREDA MAS</t>
        </is>
      </c>
      <c r="N38" t="inlineStr">
        <is>
          <t>Personal</t>
        </is>
      </c>
    </row>
    <row r="39">
      <c r="B39" s="98" t="inlineStr">
        <is>
          <t>Codiagro</t>
        </is>
      </c>
      <c r="C39" s="98" t="inlineStr">
        <is>
          <t>Gastos de personal</t>
        </is>
      </c>
      <c r="D39" s="98" t="inlineStr">
        <is>
          <t>RESULTADO DEL EJERCICIO</t>
        </is>
      </c>
      <c r="E39" s="18" t="inlineStr">
        <is>
          <t>RESULTADO ANTES DE IMPUESTOS</t>
        </is>
      </c>
      <c r="F39" s="18" t="inlineStr">
        <is>
          <t>RESULTADO DE LA EXPLOTACION</t>
        </is>
      </c>
      <c r="G39" s="18" t="inlineStr">
        <is>
          <t>6.- Gastos de personal</t>
        </is>
      </c>
      <c r="H39" s="18" t="inlineStr">
        <is>
          <t>(642) Seguridad social a cargo empresa</t>
        </is>
      </c>
      <c r="I39" s="18" t="n"/>
      <c r="J39" s="98" t="n">
        <v>5</v>
      </c>
      <c r="K39" s="99" t="n">
        <v>1425.930123993924</v>
      </c>
      <c r="L39" s="99">
        <f>+K39/1000</f>
        <v/>
      </c>
      <c r="M39" s="178" t="inlineStr">
        <is>
          <t>CARLOS BARREDA MAS</t>
        </is>
      </c>
      <c r="N39" t="inlineStr">
        <is>
          <t>Personal</t>
        </is>
      </c>
    </row>
    <row r="40">
      <c r="B40" s="98" t="inlineStr">
        <is>
          <t>Codiagro</t>
        </is>
      </c>
      <c r="C40" s="98" t="inlineStr">
        <is>
          <t>Gastos de personal</t>
        </is>
      </c>
      <c r="D40" s="98" t="inlineStr">
        <is>
          <t>RESULTADO DEL EJERCICIO</t>
        </is>
      </c>
      <c r="E40" s="18" t="inlineStr">
        <is>
          <t>RESULTADO ANTES DE IMPUESTOS</t>
        </is>
      </c>
      <c r="F40" s="18" t="inlineStr">
        <is>
          <t>RESULTADO DE LA EXPLOTACION</t>
        </is>
      </c>
      <c r="G40" s="18" t="inlineStr">
        <is>
          <t>6.- Gastos de personal</t>
        </is>
      </c>
      <c r="H40" s="18" t="inlineStr">
        <is>
          <t>(640) Sueldos y salarios</t>
        </is>
      </c>
      <c r="I40" s="18" t="n"/>
      <c r="J40" s="98" t="n">
        <v>6</v>
      </c>
      <c r="K40" s="99" t="n">
        <v>8364.976379563164</v>
      </c>
      <c r="L40" s="99">
        <f>+K40/1000</f>
        <v/>
      </c>
      <c r="M40" s="178" t="inlineStr">
        <is>
          <t>CARLOS BARREDA MAS</t>
        </is>
      </c>
      <c r="N40" t="inlineStr">
        <is>
          <t>Personal</t>
        </is>
      </c>
    </row>
    <row r="41">
      <c r="B41" s="98" t="inlineStr">
        <is>
          <t>Codiagro</t>
        </is>
      </c>
      <c r="C41" s="98" t="inlineStr">
        <is>
          <t>Gastos de personal</t>
        </is>
      </c>
      <c r="D41" s="98" t="inlineStr">
        <is>
          <t>RESULTADO DEL EJERCICIO</t>
        </is>
      </c>
      <c r="E41" s="18" t="inlineStr">
        <is>
          <t>RESULTADO ANTES DE IMPUESTOS</t>
        </is>
      </c>
      <c r="F41" s="18" t="inlineStr">
        <is>
          <t>RESULTADO DE LA EXPLOTACION</t>
        </is>
      </c>
      <c r="G41" s="18" t="inlineStr">
        <is>
          <t>6.- Gastos de personal</t>
        </is>
      </c>
      <c r="H41" s="18" t="inlineStr">
        <is>
          <t>(642) Seguridad social a cargo empresa</t>
        </is>
      </c>
      <c r="I41" s="18" t="n"/>
      <c r="J41" s="98" t="n">
        <v>6</v>
      </c>
      <c r="K41" s="99" t="n">
        <v>1425.930123993924</v>
      </c>
      <c r="L41" s="99">
        <f>+K41/1000</f>
        <v/>
      </c>
      <c r="M41" s="178" t="inlineStr">
        <is>
          <t>CARLOS BARREDA MAS</t>
        </is>
      </c>
      <c r="N41" t="inlineStr">
        <is>
          <t>Personal</t>
        </is>
      </c>
    </row>
    <row r="42">
      <c r="B42" s="98" t="inlineStr">
        <is>
          <t>Codiagro</t>
        </is>
      </c>
      <c r="C42" s="98" t="inlineStr">
        <is>
          <t>Gastos de personal</t>
        </is>
      </c>
      <c r="D42" s="98" t="inlineStr">
        <is>
          <t>RESULTADO DEL EJERCICIO</t>
        </is>
      </c>
      <c r="E42" s="18" t="inlineStr">
        <is>
          <t>RESULTADO ANTES DE IMPUESTOS</t>
        </is>
      </c>
      <c r="F42" s="18" t="inlineStr">
        <is>
          <t>RESULTADO DE LA EXPLOTACION</t>
        </is>
      </c>
      <c r="G42" s="18" t="inlineStr">
        <is>
          <t>6.- Gastos de personal</t>
        </is>
      </c>
      <c r="H42" s="18" t="inlineStr">
        <is>
          <t>(640) Sueldos y salarios</t>
        </is>
      </c>
      <c r="I42" s="18" t="n"/>
      <c r="J42" s="98" t="n">
        <v>7</v>
      </c>
      <c r="K42" s="99" t="n">
        <v>8364.976379563164</v>
      </c>
      <c r="L42" s="99">
        <f>+K42/1000</f>
        <v/>
      </c>
      <c r="M42" s="178" t="inlineStr">
        <is>
          <t>CARLOS BARREDA MAS</t>
        </is>
      </c>
      <c r="N42" t="inlineStr">
        <is>
          <t>Personal</t>
        </is>
      </c>
    </row>
    <row r="43">
      <c r="B43" s="98" t="inlineStr">
        <is>
          <t>Codiagro</t>
        </is>
      </c>
      <c r="C43" s="98" t="inlineStr">
        <is>
          <t>Gastos de personal</t>
        </is>
      </c>
      <c r="D43" s="98" t="inlineStr">
        <is>
          <t>RESULTADO DEL EJERCICIO</t>
        </is>
      </c>
      <c r="E43" s="18" t="inlineStr">
        <is>
          <t>RESULTADO ANTES DE IMPUESTOS</t>
        </is>
      </c>
      <c r="F43" s="18" t="inlineStr">
        <is>
          <t>RESULTADO DE LA EXPLOTACION</t>
        </is>
      </c>
      <c r="G43" s="18" t="inlineStr">
        <is>
          <t>6.- Gastos de personal</t>
        </is>
      </c>
      <c r="H43" s="18" t="inlineStr">
        <is>
          <t>(642) Seguridad social a cargo empresa</t>
        </is>
      </c>
      <c r="I43" s="18" t="n"/>
      <c r="J43" s="98" t="n">
        <v>7</v>
      </c>
      <c r="K43" s="99" t="n">
        <v>1425.930123993924</v>
      </c>
      <c r="L43" s="99">
        <f>+K43/1000</f>
        <v/>
      </c>
      <c r="M43" s="178" t="inlineStr">
        <is>
          <t>CARLOS BARREDA MAS</t>
        </is>
      </c>
      <c r="N43" t="inlineStr">
        <is>
          <t>Personal</t>
        </is>
      </c>
    </row>
    <row r="44">
      <c r="B44" s="98" t="inlineStr">
        <is>
          <t>Codiagro</t>
        </is>
      </c>
      <c r="C44" s="98" t="inlineStr">
        <is>
          <t>Gastos de personal</t>
        </is>
      </c>
      <c r="D44" s="98" t="inlineStr">
        <is>
          <t>RESULTADO DEL EJERCICIO</t>
        </is>
      </c>
      <c r="E44" s="18" t="inlineStr">
        <is>
          <t>RESULTADO ANTES DE IMPUESTOS</t>
        </is>
      </c>
      <c r="F44" s="18" t="inlineStr">
        <is>
          <t>RESULTADO DE LA EXPLOTACION</t>
        </is>
      </c>
      <c r="G44" s="18" t="inlineStr">
        <is>
          <t>6.- Gastos de personal</t>
        </is>
      </c>
      <c r="H44" s="18" t="inlineStr">
        <is>
          <t>(640) Sueldos y salarios</t>
        </is>
      </c>
      <c r="I44" s="18" t="n"/>
      <c r="J44" s="98" t="n">
        <v>8</v>
      </c>
      <c r="K44" s="99" t="n">
        <v>5576.645343057856</v>
      </c>
      <c r="L44" s="99">
        <f>+K44/1000</f>
        <v/>
      </c>
      <c r="M44" s="178" t="inlineStr">
        <is>
          <t>CARLOS BARREDA MAS</t>
        </is>
      </c>
      <c r="N44" t="inlineStr">
        <is>
          <t>Personal</t>
        </is>
      </c>
    </row>
    <row r="45">
      <c r="B45" s="98" t="inlineStr">
        <is>
          <t>Codiagro</t>
        </is>
      </c>
      <c r="C45" s="98" t="inlineStr">
        <is>
          <t>Gastos de personal</t>
        </is>
      </c>
      <c r="D45" s="98" t="inlineStr">
        <is>
          <t>RESULTADO DEL EJERCICIO</t>
        </is>
      </c>
      <c r="E45" s="18" t="inlineStr">
        <is>
          <t>RESULTADO ANTES DE IMPUESTOS</t>
        </is>
      </c>
      <c r="F45" s="18" t="inlineStr">
        <is>
          <t>RESULTADO DE LA EXPLOTACION</t>
        </is>
      </c>
      <c r="G45" s="18" t="inlineStr">
        <is>
          <t>6.- Gastos de personal</t>
        </is>
      </c>
      <c r="H45" s="18" t="inlineStr">
        <is>
          <t>(642) Seguridad social a cargo empresa</t>
        </is>
      </c>
      <c r="I45" s="18" t="n"/>
      <c r="J45" s="98" t="n">
        <v>8</v>
      </c>
      <c r="K45" s="99" t="n">
        <v>950.6191320425331</v>
      </c>
      <c r="L45" s="99">
        <f>+K45/1000</f>
        <v/>
      </c>
      <c r="M45" s="178" t="inlineStr">
        <is>
          <t>CARLOS BARREDA MAS</t>
        </is>
      </c>
      <c r="N45" t="inlineStr">
        <is>
          <t>Personal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1" summaryRight="1"/>
    <pageSetUpPr/>
  </sheetPr>
  <dimension ref="B1:Q35"/>
  <sheetViews>
    <sheetView workbookViewId="0">
      <selection activeCell="D71" sqref="D71"/>
    </sheetView>
  </sheetViews>
  <sheetFormatPr baseColWidth="10" defaultRowHeight="14.5"/>
  <cols>
    <col width="27.54296875" bestFit="1" customWidth="1" min="5" max="5"/>
    <col width="76.26953125" bestFit="1" customWidth="1" min="11" max="11"/>
    <col width="10.81640625" customWidth="1" style="173" min="12" max="12"/>
    <col width="30.81640625" bestFit="1" customWidth="1" min="16" max="16"/>
    <col width="21.81640625" bestFit="1" customWidth="1" min="17" max="17"/>
  </cols>
  <sheetData>
    <row r="1">
      <c r="P1" s="104" t="inlineStr">
        <is>
          <t>Mes report</t>
        </is>
      </c>
      <c r="Q1" t="inlineStr">
        <is>
          <t>(Todas)</t>
        </is>
      </c>
    </row>
    <row r="2" ht="40.5" customHeight="1">
      <c r="B2" s="101" t="inlineStr">
        <is>
          <t>Fecha de contabilización</t>
        </is>
      </c>
      <c r="C2" s="102" t="inlineStr">
        <is>
          <t>Mes report</t>
        </is>
      </c>
      <c r="D2" s="102" t="inlineStr">
        <is>
          <t>Empresa</t>
        </is>
      </c>
      <c r="E2" s="102" t="inlineStr">
        <is>
          <t>Concepto</t>
        </is>
      </c>
      <c r="F2" s="102" t="inlineStr">
        <is>
          <t>Factura</t>
        </is>
      </c>
      <c r="G2" s="102" t="inlineStr">
        <is>
          <t>Cuenta contable</t>
        </is>
      </c>
      <c r="H2" s="102" t="inlineStr">
        <is>
          <t>Normalización</t>
        </is>
      </c>
      <c r="I2" s="102" t="inlineStr">
        <is>
          <t>Nivel 4</t>
        </is>
      </c>
      <c r="J2" s="102" t="inlineStr">
        <is>
          <t>Acreedor/Proveedor</t>
        </is>
      </c>
      <c r="K2" s="102" t="inlineStr">
        <is>
          <t>Detalle</t>
        </is>
      </c>
      <c r="L2" s="179" t="inlineStr">
        <is>
          <t>Importe</t>
        </is>
      </c>
      <c r="M2" s="102" t="inlineStr">
        <is>
          <t>Importe ('000)</t>
        </is>
      </c>
    </row>
    <row r="3" hidden="1">
      <c r="B3" s="95" t="n">
        <v>45667</v>
      </c>
      <c r="C3">
        <f>MONTH(B3)</f>
        <v/>
      </c>
      <c r="D3" t="inlineStr">
        <is>
          <t>CODIAGRO</t>
        </is>
      </c>
      <c r="E3" t="inlineStr">
        <is>
          <t>Indemnizaciones</t>
        </is>
      </c>
      <c r="G3" t="n">
        <v>641000007</v>
      </c>
      <c r="H3" t="inlineStr">
        <is>
          <t>Gastos de personal</t>
        </is>
      </c>
      <c r="K3" t="inlineStr">
        <is>
          <t>INDEMNIZACION MIGUEL BELLES</t>
        </is>
      </c>
      <c r="L3" s="4" t="n">
        <v>112732.33</v>
      </c>
      <c r="M3" t="n">
        <v>112.73233</v>
      </c>
      <c r="P3" s="104" t="inlineStr">
        <is>
          <t>Etiquetas de fila</t>
        </is>
      </c>
      <c r="Q3" t="inlineStr">
        <is>
          <t>Suma de Importe ('000)</t>
        </is>
      </c>
    </row>
    <row r="4" hidden="1">
      <c r="B4" s="95" t="n">
        <v>45734</v>
      </c>
      <c r="C4">
        <f>MONTH(B4)</f>
        <v/>
      </c>
      <c r="D4" t="inlineStr">
        <is>
          <t>CODIAGRO</t>
        </is>
      </c>
      <c r="E4" t="inlineStr">
        <is>
          <t>Costes Transacción</t>
        </is>
      </c>
      <c r="F4" t="inlineStr">
        <is>
          <t>440FVN25000044</t>
        </is>
      </c>
      <c r="G4" t="n">
        <v>623000001</v>
      </c>
      <c r="H4" t="inlineStr">
        <is>
          <t>Otros Gastos Operativos</t>
        </is>
      </c>
      <c r="J4" t="inlineStr">
        <is>
          <t>AUREN CORPORATE</t>
        </is>
      </c>
      <c r="K4" t="inlineStr">
        <is>
          <t>Asesoramiento</t>
        </is>
      </c>
      <c r="L4" s="4" t="n">
        <v>14111.19</v>
      </c>
      <c r="M4" t="n">
        <v>14.11119</v>
      </c>
      <c r="P4" s="19" t="inlineStr">
        <is>
          <t>Costes Transacción</t>
        </is>
      </c>
      <c r="Q4" t="n">
        <v>161.05205</v>
      </c>
    </row>
    <row r="5" hidden="1">
      <c r="B5" s="95" t="n">
        <v>45744</v>
      </c>
      <c r="C5">
        <f>MONTH(B5)</f>
        <v/>
      </c>
      <c r="D5" t="inlineStr">
        <is>
          <t>CODIAGRO</t>
        </is>
      </c>
      <c r="E5" t="inlineStr">
        <is>
          <t>Costes Transacción</t>
        </is>
      </c>
      <c r="F5" t="inlineStr">
        <is>
          <t>440FVN25000048</t>
        </is>
      </c>
      <c r="G5" t="n">
        <v>623000001</v>
      </c>
      <c r="H5" t="inlineStr">
        <is>
          <t>Otros Gastos Operativos</t>
        </is>
      </c>
      <c r="J5" t="inlineStr">
        <is>
          <t>AUREN CORPORATE</t>
        </is>
      </c>
      <c r="K5" t="inlineStr">
        <is>
          <t>Asesoramiento</t>
        </is>
      </c>
      <c r="L5" s="4" t="n">
        <v>4000</v>
      </c>
      <c r="M5" t="n">
        <v>4</v>
      </c>
      <c r="P5" s="19" t="inlineStr">
        <is>
          <t>Gastos periodos anteriores</t>
        </is>
      </c>
      <c r="Q5" t="n">
        <v>134.19399</v>
      </c>
    </row>
    <row r="6" hidden="1">
      <c r="B6" s="95" t="n">
        <v>45776</v>
      </c>
      <c r="C6">
        <f>MONTH(B6)</f>
        <v/>
      </c>
      <c r="D6" t="inlineStr">
        <is>
          <t>CODIAGRO</t>
        </is>
      </c>
      <c r="E6" t="inlineStr">
        <is>
          <t>Costes Transacción</t>
        </is>
      </c>
      <c r="F6" t="inlineStr">
        <is>
          <t>440FVN25000070</t>
        </is>
      </c>
      <c r="G6" t="n">
        <v>623000001</v>
      </c>
      <c r="H6" t="inlineStr">
        <is>
          <t>Otros Gastos Operativos</t>
        </is>
      </c>
      <c r="J6" t="inlineStr">
        <is>
          <t>AUREN CORPORATE</t>
        </is>
      </c>
      <c r="K6" t="inlineStr">
        <is>
          <t>Asesoramiento</t>
        </is>
      </c>
      <c r="L6" s="4" t="n">
        <v>4297.23</v>
      </c>
      <c r="M6" t="n">
        <v>4.29723</v>
      </c>
      <c r="P6" s="19" t="inlineStr">
        <is>
          <t>Gastos Representación</t>
        </is>
      </c>
      <c r="Q6" t="n">
        <v>48.99744</v>
      </c>
    </row>
    <row r="7" hidden="1">
      <c r="B7" s="95" t="n">
        <v>45805</v>
      </c>
      <c r="C7">
        <f>MONTH(B7)</f>
        <v/>
      </c>
      <c r="D7" t="inlineStr">
        <is>
          <t>CODIAGRO</t>
        </is>
      </c>
      <c r="E7" t="inlineStr">
        <is>
          <t>Costes Transacción</t>
        </is>
      </c>
      <c r="F7" t="inlineStr">
        <is>
          <t>440FVN25000094</t>
        </is>
      </c>
      <c r="G7" t="n">
        <v>623000001</v>
      </c>
      <c r="H7" t="inlineStr">
        <is>
          <t>Otros Gastos Operativos</t>
        </is>
      </c>
      <c r="J7" t="inlineStr">
        <is>
          <t>AUREN CORPORATE</t>
        </is>
      </c>
      <c r="K7" t="inlineStr">
        <is>
          <t>Asesoramiento</t>
        </is>
      </c>
      <c r="L7" s="4" t="n">
        <v>4000</v>
      </c>
      <c r="M7" t="n">
        <v>4</v>
      </c>
      <c r="P7" s="19" t="inlineStr">
        <is>
          <t>Indemnizaciones</t>
        </is>
      </c>
      <c r="Q7" t="n">
        <v>112.73233</v>
      </c>
    </row>
    <row r="8">
      <c r="B8" s="95" t="n">
        <v>45838</v>
      </c>
      <c r="C8">
        <f>MONTH(B8)</f>
        <v/>
      </c>
      <c r="D8" t="inlineStr">
        <is>
          <t>CODIAGRO</t>
        </is>
      </c>
      <c r="E8" t="inlineStr">
        <is>
          <t>Costes Transacción</t>
        </is>
      </c>
      <c r="F8" t="inlineStr">
        <is>
          <t>440FVN25000118</t>
        </is>
      </c>
      <c r="G8" t="n">
        <v>623000001</v>
      </c>
      <c r="H8" t="inlineStr">
        <is>
          <t>Otros Gastos Operativos</t>
        </is>
      </c>
      <c r="J8" t="inlineStr">
        <is>
          <t>AUREN CORPORATE</t>
        </is>
      </c>
      <c r="K8" t="inlineStr">
        <is>
          <t>Asesoramiento</t>
        </is>
      </c>
      <c r="L8" s="173" t="n">
        <v>4000</v>
      </c>
      <c r="M8" t="n">
        <v>4</v>
      </c>
      <c r="P8" s="19" t="inlineStr">
        <is>
          <t>TICS</t>
        </is>
      </c>
      <c r="Q8" t="n">
        <v>1.8</v>
      </c>
    </row>
    <row r="9" hidden="1">
      <c r="B9" s="95" t="n">
        <v>45866</v>
      </c>
      <c r="C9">
        <f>MONTH(B9)</f>
        <v/>
      </c>
      <c r="D9" t="inlineStr">
        <is>
          <t>CODIAGRO</t>
        </is>
      </c>
      <c r="E9" t="inlineStr">
        <is>
          <t>Costes Transacción</t>
        </is>
      </c>
      <c r="F9" t="inlineStr">
        <is>
          <t>440FVN25000150</t>
        </is>
      </c>
      <c r="G9" t="n">
        <v>623000001</v>
      </c>
      <c r="H9" t="inlineStr">
        <is>
          <t>Otros Gastos Operativos</t>
        </is>
      </c>
      <c r="J9" t="inlineStr">
        <is>
          <t>AUREN CORPORATE</t>
        </is>
      </c>
      <c r="K9" t="inlineStr">
        <is>
          <t>Asesoramiento</t>
        </is>
      </c>
      <c r="L9" s="4" t="n">
        <v>4589.25</v>
      </c>
      <c r="M9" t="n">
        <v>4.58925</v>
      </c>
      <c r="P9" s="19" t="inlineStr">
        <is>
          <t>Gastos de personal</t>
        </is>
      </c>
      <c r="Q9" t="n">
        <v>310.01329</v>
      </c>
    </row>
    <row r="10" hidden="1">
      <c r="B10" s="95" t="n">
        <v>45901</v>
      </c>
      <c r="C10">
        <f>MONTH(B10)</f>
        <v/>
      </c>
      <c r="D10" t="inlineStr">
        <is>
          <t>CODIAGRO</t>
        </is>
      </c>
      <c r="E10" t="inlineStr">
        <is>
          <t>Costes Transacción</t>
        </is>
      </c>
      <c r="F10" t="inlineStr">
        <is>
          <t>440FVN25000171</t>
        </is>
      </c>
      <c r="G10" t="n">
        <v>623000001</v>
      </c>
      <c r="H10" t="inlineStr">
        <is>
          <t>Otros Gastos Operativos</t>
        </is>
      </c>
      <c r="J10" t="inlineStr">
        <is>
          <t>AUREN CORPORATE</t>
        </is>
      </c>
      <c r="K10" t="inlineStr">
        <is>
          <t>Asesoramiento</t>
        </is>
      </c>
      <c r="L10" s="4" t="n">
        <v>4000</v>
      </c>
      <c r="M10" t="n">
        <v>4</v>
      </c>
      <c r="P10" s="19" t="inlineStr">
        <is>
          <t>Rappel Dotra (cliente Egipto) 2024</t>
        </is>
      </c>
      <c r="Q10" t="n">
        <v>139.50071</v>
      </c>
    </row>
    <row r="11" hidden="1">
      <c r="B11" s="95" t="n">
        <v>45929</v>
      </c>
      <c r="C11">
        <f>MONTH(B11)</f>
        <v/>
      </c>
      <c r="D11" t="inlineStr">
        <is>
          <t>CODIAGRO</t>
        </is>
      </c>
      <c r="E11" t="inlineStr">
        <is>
          <t>Costes Transacción</t>
        </is>
      </c>
      <c r="F11" t="inlineStr">
        <is>
          <t>440FVN25000191</t>
        </is>
      </c>
      <c r="G11" t="n">
        <v>623000001</v>
      </c>
      <c r="H11" t="inlineStr">
        <is>
          <t>Otros Gastos Operativos</t>
        </is>
      </c>
      <c r="J11" t="inlineStr">
        <is>
          <t>AUREN CORPORATE</t>
        </is>
      </c>
      <c r="K11" t="inlineStr">
        <is>
          <t>Asesoramiento</t>
        </is>
      </c>
      <c r="L11" s="4" t="n">
        <v>4054.38</v>
      </c>
      <c r="M11" t="n">
        <v>4.05438</v>
      </c>
      <c r="P11" s="19" t="inlineStr">
        <is>
          <t>Reparaciones extraordinarias</t>
        </is>
      </c>
      <c r="Q11" t="n">
        <v>50.39565</v>
      </c>
    </row>
    <row r="12" hidden="1">
      <c r="B12" s="95" t="n">
        <v>45875</v>
      </c>
      <c r="C12">
        <f>MONTH(B12)</f>
        <v/>
      </c>
      <c r="D12" t="inlineStr">
        <is>
          <t>CODIAGRO</t>
        </is>
      </c>
      <c r="E12" t="inlineStr">
        <is>
          <t>Gastos Representación</t>
        </is>
      </c>
      <c r="F12" t="inlineStr">
        <is>
          <t>52/000095</t>
        </is>
      </c>
      <c r="G12" t="n">
        <v>627000005</v>
      </c>
      <c r="H12" t="inlineStr">
        <is>
          <t>Otros Gastos Operativos</t>
        </is>
      </c>
      <c r="J12" t="inlineStr">
        <is>
          <t>VILLARREAL CLUB DE FUTBOL</t>
        </is>
      </c>
      <c r="K12" t="inlineStr">
        <is>
          <t>PALCO TEMPORADA</t>
        </is>
      </c>
      <c r="L12" s="4" t="n">
        <v>40493.75</v>
      </c>
      <c r="M12" t="n">
        <v>40.49375</v>
      </c>
      <c r="P12" s="19" t="inlineStr">
        <is>
          <t>Total general</t>
        </is>
      </c>
      <c r="Q12" t="n">
        <v>958.68546</v>
      </c>
    </row>
    <row r="13" hidden="1">
      <c r="B13" s="95" t="n">
        <v>45875</v>
      </c>
      <c r="C13">
        <f>MONTH(B13)</f>
        <v/>
      </c>
      <c r="D13" t="inlineStr">
        <is>
          <t>CODIAGRO</t>
        </is>
      </c>
      <c r="E13" t="inlineStr">
        <is>
          <t>Gastos Representación</t>
        </is>
      </c>
      <c r="F13" t="inlineStr">
        <is>
          <t>52/000095</t>
        </is>
      </c>
      <c r="G13" t="n">
        <v>634100000</v>
      </c>
      <c r="H13" t="inlineStr">
        <is>
          <t>Otros Gastos Operativos</t>
        </is>
      </c>
      <c r="J13" t="inlineStr">
        <is>
          <t>VILLARREAL CLUB DE FUTBOL</t>
        </is>
      </c>
      <c r="K13" t="inlineStr">
        <is>
          <t>IVA NO DEDUCIBLE del Palco</t>
        </is>
      </c>
      <c r="L13" t="n">
        <v>8503.690000000001</v>
      </c>
      <c r="M13" t="n">
        <v>8.503690000000001</v>
      </c>
    </row>
    <row r="14" hidden="1">
      <c r="B14" s="95" t="n">
        <v>45962</v>
      </c>
      <c r="C14">
        <f>MONTH(B14)</f>
        <v/>
      </c>
      <c r="D14" t="inlineStr">
        <is>
          <t>CODIAGRO</t>
        </is>
      </c>
      <c r="E14" t="inlineStr">
        <is>
          <t>Costes Transacción</t>
        </is>
      </c>
      <c r="F14" t="n">
        <v>3522900376</v>
      </c>
      <c r="G14" t="n">
        <v>623000001</v>
      </c>
      <c r="H14" t="inlineStr">
        <is>
          <t>Otros Gastos Operativos</t>
        </is>
      </c>
      <c r="J14" t="inlineStr">
        <is>
          <t>KPMG</t>
        </is>
      </c>
      <c r="K14" t="inlineStr">
        <is>
          <t>VENDOR DIU DILIGENCE</t>
        </is>
      </c>
      <c r="L14" t="n">
        <v>118000</v>
      </c>
      <c r="M14" t="n">
        <v>118</v>
      </c>
    </row>
    <row r="15" hidden="1">
      <c r="B15" s="95" t="n">
        <v>45993</v>
      </c>
      <c r="C15">
        <f>MONTH(B15)</f>
        <v/>
      </c>
      <c r="D15" t="inlineStr">
        <is>
          <t>CODIAGRO</t>
        </is>
      </c>
      <c r="E15" t="inlineStr">
        <is>
          <t>TICS</t>
        </is>
      </c>
      <c r="G15" t="n">
        <v>623000001</v>
      </c>
      <c r="H15" t="inlineStr">
        <is>
          <t>Otros Gastos Operativos</t>
        </is>
      </c>
      <c r="J15" t="inlineStr">
        <is>
          <t>INTRALINKS</t>
        </is>
      </c>
      <c r="K15" t="inlineStr">
        <is>
          <t>NUBE PARA LA DOCUMENTACION</t>
        </is>
      </c>
      <c r="L15" t="n">
        <v>1800</v>
      </c>
      <c r="M15" t="n">
        <v>1.8</v>
      </c>
    </row>
    <row r="16" hidden="1">
      <c r="B16" s="95" t="n">
        <v>45748</v>
      </c>
      <c r="C16">
        <f>MONTH(B16)</f>
        <v/>
      </c>
      <c r="D16" t="inlineStr">
        <is>
          <t>CODIAGRO</t>
        </is>
      </c>
      <c r="E16" t="inlineStr">
        <is>
          <t>Reparaciones extraordinarias</t>
        </is>
      </c>
      <c r="F16" t="inlineStr">
        <is>
          <t>153/25</t>
        </is>
      </c>
      <c r="G16" t="n">
        <v>622010201</v>
      </c>
      <c r="H16" t="inlineStr">
        <is>
          <t>Otros Gastos Operativos</t>
        </is>
      </c>
      <c r="J16" t="inlineStr">
        <is>
          <t>MAQUISEL SERVICIOS QUIMICOS, S.L.L.</t>
        </is>
      </c>
      <c r="K16" t="inlineStr">
        <is>
          <t>REPARACION ALCAPLANT CADA 6/7 AÑOS</t>
        </is>
      </c>
      <c r="L16" t="n">
        <v>11502.5</v>
      </c>
      <c r="M16" t="n">
        <v>11.5025</v>
      </c>
      <c r="Q16" s="103" t="n"/>
    </row>
    <row r="17" hidden="1">
      <c r="B17" s="95" t="n">
        <v>45748</v>
      </c>
      <c r="C17">
        <f>MONTH(B17)</f>
        <v/>
      </c>
      <c r="D17" t="inlineStr">
        <is>
          <t>CODIAGRO</t>
        </is>
      </c>
      <c r="E17" t="inlineStr">
        <is>
          <t>Reparaciones extraordinarias</t>
        </is>
      </c>
      <c r="F17" t="inlineStr">
        <is>
          <t>154/25</t>
        </is>
      </c>
      <c r="G17" t="n">
        <v>622010201</v>
      </c>
      <c r="H17" t="inlineStr">
        <is>
          <t>Otros Gastos Operativos</t>
        </is>
      </c>
      <c r="J17" t="inlineStr">
        <is>
          <t>MAQUISEL SERVICIOS QUIMICOS, S.L.L.</t>
        </is>
      </c>
      <c r="K17" t="inlineStr">
        <is>
          <t>REPARACION ALCAPLANT CADA 6/7 AÑOS</t>
        </is>
      </c>
      <c r="L17" t="n">
        <v>11049.5</v>
      </c>
      <c r="M17" t="n">
        <v>11.0495</v>
      </c>
    </row>
    <row r="18" hidden="1">
      <c r="B18" s="95" t="n">
        <v>45992</v>
      </c>
      <c r="C18">
        <f>MONTH(B18)</f>
        <v/>
      </c>
      <c r="D18" t="inlineStr">
        <is>
          <t>CODIAGRO</t>
        </is>
      </c>
      <c r="E18" t="inlineStr">
        <is>
          <t>Reparaciones extraordinarias</t>
        </is>
      </c>
      <c r="F18" t="inlineStr">
        <is>
          <t>278/25</t>
        </is>
      </c>
      <c r="G18" t="n">
        <v>622010201</v>
      </c>
      <c r="H18" t="inlineStr">
        <is>
          <t>Otros Gastos Operativos</t>
        </is>
      </c>
      <c r="J18" t="inlineStr">
        <is>
          <t>MAQUISEL SERVICIOS QUIMICOS, S.L.L.</t>
        </is>
      </c>
      <c r="K18" t="inlineStr">
        <is>
          <t>REPARACION ALCAPLANT CADA 6/7 AÑOS</t>
        </is>
      </c>
      <c r="L18" t="n">
        <v>12968</v>
      </c>
      <c r="M18" t="n">
        <v>12.968</v>
      </c>
    </row>
    <row r="19" hidden="1">
      <c r="B19" s="95" t="n">
        <v>45992</v>
      </c>
      <c r="C19">
        <f>MONTH(B19)</f>
        <v/>
      </c>
      <c r="D19" t="inlineStr">
        <is>
          <t>CODIAGRO</t>
        </is>
      </c>
      <c r="E19" t="inlineStr">
        <is>
          <t>Reparaciones extraordinarias</t>
        </is>
      </c>
      <c r="F19" t="inlineStr">
        <is>
          <t>560/25</t>
        </is>
      </c>
      <c r="G19" t="n">
        <v>622000006</v>
      </c>
      <c r="H19" t="inlineStr">
        <is>
          <t>Otros Gastos Operativos</t>
        </is>
      </c>
      <c r="J19" t="inlineStr">
        <is>
          <t>MAQUISEL SERVICIOS QUIMICOS, S.L.L.</t>
        </is>
      </c>
      <c r="L19" t="n">
        <v>4897</v>
      </c>
      <c r="M19" t="n">
        <v>4.897</v>
      </c>
    </row>
    <row r="20" hidden="1">
      <c r="B20" s="95" t="n">
        <v>45713</v>
      </c>
      <c r="C20">
        <f>MONTH(B20)</f>
        <v/>
      </c>
      <c r="D20" t="inlineStr">
        <is>
          <t>CODIAGRO</t>
        </is>
      </c>
      <c r="E20" t="inlineStr">
        <is>
          <t>Reparaciones extraordinarias</t>
        </is>
      </c>
      <c r="F20" t="n">
        <v>25000332</v>
      </c>
      <c r="G20" t="n">
        <v>622010200</v>
      </c>
      <c r="H20" t="inlineStr">
        <is>
          <t>Otros Gastos Operativos</t>
        </is>
      </c>
      <c r="J20" t="inlineStr">
        <is>
          <t>OLIVER &amp; BATLLE, S.A.</t>
        </is>
      </c>
      <c r="K20" t="inlineStr">
        <is>
          <t>REPARACION ALCAPLANT CADA 6/7 AÑOS</t>
        </is>
      </c>
      <c r="L20" t="n">
        <v>9978.65</v>
      </c>
      <c r="M20" t="n">
        <v>9.97865</v>
      </c>
    </row>
    <row r="21" hidden="1">
      <c r="B21" s="95" t="n">
        <v>45721</v>
      </c>
      <c r="C21">
        <f>MONTH(B21)</f>
        <v/>
      </c>
      <c r="D21" t="inlineStr">
        <is>
          <t>CODIAGRO</t>
        </is>
      </c>
      <c r="E21" t="inlineStr">
        <is>
          <t>Gastos periodos anteriores</t>
        </is>
      </c>
      <c r="G21" t="n">
        <v>627000008</v>
      </c>
      <c r="H21" t="inlineStr">
        <is>
          <t>Otros Gastos Operativos</t>
        </is>
      </c>
      <c r="K21" t="inlineStr">
        <is>
          <t>Marketing 2024 Marcoser</t>
        </is>
      </c>
      <c r="L21" t="n">
        <v>8479.84</v>
      </c>
      <c r="M21" t="n">
        <v>8.479839999999999</v>
      </c>
    </row>
    <row r="22" hidden="1">
      <c r="B22" s="95" t="n">
        <v>45677</v>
      </c>
      <c r="C22">
        <f>MONTH(B22)</f>
        <v/>
      </c>
      <c r="D22" t="inlineStr">
        <is>
          <t>CODIAGRO</t>
        </is>
      </c>
      <c r="E22" t="inlineStr">
        <is>
          <t>Gastos periodos anteriores</t>
        </is>
      </c>
      <c r="G22" t="n">
        <v>623100006</v>
      </c>
      <c r="H22" t="inlineStr">
        <is>
          <t>Otros Gastos Operativos</t>
        </is>
      </c>
      <c r="K22" t="inlineStr">
        <is>
          <t>Comisiones 2024 Alfonso (agricola Juncar)</t>
        </is>
      </c>
      <c r="L22" t="n">
        <v>21135</v>
      </c>
      <c r="M22" t="n">
        <v>21.135</v>
      </c>
    </row>
    <row r="23" hidden="1">
      <c r="B23" s="95" t="n">
        <v>45660</v>
      </c>
      <c r="C23">
        <f>MONTH(B23)</f>
        <v/>
      </c>
      <c r="D23" t="inlineStr">
        <is>
          <t>CODIAGRO</t>
        </is>
      </c>
      <c r="E23" t="inlineStr">
        <is>
          <t>Gastos periodos anteriores</t>
        </is>
      </c>
      <c r="G23" t="n">
        <v>623100007</v>
      </c>
      <c r="H23" t="inlineStr">
        <is>
          <t>Otros Gastos Operativos</t>
        </is>
      </c>
      <c r="K23" t="inlineStr">
        <is>
          <t>Comisiones 2024 Mehmet</t>
        </is>
      </c>
      <c r="L23" t="n">
        <v>18863.51</v>
      </c>
      <c r="M23" t="n">
        <v>18.86351</v>
      </c>
    </row>
    <row r="24" hidden="1">
      <c r="B24" s="95" t="n">
        <v>45692</v>
      </c>
      <c r="C24">
        <f>MONTH(B24)</f>
        <v/>
      </c>
      <c r="D24" t="inlineStr">
        <is>
          <t>CODIAGRO</t>
        </is>
      </c>
      <c r="E24" t="inlineStr">
        <is>
          <t>Gastos periodos anteriores</t>
        </is>
      </c>
      <c r="G24" t="n">
        <v>623100007</v>
      </c>
      <c r="H24" t="inlineStr">
        <is>
          <t>Otros Gastos Operativos</t>
        </is>
      </c>
      <c r="K24" t="inlineStr">
        <is>
          <t>Comisiones 2024 Mehmet</t>
        </is>
      </c>
      <c r="L24" t="n">
        <v>3423.3</v>
      </c>
      <c r="M24" t="n">
        <v>3.4233</v>
      </c>
    </row>
    <row r="25">
      <c r="B25" s="95" t="n">
        <v>45838</v>
      </c>
      <c r="C25">
        <f>MONTH(B25)</f>
        <v/>
      </c>
      <c r="D25" t="inlineStr">
        <is>
          <t>CODIAGRO</t>
        </is>
      </c>
      <c r="E25" t="inlineStr">
        <is>
          <t>Gastos de personal</t>
        </is>
      </c>
      <c r="G25" t="n">
        <v>640000000</v>
      </c>
      <c r="H25" t="inlineStr">
        <is>
          <t>Gastos de personal</t>
        </is>
      </c>
      <c r="K25" t="inlineStr">
        <is>
          <t>Importe Producción-Planta 2024</t>
        </is>
      </c>
      <c r="L25" s="173" t="n">
        <v>26136.49</v>
      </c>
      <c r="M25" t="n">
        <v>26.13649</v>
      </c>
    </row>
    <row r="26" hidden="1">
      <c r="B26" s="95" t="n">
        <v>45930</v>
      </c>
      <c r="C26">
        <f>MONTH(B26)</f>
        <v/>
      </c>
      <c r="D26" t="inlineStr">
        <is>
          <t>CODIAGRO</t>
        </is>
      </c>
      <c r="E26" t="inlineStr">
        <is>
          <t>Gastos de personal</t>
        </is>
      </c>
      <c r="G26" t="n">
        <v>647000000</v>
      </c>
      <c r="H26" t="inlineStr">
        <is>
          <t>Gastos de personal</t>
        </is>
      </c>
      <c r="K26" t="inlineStr">
        <is>
          <t>Retribución consejo 2024</t>
        </is>
      </c>
      <c r="L26" t="n">
        <v>65849.57000000001</v>
      </c>
      <c r="M26" t="n">
        <v>65.84957</v>
      </c>
    </row>
    <row r="27">
      <c r="B27" s="95" t="n">
        <v>45827</v>
      </c>
      <c r="C27">
        <f>MONTH(B27)</f>
        <v/>
      </c>
      <c r="D27" t="inlineStr">
        <is>
          <t>CODIAGRO</t>
        </is>
      </c>
      <c r="E27" t="inlineStr">
        <is>
          <t>Gastos periodos anteriores</t>
        </is>
      </c>
      <c r="G27" t="n">
        <v>623000001</v>
      </c>
      <c r="H27" t="inlineStr">
        <is>
          <t>Otros Gastos Operativos</t>
        </is>
      </c>
      <c r="K27" t="inlineStr">
        <is>
          <t>Comisiones Eurofertil 2024</t>
        </is>
      </c>
      <c r="L27" s="173" t="n">
        <v>10969.96</v>
      </c>
      <c r="M27" t="n">
        <v>10.96996</v>
      </c>
    </row>
    <row r="28" hidden="1">
      <c r="B28" s="95" t="n">
        <v>45740</v>
      </c>
      <c r="C28">
        <f>MONTH(B28)</f>
        <v/>
      </c>
      <c r="D28" t="inlineStr">
        <is>
          <t>CODIAGRO</t>
        </is>
      </c>
      <c r="E28" t="inlineStr">
        <is>
          <t>Gastos periodos anteriores</t>
        </is>
      </c>
      <c r="G28" t="n">
        <v>623000001</v>
      </c>
      <c r="H28" t="inlineStr">
        <is>
          <t>Otros Gastos Operativos</t>
        </is>
      </c>
      <c r="K28" t="inlineStr">
        <is>
          <t>Comisiones Eurofertil 2024,2023,2022</t>
        </is>
      </c>
      <c r="L28" t="n">
        <v>50283.36</v>
      </c>
      <c r="M28" t="n">
        <v>50.28336</v>
      </c>
    </row>
    <row r="29" hidden="1">
      <c r="B29" s="95" t="n">
        <v>45775</v>
      </c>
      <c r="C29">
        <f>MONTH(B29)</f>
        <v/>
      </c>
      <c r="D29" t="inlineStr">
        <is>
          <t>CODIAGRO</t>
        </is>
      </c>
      <c r="E29" t="inlineStr">
        <is>
          <t>Rappel Dotra (cliente Egipto) 2024</t>
        </is>
      </c>
      <c r="G29" t="n">
        <v>709000000</v>
      </c>
      <c r="H29" t="inlineStr">
        <is>
          <t>Ventas</t>
        </is>
      </c>
      <c r="K29" t="inlineStr">
        <is>
          <t>Rappel Dotra (cliente Egipto) 2024</t>
        </is>
      </c>
      <c r="L29" t="n">
        <v>102533.02</v>
      </c>
      <c r="M29" t="n">
        <v>102.53302</v>
      </c>
    </row>
    <row r="30" hidden="1">
      <c r="B30" s="95" t="n">
        <v>45775</v>
      </c>
      <c r="C30">
        <f>MONTH(B30)</f>
        <v/>
      </c>
      <c r="D30" t="inlineStr">
        <is>
          <t>CODIAGRO</t>
        </is>
      </c>
      <c r="E30" t="inlineStr">
        <is>
          <t>Rappel Dotra (cliente Egipto) 2024</t>
        </is>
      </c>
      <c r="G30" t="n">
        <v>709000000</v>
      </c>
      <c r="H30" t="inlineStr">
        <is>
          <t>Ventas</t>
        </is>
      </c>
      <c r="K30" t="inlineStr">
        <is>
          <t>Rappel Dotra (cliente Egipto) 2024</t>
        </is>
      </c>
      <c r="L30" t="n">
        <v>36967.69</v>
      </c>
      <c r="M30" t="n">
        <v>36.96769</v>
      </c>
    </row>
    <row r="31" hidden="1">
      <c r="B31" s="95" t="n">
        <v>45716</v>
      </c>
      <c r="C31">
        <f>MONTH(B31)</f>
        <v/>
      </c>
      <c r="D31" t="inlineStr">
        <is>
          <t>CODIAGRO</t>
        </is>
      </c>
      <c r="E31" t="inlineStr">
        <is>
          <t>Gastos de personal</t>
        </is>
      </c>
      <c r="G31" t="n">
        <v>640000000</v>
      </c>
      <c r="H31" t="inlineStr">
        <is>
          <t>Gastos de personal</t>
        </is>
      </c>
      <c r="K31" t="inlineStr">
        <is>
          <t>Bonus 2024</t>
        </is>
      </c>
      <c r="L31" t="n">
        <v>135000</v>
      </c>
      <c r="M31" t="n">
        <v>135</v>
      </c>
    </row>
    <row r="32" hidden="1">
      <c r="B32" s="95" t="n">
        <v>45665</v>
      </c>
      <c r="C32">
        <f>MONTH(B32)</f>
        <v/>
      </c>
      <c r="D32" t="inlineStr">
        <is>
          <t>CODIAGRO</t>
        </is>
      </c>
      <c r="E32" t="inlineStr">
        <is>
          <t>Gastos periodos anteriores</t>
        </is>
      </c>
      <c r="G32" t="n">
        <v>627000010</v>
      </c>
      <c r="H32" t="inlineStr">
        <is>
          <t>Otros Gastos Operativos</t>
        </is>
      </c>
      <c r="K32" t="inlineStr">
        <is>
          <t>Promoción 2023 Tecnicos Campo Egido</t>
        </is>
      </c>
      <c r="L32" t="n">
        <v>9175.459999999999</v>
      </c>
      <c r="M32" t="n">
        <v>9.175459999999999</v>
      </c>
    </row>
    <row r="33" hidden="1">
      <c r="B33" s="95" t="n">
        <v>45761</v>
      </c>
      <c r="C33">
        <f>MONTH(B33)</f>
        <v/>
      </c>
      <c r="D33" t="inlineStr">
        <is>
          <t>CODIAGRO</t>
        </is>
      </c>
      <c r="E33" t="inlineStr">
        <is>
          <t>Gastos periodos anteriores</t>
        </is>
      </c>
      <c r="G33" t="n">
        <v>627000010</v>
      </c>
      <c r="H33" t="inlineStr">
        <is>
          <t>Otros Gastos Operativos</t>
        </is>
      </c>
      <c r="K33" t="inlineStr">
        <is>
          <t>Promoción 2024 Tecnicos Campo Egido</t>
        </is>
      </c>
      <c r="L33" t="n">
        <v>11863.56</v>
      </c>
      <c r="M33" t="n">
        <v>11.86356</v>
      </c>
    </row>
    <row r="34" hidden="1">
      <c r="B34" s="95" t="n">
        <v>45688</v>
      </c>
      <c r="C34">
        <f>MONTH(B34)</f>
        <v/>
      </c>
      <c r="D34" t="inlineStr">
        <is>
          <t>CODIAGRO</t>
        </is>
      </c>
      <c r="E34" t="inlineStr">
        <is>
          <t>Gastos de personal</t>
        </is>
      </c>
      <c r="G34" t="n">
        <v>640000000</v>
      </c>
      <c r="H34" t="inlineStr">
        <is>
          <t>Gastos de personal</t>
        </is>
      </c>
      <c r="K34" t="inlineStr">
        <is>
          <t>Comisiones Comercial en nomina de periodo de junio a diciembre 2024 - Pendiente el asiento</t>
        </is>
      </c>
      <c r="L34" t="n">
        <v>41513.61500000001</v>
      </c>
      <c r="M34" t="n">
        <v>41.51361500000001</v>
      </c>
    </row>
    <row r="35">
      <c r="B35" s="95" t="n">
        <v>45838</v>
      </c>
      <c r="C35">
        <f>MONTH(B35)</f>
        <v/>
      </c>
      <c r="D35" t="inlineStr">
        <is>
          <t>CODIAGRO</t>
        </is>
      </c>
      <c r="E35" t="inlineStr">
        <is>
          <t>Gastos de personal</t>
        </is>
      </c>
      <c r="G35" t="n">
        <v>640000000</v>
      </c>
      <c r="H35" t="inlineStr">
        <is>
          <t>Gastos de personal</t>
        </is>
      </c>
      <c r="K35" t="inlineStr">
        <is>
          <t>Comisiones Comercial en nomina de periodo de junio a diciembre 2024 - Pendiente el asiento</t>
        </is>
      </c>
      <c r="L35" s="173" t="n">
        <v>41513.61500000001</v>
      </c>
      <c r="M35" t="n">
        <v>41.51361500000001</v>
      </c>
    </row>
  </sheetData>
  <autoFilter ref="B2:M35">
    <filterColumn colId="0" hiddenButton="0" showButton="1">
      <filters>
        <dateGroupItem year="2025" month="6" dateTimeGrouping="month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15"/>
  <sheetViews>
    <sheetView topLeftCell="A193" workbookViewId="0">
      <selection activeCell="D71" sqref="D71"/>
    </sheetView>
  </sheetViews>
  <sheetFormatPr baseColWidth="10" defaultRowHeight="14.5"/>
  <cols>
    <col width="62.1796875" bestFit="1" customWidth="1" min="1" max="1"/>
    <col width="12.7265625" bestFit="1" customWidth="1" style="173" min="2" max="2"/>
  </cols>
  <sheetData>
    <row r="1">
      <c r="A1" s="1" t="inlineStr">
        <is>
          <t>AGOSTO</t>
        </is>
      </c>
    </row>
    <row r="2">
      <c r="A2" t="inlineStr">
        <is>
          <t>Cuenta</t>
        </is>
      </c>
      <c r="B2" s="173" t="inlineStr">
        <is>
          <t xml:space="preserve"> SALDO </t>
        </is>
      </c>
    </row>
    <row r="3">
      <c r="A3" t="inlineStr">
        <is>
          <t>700000000 - Ventas de mercaderías</t>
        </is>
      </c>
      <c r="B3" s="173" t="n">
        <v>802410.5600000001</v>
      </c>
    </row>
    <row r="4">
      <c r="A4" t="inlineStr">
        <is>
          <t>700000001 - VENTA MERCADERIAS POR ANTICIPO</t>
        </is>
      </c>
      <c r="B4" s="173" t="n">
        <v>0</v>
      </c>
    </row>
    <row r="5">
      <c r="A5" t="inlineStr">
        <is>
          <t>700000624 - VENTA POR TRANSP. REP. AL CLIENTE</t>
        </is>
      </c>
      <c r="B5" s="173" t="inlineStr">
        <is>
          <t xml:space="preserve">                                             -  </t>
        </is>
      </c>
    </row>
    <row r="6">
      <c r="A6" t="inlineStr">
        <is>
          <t>700001624 - VENTA POR TRANSPORTE REP. AL CLIENTE DEFINITIVO</t>
        </is>
      </c>
      <c r="B6" s="173" t="n">
        <v>11429</v>
      </c>
    </row>
    <row r="7">
      <c r="A7" t="inlineStr">
        <is>
          <t>700000769 - INGRESOS POR RETRASOS DE COBRO Y ACTUALIZACION</t>
        </is>
      </c>
      <c r="B7" s="173" t="inlineStr">
        <is>
          <t xml:space="preserve">                                             -  </t>
        </is>
      </c>
    </row>
    <row r="8">
      <c r="A8" t="inlineStr">
        <is>
          <t>700000769 - INGRESOS POR RETRASOS DE COBRO Y ACTUALIZACION</t>
        </is>
      </c>
      <c r="B8" s="173" t="inlineStr">
        <is>
          <t xml:space="preserve">                                             -  </t>
        </is>
      </c>
    </row>
    <row r="9">
      <c r="A9" t="inlineStr">
        <is>
          <t>702000000 - Ventas de productos semiterminados</t>
        </is>
      </c>
      <c r="B9" s="173" t="n">
        <v>141074.4</v>
      </c>
    </row>
    <row r="10">
      <c r="A10" t="inlineStr">
        <is>
          <t>703000000 - Ventas de subproductos y residuos</t>
        </is>
      </c>
      <c r="B10" s="173" t="inlineStr">
        <is>
          <t xml:space="preserve">                                             -  </t>
        </is>
      </c>
    </row>
    <row r="11">
      <c r="A11" t="inlineStr">
        <is>
          <t>704000000 - Ventas de envases y embalajes</t>
        </is>
      </c>
      <c r="B11" s="173" t="n">
        <v>59572.72</v>
      </c>
    </row>
    <row r="12">
      <c r="A12" t="inlineStr">
        <is>
          <t>705000000 - Prestaciones de servicios</t>
        </is>
      </c>
      <c r="B12" s="173" t="n">
        <v>101520</v>
      </c>
    </row>
    <row r="13">
      <c r="A13" t="inlineStr">
        <is>
          <t>705000001 - INGRESO POR GESTIÓN DE ENVASES</t>
        </is>
      </c>
      <c r="B13" s="173" t="n">
        <v>1694.59</v>
      </c>
    </row>
    <row r="14">
      <c r="A14" t="inlineStr">
        <is>
          <t>706000000 - Dtos. ventas por pronto pago mercaderías</t>
        </is>
      </c>
      <c r="B14" s="173" t="inlineStr">
        <is>
          <t xml:space="preserve">                                             -  </t>
        </is>
      </c>
    </row>
    <row r="15">
      <c r="A15" t="inlineStr">
        <is>
          <t>709000000 - «Rappels» ventas de mercaderías</t>
        </is>
      </c>
      <c r="B15" s="173" t="inlineStr">
        <is>
          <t xml:space="preserve">                                             -  </t>
        </is>
      </c>
    </row>
    <row r="16">
      <c r="A16" t="inlineStr">
        <is>
          <t>709000001 - PROVISION RAPPELS</t>
        </is>
      </c>
      <c r="B16" s="173" t="n">
        <v>-16000</v>
      </c>
    </row>
    <row r="17">
      <c r="A17" t="inlineStr">
        <is>
          <t>771000000 - Beneficios del inmovilizado material</t>
        </is>
      </c>
      <c r="B17" s="173" t="inlineStr">
        <is>
          <t xml:space="preserve">                                             -  </t>
        </is>
      </c>
    </row>
    <row r="18">
      <c r="A18" t="inlineStr">
        <is>
          <t>678000000 - Gastos excepcionales</t>
        </is>
      </c>
      <c r="B18" s="173" t="n">
        <v>-0.02</v>
      </c>
    </row>
    <row r="19">
      <c r="A19" t="inlineStr">
        <is>
          <t>778000000 - Ingresos excepcionales</t>
        </is>
      </c>
      <c r="B19" s="173" t="n">
        <v>0.01</v>
      </c>
    </row>
    <row r="20">
      <c r="A20" t="inlineStr">
        <is>
          <t>711000000 - Variación existencias de prod. semiterminados</t>
        </is>
      </c>
      <c r="B20" s="173" t="n">
        <v>27557.62</v>
      </c>
    </row>
    <row r="21">
      <c r="A21" t="inlineStr">
        <is>
          <t>712000000 - Variación existencias de prod. terminados</t>
        </is>
      </c>
      <c r="B21" s="173" t="n">
        <v>-20822.98</v>
      </c>
    </row>
    <row r="22">
      <c r="A22" t="inlineStr">
        <is>
          <t>601000000 - Compras de materias primas</t>
        </is>
      </c>
      <c r="B22" s="173" t="n">
        <v>-265516.84</v>
      </c>
    </row>
    <row r="23">
      <c r="A23" t="inlineStr">
        <is>
          <t>601000001 - COMPRAS MAT. PRIMAS INTRACOMUNITARIAS</t>
        </is>
      </c>
      <c r="B23" s="173" t="n">
        <v>-64800</v>
      </c>
    </row>
    <row r="24">
      <c r="A24" t="inlineStr">
        <is>
          <t>602000001 - COMPRA DE ENVASES Y EMBALAJES</t>
        </is>
      </c>
      <c r="B24" s="173" t="n">
        <v>-68178.75999999999</v>
      </c>
    </row>
    <row r="25">
      <c r="A25" t="inlineStr">
        <is>
          <t>602000000 - Compras de otros aprovisionamientos</t>
        </is>
      </c>
      <c r="B25" s="173" t="inlineStr">
        <is>
          <t xml:space="preserve">                                             -  </t>
        </is>
      </c>
    </row>
    <row r="26">
      <c r="A26" t="inlineStr">
        <is>
          <t>602000002 - COMPRA DE ETIQUETAS</t>
        </is>
      </c>
      <c r="B26" s="173" t="n">
        <v>-2886.68</v>
      </c>
    </row>
    <row r="27">
      <c r="A27" t="inlineStr">
        <is>
          <t>602000003 - COMPRA DE PALETS</t>
        </is>
      </c>
      <c r="B27" s="173" t="n">
        <v>-4331.6</v>
      </c>
    </row>
    <row r="28">
      <c r="A28" t="inlineStr">
        <is>
          <t>602000004 - COMPRA MATERIAL DE LIMPIEZA</t>
        </is>
      </c>
      <c r="B28" s="173" t="inlineStr">
        <is>
          <t xml:space="preserve">                                             -  </t>
        </is>
      </c>
    </row>
    <row r="29">
      <c r="A29" t="inlineStr">
        <is>
          <t>602000005 - COMPRA MATERIAL DE OFICINA</t>
        </is>
      </c>
      <c r="B29" s="173" t="inlineStr">
        <is>
          <t xml:space="preserve">                                             -  </t>
        </is>
      </c>
    </row>
    <row r="30">
      <c r="A30" t="inlineStr">
        <is>
          <t>602000006 - COMPRA TAPONES DE ENVASES</t>
        </is>
      </c>
      <c r="B30" s="173" t="n">
        <v>-1108.8</v>
      </c>
    </row>
    <row r="31">
      <c r="A31" t="inlineStr">
        <is>
          <t>602000007 - COMPRAS LABORATORIO</t>
        </is>
      </c>
      <c r="B31" s="173" t="n">
        <v>0</v>
      </c>
    </row>
    <row r="32">
      <c r="A32" t="inlineStr">
        <is>
          <t>602000008 - RESPUESTOS PLANTA</t>
        </is>
      </c>
      <c r="B32" s="173" t="n">
        <v>0</v>
      </c>
    </row>
    <row r="33">
      <c r="A33" t="inlineStr">
        <is>
          <t>602000010 - COMPRA RIBBON</t>
        </is>
      </c>
      <c r="B33" s="173" t="n">
        <v>0</v>
      </c>
    </row>
    <row r="34">
      <c r="A34" t="inlineStr">
        <is>
          <t>602000011 - COMPRAS VARIAS PLANTA</t>
        </is>
      </c>
      <c r="B34" s="173" t="n">
        <v>-371.23</v>
      </c>
    </row>
    <row r="35">
      <c r="A35" t="inlineStr">
        <is>
          <t>602000012 - REPUESTOS INFORMATICOS</t>
        </is>
      </c>
      <c r="B35" s="173" t="inlineStr">
        <is>
          <t xml:space="preserve">                                             -  </t>
        </is>
      </c>
    </row>
    <row r="36">
      <c r="A36" t="inlineStr">
        <is>
          <t>602000013 - COMPRA TINTA INPRESORA ETIQUETAS</t>
        </is>
      </c>
      <c r="B36" s="173" t="n">
        <v>-2557.66</v>
      </c>
    </row>
    <row r="37">
      <c r="A37" t="inlineStr">
        <is>
          <t>602000100 - ENVASES Y EMBALAJES A DEVOLVER</t>
        </is>
      </c>
      <c r="B37" s="173" t="inlineStr">
        <is>
          <t xml:space="preserve">                                             -  </t>
        </is>
      </c>
    </row>
    <row r="38">
      <c r="A38" t="inlineStr">
        <is>
          <t>607000000 - Trabajos realizados por otras empresas</t>
        </is>
      </c>
      <c r="B38" s="173" t="n">
        <v>-25856.5</v>
      </c>
    </row>
    <row r="39">
      <c r="A39" t="inlineStr">
        <is>
          <t>611000000 - Variación de existencias de materias primas</t>
        </is>
      </c>
      <c r="B39" s="173" t="n">
        <v>-59037.03</v>
      </c>
    </row>
    <row r="40">
      <c r="A40" t="inlineStr">
        <is>
          <t>612000000 - Variación de existencias otros aprovisionamientos</t>
        </is>
      </c>
      <c r="B40" s="173" t="n">
        <v>-4582.08</v>
      </c>
    </row>
    <row r="41">
      <c r="A41" t="inlineStr">
        <is>
          <t>759000000 - Ingresos por servicios diversos</t>
        </is>
      </c>
      <c r="B41" s="173" t="n">
        <v>0</v>
      </c>
    </row>
    <row r="42">
      <c r="A42" t="inlineStr">
        <is>
          <t>640000000 - Sueldos y salarios</t>
        </is>
      </c>
      <c r="B42" s="173" t="n">
        <v>-128060.74</v>
      </c>
    </row>
    <row r="43">
      <c r="A43" t="inlineStr">
        <is>
          <t>640000200 - GASTO POR E. TRAB. TEMPORAL</t>
        </is>
      </c>
      <c r="B43" s="173" t="n">
        <v>0</v>
      </c>
    </row>
    <row r="44">
      <c r="A44" t="inlineStr">
        <is>
          <t>640000300 - PROVISION PAGAS EXTRAS</t>
        </is>
      </c>
      <c r="B44" s="173" t="n">
        <v>0</v>
      </c>
    </row>
    <row r="45">
      <c r="A45" t="inlineStr">
        <is>
          <t>641000000 - Indemnizaciones</t>
        </is>
      </c>
      <c r="B45" s="173" t="inlineStr">
        <is>
          <t xml:space="preserve">                                             -  </t>
        </is>
      </c>
    </row>
    <row r="46">
      <c r="A46" t="inlineStr">
        <is>
          <t>641000007 - INDEMNIZACION MIGUEL BELLES</t>
        </is>
      </c>
      <c r="B46" s="173" t="n">
        <v>0</v>
      </c>
    </row>
    <row r="47">
      <c r="A47" t="inlineStr">
        <is>
          <t>642000000 - Seguridad Social a cargo empresa</t>
        </is>
      </c>
      <c r="B47" s="173" t="n">
        <v>-24572.05</v>
      </c>
    </row>
    <row r="48">
      <c r="A48" t="inlineStr">
        <is>
          <t>649000000 - Otros gastos sociales</t>
        </is>
      </c>
      <c r="B48" s="173" t="n">
        <v>0</v>
      </c>
    </row>
    <row r="49">
      <c r="A49" t="inlineStr">
        <is>
          <t>649000001 - GASTOS COMERCIALES NIEVES RUIZ</t>
        </is>
      </c>
      <c r="B49" s="173" t="n">
        <v>0</v>
      </c>
    </row>
    <row r="50">
      <c r="A50" t="inlineStr">
        <is>
          <t>649000002 - GASTOS EMPR. ANTONIO ANDREU</t>
        </is>
      </c>
      <c r="B50" s="173" t="n">
        <v>0</v>
      </c>
    </row>
    <row r="51">
      <c r="A51" t="inlineStr">
        <is>
          <t>649000004 - GASTOS COMERCIALES RICARDO PEREZ</t>
        </is>
      </c>
      <c r="B51" s="173" t="n">
        <v>0</v>
      </c>
    </row>
    <row r="52">
      <c r="A52" t="inlineStr">
        <is>
          <t>649000007 - GASTOS COMERCIALES J.PAREDES</t>
        </is>
      </c>
      <c r="B52" s="173" t="n">
        <v>0</v>
      </c>
    </row>
    <row r="53">
      <c r="A53" t="inlineStr">
        <is>
          <t>649000009 - GASTOS COMERCIALES J.A. GARCIA</t>
        </is>
      </c>
      <c r="B53" s="173" t="n">
        <v>0</v>
      </c>
    </row>
    <row r="54">
      <c r="A54" t="inlineStr">
        <is>
          <t>649000010 - GASTOS EMP. CURRO</t>
        </is>
      </c>
      <c r="B54" s="173" t="n">
        <v>0</v>
      </c>
    </row>
    <row r="55">
      <c r="A55" t="inlineStr">
        <is>
          <t>649000012 - GASTOS COMERCIALES IRENE GARCIA</t>
        </is>
      </c>
      <c r="B55" s="173" t="n">
        <v>0</v>
      </c>
    </row>
    <row r="56">
      <c r="A56" t="inlineStr">
        <is>
          <t>649000100 - GTOS. CURSOS PERSONAL</t>
        </is>
      </c>
      <c r="B56" s="173" t="inlineStr">
        <is>
          <t xml:space="preserve">                                             -  </t>
        </is>
      </c>
    </row>
    <row r="57">
      <c r="A57" t="inlineStr">
        <is>
          <t>649000101 - GTOS. SEG. Y RIESGOS PERSONAL</t>
        </is>
      </c>
      <c r="B57" s="173" t="n">
        <v>0</v>
      </c>
    </row>
    <row r="58">
      <c r="A58" t="inlineStr">
        <is>
          <t>649000102 - GASTOS ROPA UNIFORMES TRABAJADORES</t>
        </is>
      </c>
      <c r="B58" s="173" t="n">
        <v>0</v>
      </c>
    </row>
    <row r="59">
      <c r="A59" t="inlineStr">
        <is>
          <t>649000103 - GASTOS COMBUSTIBLE TRAB.</t>
        </is>
      </c>
      <c r="B59" s="173" t="n">
        <v>0</v>
      </c>
    </row>
    <row r="60">
      <c r="A60" t="inlineStr">
        <is>
          <t>649100001 - GTOS. COMIDAS TRAB.</t>
        </is>
      </c>
      <c r="B60" s="173" t="n">
        <v>0</v>
      </c>
    </row>
    <row r="61">
      <c r="A61" t="inlineStr">
        <is>
          <t>649100002 - GASTOS TRAB. EMPRESA VARIOS</t>
        </is>
      </c>
      <c r="B61" s="173" t="n">
        <v>0</v>
      </c>
    </row>
    <row r="62">
      <c r="A62" t="inlineStr">
        <is>
          <t>620000002 - COMPRAS LABORATORIO</t>
        </is>
      </c>
      <c r="B62" s="173" t="inlineStr">
        <is>
          <t xml:space="preserve">                                             -  </t>
        </is>
      </c>
    </row>
    <row r="63">
      <c r="A63" t="inlineStr">
        <is>
          <t>620000003 - SUMINISTROS LABORATORIO</t>
        </is>
      </c>
      <c r="B63" s="173" t="n">
        <v>-399.98</v>
      </c>
    </row>
    <row r="64">
      <c r="A64" t="inlineStr">
        <is>
          <t>620000004 - GTOS. ANALISIS LABORATORIOS</t>
        </is>
      </c>
      <c r="B64" s="173" t="n">
        <v>-911.52</v>
      </c>
    </row>
    <row r="65">
      <c r="A65" t="inlineStr">
        <is>
          <t>621000001 - ALQUILER OFICINA CARTAGENA</t>
        </is>
      </c>
      <c r="B65" s="173" t="n">
        <v>-192</v>
      </c>
    </row>
    <row r="66">
      <c r="A66" t="inlineStr">
        <is>
          <t>621000014 - ALQUILER MURANO</t>
        </is>
      </c>
      <c r="B66" s="173" t="inlineStr">
        <is>
          <t xml:space="preserve">                                             -  </t>
        </is>
      </c>
    </row>
    <row r="67">
      <c r="A67" t="inlineStr">
        <is>
          <t>621000023 - RENTING TRANSPALETA ELECTRICA DE PIE</t>
        </is>
      </c>
      <c r="B67" s="173" t="n">
        <v>0</v>
      </c>
    </row>
    <row r="68">
      <c r="A68" t="inlineStr">
        <is>
          <t>621000024 - ALQUILER RENTING 2255KXN ANTONIO</t>
        </is>
      </c>
      <c r="B68" s="173" t="inlineStr">
        <is>
          <t xml:space="preserve">                                             -  </t>
        </is>
      </c>
    </row>
    <row r="69">
      <c r="A69" t="inlineStr">
        <is>
          <t>621000025 - ALQUILER RENTING 9128 LBT NIEVES</t>
        </is>
      </c>
      <c r="B69" s="173" t="n">
        <v>0</v>
      </c>
    </row>
    <row r="70">
      <c r="A70" t="inlineStr">
        <is>
          <t>621000026 - ALQUILER RENTING 9319LCL CURRO</t>
        </is>
      </c>
      <c r="B70" s="173" t="inlineStr">
        <is>
          <t xml:space="preserve">                                             -  </t>
        </is>
      </c>
    </row>
    <row r="71">
      <c r="A71" t="inlineStr">
        <is>
          <t>621000030 - ALQUILER RENTING 1075-LSC GARCIA</t>
        </is>
      </c>
      <c r="B71" s="173" t="n">
        <v>0</v>
      </c>
    </row>
    <row r="72">
      <c r="A72" t="inlineStr">
        <is>
          <t>621000031 - ALQUILER RENTING KONICA-MINOLTA Y KYOCERA</t>
        </is>
      </c>
      <c r="B72" s="173" t="n">
        <v>-338</v>
      </c>
    </row>
    <row r="73">
      <c r="A73" t="inlineStr">
        <is>
          <t>621000032 - ALQUILER RENTING 6665-LVK JOSE JUAN</t>
        </is>
      </c>
      <c r="B73" s="173" t="inlineStr">
        <is>
          <t xml:space="preserve">                                             -  </t>
        </is>
      </c>
    </row>
    <row r="74">
      <c r="A74" t="inlineStr">
        <is>
          <t>621000033 - ALQUILER RENTING 2612-MBY ANTONIO</t>
        </is>
      </c>
      <c r="B74" s="173" t="n">
        <v>-399.42</v>
      </c>
    </row>
    <row r="75">
      <c r="A75" t="inlineStr">
        <is>
          <t>621000034 - ALQUILER RENTING 3108-LZM NIEVES</t>
        </is>
      </c>
      <c r="B75" s="173" t="n">
        <v>-1139.16</v>
      </c>
    </row>
    <row r="76">
      <c r="A76" t="inlineStr">
        <is>
          <t>621000035 - ALQUILER RENTING 2142-MCS RICARDO</t>
        </is>
      </c>
      <c r="B76" s="173" t="n">
        <v>0</v>
      </c>
    </row>
    <row r="77">
      <c r="A77" t="inlineStr">
        <is>
          <t>621000036 - ALQUILER RENTING 3277-MDX JAVIER</t>
        </is>
      </c>
      <c r="B77" s="173" t="n">
        <v>0</v>
      </c>
    </row>
    <row r="78">
      <c r="A78" t="inlineStr">
        <is>
          <t>621000037 - CARRETILLA STILL ELEKTROSTAPLER 516213H00521</t>
        </is>
      </c>
      <c r="B78" s="173" t="n">
        <v>-400</v>
      </c>
    </row>
    <row r="79">
      <c r="A79" t="inlineStr">
        <is>
          <t>621000038 - CARRETILLA STILL ELEKTROSTAPLER 516223J00123</t>
        </is>
      </c>
      <c r="B79" s="173" t="n">
        <v>-400.44</v>
      </c>
    </row>
    <row r="80">
      <c r="A80" t="inlineStr">
        <is>
          <t>621000039 - ALQUILER RENTING 5043-MWW CURRO</t>
        </is>
      </c>
      <c r="B80" s="173" t="inlineStr">
        <is>
          <t xml:space="preserve">                                             -  </t>
        </is>
      </c>
    </row>
    <row r="81">
      <c r="A81" t="inlineStr">
        <is>
          <t>621000040 - ALQUILER RENTING 8917-MZT JAVIER</t>
        </is>
      </c>
      <c r="B81" s="173" t="inlineStr">
        <is>
          <t xml:space="preserve">                                             -  </t>
        </is>
      </c>
    </row>
    <row r="82">
      <c r="A82" t="inlineStr">
        <is>
          <t>621000041 - ALQUILER RENTING 8929-MZT RICARDO</t>
        </is>
      </c>
      <c r="B82" s="173" t="inlineStr">
        <is>
          <t xml:space="preserve">                                             -  </t>
        </is>
      </c>
    </row>
    <row r="83">
      <c r="A83" t="inlineStr">
        <is>
          <t>621000042 - ALQUILER RENTING 4946-NFH GARCIA</t>
        </is>
      </c>
      <c r="B83" s="173" t="n">
        <v>-677.53</v>
      </c>
    </row>
    <row r="84">
      <c r="A84" t="inlineStr">
        <is>
          <t>621000044 - ALQUILER COMPRESOR DE TORNILLO 37KW KAESER BSD 75C</t>
        </is>
      </c>
      <c r="B84" s="173" t="n">
        <v>-1600</v>
      </c>
    </row>
    <row r="85">
      <c r="A85" t="inlineStr">
        <is>
          <t>621000045 - ALQUILER RENTING 3421-NJT PERE</t>
        </is>
      </c>
      <c r="B85" s="173" t="n">
        <v>-1208.01</v>
      </c>
    </row>
    <row r="86">
      <c r="A86" t="inlineStr">
        <is>
          <t>621000046 - ALQUILER CARRETILLAS</t>
        </is>
      </c>
      <c r="B86" s="173" t="n">
        <v>-1407</v>
      </c>
    </row>
    <row r="87">
      <c r="A87" t="inlineStr">
        <is>
          <t>622000001 - REPAR. EQUIPOS INFORM. Y FOTOCOPIADORAS</t>
        </is>
      </c>
      <c r="B87" s="173" t="inlineStr">
        <is>
          <t xml:space="preserve">                                             -  </t>
        </is>
      </c>
    </row>
    <row r="88">
      <c r="A88" t="inlineStr">
        <is>
          <t>622000004 - REP. Y CONSERV. CARRETILLA ELECTRICA</t>
        </is>
      </c>
      <c r="B88" s="173" t="n">
        <v>-115.48</v>
      </c>
    </row>
    <row r="89">
      <c r="A89" t="inlineStr">
        <is>
          <t>622000005 - REP. Y MANT. EQUIPOS SEGURIDAD</t>
        </is>
      </c>
      <c r="B89" s="173" t="inlineStr">
        <is>
          <t xml:space="preserve">                                             -  </t>
        </is>
      </c>
    </row>
    <row r="90">
      <c r="A90" t="inlineStr">
        <is>
          <t>622000006 - REP. Y MANT. INSTALACIONES VARIAS</t>
        </is>
      </c>
      <c r="B90" s="173" t="inlineStr">
        <is>
          <t xml:space="preserve">                                             -  </t>
        </is>
      </c>
    </row>
    <row r="91">
      <c r="A91" t="inlineStr">
        <is>
          <t>622000007 - REP. Y MANT. HYUNDAI 0377CJG</t>
        </is>
      </c>
      <c r="B91" s="173" t="inlineStr">
        <is>
          <t xml:space="preserve">                                             -  </t>
        </is>
      </c>
    </row>
    <row r="92">
      <c r="A92" t="inlineStr">
        <is>
          <t>622000008 - REP. Y MANT. MAQUINA BARREDORA</t>
        </is>
      </c>
      <c r="B92" s="173" t="inlineStr">
        <is>
          <t xml:space="preserve">                                             -  </t>
        </is>
      </c>
    </row>
    <row r="93">
      <c r="A93" t="inlineStr">
        <is>
          <t>622000009 - REP. Y MANT. FURGONETA 2589CRJ</t>
        </is>
      </c>
      <c r="B93" s="173" t="n">
        <v>0</v>
      </c>
    </row>
    <row r="94">
      <c r="A94" t="inlineStr">
        <is>
          <t>622000012 - LIMPIEZA OFICINAS, LABORATORIO Y VESTUARIOS</t>
        </is>
      </c>
      <c r="B94" s="173" t="n">
        <v>-977.98</v>
      </c>
    </row>
    <row r="95">
      <c r="A95" t="inlineStr">
        <is>
          <t>622010000 MANTENIMIENTO</t>
        </is>
      </c>
      <c r="B95" s="173" t="inlineStr">
        <is>
          <t xml:space="preserve">                                             -  </t>
        </is>
      </c>
    </row>
    <row r="96">
      <c r="A96" t="inlineStr">
        <is>
          <t>622010001 - MANTENIMIENTO REPUESTO COMPRA AMAZON</t>
        </is>
      </c>
      <c r="B96" s="173" t="n">
        <v>0</v>
      </c>
    </row>
    <row r="97">
      <c r="A97" t="inlineStr">
        <is>
          <t>622010200 - ALCAPLANT</t>
        </is>
      </c>
      <c r="B97" s="173" t="n">
        <v>-1983.69</v>
      </c>
    </row>
    <row r="98">
      <c r="A98" t="inlineStr">
        <is>
          <t>622010201 - REPARACIONES ALCAPLANT</t>
        </is>
      </c>
      <c r="B98" s="173" t="n">
        <v>-5848.16</v>
      </c>
    </row>
    <row r="99">
      <c r="A99" t="inlineStr">
        <is>
          <t>622010300 - SOLIDOS</t>
        </is>
      </c>
      <c r="B99" s="173" t="n">
        <v>-11965.55</v>
      </c>
    </row>
    <row r="100">
      <c r="A100" t="inlineStr">
        <is>
          <t>622010400 - LIQUIDOS</t>
        </is>
      </c>
      <c r="B100" s="173" t="n">
        <v>-288.39</v>
      </c>
    </row>
    <row r="101">
      <c r="A101" t="inlineStr">
        <is>
          <t>622010500 - REPUESTOS MANT. VARIOS</t>
        </is>
      </c>
      <c r="B101" s="173" t="n">
        <v>-108.17</v>
      </c>
    </row>
    <row r="102">
      <c r="A102" t="inlineStr">
        <is>
          <t>622010501 - REP. MANT. FONTANERIA</t>
        </is>
      </c>
      <c r="B102" s="173" t="inlineStr">
        <is>
          <t xml:space="preserve">                                             -  </t>
        </is>
      </c>
    </row>
    <row r="103">
      <c r="A103" t="inlineStr">
        <is>
          <t>623000001 - SERV. PROF. INDEPENDIENTES</t>
        </is>
      </c>
      <c r="B103" s="173" t="n">
        <v>-2853.02</v>
      </c>
    </row>
    <row r="104">
      <c r="A104" t="inlineStr">
        <is>
          <t>623000002 - SERVICIOS CONTABLES Y FINANCIEROS</t>
        </is>
      </c>
      <c r="B104" s="173" t="n">
        <v>-2148.24</v>
      </c>
    </row>
    <row r="105">
      <c r="A105" t="inlineStr">
        <is>
          <t>623000003 - SERV. NOTARIOS, REGISTROS, LEGAL</t>
        </is>
      </c>
      <c r="B105" s="173" t="inlineStr">
        <is>
          <t xml:space="preserve">                                             -  </t>
        </is>
      </c>
    </row>
    <row r="106">
      <c r="A106" t="inlineStr">
        <is>
          <t>623000004 - GTOS. BCS. OKO</t>
        </is>
      </c>
      <c r="B106" s="173" t="inlineStr">
        <is>
          <t xml:space="preserve">                                             -  </t>
        </is>
      </c>
    </row>
    <row r="107">
      <c r="A107" t="inlineStr">
        <is>
          <t>623000005 - SERVICIOS PREST. CAMARA COMERCIO</t>
        </is>
      </c>
      <c r="B107" s="173" t="n">
        <v>-210</v>
      </c>
    </row>
    <row r="108">
      <c r="A108" t="inlineStr">
        <is>
          <t>623100002 - GASTOS MAURICIO ALISTE</t>
        </is>
      </c>
      <c r="B108" s="173" t="n">
        <v>-4396.39</v>
      </c>
    </row>
    <row r="109">
      <c r="A109" t="inlineStr">
        <is>
          <t>623100006 - GASTOS Y SERVICIOS AGRICOLA DEL JUCAR</t>
        </is>
      </c>
      <c r="B109" s="173" t="n">
        <v>-20364.61</v>
      </c>
    </row>
    <row r="110">
      <c r="A110" t="inlineStr">
        <is>
          <t>623100007 - GASTOS Y SUELDO MEHMET CILOGLU</t>
        </is>
      </c>
      <c r="B110" s="173" t="n">
        <v>-6760.66</v>
      </c>
    </row>
    <row r="111">
      <c r="A111" t="inlineStr">
        <is>
          <t>623100008 - COMISIONES KAMAL KEHAL</t>
        </is>
      </c>
      <c r="B111" s="173" t="inlineStr">
        <is>
          <t xml:space="preserve">                                             -  </t>
        </is>
      </c>
    </row>
    <row r="112">
      <c r="A112" t="inlineStr">
        <is>
          <t>623100009 - COMISIONES ABEL SALAZAR</t>
        </is>
      </c>
      <c r="B112" s="173" t="n">
        <v>0</v>
      </c>
    </row>
    <row r="113">
      <c r="A113" t="inlineStr">
        <is>
          <t>623200001 - GASTOS MARCAS EN ESPAÑA</t>
        </is>
      </c>
      <c r="B113" s="173" t="inlineStr">
        <is>
          <t xml:space="preserve">                                             -  </t>
        </is>
      </c>
    </row>
    <row r="114">
      <c r="A114" t="inlineStr">
        <is>
          <t>623200005 - GASTOS MARCAS CHILE</t>
        </is>
      </c>
      <c r="B114" s="173" t="n">
        <v>0</v>
      </c>
    </row>
    <row r="115">
      <c r="A115" t="inlineStr">
        <is>
          <t>623200006 - MARCAS UNION EUROPEA</t>
        </is>
      </c>
      <c r="B115" s="173" t="n">
        <v>-663</v>
      </c>
    </row>
    <row r="116">
      <c r="A116" t="inlineStr">
        <is>
          <t>623200011 - GASTOS MARCAS COLOMBIA</t>
        </is>
      </c>
      <c r="B116" s="173" t="inlineStr">
        <is>
          <t xml:space="preserve">                                             -  </t>
        </is>
      </c>
    </row>
    <row r="117">
      <c r="A117" t="inlineStr">
        <is>
          <t>623200021 - GASTOS MARCAS GUATEMALA</t>
        </is>
      </c>
      <c r="B117" s="173" t="n">
        <v>0</v>
      </c>
    </row>
    <row r="118">
      <c r="A118" t="inlineStr">
        <is>
          <t>623200023 - GASTOS MARCAS ARGELIA</t>
        </is>
      </c>
      <c r="B118" s="173" t="inlineStr">
        <is>
          <t xml:space="preserve">                                             -  </t>
        </is>
      </c>
    </row>
    <row r="119">
      <c r="A119" t="inlineStr">
        <is>
          <t>623200008 - GASTOS MARCAS EGIPTO</t>
        </is>
      </c>
      <c r="B119" s="173" t="inlineStr">
        <is>
          <t xml:space="preserve">                                             -  </t>
        </is>
      </c>
    </row>
    <row r="120">
      <c r="A120" t="inlineStr">
        <is>
          <t>623200009 - GASTOS MARCAS MARRUECOS</t>
        </is>
      </c>
      <c r="B120" s="173" t="inlineStr">
        <is>
          <t xml:space="preserve">                                             -  </t>
        </is>
      </c>
    </row>
    <row r="121">
      <c r="A121" t="inlineStr">
        <is>
          <t>623200010 - GASTOS MARCAS TURQUIA</t>
        </is>
      </c>
      <c r="B121" s="173" t="inlineStr">
        <is>
          <t xml:space="preserve">                                             -  </t>
        </is>
      </c>
    </row>
    <row r="122">
      <c r="A122" t="inlineStr">
        <is>
          <t>623200016 - GASTOS MARCAS ECUADOR</t>
        </is>
      </c>
      <c r="B122" s="173" t="inlineStr">
        <is>
          <t xml:space="preserve">                                             -  </t>
        </is>
      </c>
    </row>
    <row r="123">
      <c r="A123" t="inlineStr">
        <is>
          <t>623200017 GASTOS MARCAS EL SALVADOR</t>
        </is>
      </c>
      <c r="B123" s="173" t="n">
        <v>-4869.95</v>
      </c>
    </row>
    <row r="124">
      <c r="A124" t="inlineStr">
        <is>
          <t>623200020 - GASTOS MARCAS TUNEZ</t>
        </is>
      </c>
      <c r="B124" s="173" t="inlineStr">
        <is>
          <t xml:space="preserve">                                             -  </t>
        </is>
      </c>
    </row>
    <row r="125">
      <c r="A125" t="inlineStr">
        <is>
          <t>623200022 - GASTOS MARCAS BOLIVIA</t>
        </is>
      </c>
      <c r="B125" s="173" t="inlineStr">
        <is>
          <t xml:space="preserve">                                             -  </t>
        </is>
      </c>
    </row>
    <row r="126">
      <c r="A126" t="inlineStr">
        <is>
          <t>623200024 - GASTOS MARCAS INTERNACIONALES</t>
        </is>
      </c>
      <c r="B126" s="173" t="n">
        <v>-212.5</v>
      </c>
    </row>
    <row r="127">
      <c r="A127" t="inlineStr">
        <is>
          <t>623200029 - GASTOS MARCAS GEORGIA</t>
        </is>
      </c>
      <c r="B127" s="173" t="inlineStr">
        <is>
          <t xml:space="preserve">                                             -  </t>
        </is>
      </c>
    </row>
    <row r="128">
      <c r="A128" t="inlineStr">
        <is>
          <t>623200030 - GASTOS MARCAS AZERBAIYAN</t>
        </is>
      </c>
      <c r="B128" s="173" t="inlineStr">
        <is>
          <t xml:space="preserve">                                             -  </t>
        </is>
      </c>
    </row>
    <row r="129">
      <c r="A129" t="inlineStr">
        <is>
          <t>623200037 - GASTOS MARCAS ESTADOS UNIDOS</t>
        </is>
      </c>
      <c r="B129" s="173" t="n">
        <v>0</v>
      </c>
    </row>
    <row r="130">
      <c r="A130" t="inlineStr">
        <is>
          <t>624000001 - TRANSPORTES NACIONAL</t>
        </is>
      </c>
      <c r="B130" s="173" t="n">
        <v>-7363.19</v>
      </c>
    </row>
    <row r="131">
      <c r="A131" t="inlineStr">
        <is>
          <t>624000002 - TRANSPORTE INTERNACIONAL</t>
        </is>
      </c>
      <c r="B131" s="173" t="n">
        <v>-8087.44</v>
      </c>
    </row>
    <row r="132">
      <c r="A132" t="inlineStr">
        <is>
          <t>624000003 - TRANSPORTES CANARIAS</t>
        </is>
      </c>
      <c r="B132" s="173" t="n">
        <v>-11901.38</v>
      </c>
    </row>
    <row r="133">
      <c r="A133" t="inlineStr">
        <is>
          <t>624000004 - GTOS. FLETE REP. AL CLIENTE</t>
        </is>
      </c>
      <c r="B133" s="173" t="inlineStr">
        <is>
          <t xml:space="preserve">                                             -  </t>
        </is>
      </c>
    </row>
    <row r="134">
      <c r="A134" t="inlineStr">
        <is>
          <t xml:space="preserve">624000005 - TTE. PAQUETERIA </t>
        </is>
      </c>
      <c r="B134" s="173" t="n">
        <v>-149.55</v>
      </c>
    </row>
    <row r="135">
      <c r="A135" t="inlineStr">
        <is>
          <t>624000006 - TRANSPORTES IMPORTACIÓN</t>
        </is>
      </c>
      <c r="B135" s="173" t="inlineStr">
        <is>
          <t xml:space="preserve">                                             -  </t>
        </is>
      </c>
    </row>
    <row r="136">
      <c r="A136" t="inlineStr">
        <is>
          <t>624000007 - ENVIO MUESTRAS</t>
        </is>
      </c>
      <c r="B136" s="173" t="n">
        <v>0</v>
      </c>
    </row>
    <row r="137">
      <c r="A137" t="inlineStr">
        <is>
          <t>625000001 - SEGUROS VEHÍCULOS</t>
        </is>
      </c>
      <c r="B137" s="173" t="inlineStr">
        <is>
          <t xml:space="preserve">                                             -  </t>
        </is>
      </c>
    </row>
    <row r="138">
      <c r="A138" t="inlineStr">
        <is>
          <t>625000003 SEGURO ACCIDENTES TRABAJADORES</t>
        </is>
      </c>
      <c r="B138" s="173" t="inlineStr">
        <is>
          <t xml:space="preserve">                                             -  </t>
        </is>
      </c>
    </row>
    <row r="139">
      <c r="A139" t="inlineStr">
        <is>
          <t>625000004 - SEGURO RESP. CIVIL</t>
        </is>
      </c>
      <c r="B139" s="173" t="inlineStr">
        <is>
          <t xml:space="preserve">                                             -  </t>
        </is>
      </c>
    </row>
    <row r="140">
      <c r="A140" t="inlineStr">
        <is>
          <t>625000005 - SEGUROS ACTIVIDAD</t>
        </is>
      </c>
      <c r="B140" s="173" t="inlineStr">
        <is>
          <t xml:space="preserve">                                             -  </t>
        </is>
      </c>
    </row>
    <row r="141">
      <c r="A141" t="inlineStr">
        <is>
          <t>626000000 - Servicios bancarios y similares</t>
        </is>
      </c>
      <c r="B141" s="173" t="n">
        <v>0</v>
      </c>
    </row>
    <row r="142">
      <c r="A142" t="inlineStr">
        <is>
          <t>626000002 - GASTOS Y COMISIONES BANCO SABADELL</t>
        </is>
      </c>
      <c r="B142" s="173" t="n">
        <v>-7.26</v>
      </c>
    </row>
    <row r="143">
      <c r="A143" t="inlineStr">
        <is>
          <t>626000005 - GASTOS Y COMISIONES CAIXALMASSORA</t>
        </is>
      </c>
      <c r="B143" s="173" t="n">
        <v>-143.33</v>
      </c>
    </row>
    <row r="144">
      <c r="A144" t="inlineStr">
        <is>
          <t>626000007 - GASTOS Y COMISIONES BBVA</t>
        </is>
      </c>
      <c r="B144" s="173" t="n">
        <v>-615.71</v>
      </c>
    </row>
    <row r="145">
      <c r="A145" t="inlineStr">
        <is>
          <t>627000001 - GTOS. PUBLICIDAD EN INTERNET</t>
        </is>
      </c>
      <c r="B145" s="173" t="n">
        <v>0</v>
      </c>
    </row>
    <row r="146">
      <c r="A146" t="inlineStr">
        <is>
          <t>627000004 - RELACIONES PUBLICAS</t>
        </is>
      </c>
      <c r="B146" s="173" t="n">
        <v>-214.6</v>
      </c>
    </row>
    <row r="147">
      <c r="A147" t="inlineStr">
        <is>
          <t>627000005 - INVITACIONES CLIENTES</t>
        </is>
      </c>
      <c r="B147" s="173" t="inlineStr">
        <is>
          <t xml:space="preserve">                                             -  </t>
        </is>
      </c>
    </row>
    <row r="148">
      <c r="A148" t="inlineStr">
        <is>
          <t>627000006 - PUBLICIDAD CATALOGOS Y FOLLETOS</t>
        </is>
      </c>
      <c r="B148" s="173" t="inlineStr">
        <is>
          <t xml:space="preserve">                                             -  </t>
        </is>
      </c>
    </row>
    <row r="149">
      <c r="A149" t="inlineStr">
        <is>
          <t>627000007 - FERIAS</t>
        </is>
      </c>
      <c r="B149" s="173" t="inlineStr">
        <is>
          <t xml:space="preserve">                                             -  </t>
        </is>
      </c>
    </row>
    <row r="150">
      <c r="A150" t="inlineStr">
        <is>
          <t>627000008 - MARKETING</t>
        </is>
      </c>
      <c r="B150" s="173" t="inlineStr">
        <is>
          <t xml:space="preserve">                                             -  </t>
        </is>
      </c>
    </row>
    <row r="151">
      <c r="A151" t="inlineStr">
        <is>
          <t>627000009 - ARTICULOS PUBLICIDAD</t>
        </is>
      </c>
      <c r="B151" s="173" t="n">
        <v>-3164.3</v>
      </c>
    </row>
    <row r="152">
      <c r="A152" t="inlineStr">
        <is>
          <t>627000010 - RELACIONES PUBLICAS TEC. CLIENTES</t>
        </is>
      </c>
      <c r="B152" s="173" t="inlineStr">
        <is>
          <t xml:space="preserve">                                             -  </t>
        </is>
      </c>
    </row>
    <row r="153">
      <c r="A153" t="inlineStr">
        <is>
          <t>628000001 - SUMINISTROS INFORMATICOS</t>
        </is>
      </c>
      <c r="B153" s="173" t="inlineStr">
        <is>
          <t xml:space="preserve">                                             -  </t>
        </is>
      </c>
    </row>
    <row r="154">
      <c r="A154" t="inlineStr">
        <is>
          <t>628000002 - SUMINISTROS ELECTRICIDAD</t>
        </is>
      </c>
      <c r="B154" s="173" t="n">
        <v>-4025.79</v>
      </c>
    </row>
    <row r="155">
      <c r="A155" t="inlineStr">
        <is>
          <t>628000003 - SUMINISTROS AGUA</t>
        </is>
      </c>
      <c r="B155" s="173" t="inlineStr">
        <is>
          <t xml:space="preserve">                                             -  </t>
        </is>
      </c>
    </row>
    <row r="156">
      <c r="A156" t="inlineStr">
        <is>
          <t>628000004 - SUMINISTROS TELEFONIA E INTERNET</t>
        </is>
      </c>
      <c r="B156" s="173" t="n">
        <v>-853</v>
      </c>
    </row>
    <row r="157">
      <c r="A157" t="inlineStr">
        <is>
          <t>628000005 - SUMINISTROS GASOLEO</t>
        </is>
      </c>
      <c r="B157" s="173" t="n">
        <v>-1496.33</v>
      </c>
    </row>
    <row r="158">
      <c r="A158" t="inlineStr">
        <is>
          <t>629000001 - HOSPEDAJE WEB</t>
        </is>
      </c>
      <c r="B158" s="173" t="inlineStr">
        <is>
          <t xml:space="preserve">                                             -  </t>
        </is>
      </c>
    </row>
    <row r="159">
      <c r="A159" t="inlineStr">
        <is>
          <t>629000002 - OTROS GASTOS</t>
        </is>
      </c>
      <c r="B159" s="173" t="n">
        <v>-986.98</v>
      </c>
    </row>
    <row r="160">
      <c r="A160" t="inlineStr">
        <is>
          <t>629000003 - SUSCRIPCIONES A REVISTAS Y PERIODICOS</t>
        </is>
      </c>
      <c r="B160" s="173" t="inlineStr">
        <is>
          <t xml:space="preserve">                                             -  </t>
        </is>
      </c>
    </row>
    <row r="161">
      <c r="A161" t="inlineStr">
        <is>
          <t>629000004 - GTOS. SERV. VIGILANCIA</t>
        </is>
      </c>
      <c r="B161" s="173" t="n">
        <v>-75.94</v>
      </c>
    </row>
    <row r="162">
      <c r="A162" t="inlineStr">
        <is>
          <t>629000005 - GTOS. ANALISIS LABORATORIOS</t>
        </is>
      </c>
      <c r="B162" s="173" t="inlineStr">
        <is>
          <t xml:space="preserve">                                             -  </t>
        </is>
      </c>
    </row>
    <row r="163">
      <c r="A163" t="inlineStr">
        <is>
          <t>629000006 - GASTOS CORREOS</t>
        </is>
      </c>
      <c r="B163" s="173" t="inlineStr">
        <is>
          <t xml:space="preserve">                                             -  </t>
        </is>
      </c>
    </row>
    <row r="164">
      <c r="A164" t="inlineStr">
        <is>
          <t>629000007 - GASTOS RETIRADA DE RESIDUOS</t>
        </is>
      </c>
      <c r="B164" s="173" t="n">
        <v>-79.8</v>
      </c>
    </row>
    <row r="165">
      <c r="A165" t="inlineStr">
        <is>
          <t>629000008 - CUOTAS ASOCIACIONES</t>
        </is>
      </c>
      <c r="B165" s="173" t="inlineStr">
        <is>
          <t xml:space="preserve">                                             -  </t>
        </is>
      </c>
    </row>
    <row r="166">
      <c r="A166" t="inlineStr">
        <is>
          <t>629000009 - SANCIONES Y MULTAS</t>
        </is>
      </c>
      <c r="B166" s="173" t="inlineStr">
        <is>
          <t xml:space="preserve">                                             -  </t>
        </is>
      </c>
    </row>
    <row r="167">
      <c r="A167" t="inlineStr">
        <is>
          <t>629000010 - GASTOS COMERCIALES</t>
        </is>
      </c>
      <c r="B167" s="173" t="n">
        <v>-1663.31</v>
      </c>
    </row>
    <row r="168">
      <c r="A168" t="inlineStr">
        <is>
          <t>629000011 - EPIS PERSONAL</t>
        </is>
      </c>
      <c r="B168" s="173" t="inlineStr">
        <is>
          <t xml:space="preserve">                                             -  </t>
        </is>
      </c>
    </row>
    <row r="169">
      <c r="A169" t="inlineStr">
        <is>
          <t>629000012 - GASTOS VARIOS PERSONAL</t>
        </is>
      </c>
      <c r="B169" s="173" t="n">
        <v>-932.8</v>
      </c>
    </row>
    <row r="170">
      <c r="A170" t="inlineStr">
        <is>
          <t>629000013 - FORMACION NO BONIFICADA</t>
        </is>
      </c>
      <c r="B170" s="173" t="n">
        <v>-4513.8</v>
      </c>
    </row>
    <row r="171">
      <c r="A171" t="inlineStr">
        <is>
          <t>629000014 - ROPA LABORAL</t>
        </is>
      </c>
      <c r="B171" s="173" t="n">
        <v>-340</v>
      </c>
    </row>
    <row r="172">
      <c r="A172" t="inlineStr">
        <is>
          <t>629000015 MATERIAL DE OFICINA</t>
        </is>
      </c>
      <c r="B172" s="173" t="n">
        <v>-107.24</v>
      </c>
    </row>
    <row r="173">
      <c r="A173" t="inlineStr">
        <is>
          <t>629000016 HERRAMIENTAS</t>
        </is>
      </c>
      <c r="B173" s="173" t="n">
        <v>-500.03</v>
      </c>
    </row>
    <row r="174">
      <c r="A174" t="inlineStr">
        <is>
          <t>629100001 - GASTOS COMERCIALES PERE PORTA</t>
        </is>
      </c>
      <c r="B174" s="173" t="n">
        <v>-2380.04</v>
      </c>
    </row>
    <row r="175">
      <c r="A175" t="inlineStr">
        <is>
          <t>629100002 - GASTOS RICARDO PEREZ-SANTAMARINA</t>
        </is>
      </c>
      <c r="B175" s="173" t="n">
        <v>-1290.01</v>
      </c>
    </row>
    <row r="176">
      <c r="A176" t="inlineStr">
        <is>
          <t>629100003 - GASTOS JAVIER PAREDES</t>
        </is>
      </c>
      <c r="B176" s="173" t="n">
        <v>-1377.28</v>
      </c>
    </row>
    <row r="177">
      <c r="A177" t="inlineStr">
        <is>
          <t>629100004 - GASTOS GARCIA</t>
        </is>
      </c>
      <c r="B177" s="173" t="n">
        <v>-283.03</v>
      </c>
    </row>
    <row r="178">
      <c r="A178" t="inlineStr">
        <is>
          <t>629100005 - GASTOS IRENE</t>
        </is>
      </c>
      <c r="B178" s="173" t="n">
        <v>-281.24</v>
      </c>
    </row>
    <row r="179">
      <c r="A179" t="inlineStr">
        <is>
          <t>629100006 - GASTOS ANTONIO ANDREU</t>
        </is>
      </c>
      <c r="B179" s="173" t="inlineStr">
        <is>
          <t xml:space="preserve">                                             -  </t>
        </is>
      </c>
    </row>
    <row r="180">
      <c r="A180" t="inlineStr">
        <is>
          <t>629100007 - GASTOS CURRO</t>
        </is>
      </c>
      <c r="B180" s="173" t="n">
        <v>-100.45</v>
      </c>
    </row>
    <row r="181">
      <c r="A181" t="inlineStr">
        <is>
          <t>629100008 GASTOS PEDRO MEDINA</t>
        </is>
      </c>
      <c r="B181" s="173" t="n">
        <v>-141.14</v>
      </c>
    </row>
    <row r="182">
      <c r="A182" t="inlineStr">
        <is>
          <t>631000001 - IMPUESTOS VEHÍCULOS</t>
        </is>
      </c>
      <c r="B182" s="173" t="inlineStr">
        <is>
          <t xml:space="preserve">                                             -  </t>
        </is>
      </c>
    </row>
    <row r="183">
      <c r="A183" t="inlineStr">
        <is>
          <t>631000002 - TASAS</t>
        </is>
      </c>
      <c r="B183" s="173" t="inlineStr">
        <is>
          <t xml:space="preserve">                                             -  </t>
        </is>
      </c>
    </row>
    <row r="184">
      <c r="A184" t="inlineStr">
        <is>
          <t>631000004 IBIB</t>
        </is>
      </c>
      <c r="B184" s="173" t="n">
        <v>-7396.59</v>
      </c>
    </row>
    <row r="185">
      <c r="A185" t="inlineStr">
        <is>
          <t>631000006 - IMPUESTO PLASTICO NO RECICLADO</t>
        </is>
      </c>
      <c r="B185" s="173" t="n">
        <v>-838.08</v>
      </c>
    </row>
    <row r="186">
      <c r="A186" t="inlineStr">
        <is>
          <t>634100000 - Ajustes negat. IVA circulante</t>
        </is>
      </c>
      <c r="B186" s="173" t="inlineStr">
        <is>
          <t xml:space="preserve">                                             -  </t>
        </is>
      </c>
    </row>
    <row r="187">
      <c r="A187" t="inlineStr">
        <is>
          <t>681100000 - Amortización de construcciones</t>
        </is>
      </c>
      <c r="B187" s="173" t="n">
        <v>-3154.35</v>
      </c>
    </row>
    <row r="188">
      <c r="A188" t="inlineStr">
        <is>
          <t>681200000 - Amortización de instalaciones técnicas</t>
        </is>
      </c>
      <c r="B188" s="173" t="n">
        <v>-5772.02</v>
      </c>
    </row>
    <row r="189">
      <c r="A189" t="inlineStr">
        <is>
          <t>681300000 - Amortización de maquinaria</t>
        </is>
      </c>
      <c r="B189" s="173" t="n">
        <v>-6419.19</v>
      </c>
    </row>
    <row r="190">
      <c r="A190" t="inlineStr">
        <is>
          <t>681500000 - Amortización de otras instalaciones</t>
        </is>
      </c>
      <c r="B190" s="173" t="n">
        <v>-1642.07</v>
      </c>
    </row>
    <row r="191">
      <c r="A191" t="inlineStr">
        <is>
          <t>681600000 - Amortización de mobiliario</t>
        </is>
      </c>
      <c r="B191" s="173" t="n">
        <v>-1337.16</v>
      </c>
    </row>
    <row r="192">
      <c r="A192" t="inlineStr">
        <is>
          <t>681700000 - Amortización de equipos para procesos de informac.</t>
        </is>
      </c>
      <c r="B192" s="173" t="n">
        <v>-855.5</v>
      </c>
    </row>
    <row r="193">
      <c r="A193" t="inlineStr">
        <is>
          <t>681800000 - Amortización de elementos de transporte</t>
        </is>
      </c>
      <c r="B193" s="173" t="n">
        <v>-45</v>
      </c>
    </row>
    <row r="194">
      <c r="A194" t="inlineStr">
        <is>
          <t>706000001 - DESCUENTO POR PRONTO PAGO DEFINITIVO</t>
        </is>
      </c>
      <c r="B194" s="173" t="n">
        <v>-19768.43</v>
      </c>
    </row>
    <row r="195">
      <c r="A195" t="inlineStr">
        <is>
          <t>665700015 - INTERESES PAGO FINANCIADO POR BBVA</t>
        </is>
      </c>
      <c r="B195" s="173" t="inlineStr">
        <is>
          <t xml:space="preserve">                                             -  </t>
        </is>
      </c>
    </row>
    <row r="196">
      <c r="A196" t="inlineStr">
        <is>
          <t>662310005 - INTERESES PRESTAMO CAIXALMASSORA</t>
        </is>
      </c>
      <c r="B196" s="173" t="inlineStr">
        <is>
          <t xml:space="preserve">                                             -  </t>
        </is>
      </c>
    </row>
    <row r="197">
      <c r="A197" t="inlineStr">
        <is>
          <t>669000002 - OTROS GTOS. DTO. EFECTOS SABADELL</t>
        </is>
      </c>
      <c r="B197" s="173" t="n">
        <v>0</v>
      </c>
    </row>
    <row r="198">
      <c r="A198" t="inlineStr">
        <is>
          <t>669000007 - OTROS GTOS. DTO.EFECTOS BBVA</t>
        </is>
      </c>
      <c r="B198" s="173" t="n">
        <v>0</v>
      </c>
    </row>
    <row r="199">
      <c r="A199" t="inlineStr">
        <is>
          <t>669100002 - OTROS GTOS. FINAN. SABADELL</t>
        </is>
      </c>
      <c r="B199" s="173" t="n">
        <v>0</v>
      </c>
    </row>
    <row r="200">
      <c r="A200" t="inlineStr">
        <is>
          <t>669100005 - OTROS GTOS. FINAN. C.RURAL ALMASSORA</t>
        </is>
      </c>
      <c r="B200" s="173" t="n">
        <v>0</v>
      </c>
    </row>
    <row r="201">
      <c r="A201" t="inlineStr">
        <is>
          <t>669100007 - OTROS GTOS. FINAN. BBVA.</t>
        </is>
      </c>
      <c r="B201" s="173" t="n">
        <v>0</v>
      </c>
    </row>
    <row r="202">
      <c r="A202" t="inlineStr">
        <is>
          <t>669200002 - GTOS. COBRO EXPORT B.SABADELL</t>
        </is>
      </c>
      <c r="B202" s="173" t="n">
        <v>0</v>
      </c>
    </row>
    <row r="203">
      <c r="A203" t="inlineStr">
        <is>
          <t>669200007 - GTOS. COBRO EXPORT. BBVA</t>
        </is>
      </c>
      <c r="B203" s="173" t="n">
        <v>0</v>
      </c>
    </row>
    <row r="204">
      <c r="A204" t="inlineStr">
        <is>
          <t>768000000 - Diferencias positivas de cambio</t>
        </is>
      </c>
      <c r="B204" s="173" t="inlineStr">
        <is>
          <t xml:space="preserve">                                             -  </t>
        </is>
      </c>
    </row>
    <row r="205">
      <c r="A205" t="inlineStr">
        <is>
          <t>709001500 - RAPPEL BONIFICACIONES POR PMK DEFINITIVO</t>
        </is>
      </c>
      <c r="B205" s="173" t="inlineStr">
        <is>
          <t xml:space="preserve">                                             -  </t>
        </is>
      </c>
    </row>
    <row r="206">
      <c r="A206" t="inlineStr">
        <is>
          <t>623200002 - GASTOS MARCAS MEXICO</t>
        </is>
      </c>
      <c r="B206" s="173" t="inlineStr">
        <is>
          <t xml:space="preserve">                                             -  </t>
        </is>
      </c>
    </row>
    <row r="207">
      <c r="A207" t="inlineStr">
        <is>
          <t>623200033 - GASTOS MARCAS MUNDIAL</t>
        </is>
      </c>
      <c r="B207" s="180" t="inlineStr">
        <is>
          <t xml:space="preserve">                                             -  </t>
        </is>
      </c>
    </row>
    <row r="208">
      <c r="A208" t="inlineStr">
        <is>
          <t>694000000 - Pérdidas deterioro de créditos por op.comerciales</t>
        </is>
      </c>
      <c r="B208" s="173" t="inlineStr">
        <is>
          <t xml:space="preserve">                                             -  </t>
        </is>
      </c>
    </row>
    <row r="209">
      <c r="A209" t="inlineStr">
        <is>
          <t>769000000 - Otros ingresos financieros</t>
        </is>
      </c>
      <c r="B209" s="173" t="inlineStr">
        <is>
          <t xml:space="preserve">                                             -  </t>
        </is>
      </c>
    </row>
    <row r="210">
      <c r="B210" s="173">
        <f>SUM(B2:B209)</f>
        <v/>
      </c>
    </row>
    <row r="212">
      <c r="B212" s="173" t="n">
        <v>-77706.98</v>
      </c>
    </row>
    <row r="215">
      <c r="B215" s="173">
        <f>SUM(B210:B212)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Oscar Ocampo</dc:creator>
  <dcterms:created xmlns:dcterms="http://purl.org/dc/terms/" xmlns:xsi="http://www.w3.org/2001/XMLSchema-instance" xsi:type="dcterms:W3CDTF">2026-04-16T11:19:49Z</dcterms:created>
  <dcterms:modified xmlns:dcterms="http://purl.org/dc/terms/" xmlns:xsi="http://www.w3.org/2001/XMLSchema-instance" xsi:type="dcterms:W3CDTF">2026-10-01T06:19:31Z</dcterms:modified>
  <cp:lastModifiedBy>Oscar Ocampo</cp:lastModifiedBy>
  <cp:lastPrinted>2026-05-15T09:09:31Z</cp:lastPrinted>
</cp:coreProperties>
</file>