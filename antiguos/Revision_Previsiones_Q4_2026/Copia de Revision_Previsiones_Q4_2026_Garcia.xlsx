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jagarcia_codiagro_com/Documents/"/>
    </mc:Choice>
  </mc:AlternateContent>
  <xr:revisionPtr revIDLastSave="0" documentId="8_{ED10A0CF-B0BA-4DD7-9ABA-71482C08F6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evisiones_Garcí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8" i="1" l="1"/>
  <c r="O128" i="1"/>
  <c r="N128" i="1"/>
  <c r="M128" i="1"/>
  <c r="L128" i="1"/>
  <c r="K128" i="1"/>
  <c r="G128" i="1"/>
  <c r="F128" i="1"/>
  <c r="I128" i="1" s="1"/>
  <c r="H6" i="1" s="1"/>
  <c r="S127" i="1"/>
  <c r="R127" i="1"/>
  <c r="Q127" i="1"/>
  <c r="I127" i="1"/>
  <c r="H127" i="1"/>
  <c r="R126" i="1"/>
  <c r="S126" i="1" s="1"/>
  <c r="Q126" i="1"/>
  <c r="I126" i="1"/>
  <c r="H126" i="1"/>
  <c r="R125" i="1"/>
  <c r="S125" i="1" s="1"/>
  <c r="Q125" i="1"/>
  <c r="I125" i="1"/>
  <c r="H125" i="1"/>
  <c r="R124" i="1"/>
  <c r="S124" i="1" s="1"/>
  <c r="Q124" i="1"/>
  <c r="I124" i="1"/>
  <c r="H124" i="1"/>
  <c r="S123" i="1"/>
  <c r="R123" i="1"/>
  <c r="Q123" i="1"/>
  <c r="I123" i="1"/>
  <c r="H123" i="1"/>
  <c r="R122" i="1"/>
  <c r="Q122" i="1"/>
  <c r="S122" i="1" s="1"/>
  <c r="I122" i="1"/>
  <c r="H122" i="1"/>
  <c r="R121" i="1"/>
  <c r="Q121" i="1"/>
  <c r="S121" i="1" s="1"/>
  <c r="I121" i="1"/>
  <c r="H121" i="1"/>
  <c r="S120" i="1"/>
  <c r="R120" i="1"/>
  <c r="Q120" i="1"/>
  <c r="I120" i="1"/>
  <c r="H120" i="1"/>
  <c r="R119" i="1"/>
  <c r="Q119" i="1"/>
  <c r="S119" i="1" s="1"/>
  <c r="I119" i="1"/>
  <c r="H119" i="1"/>
  <c r="S118" i="1"/>
  <c r="R118" i="1"/>
  <c r="Q118" i="1"/>
  <c r="I118" i="1"/>
  <c r="H118" i="1"/>
  <c r="S117" i="1"/>
  <c r="R117" i="1"/>
  <c r="Q117" i="1"/>
  <c r="I117" i="1"/>
  <c r="H117" i="1"/>
  <c r="R116" i="1"/>
  <c r="S116" i="1" s="1"/>
  <c r="Q116" i="1"/>
  <c r="I116" i="1"/>
  <c r="H116" i="1"/>
  <c r="R115" i="1"/>
  <c r="S115" i="1" s="1"/>
  <c r="Q115" i="1"/>
  <c r="I115" i="1"/>
  <c r="H115" i="1"/>
  <c r="R114" i="1"/>
  <c r="S114" i="1" s="1"/>
  <c r="Q114" i="1"/>
  <c r="I114" i="1"/>
  <c r="H114" i="1"/>
  <c r="R113" i="1"/>
  <c r="S113" i="1" s="1"/>
  <c r="Q113" i="1"/>
  <c r="I113" i="1"/>
  <c r="H113" i="1"/>
  <c r="S112" i="1"/>
  <c r="R112" i="1"/>
  <c r="Q112" i="1"/>
  <c r="I112" i="1"/>
  <c r="H112" i="1"/>
  <c r="R111" i="1"/>
  <c r="Q111" i="1"/>
  <c r="S111" i="1" s="1"/>
  <c r="I111" i="1"/>
  <c r="H111" i="1"/>
  <c r="R110" i="1"/>
  <c r="Q110" i="1"/>
  <c r="S110" i="1" s="1"/>
  <c r="I110" i="1"/>
  <c r="H110" i="1"/>
  <c r="S109" i="1"/>
  <c r="R109" i="1"/>
  <c r="Q109" i="1"/>
  <c r="I109" i="1"/>
  <c r="H109" i="1"/>
  <c r="R108" i="1"/>
  <c r="S108" i="1" s="1"/>
  <c r="Q108" i="1"/>
  <c r="I108" i="1"/>
  <c r="H108" i="1"/>
  <c r="R107" i="1"/>
  <c r="S107" i="1" s="1"/>
  <c r="Q107" i="1"/>
  <c r="I107" i="1"/>
  <c r="H107" i="1"/>
  <c r="R106" i="1"/>
  <c r="S106" i="1" s="1"/>
  <c r="Q106" i="1"/>
  <c r="I106" i="1"/>
  <c r="H106" i="1"/>
  <c r="R105" i="1"/>
  <c r="S105" i="1" s="1"/>
  <c r="Q105" i="1"/>
  <c r="I105" i="1"/>
  <c r="H105" i="1"/>
  <c r="S104" i="1"/>
  <c r="R104" i="1"/>
  <c r="Q104" i="1"/>
  <c r="I104" i="1"/>
  <c r="H104" i="1"/>
  <c r="R103" i="1"/>
  <c r="Q103" i="1"/>
  <c r="S103" i="1" s="1"/>
  <c r="I103" i="1"/>
  <c r="H103" i="1"/>
  <c r="R102" i="1"/>
  <c r="Q102" i="1"/>
  <c r="S102" i="1" s="1"/>
  <c r="I102" i="1"/>
  <c r="H102" i="1"/>
  <c r="S101" i="1"/>
  <c r="R101" i="1"/>
  <c r="Q101" i="1"/>
  <c r="I101" i="1"/>
  <c r="H101" i="1"/>
  <c r="R100" i="1"/>
  <c r="S100" i="1" s="1"/>
  <c r="Q100" i="1"/>
  <c r="I100" i="1"/>
  <c r="H100" i="1"/>
  <c r="R99" i="1"/>
  <c r="S99" i="1" s="1"/>
  <c r="Q99" i="1"/>
  <c r="I99" i="1"/>
  <c r="H99" i="1"/>
  <c r="R98" i="1"/>
  <c r="S98" i="1" s="1"/>
  <c r="Q98" i="1"/>
  <c r="I98" i="1"/>
  <c r="H98" i="1"/>
  <c r="R97" i="1"/>
  <c r="S97" i="1" s="1"/>
  <c r="Q97" i="1"/>
  <c r="I97" i="1"/>
  <c r="H97" i="1"/>
  <c r="S96" i="1"/>
  <c r="R96" i="1"/>
  <c r="Q96" i="1"/>
  <c r="I96" i="1"/>
  <c r="H96" i="1"/>
  <c r="R95" i="1"/>
  <c r="Q95" i="1"/>
  <c r="S95" i="1" s="1"/>
  <c r="I95" i="1"/>
  <c r="H95" i="1"/>
  <c r="R94" i="1"/>
  <c r="Q94" i="1"/>
  <c r="S94" i="1" s="1"/>
  <c r="I94" i="1"/>
  <c r="H94" i="1"/>
  <c r="S93" i="1"/>
  <c r="R93" i="1"/>
  <c r="Q93" i="1"/>
  <c r="I93" i="1"/>
  <c r="H93" i="1"/>
  <c r="R92" i="1"/>
  <c r="S92" i="1" s="1"/>
  <c r="Q92" i="1"/>
  <c r="I92" i="1"/>
  <c r="H92" i="1"/>
  <c r="R91" i="1"/>
  <c r="S91" i="1" s="1"/>
  <c r="Q91" i="1"/>
  <c r="I91" i="1"/>
  <c r="H91" i="1"/>
  <c r="R90" i="1"/>
  <c r="S90" i="1" s="1"/>
  <c r="Q90" i="1"/>
  <c r="I90" i="1"/>
  <c r="H90" i="1"/>
  <c r="R89" i="1"/>
  <c r="S89" i="1" s="1"/>
  <c r="Q89" i="1"/>
  <c r="I89" i="1"/>
  <c r="H89" i="1"/>
  <c r="S88" i="1"/>
  <c r="R88" i="1"/>
  <c r="Q88" i="1"/>
  <c r="I88" i="1"/>
  <c r="H88" i="1"/>
  <c r="R87" i="1"/>
  <c r="Q87" i="1"/>
  <c r="S87" i="1" s="1"/>
  <c r="I87" i="1"/>
  <c r="H87" i="1"/>
  <c r="R86" i="1"/>
  <c r="Q86" i="1"/>
  <c r="S86" i="1" s="1"/>
  <c r="I86" i="1"/>
  <c r="H86" i="1"/>
  <c r="S85" i="1"/>
  <c r="R85" i="1"/>
  <c r="Q85" i="1"/>
  <c r="I85" i="1"/>
  <c r="H85" i="1"/>
  <c r="R84" i="1"/>
  <c r="S84" i="1" s="1"/>
  <c r="Q84" i="1"/>
  <c r="I84" i="1"/>
  <c r="H84" i="1"/>
  <c r="R83" i="1"/>
  <c r="S83" i="1" s="1"/>
  <c r="Q83" i="1"/>
  <c r="I83" i="1"/>
  <c r="H83" i="1"/>
  <c r="R82" i="1"/>
  <c r="S82" i="1" s="1"/>
  <c r="Q82" i="1"/>
  <c r="I82" i="1"/>
  <c r="H82" i="1"/>
  <c r="R81" i="1"/>
  <c r="S81" i="1" s="1"/>
  <c r="Q81" i="1"/>
  <c r="I81" i="1"/>
  <c r="H81" i="1"/>
  <c r="S80" i="1"/>
  <c r="R80" i="1"/>
  <c r="Q80" i="1"/>
  <c r="I80" i="1"/>
  <c r="H80" i="1"/>
  <c r="R79" i="1"/>
  <c r="Q79" i="1"/>
  <c r="S79" i="1" s="1"/>
  <c r="I79" i="1"/>
  <c r="H79" i="1"/>
  <c r="R78" i="1"/>
  <c r="Q78" i="1"/>
  <c r="S78" i="1" s="1"/>
  <c r="I78" i="1"/>
  <c r="H78" i="1"/>
  <c r="S77" i="1"/>
  <c r="R77" i="1"/>
  <c r="Q77" i="1"/>
  <c r="I77" i="1"/>
  <c r="H77" i="1"/>
  <c r="R76" i="1"/>
  <c r="S76" i="1" s="1"/>
  <c r="Q76" i="1"/>
  <c r="I76" i="1"/>
  <c r="H76" i="1"/>
  <c r="R75" i="1"/>
  <c r="S75" i="1" s="1"/>
  <c r="Q75" i="1"/>
  <c r="I75" i="1"/>
  <c r="H75" i="1"/>
  <c r="R74" i="1"/>
  <c r="S74" i="1" s="1"/>
  <c r="Q74" i="1"/>
  <c r="I74" i="1"/>
  <c r="H74" i="1"/>
  <c r="R73" i="1"/>
  <c r="S73" i="1" s="1"/>
  <c r="Q73" i="1"/>
  <c r="I73" i="1"/>
  <c r="H73" i="1"/>
  <c r="S72" i="1"/>
  <c r="R72" i="1"/>
  <c r="Q72" i="1"/>
  <c r="I72" i="1"/>
  <c r="H72" i="1"/>
  <c r="R71" i="1"/>
  <c r="Q71" i="1"/>
  <c r="S71" i="1" s="1"/>
  <c r="I71" i="1"/>
  <c r="H71" i="1"/>
  <c r="R70" i="1"/>
  <c r="Q70" i="1"/>
  <c r="I70" i="1"/>
  <c r="H70" i="1"/>
  <c r="S69" i="1"/>
  <c r="R69" i="1"/>
  <c r="Q69" i="1"/>
  <c r="I69" i="1"/>
  <c r="H69" i="1"/>
  <c r="R68" i="1"/>
  <c r="S68" i="1" s="1"/>
  <c r="Q68" i="1"/>
  <c r="I68" i="1"/>
  <c r="H68" i="1"/>
  <c r="R67" i="1"/>
  <c r="S67" i="1" s="1"/>
  <c r="Q67" i="1"/>
  <c r="I67" i="1"/>
  <c r="H67" i="1"/>
  <c r="R66" i="1"/>
  <c r="S66" i="1" s="1"/>
  <c r="Q66" i="1"/>
  <c r="I66" i="1"/>
  <c r="H66" i="1"/>
  <c r="R65" i="1"/>
  <c r="S65" i="1" s="1"/>
  <c r="Q65" i="1"/>
  <c r="I65" i="1"/>
  <c r="H65" i="1"/>
  <c r="S64" i="1"/>
  <c r="R64" i="1"/>
  <c r="Q64" i="1"/>
  <c r="I64" i="1"/>
  <c r="H64" i="1"/>
  <c r="R63" i="1"/>
  <c r="Q63" i="1"/>
  <c r="S63" i="1" s="1"/>
  <c r="I63" i="1"/>
  <c r="H63" i="1"/>
  <c r="R62" i="1"/>
  <c r="Q62" i="1"/>
  <c r="S62" i="1" s="1"/>
  <c r="I62" i="1"/>
  <c r="H62" i="1"/>
  <c r="S61" i="1"/>
  <c r="R61" i="1"/>
  <c r="Q61" i="1"/>
  <c r="I61" i="1"/>
  <c r="H61" i="1"/>
  <c r="R60" i="1"/>
  <c r="S60" i="1" s="1"/>
  <c r="Q60" i="1"/>
  <c r="I60" i="1"/>
  <c r="H60" i="1"/>
  <c r="R59" i="1"/>
  <c r="S59" i="1" s="1"/>
  <c r="Q59" i="1"/>
  <c r="I59" i="1"/>
  <c r="H59" i="1"/>
  <c r="R58" i="1"/>
  <c r="S58" i="1" s="1"/>
  <c r="Q58" i="1"/>
  <c r="I58" i="1"/>
  <c r="H58" i="1"/>
  <c r="R57" i="1"/>
  <c r="S57" i="1" s="1"/>
  <c r="Q57" i="1"/>
  <c r="I57" i="1"/>
  <c r="H57" i="1"/>
  <c r="S56" i="1"/>
  <c r="R56" i="1"/>
  <c r="Q56" i="1"/>
  <c r="I56" i="1"/>
  <c r="H56" i="1"/>
  <c r="R55" i="1"/>
  <c r="Q55" i="1"/>
  <c r="S55" i="1" s="1"/>
  <c r="I55" i="1"/>
  <c r="H55" i="1"/>
  <c r="R54" i="1"/>
  <c r="Q54" i="1"/>
  <c r="S54" i="1" s="1"/>
  <c r="I54" i="1"/>
  <c r="H54" i="1"/>
  <c r="S53" i="1"/>
  <c r="R53" i="1"/>
  <c r="Q53" i="1"/>
  <c r="I53" i="1"/>
  <c r="H53" i="1"/>
  <c r="R52" i="1"/>
  <c r="S52" i="1" s="1"/>
  <c r="Q52" i="1"/>
  <c r="I52" i="1"/>
  <c r="H52" i="1"/>
  <c r="R51" i="1"/>
  <c r="S51" i="1" s="1"/>
  <c r="Q51" i="1"/>
  <c r="I51" i="1"/>
  <c r="H51" i="1"/>
  <c r="R50" i="1"/>
  <c r="S50" i="1" s="1"/>
  <c r="Q50" i="1"/>
  <c r="I50" i="1"/>
  <c r="H50" i="1"/>
  <c r="R49" i="1"/>
  <c r="S49" i="1" s="1"/>
  <c r="Q49" i="1"/>
  <c r="I49" i="1"/>
  <c r="H49" i="1"/>
  <c r="S48" i="1"/>
  <c r="R48" i="1"/>
  <c r="Q48" i="1"/>
  <c r="I48" i="1"/>
  <c r="H48" i="1"/>
  <c r="R47" i="1"/>
  <c r="Q47" i="1"/>
  <c r="S47" i="1" s="1"/>
  <c r="I47" i="1"/>
  <c r="H47" i="1"/>
  <c r="R46" i="1"/>
  <c r="Q46" i="1"/>
  <c r="I46" i="1"/>
  <c r="H46" i="1"/>
  <c r="S45" i="1"/>
  <c r="R45" i="1"/>
  <c r="Q45" i="1"/>
  <c r="I45" i="1"/>
  <c r="H45" i="1"/>
  <c r="R44" i="1"/>
  <c r="S44" i="1" s="1"/>
  <c r="Q44" i="1"/>
  <c r="I44" i="1"/>
  <c r="H44" i="1"/>
  <c r="R43" i="1"/>
  <c r="S43" i="1" s="1"/>
  <c r="Q43" i="1"/>
  <c r="I43" i="1"/>
  <c r="H43" i="1"/>
  <c r="R42" i="1"/>
  <c r="S42" i="1" s="1"/>
  <c r="Q42" i="1"/>
  <c r="I42" i="1"/>
  <c r="H42" i="1"/>
  <c r="R41" i="1"/>
  <c r="S41" i="1" s="1"/>
  <c r="Q41" i="1"/>
  <c r="I41" i="1"/>
  <c r="H41" i="1"/>
  <c r="S40" i="1"/>
  <c r="R40" i="1"/>
  <c r="Q40" i="1"/>
  <c r="I40" i="1"/>
  <c r="H40" i="1"/>
  <c r="R39" i="1"/>
  <c r="Q39" i="1"/>
  <c r="S39" i="1" s="1"/>
  <c r="I39" i="1"/>
  <c r="H39" i="1"/>
  <c r="R38" i="1"/>
  <c r="Q38" i="1"/>
  <c r="S38" i="1" s="1"/>
  <c r="I38" i="1"/>
  <c r="H38" i="1"/>
  <c r="S37" i="1"/>
  <c r="R37" i="1"/>
  <c r="Q37" i="1"/>
  <c r="I37" i="1"/>
  <c r="H37" i="1"/>
  <c r="S36" i="1"/>
  <c r="R36" i="1"/>
  <c r="Q36" i="1"/>
  <c r="I36" i="1"/>
  <c r="H36" i="1"/>
  <c r="R35" i="1"/>
  <c r="S35" i="1" s="1"/>
  <c r="Q35" i="1"/>
  <c r="I35" i="1"/>
  <c r="H35" i="1"/>
  <c r="R34" i="1"/>
  <c r="S34" i="1" s="1"/>
  <c r="Q34" i="1"/>
  <c r="I34" i="1"/>
  <c r="H34" i="1"/>
  <c r="R33" i="1"/>
  <c r="S33" i="1" s="1"/>
  <c r="Q33" i="1"/>
  <c r="I33" i="1"/>
  <c r="H33" i="1"/>
  <c r="S32" i="1"/>
  <c r="R32" i="1"/>
  <c r="Q32" i="1"/>
  <c r="I32" i="1"/>
  <c r="H32" i="1"/>
  <c r="R31" i="1"/>
  <c r="Q31" i="1"/>
  <c r="S31" i="1" s="1"/>
  <c r="I31" i="1"/>
  <c r="H31" i="1"/>
  <c r="R30" i="1"/>
  <c r="Q30" i="1"/>
  <c r="S30" i="1" s="1"/>
  <c r="I30" i="1"/>
  <c r="H30" i="1"/>
  <c r="S29" i="1"/>
  <c r="R29" i="1"/>
  <c r="Q29" i="1"/>
  <c r="I29" i="1"/>
  <c r="H29" i="1"/>
  <c r="R28" i="1"/>
  <c r="S28" i="1" s="1"/>
  <c r="Q28" i="1"/>
  <c r="I28" i="1"/>
  <c r="H28" i="1"/>
  <c r="R27" i="1"/>
  <c r="S27" i="1" s="1"/>
  <c r="Q27" i="1"/>
  <c r="I27" i="1"/>
  <c r="H27" i="1"/>
  <c r="R26" i="1"/>
  <c r="S26" i="1" s="1"/>
  <c r="Q26" i="1"/>
  <c r="I26" i="1"/>
  <c r="H26" i="1"/>
  <c r="R25" i="1"/>
  <c r="S25" i="1" s="1"/>
  <c r="Q25" i="1"/>
  <c r="I25" i="1"/>
  <c r="H25" i="1"/>
  <c r="S24" i="1"/>
  <c r="R24" i="1"/>
  <c r="Q24" i="1"/>
  <c r="I24" i="1"/>
  <c r="H24" i="1"/>
  <c r="R23" i="1"/>
  <c r="Q23" i="1"/>
  <c r="S23" i="1" s="1"/>
  <c r="I23" i="1"/>
  <c r="H23" i="1"/>
  <c r="R22" i="1"/>
  <c r="Q22" i="1"/>
  <c r="S22" i="1" s="1"/>
  <c r="I22" i="1"/>
  <c r="H22" i="1"/>
  <c r="S21" i="1"/>
  <c r="R21" i="1"/>
  <c r="Q21" i="1"/>
  <c r="I21" i="1"/>
  <c r="H21" i="1"/>
  <c r="R20" i="1"/>
  <c r="S20" i="1" s="1"/>
  <c r="Q20" i="1"/>
  <c r="I20" i="1"/>
  <c r="H20" i="1"/>
  <c r="R19" i="1"/>
  <c r="S19" i="1" s="1"/>
  <c r="Q19" i="1"/>
  <c r="I19" i="1"/>
  <c r="H19" i="1"/>
  <c r="R18" i="1"/>
  <c r="S18" i="1" s="1"/>
  <c r="Q18" i="1"/>
  <c r="I18" i="1"/>
  <c r="H18" i="1"/>
  <c r="R17" i="1"/>
  <c r="S17" i="1" s="1"/>
  <c r="Q17" i="1"/>
  <c r="I17" i="1"/>
  <c r="H17" i="1"/>
  <c r="R16" i="1"/>
  <c r="S16" i="1" s="1"/>
  <c r="Q16" i="1"/>
  <c r="I16" i="1"/>
  <c r="H16" i="1"/>
  <c r="R15" i="1"/>
  <c r="Q15" i="1"/>
  <c r="S15" i="1" s="1"/>
  <c r="I15" i="1"/>
  <c r="H15" i="1"/>
  <c r="R14" i="1"/>
  <c r="Q14" i="1"/>
  <c r="S14" i="1" s="1"/>
  <c r="I14" i="1"/>
  <c r="H14" i="1"/>
  <c r="S13" i="1"/>
  <c r="R13" i="1"/>
  <c r="Q13" i="1"/>
  <c r="I13" i="1"/>
  <c r="H13" i="1"/>
  <c r="R12" i="1"/>
  <c r="S12" i="1" s="1"/>
  <c r="Q12" i="1"/>
  <c r="I12" i="1"/>
  <c r="H12" i="1"/>
  <c r="R11" i="1"/>
  <c r="S11" i="1" s="1"/>
  <c r="Q11" i="1"/>
  <c r="I11" i="1"/>
  <c r="H11" i="1"/>
  <c r="R10" i="1"/>
  <c r="Q10" i="1"/>
  <c r="Q128" i="1" s="1"/>
  <c r="K6" i="1" s="1"/>
  <c r="I10" i="1"/>
  <c r="H10" i="1"/>
  <c r="H128" i="1" s="1"/>
  <c r="E6" i="1"/>
  <c r="B6" i="1"/>
  <c r="S70" i="1" l="1"/>
  <c r="R128" i="1"/>
  <c r="N6" i="1" s="1"/>
  <c r="S46" i="1"/>
  <c r="S10" i="1"/>
  <c r="S128" i="1" l="1"/>
  <c r="Q6" i="1" s="1"/>
</calcChain>
</file>

<file path=xl/sharedStrings.xml><?xml version="1.0" encoding="utf-8"?>
<sst xmlns="http://schemas.openxmlformats.org/spreadsheetml/2006/main" count="549" uniqueCount="231">
  <si>
    <t>CODIAGRO · ACTUALIZACIÓN DE PREVISIONES COMERCIALES Q4 2026 (OCTUBRE - DICIEMBRE)</t>
  </si>
  <si>
    <t>DELEGADO COMERCIAL: GARCÍA | Cierre Septiembre Oficial (01/10/2026) vs Previsiones a Final de Año | Generado: 01/10/2026 14:16</t>
  </si>
  <si>
    <t>📌 INSTRUCCIONES: 1) Revise el bloque de SEPTIEMBRE (Previsto, Real, Desviación en Valor Absoluto y % Consecución) e indique en col. J el motivo de la desviación (adelanto, atraso, extra). 2) En las columnas verdes (L, N, P), revise y actualice las cantidades estimadas de Octubre, Noviembre y Diciembre si prevé cambios. 3) Comente en col. T cualquier nota de campaña.</t>
  </si>
  <si>
    <t>PREVISTO SEP 2026 (U)</t>
  </si>
  <si>
    <t>REAL PEDIDOS SEP 2026 (U)</t>
  </si>
  <si>
    <t>% CONSECUCIÓN SEP</t>
  </si>
  <si>
    <t>PREVISIÓN INICIAL Q4 (U)</t>
  </si>
  <si>
    <t>PREVISIÓN REVISADA Q4 (U)</t>
  </si>
  <si>
    <t>VARIACIÓN NETA Q4 (U)</t>
  </si>
  <si>
    <t>DATOS CLIENTE Y ARTÍCULO</t>
  </si>
  <si>
    <t>CIERRE SEPTIEMBRE 2026 (CALIBRACIÓN Y ANÁLISIS)</t>
  </si>
  <si>
    <t>REVISIÓN PREVISIONES MES A MES (HASTA FINAL DE AÑO 2026)</t>
  </si>
  <si>
    <t>IMPACTO Q4 Y JUSTIFICACIÓN</t>
  </si>
  <si>
    <t>País</t>
  </si>
  <si>
    <t>Cliente</t>
  </si>
  <si>
    <t>Cód. SKU</t>
  </si>
  <si>
    <t>Descripción Artículo</t>
  </si>
  <si>
    <t>Sep Previsto (u)</t>
  </si>
  <si>
    <t>Sep Real (u)</t>
  </si>
  <si>
    <t>Desv. Sep (u)</t>
  </si>
  <si>
    <t>% Consec.</t>
  </si>
  <si>
    <t>Comentario Sep (¿Adelanto/Atraso/Extra?)</t>
  </si>
  <si>
    <t>Oct Anterior (u)</t>
  </si>
  <si>
    <t>Oct Revisado (u)</t>
  </si>
  <si>
    <t>Nov Anterior (u)</t>
  </si>
  <si>
    <t>Nov Revisado (u)</t>
  </si>
  <si>
    <t>Dic Anterior (u)</t>
  </si>
  <si>
    <t>Dic Revisado (u)</t>
  </si>
  <si>
    <t>Total Q4 Ant (u)</t>
  </si>
  <si>
    <t>Total Q4 Rev (u)</t>
  </si>
  <si>
    <t>Dif Q4 (u)</t>
  </si>
  <si>
    <t>Comentarios / Justificación Q4</t>
  </si>
  <si>
    <t>ESPAÑA</t>
  </si>
  <si>
    <t>AGROGIMEDEL, S.L.U.</t>
  </si>
  <si>
    <t>AGZNP0005</t>
  </si>
  <si>
    <t>AGROXILATO ZN PLUS, 5 KG</t>
  </si>
  <si>
    <t>AGRONEW FITO, S.L.</t>
  </si>
  <si>
    <t>AGXK0020</t>
  </si>
  <si>
    <t>AGROXILATO-K, 20 L</t>
  </si>
  <si>
    <t>AGXK1000</t>
  </si>
  <si>
    <t>AGROXILATO-K, 1000 L</t>
  </si>
  <si>
    <t>AGZ-M0005</t>
  </si>
  <si>
    <t>AGROXILATO-ZN-MN, 5 KG</t>
  </si>
  <si>
    <t>AGROXILATO-ZN PLUS, 5 KG</t>
  </si>
  <si>
    <t>Pedido extra no previsto</t>
  </si>
  <si>
    <t>AN0020</t>
  </si>
  <si>
    <t>ALCAPLANT NEW, 20 KG</t>
  </si>
  <si>
    <t>ANAE0020</t>
  </si>
  <si>
    <t>ALCAPLANT NEW AE, 20 KG</t>
  </si>
  <si>
    <t>PT0020</t>
  </si>
  <si>
    <t>AGROPOTASION, 20 L</t>
  </si>
  <si>
    <t>S1000</t>
  </si>
  <si>
    <t>SAL-WAX STAR, 1000 L</t>
  </si>
  <si>
    <t>AGROREBOLLO, S.L.</t>
  </si>
  <si>
    <t>AGROSER BERNARDINO, S.L.</t>
  </si>
  <si>
    <t>BIO0020</t>
  </si>
  <si>
    <t>BIORAD-20, 20 L</t>
  </si>
  <si>
    <t>BIO1000</t>
  </si>
  <si>
    <t>BIORAD-20, 1000 L</t>
  </si>
  <si>
    <t>C-CU0005</t>
  </si>
  <si>
    <t>CODICOBRE, 5 L</t>
  </si>
  <si>
    <t>FROST-P0020</t>
  </si>
  <si>
    <t>CODIFROST PLUS, 20 L</t>
  </si>
  <si>
    <t>AGROTRAPICHE, S.L.U</t>
  </si>
  <si>
    <t>A-50(2)0020</t>
  </si>
  <si>
    <t>CODIORGAN-A50, 20 KG</t>
  </si>
  <si>
    <t>AVAN0005</t>
  </si>
  <si>
    <t>FLORAMEC AVANCE, 5 L</t>
  </si>
  <si>
    <t>C-CU0020</t>
  </si>
  <si>
    <t>CODICOBRE, 20 L</t>
  </si>
  <si>
    <t>AGRUPACION DE LABRADORES DEL POZUELO, SA</t>
  </si>
  <si>
    <t>AVAN0020</t>
  </si>
  <si>
    <t>FLORAMEC AVANCE, 20 L</t>
  </si>
  <si>
    <t>LÍBANO</t>
  </si>
  <si>
    <t>BELAGRI FOR AGRICULTURE-GEORGES BOU MON</t>
  </si>
  <si>
    <t>AGMG0005</t>
  </si>
  <si>
    <t>AGROXILATO-MG, 5 KG (EXPORT)</t>
  </si>
  <si>
    <t>AGXCR0020</t>
  </si>
  <si>
    <t>AGROXILATO-K, (0-5-20), 20 LtS.</t>
  </si>
  <si>
    <t>BC0005</t>
  </si>
  <si>
    <t>BITTER-CAL, 5 KG</t>
  </si>
  <si>
    <t>BPLUS0005</t>
  </si>
  <si>
    <t>BOROCAL PLUS, 5 KG</t>
  </si>
  <si>
    <t>EGIPTO</t>
  </si>
  <si>
    <t>DIPLOMATS ORCHARDS FOR TRADE AGENCIES</t>
  </si>
  <si>
    <t>A-50EG0001</t>
  </si>
  <si>
    <t>CODIORGAN-A50</t>
  </si>
  <si>
    <t>AVAN0001</t>
  </si>
  <si>
    <t>CODI-FLOR AVANCE, 1 L</t>
  </si>
  <si>
    <t>DOTRA CHEMICALS</t>
  </si>
  <si>
    <t>AGZNP0001</t>
  </si>
  <si>
    <t>AGROXILATO-ZN PLUS</t>
  </si>
  <si>
    <t>AN1000</t>
  </si>
  <si>
    <t>ALCAPLANT-NEW</t>
  </si>
  <si>
    <t>FLORAMEC AVANCE</t>
  </si>
  <si>
    <t>C-CU20001</t>
  </si>
  <si>
    <t>CODICOBRE</t>
  </si>
  <si>
    <t>SPCE2B0001</t>
  </si>
  <si>
    <t>NEW SPRINTENE</t>
  </si>
  <si>
    <t>SSEG0005</t>
  </si>
  <si>
    <t>SAL-WAX Ca</t>
  </si>
  <si>
    <t>SSEG0020</t>
  </si>
  <si>
    <t>ARABIA SAUDÍ</t>
  </si>
  <si>
    <t>DOTRA GULF TRADING COMPANY</t>
  </si>
  <si>
    <t>AQUOMAR0005</t>
  </si>
  <si>
    <t>AQUOM ARABIA, 5 L</t>
  </si>
  <si>
    <t>FLORAMEC AVANCE, 1 L</t>
  </si>
  <si>
    <t>BIO0005</t>
  </si>
  <si>
    <t>BIORAD-20, 5L</t>
  </si>
  <si>
    <t>SPAR0001</t>
  </si>
  <si>
    <t>SPRINTENE ARABIA, 1 L</t>
  </si>
  <si>
    <t>SALWAX CALCIO EGIPTO, 5 KG</t>
  </si>
  <si>
    <t>ECO-PONIENTE, S.L.U.</t>
  </si>
  <si>
    <t>AGXKAE0020</t>
  </si>
  <si>
    <t>BIOCULTURE POTASIO, 20 L</t>
  </si>
  <si>
    <t>EL PINAR BERRIES, S.L.</t>
  </si>
  <si>
    <t>AN0005</t>
  </si>
  <si>
    <t>ALCAPLANT NEW, 5 KG</t>
  </si>
  <si>
    <t>GRECIA</t>
  </si>
  <si>
    <t>EMPHYTON SERVICE P.C.</t>
  </si>
  <si>
    <t>GRE10001</t>
  </si>
  <si>
    <t>TONAZ</t>
  </si>
  <si>
    <t>GRE10005</t>
  </si>
  <si>
    <t>VITA0001</t>
  </si>
  <si>
    <t>VITA-S</t>
  </si>
  <si>
    <t>VITA0005</t>
  </si>
  <si>
    <t>GEORGIOS POULTSIDIS</t>
  </si>
  <si>
    <t>GRE20005</t>
  </si>
  <si>
    <t>EGERSIS, 5 L</t>
  </si>
  <si>
    <t>HORTOFRUTICOLA COSTA DE ALMERÍA, S.L.</t>
  </si>
  <si>
    <t>INIESTA DEL PINO DISTRIBUCIONES S.L.U</t>
  </si>
  <si>
    <t>A-50(2)0005</t>
  </si>
  <si>
    <t>CODIORGAN-A50, 5 KG</t>
  </si>
  <si>
    <t>CALCIO0005</t>
  </si>
  <si>
    <t>CALCIAMEC, 5 KG</t>
  </si>
  <si>
    <t>TRI0005</t>
  </si>
  <si>
    <t>TRIFENO-94, 5L</t>
  </si>
  <si>
    <t>ROMAROC PONIENTE, S.L.</t>
  </si>
  <si>
    <t>AGXK0200</t>
  </si>
  <si>
    <t>AGROXILATO-K, 200 L</t>
  </si>
  <si>
    <t>RUMANÍA</t>
  </si>
  <si>
    <t>SC MARCOSER S.R.L.</t>
  </si>
  <si>
    <t>A-500001</t>
  </si>
  <si>
    <t>CODIORGAN  A-50</t>
  </si>
  <si>
    <t>AGMG0001</t>
  </si>
  <si>
    <t>AGROXILATO Mg</t>
  </si>
  <si>
    <t>AGROXILATO-K</t>
  </si>
  <si>
    <t>AGXCR1000</t>
  </si>
  <si>
    <t>AGXKAE0001</t>
  </si>
  <si>
    <t>BIOCULTURE POTASIO</t>
  </si>
  <si>
    <t>AGXKAEP0001</t>
  </si>
  <si>
    <t>BIOCULTURE POTASIO PLUS, 1 L</t>
  </si>
  <si>
    <t>ALCAPLANT NEW</t>
  </si>
  <si>
    <t>AVAN0200</t>
  </si>
  <si>
    <t>FLORAMEC AVANCE, 200 L</t>
  </si>
  <si>
    <t>B0001</t>
  </si>
  <si>
    <t>BOROCAL</t>
  </si>
  <si>
    <t>B0020</t>
  </si>
  <si>
    <t>B1000</t>
  </si>
  <si>
    <t>BOROCAL, 1000 L</t>
  </si>
  <si>
    <t>BIO0001</t>
  </si>
  <si>
    <t>BIORAD-20</t>
  </si>
  <si>
    <t>C-CU0001</t>
  </si>
  <si>
    <t>C-L0001</t>
  </si>
  <si>
    <t>CODIBOR-L</t>
  </si>
  <si>
    <t>FLOR0001</t>
  </si>
  <si>
    <t>FLORAMEC</t>
  </si>
  <si>
    <t>G0001</t>
  </si>
  <si>
    <t>GREEN-UP</t>
  </si>
  <si>
    <t>G0200</t>
  </si>
  <si>
    <t>GREEN-UP EXPORTACION, 200 L</t>
  </si>
  <si>
    <t>P-5X0020RU</t>
  </si>
  <si>
    <t>P.M.S. 5x, 20 L</t>
  </si>
  <si>
    <t>PK500001</t>
  </si>
  <si>
    <t>POLIFRUIT K50</t>
  </si>
  <si>
    <t>PK500020</t>
  </si>
  <si>
    <t>PML0001</t>
  </si>
  <si>
    <t>POLIGREEN MIX L</t>
  </si>
  <si>
    <t>PT0001</t>
  </si>
  <si>
    <t>AGROPOTASION</t>
  </si>
  <si>
    <t>SPCE0001</t>
  </si>
  <si>
    <t>SPRINTENE</t>
  </si>
  <si>
    <t>SPCE0020</t>
  </si>
  <si>
    <t>SS0001</t>
  </si>
  <si>
    <t>SS0020</t>
  </si>
  <si>
    <t>SAL-WAX-Ca</t>
  </si>
  <si>
    <t>SERVIAGRI´ 97, S.L.</t>
  </si>
  <si>
    <t>AGXK0005</t>
  </si>
  <si>
    <t>AGROXILATO-K, 5 L</t>
  </si>
  <si>
    <t>ANAE0005</t>
  </si>
  <si>
    <t>ALCAPLANT NEW AE, 5 KG</t>
  </si>
  <si>
    <t>BOROCAL,1 L</t>
  </si>
  <si>
    <t>B0005</t>
  </si>
  <si>
    <t>BOROCAL, 5 L</t>
  </si>
  <si>
    <t>BROTA0001</t>
  </si>
  <si>
    <t>BROTAMEC, 1 L</t>
  </si>
  <si>
    <t>BROTA0005</t>
  </si>
  <si>
    <t>BROTAMEC, 5 L</t>
  </si>
  <si>
    <t>FTK0005</t>
  </si>
  <si>
    <t>FITOKONTROL CA FLOW, 5 KG</t>
  </si>
  <si>
    <t>JF0005</t>
  </si>
  <si>
    <t>CODIGIN-FOS, 5 L</t>
  </si>
  <si>
    <t>PREZN0005</t>
  </si>
  <si>
    <t>PREZINC, 5 kg</t>
  </si>
  <si>
    <t>SSAE0005</t>
  </si>
  <si>
    <t>MAGNIFIC-VIETS-AE, 5 KG</t>
  </si>
  <si>
    <t>MARRUECOS</t>
  </si>
  <si>
    <t>STE BBMAGRI, SARL</t>
  </si>
  <si>
    <t>CODIORGAN A-50</t>
  </si>
  <si>
    <t>AGN0005</t>
  </si>
  <si>
    <t>AGROXILATO-N, 5 L</t>
  </si>
  <si>
    <t>RADISOL-20</t>
  </si>
  <si>
    <t>F-MIX0020</t>
  </si>
  <si>
    <t>FITOLIN-MIX, 20 L</t>
  </si>
  <si>
    <t>FITOKONTROL CA FLOW</t>
  </si>
  <si>
    <t>CODIGIN-FOS</t>
  </si>
  <si>
    <t>PHD0005</t>
  </si>
  <si>
    <t>PH-DOWNER, 5 L</t>
  </si>
  <si>
    <t>PHD0020</t>
  </si>
  <si>
    <t>PH-DOWNER</t>
  </si>
  <si>
    <t>TRATAMIENTOS AGRICOLAS BRENES, S.L.</t>
  </si>
  <si>
    <t>WHITE0020</t>
  </si>
  <si>
    <t>AGROWHITE, 20 KG</t>
  </si>
  <si>
    <t>UNICOM SERVICIOS Y GESTION S.L.</t>
  </si>
  <si>
    <t>TOTAL CONSOLIDADO - GARCÍA (UNIDADES)</t>
  </si>
  <si>
    <t>Atraso de pedidos</t>
  </si>
  <si>
    <t>Cancelado / Sin siembra</t>
  </si>
  <si>
    <t>Reducción de superficie</t>
  </si>
  <si>
    <t>Pendiente de precios de mercado</t>
  </si>
  <si>
    <t>Adelanto de pedidos</t>
  </si>
  <si>
    <t>Campaña habitual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</si>
</sst>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+#,##0;\-#,##0;0"/>
    <numFmt numFmtId="166" formatCode="#,##0\ &quot;u&quot;"/>
    <numFmt numFmtId="167" formatCode="\+#,##0\ &quot;u&quot;;\-#,##0\ &quot;u&quot;;0\ &quot;u&quot;"/>
  </numFmts>
  <fonts count="15" x14ac:knownFonts="1">
    <font>
      <sz val="11"/>
      <color theme="1"/>
      <name val="Calibri"/>
      <family val="2"/>
      <scheme val="minor"/>
    </font>
    <font>
      <b/>
      <sz val="15"/>
      <color rgb="FFFFFFFF"/>
      <name val="Segoe UI"/>
    </font>
    <font>
      <i/>
      <sz val="10"/>
      <color rgb="FF94A3B8"/>
      <name val="Segoe UI"/>
    </font>
    <font>
      <b/>
      <sz val="9"/>
      <color rgb="FF1E293B"/>
      <name val="Segoe UI"/>
    </font>
    <font>
      <b/>
      <sz val="10"/>
      <color rgb="FFFFFFFF"/>
      <name val="Segoe UI"/>
    </font>
    <font>
      <b/>
      <sz val="9"/>
      <color rgb="FFFFFFFF"/>
      <name val="Segoe UI"/>
    </font>
    <font>
      <sz val="9"/>
      <color rgb="FF1E293B"/>
      <name val="Segoe UI"/>
    </font>
    <font>
      <b/>
      <sz val="9"/>
      <color rgb="FF0F172A"/>
      <name val="Segoe UI"/>
    </font>
    <font>
      <b/>
      <sz val="9"/>
      <color rgb="FF065F46"/>
      <name val="Segoe UI"/>
    </font>
    <font>
      <b/>
      <sz val="10"/>
      <color rgb="FF0F172A"/>
      <name val="Segoe UI"/>
    </font>
    <font>
      <b/>
      <sz val="9"/>
      <color rgb="FF64748B"/>
      <name val="Segoe UI"/>
    </font>
    <font>
      <b/>
      <sz val="13"/>
      <color rgb="FF1D4ED8"/>
      <name val="Segoe UI"/>
    </font>
    <font>
      <b/>
      <sz val="13"/>
      <color rgb="FF047857"/>
      <name val="Segoe UI"/>
    </font>
    <font>
      <b/>
      <sz val="13"/>
      <color rgb="FF0F172A"/>
      <name val="Segoe UI"/>
    </font>
    <font>
      <b/>
      <sz val="13"/>
      <color rgb="FFB45309"/>
      <name val="Segoe UI"/>
    </font>
  </fonts>
  <fills count="17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EFF6FF"/>
        <bgColor rgb="FFEFF6FF"/>
      </patternFill>
    </fill>
    <fill>
      <patternFill patternType="solid">
        <fgColor rgb="FF334155"/>
        <bgColor rgb="FF334155"/>
      </patternFill>
    </fill>
    <fill>
      <patternFill patternType="solid">
        <fgColor rgb="FF1D4ED8"/>
        <bgColor rgb="FF1D4ED8"/>
      </patternFill>
    </fill>
    <fill>
      <patternFill patternType="solid">
        <fgColor rgb="FF047857"/>
        <bgColor rgb="FF047857"/>
      </patternFill>
    </fill>
    <fill>
      <patternFill patternType="solid">
        <fgColor rgb="FF475569"/>
        <bgColor rgb="FF475569"/>
      </patternFill>
    </fill>
    <fill>
      <patternFill patternType="solid">
        <fgColor rgb="FF2563EB"/>
        <bgColor rgb="FF2563EB"/>
      </patternFill>
    </fill>
    <fill>
      <patternFill patternType="solid">
        <fgColor rgb="FF059669"/>
        <bgColor rgb="FF059669"/>
      </patternFill>
    </fill>
    <fill>
      <patternFill patternType="solid">
        <fgColor rgb="FFFEF9C3"/>
        <bgColor rgb="FFFEF9C3"/>
      </patternFill>
    </fill>
    <fill>
      <patternFill patternType="solid">
        <fgColor rgb="FFF8FAFC"/>
        <bgColor rgb="FFF8FAFC"/>
      </patternFill>
    </fill>
    <fill>
      <patternFill patternType="solid">
        <fgColor rgb="FFECFDF5"/>
        <bgColor rgb="FFECFDF5"/>
      </patternFill>
    </fill>
    <fill>
      <patternFill patternType="solid">
        <fgColor rgb="FFE2E8F0"/>
        <bgColor rgb="FFE2E8F0"/>
      </patternFill>
    </fill>
    <fill>
      <patternFill patternType="solid">
        <fgColor rgb="FFF1F5F9"/>
        <bgColor rgb="FFF1F5F9"/>
      </patternFill>
    </fill>
    <fill>
      <patternFill patternType="solid">
        <fgColor rgb="FFFEF3C7"/>
        <bgColor rgb="FFFEF3C7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CBD5E1"/>
      </left>
      <right style="thin">
        <color rgb="FFCBD5E1"/>
      </right>
      <top style="thin">
        <color rgb="FF94A3B8"/>
      </top>
      <bottom style="double">
        <color rgb="FF0F172A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0" fontId="6" fillId="11" borderId="1" xfId="0" applyFont="1" applyFill="1" applyBorder="1" applyAlignment="1">
      <alignment horizontal="left" vertical="center"/>
    </xf>
    <xf numFmtId="3" fontId="6" fillId="12" borderId="1" xfId="0" applyNumberFormat="1" applyFont="1" applyFill="1" applyBorder="1" applyAlignment="1">
      <alignment horizontal="right" vertical="center"/>
    </xf>
    <xf numFmtId="3" fontId="8" fillId="13" borderId="2" xfId="0" applyNumberFormat="1" applyFont="1" applyFill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12" borderId="1" xfId="0" applyFont="1" applyFill="1" applyBorder="1" applyAlignment="1">
      <alignment horizontal="left" vertical="center"/>
    </xf>
    <xf numFmtId="3" fontId="9" fillId="14" borderId="3" xfId="0" applyNumberFormat="1" applyFont="1" applyFill="1" applyBorder="1" applyAlignment="1">
      <alignment horizontal="right" vertical="center"/>
    </xf>
    <xf numFmtId="164" fontId="9" fillId="14" borderId="3" xfId="0" applyNumberFormat="1" applyFont="1" applyFill="1" applyBorder="1" applyAlignment="1">
      <alignment horizontal="right" vertical="center"/>
    </xf>
    <xf numFmtId="0" fontId="0" fillId="14" borderId="3" xfId="0" applyFill="1" applyBorder="1"/>
    <xf numFmtId="165" fontId="9" fillId="14" borderId="3" xfId="0" applyNumberFormat="1" applyFont="1" applyFill="1" applyBorder="1" applyAlignment="1">
      <alignment horizontal="right" vertical="center"/>
    </xf>
    <xf numFmtId="0" fontId="10" fillId="13" borderId="1" xfId="0" applyFont="1" applyFill="1" applyBorder="1" applyAlignment="1">
      <alignment horizontal="center" vertical="center"/>
    </xf>
    <xf numFmtId="0" fontId="0" fillId="0" borderId="1" xfId="0" applyBorder="1"/>
    <xf numFmtId="166" fontId="12" fillId="13" borderId="1" xfId="0" applyNumberFormat="1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left" vertical="center" wrapText="1" indent="1"/>
    </xf>
    <xf numFmtId="167" fontId="14" fillId="16" borderId="1" xfId="0" applyNumberFormat="1" applyFont="1" applyFill="1" applyBorder="1" applyAlignment="1">
      <alignment horizontal="center" vertical="center"/>
    </xf>
    <xf numFmtId="166" fontId="11" fillId="4" borderId="1" xfId="0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10" fillId="4" borderId="1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center" vertical="center"/>
    </xf>
    <xf numFmtId="0" fontId="9" fillId="14" borderId="3" xfId="0" applyFont="1" applyFill="1" applyBorder="1" applyAlignment="1">
      <alignment horizontal="right" vertical="center" indent="1"/>
    </xf>
    <xf numFmtId="0" fontId="0" fillId="0" borderId="3" xfId="0" applyBorder="1"/>
    <xf numFmtId="164" fontId="13" fillId="1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128"/>
  <sheetViews>
    <sheetView tabSelected="1" topLeftCell="A101" zoomScale="71" workbookViewId="0">
      <selection activeCell="A118" sqref="A118:XFD118"/>
    </sheetView>
  </sheetViews>
  <sheetFormatPr baseColWidth="10" defaultColWidth="8.7265625" defaultRowHeight="14.5" x14ac:dyDescent="0.35"/>
  <cols>
    <col min="1" max="1" width="3" customWidth="1"/>
    <col min="2" max="2" width="14" customWidth="1"/>
    <col min="3" max="3" width="34" customWidth="1"/>
    <col min="4" max="4" width="14" customWidth="1"/>
    <col min="5" max="5" width="32" customWidth="1"/>
    <col min="6" max="6" width="16" customWidth="1"/>
    <col min="7" max="7" width="15" customWidth="1"/>
    <col min="8" max="8" width="14" customWidth="1"/>
    <col min="9" max="9" width="13" customWidth="1"/>
    <col min="10" max="10" width="32" customWidth="1"/>
    <col min="11" max="11" width="15" customWidth="1"/>
    <col min="12" max="12" width="16" customWidth="1"/>
    <col min="13" max="13" width="15" customWidth="1"/>
    <col min="14" max="14" width="16" customWidth="1"/>
    <col min="15" max="15" width="15" customWidth="1"/>
    <col min="16" max="16" width="16" customWidth="1"/>
    <col min="17" max="18" width="17" customWidth="1"/>
    <col min="19" max="19" width="15" customWidth="1"/>
    <col min="20" max="20" width="34" customWidth="1"/>
  </cols>
  <sheetData>
    <row r="2" spans="2:20" ht="36" customHeight="1" x14ac:dyDescent="0.35">
      <c r="B2" s="32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</row>
    <row r="3" spans="2:20" ht="20" customHeight="1" x14ac:dyDescent="0.35">
      <c r="B3" s="27" t="s">
        <v>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4" spans="2:20" ht="26" customHeight="1" x14ac:dyDescent="0.35">
      <c r="B4" s="23" t="s">
        <v>2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</row>
    <row r="5" spans="2:20" ht="16" customHeight="1" x14ac:dyDescent="0.35">
      <c r="B5" s="28" t="s">
        <v>3</v>
      </c>
      <c r="C5" s="19"/>
      <c r="D5" s="19"/>
      <c r="E5" s="18" t="s">
        <v>4</v>
      </c>
      <c r="F5" s="19"/>
      <c r="G5" s="19"/>
      <c r="H5" s="30" t="s">
        <v>5</v>
      </c>
      <c r="I5" s="19"/>
      <c r="J5" s="19"/>
      <c r="K5" s="28" t="s">
        <v>6</v>
      </c>
      <c r="L5" s="19"/>
      <c r="M5" s="19"/>
      <c r="N5" s="18" t="s">
        <v>7</v>
      </c>
      <c r="O5" s="19"/>
      <c r="P5" s="19"/>
      <c r="Q5" s="31" t="s">
        <v>8</v>
      </c>
      <c r="R5" s="19"/>
      <c r="S5" s="19"/>
      <c r="T5" s="19"/>
    </row>
    <row r="6" spans="2:20" ht="26" customHeight="1" x14ac:dyDescent="0.35">
      <c r="B6" s="25">
        <f>F128</f>
        <v>37832</v>
      </c>
      <c r="C6" s="19"/>
      <c r="D6" s="19"/>
      <c r="E6" s="20">
        <f>G128</f>
        <v>57312</v>
      </c>
      <c r="F6" s="19"/>
      <c r="G6" s="19"/>
      <c r="H6" s="36">
        <f>I128</f>
        <v>1.5149080143793614</v>
      </c>
      <c r="I6" s="19"/>
      <c r="J6" s="19"/>
      <c r="K6" s="25">
        <f>Q128</f>
        <v>301256</v>
      </c>
      <c r="L6" s="19"/>
      <c r="M6" s="19"/>
      <c r="N6" s="20">
        <f>R128</f>
        <v>293256</v>
      </c>
      <c r="O6" s="19"/>
      <c r="P6" s="19"/>
      <c r="Q6" s="24">
        <f>S128</f>
        <v>-8000</v>
      </c>
      <c r="R6" s="19"/>
      <c r="S6" s="19"/>
      <c r="T6" s="19"/>
    </row>
    <row r="8" spans="2:20" ht="22" customHeight="1" x14ac:dyDescent="0.35">
      <c r="B8" s="33" t="s">
        <v>9</v>
      </c>
      <c r="C8" s="22"/>
      <c r="D8" s="22"/>
      <c r="E8" s="22"/>
      <c r="F8" s="26" t="s">
        <v>10</v>
      </c>
      <c r="G8" s="22"/>
      <c r="H8" s="22"/>
      <c r="I8" s="22"/>
      <c r="J8" s="22"/>
      <c r="K8" s="21" t="s">
        <v>11</v>
      </c>
      <c r="L8" s="22"/>
      <c r="M8" s="22"/>
      <c r="N8" s="22"/>
      <c r="O8" s="22"/>
      <c r="P8" s="22"/>
      <c r="Q8" s="29" t="s">
        <v>12</v>
      </c>
      <c r="R8" s="22"/>
      <c r="S8" s="22"/>
      <c r="T8" s="22"/>
    </row>
    <row r="9" spans="2:20" ht="28" customHeight="1" x14ac:dyDescent="0.35">
      <c r="B9" s="1" t="s">
        <v>13</v>
      </c>
      <c r="C9" s="1" t="s">
        <v>14</v>
      </c>
      <c r="D9" s="1" t="s">
        <v>15</v>
      </c>
      <c r="E9" s="1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21</v>
      </c>
      <c r="K9" s="3" t="s">
        <v>22</v>
      </c>
      <c r="L9" s="3" t="s">
        <v>23</v>
      </c>
      <c r="M9" s="3" t="s">
        <v>24</v>
      </c>
      <c r="N9" s="3" t="s">
        <v>25</v>
      </c>
      <c r="O9" s="3" t="s">
        <v>26</v>
      </c>
      <c r="P9" s="3" t="s">
        <v>27</v>
      </c>
      <c r="Q9" s="1" t="s">
        <v>28</v>
      </c>
      <c r="R9" s="1" t="s">
        <v>29</v>
      </c>
      <c r="S9" s="1" t="s">
        <v>30</v>
      </c>
      <c r="T9" s="1" t="s">
        <v>31</v>
      </c>
    </row>
    <row r="10" spans="2:20" ht="20" customHeight="1" x14ac:dyDescent="0.35">
      <c r="B10" s="4" t="s">
        <v>32</v>
      </c>
      <c r="C10" s="5" t="s">
        <v>33</v>
      </c>
      <c r="D10" s="4" t="s">
        <v>34</v>
      </c>
      <c r="E10" s="5" t="s">
        <v>35</v>
      </c>
      <c r="F10" s="6">
        <v>700</v>
      </c>
      <c r="G10" s="7">
        <v>0</v>
      </c>
      <c r="H10" s="6">
        <f t="shared" ref="H10:H41" si="0">ABS(G10-F10)</f>
        <v>700</v>
      </c>
      <c r="I10" s="8">
        <f t="shared" ref="I10:I41" si="1">IF(F10&gt;0, G10/F10, IF(G10&gt;0, 1, 0))</f>
        <v>0</v>
      </c>
      <c r="J10" s="9" t="s">
        <v>225</v>
      </c>
      <c r="K10" s="10">
        <v>0</v>
      </c>
      <c r="L10" s="11">
        <v>0</v>
      </c>
      <c r="M10" s="10">
        <v>0</v>
      </c>
      <c r="N10" s="11">
        <v>0</v>
      </c>
      <c r="O10" s="10">
        <v>200</v>
      </c>
      <c r="P10" s="11">
        <v>200</v>
      </c>
      <c r="Q10" s="6">
        <f t="shared" ref="Q10:Q41" si="2">K10+M10+O10</f>
        <v>200</v>
      </c>
      <c r="R10" s="7">
        <f t="shared" ref="R10:R41" si="3">L10+N10+P10</f>
        <v>200</v>
      </c>
      <c r="S10" s="12">
        <f t="shared" ref="S10:S41" si="4">R10-Q10</f>
        <v>0</v>
      </c>
      <c r="T10" s="13"/>
    </row>
    <row r="11" spans="2:20" ht="20" customHeight="1" x14ac:dyDescent="0.35">
      <c r="B11" s="4" t="s">
        <v>32</v>
      </c>
      <c r="C11" s="5" t="s">
        <v>36</v>
      </c>
      <c r="D11" s="4" t="s">
        <v>37</v>
      </c>
      <c r="E11" s="5" t="s">
        <v>38</v>
      </c>
      <c r="F11" s="6">
        <v>0</v>
      </c>
      <c r="G11" s="7">
        <v>0</v>
      </c>
      <c r="H11" s="6">
        <f t="shared" si="0"/>
        <v>0</v>
      </c>
      <c r="I11" s="8">
        <f t="shared" si="1"/>
        <v>0</v>
      </c>
      <c r="J11" s="9"/>
      <c r="K11" s="10">
        <v>0</v>
      </c>
      <c r="L11" s="11">
        <v>0</v>
      </c>
      <c r="M11" s="10">
        <v>1280</v>
      </c>
      <c r="N11" s="11">
        <v>1280</v>
      </c>
      <c r="O11" s="10">
        <v>0</v>
      </c>
      <c r="P11" s="11">
        <v>0</v>
      </c>
      <c r="Q11" s="6">
        <f t="shared" si="2"/>
        <v>1280</v>
      </c>
      <c r="R11" s="7">
        <f t="shared" si="3"/>
        <v>1280</v>
      </c>
      <c r="S11" s="12">
        <f t="shared" si="4"/>
        <v>0</v>
      </c>
      <c r="T11" s="13"/>
    </row>
    <row r="12" spans="2:20" ht="20" customHeight="1" x14ac:dyDescent="0.35">
      <c r="B12" s="4" t="s">
        <v>32</v>
      </c>
      <c r="C12" s="5" t="s">
        <v>36</v>
      </c>
      <c r="D12" s="4" t="s">
        <v>39</v>
      </c>
      <c r="E12" s="5" t="s">
        <v>40</v>
      </c>
      <c r="F12" s="6">
        <v>2000</v>
      </c>
      <c r="G12" s="7">
        <v>0</v>
      </c>
      <c r="H12" s="6">
        <f t="shared" si="0"/>
        <v>2000</v>
      </c>
      <c r="I12" s="8">
        <f t="shared" si="1"/>
        <v>0</v>
      </c>
      <c r="J12" s="9" t="s">
        <v>225</v>
      </c>
      <c r="K12" s="10">
        <v>0</v>
      </c>
      <c r="L12" s="11">
        <v>0</v>
      </c>
      <c r="M12" s="10">
        <v>2000</v>
      </c>
      <c r="N12" s="11">
        <v>2000</v>
      </c>
      <c r="O12" s="10">
        <v>0</v>
      </c>
      <c r="P12" s="11">
        <v>0</v>
      </c>
      <c r="Q12" s="6">
        <f t="shared" si="2"/>
        <v>2000</v>
      </c>
      <c r="R12" s="7">
        <f t="shared" si="3"/>
        <v>2000</v>
      </c>
      <c r="S12" s="12">
        <f t="shared" si="4"/>
        <v>0</v>
      </c>
      <c r="T12" s="13"/>
    </row>
    <row r="13" spans="2:20" ht="20" customHeight="1" x14ac:dyDescent="0.35">
      <c r="B13" s="4" t="s">
        <v>32</v>
      </c>
      <c r="C13" s="5" t="s">
        <v>36</v>
      </c>
      <c r="D13" s="4" t="s">
        <v>41</v>
      </c>
      <c r="E13" s="5" t="s">
        <v>42</v>
      </c>
      <c r="F13" s="6">
        <v>300</v>
      </c>
      <c r="G13" s="7">
        <v>0</v>
      </c>
      <c r="H13" s="6">
        <f t="shared" si="0"/>
        <v>300</v>
      </c>
      <c r="I13" s="8">
        <f t="shared" si="1"/>
        <v>0</v>
      </c>
      <c r="J13" s="9" t="s">
        <v>225</v>
      </c>
      <c r="K13" s="10">
        <v>0</v>
      </c>
      <c r="L13" s="11">
        <v>0</v>
      </c>
      <c r="M13" s="10">
        <v>0</v>
      </c>
      <c r="N13" s="11">
        <v>0</v>
      </c>
      <c r="O13" s="10">
        <v>0</v>
      </c>
      <c r="P13" s="11">
        <v>0</v>
      </c>
      <c r="Q13" s="6">
        <f t="shared" si="2"/>
        <v>0</v>
      </c>
      <c r="R13" s="7">
        <f t="shared" si="3"/>
        <v>0</v>
      </c>
      <c r="S13" s="12">
        <f t="shared" si="4"/>
        <v>0</v>
      </c>
      <c r="T13" s="13"/>
    </row>
    <row r="14" spans="2:20" ht="20" customHeight="1" x14ac:dyDescent="0.35">
      <c r="B14" s="4" t="s">
        <v>32</v>
      </c>
      <c r="C14" s="5" t="s">
        <v>36</v>
      </c>
      <c r="D14" s="4" t="s">
        <v>34</v>
      </c>
      <c r="E14" s="5" t="s">
        <v>43</v>
      </c>
      <c r="F14" s="6">
        <v>0</v>
      </c>
      <c r="G14" s="7">
        <v>100</v>
      </c>
      <c r="H14" s="6">
        <f t="shared" si="0"/>
        <v>100</v>
      </c>
      <c r="I14" s="8">
        <f t="shared" si="1"/>
        <v>1</v>
      </c>
      <c r="J14" s="9" t="s">
        <v>44</v>
      </c>
      <c r="K14" s="10">
        <v>0</v>
      </c>
      <c r="L14" s="11">
        <v>0</v>
      </c>
      <c r="M14" s="10">
        <v>0</v>
      </c>
      <c r="N14" s="11">
        <v>0</v>
      </c>
      <c r="O14" s="10">
        <v>0</v>
      </c>
      <c r="P14" s="11">
        <v>0</v>
      </c>
      <c r="Q14" s="6">
        <f t="shared" si="2"/>
        <v>0</v>
      </c>
      <c r="R14" s="7">
        <f t="shared" si="3"/>
        <v>0</v>
      </c>
      <c r="S14" s="12">
        <f t="shared" si="4"/>
        <v>0</v>
      </c>
      <c r="T14" s="13"/>
    </row>
    <row r="15" spans="2:20" ht="20" customHeight="1" x14ac:dyDescent="0.35">
      <c r="B15" s="4" t="s">
        <v>32</v>
      </c>
      <c r="C15" s="5" t="s">
        <v>36</v>
      </c>
      <c r="D15" s="4" t="s">
        <v>45</v>
      </c>
      <c r="E15" s="5" t="s">
        <v>46</v>
      </c>
      <c r="F15" s="6">
        <v>0</v>
      </c>
      <c r="G15" s="7">
        <v>0</v>
      </c>
      <c r="H15" s="6">
        <f t="shared" si="0"/>
        <v>0</v>
      </c>
      <c r="I15" s="8">
        <f t="shared" si="1"/>
        <v>0</v>
      </c>
      <c r="J15" s="9"/>
      <c r="K15" s="10">
        <v>0</v>
      </c>
      <c r="L15" s="11">
        <v>0</v>
      </c>
      <c r="M15" s="10">
        <v>600</v>
      </c>
      <c r="N15" s="11">
        <v>600</v>
      </c>
      <c r="O15" s="10">
        <v>0</v>
      </c>
      <c r="P15" s="11">
        <v>0</v>
      </c>
      <c r="Q15" s="6">
        <f t="shared" si="2"/>
        <v>600</v>
      </c>
      <c r="R15" s="7">
        <f t="shared" si="3"/>
        <v>600</v>
      </c>
      <c r="S15" s="12">
        <f t="shared" si="4"/>
        <v>0</v>
      </c>
      <c r="T15" s="13"/>
    </row>
    <row r="16" spans="2:20" ht="20" customHeight="1" x14ac:dyDescent="0.35">
      <c r="B16" s="4" t="s">
        <v>32</v>
      </c>
      <c r="C16" s="5" t="s">
        <v>36</v>
      </c>
      <c r="D16" s="4" t="s">
        <v>47</v>
      </c>
      <c r="E16" s="5" t="s">
        <v>48</v>
      </c>
      <c r="F16" s="6">
        <v>2200</v>
      </c>
      <c r="G16" s="7">
        <v>1100</v>
      </c>
      <c r="H16" s="6">
        <f t="shared" si="0"/>
        <v>1100</v>
      </c>
      <c r="I16" s="8">
        <f t="shared" si="1"/>
        <v>0.5</v>
      </c>
      <c r="J16" s="9" t="s">
        <v>226</v>
      </c>
      <c r="K16" s="10">
        <v>1100</v>
      </c>
      <c r="L16" s="11">
        <v>1100</v>
      </c>
      <c r="M16" s="10">
        <v>0</v>
      </c>
      <c r="N16" s="11">
        <v>0</v>
      </c>
      <c r="O16" s="10">
        <v>0</v>
      </c>
      <c r="P16" s="11">
        <v>0</v>
      </c>
      <c r="Q16" s="6">
        <f t="shared" si="2"/>
        <v>1100</v>
      </c>
      <c r="R16" s="7">
        <f t="shared" si="3"/>
        <v>1100</v>
      </c>
      <c r="S16" s="12">
        <f t="shared" si="4"/>
        <v>0</v>
      </c>
      <c r="T16" s="13" t="s">
        <v>227</v>
      </c>
    </row>
    <row r="17" spans="2:20" ht="20" customHeight="1" x14ac:dyDescent="0.35">
      <c r="B17" s="4" t="s">
        <v>32</v>
      </c>
      <c r="C17" s="5" t="s">
        <v>36</v>
      </c>
      <c r="D17" s="4" t="s">
        <v>49</v>
      </c>
      <c r="E17" s="5" t="s">
        <v>50</v>
      </c>
      <c r="F17" s="6">
        <v>1920</v>
      </c>
      <c r="G17" s="7">
        <v>1280</v>
      </c>
      <c r="H17" s="6">
        <f t="shared" si="0"/>
        <v>640</v>
      </c>
      <c r="I17" s="8">
        <f t="shared" si="1"/>
        <v>0.66666666666666663</v>
      </c>
      <c r="J17" s="9" t="s">
        <v>226</v>
      </c>
      <c r="K17" s="10">
        <v>0</v>
      </c>
      <c r="L17" s="11">
        <v>0</v>
      </c>
      <c r="M17" s="10">
        <v>1280</v>
      </c>
      <c r="N17" s="11">
        <v>1280</v>
      </c>
      <c r="O17" s="10">
        <v>0</v>
      </c>
      <c r="P17" s="11">
        <v>0</v>
      </c>
      <c r="Q17" s="6">
        <f t="shared" si="2"/>
        <v>1280</v>
      </c>
      <c r="R17" s="7">
        <f t="shared" si="3"/>
        <v>1280</v>
      </c>
      <c r="S17" s="12">
        <f t="shared" si="4"/>
        <v>0</v>
      </c>
      <c r="T17" s="13"/>
    </row>
    <row r="18" spans="2:20" ht="20" customHeight="1" x14ac:dyDescent="0.35">
      <c r="B18" s="4" t="s">
        <v>32</v>
      </c>
      <c r="C18" s="5" t="s">
        <v>36</v>
      </c>
      <c r="D18" s="4" t="s">
        <v>51</v>
      </c>
      <c r="E18" s="5" t="s">
        <v>52</v>
      </c>
      <c r="F18" s="6">
        <v>5000</v>
      </c>
      <c r="G18" s="7">
        <v>1000</v>
      </c>
      <c r="H18" s="6">
        <f t="shared" si="0"/>
        <v>4000</v>
      </c>
      <c r="I18" s="8">
        <f t="shared" si="1"/>
        <v>0.2</v>
      </c>
      <c r="J18" s="9" t="s">
        <v>225</v>
      </c>
      <c r="K18" s="10">
        <v>5000</v>
      </c>
      <c r="L18" s="11">
        <v>5000</v>
      </c>
      <c r="M18" s="10">
        <v>5000</v>
      </c>
      <c r="N18" s="11">
        <v>5000</v>
      </c>
      <c r="O18" s="10">
        <v>0</v>
      </c>
      <c r="P18" s="11">
        <v>0</v>
      </c>
      <c r="Q18" s="6">
        <f t="shared" si="2"/>
        <v>10000</v>
      </c>
      <c r="R18" s="7">
        <f t="shared" si="3"/>
        <v>10000</v>
      </c>
      <c r="S18" s="12">
        <f t="shared" si="4"/>
        <v>0</v>
      </c>
      <c r="T18" s="13" t="s">
        <v>228</v>
      </c>
    </row>
    <row r="19" spans="2:20" ht="20" customHeight="1" x14ac:dyDescent="0.35">
      <c r="B19" s="4" t="s">
        <v>32</v>
      </c>
      <c r="C19" s="5" t="s">
        <v>53</v>
      </c>
      <c r="D19" s="4" t="s">
        <v>34</v>
      </c>
      <c r="E19" s="5" t="s">
        <v>35</v>
      </c>
      <c r="F19" s="6">
        <v>500</v>
      </c>
      <c r="G19" s="7">
        <v>0</v>
      </c>
      <c r="H19" s="6">
        <f t="shared" si="0"/>
        <v>500</v>
      </c>
      <c r="I19" s="8">
        <f t="shared" si="1"/>
        <v>0</v>
      </c>
      <c r="J19" s="9"/>
      <c r="K19" s="10">
        <v>0</v>
      </c>
      <c r="L19" s="11">
        <v>0</v>
      </c>
      <c r="M19" s="10">
        <v>0</v>
      </c>
      <c r="N19" s="11">
        <v>0</v>
      </c>
      <c r="O19" s="10">
        <v>750</v>
      </c>
      <c r="P19" s="11">
        <v>750</v>
      </c>
      <c r="Q19" s="6">
        <f t="shared" si="2"/>
        <v>750</v>
      </c>
      <c r="R19" s="7">
        <f t="shared" si="3"/>
        <v>750</v>
      </c>
      <c r="S19" s="12">
        <f t="shared" si="4"/>
        <v>0</v>
      </c>
      <c r="T19" s="13"/>
    </row>
    <row r="20" spans="2:20" ht="20" customHeight="1" x14ac:dyDescent="0.35">
      <c r="B20" s="4" t="s">
        <v>32</v>
      </c>
      <c r="C20" s="5" t="s">
        <v>54</v>
      </c>
      <c r="D20" s="4" t="s">
        <v>45</v>
      </c>
      <c r="E20" s="5" t="s">
        <v>46</v>
      </c>
      <c r="F20" s="6">
        <v>1100</v>
      </c>
      <c r="G20" s="7">
        <v>1100</v>
      </c>
      <c r="H20" s="6">
        <f t="shared" si="0"/>
        <v>0</v>
      </c>
      <c r="I20" s="8">
        <f t="shared" si="1"/>
        <v>1</v>
      </c>
      <c r="J20" s="9" t="s">
        <v>229</v>
      </c>
      <c r="K20" s="10">
        <v>2200</v>
      </c>
      <c r="L20" s="11">
        <v>2200</v>
      </c>
      <c r="M20" s="10">
        <v>3300</v>
      </c>
      <c r="N20" s="11">
        <v>3300</v>
      </c>
      <c r="O20" s="10">
        <v>1100</v>
      </c>
      <c r="P20" s="11">
        <v>1100</v>
      </c>
      <c r="Q20" s="6">
        <f t="shared" si="2"/>
        <v>6600</v>
      </c>
      <c r="R20" s="7">
        <f t="shared" si="3"/>
        <v>6600</v>
      </c>
      <c r="S20" s="12">
        <f t="shared" si="4"/>
        <v>0</v>
      </c>
      <c r="T20" s="13"/>
    </row>
    <row r="21" spans="2:20" ht="20" customHeight="1" x14ac:dyDescent="0.35">
      <c r="B21" s="4" t="s">
        <v>32</v>
      </c>
      <c r="C21" s="5" t="s">
        <v>54</v>
      </c>
      <c r="D21" s="4" t="s">
        <v>55</v>
      </c>
      <c r="E21" s="5" t="s">
        <v>56</v>
      </c>
      <c r="F21" s="6">
        <v>0</v>
      </c>
      <c r="G21" s="7">
        <v>0</v>
      </c>
      <c r="H21" s="6">
        <f t="shared" si="0"/>
        <v>0</v>
      </c>
      <c r="I21" s="8">
        <f t="shared" si="1"/>
        <v>0</v>
      </c>
      <c r="J21" s="9"/>
      <c r="K21" s="10">
        <v>1280</v>
      </c>
      <c r="L21" s="11">
        <v>1280</v>
      </c>
      <c r="M21" s="10">
        <v>640</v>
      </c>
      <c r="N21" s="11">
        <v>640</v>
      </c>
      <c r="O21" s="10">
        <v>640</v>
      </c>
      <c r="P21" s="11">
        <v>640</v>
      </c>
      <c r="Q21" s="6">
        <f t="shared" si="2"/>
        <v>2560</v>
      </c>
      <c r="R21" s="7">
        <f t="shared" si="3"/>
        <v>2560</v>
      </c>
      <c r="S21" s="12">
        <f t="shared" si="4"/>
        <v>0</v>
      </c>
      <c r="T21" s="13"/>
    </row>
    <row r="22" spans="2:20" ht="20" customHeight="1" x14ac:dyDescent="0.35">
      <c r="B22" s="4" t="s">
        <v>32</v>
      </c>
      <c r="C22" s="5" t="s">
        <v>54</v>
      </c>
      <c r="D22" s="4" t="s">
        <v>57</v>
      </c>
      <c r="E22" s="5" t="s">
        <v>58</v>
      </c>
      <c r="F22" s="6">
        <v>0</v>
      </c>
      <c r="G22" s="7">
        <v>0</v>
      </c>
      <c r="H22" s="6">
        <f t="shared" si="0"/>
        <v>0</v>
      </c>
      <c r="I22" s="8">
        <f t="shared" si="1"/>
        <v>0</v>
      </c>
      <c r="J22" s="9"/>
      <c r="K22" s="10">
        <v>2000</v>
      </c>
      <c r="L22" s="11">
        <v>2000</v>
      </c>
      <c r="M22" s="10">
        <v>2000</v>
      </c>
      <c r="N22" s="11">
        <v>2000</v>
      </c>
      <c r="O22" s="10">
        <v>0</v>
      </c>
      <c r="P22" s="11">
        <v>0</v>
      </c>
      <c r="Q22" s="6">
        <f t="shared" si="2"/>
        <v>4000</v>
      </c>
      <c r="R22" s="7">
        <f t="shared" si="3"/>
        <v>4000</v>
      </c>
      <c r="S22" s="12">
        <f t="shared" si="4"/>
        <v>0</v>
      </c>
      <c r="T22" s="13"/>
    </row>
    <row r="23" spans="2:20" ht="20" customHeight="1" x14ac:dyDescent="0.35">
      <c r="B23" s="4" t="s">
        <v>32</v>
      </c>
      <c r="C23" s="5" t="s">
        <v>54</v>
      </c>
      <c r="D23" s="4" t="s">
        <v>59</v>
      </c>
      <c r="E23" s="5" t="s">
        <v>60</v>
      </c>
      <c r="F23" s="6">
        <v>0</v>
      </c>
      <c r="G23" s="7">
        <v>0</v>
      </c>
      <c r="H23" s="6">
        <f t="shared" si="0"/>
        <v>0</v>
      </c>
      <c r="I23" s="8">
        <f t="shared" si="1"/>
        <v>0</v>
      </c>
      <c r="J23" s="9"/>
      <c r="K23" s="10">
        <v>600</v>
      </c>
      <c r="L23" s="11">
        <v>600</v>
      </c>
      <c r="M23" s="10">
        <v>0</v>
      </c>
      <c r="N23" s="11">
        <v>0</v>
      </c>
      <c r="O23" s="10">
        <v>0</v>
      </c>
      <c r="P23" s="11">
        <v>0</v>
      </c>
      <c r="Q23" s="6">
        <f t="shared" si="2"/>
        <v>600</v>
      </c>
      <c r="R23" s="7">
        <f t="shared" si="3"/>
        <v>600</v>
      </c>
      <c r="S23" s="12">
        <f t="shared" si="4"/>
        <v>0</v>
      </c>
      <c r="T23" s="13"/>
    </row>
    <row r="24" spans="2:20" ht="20" customHeight="1" x14ac:dyDescent="0.35">
      <c r="B24" s="4" t="s">
        <v>32</v>
      </c>
      <c r="C24" s="5" t="s">
        <v>54</v>
      </c>
      <c r="D24" s="4" t="s">
        <v>61</v>
      </c>
      <c r="E24" s="5" t="s">
        <v>62</v>
      </c>
      <c r="F24" s="6">
        <v>0</v>
      </c>
      <c r="G24" s="7">
        <v>0</v>
      </c>
      <c r="H24" s="6">
        <f t="shared" si="0"/>
        <v>0</v>
      </c>
      <c r="I24" s="8">
        <f t="shared" si="1"/>
        <v>0</v>
      </c>
      <c r="J24" s="9"/>
      <c r="K24" s="10">
        <v>0</v>
      </c>
      <c r="L24" s="11">
        <v>0</v>
      </c>
      <c r="M24" s="10">
        <v>200</v>
      </c>
      <c r="N24" s="11">
        <v>200</v>
      </c>
      <c r="O24" s="10">
        <v>200</v>
      </c>
      <c r="P24" s="11">
        <v>200</v>
      </c>
      <c r="Q24" s="6">
        <f t="shared" si="2"/>
        <v>400</v>
      </c>
      <c r="R24" s="7">
        <f t="shared" si="3"/>
        <v>400</v>
      </c>
      <c r="S24" s="12">
        <f t="shared" si="4"/>
        <v>0</v>
      </c>
      <c r="T24" s="13"/>
    </row>
    <row r="25" spans="2:20" ht="20" customHeight="1" x14ac:dyDescent="0.35">
      <c r="B25" s="4" t="s">
        <v>32</v>
      </c>
      <c r="C25" s="5" t="s">
        <v>54</v>
      </c>
      <c r="D25" s="4" t="s">
        <v>49</v>
      </c>
      <c r="E25" s="5" t="s">
        <v>50</v>
      </c>
      <c r="F25" s="6">
        <v>0</v>
      </c>
      <c r="G25" s="7">
        <v>0</v>
      </c>
      <c r="H25" s="6">
        <f t="shared" si="0"/>
        <v>0</v>
      </c>
      <c r="I25" s="8">
        <f t="shared" si="1"/>
        <v>0</v>
      </c>
      <c r="J25" s="9"/>
      <c r="K25" s="10">
        <v>640</v>
      </c>
      <c r="L25" s="11">
        <v>640</v>
      </c>
      <c r="M25" s="10">
        <v>640</v>
      </c>
      <c r="N25" s="11">
        <v>640</v>
      </c>
      <c r="O25" s="10">
        <v>0</v>
      </c>
      <c r="P25" s="11">
        <v>0</v>
      </c>
      <c r="Q25" s="6">
        <f t="shared" si="2"/>
        <v>1280</v>
      </c>
      <c r="R25" s="7">
        <f t="shared" si="3"/>
        <v>1280</v>
      </c>
      <c r="S25" s="12">
        <f t="shared" si="4"/>
        <v>0</v>
      </c>
      <c r="T25" s="13"/>
    </row>
    <row r="26" spans="2:20" ht="20" customHeight="1" x14ac:dyDescent="0.35">
      <c r="B26" s="4" t="s">
        <v>32</v>
      </c>
      <c r="C26" s="5" t="s">
        <v>63</v>
      </c>
      <c r="D26" s="4" t="s">
        <v>64</v>
      </c>
      <c r="E26" s="5" t="s">
        <v>65</v>
      </c>
      <c r="F26" s="6">
        <v>200</v>
      </c>
      <c r="G26" s="7">
        <v>0</v>
      </c>
      <c r="H26" s="6">
        <f t="shared" si="0"/>
        <v>200</v>
      </c>
      <c r="I26" s="8">
        <f t="shared" si="1"/>
        <v>0</v>
      </c>
      <c r="J26" s="9" t="s">
        <v>226</v>
      </c>
      <c r="K26" s="10">
        <v>0</v>
      </c>
      <c r="L26" s="11">
        <v>0</v>
      </c>
      <c r="M26" s="10">
        <v>0</v>
      </c>
      <c r="N26" s="11">
        <v>0</v>
      </c>
      <c r="O26" s="10">
        <v>0</v>
      </c>
      <c r="P26" s="11">
        <v>0</v>
      </c>
      <c r="Q26" s="6">
        <f t="shared" si="2"/>
        <v>0</v>
      </c>
      <c r="R26" s="7">
        <f t="shared" si="3"/>
        <v>0</v>
      </c>
      <c r="S26" s="12">
        <f t="shared" si="4"/>
        <v>0</v>
      </c>
      <c r="T26" s="13"/>
    </row>
    <row r="27" spans="2:20" ht="20" customHeight="1" x14ac:dyDescent="0.35">
      <c r="B27" s="4" t="s">
        <v>32</v>
      </c>
      <c r="C27" s="5" t="s">
        <v>63</v>
      </c>
      <c r="D27" s="4" t="s">
        <v>34</v>
      </c>
      <c r="E27" s="5" t="s">
        <v>43</v>
      </c>
      <c r="F27" s="6">
        <v>300</v>
      </c>
      <c r="G27" s="7">
        <v>0</v>
      </c>
      <c r="H27" s="6">
        <f t="shared" si="0"/>
        <v>300</v>
      </c>
      <c r="I27" s="8">
        <f t="shared" si="1"/>
        <v>0</v>
      </c>
      <c r="J27" s="9" t="s">
        <v>225</v>
      </c>
      <c r="K27" s="10">
        <v>0</v>
      </c>
      <c r="L27" s="11">
        <v>0</v>
      </c>
      <c r="M27" s="10">
        <v>0</v>
      </c>
      <c r="N27" s="11">
        <v>0</v>
      </c>
      <c r="O27" s="10">
        <v>0</v>
      </c>
      <c r="P27" s="11">
        <v>0</v>
      </c>
      <c r="Q27" s="6">
        <f t="shared" si="2"/>
        <v>0</v>
      </c>
      <c r="R27" s="7">
        <f t="shared" si="3"/>
        <v>0</v>
      </c>
      <c r="S27" s="12">
        <f t="shared" si="4"/>
        <v>0</v>
      </c>
      <c r="T27" s="13"/>
    </row>
    <row r="28" spans="2:20" ht="20" customHeight="1" x14ac:dyDescent="0.35">
      <c r="B28" s="4" t="s">
        <v>32</v>
      </c>
      <c r="C28" s="5" t="s">
        <v>63</v>
      </c>
      <c r="D28" s="4" t="s">
        <v>66</v>
      </c>
      <c r="E28" s="5" t="s">
        <v>67</v>
      </c>
      <c r="F28" s="6">
        <v>0</v>
      </c>
      <c r="G28" s="7">
        <v>0</v>
      </c>
      <c r="H28" s="6">
        <f t="shared" si="0"/>
        <v>0</v>
      </c>
      <c r="I28" s="8">
        <f t="shared" si="1"/>
        <v>0</v>
      </c>
      <c r="J28" s="9"/>
      <c r="K28" s="10">
        <v>100</v>
      </c>
      <c r="L28" s="11">
        <v>100</v>
      </c>
      <c r="M28" s="10">
        <v>0</v>
      </c>
      <c r="N28" s="11">
        <v>0</v>
      </c>
      <c r="O28" s="10">
        <v>0</v>
      </c>
      <c r="P28" s="11">
        <v>0</v>
      </c>
      <c r="Q28" s="6">
        <f t="shared" si="2"/>
        <v>100</v>
      </c>
      <c r="R28" s="7">
        <f t="shared" si="3"/>
        <v>100</v>
      </c>
      <c r="S28" s="12">
        <f t="shared" si="4"/>
        <v>0</v>
      </c>
      <c r="T28" s="13"/>
    </row>
    <row r="29" spans="2:20" ht="20" customHeight="1" x14ac:dyDescent="0.35">
      <c r="B29" s="4" t="s">
        <v>32</v>
      </c>
      <c r="C29" s="5" t="s">
        <v>63</v>
      </c>
      <c r="D29" s="4" t="s">
        <v>68</v>
      </c>
      <c r="E29" s="5" t="s">
        <v>69</v>
      </c>
      <c r="F29" s="6">
        <v>0</v>
      </c>
      <c r="G29" s="7">
        <v>0</v>
      </c>
      <c r="H29" s="6">
        <f t="shared" si="0"/>
        <v>0</v>
      </c>
      <c r="I29" s="8">
        <f t="shared" si="1"/>
        <v>0</v>
      </c>
      <c r="J29" s="9"/>
      <c r="K29" s="10">
        <v>0</v>
      </c>
      <c r="L29" s="11">
        <v>0</v>
      </c>
      <c r="M29" s="10">
        <v>200</v>
      </c>
      <c r="N29" s="11">
        <v>200</v>
      </c>
      <c r="O29" s="10">
        <v>0</v>
      </c>
      <c r="P29" s="11">
        <v>0</v>
      </c>
      <c r="Q29" s="6">
        <f t="shared" si="2"/>
        <v>200</v>
      </c>
      <c r="R29" s="7">
        <f t="shared" si="3"/>
        <v>200</v>
      </c>
      <c r="S29" s="12">
        <f t="shared" si="4"/>
        <v>0</v>
      </c>
      <c r="T29" s="13"/>
    </row>
    <row r="30" spans="2:20" ht="20" customHeight="1" x14ac:dyDescent="0.35">
      <c r="B30" s="4" t="s">
        <v>32</v>
      </c>
      <c r="C30" s="5" t="s">
        <v>70</v>
      </c>
      <c r="D30" s="4" t="s">
        <v>37</v>
      </c>
      <c r="E30" s="5" t="s">
        <v>38</v>
      </c>
      <c r="F30" s="6">
        <v>100</v>
      </c>
      <c r="G30" s="7">
        <v>100</v>
      </c>
      <c r="H30" s="6">
        <f t="shared" si="0"/>
        <v>0</v>
      </c>
      <c r="I30" s="8">
        <f t="shared" si="1"/>
        <v>1</v>
      </c>
      <c r="J30" s="9" t="s">
        <v>229</v>
      </c>
      <c r="K30" s="10">
        <v>100</v>
      </c>
      <c r="L30" s="11">
        <v>100</v>
      </c>
      <c r="M30" s="10">
        <v>0</v>
      </c>
      <c r="N30" s="11">
        <v>0</v>
      </c>
      <c r="O30" s="10">
        <v>100</v>
      </c>
      <c r="P30" s="11">
        <v>100</v>
      </c>
      <c r="Q30" s="6">
        <f t="shared" si="2"/>
        <v>200</v>
      </c>
      <c r="R30" s="7">
        <f t="shared" si="3"/>
        <v>200</v>
      </c>
      <c r="S30" s="12">
        <f t="shared" si="4"/>
        <v>0</v>
      </c>
      <c r="T30" s="13"/>
    </row>
    <row r="31" spans="2:20" ht="20" customHeight="1" x14ac:dyDescent="0.35">
      <c r="B31" s="4" t="s">
        <v>32</v>
      </c>
      <c r="C31" s="5" t="s">
        <v>70</v>
      </c>
      <c r="D31" s="4" t="s">
        <v>66</v>
      </c>
      <c r="E31" s="5" t="s">
        <v>67</v>
      </c>
      <c r="F31" s="6">
        <v>300</v>
      </c>
      <c r="G31" s="7">
        <v>300</v>
      </c>
      <c r="H31" s="6">
        <f t="shared" si="0"/>
        <v>0</v>
      </c>
      <c r="I31" s="8">
        <f t="shared" si="1"/>
        <v>1</v>
      </c>
      <c r="J31" s="9" t="s">
        <v>229</v>
      </c>
      <c r="K31" s="10">
        <v>300</v>
      </c>
      <c r="L31" s="11">
        <v>300</v>
      </c>
      <c r="M31" s="10">
        <v>0</v>
      </c>
      <c r="N31" s="11">
        <v>0</v>
      </c>
      <c r="O31" s="10">
        <v>300</v>
      </c>
      <c r="P31" s="11">
        <v>300</v>
      </c>
      <c r="Q31" s="6">
        <f t="shared" si="2"/>
        <v>600</v>
      </c>
      <c r="R31" s="7">
        <f t="shared" si="3"/>
        <v>600</v>
      </c>
      <c r="S31" s="12">
        <f t="shared" si="4"/>
        <v>0</v>
      </c>
      <c r="T31" s="13"/>
    </row>
    <row r="32" spans="2:20" ht="20" customHeight="1" x14ac:dyDescent="0.35">
      <c r="B32" s="4" t="s">
        <v>32</v>
      </c>
      <c r="C32" s="5" t="s">
        <v>70</v>
      </c>
      <c r="D32" s="4" t="s">
        <v>71</v>
      </c>
      <c r="E32" s="5" t="s">
        <v>72</v>
      </c>
      <c r="F32" s="6">
        <v>200</v>
      </c>
      <c r="G32" s="7">
        <v>200</v>
      </c>
      <c r="H32" s="6">
        <f t="shared" si="0"/>
        <v>0</v>
      </c>
      <c r="I32" s="8">
        <f t="shared" si="1"/>
        <v>1</v>
      </c>
      <c r="J32" s="9" t="s">
        <v>229</v>
      </c>
      <c r="K32" s="10">
        <v>200</v>
      </c>
      <c r="L32" s="11">
        <v>200</v>
      </c>
      <c r="M32" s="10">
        <v>0</v>
      </c>
      <c r="N32" s="11">
        <v>0</v>
      </c>
      <c r="O32" s="10">
        <v>200</v>
      </c>
      <c r="P32" s="11">
        <v>200</v>
      </c>
      <c r="Q32" s="6">
        <f t="shared" si="2"/>
        <v>400</v>
      </c>
      <c r="R32" s="7">
        <f t="shared" si="3"/>
        <v>400</v>
      </c>
      <c r="S32" s="12">
        <f t="shared" si="4"/>
        <v>0</v>
      </c>
      <c r="T32" s="13"/>
    </row>
    <row r="33" spans="2:20" ht="20" customHeight="1" x14ac:dyDescent="0.35">
      <c r="B33" s="4" t="s">
        <v>32</v>
      </c>
      <c r="C33" s="5" t="s">
        <v>70</v>
      </c>
      <c r="D33" s="4" t="s">
        <v>59</v>
      </c>
      <c r="E33" s="5" t="s">
        <v>60</v>
      </c>
      <c r="F33" s="6">
        <v>200</v>
      </c>
      <c r="G33" s="7">
        <v>0</v>
      </c>
      <c r="H33" s="6">
        <f t="shared" si="0"/>
        <v>200</v>
      </c>
      <c r="I33" s="8">
        <f t="shared" si="1"/>
        <v>0</v>
      </c>
      <c r="J33" s="9" t="s">
        <v>230</v>
      </c>
      <c r="K33" s="10">
        <v>0</v>
      </c>
      <c r="L33" s="11">
        <v>0</v>
      </c>
      <c r="M33" s="10">
        <v>0</v>
      </c>
      <c r="N33" s="11">
        <v>0</v>
      </c>
      <c r="O33" s="10">
        <v>200</v>
      </c>
      <c r="P33" s="11">
        <v>200</v>
      </c>
      <c r="Q33" s="6">
        <f t="shared" si="2"/>
        <v>200</v>
      </c>
      <c r="R33" s="7">
        <f t="shared" si="3"/>
        <v>200</v>
      </c>
      <c r="S33" s="12">
        <f t="shared" si="4"/>
        <v>0</v>
      </c>
      <c r="T33" s="13"/>
    </row>
    <row r="34" spans="2:20" ht="20" customHeight="1" x14ac:dyDescent="0.35">
      <c r="B34" s="4" t="s">
        <v>73</v>
      </c>
      <c r="C34" s="5" t="s">
        <v>74</v>
      </c>
      <c r="D34" s="4" t="s">
        <v>75</v>
      </c>
      <c r="E34" s="5" t="s">
        <v>76</v>
      </c>
      <c r="F34" s="6">
        <v>0</v>
      </c>
      <c r="G34" s="7">
        <v>0</v>
      </c>
      <c r="H34" s="6">
        <f t="shared" si="0"/>
        <v>0</v>
      </c>
      <c r="I34" s="8">
        <f t="shared" si="1"/>
        <v>0</v>
      </c>
      <c r="J34" s="9"/>
      <c r="K34" s="10">
        <v>0</v>
      </c>
      <c r="L34" s="11">
        <v>0</v>
      </c>
      <c r="M34" s="10">
        <v>0</v>
      </c>
      <c r="N34" s="11">
        <v>0</v>
      </c>
      <c r="O34" s="10">
        <v>5000</v>
      </c>
      <c r="P34" s="11">
        <v>5000</v>
      </c>
      <c r="Q34" s="6">
        <f t="shared" si="2"/>
        <v>5000</v>
      </c>
      <c r="R34" s="7">
        <f t="shared" si="3"/>
        <v>5000</v>
      </c>
      <c r="S34" s="12">
        <f t="shared" si="4"/>
        <v>0</v>
      </c>
      <c r="T34" s="13"/>
    </row>
    <row r="35" spans="2:20" ht="20" customHeight="1" x14ac:dyDescent="0.35">
      <c r="B35" s="4" t="s">
        <v>73</v>
      </c>
      <c r="C35" s="5" t="s">
        <v>74</v>
      </c>
      <c r="D35" s="4" t="s">
        <v>77</v>
      </c>
      <c r="E35" s="5" t="s">
        <v>78</v>
      </c>
      <c r="F35" s="6">
        <v>0</v>
      </c>
      <c r="G35" s="7">
        <v>0</v>
      </c>
      <c r="H35" s="6">
        <f t="shared" si="0"/>
        <v>0</v>
      </c>
      <c r="I35" s="8">
        <f t="shared" si="1"/>
        <v>0</v>
      </c>
      <c r="J35" s="9"/>
      <c r="K35" s="10">
        <v>0</v>
      </c>
      <c r="L35" s="11">
        <v>0</v>
      </c>
      <c r="M35" s="10">
        <v>0</v>
      </c>
      <c r="N35" s="11">
        <v>0</v>
      </c>
      <c r="O35" s="10">
        <v>5000</v>
      </c>
      <c r="P35" s="11">
        <v>5000</v>
      </c>
      <c r="Q35" s="6">
        <f t="shared" si="2"/>
        <v>5000</v>
      </c>
      <c r="R35" s="7">
        <f t="shared" si="3"/>
        <v>5000</v>
      </c>
      <c r="S35" s="12">
        <f t="shared" si="4"/>
        <v>0</v>
      </c>
      <c r="T35" s="13"/>
    </row>
    <row r="36" spans="2:20" ht="20" customHeight="1" x14ac:dyDescent="0.35">
      <c r="B36" s="4" t="s">
        <v>73</v>
      </c>
      <c r="C36" s="5" t="s">
        <v>74</v>
      </c>
      <c r="D36" s="4" t="s">
        <v>45</v>
      </c>
      <c r="E36" s="5" t="s">
        <v>46</v>
      </c>
      <c r="F36" s="6">
        <v>0</v>
      </c>
      <c r="G36" s="7">
        <v>0</v>
      </c>
      <c r="H36" s="6">
        <f t="shared" si="0"/>
        <v>0</v>
      </c>
      <c r="I36" s="8">
        <f t="shared" si="1"/>
        <v>0</v>
      </c>
      <c r="J36" s="9"/>
      <c r="K36" s="10">
        <v>0</v>
      </c>
      <c r="L36" s="11">
        <v>0</v>
      </c>
      <c r="M36" s="10">
        <v>0</v>
      </c>
      <c r="N36" s="11">
        <v>0</v>
      </c>
      <c r="O36" s="10">
        <v>7700</v>
      </c>
      <c r="P36" s="11">
        <v>7700</v>
      </c>
      <c r="Q36" s="6">
        <f t="shared" si="2"/>
        <v>7700</v>
      </c>
      <c r="R36" s="7">
        <f t="shared" si="3"/>
        <v>7700</v>
      </c>
      <c r="S36" s="12">
        <f t="shared" si="4"/>
        <v>0</v>
      </c>
      <c r="T36" s="13"/>
    </row>
    <row r="37" spans="2:20" ht="20" customHeight="1" x14ac:dyDescent="0.35">
      <c r="B37" s="4" t="s">
        <v>73</v>
      </c>
      <c r="C37" s="5" t="s">
        <v>74</v>
      </c>
      <c r="D37" s="4" t="s">
        <v>79</v>
      </c>
      <c r="E37" s="5" t="s">
        <v>80</v>
      </c>
      <c r="F37" s="6">
        <v>0</v>
      </c>
      <c r="G37" s="7">
        <v>0</v>
      </c>
      <c r="H37" s="6">
        <f t="shared" si="0"/>
        <v>0</v>
      </c>
      <c r="I37" s="8">
        <f t="shared" si="1"/>
        <v>0</v>
      </c>
      <c r="J37" s="9"/>
      <c r="K37" s="10">
        <v>0</v>
      </c>
      <c r="L37" s="11">
        <v>0</v>
      </c>
      <c r="M37" s="10">
        <v>0</v>
      </c>
      <c r="N37" s="11">
        <v>0</v>
      </c>
      <c r="O37" s="10">
        <v>10000</v>
      </c>
      <c r="P37" s="11">
        <v>10000</v>
      </c>
      <c r="Q37" s="6">
        <f t="shared" si="2"/>
        <v>10000</v>
      </c>
      <c r="R37" s="7">
        <f t="shared" si="3"/>
        <v>10000</v>
      </c>
      <c r="S37" s="12">
        <f t="shared" si="4"/>
        <v>0</v>
      </c>
      <c r="T37" s="13"/>
    </row>
    <row r="38" spans="2:20" ht="20" customHeight="1" x14ac:dyDescent="0.35">
      <c r="B38" s="4" t="s">
        <v>73</v>
      </c>
      <c r="C38" s="5" t="s">
        <v>74</v>
      </c>
      <c r="D38" s="4" t="s">
        <v>81</v>
      </c>
      <c r="E38" s="5" t="s">
        <v>82</v>
      </c>
      <c r="F38" s="6">
        <v>0</v>
      </c>
      <c r="G38" s="7">
        <v>0</v>
      </c>
      <c r="H38" s="6">
        <f t="shared" si="0"/>
        <v>0</v>
      </c>
      <c r="I38" s="8">
        <f t="shared" si="1"/>
        <v>0</v>
      </c>
      <c r="J38" s="9"/>
      <c r="K38" s="10">
        <v>0</v>
      </c>
      <c r="L38" s="11">
        <v>0</v>
      </c>
      <c r="M38" s="10">
        <v>0</v>
      </c>
      <c r="N38" s="11">
        <v>0</v>
      </c>
      <c r="O38" s="10">
        <v>1000</v>
      </c>
      <c r="P38" s="11">
        <v>1000</v>
      </c>
      <c r="Q38" s="6">
        <f t="shared" si="2"/>
        <v>1000</v>
      </c>
      <c r="R38" s="7">
        <f t="shared" si="3"/>
        <v>1000</v>
      </c>
      <c r="S38" s="12">
        <f t="shared" si="4"/>
        <v>0</v>
      </c>
      <c r="T38" s="13"/>
    </row>
    <row r="39" spans="2:20" ht="20" customHeight="1" x14ac:dyDescent="0.35">
      <c r="B39" s="4" t="s">
        <v>83</v>
      </c>
      <c r="C39" s="5" t="s">
        <v>84</v>
      </c>
      <c r="D39" s="4" t="s">
        <v>85</v>
      </c>
      <c r="E39" s="5" t="s">
        <v>86</v>
      </c>
      <c r="F39" s="6">
        <v>0</v>
      </c>
      <c r="G39" s="7">
        <v>0</v>
      </c>
      <c r="H39" s="6">
        <f t="shared" si="0"/>
        <v>0</v>
      </c>
      <c r="I39" s="8">
        <f t="shared" si="1"/>
        <v>0</v>
      </c>
      <c r="J39" s="9"/>
      <c r="K39" s="10">
        <v>0</v>
      </c>
      <c r="L39" s="11">
        <v>0</v>
      </c>
      <c r="M39" s="10">
        <v>0</v>
      </c>
      <c r="N39" s="11">
        <v>0</v>
      </c>
      <c r="O39" s="10">
        <v>5000</v>
      </c>
      <c r="P39" s="11">
        <v>5000</v>
      </c>
      <c r="Q39" s="6">
        <f t="shared" si="2"/>
        <v>5000</v>
      </c>
      <c r="R39" s="7">
        <f t="shared" si="3"/>
        <v>5000</v>
      </c>
      <c r="S39" s="12">
        <f t="shared" si="4"/>
        <v>0</v>
      </c>
      <c r="T39" s="13"/>
    </row>
    <row r="40" spans="2:20" ht="20" customHeight="1" x14ac:dyDescent="0.35">
      <c r="B40" s="4" t="s">
        <v>83</v>
      </c>
      <c r="C40" s="5" t="s">
        <v>84</v>
      </c>
      <c r="D40" s="4" t="s">
        <v>87</v>
      </c>
      <c r="E40" s="5" t="s">
        <v>88</v>
      </c>
      <c r="F40" s="6">
        <v>0</v>
      </c>
      <c r="G40" s="7">
        <v>0</v>
      </c>
      <c r="H40" s="6">
        <f t="shared" si="0"/>
        <v>0</v>
      </c>
      <c r="I40" s="8">
        <f t="shared" si="1"/>
        <v>0</v>
      </c>
      <c r="J40" s="9"/>
      <c r="K40" s="10">
        <v>3000</v>
      </c>
      <c r="L40" s="11">
        <v>3000</v>
      </c>
      <c r="M40" s="10">
        <v>0</v>
      </c>
      <c r="N40" s="11">
        <v>0</v>
      </c>
      <c r="O40" s="10">
        <v>0</v>
      </c>
      <c r="P40" s="11">
        <v>0</v>
      </c>
      <c r="Q40" s="6">
        <f t="shared" si="2"/>
        <v>3000</v>
      </c>
      <c r="R40" s="7">
        <f t="shared" si="3"/>
        <v>3000</v>
      </c>
      <c r="S40" s="12">
        <f t="shared" si="4"/>
        <v>0</v>
      </c>
      <c r="T40" s="13"/>
    </row>
    <row r="41" spans="2:20" ht="20" customHeight="1" x14ac:dyDescent="0.35">
      <c r="B41" s="4" t="s">
        <v>83</v>
      </c>
      <c r="C41" s="5" t="s">
        <v>89</v>
      </c>
      <c r="D41" s="4" t="s">
        <v>90</v>
      </c>
      <c r="E41" s="5" t="s">
        <v>91</v>
      </c>
      <c r="F41" s="6">
        <v>0</v>
      </c>
      <c r="G41" s="7">
        <v>0</v>
      </c>
      <c r="H41" s="6">
        <f t="shared" si="0"/>
        <v>0</v>
      </c>
      <c r="I41" s="8">
        <f t="shared" si="1"/>
        <v>0</v>
      </c>
      <c r="J41" s="9"/>
      <c r="K41" s="10">
        <v>2000</v>
      </c>
      <c r="L41" s="11">
        <v>2000</v>
      </c>
      <c r="M41" s="10">
        <v>0</v>
      </c>
      <c r="N41" s="11">
        <v>0</v>
      </c>
      <c r="O41" s="10">
        <v>0</v>
      </c>
      <c r="P41" s="11">
        <v>0</v>
      </c>
      <c r="Q41" s="6">
        <f t="shared" si="2"/>
        <v>2000</v>
      </c>
      <c r="R41" s="7">
        <f t="shared" si="3"/>
        <v>2000</v>
      </c>
      <c r="S41" s="12">
        <f t="shared" si="4"/>
        <v>0</v>
      </c>
      <c r="T41" s="13"/>
    </row>
    <row r="42" spans="2:20" ht="20" customHeight="1" x14ac:dyDescent="0.35">
      <c r="B42" s="4" t="s">
        <v>83</v>
      </c>
      <c r="C42" s="5" t="s">
        <v>89</v>
      </c>
      <c r="D42" s="4" t="s">
        <v>92</v>
      </c>
      <c r="E42" s="5" t="s">
        <v>93</v>
      </c>
      <c r="F42" s="6">
        <v>0</v>
      </c>
      <c r="G42" s="7">
        <v>0</v>
      </c>
      <c r="H42" s="6">
        <f t="shared" ref="H42:H73" si="5">ABS(G42-F42)</f>
        <v>0</v>
      </c>
      <c r="I42" s="8">
        <f t="shared" ref="I42:I73" si="6">IF(F42&gt;0, G42/F42, IF(G42&gt;0, 1, 0))</f>
        <v>0</v>
      </c>
      <c r="J42" s="9"/>
      <c r="K42" s="10">
        <v>0</v>
      </c>
      <c r="L42" s="11">
        <v>0</v>
      </c>
      <c r="M42" s="10">
        <v>20000</v>
      </c>
      <c r="N42" s="11">
        <v>20000</v>
      </c>
      <c r="O42" s="10">
        <v>0</v>
      </c>
      <c r="P42" s="11">
        <v>0</v>
      </c>
      <c r="Q42" s="6">
        <f t="shared" ref="Q42:Q73" si="7">K42+M42+O42</f>
        <v>20000</v>
      </c>
      <c r="R42" s="7">
        <f t="shared" ref="R42:R73" si="8">L42+N42+P42</f>
        <v>20000</v>
      </c>
      <c r="S42" s="12">
        <f t="shared" ref="S42:S73" si="9">R42-Q42</f>
        <v>0</v>
      </c>
      <c r="T42" s="13"/>
    </row>
    <row r="43" spans="2:20" ht="20" customHeight="1" x14ac:dyDescent="0.35">
      <c r="B43" s="4" t="s">
        <v>83</v>
      </c>
      <c r="C43" s="5" t="s">
        <v>89</v>
      </c>
      <c r="D43" s="4" t="s">
        <v>87</v>
      </c>
      <c r="E43" s="5" t="s">
        <v>94</v>
      </c>
      <c r="F43" s="6">
        <v>0</v>
      </c>
      <c r="G43" s="7">
        <v>0</v>
      </c>
      <c r="H43" s="6">
        <f t="shared" si="5"/>
        <v>0</v>
      </c>
      <c r="I43" s="8">
        <f t="shared" si="6"/>
        <v>0</v>
      </c>
      <c r="J43" s="9"/>
      <c r="K43" s="10">
        <v>0</v>
      </c>
      <c r="L43" s="11">
        <v>0</v>
      </c>
      <c r="M43" s="10">
        <v>0</v>
      </c>
      <c r="N43" s="11">
        <v>0</v>
      </c>
      <c r="O43" s="10">
        <v>3000</v>
      </c>
      <c r="P43" s="11">
        <v>3000</v>
      </c>
      <c r="Q43" s="6">
        <f t="shared" si="7"/>
        <v>3000</v>
      </c>
      <c r="R43" s="7">
        <f t="shared" si="8"/>
        <v>3000</v>
      </c>
      <c r="S43" s="12">
        <f t="shared" si="9"/>
        <v>0</v>
      </c>
      <c r="T43" s="13"/>
    </row>
    <row r="44" spans="2:20" ht="20" customHeight="1" x14ac:dyDescent="0.35">
      <c r="B44" s="4" t="s">
        <v>83</v>
      </c>
      <c r="C44" s="5" t="s">
        <v>89</v>
      </c>
      <c r="D44" s="4" t="s">
        <v>95</v>
      </c>
      <c r="E44" s="5" t="s">
        <v>96</v>
      </c>
      <c r="F44" s="6">
        <v>0</v>
      </c>
      <c r="G44" s="7">
        <v>0</v>
      </c>
      <c r="H44" s="6">
        <f t="shared" si="5"/>
        <v>0</v>
      </c>
      <c r="I44" s="8">
        <f t="shared" si="6"/>
        <v>0</v>
      </c>
      <c r="J44" s="9"/>
      <c r="K44" s="10">
        <v>0</v>
      </c>
      <c r="L44" s="11">
        <v>0</v>
      </c>
      <c r="M44" s="10">
        <v>7920</v>
      </c>
      <c r="N44" s="11">
        <v>7920</v>
      </c>
      <c r="O44" s="10">
        <v>0</v>
      </c>
      <c r="P44" s="11">
        <v>0</v>
      </c>
      <c r="Q44" s="6">
        <f t="shared" si="7"/>
        <v>7920</v>
      </c>
      <c r="R44" s="7">
        <f t="shared" si="8"/>
        <v>7920</v>
      </c>
      <c r="S44" s="12">
        <f t="shared" si="9"/>
        <v>0</v>
      </c>
      <c r="T44" s="13"/>
    </row>
    <row r="45" spans="2:20" ht="20" customHeight="1" x14ac:dyDescent="0.35">
      <c r="B45" s="4" t="s">
        <v>83</v>
      </c>
      <c r="C45" s="5" t="s">
        <v>89</v>
      </c>
      <c r="D45" s="4" t="s">
        <v>97</v>
      </c>
      <c r="E45" s="5" t="s">
        <v>98</v>
      </c>
      <c r="F45" s="6">
        <v>0</v>
      </c>
      <c r="G45" s="7">
        <v>0</v>
      </c>
      <c r="H45" s="6">
        <f t="shared" si="5"/>
        <v>0</v>
      </c>
      <c r="I45" s="8">
        <f t="shared" si="6"/>
        <v>0</v>
      </c>
      <c r="J45" s="9"/>
      <c r="K45" s="10">
        <v>5000</v>
      </c>
      <c r="L45" s="11">
        <v>5000</v>
      </c>
      <c r="M45" s="10">
        <v>10000</v>
      </c>
      <c r="N45" s="11">
        <v>10000</v>
      </c>
      <c r="O45" s="10">
        <v>0</v>
      </c>
      <c r="P45" s="11">
        <v>0</v>
      </c>
      <c r="Q45" s="6">
        <f t="shared" si="7"/>
        <v>15000</v>
      </c>
      <c r="R45" s="7">
        <f t="shared" si="8"/>
        <v>15000</v>
      </c>
      <c r="S45" s="12">
        <f t="shared" si="9"/>
        <v>0</v>
      </c>
      <c r="T45" s="13"/>
    </row>
    <row r="46" spans="2:20" ht="20" customHeight="1" x14ac:dyDescent="0.35">
      <c r="B46" s="4" t="s">
        <v>83</v>
      </c>
      <c r="C46" s="5" t="s">
        <v>89</v>
      </c>
      <c r="D46" s="4" t="s">
        <v>99</v>
      </c>
      <c r="E46" s="5" t="s">
        <v>100</v>
      </c>
      <c r="F46" s="6">
        <v>20000</v>
      </c>
      <c r="G46" s="7">
        <v>21000</v>
      </c>
      <c r="H46" s="6">
        <f t="shared" si="5"/>
        <v>1000</v>
      </c>
      <c r="I46" s="8">
        <f t="shared" si="6"/>
        <v>1.05</v>
      </c>
      <c r="J46" s="9" t="s">
        <v>229</v>
      </c>
      <c r="K46" s="10">
        <v>20000</v>
      </c>
      <c r="L46" s="11">
        <v>21000</v>
      </c>
      <c r="M46" s="10">
        <v>30000</v>
      </c>
      <c r="N46" s="11">
        <v>21000</v>
      </c>
      <c r="O46" s="10">
        <v>0</v>
      </c>
      <c r="P46" s="11">
        <v>0</v>
      </c>
      <c r="Q46" s="6">
        <f t="shared" si="7"/>
        <v>50000</v>
      </c>
      <c r="R46" s="7">
        <f t="shared" si="8"/>
        <v>42000</v>
      </c>
      <c r="S46" s="12">
        <f t="shared" si="9"/>
        <v>-8000</v>
      </c>
      <c r="T46" s="13"/>
    </row>
    <row r="47" spans="2:20" ht="20" customHeight="1" x14ac:dyDescent="0.35">
      <c r="B47" s="4" t="s">
        <v>83</v>
      </c>
      <c r="C47" s="5" t="s">
        <v>89</v>
      </c>
      <c r="D47" s="4" t="s">
        <v>101</v>
      </c>
      <c r="E47" s="5" t="s">
        <v>100</v>
      </c>
      <c r="F47" s="6">
        <v>0</v>
      </c>
      <c r="G47" s="7">
        <v>0</v>
      </c>
      <c r="H47" s="6">
        <f t="shared" si="5"/>
        <v>0</v>
      </c>
      <c r="I47" s="8">
        <f t="shared" si="6"/>
        <v>0</v>
      </c>
      <c r="J47" s="9"/>
      <c r="K47" s="10">
        <v>0</v>
      </c>
      <c r="L47" s="11">
        <v>0</v>
      </c>
      <c r="M47" s="10">
        <v>10000</v>
      </c>
      <c r="N47" s="11">
        <v>10000</v>
      </c>
      <c r="O47" s="10">
        <v>0</v>
      </c>
      <c r="P47" s="11">
        <v>0</v>
      </c>
      <c r="Q47" s="6">
        <f t="shared" si="7"/>
        <v>10000</v>
      </c>
      <c r="R47" s="7">
        <f t="shared" si="8"/>
        <v>10000</v>
      </c>
      <c r="S47" s="12">
        <f t="shared" si="9"/>
        <v>0</v>
      </c>
      <c r="T47" s="13"/>
    </row>
    <row r="48" spans="2:20" ht="20" customHeight="1" x14ac:dyDescent="0.35">
      <c r="B48" s="4" t="s">
        <v>102</v>
      </c>
      <c r="C48" s="5" t="s">
        <v>103</v>
      </c>
      <c r="D48" s="4" t="s">
        <v>104</v>
      </c>
      <c r="E48" s="5" t="s">
        <v>105</v>
      </c>
      <c r="F48" s="6">
        <v>0</v>
      </c>
      <c r="G48" s="7">
        <v>400</v>
      </c>
      <c r="H48" s="6">
        <f t="shared" si="5"/>
        <v>400</v>
      </c>
      <c r="I48" s="8">
        <f t="shared" si="6"/>
        <v>1</v>
      </c>
      <c r="J48" s="9" t="s">
        <v>44</v>
      </c>
      <c r="K48" s="10">
        <v>0</v>
      </c>
      <c r="L48" s="11">
        <v>0</v>
      </c>
      <c r="M48" s="10">
        <v>0</v>
      </c>
      <c r="N48" s="11">
        <v>0</v>
      </c>
      <c r="O48" s="10">
        <v>0</v>
      </c>
      <c r="P48" s="11">
        <v>0</v>
      </c>
      <c r="Q48" s="6">
        <f t="shared" si="7"/>
        <v>0</v>
      </c>
      <c r="R48" s="7">
        <f t="shared" si="8"/>
        <v>0</v>
      </c>
      <c r="S48" s="12">
        <f t="shared" si="9"/>
        <v>0</v>
      </c>
      <c r="T48" s="13"/>
    </row>
    <row r="49" spans="2:20" ht="20" customHeight="1" x14ac:dyDescent="0.35">
      <c r="B49" s="4" t="s">
        <v>32</v>
      </c>
      <c r="C49" s="5" t="s">
        <v>103</v>
      </c>
      <c r="D49" s="4" t="s">
        <v>87</v>
      </c>
      <c r="E49" s="5" t="s">
        <v>106</v>
      </c>
      <c r="F49" s="6">
        <v>0</v>
      </c>
      <c r="G49" s="7">
        <v>504</v>
      </c>
      <c r="H49" s="6">
        <f t="shared" si="5"/>
        <v>504</v>
      </c>
      <c r="I49" s="8">
        <f t="shared" si="6"/>
        <v>1</v>
      </c>
      <c r="J49" s="9" t="s">
        <v>44</v>
      </c>
      <c r="K49" s="10">
        <v>0</v>
      </c>
      <c r="L49" s="11">
        <v>0</v>
      </c>
      <c r="M49" s="10">
        <v>0</v>
      </c>
      <c r="N49" s="11">
        <v>0</v>
      </c>
      <c r="O49" s="10">
        <v>0</v>
      </c>
      <c r="P49" s="11">
        <v>0</v>
      </c>
      <c r="Q49" s="6">
        <f t="shared" si="7"/>
        <v>0</v>
      </c>
      <c r="R49" s="7">
        <f t="shared" si="8"/>
        <v>0</v>
      </c>
      <c r="S49" s="12">
        <f t="shared" si="9"/>
        <v>0</v>
      </c>
      <c r="T49" s="13"/>
    </row>
    <row r="50" spans="2:20" ht="20" customHeight="1" x14ac:dyDescent="0.35">
      <c r="B50" s="4" t="s">
        <v>102</v>
      </c>
      <c r="C50" s="5" t="s">
        <v>103</v>
      </c>
      <c r="D50" s="4" t="s">
        <v>107</v>
      </c>
      <c r="E50" s="5" t="s">
        <v>108</v>
      </c>
      <c r="F50" s="6">
        <v>0</v>
      </c>
      <c r="G50" s="7">
        <v>800</v>
      </c>
      <c r="H50" s="6">
        <f t="shared" si="5"/>
        <v>800</v>
      </c>
      <c r="I50" s="8">
        <f t="shared" si="6"/>
        <v>1</v>
      </c>
      <c r="J50" s="9" t="s">
        <v>44</v>
      </c>
      <c r="K50" s="10">
        <v>0</v>
      </c>
      <c r="L50" s="11">
        <v>0</v>
      </c>
      <c r="M50" s="10">
        <v>0</v>
      </c>
      <c r="N50" s="11">
        <v>0</v>
      </c>
      <c r="O50" s="10">
        <v>0</v>
      </c>
      <c r="P50" s="11">
        <v>0</v>
      </c>
      <c r="Q50" s="6">
        <f t="shared" si="7"/>
        <v>0</v>
      </c>
      <c r="R50" s="7">
        <f t="shared" si="8"/>
        <v>0</v>
      </c>
      <c r="S50" s="12">
        <f t="shared" si="9"/>
        <v>0</v>
      </c>
      <c r="T50" s="13"/>
    </row>
    <row r="51" spans="2:20" ht="20" customHeight="1" x14ac:dyDescent="0.35">
      <c r="B51" s="4" t="s">
        <v>102</v>
      </c>
      <c r="C51" s="5" t="s">
        <v>103</v>
      </c>
      <c r="D51" s="4" t="s">
        <v>109</v>
      </c>
      <c r="E51" s="5" t="s">
        <v>110</v>
      </c>
      <c r="F51" s="6">
        <v>0</v>
      </c>
      <c r="G51" s="7">
        <v>1080</v>
      </c>
      <c r="H51" s="6">
        <f t="shared" si="5"/>
        <v>1080</v>
      </c>
      <c r="I51" s="8">
        <f t="shared" si="6"/>
        <v>1</v>
      </c>
      <c r="J51" s="9" t="s">
        <v>44</v>
      </c>
      <c r="K51" s="10">
        <v>0</v>
      </c>
      <c r="L51" s="11">
        <v>0</v>
      </c>
      <c r="M51" s="10">
        <v>0</v>
      </c>
      <c r="N51" s="11">
        <v>0</v>
      </c>
      <c r="O51" s="10">
        <v>0</v>
      </c>
      <c r="P51" s="11">
        <v>0</v>
      </c>
      <c r="Q51" s="6">
        <f t="shared" si="7"/>
        <v>0</v>
      </c>
      <c r="R51" s="7">
        <f t="shared" si="8"/>
        <v>0</v>
      </c>
      <c r="S51" s="12">
        <f t="shared" si="9"/>
        <v>0</v>
      </c>
      <c r="T51" s="13"/>
    </row>
    <row r="52" spans="2:20" ht="20" customHeight="1" x14ac:dyDescent="0.35">
      <c r="B52" s="4" t="s">
        <v>102</v>
      </c>
      <c r="C52" s="5" t="s">
        <v>103</v>
      </c>
      <c r="D52" s="4" t="s">
        <v>99</v>
      </c>
      <c r="E52" s="5" t="s">
        <v>111</v>
      </c>
      <c r="F52" s="6">
        <v>0</v>
      </c>
      <c r="G52" s="7">
        <v>17500</v>
      </c>
      <c r="H52" s="6">
        <f t="shared" si="5"/>
        <v>17500</v>
      </c>
      <c r="I52" s="8">
        <f t="shared" si="6"/>
        <v>1</v>
      </c>
      <c r="J52" s="9" t="s">
        <v>44</v>
      </c>
      <c r="K52" s="10">
        <v>0</v>
      </c>
      <c r="L52" s="11">
        <v>0</v>
      </c>
      <c r="M52" s="10">
        <v>0</v>
      </c>
      <c r="N52" s="11">
        <v>0</v>
      </c>
      <c r="O52" s="10">
        <v>0</v>
      </c>
      <c r="P52" s="11">
        <v>0</v>
      </c>
      <c r="Q52" s="6">
        <f t="shared" si="7"/>
        <v>0</v>
      </c>
      <c r="R52" s="7">
        <f t="shared" si="8"/>
        <v>0</v>
      </c>
      <c r="S52" s="12">
        <f t="shared" si="9"/>
        <v>0</v>
      </c>
      <c r="T52" s="13"/>
    </row>
    <row r="53" spans="2:20" ht="20" customHeight="1" x14ac:dyDescent="0.35">
      <c r="B53" s="4" t="s">
        <v>32</v>
      </c>
      <c r="C53" s="5" t="s">
        <v>112</v>
      </c>
      <c r="D53" s="4" t="s">
        <v>113</v>
      </c>
      <c r="E53" s="5" t="s">
        <v>114</v>
      </c>
      <c r="F53" s="6">
        <v>0</v>
      </c>
      <c r="G53" s="7">
        <v>0</v>
      </c>
      <c r="H53" s="6">
        <f t="shared" si="5"/>
        <v>0</v>
      </c>
      <c r="I53" s="8">
        <f t="shared" si="6"/>
        <v>0</v>
      </c>
      <c r="J53" s="9"/>
      <c r="K53" s="10">
        <v>0</v>
      </c>
      <c r="L53" s="11">
        <v>0</v>
      </c>
      <c r="M53" s="10">
        <v>0</v>
      </c>
      <c r="N53" s="11">
        <v>0</v>
      </c>
      <c r="O53" s="10">
        <v>640</v>
      </c>
      <c r="P53" s="11">
        <v>640</v>
      </c>
      <c r="Q53" s="6">
        <f t="shared" si="7"/>
        <v>640</v>
      </c>
      <c r="R53" s="7">
        <f t="shared" si="8"/>
        <v>640</v>
      </c>
      <c r="S53" s="12">
        <f t="shared" si="9"/>
        <v>0</v>
      </c>
      <c r="T53" s="13"/>
    </row>
    <row r="54" spans="2:20" ht="20" customHeight="1" x14ac:dyDescent="0.35">
      <c r="B54" s="4" t="s">
        <v>32</v>
      </c>
      <c r="C54" s="5" t="s">
        <v>115</v>
      </c>
      <c r="D54" s="4" t="s">
        <v>116</v>
      </c>
      <c r="E54" s="5" t="s">
        <v>117</v>
      </c>
      <c r="F54" s="6">
        <v>0</v>
      </c>
      <c r="G54" s="7">
        <v>1100</v>
      </c>
      <c r="H54" s="6">
        <f t="shared" si="5"/>
        <v>1100</v>
      </c>
      <c r="I54" s="8">
        <f t="shared" si="6"/>
        <v>1</v>
      </c>
      <c r="J54" s="9" t="s">
        <v>44</v>
      </c>
      <c r="K54" s="10">
        <v>0</v>
      </c>
      <c r="L54" s="11">
        <v>0</v>
      </c>
      <c r="M54" s="10">
        <v>0</v>
      </c>
      <c r="N54" s="11">
        <v>0</v>
      </c>
      <c r="O54" s="10">
        <v>0</v>
      </c>
      <c r="P54" s="11">
        <v>0</v>
      </c>
      <c r="Q54" s="6">
        <f t="shared" si="7"/>
        <v>0</v>
      </c>
      <c r="R54" s="7">
        <f t="shared" si="8"/>
        <v>0</v>
      </c>
      <c r="S54" s="12">
        <f t="shared" si="9"/>
        <v>0</v>
      </c>
      <c r="T54" s="13"/>
    </row>
    <row r="55" spans="2:20" ht="20" customHeight="1" x14ac:dyDescent="0.35">
      <c r="B55" s="4" t="s">
        <v>118</v>
      </c>
      <c r="C55" s="5" t="s">
        <v>119</v>
      </c>
      <c r="D55" s="4" t="s">
        <v>120</v>
      </c>
      <c r="E55" s="5" t="s">
        <v>121</v>
      </c>
      <c r="F55" s="6">
        <v>0</v>
      </c>
      <c r="G55" s="7">
        <v>0</v>
      </c>
      <c r="H55" s="6">
        <f t="shared" si="5"/>
        <v>0</v>
      </c>
      <c r="I55" s="8">
        <f t="shared" si="6"/>
        <v>0</v>
      </c>
      <c r="J55" s="9"/>
      <c r="K55" s="10">
        <v>0</v>
      </c>
      <c r="L55" s="11">
        <v>0</v>
      </c>
      <c r="M55" s="10">
        <v>0</v>
      </c>
      <c r="N55" s="11">
        <v>0</v>
      </c>
      <c r="O55" s="10">
        <v>8000</v>
      </c>
      <c r="P55" s="11">
        <v>8000</v>
      </c>
      <c r="Q55" s="6">
        <f t="shared" si="7"/>
        <v>8000</v>
      </c>
      <c r="R55" s="7">
        <f t="shared" si="8"/>
        <v>8000</v>
      </c>
      <c r="S55" s="12">
        <f t="shared" si="9"/>
        <v>0</v>
      </c>
      <c r="T55" s="13"/>
    </row>
    <row r="56" spans="2:20" ht="20" customHeight="1" x14ac:dyDescent="0.35">
      <c r="B56" s="4" t="s">
        <v>118</v>
      </c>
      <c r="C56" s="5" t="s">
        <v>119</v>
      </c>
      <c r="D56" s="4" t="s">
        <v>122</v>
      </c>
      <c r="E56" s="5" t="s">
        <v>121</v>
      </c>
      <c r="F56" s="6">
        <v>0</v>
      </c>
      <c r="G56" s="7">
        <v>0</v>
      </c>
      <c r="H56" s="6">
        <f t="shared" si="5"/>
        <v>0</v>
      </c>
      <c r="I56" s="8">
        <f t="shared" si="6"/>
        <v>0</v>
      </c>
      <c r="J56" s="9"/>
      <c r="K56" s="10">
        <v>0</v>
      </c>
      <c r="L56" s="11">
        <v>0</v>
      </c>
      <c r="M56" s="10">
        <v>0</v>
      </c>
      <c r="N56" s="11">
        <v>0</v>
      </c>
      <c r="O56" s="10">
        <v>4000</v>
      </c>
      <c r="P56" s="11">
        <v>4000</v>
      </c>
      <c r="Q56" s="6">
        <f t="shared" si="7"/>
        <v>4000</v>
      </c>
      <c r="R56" s="7">
        <f t="shared" si="8"/>
        <v>4000</v>
      </c>
      <c r="S56" s="12">
        <f t="shared" si="9"/>
        <v>0</v>
      </c>
      <c r="T56" s="13"/>
    </row>
    <row r="57" spans="2:20" ht="20" customHeight="1" x14ac:dyDescent="0.35">
      <c r="B57" s="4" t="s">
        <v>118</v>
      </c>
      <c r="C57" s="5" t="s">
        <v>119</v>
      </c>
      <c r="D57" s="4" t="s">
        <v>123</v>
      </c>
      <c r="E57" s="5" t="s">
        <v>124</v>
      </c>
      <c r="F57" s="6">
        <v>0</v>
      </c>
      <c r="G57" s="7">
        <v>0</v>
      </c>
      <c r="H57" s="6">
        <f t="shared" si="5"/>
        <v>0</v>
      </c>
      <c r="I57" s="8">
        <f t="shared" si="6"/>
        <v>0</v>
      </c>
      <c r="J57" s="9"/>
      <c r="K57" s="10">
        <v>0</v>
      </c>
      <c r="L57" s="11">
        <v>0</v>
      </c>
      <c r="M57" s="10">
        <v>0</v>
      </c>
      <c r="N57" s="11">
        <v>0</v>
      </c>
      <c r="O57" s="10">
        <v>10000</v>
      </c>
      <c r="P57" s="11">
        <v>10000</v>
      </c>
      <c r="Q57" s="6">
        <f t="shared" si="7"/>
        <v>10000</v>
      </c>
      <c r="R57" s="7">
        <f t="shared" si="8"/>
        <v>10000</v>
      </c>
      <c r="S57" s="12">
        <f t="shared" si="9"/>
        <v>0</v>
      </c>
      <c r="T57" s="13"/>
    </row>
    <row r="58" spans="2:20" ht="20" customHeight="1" x14ac:dyDescent="0.35">
      <c r="B58" s="4" t="s">
        <v>118</v>
      </c>
      <c r="C58" s="5" t="s">
        <v>119</v>
      </c>
      <c r="D58" s="4" t="s">
        <v>125</v>
      </c>
      <c r="E58" s="5" t="s">
        <v>124</v>
      </c>
      <c r="F58" s="6">
        <v>0</v>
      </c>
      <c r="G58" s="7">
        <v>0</v>
      </c>
      <c r="H58" s="6">
        <f t="shared" si="5"/>
        <v>0</v>
      </c>
      <c r="I58" s="8">
        <f t="shared" si="6"/>
        <v>0</v>
      </c>
      <c r="J58" s="9"/>
      <c r="K58" s="10">
        <v>0</v>
      </c>
      <c r="L58" s="11">
        <v>0</v>
      </c>
      <c r="M58" s="10">
        <v>0</v>
      </c>
      <c r="N58" s="11">
        <v>0</v>
      </c>
      <c r="O58" s="10">
        <v>10000</v>
      </c>
      <c r="P58" s="11">
        <v>10000</v>
      </c>
      <c r="Q58" s="6">
        <f t="shared" si="7"/>
        <v>10000</v>
      </c>
      <c r="R58" s="7">
        <f t="shared" si="8"/>
        <v>10000</v>
      </c>
      <c r="S58" s="12">
        <f t="shared" si="9"/>
        <v>0</v>
      </c>
      <c r="T58" s="13"/>
    </row>
    <row r="59" spans="2:20" ht="20" customHeight="1" x14ac:dyDescent="0.35">
      <c r="B59" s="4" t="s">
        <v>118</v>
      </c>
      <c r="C59" s="5" t="s">
        <v>126</v>
      </c>
      <c r="D59" s="4" t="s">
        <v>127</v>
      </c>
      <c r="E59" s="5" t="s">
        <v>128</v>
      </c>
      <c r="F59" s="6">
        <v>0</v>
      </c>
      <c r="G59" s="7">
        <v>0</v>
      </c>
      <c r="H59" s="6">
        <f t="shared" si="5"/>
        <v>0</v>
      </c>
      <c r="I59" s="8">
        <f t="shared" si="6"/>
        <v>0</v>
      </c>
      <c r="J59" s="9"/>
      <c r="K59" s="10">
        <v>0</v>
      </c>
      <c r="L59" s="11">
        <v>0</v>
      </c>
      <c r="M59" s="10">
        <v>0</v>
      </c>
      <c r="N59" s="11">
        <v>0</v>
      </c>
      <c r="O59" s="10">
        <v>2000</v>
      </c>
      <c r="P59" s="11">
        <v>2000</v>
      </c>
      <c r="Q59" s="6">
        <f t="shared" si="7"/>
        <v>2000</v>
      </c>
      <c r="R59" s="7">
        <f t="shared" si="8"/>
        <v>2000</v>
      </c>
      <c r="S59" s="12">
        <f t="shared" si="9"/>
        <v>0</v>
      </c>
      <c r="T59" s="13"/>
    </row>
    <row r="60" spans="2:20" ht="20" customHeight="1" x14ac:dyDescent="0.35">
      <c r="B60" s="4" t="s">
        <v>32</v>
      </c>
      <c r="C60" s="5" t="s">
        <v>129</v>
      </c>
      <c r="D60" s="4" t="s">
        <v>37</v>
      </c>
      <c r="E60" s="5" t="s">
        <v>38</v>
      </c>
      <c r="F60" s="6">
        <v>0</v>
      </c>
      <c r="G60" s="7">
        <v>0</v>
      </c>
      <c r="H60" s="6">
        <f t="shared" si="5"/>
        <v>0</v>
      </c>
      <c r="I60" s="8">
        <f t="shared" si="6"/>
        <v>0</v>
      </c>
      <c r="J60" s="9"/>
      <c r="K60" s="10">
        <v>0</v>
      </c>
      <c r="L60" s="11">
        <v>0</v>
      </c>
      <c r="M60" s="10">
        <v>0</v>
      </c>
      <c r="N60" s="11">
        <v>0</v>
      </c>
      <c r="O60" s="10">
        <v>1280</v>
      </c>
      <c r="P60" s="11">
        <v>1280</v>
      </c>
      <c r="Q60" s="6">
        <f t="shared" si="7"/>
        <v>1280</v>
      </c>
      <c r="R60" s="7">
        <f t="shared" si="8"/>
        <v>1280</v>
      </c>
      <c r="S60" s="12">
        <f t="shared" si="9"/>
        <v>0</v>
      </c>
      <c r="T60" s="13"/>
    </row>
    <row r="61" spans="2:20" ht="20" customHeight="1" x14ac:dyDescent="0.35">
      <c r="B61" s="4" t="s">
        <v>32</v>
      </c>
      <c r="C61" s="5" t="s">
        <v>130</v>
      </c>
      <c r="D61" s="4" t="s">
        <v>131</v>
      </c>
      <c r="E61" s="5" t="s">
        <v>132</v>
      </c>
      <c r="F61" s="6">
        <v>0</v>
      </c>
      <c r="G61" s="7">
        <v>0</v>
      </c>
      <c r="H61" s="6">
        <f t="shared" si="5"/>
        <v>0</v>
      </c>
      <c r="I61" s="8">
        <f t="shared" si="6"/>
        <v>0</v>
      </c>
      <c r="J61" s="9"/>
      <c r="K61" s="10">
        <v>0</v>
      </c>
      <c r="L61" s="11">
        <v>0</v>
      </c>
      <c r="M61" s="10">
        <v>0</v>
      </c>
      <c r="N61" s="11">
        <v>0</v>
      </c>
      <c r="O61" s="10">
        <v>25</v>
      </c>
      <c r="P61" s="11">
        <v>25</v>
      </c>
      <c r="Q61" s="6">
        <f t="shared" si="7"/>
        <v>25</v>
      </c>
      <c r="R61" s="7">
        <f t="shared" si="8"/>
        <v>25</v>
      </c>
      <c r="S61" s="12">
        <f t="shared" si="9"/>
        <v>0</v>
      </c>
      <c r="T61" s="13"/>
    </row>
    <row r="62" spans="2:20" ht="20" customHeight="1" x14ac:dyDescent="0.35">
      <c r="B62" s="4" t="s">
        <v>32</v>
      </c>
      <c r="C62" s="5" t="s">
        <v>130</v>
      </c>
      <c r="D62" s="4" t="s">
        <v>37</v>
      </c>
      <c r="E62" s="5" t="s">
        <v>38</v>
      </c>
      <c r="F62" s="6">
        <v>640</v>
      </c>
      <c r="G62" s="7">
        <v>0</v>
      </c>
      <c r="H62" s="6">
        <f t="shared" si="5"/>
        <v>640</v>
      </c>
      <c r="I62" s="8">
        <f t="shared" si="6"/>
        <v>0</v>
      </c>
      <c r="J62" s="9" t="s">
        <v>229</v>
      </c>
      <c r="K62" s="10">
        <v>1920</v>
      </c>
      <c r="L62" s="11">
        <v>1920</v>
      </c>
      <c r="M62" s="10">
        <v>0</v>
      </c>
      <c r="N62" s="11">
        <v>0</v>
      </c>
      <c r="O62" s="10">
        <v>0</v>
      </c>
      <c r="P62" s="11">
        <v>0</v>
      </c>
      <c r="Q62" s="6">
        <f t="shared" si="7"/>
        <v>1920</v>
      </c>
      <c r="R62" s="7">
        <f t="shared" si="8"/>
        <v>1920</v>
      </c>
      <c r="S62" s="12">
        <f t="shared" si="9"/>
        <v>0</v>
      </c>
      <c r="T62" s="13"/>
    </row>
    <row r="63" spans="2:20" ht="20" customHeight="1" x14ac:dyDescent="0.35">
      <c r="B63" s="4" t="s">
        <v>32</v>
      </c>
      <c r="C63" s="5" t="s">
        <v>130</v>
      </c>
      <c r="D63" s="4" t="s">
        <v>133</v>
      </c>
      <c r="E63" s="5" t="s">
        <v>134</v>
      </c>
      <c r="F63" s="6">
        <v>0</v>
      </c>
      <c r="G63" s="7">
        <v>0</v>
      </c>
      <c r="H63" s="6">
        <f t="shared" si="5"/>
        <v>0</v>
      </c>
      <c r="I63" s="8">
        <f t="shared" si="6"/>
        <v>0</v>
      </c>
      <c r="J63" s="9"/>
      <c r="K63" s="10">
        <v>75</v>
      </c>
      <c r="L63" s="11">
        <v>75</v>
      </c>
      <c r="M63" s="10">
        <v>0</v>
      </c>
      <c r="N63" s="11">
        <v>0</v>
      </c>
      <c r="O63" s="10">
        <v>0</v>
      </c>
      <c r="P63" s="11">
        <v>0</v>
      </c>
      <c r="Q63" s="6">
        <f t="shared" si="7"/>
        <v>75</v>
      </c>
      <c r="R63" s="7">
        <f t="shared" si="8"/>
        <v>75</v>
      </c>
      <c r="S63" s="12">
        <f t="shared" si="9"/>
        <v>0</v>
      </c>
      <c r="T63" s="13"/>
    </row>
    <row r="64" spans="2:20" ht="20" customHeight="1" x14ac:dyDescent="0.35">
      <c r="B64" s="4" t="s">
        <v>32</v>
      </c>
      <c r="C64" s="5" t="s">
        <v>130</v>
      </c>
      <c r="D64" s="4" t="s">
        <v>135</v>
      </c>
      <c r="E64" s="5" t="s">
        <v>136</v>
      </c>
      <c r="F64" s="6">
        <v>60</v>
      </c>
      <c r="G64" s="7">
        <v>0</v>
      </c>
      <c r="H64" s="6">
        <f t="shared" si="5"/>
        <v>60</v>
      </c>
      <c r="I64" s="8">
        <f t="shared" si="6"/>
        <v>0</v>
      </c>
      <c r="J64" s="9"/>
      <c r="K64" s="10">
        <v>80</v>
      </c>
      <c r="L64" s="11">
        <v>80</v>
      </c>
      <c r="M64" s="10">
        <v>0</v>
      </c>
      <c r="N64" s="11">
        <v>0</v>
      </c>
      <c r="O64" s="10">
        <v>240</v>
      </c>
      <c r="P64" s="11">
        <v>240</v>
      </c>
      <c r="Q64" s="6">
        <f t="shared" si="7"/>
        <v>320</v>
      </c>
      <c r="R64" s="7">
        <f t="shared" si="8"/>
        <v>320</v>
      </c>
      <c r="S64" s="12">
        <f t="shared" si="9"/>
        <v>0</v>
      </c>
      <c r="T64" s="13"/>
    </row>
    <row r="65" spans="2:20" ht="20" customHeight="1" x14ac:dyDescent="0.35">
      <c r="B65" s="4" t="s">
        <v>32</v>
      </c>
      <c r="C65" s="5" t="s">
        <v>137</v>
      </c>
      <c r="D65" s="4" t="s">
        <v>138</v>
      </c>
      <c r="E65" s="5" t="s">
        <v>139</v>
      </c>
      <c r="F65" s="6">
        <v>0</v>
      </c>
      <c r="G65" s="7">
        <v>0</v>
      </c>
      <c r="H65" s="6">
        <f t="shared" si="5"/>
        <v>0</v>
      </c>
      <c r="I65" s="8">
        <f t="shared" si="6"/>
        <v>0</v>
      </c>
      <c r="J65" s="9"/>
      <c r="K65" s="10">
        <v>800</v>
      </c>
      <c r="L65" s="11">
        <v>800</v>
      </c>
      <c r="M65" s="10">
        <v>0</v>
      </c>
      <c r="N65" s="11">
        <v>0</v>
      </c>
      <c r="O65" s="10">
        <v>0</v>
      </c>
      <c r="P65" s="11">
        <v>0</v>
      </c>
      <c r="Q65" s="6">
        <f t="shared" si="7"/>
        <v>800</v>
      </c>
      <c r="R65" s="7">
        <f t="shared" si="8"/>
        <v>800</v>
      </c>
      <c r="S65" s="12">
        <f t="shared" si="9"/>
        <v>0</v>
      </c>
      <c r="T65" s="13"/>
    </row>
    <row r="66" spans="2:20" ht="20" customHeight="1" x14ac:dyDescent="0.35">
      <c r="B66" s="4" t="s">
        <v>140</v>
      </c>
      <c r="C66" s="5" t="s">
        <v>141</v>
      </c>
      <c r="D66" s="4" t="s">
        <v>142</v>
      </c>
      <c r="E66" s="5" t="s">
        <v>143</v>
      </c>
      <c r="F66" s="6">
        <v>0</v>
      </c>
      <c r="G66" s="7">
        <v>1056</v>
      </c>
      <c r="H66" s="6">
        <f t="shared" si="5"/>
        <v>1056</v>
      </c>
      <c r="I66" s="8">
        <f t="shared" si="6"/>
        <v>1</v>
      </c>
      <c r="J66" s="9" t="s">
        <v>229</v>
      </c>
      <c r="K66" s="10">
        <v>1056</v>
      </c>
      <c r="L66" s="11">
        <v>1056</v>
      </c>
      <c r="M66" s="10">
        <v>0</v>
      </c>
      <c r="N66" s="11">
        <v>0</v>
      </c>
      <c r="O66" s="10">
        <v>0</v>
      </c>
      <c r="P66" s="11">
        <v>0</v>
      </c>
      <c r="Q66" s="6">
        <f t="shared" si="7"/>
        <v>1056</v>
      </c>
      <c r="R66" s="7">
        <f t="shared" si="8"/>
        <v>1056</v>
      </c>
      <c r="S66" s="12">
        <f t="shared" si="9"/>
        <v>0</v>
      </c>
      <c r="T66" s="13"/>
    </row>
    <row r="67" spans="2:20" ht="20" customHeight="1" x14ac:dyDescent="0.35">
      <c r="B67" s="4" t="s">
        <v>140</v>
      </c>
      <c r="C67" s="5" t="s">
        <v>141</v>
      </c>
      <c r="D67" s="4" t="s">
        <v>144</v>
      </c>
      <c r="E67" s="5" t="s">
        <v>145</v>
      </c>
      <c r="F67" s="6">
        <v>0</v>
      </c>
      <c r="G67" s="7">
        <v>528</v>
      </c>
      <c r="H67" s="6">
        <f t="shared" si="5"/>
        <v>528</v>
      </c>
      <c r="I67" s="8">
        <f t="shared" si="6"/>
        <v>1</v>
      </c>
      <c r="J67" s="9" t="s">
        <v>229</v>
      </c>
      <c r="K67" s="10">
        <v>528</v>
      </c>
      <c r="L67" s="11">
        <v>528</v>
      </c>
      <c r="M67" s="10">
        <v>0</v>
      </c>
      <c r="N67" s="11">
        <v>0</v>
      </c>
      <c r="O67" s="10">
        <v>0</v>
      </c>
      <c r="P67" s="11">
        <v>0</v>
      </c>
      <c r="Q67" s="6">
        <f t="shared" si="7"/>
        <v>528</v>
      </c>
      <c r="R67" s="7">
        <f t="shared" si="8"/>
        <v>528</v>
      </c>
      <c r="S67" s="12">
        <f t="shared" si="9"/>
        <v>0</v>
      </c>
      <c r="T67" s="13"/>
    </row>
    <row r="68" spans="2:20" ht="20" customHeight="1" x14ac:dyDescent="0.35">
      <c r="B68" s="4" t="s">
        <v>140</v>
      </c>
      <c r="C68" s="5" t="s">
        <v>141</v>
      </c>
      <c r="D68" s="4" t="s">
        <v>77</v>
      </c>
      <c r="E68" s="5" t="s">
        <v>146</v>
      </c>
      <c r="F68" s="6">
        <v>0</v>
      </c>
      <c r="G68" s="7">
        <v>0</v>
      </c>
      <c r="H68" s="6">
        <f t="shared" si="5"/>
        <v>0</v>
      </c>
      <c r="I68" s="8">
        <f t="shared" si="6"/>
        <v>0</v>
      </c>
      <c r="J68" s="9"/>
      <c r="K68" s="10">
        <v>0</v>
      </c>
      <c r="L68" s="11">
        <v>0</v>
      </c>
      <c r="M68" s="10">
        <v>640</v>
      </c>
      <c r="N68" s="11">
        <v>640</v>
      </c>
      <c r="O68" s="10">
        <v>0</v>
      </c>
      <c r="P68" s="11">
        <v>0</v>
      </c>
      <c r="Q68" s="6">
        <f t="shared" si="7"/>
        <v>640</v>
      </c>
      <c r="R68" s="7">
        <f t="shared" si="8"/>
        <v>640</v>
      </c>
      <c r="S68" s="12">
        <f t="shared" si="9"/>
        <v>0</v>
      </c>
      <c r="T68" s="13"/>
    </row>
    <row r="69" spans="2:20" ht="20" customHeight="1" x14ac:dyDescent="0.35">
      <c r="B69" s="4" t="s">
        <v>140</v>
      </c>
      <c r="C69" s="5" t="s">
        <v>141</v>
      </c>
      <c r="D69" s="4" t="s">
        <v>147</v>
      </c>
      <c r="E69" s="5" t="s">
        <v>146</v>
      </c>
      <c r="F69" s="6">
        <v>0</v>
      </c>
      <c r="G69" s="7">
        <v>0</v>
      </c>
      <c r="H69" s="6">
        <f t="shared" si="5"/>
        <v>0</v>
      </c>
      <c r="I69" s="8">
        <f t="shared" si="6"/>
        <v>0</v>
      </c>
      <c r="J69" s="9"/>
      <c r="K69" s="10">
        <v>0</v>
      </c>
      <c r="L69" s="11">
        <v>0</v>
      </c>
      <c r="M69" s="10">
        <v>1000</v>
      </c>
      <c r="N69" s="11">
        <v>1000</v>
      </c>
      <c r="O69" s="10">
        <v>0</v>
      </c>
      <c r="P69" s="11">
        <v>0</v>
      </c>
      <c r="Q69" s="6">
        <f t="shared" si="7"/>
        <v>1000</v>
      </c>
      <c r="R69" s="7">
        <f t="shared" si="8"/>
        <v>1000</v>
      </c>
      <c r="S69" s="12">
        <f t="shared" si="9"/>
        <v>0</v>
      </c>
      <c r="T69" s="13"/>
    </row>
    <row r="70" spans="2:20" ht="20" customHeight="1" x14ac:dyDescent="0.35">
      <c r="B70" s="4" t="s">
        <v>140</v>
      </c>
      <c r="C70" s="5" t="s">
        <v>141</v>
      </c>
      <c r="D70" s="4" t="s">
        <v>148</v>
      </c>
      <c r="E70" s="5" t="s">
        <v>149</v>
      </c>
      <c r="F70" s="6">
        <v>0</v>
      </c>
      <c r="G70" s="7">
        <v>0</v>
      </c>
      <c r="H70" s="6">
        <f t="shared" si="5"/>
        <v>0</v>
      </c>
      <c r="I70" s="8">
        <f t="shared" si="6"/>
        <v>0</v>
      </c>
      <c r="J70" s="9"/>
      <c r="K70" s="10">
        <v>396</v>
      </c>
      <c r="L70" s="11">
        <v>0</v>
      </c>
      <c r="M70" s="10">
        <v>0</v>
      </c>
      <c r="N70" s="11">
        <v>0</v>
      </c>
      <c r="O70" s="10">
        <v>0</v>
      </c>
      <c r="P70" s="11">
        <v>0</v>
      </c>
      <c r="Q70" s="6">
        <f t="shared" si="7"/>
        <v>396</v>
      </c>
      <c r="R70" s="7">
        <f t="shared" si="8"/>
        <v>0</v>
      </c>
      <c r="S70" s="12">
        <f t="shared" si="9"/>
        <v>-396</v>
      </c>
      <c r="T70" s="13"/>
    </row>
    <row r="71" spans="2:20" ht="20" customHeight="1" x14ac:dyDescent="0.35">
      <c r="B71" s="4" t="s">
        <v>32</v>
      </c>
      <c r="C71" s="5" t="s">
        <v>141</v>
      </c>
      <c r="D71" s="4" t="s">
        <v>150</v>
      </c>
      <c r="E71" s="5" t="s">
        <v>151</v>
      </c>
      <c r="F71" s="6">
        <v>0</v>
      </c>
      <c r="G71" s="7">
        <v>396</v>
      </c>
      <c r="H71" s="6">
        <f t="shared" si="5"/>
        <v>396</v>
      </c>
      <c r="I71" s="8">
        <f t="shared" si="6"/>
        <v>1</v>
      </c>
      <c r="J71" s="9" t="s">
        <v>44</v>
      </c>
      <c r="K71" s="10">
        <v>0</v>
      </c>
      <c r="L71" s="11">
        <v>396</v>
      </c>
      <c r="M71" s="10">
        <v>0</v>
      </c>
      <c r="N71" s="11">
        <v>0</v>
      </c>
      <c r="O71" s="10">
        <v>0</v>
      </c>
      <c r="P71" s="11">
        <v>0</v>
      </c>
      <c r="Q71" s="6">
        <f t="shared" si="7"/>
        <v>0</v>
      </c>
      <c r="R71" s="7">
        <f t="shared" si="8"/>
        <v>396</v>
      </c>
      <c r="S71" s="12">
        <f t="shared" si="9"/>
        <v>396</v>
      </c>
      <c r="T71" s="13"/>
    </row>
    <row r="72" spans="2:20" ht="20" customHeight="1" x14ac:dyDescent="0.35">
      <c r="B72" s="4" t="s">
        <v>140</v>
      </c>
      <c r="C72" s="5" t="s">
        <v>141</v>
      </c>
      <c r="D72" s="4" t="s">
        <v>45</v>
      </c>
      <c r="E72" s="5" t="s">
        <v>152</v>
      </c>
      <c r="F72" s="6">
        <v>0</v>
      </c>
      <c r="G72" s="7">
        <v>0</v>
      </c>
      <c r="H72" s="6">
        <f t="shared" si="5"/>
        <v>0</v>
      </c>
      <c r="I72" s="8">
        <f t="shared" si="6"/>
        <v>0</v>
      </c>
      <c r="J72" s="9"/>
      <c r="K72" s="10">
        <v>0</v>
      </c>
      <c r="L72" s="11">
        <v>0</v>
      </c>
      <c r="M72" s="10">
        <v>1100</v>
      </c>
      <c r="N72" s="11">
        <v>1100</v>
      </c>
      <c r="O72" s="10">
        <v>0</v>
      </c>
      <c r="P72" s="11">
        <v>0</v>
      </c>
      <c r="Q72" s="6">
        <f t="shared" si="7"/>
        <v>1100</v>
      </c>
      <c r="R72" s="7">
        <f t="shared" si="8"/>
        <v>1100</v>
      </c>
      <c r="S72" s="12">
        <f t="shared" si="9"/>
        <v>0</v>
      </c>
      <c r="T72" s="13"/>
    </row>
    <row r="73" spans="2:20" ht="20" customHeight="1" x14ac:dyDescent="0.35">
      <c r="B73" s="4" t="s">
        <v>140</v>
      </c>
      <c r="C73" s="5" t="s">
        <v>141</v>
      </c>
      <c r="D73" s="4" t="s">
        <v>87</v>
      </c>
      <c r="E73" s="5" t="s">
        <v>94</v>
      </c>
      <c r="F73" s="6">
        <v>0</v>
      </c>
      <c r="G73" s="7">
        <v>0</v>
      </c>
      <c r="H73" s="6">
        <f t="shared" si="5"/>
        <v>0</v>
      </c>
      <c r="I73" s="8">
        <f t="shared" si="6"/>
        <v>0</v>
      </c>
      <c r="J73" s="9"/>
      <c r="K73" s="10">
        <v>0</v>
      </c>
      <c r="L73" s="11">
        <v>0</v>
      </c>
      <c r="M73" s="10">
        <v>300</v>
      </c>
      <c r="N73" s="11">
        <v>300</v>
      </c>
      <c r="O73" s="10">
        <v>0</v>
      </c>
      <c r="P73" s="11">
        <v>0</v>
      </c>
      <c r="Q73" s="6">
        <f t="shared" si="7"/>
        <v>300</v>
      </c>
      <c r="R73" s="7">
        <f t="shared" si="8"/>
        <v>300</v>
      </c>
      <c r="S73" s="12">
        <f t="shared" si="9"/>
        <v>0</v>
      </c>
      <c r="T73" s="13"/>
    </row>
    <row r="74" spans="2:20" ht="20" customHeight="1" x14ac:dyDescent="0.35">
      <c r="B74" s="4" t="s">
        <v>140</v>
      </c>
      <c r="C74" s="5" t="s">
        <v>141</v>
      </c>
      <c r="D74" s="4" t="s">
        <v>153</v>
      </c>
      <c r="E74" s="5" t="s">
        <v>154</v>
      </c>
      <c r="F74" s="6">
        <v>0</v>
      </c>
      <c r="G74" s="7">
        <v>0</v>
      </c>
      <c r="H74" s="6">
        <f t="shared" ref="H74:H105" si="10">ABS(G74-F74)</f>
        <v>0</v>
      </c>
      <c r="I74" s="8">
        <f t="shared" ref="I74:I105" si="11">IF(F74&gt;0, G74/F74, IF(G74&gt;0, 1, 0))</f>
        <v>0</v>
      </c>
      <c r="J74" s="9"/>
      <c r="K74" s="10">
        <v>0</v>
      </c>
      <c r="L74" s="11">
        <v>0</v>
      </c>
      <c r="M74" s="10">
        <v>400</v>
      </c>
      <c r="N74" s="11">
        <v>400</v>
      </c>
      <c r="O74" s="10">
        <v>0</v>
      </c>
      <c r="P74" s="11">
        <v>0</v>
      </c>
      <c r="Q74" s="6">
        <f t="shared" ref="Q74:Q105" si="12">K74+M74+O74</f>
        <v>400</v>
      </c>
      <c r="R74" s="7">
        <f t="shared" ref="R74:R105" si="13">L74+N74+P74</f>
        <v>400</v>
      </c>
      <c r="S74" s="12">
        <f t="shared" ref="S74:S105" si="14">R74-Q74</f>
        <v>0</v>
      </c>
      <c r="T74" s="13"/>
    </row>
    <row r="75" spans="2:20" ht="20" customHeight="1" x14ac:dyDescent="0.35">
      <c r="B75" s="4" t="s">
        <v>140</v>
      </c>
      <c r="C75" s="5" t="s">
        <v>141</v>
      </c>
      <c r="D75" s="4" t="s">
        <v>155</v>
      </c>
      <c r="E75" s="5" t="s">
        <v>156</v>
      </c>
      <c r="F75" s="6">
        <v>0</v>
      </c>
      <c r="G75" s="7">
        <v>0</v>
      </c>
      <c r="H75" s="6">
        <f t="shared" si="10"/>
        <v>0</v>
      </c>
      <c r="I75" s="8">
        <f t="shared" si="11"/>
        <v>0</v>
      </c>
      <c r="J75" s="9"/>
      <c r="K75" s="10">
        <v>0</v>
      </c>
      <c r="L75" s="11">
        <v>0</v>
      </c>
      <c r="M75" s="10">
        <v>660</v>
      </c>
      <c r="N75" s="11">
        <v>660</v>
      </c>
      <c r="O75" s="10">
        <v>0</v>
      </c>
      <c r="P75" s="11">
        <v>0</v>
      </c>
      <c r="Q75" s="6">
        <f t="shared" si="12"/>
        <v>660</v>
      </c>
      <c r="R75" s="7">
        <f t="shared" si="13"/>
        <v>660</v>
      </c>
      <c r="S75" s="12">
        <f t="shared" si="14"/>
        <v>0</v>
      </c>
      <c r="T75" s="13"/>
    </row>
    <row r="76" spans="2:20" ht="20" customHeight="1" x14ac:dyDescent="0.35">
      <c r="B76" s="4" t="s">
        <v>140</v>
      </c>
      <c r="C76" s="5" t="s">
        <v>141</v>
      </c>
      <c r="D76" s="4" t="s">
        <v>157</v>
      </c>
      <c r="E76" s="5" t="s">
        <v>156</v>
      </c>
      <c r="F76" s="6">
        <v>0</v>
      </c>
      <c r="G76" s="7">
        <v>0</v>
      </c>
      <c r="H76" s="6">
        <f t="shared" si="10"/>
        <v>0</v>
      </c>
      <c r="I76" s="8">
        <f t="shared" si="11"/>
        <v>0</v>
      </c>
      <c r="J76" s="9"/>
      <c r="K76" s="10">
        <v>0</v>
      </c>
      <c r="L76" s="11">
        <v>0</v>
      </c>
      <c r="M76" s="10">
        <v>640</v>
      </c>
      <c r="N76" s="11">
        <v>640</v>
      </c>
      <c r="O76" s="10">
        <v>0</v>
      </c>
      <c r="P76" s="11">
        <v>0</v>
      </c>
      <c r="Q76" s="6">
        <f t="shared" si="12"/>
        <v>640</v>
      </c>
      <c r="R76" s="7">
        <f t="shared" si="13"/>
        <v>640</v>
      </c>
      <c r="S76" s="12">
        <f t="shared" si="14"/>
        <v>0</v>
      </c>
      <c r="T76" s="13"/>
    </row>
    <row r="77" spans="2:20" ht="20" customHeight="1" x14ac:dyDescent="0.35">
      <c r="B77" s="4" t="s">
        <v>140</v>
      </c>
      <c r="C77" s="5" t="s">
        <v>141</v>
      </c>
      <c r="D77" s="4" t="s">
        <v>158</v>
      </c>
      <c r="E77" s="5" t="s">
        <v>159</v>
      </c>
      <c r="F77" s="6">
        <v>0</v>
      </c>
      <c r="G77" s="7">
        <v>0</v>
      </c>
      <c r="H77" s="6">
        <f t="shared" si="10"/>
        <v>0</v>
      </c>
      <c r="I77" s="8">
        <f t="shared" si="11"/>
        <v>0</v>
      </c>
      <c r="J77" s="9"/>
      <c r="K77" s="10">
        <v>0</v>
      </c>
      <c r="L77" s="11">
        <v>0</v>
      </c>
      <c r="M77" s="10">
        <v>1000</v>
      </c>
      <c r="N77" s="11">
        <v>1000</v>
      </c>
      <c r="O77" s="10">
        <v>0</v>
      </c>
      <c r="P77" s="11">
        <v>0</v>
      </c>
      <c r="Q77" s="6">
        <f t="shared" si="12"/>
        <v>1000</v>
      </c>
      <c r="R77" s="7">
        <f t="shared" si="13"/>
        <v>1000</v>
      </c>
      <c r="S77" s="12">
        <f t="shared" si="14"/>
        <v>0</v>
      </c>
      <c r="T77" s="13"/>
    </row>
    <row r="78" spans="2:20" ht="20" customHeight="1" x14ac:dyDescent="0.35">
      <c r="B78" s="4" t="s">
        <v>140</v>
      </c>
      <c r="C78" s="5" t="s">
        <v>141</v>
      </c>
      <c r="D78" s="4" t="s">
        <v>160</v>
      </c>
      <c r="E78" s="5" t="s">
        <v>161</v>
      </c>
      <c r="F78" s="6">
        <v>0</v>
      </c>
      <c r="G78" s="7">
        <v>792</v>
      </c>
      <c r="H78" s="6">
        <f t="shared" si="10"/>
        <v>792</v>
      </c>
      <c r="I78" s="8">
        <f t="shared" si="11"/>
        <v>1</v>
      </c>
      <c r="J78" s="9" t="s">
        <v>44</v>
      </c>
      <c r="K78" s="10">
        <v>792</v>
      </c>
      <c r="L78" s="11">
        <v>792</v>
      </c>
      <c r="M78" s="10">
        <v>0</v>
      </c>
      <c r="N78" s="11">
        <v>0</v>
      </c>
      <c r="O78" s="10">
        <v>0</v>
      </c>
      <c r="P78" s="11">
        <v>0</v>
      </c>
      <c r="Q78" s="6">
        <f t="shared" si="12"/>
        <v>792</v>
      </c>
      <c r="R78" s="7">
        <f t="shared" si="13"/>
        <v>792</v>
      </c>
      <c r="S78" s="12">
        <f t="shared" si="14"/>
        <v>0</v>
      </c>
      <c r="T78" s="13"/>
    </row>
    <row r="79" spans="2:20" ht="20" customHeight="1" x14ac:dyDescent="0.35">
      <c r="B79" s="4" t="s">
        <v>140</v>
      </c>
      <c r="C79" s="5" t="s">
        <v>141</v>
      </c>
      <c r="D79" s="4" t="s">
        <v>107</v>
      </c>
      <c r="E79" s="5" t="s">
        <v>161</v>
      </c>
      <c r="F79" s="6">
        <v>0</v>
      </c>
      <c r="G79" s="7">
        <v>600</v>
      </c>
      <c r="H79" s="6">
        <f t="shared" si="10"/>
        <v>600</v>
      </c>
      <c r="I79" s="8">
        <f t="shared" si="11"/>
        <v>1</v>
      </c>
      <c r="J79" s="9" t="s">
        <v>44</v>
      </c>
      <c r="K79" s="10">
        <v>600</v>
      </c>
      <c r="L79" s="11">
        <v>600</v>
      </c>
      <c r="M79" s="10">
        <v>0</v>
      </c>
      <c r="N79" s="11">
        <v>0</v>
      </c>
      <c r="O79" s="10">
        <v>0</v>
      </c>
      <c r="P79" s="11">
        <v>0</v>
      </c>
      <c r="Q79" s="6">
        <f t="shared" si="12"/>
        <v>600</v>
      </c>
      <c r="R79" s="7">
        <f t="shared" si="13"/>
        <v>600</v>
      </c>
      <c r="S79" s="12">
        <f t="shared" si="14"/>
        <v>0</v>
      </c>
      <c r="T79" s="13"/>
    </row>
    <row r="80" spans="2:20" ht="20" customHeight="1" x14ac:dyDescent="0.35">
      <c r="B80" s="4" t="s">
        <v>140</v>
      </c>
      <c r="C80" s="5" t="s">
        <v>141</v>
      </c>
      <c r="D80" s="4" t="s">
        <v>55</v>
      </c>
      <c r="E80" s="5" t="s">
        <v>161</v>
      </c>
      <c r="F80" s="6">
        <v>0</v>
      </c>
      <c r="G80" s="7">
        <v>640</v>
      </c>
      <c r="H80" s="6">
        <f t="shared" si="10"/>
        <v>640</v>
      </c>
      <c r="I80" s="8">
        <f t="shared" si="11"/>
        <v>1</v>
      </c>
      <c r="J80" s="9" t="s">
        <v>44</v>
      </c>
      <c r="K80" s="10">
        <v>640</v>
      </c>
      <c r="L80" s="11">
        <v>640</v>
      </c>
      <c r="M80" s="10">
        <v>0</v>
      </c>
      <c r="N80" s="11">
        <v>0</v>
      </c>
      <c r="O80" s="10">
        <v>0</v>
      </c>
      <c r="P80" s="11">
        <v>0</v>
      </c>
      <c r="Q80" s="6">
        <f t="shared" si="12"/>
        <v>640</v>
      </c>
      <c r="R80" s="7">
        <f t="shared" si="13"/>
        <v>640</v>
      </c>
      <c r="S80" s="12">
        <f t="shared" si="14"/>
        <v>0</v>
      </c>
      <c r="T80" s="13"/>
    </row>
    <row r="81" spans="2:20" ht="20" customHeight="1" x14ac:dyDescent="0.35">
      <c r="B81" s="4" t="s">
        <v>140</v>
      </c>
      <c r="C81" s="5" t="s">
        <v>141</v>
      </c>
      <c r="D81" s="4" t="s">
        <v>162</v>
      </c>
      <c r="E81" s="5" t="s">
        <v>96</v>
      </c>
      <c r="F81" s="6">
        <v>0</v>
      </c>
      <c r="G81" s="7">
        <v>0</v>
      </c>
      <c r="H81" s="6">
        <f t="shared" si="10"/>
        <v>0</v>
      </c>
      <c r="I81" s="8">
        <f t="shared" si="11"/>
        <v>0</v>
      </c>
      <c r="J81" s="9"/>
      <c r="K81" s="10">
        <v>0</v>
      </c>
      <c r="L81" s="11">
        <v>0</v>
      </c>
      <c r="M81" s="10">
        <v>660</v>
      </c>
      <c r="N81" s="11">
        <v>660</v>
      </c>
      <c r="O81" s="10">
        <v>0</v>
      </c>
      <c r="P81" s="11">
        <v>0</v>
      </c>
      <c r="Q81" s="6">
        <f t="shared" si="12"/>
        <v>660</v>
      </c>
      <c r="R81" s="7">
        <f t="shared" si="13"/>
        <v>660</v>
      </c>
      <c r="S81" s="12">
        <f t="shared" si="14"/>
        <v>0</v>
      </c>
      <c r="T81" s="13"/>
    </row>
    <row r="82" spans="2:20" ht="20" customHeight="1" x14ac:dyDescent="0.35">
      <c r="B82" s="4" t="s">
        <v>140</v>
      </c>
      <c r="C82" s="5" t="s">
        <v>141</v>
      </c>
      <c r="D82" s="4" t="s">
        <v>68</v>
      </c>
      <c r="E82" s="5" t="s">
        <v>96</v>
      </c>
      <c r="F82" s="6">
        <v>0</v>
      </c>
      <c r="G82" s="7">
        <v>0</v>
      </c>
      <c r="H82" s="6">
        <f t="shared" si="10"/>
        <v>0</v>
      </c>
      <c r="I82" s="8">
        <f t="shared" si="11"/>
        <v>0</v>
      </c>
      <c r="J82" s="9"/>
      <c r="K82" s="10">
        <v>0</v>
      </c>
      <c r="L82" s="11">
        <v>0</v>
      </c>
      <c r="M82" s="10">
        <v>320</v>
      </c>
      <c r="N82" s="11">
        <v>320</v>
      </c>
      <c r="O82" s="10">
        <v>0</v>
      </c>
      <c r="P82" s="11">
        <v>0</v>
      </c>
      <c r="Q82" s="6">
        <f t="shared" si="12"/>
        <v>320</v>
      </c>
      <c r="R82" s="7">
        <f t="shared" si="13"/>
        <v>320</v>
      </c>
      <c r="S82" s="12">
        <f t="shared" si="14"/>
        <v>0</v>
      </c>
      <c r="T82" s="13"/>
    </row>
    <row r="83" spans="2:20" ht="20" customHeight="1" x14ac:dyDescent="0.35">
      <c r="B83" s="4" t="s">
        <v>140</v>
      </c>
      <c r="C83" s="5" t="s">
        <v>141</v>
      </c>
      <c r="D83" s="4" t="s">
        <v>163</v>
      </c>
      <c r="E83" s="5" t="s">
        <v>164</v>
      </c>
      <c r="F83" s="6">
        <v>0</v>
      </c>
      <c r="G83" s="7">
        <v>792</v>
      </c>
      <c r="H83" s="6">
        <f t="shared" si="10"/>
        <v>792</v>
      </c>
      <c r="I83" s="8">
        <f t="shared" si="11"/>
        <v>1</v>
      </c>
      <c r="J83" s="9" t="s">
        <v>44</v>
      </c>
      <c r="K83" s="10">
        <v>792</v>
      </c>
      <c r="L83" s="11">
        <v>792</v>
      </c>
      <c r="M83" s="10">
        <v>0</v>
      </c>
      <c r="N83" s="11">
        <v>0</v>
      </c>
      <c r="O83" s="10">
        <v>0</v>
      </c>
      <c r="P83" s="11">
        <v>0</v>
      </c>
      <c r="Q83" s="6">
        <f t="shared" si="12"/>
        <v>792</v>
      </c>
      <c r="R83" s="7">
        <f t="shared" si="13"/>
        <v>792</v>
      </c>
      <c r="S83" s="12">
        <f t="shared" si="14"/>
        <v>0</v>
      </c>
      <c r="T83" s="13"/>
    </row>
    <row r="84" spans="2:20" ht="20" customHeight="1" x14ac:dyDescent="0.35">
      <c r="B84" s="4" t="s">
        <v>140</v>
      </c>
      <c r="C84" s="5" t="s">
        <v>141</v>
      </c>
      <c r="D84" s="4" t="s">
        <v>165</v>
      </c>
      <c r="E84" s="5" t="s">
        <v>166</v>
      </c>
      <c r="F84" s="6">
        <v>0</v>
      </c>
      <c r="G84" s="7">
        <v>0</v>
      </c>
      <c r="H84" s="6">
        <f t="shared" si="10"/>
        <v>0</v>
      </c>
      <c r="I84" s="8">
        <f t="shared" si="11"/>
        <v>0</v>
      </c>
      <c r="J84" s="9"/>
      <c r="K84" s="10">
        <v>0</v>
      </c>
      <c r="L84" s="11">
        <v>0</v>
      </c>
      <c r="M84" s="10">
        <v>300</v>
      </c>
      <c r="N84" s="11">
        <v>300</v>
      </c>
      <c r="O84" s="10">
        <v>0</v>
      </c>
      <c r="P84" s="11">
        <v>0</v>
      </c>
      <c r="Q84" s="6">
        <f t="shared" si="12"/>
        <v>300</v>
      </c>
      <c r="R84" s="7">
        <f t="shared" si="13"/>
        <v>300</v>
      </c>
      <c r="S84" s="12">
        <f t="shared" si="14"/>
        <v>0</v>
      </c>
      <c r="T84" s="13"/>
    </row>
    <row r="85" spans="2:20" ht="20" customHeight="1" x14ac:dyDescent="0.35">
      <c r="B85" s="4" t="s">
        <v>140</v>
      </c>
      <c r="C85" s="5" t="s">
        <v>141</v>
      </c>
      <c r="D85" s="4" t="s">
        <v>167</v>
      </c>
      <c r="E85" s="5" t="s">
        <v>168</v>
      </c>
      <c r="F85" s="6">
        <v>0</v>
      </c>
      <c r="G85" s="7">
        <v>0</v>
      </c>
      <c r="H85" s="6">
        <f t="shared" si="10"/>
        <v>0</v>
      </c>
      <c r="I85" s="8">
        <f t="shared" si="11"/>
        <v>0</v>
      </c>
      <c r="J85" s="9"/>
      <c r="K85" s="10">
        <v>0</v>
      </c>
      <c r="L85" s="11">
        <v>0</v>
      </c>
      <c r="M85" s="10">
        <v>660</v>
      </c>
      <c r="N85" s="11">
        <v>660</v>
      </c>
      <c r="O85" s="10">
        <v>0</v>
      </c>
      <c r="P85" s="11">
        <v>0</v>
      </c>
      <c r="Q85" s="6">
        <f t="shared" si="12"/>
        <v>660</v>
      </c>
      <c r="R85" s="7">
        <f t="shared" si="13"/>
        <v>660</v>
      </c>
      <c r="S85" s="12">
        <f t="shared" si="14"/>
        <v>0</v>
      </c>
      <c r="T85" s="13"/>
    </row>
    <row r="86" spans="2:20" ht="20" customHeight="1" x14ac:dyDescent="0.35">
      <c r="B86" s="4" t="s">
        <v>140</v>
      </c>
      <c r="C86" s="5" t="s">
        <v>141</v>
      </c>
      <c r="D86" s="4" t="s">
        <v>169</v>
      </c>
      <c r="E86" s="5" t="s">
        <v>170</v>
      </c>
      <c r="F86" s="6">
        <v>0</v>
      </c>
      <c r="G86" s="7">
        <v>0</v>
      </c>
      <c r="H86" s="6">
        <f t="shared" si="10"/>
        <v>0</v>
      </c>
      <c r="I86" s="8">
        <f t="shared" si="11"/>
        <v>0</v>
      </c>
      <c r="J86" s="9"/>
      <c r="K86" s="10">
        <v>0</v>
      </c>
      <c r="L86" s="11">
        <v>0</v>
      </c>
      <c r="M86" s="10">
        <v>400</v>
      </c>
      <c r="N86" s="11">
        <v>400</v>
      </c>
      <c r="O86" s="10">
        <v>0</v>
      </c>
      <c r="P86" s="11">
        <v>0</v>
      </c>
      <c r="Q86" s="6">
        <f t="shared" si="12"/>
        <v>400</v>
      </c>
      <c r="R86" s="7">
        <f t="shared" si="13"/>
        <v>400</v>
      </c>
      <c r="S86" s="12">
        <f t="shared" si="14"/>
        <v>0</v>
      </c>
      <c r="T86" s="13"/>
    </row>
    <row r="87" spans="2:20" ht="20" customHeight="1" x14ac:dyDescent="0.35">
      <c r="B87" s="4" t="s">
        <v>32</v>
      </c>
      <c r="C87" s="5" t="s">
        <v>141</v>
      </c>
      <c r="D87" s="4" t="s">
        <v>171</v>
      </c>
      <c r="E87" s="5" t="s">
        <v>172</v>
      </c>
      <c r="F87" s="6">
        <v>0</v>
      </c>
      <c r="G87" s="7">
        <v>640</v>
      </c>
      <c r="H87" s="6">
        <f t="shared" si="10"/>
        <v>640</v>
      </c>
      <c r="I87" s="8">
        <f t="shared" si="11"/>
        <v>1</v>
      </c>
      <c r="J87" s="9" t="s">
        <v>44</v>
      </c>
      <c r="K87" s="10">
        <v>0</v>
      </c>
      <c r="L87" s="11">
        <v>0</v>
      </c>
      <c r="M87" s="10">
        <v>0</v>
      </c>
      <c r="N87" s="11">
        <v>0</v>
      </c>
      <c r="O87" s="10">
        <v>0</v>
      </c>
      <c r="P87" s="11">
        <v>0</v>
      </c>
      <c r="Q87" s="6">
        <f t="shared" si="12"/>
        <v>0</v>
      </c>
      <c r="R87" s="7">
        <f t="shared" si="13"/>
        <v>0</v>
      </c>
      <c r="S87" s="12">
        <f t="shared" si="14"/>
        <v>0</v>
      </c>
      <c r="T87" s="13"/>
    </row>
    <row r="88" spans="2:20" ht="20" customHeight="1" x14ac:dyDescent="0.35">
      <c r="B88" s="4" t="s">
        <v>140</v>
      </c>
      <c r="C88" s="5" t="s">
        <v>141</v>
      </c>
      <c r="D88" s="4" t="s">
        <v>173</v>
      </c>
      <c r="E88" s="5" t="s">
        <v>174</v>
      </c>
      <c r="F88" s="6">
        <v>0</v>
      </c>
      <c r="G88" s="7">
        <v>0</v>
      </c>
      <c r="H88" s="6">
        <f t="shared" si="10"/>
        <v>0</v>
      </c>
      <c r="I88" s="8">
        <f t="shared" si="11"/>
        <v>0</v>
      </c>
      <c r="J88" s="9"/>
      <c r="K88" s="10">
        <v>0</v>
      </c>
      <c r="L88" s="11">
        <v>0</v>
      </c>
      <c r="M88" s="10">
        <v>300</v>
      </c>
      <c r="N88" s="11">
        <v>300</v>
      </c>
      <c r="O88" s="10">
        <v>0</v>
      </c>
      <c r="P88" s="11">
        <v>0</v>
      </c>
      <c r="Q88" s="6">
        <f t="shared" si="12"/>
        <v>300</v>
      </c>
      <c r="R88" s="7">
        <f t="shared" si="13"/>
        <v>300</v>
      </c>
      <c r="S88" s="12">
        <f t="shared" si="14"/>
        <v>0</v>
      </c>
      <c r="T88" s="13"/>
    </row>
    <row r="89" spans="2:20" ht="20" customHeight="1" x14ac:dyDescent="0.35">
      <c r="B89" s="4" t="s">
        <v>140</v>
      </c>
      <c r="C89" s="5" t="s">
        <v>141</v>
      </c>
      <c r="D89" s="4" t="s">
        <v>175</v>
      </c>
      <c r="E89" s="5" t="s">
        <v>174</v>
      </c>
      <c r="F89" s="6">
        <v>0</v>
      </c>
      <c r="G89" s="7">
        <v>0</v>
      </c>
      <c r="H89" s="6">
        <f t="shared" si="10"/>
        <v>0</v>
      </c>
      <c r="I89" s="8">
        <f t="shared" si="11"/>
        <v>0</v>
      </c>
      <c r="J89" s="9"/>
      <c r="K89" s="10">
        <v>0</v>
      </c>
      <c r="L89" s="11">
        <v>0</v>
      </c>
      <c r="M89" s="10">
        <v>640</v>
      </c>
      <c r="N89" s="11">
        <v>640</v>
      </c>
      <c r="O89" s="10">
        <v>0</v>
      </c>
      <c r="P89" s="11">
        <v>0</v>
      </c>
      <c r="Q89" s="6">
        <f t="shared" si="12"/>
        <v>640</v>
      </c>
      <c r="R89" s="7">
        <f t="shared" si="13"/>
        <v>640</v>
      </c>
      <c r="S89" s="12">
        <f t="shared" si="14"/>
        <v>0</v>
      </c>
      <c r="T89" s="13"/>
    </row>
    <row r="90" spans="2:20" ht="20" customHeight="1" x14ac:dyDescent="0.35">
      <c r="B90" s="4" t="s">
        <v>140</v>
      </c>
      <c r="C90" s="5" t="s">
        <v>141</v>
      </c>
      <c r="D90" s="4" t="s">
        <v>176</v>
      </c>
      <c r="E90" s="5" t="s">
        <v>177</v>
      </c>
      <c r="F90" s="6">
        <v>0</v>
      </c>
      <c r="G90" s="7">
        <v>0</v>
      </c>
      <c r="H90" s="6">
        <f t="shared" si="10"/>
        <v>0</v>
      </c>
      <c r="I90" s="8">
        <f t="shared" si="11"/>
        <v>0</v>
      </c>
      <c r="J90" s="9"/>
      <c r="K90" s="10">
        <v>0</v>
      </c>
      <c r="L90" s="11">
        <v>0</v>
      </c>
      <c r="M90" s="10">
        <v>660</v>
      </c>
      <c r="N90" s="11">
        <v>660</v>
      </c>
      <c r="O90" s="10">
        <v>0</v>
      </c>
      <c r="P90" s="11">
        <v>0</v>
      </c>
      <c r="Q90" s="6">
        <f t="shared" si="12"/>
        <v>660</v>
      </c>
      <c r="R90" s="7">
        <f t="shared" si="13"/>
        <v>660</v>
      </c>
      <c r="S90" s="12">
        <f t="shared" si="14"/>
        <v>0</v>
      </c>
      <c r="T90" s="13"/>
    </row>
    <row r="91" spans="2:20" ht="20" customHeight="1" x14ac:dyDescent="0.35">
      <c r="B91" s="4" t="s">
        <v>140</v>
      </c>
      <c r="C91" s="5" t="s">
        <v>141</v>
      </c>
      <c r="D91" s="4" t="s">
        <v>178</v>
      </c>
      <c r="E91" s="5" t="s">
        <v>179</v>
      </c>
      <c r="F91" s="6">
        <v>0</v>
      </c>
      <c r="G91" s="7">
        <v>0</v>
      </c>
      <c r="H91" s="6">
        <f t="shared" si="10"/>
        <v>0</v>
      </c>
      <c r="I91" s="8">
        <f t="shared" si="11"/>
        <v>0</v>
      </c>
      <c r="J91" s="9"/>
      <c r="K91" s="10">
        <v>0</v>
      </c>
      <c r="L91" s="11">
        <v>0</v>
      </c>
      <c r="M91" s="10">
        <v>600</v>
      </c>
      <c r="N91" s="11">
        <v>600</v>
      </c>
      <c r="O91" s="10">
        <v>0</v>
      </c>
      <c r="P91" s="11">
        <v>0</v>
      </c>
      <c r="Q91" s="6">
        <f t="shared" si="12"/>
        <v>600</v>
      </c>
      <c r="R91" s="7">
        <f t="shared" si="13"/>
        <v>600</v>
      </c>
      <c r="S91" s="12">
        <f t="shared" si="14"/>
        <v>0</v>
      </c>
      <c r="T91" s="13"/>
    </row>
    <row r="92" spans="2:20" ht="20" customHeight="1" x14ac:dyDescent="0.35">
      <c r="B92" s="4" t="s">
        <v>140</v>
      </c>
      <c r="C92" s="5" t="s">
        <v>141</v>
      </c>
      <c r="D92" s="4" t="s">
        <v>49</v>
      </c>
      <c r="E92" s="5" t="s">
        <v>179</v>
      </c>
      <c r="F92" s="6">
        <v>0</v>
      </c>
      <c r="G92" s="7">
        <v>0</v>
      </c>
      <c r="H92" s="6">
        <f t="shared" si="10"/>
        <v>0</v>
      </c>
      <c r="I92" s="8">
        <f t="shared" si="11"/>
        <v>0</v>
      </c>
      <c r="J92" s="9"/>
      <c r="K92" s="10">
        <v>0</v>
      </c>
      <c r="L92" s="11">
        <v>0</v>
      </c>
      <c r="M92" s="10">
        <v>600</v>
      </c>
      <c r="N92" s="11">
        <v>600</v>
      </c>
      <c r="O92" s="10">
        <v>0</v>
      </c>
      <c r="P92" s="11">
        <v>0</v>
      </c>
      <c r="Q92" s="6">
        <f t="shared" si="12"/>
        <v>600</v>
      </c>
      <c r="R92" s="7">
        <f t="shared" si="13"/>
        <v>600</v>
      </c>
      <c r="S92" s="12">
        <f t="shared" si="14"/>
        <v>0</v>
      </c>
      <c r="T92" s="13"/>
    </row>
    <row r="93" spans="2:20" ht="20" customHeight="1" x14ac:dyDescent="0.35">
      <c r="B93" s="4" t="s">
        <v>140</v>
      </c>
      <c r="C93" s="5" t="s">
        <v>141</v>
      </c>
      <c r="D93" s="4" t="s">
        <v>180</v>
      </c>
      <c r="E93" s="5" t="s">
        <v>181</v>
      </c>
      <c r="F93" s="6">
        <v>0</v>
      </c>
      <c r="G93" s="7">
        <v>792</v>
      </c>
      <c r="H93" s="6">
        <f t="shared" si="10"/>
        <v>792</v>
      </c>
      <c r="I93" s="8">
        <f t="shared" si="11"/>
        <v>1</v>
      </c>
      <c r="J93" s="9" t="s">
        <v>44</v>
      </c>
      <c r="K93" s="10">
        <v>792</v>
      </c>
      <c r="L93" s="11">
        <v>792</v>
      </c>
      <c r="M93" s="10">
        <v>0</v>
      </c>
      <c r="N93" s="11">
        <v>0</v>
      </c>
      <c r="O93" s="10">
        <v>0</v>
      </c>
      <c r="P93" s="11">
        <v>0</v>
      </c>
      <c r="Q93" s="6">
        <f t="shared" si="12"/>
        <v>792</v>
      </c>
      <c r="R93" s="7">
        <f t="shared" si="13"/>
        <v>792</v>
      </c>
      <c r="S93" s="12">
        <f t="shared" si="14"/>
        <v>0</v>
      </c>
      <c r="T93" s="13"/>
    </row>
    <row r="94" spans="2:20" ht="20" customHeight="1" x14ac:dyDescent="0.35">
      <c r="B94" s="4" t="s">
        <v>140</v>
      </c>
      <c r="C94" s="5" t="s">
        <v>141</v>
      </c>
      <c r="D94" s="4" t="s">
        <v>182</v>
      </c>
      <c r="E94" s="5" t="s">
        <v>181</v>
      </c>
      <c r="F94" s="6">
        <v>0</v>
      </c>
      <c r="G94" s="7">
        <v>640</v>
      </c>
      <c r="H94" s="6">
        <f t="shared" si="10"/>
        <v>640</v>
      </c>
      <c r="I94" s="8">
        <f t="shared" si="11"/>
        <v>1</v>
      </c>
      <c r="J94" s="9" t="s">
        <v>44</v>
      </c>
      <c r="K94" s="10">
        <v>640</v>
      </c>
      <c r="L94" s="11">
        <v>640</v>
      </c>
      <c r="M94" s="10">
        <v>0</v>
      </c>
      <c r="N94" s="11">
        <v>0</v>
      </c>
      <c r="O94" s="10">
        <v>0</v>
      </c>
      <c r="P94" s="11">
        <v>0</v>
      </c>
      <c r="Q94" s="6">
        <f t="shared" si="12"/>
        <v>640</v>
      </c>
      <c r="R94" s="7">
        <f t="shared" si="13"/>
        <v>640</v>
      </c>
      <c r="S94" s="12">
        <f t="shared" si="14"/>
        <v>0</v>
      </c>
      <c r="T94" s="13"/>
    </row>
    <row r="95" spans="2:20" ht="20" customHeight="1" x14ac:dyDescent="0.35">
      <c r="B95" s="4" t="s">
        <v>140</v>
      </c>
      <c r="C95" s="5" t="s">
        <v>141</v>
      </c>
      <c r="D95" s="4" t="s">
        <v>183</v>
      </c>
      <c r="E95" s="5" t="s">
        <v>100</v>
      </c>
      <c r="F95" s="6">
        <v>0</v>
      </c>
      <c r="G95" s="7">
        <v>1056</v>
      </c>
      <c r="H95" s="6">
        <f t="shared" si="10"/>
        <v>1056</v>
      </c>
      <c r="I95" s="8">
        <f t="shared" si="11"/>
        <v>1</v>
      </c>
      <c r="J95" s="9" t="s">
        <v>44</v>
      </c>
      <c r="K95" s="10">
        <v>1056</v>
      </c>
      <c r="L95" s="11">
        <v>1056</v>
      </c>
      <c r="M95" s="10">
        <v>0</v>
      </c>
      <c r="N95" s="11">
        <v>0</v>
      </c>
      <c r="O95" s="10">
        <v>0</v>
      </c>
      <c r="P95" s="11">
        <v>0</v>
      </c>
      <c r="Q95" s="6">
        <f t="shared" si="12"/>
        <v>1056</v>
      </c>
      <c r="R95" s="7">
        <f t="shared" si="13"/>
        <v>1056</v>
      </c>
      <c r="S95" s="12">
        <f t="shared" si="14"/>
        <v>0</v>
      </c>
      <c r="T95" s="13"/>
    </row>
    <row r="96" spans="2:20" ht="20" customHeight="1" x14ac:dyDescent="0.35">
      <c r="B96" s="4" t="s">
        <v>140</v>
      </c>
      <c r="C96" s="5" t="s">
        <v>141</v>
      </c>
      <c r="D96" s="4" t="s">
        <v>184</v>
      </c>
      <c r="E96" s="5" t="s">
        <v>185</v>
      </c>
      <c r="F96" s="6">
        <v>0</v>
      </c>
      <c r="G96" s="7">
        <v>0</v>
      </c>
      <c r="H96" s="6">
        <f t="shared" si="10"/>
        <v>0</v>
      </c>
      <c r="I96" s="8">
        <f t="shared" si="11"/>
        <v>0</v>
      </c>
      <c r="J96" s="9"/>
      <c r="K96" s="10">
        <v>0</v>
      </c>
      <c r="L96" s="11">
        <v>0</v>
      </c>
      <c r="M96" s="10">
        <v>600</v>
      </c>
      <c r="N96" s="11">
        <v>600</v>
      </c>
      <c r="O96" s="10">
        <v>0</v>
      </c>
      <c r="P96" s="11">
        <v>0</v>
      </c>
      <c r="Q96" s="6">
        <f t="shared" si="12"/>
        <v>600</v>
      </c>
      <c r="R96" s="7">
        <f t="shared" si="13"/>
        <v>600</v>
      </c>
      <c r="S96" s="12">
        <f t="shared" si="14"/>
        <v>0</v>
      </c>
      <c r="T96" s="13"/>
    </row>
    <row r="97" spans="2:20" ht="20" customHeight="1" x14ac:dyDescent="0.35">
      <c r="B97" s="4" t="s">
        <v>32</v>
      </c>
      <c r="C97" s="5" t="s">
        <v>186</v>
      </c>
      <c r="D97" s="4" t="s">
        <v>187</v>
      </c>
      <c r="E97" s="5" t="s">
        <v>188</v>
      </c>
      <c r="F97" s="6">
        <v>200</v>
      </c>
      <c r="G97" s="7">
        <v>0</v>
      </c>
      <c r="H97" s="6">
        <f t="shared" si="10"/>
        <v>200</v>
      </c>
      <c r="I97" s="8">
        <f t="shared" si="11"/>
        <v>0</v>
      </c>
      <c r="J97" s="9" t="s">
        <v>225</v>
      </c>
      <c r="K97" s="10">
        <v>200</v>
      </c>
      <c r="L97" s="11">
        <v>200</v>
      </c>
      <c r="M97" s="10">
        <v>200</v>
      </c>
      <c r="N97" s="11">
        <v>200</v>
      </c>
      <c r="O97" s="10">
        <v>0</v>
      </c>
      <c r="P97" s="11">
        <v>0</v>
      </c>
      <c r="Q97" s="6">
        <f t="shared" si="12"/>
        <v>400</v>
      </c>
      <c r="R97" s="7">
        <f t="shared" si="13"/>
        <v>400</v>
      </c>
      <c r="S97" s="12">
        <f t="shared" si="14"/>
        <v>0</v>
      </c>
      <c r="T97" s="13"/>
    </row>
    <row r="98" spans="2:20" ht="20" customHeight="1" x14ac:dyDescent="0.35">
      <c r="B98" s="4" t="s">
        <v>32</v>
      </c>
      <c r="C98" s="5" t="s">
        <v>186</v>
      </c>
      <c r="D98" s="4" t="s">
        <v>37</v>
      </c>
      <c r="E98" s="5" t="s">
        <v>38</v>
      </c>
      <c r="F98" s="6">
        <v>0</v>
      </c>
      <c r="G98" s="7">
        <v>120</v>
      </c>
      <c r="H98" s="6">
        <f t="shared" si="10"/>
        <v>120</v>
      </c>
      <c r="I98" s="8">
        <f t="shared" si="11"/>
        <v>1</v>
      </c>
      <c r="J98" s="9" t="s">
        <v>229</v>
      </c>
      <c r="K98" s="10">
        <v>640</v>
      </c>
      <c r="L98" s="11">
        <v>640</v>
      </c>
      <c r="M98" s="10">
        <v>640</v>
      </c>
      <c r="N98" s="11">
        <v>640</v>
      </c>
      <c r="O98" s="10">
        <v>640</v>
      </c>
      <c r="P98" s="11">
        <v>640</v>
      </c>
      <c r="Q98" s="6">
        <f t="shared" si="12"/>
        <v>1920</v>
      </c>
      <c r="R98" s="7">
        <f t="shared" si="13"/>
        <v>1920</v>
      </c>
      <c r="S98" s="12">
        <f t="shared" si="14"/>
        <v>0</v>
      </c>
      <c r="T98" s="13"/>
    </row>
    <row r="99" spans="2:20" ht="20" customHeight="1" x14ac:dyDescent="0.35">
      <c r="B99" s="4" t="s">
        <v>32</v>
      </c>
      <c r="C99" s="5" t="s">
        <v>186</v>
      </c>
      <c r="D99" s="4" t="s">
        <v>189</v>
      </c>
      <c r="E99" s="5" t="s">
        <v>190</v>
      </c>
      <c r="F99" s="6">
        <v>0</v>
      </c>
      <c r="G99" s="7">
        <v>0</v>
      </c>
      <c r="H99" s="6">
        <f t="shared" si="10"/>
        <v>0</v>
      </c>
      <c r="I99" s="8">
        <f t="shared" si="11"/>
        <v>0</v>
      </c>
      <c r="J99" s="9"/>
      <c r="K99" s="10">
        <v>0</v>
      </c>
      <c r="L99" s="11">
        <v>0</v>
      </c>
      <c r="M99" s="10">
        <v>50</v>
      </c>
      <c r="N99" s="11">
        <v>50</v>
      </c>
      <c r="O99" s="10">
        <v>0</v>
      </c>
      <c r="P99" s="11">
        <v>0</v>
      </c>
      <c r="Q99" s="6">
        <f t="shared" si="12"/>
        <v>50</v>
      </c>
      <c r="R99" s="7">
        <f t="shared" si="13"/>
        <v>50</v>
      </c>
      <c r="S99" s="12">
        <f t="shared" si="14"/>
        <v>0</v>
      </c>
      <c r="T99" s="13"/>
    </row>
    <row r="100" spans="2:20" ht="20" customHeight="1" x14ac:dyDescent="0.35">
      <c r="B100" s="4" t="s">
        <v>32</v>
      </c>
      <c r="C100" s="5" t="s">
        <v>186</v>
      </c>
      <c r="D100" s="4" t="s">
        <v>66</v>
      </c>
      <c r="E100" s="5" t="s">
        <v>67</v>
      </c>
      <c r="F100" s="6">
        <v>100</v>
      </c>
      <c r="G100" s="7">
        <v>120</v>
      </c>
      <c r="H100" s="6">
        <f t="shared" si="10"/>
        <v>20</v>
      </c>
      <c r="I100" s="8">
        <f t="shared" si="11"/>
        <v>1.2</v>
      </c>
      <c r="J100" s="9" t="s">
        <v>229</v>
      </c>
      <c r="K100" s="10">
        <v>100</v>
      </c>
      <c r="L100" s="11">
        <v>100</v>
      </c>
      <c r="M100" s="10">
        <v>100</v>
      </c>
      <c r="N100" s="11">
        <v>100</v>
      </c>
      <c r="O100" s="10">
        <v>0</v>
      </c>
      <c r="P100" s="11">
        <v>0</v>
      </c>
      <c r="Q100" s="6">
        <f t="shared" si="12"/>
        <v>200</v>
      </c>
      <c r="R100" s="7">
        <f t="shared" si="13"/>
        <v>200</v>
      </c>
      <c r="S100" s="12">
        <f t="shared" si="14"/>
        <v>0</v>
      </c>
      <c r="T100" s="13"/>
    </row>
    <row r="101" spans="2:20" ht="20" customHeight="1" x14ac:dyDescent="0.35">
      <c r="B101" s="4" t="s">
        <v>32</v>
      </c>
      <c r="C101" s="5" t="s">
        <v>186</v>
      </c>
      <c r="D101" s="4" t="s">
        <v>155</v>
      </c>
      <c r="E101" s="5" t="s">
        <v>191</v>
      </c>
      <c r="F101" s="6">
        <v>12</v>
      </c>
      <c r="G101" s="7">
        <v>12</v>
      </c>
      <c r="H101" s="6">
        <f t="shared" si="10"/>
        <v>0</v>
      </c>
      <c r="I101" s="8">
        <f t="shared" si="11"/>
        <v>1</v>
      </c>
      <c r="J101" s="9"/>
      <c r="K101" s="10">
        <v>0</v>
      </c>
      <c r="L101" s="11">
        <v>0</v>
      </c>
      <c r="M101" s="10">
        <v>12</v>
      </c>
      <c r="N101" s="11">
        <v>12</v>
      </c>
      <c r="O101" s="10">
        <v>12</v>
      </c>
      <c r="P101" s="11">
        <v>12</v>
      </c>
      <c r="Q101" s="6">
        <f t="shared" si="12"/>
        <v>24</v>
      </c>
      <c r="R101" s="7">
        <f t="shared" si="13"/>
        <v>24</v>
      </c>
      <c r="S101" s="12">
        <f t="shared" si="14"/>
        <v>0</v>
      </c>
      <c r="T101" s="13"/>
    </row>
    <row r="102" spans="2:20" ht="20" customHeight="1" x14ac:dyDescent="0.35">
      <c r="B102" s="4" t="s">
        <v>32</v>
      </c>
      <c r="C102" s="5" t="s">
        <v>186</v>
      </c>
      <c r="D102" s="4" t="s">
        <v>192</v>
      </c>
      <c r="E102" s="5" t="s">
        <v>193</v>
      </c>
      <c r="F102" s="6">
        <v>0</v>
      </c>
      <c r="G102" s="7">
        <v>0</v>
      </c>
      <c r="H102" s="6">
        <f t="shared" si="10"/>
        <v>0</v>
      </c>
      <c r="I102" s="8">
        <f t="shared" si="11"/>
        <v>0</v>
      </c>
      <c r="J102" s="9"/>
      <c r="K102" s="10">
        <v>0</v>
      </c>
      <c r="L102" s="11">
        <v>0</v>
      </c>
      <c r="M102" s="10">
        <v>20</v>
      </c>
      <c r="N102" s="11">
        <v>20</v>
      </c>
      <c r="O102" s="10">
        <v>0</v>
      </c>
      <c r="P102" s="11">
        <v>0</v>
      </c>
      <c r="Q102" s="6">
        <f t="shared" si="12"/>
        <v>20</v>
      </c>
      <c r="R102" s="7">
        <f t="shared" si="13"/>
        <v>20</v>
      </c>
      <c r="S102" s="12">
        <f t="shared" si="14"/>
        <v>0</v>
      </c>
      <c r="T102" s="13"/>
    </row>
    <row r="103" spans="2:20" ht="20" customHeight="1" x14ac:dyDescent="0.35">
      <c r="B103" s="4" t="s">
        <v>32</v>
      </c>
      <c r="C103" s="5" t="s">
        <v>186</v>
      </c>
      <c r="D103" s="4" t="s">
        <v>107</v>
      </c>
      <c r="E103" s="5" t="s">
        <v>108</v>
      </c>
      <c r="F103" s="6">
        <v>300</v>
      </c>
      <c r="G103" s="7">
        <v>0</v>
      </c>
      <c r="H103" s="6">
        <f t="shared" si="10"/>
        <v>300</v>
      </c>
      <c r="I103" s="8">
        <f t="shared" si="11"/>
        <v>0</v>
      </c>
      <c r="J103" s="9" t="s">
        <v>225</v>
      </c>
      <c r="K103" s="10">
        <v>300</v>
      </c>
      <c r="L103" s="11">
        <v>300</v>
      </c>
      <c r="M103" s="10">
        <v>300</v>
      </c>
      <c r="N103" s="11">
        <v>300</v>
      </c>
      <c r="O103" s="10">
        <v>0</v>
      </c>
      <c r="P103" s="11">
        <v>0</v>
      </c>
      <c r="Q103" s="6">
        <f t="shared" si="12"/>
        <v>600</v>
      </c>
      <c r="R103" s="7">
        <f t="shared" si="13"/>
        <v>600</v>
      </c>
      <c r="S103" s="12">
        <f t="shared" si="14"/>
        <v>0</v>
      </c>
      <c r="T103" s="13"/>
    </row>
    <row r="104" spans="2:20" ht="20" customHeight="1" x14ac:dyDescent="0.35">
      <c r="B104" s="4" t="s">
        <v>32</v>
      </c>
      <c r="C104" s="5" t="s">
        <v>186</v>
      </c>
      <c r="D104" s="4" t="s">
        <v>55</v>
      </c>
      <c r="E104" s="5" t="s">
        <v>56</v>
      </c>
      <c r="F104" s="6">
        <v>0</v>
      </c>
      <c r="G104" s="7">
        <v>0</v>
      </c>
      <c r="H104" s="6">
        <f t="shared" si="10"/>
        <v>0</v>
      </c>
      <c r="I104" s="8">
        <f t="shared" si="11"/>
        <v>0</v>
      </c>
      <c r="J104" s="9"/>
      <c r="K104" s="10">
        <v>600</v>
      </c>
      <c r="L104" s="11">
        <v>600</v>
      </c>
      <c r="M104" s="10">
        <v>0</v>
      </c>
      <c r="N104" s="11">
        <v>0</v>
      </c>
      <c r="O104" s="10">
        <v>600</v>
      </c>
      <c r="P104" s="11">
        <v>600</v>
      </c>
      <c r="Q104" s="6">
        <f t="shared" si="12"/>
        <v>1200</v>
      </c>
      <c r="R104" s="7">
        <f t="shared" si="13"/>
        <v>1200</v>
      </c>
      <c r="S104" s="12">
        <f t="shared" si="14"/>
        <v>0</v>
      </c>
      <c r="T104" s="13"/>
    </row>
    <row r="105" spans="2:20" ht="20" customHeight="1" x14ac:dyDescent="0.35">
      <c r="B105" s="4" t="s">
        <v>32</v>
      </c>
      <c r="C105" s="5" t="s">
        <v>186</v>
      </c>
      <c r="D105" s="4" t="s">
        <v>194</v>
      </c>
      <c r="E105" s="5" t="s">
        <v>195</v>
      </c>
      <c r="F105" s="6">
        <v>0</v>
      </c>
      <c r="G105" s="7">
        <v>24</v>
      </c>
      <c r="H105" s="6">
        <f t="shared" si="10"/>
        <v>24</v>
      </c>
      <c r="I105" s="8">
        <f t="shared" si="11"/>
        <v>1</v>
      </c>
      <c r="J105" s="9" t="s">
        <v>44</v>
      </c>
      <c r="K105" s="10">
        <v>0</v>
      </c>
      <c r="L105" s="11">
        <v>0</v>
      </c>
      <c r="M105" s="10">
        <v>0</v>
      </c>
      <c r="N105" s="11">
        <v>0</v>
      </c>
      <c r="O105" s="10">
        <v>0</v>
      </c>
      <c r="P105" s="11">
        <v>0</v>
      </c>
      <c r="Q105" s="6">
        <f t="shared" si="12"/>
        <v>0</v>
      </c>
      <c r="R105" s="7">
        <f t="shared" si="13"/>
        <v>0</v>
      </c>
      <c r="S105" s="12">
        <f t="shared" si="14"/>
        <v>0</v>
      </c>
      <c r="T105" s="13"/>
    </row>
    <row r="106" spans="2:20" ht="20" customHeight="1" x14ac:dyDescent="0.35">
      <c r="B106" s="4" t="s">
        <v>32</v>
      </c>
      <c r="C106" s="5" t="s">
        <v>186</v>
      </c>
      <c r="D106" s="4" t="s">
        <v>196</v>
      </c>
      <c r="E106" s="5" t="s">
        <v>197</v>
      </c>
      <c r="F106" s="6">
        <v>0</v>
      </c>
      <c r="G106" s="7">
        <v>100</v>
      </c>
      <c r="H106" s="6">
        <f t="shared" ref="H106:H137" si="15">ABS(G106-F106)</f>
        <v>100</v>
      </c>
      <c r="I106" s="8">
        <f t="shared" ref="I106:I127" si="16">IF(F106&gt;0, G106/F106, IF(G106&gt;0, 1, 0))</f>
        <v>1</v>
      </c>
      <c r="J106" s="9" t="s">
        <v>44</v>
      </c>
      <c r="K106" s="10">
        <v>0</v>
      </c>
      <c r="L106" s="11">
        <v>0</v>
      </c>
      <c r="M106" s="10">
        <v>300</v>
      </c>
      <c r="N106" s="11">
        <v>300</v>
      </c>
      <c r="O106" s="10">
        <v>0</v>
      </c>
      <c r="P106" s="11">
        <v>0</v>
      </c>
      <c r="Q106" s="6">
        <f t="shared" ref="Q106:Q127" si="17">K106+M106+O106</f>
        <v>300</v>
      </c>
      <c r="R106" s="7">
        <f t="shared" ref="R106:R127" si="18">L106+N106+P106</f>
        <v>300</v>
      </c>
      <c r="S106" s="12">
        <f t="shared" ref="S106:S137" si="19">R106-Q106</f>
        <v>0</v>
      </c>
      <c r="T106" s="13"/>
    </row>
    <row r="107" spans="2:20" ht="20" customHeight="1" x14ac:dyDescent="0.35">
      <c r="B107" s="4" t="s">
        <v>32</v>
      </c>
      <c r="C107" s="5" t="s">
        <v>186</v>
      </c>
      <c r="D107" s="4" t="s">
        <v>198</v>
      </c>
      <c r="E107" s="5" t="s">
        <v>199</v>
      </c>
      <c r="F107" s="6">
        <v>300</v>
      </c>
      <c r="G107" s="7">
        <v>160</v>
      </c>
      <c r="H107" s="6">
        <f t="shared" si="15"/>
        <v>140</v>
      </c>
      <c r="I107" s="8">
        <f t="shared" si="16"/>
        <v>0.53333333333333333</v>
      </c>
      <c r="J107" s="9" t="s">
        <v>225</v>
      </c>
      <c r="K107" s="10">
        <v>300</v>
      </c>
      <c r="L107" s="11">
        <v>300</v>
      </c>
      <c r="M107" s="10">
        <v>300</v>
      </c>
      <c r="N107" s="11">
        <v>300</v>
      </c>
      <c r="O107" s="10">
        <v>300</v>
      </c>
      <c r="P107" s="11">
        <v>300</v>
      </c>
      <c r="Q107" s="6">
        <f t="shared" si="17"/>
        <v>900</v>
      </c>
      <c r="R107" s="7">
        <f t="shared" si="18"/>
        <v>900</v>
      </c>
      <c r="S107" s="12">
        <f t="shared" si="19"/>
        <v>0</v>
      </c>
      <c r="T107" s="13"/>
    </row>
    <row r="108" spans="2:20" ht="20" customHeight="1" x14ac:dyDescent="0.35">
      <c r="B108" s="4" t="s">
        <v>32</v>
      </c>
      <c r="C108" s="5" t="s">
        <v>186</v>
      </c>
      <c r="D108" s="4" t="s">
        <v>200</v>
      </c>
      <c r="E108" s="5" t="s">
        <v>201</v>
      </c>
      <c r="F108" s="6">
        <v>100</v>
      </c>
      <c r="G108" s="7">
        <v>120</v>
      </c>
      <c r="H108" s="6">
        <f t="shared" si="15"/>
        <v>20</v>
      </c>
      <c r="I108" s="8">
        <f t="shared" si="16"/>
        <v>1.2</v>
      </c>
      <c r="J108" s="9" t="s">
        <v>229</v>
      </c>
      <c r="K108" s="10">
        <v>100</v>
      </c>
      <c r="L108" s="11">
        <v>100</v>
      </c>
      <c r="M108" s="10">
        <v>0</v>
      </c>
      <c r="N108" s="11">
        <v>0</v>
      </c>
      <c r="O108" s="10">
        <v>0</v>
      </c>
      <c r="P108" s="11">
        <v>0</v>
      </c>
      <c r="Q108" s="6">
        <f t="shared" si="17"/>
        <v>100</v>
      </c>
      <c r="R108" s="7">
        <f t="shared" si="18"/>
        <v>100</v>
      </c>
      <c r="S108" s="12">
        <f t="shared" si="19"/>
        <v>0</v>
      </c>
      <c r="T108" s="13"/>
    </row>
    <row r="109" spans="2:20" ht="20" customHeight="1" x14ac:dyDescent="0.35">
      <c r="B109" s="4" t="s">
        <v>32</v>
      </c>
      <c r="C109" s="5" t="s">
        <v>186</v>
      </c>
      <c r="D109" s="4" t="s">
        <v>202</v>
      </c>
      <c r="E109" s="5" t="s">
        <v>203</v>
      </c>
      <c r="F109" s="6">
        <v>0</v>
      </c>
      <c r="G109" s="7">
        <v>0</v>
      </c>
      <c r="H109" s="6">
        <f t="shared" si="15"/>
        <v>0</v>
      </c>
      <c r="I109" s="8">
        <f t="shared" si="16"/>
        <v>0</v>
      </c>
      <c r="J109" s="9"/>
      <c r="K109" s="10">
        <v>0</v>
      </c>
      <c r="L109" s="11">
        <v>0</v>
      </c>
      <c r="M109" s="10">
        <v>0</v>
      </c>
      <c r="N109" s="11">
        <v>0</v>
      </c>
      <c r="O109" s="10">
        <v>3000</v>
      </c>
      <c r="P109" s="11">
        <v>3000</v>
      </c>
      <c r="Q109" s="6">
        <f t="shared" si="17"/>
        <v>3000</v>
      </c>
      <c r="R109" s="7">
        <f t="shared" si="18"/>
        <v>3000</v>
      </c>
      <c r="S109" s="12">
        <f t="shared" si="19"/>
        <v>0</v>
      </c>
      <c r="T109" s="13"/>
    </row>
    <row r="110" spans="2:20" ht="20" customHeight="1" x14ac:dyDescent="0.35">
      <c r="B110" s="4" t="s">
        <v>32</v>
      </c>
      <c r="C110" s="5" t="s">
        <v>186</v>
      </c>
      <c r="D110" s="4" t="s">
        <v>204</v>
      </c>
      <c r="E110" s="5" t="s">
        <v>205</v>
      </c>
      <c r="F110" s="6">
        <v>0</v>
      </c>
      <c r="G110" s="7">
        <v>60</v>
      </c>
      <c r="H110" s="6">
        <f t="shared" si="15"/>
        <v>60</v>
      </c>
      <c r="I110" s="8">
        <f t="shared" si="16"/>
        <v>1</v>
      </c>
      <c r="J110" s="9" t="s">
        <v>229</v>
      </c>
      <c r="K110" s="10">
        <v>200</v>
      </c>
      <c r="L110" s="11">
        <v>200</v>
      </c>
      <c r="M110" s="10">
        <v>0</v>
      </c>
      <c r="N110" s="11">
        <v>0</v>
      </c>
      <c r="O110" s="10">
        <v>0</v>
      </c>
      <c r="P110" s="11">
        <v>0</v>
      </c>
      <c r="Q110" s="6">
        <f t="shared" si="17"/>
        <v>200</v>
      </c>
      <c r="R110" s="7">
        <f t="shared" si="18"/>
        <v>200</v>
      </c>
      <c r="S110" s="12">
        <f t="shared" si="19"/>
        <v>0</v>
      </c>
      <c r="T110" s="13"/>
    </row>
    <row r="111" spans="2:20" ht="20" customHeight="1" x14ac:dyDescent="0.35">
      <c r="B111" s="4" t="s">
        <v>206</v>
      </c>
      <c r="C111" s="5" t="s">
        <v>207</v>
      </c>
      <c r="D111" s="4" t="s">
        <v>64</v>
      </c>
      <c r="E111" s="5" t="s">
        <v>208</v>
      </c>
      <c r="F111" s="6">
        <v>0</v>
      </c>
      <c r="G111" s="7">
        <v>0</v>
      </c>
      <c r="H111" s="6">
        <f t="shared" si="15"/>
        <v>0</v>
      </c>
      <c r="I111" s="8">
        <f t="shared" si="16"/>
        <v>0</v>
      </c>
      <c r="J111" s="9"/>
      <c r="K111" s="10">
        <v>2000</v>
      </c>
      <c r="L111" s="11">
        <v>2000</v>
      </c>
      <c r="M111" s="10">
        <v>0</v>
      </c>
      <c r="N111" s="11">
        <v>0</v>
      </c>
      <c r="O111" s="10">
        <v>1000</v>
      </c>
      <c r="P111" s="11">
        <v>1000</v>
      </c>
      <c r="Q111" s="6">
        <f t="shared" si="17"/>
        <v>3000</v>
      </c>
      <c r="R111" s="7">
        <f t="shared" si="18"/>
        <v>3000</v>
      </c>
      <c r="S111" s="12">
        <f t="shared" si="19"/>
        <v>0</v>
      </c>
      <c r="T111" s="13"/>
    </row>
    <row r="112" spans="2:20" ht="20" customHeight="1" x14ac:dyDescent="0.35">
      <c r="B112" s="4" t="s">
        <v>206</v>
      </c>
      <c r="C112" s="5" t="s">
        <v>207</v>
      </c>
      <c r="D112" s="4" t="s">
        <v>209</v>
      </c>
      <c r="E112" s="5" t="s">
        <v>210</v>
      </c>
      <c r="F112" s="6">
        <v>0</v>
      </c>
      <c r="G112" s="7">
        <v>0</v>
      </c>
      <c r="H112" s="6">
        <f t="shared" si="15"/>
        <v>0</v>
      </c>
      <c r="I112" s="8">
        <f t="shared" si="16"/>
        <v>0</v>
      </c>
      <c r="J112" s="9"/>
      <c r="K112" s="10">
        <v>600</v>
      </c>
      <c r="L112" s="11">
        <v>600</v>
      </c>
      <c r="M112" s="10">
        <v>0</v>
      </c>
      <c r="N112" s="11">
        <v>0</v>
      </c>
      <c r="O112" s="10">
        <v>0</v>
      </c>
      <c r="P112" s="11">
        <v>0</v>
      </c>
      <c r="Q112" s="6">
        <f t="shared" si="17"/>
        <v>600</v>
      </c>
      <c r="R112" s="7">
        <f t="shared" si="18"/>
        <v>600</v>
      </c>
      <c r="S112" s="12">
        <f t="shared" si="19"/>
        <v>0</v>
      </c>
      <c r="T112" s="13"/>
    </row>
    <row r="113" spans="2:20" ht="20" customHeight="1" x14ac:dyDescent="0.35">
      <c r="B113" s="4" t="s">
        <v>206</v>
      </c>
      <c r="C113" s="5" t="s">
        <v>207</v>
      </c>
      <c r="D113" s="4" t="s">
        <v>37</v>
      </c>
      <c r="E113" s="5" t="s">
        <v>146</v>
      </c>
      <c r="F113" s="6">
        <v>0</v>
      </c>
      <c r="G113" s="7">
        <v>0</v>
      </c>
      <c r="H113" s="6">
        <f t="shared" si="15"/>
        <v>0</v>
      </c>
      <c r="I113" s="8">
        <f t="shared" si="16"/>
        <v>0</v>
      </c>
      <c r="J113" s="9"/>
      <c r="K113" s="10">
        <v>5000</v>
      </c>
      <c r="L113" s="11">
        <v>5000</v>
      </c>
      <c r="M113" s="10">
        <v>0</v>
      </c>
      <c r="N113" s="11">
        <v>0</v>
      </c>
      <c r="O113" s="10">
        <v>5000</v>
      </c>
      <c r="P113" s="11">
        <v>5000</v>
      </c>
      <c r="Q113" s="6">
        <f t="shared" si="17"/>
        <v>10000</v>
      </c>
      <c r="R113" s="7">
        <f t="shared" si="18"/>
        <v>10000</v>
      </c>
      <c r="S113" s="12">
        <f t="shared" si="19"/>
        <v>0</v>
      </c>
      <c r="T113" s="13"/>
    </row>
    <row r="114" spans="2:20" ht="20" customHeight="1" x14ac:dyDescent="0.35">
      <c r="B114" s="4" t="s">
        <v>206</v>
      </c>
      <c r="C114" s="5" t="s">
        <v>207</v>
      </c>
      <c r="D114" s="4" t="s">
        <v>138</v>
      </c>
      <c r="E114" s="5" t="s">
        <v>146</v>
      </c>
      <c r="F114" s="6">
        <v>0</v>
      </c>
      <c r="G114" s="7">
        <v>0</v>
      </c>
      <c r="H114" s="6">
        <f t="shared" si="15"/>
        <v>0</v>
      </c>
      <c r="I114" s="8">
        <f t="shared" si="16"/>
        <v>0</v>
      </c>
      <c r="J114" s="9"/>
      <c r="K114" s="10">
        <v>5000</v>
      </c>
      <c r="L114" s="11">
        <v>5000</v>
      </c>
      <c r="M114" s="10">
        <v>0</v>
      </c>
      <c r="N114" s="11">
        <v>0</v>
      </c>
      <c r="O114" s="10">
        <v>5000</v>
      </c>
      <c r="P114" s="11">
        <v>5000</v>
      </c>
      <c r="Q114" s="6">
        <f t="shared" si="17"/>
        <v>10000</v>
      </c>
      <c r="R114" s="7">
        <f t="shared" si="18"/>
        <v>10000</v>
      </c>
      <c r="S114" s="12">
        <f t="shared" si="19"/>
        <v>0</v>
      </c>
      <c r="T114" s="13"/>
    </row>
    <row r="115" spans="2:20" ht="20" customHeight="1" x14ac:dyDescent="0.35">
      <c r="B115" s="4" t="s">
        <v>206</v>
      </c>
      <c r="C115" s="5" t="s">
        <v>207</v>
      </c>
      <c r="D115" s="4" t="s">
        <v>116</v>
      </c>
      <c r="E115" s="5" t="s">
        <v>152</v>
      </c>
      <c r="F115" s="6">
        <v>0</v>
      </c>
      <c r="G115" s="7">
        <v>0</v>
      </c>
      <c r="H115" s="6">
        <f t="shared" si="15"/>
        <v>0</v>
      </c>
      <c r="I115" s="8">
        <f t="shared" si="16"/>
        <v>0</v>
      </c>
      <c r="J115" s="9"/>
      <c r="K115" s="10">
        <v>3000</v>
      </c>
      <c r="L115" s="11">
        <v>3000</v>
      </c>
      <c r="M115" s="10">
        <v>0</v>
      </c>
      <c r="N115" s="11">
        <v>0</v>
      </c>
      <c r="O115" s="10">
        <v>0</v>
      </c>
      <c r="P115" s="11">
        <v>0</v>
      </c>
      <c r="Q115" s="6">
        <f t="shared" si="17"/>
        <v>3000</v>
      </c>
      <c r="R115" s="7">
        <f t="shared" si="18"/>
        <v>3000</v>
      </c>
      <c r="S115" s="12">
        <f t="shared" si="19"/>
        <v>0</v>
      </c>
      <c r="T115" s="13"/>
    </row>
    <row r="116" spans="2:20" ht="20" customHeight="1" x14ac:dyDescent="0.35">
      <c r="B116" s="4" t="s">
        <v>206</v>
      </c>
      <c r="C116" s="5" t="s">
        <v>207</v>
      </c>
      <c r="D116" s="4" t="s">
        <v>55</v>
      </c>
      <c r="E116" s="5" t="s">
        <v>211</v>
      </c>
      <c r="F116" s="6">
        <v>0</v>
      </c>
      <c r="G116" s="7">
        <v>0</v>
      </c>
      <c r="H116" s="6">
        <f t="shared" si="15"/>
        <v>0</v>
      </c>
      <c r="I116" s="8">
        <f t="shared" si="16"/>
        <v>0</v>
      </c>
      <c r="J116" s="9"/>
      <c r="K116" s="10">
        <v>5000</v>
      </c>
      <c r="L116" s="11">
        <v>5000</v>
      </c>
      <c r="M116" s="10">
        <v>0</v>
      </c>
      <c r="N116" s="11">
        <v>0</v>
      </c>
      <c r="O116" s="10">
        <v>5000</v>
      </c>
      <c r="P116" s="11">
        <v>5000</v>
      </c>
      <c r="Q116" s="6">
        <f t="shared" si="17"/>
        <v>10000</v>
      </c>
      <c r="R116" s="7">
        <f t="shared" si="18"/>
        <v>10000</v>
      </c>
      <c r="S116" s="12">
        <f t="shared" si="19"/>
        <v>0</v>
      </c>
      <c r="T116" s="13"/>
    </row>
    <row r="117" spans="2:20" ht="20" customHeight="1" x14ac:dyDescent="0.35">
      <c r="B117" s="4" t="s">
        <v>206</v>
      </c>
      <c r="C117" s="5" t="s">
        <v>207</v>
      </c>
      <c r="D117" s="4" t="s">
        <v>133</v>
      </c>
      <c r="E117" s="5" t="s">
        <v>134</v>
      </c>
      <c r="F117" s="6">
        <v>0</v>
      </c>
      <c r="G117" s="7">
        <v>0</v>
      </c>
      <c r="H117" s="6">
        <f t="shared" si="15"/>
        <v>0</v>
      </c>
      <c r="I117" s="8">
        <f t="shared" si="16"/>
        <v>0</v>
      </c>
      <c r="J117" s="9"/>
      <c r="K117" s="10">
        <v>0</v>
      </c>
      <c r="L117" s="11">
        <v>0</v>
      </c>
      <c r="M117" s="10">
        <v>0</v>
      </c>
      <c r="N117" s="11">
        <v>0</v>
      </c>
      <c r="O117" s="10">
        <v>1000</v>
      </c>
      <c r="P117" s="11">
        <v>1000</v>
      </c>
      <c r="Q117" s="6">
        <f t="shared" si="17"/>
        <v>1000</v>
      </c>
      <c r="R117" s="7">
        <f t="shared" si="18"/>
        <v>1000</v>
      </c>
      <c r="S117" s="12">
        <f t="shared" si="19"/>
        <v>0</v>
      </c>
      <c r="T117" s="13"/>
    </row>
    <row r="118" spans="2:20" ht="20" customHeight="1" x14ac:dyDescent="0.35">
      <c r="B118" s="4" t="s">
        <v>206</v>
      </c>
      <c r="C118" s="5" t="s">
        <v>207</v>
      </c>
      <c r="D118" s="4" t="s">
        <v>212</v>
      </c>
      <c r="E118" s="5" t="s">
        <v>213</v>
      </c>
      <c r="F118" s="6">
        <v>0</v>
      </c>
      <c r="G118" s="7">
        <v>0</v>
      </c>
      <c r="H118" s="6">
        <f t="shared" si="15"/>
        <v>0</v>
      </c>
      <c r="I118" s="8">
        <f t="shared" si="16"/>
        <v>0</v>
      </c>
      <c r="J118" s="9"/>
      <c r="K118" s="10">
        <v>0</v>
      </c>
      <c r="L118" s="11">
        <v>0</v>
      </c>
      <c r="M118" s="10">
        <v>1000</v>
      </c>
      <c r="N118" s="11">
        <v>1000</v>
      </c>
      <c r="O118" s="10">
        <v>0</v>
      </c>
      <c r="P118" s="11">
        <v>0</v>
      </c>
      <c r="Q118" s="6">
        <f t="shared" si="17"/>
        <v>1000</v>
      </c>
      <c r="R118" s="7">
        <f t="shared" si="18"/>
        <v>1000</v>
      </c>
      <c r="S118" s="12">
        <f t="shared" si="19"/>
        <v>0</v>
      </c>
      <c r="T118" s="13"/>
    </row>
    <row r="119" spans="2:20" ht="20" customHeight="1" x14ac:dyDescent="0.35">
      <c r="B119" s="4" t="s">
        <v>206</v>
      </c>
      <c r="C119" s="5" t="s">
        <v>207</v>
      </c>
      <c r="D119" s="4" t="s">
        <v>198</v>
      </c>
      <c r="E119" s="5" t="s">
        <v>214</v>
      </c>
      <c r="F119" s="6">
        <v>0</v>
      </c>
      <c r="G119" s="7">
        <v>0</v>
      </c>
      <c r="H119" s="6">
        <f t="shared" si="15"/>
        <v>0</v>
      </c>
      <c r="I119" s="8">
        <f t="shared" si="16"/>
        <v>0</v>
      </c>
      <c r="J119" s="9"/>
      <c r="K119" s="10">
        <v>0</v>
      </c>
      <c r="L119" s="11">
        <v>0</v>
      </c>
      <c r="M119" s="10">
        <v>0</v>
      </c>
      <c r="N119" s="11">
        <v>0</v>
      </c>
      <c r="O119" s="10">
        <v>2000</v>
      </c>
      <c r="P119" s="11">
        <v>2000</v>
      </c>
      <c r="Q119" s="6">
        <f t="shared" si="17"/>
        <v>2000</v>
      </c>
      <c r="R119" s="7">
        <f t="shared" si="18"/>
        <v>2000</v>
      </c>
      <c r="S119" s="12">
        <f t="shared" si="19"/>
        <v>0</v>
      </c>
      <c r="T119" s="13"/>
    </row>
    <row r="120" spans="2:20" ht="20" customHeight="1" x14ac:dyDescent="0.35">
      <c r="B120" s="4" t="s">
        <v>206</v>
      </c>
      <c r="C120" s="5" t="s">
        <v>207</v>
      </c>
      <c r="D120" s="4" t="s">
        <v>200</v>
      </c>
      <c r="E120" s="5" t="s">
        <v>215</v>
      </c>
      <c r="F120" s="6">
        <v>0</v>
      </c>
      <c r="G120" s="7">
        <v>0</v>
      </c>
      <c r="H120" s="6">
        <f t="shared" si="15"/>
        <v>0</v>
      </c>
      <c r="I120" s="8">
        <f t="shared" si="16"/>
        <v>0</v>
      </c>
      <c r="J120" s="9"/>
      <c r="K120" s="10">
        <v>0</v>
      </c>
      <c r="L120" s="11">
        <v>0</v>
      </c>
      <c r="M120" s="10">
        <v>0</v>
      </c>
      <c r="N120" s="11">
        <v>0</v>
      </c>
      <c r="O120" s="10">
        <v>1000</v>
      </c>
      <c r="P120" s="11">
        <v>1000</v>
      </c>
      <c r="Q120" s="6">
        <f t="shared" si="17"/>
        <v>1000</v>
      </c>
      <c r="R120" s="7">
        <f t="shared" si="18"/>
        <v>1000</v>
      </c>
      <c r="S120" s="12">
        <f t="shared" si="19"/>
        <v>0</v>
      </c>
      <c r="T120" s="13"/>
    </row>
    <row r="121" spans="2:20" ht="20" customHeight="1" x14ac:dyDescent="0.35">
      <c r="B121" s="4" t="s">
        <v>206</v>
      </c>
      <c r="C121" s="5" t="s">
        <v>207</v>
      </c>
      <c r="D121" s="4" t="s">
        <v>216</v>
      </c>
      <c r="E121" s="5" t="s">
        <v>217</v>
      </c>
      <c r="F121" s="6">
        <v>0</v>
      </c>
      <c r="G121" s="7">
        <v>0</v>
      </c>
      <c r="H121" s="6">
        <f t="shared" si="15"/>
        <v>0</v>
      </c>
      <c r="I121" s="8">
        <f t="shared" si="16"/>
        <v>0</v>
      </c>
      <c r="J121" s="9"/>
      <c r="K121" s="10">
        <v>1600</v>
      </c>
      <c r="L121" s="11">
        <v>1600</v>
      </c>
      <c r="M121" s="10">
        <v>0</v>
      </c>
      <c r="N121" s="11">
        <v>0</v>
      </c>
      <c r="O121" s="10">
        <v>0</v>
      </c>
      <c r="P121" s="11">
        <v>0</v>
      </c>
      <c r="Q121" s="6">
        <f t="shared" si="17"/>
        <v>1600</v>
      </c>
      <c r="R121" s="7">
        <f t="shared" si="18"/>
        <v>1600</v>
      </c>
      <c r="S121" s="12">
        <f t="shared" si="19"/>
        <v>0</v>
      </c>
      <c r="T121" s="13"/>
    </row>
    <row r="122" spans="2:20" ht="20" customHeight="1" x14ac:dyDescent="0.35">
      <c r="B122" s="4" t="s">
        <v>206</v>
      </c>
      <c r="C122" s="5" t="s">
        <v>207</v>
      </c>
      <c r="D122" s="4" t="s">
        <v>218</v>
      </c>
      <c r="E122" s="5" t="s">
        <v>219</v>
      </c>
      <c r="F122" s="6">
        <v>0</v>
      </c>
      <c r="G122" s="7">
        <v>0</v>
      </c>
      <c r="H122" s="6">
        <f t="shared" si="15"/>
        <v>0</v>
      </c>
      <c r="I122" s="8">
        <f t="shared" si="16"/>
        <v>0</v>
      </c>
      <c r="J122" s="9"/>
      <c r="K122" s="10">
        <v>600</v>
      </c>
      <c r="L122" s="11">
        <v>600</v>
      </c>
      <c r="M122" s="10">
        <v>0</v>
      </c>
      <c r="N122" s="11">
        <v>0</v>
      </c>
      <c r="O122" s="10">
        <v>0</v>
      </c>
      <c r="P122" s="11">
        <v>0</v>
      </c>
      <c r="Q122" s="6">
        <f t="shared" si="17"/>
        <v>600</v>
      </c>
      <c r="R122" s="7">
        <f t="shared" si="18"/>
        <v>600</v>
      </c>
      <c r="S122" s="12">
        <f t="shared" si="19"/>
        <v>0</v>
      </c>
      <c r="T122" s="13"/>
    </row>
    <row r="123" spans="2:20" ht="20" customHeight="1" x14ac:dyDescent="0.35">
      <c r="B123" s="4" t="s">
        <v>206</v>
      </c>
      <c r="C123" s="5" t="s">
        <v>207</v>
      </c>
      <c r="D123" s="4" t="s">
        <v>49</v>
      </c>
      <c r="E123" s="5" t="s">
        <v>179</v>
      </c>
      <c r="F123" s="6">
        <v>0</v>
      </c>
      <c r="G123" s="7">
        <v>0</v>
      </c>
      <c r="H123" s="6">
        <f t="shared" si="15"/>
        <v>0</v>
      </c>
      <c r="I123" s="8">
        <f t="shared" si="16"/>
        <v>0</v>
      </c>
      <c r="J123" s="9"/>
      <c r="K123" s="10">
        <v>5000</v>
      </c>
      <c r="L123" s="11">
        <v>5000</v>
      </c>
      <c r="M123" s="10">
        <v>0</v>
      </c>
      <c r="N123" s="11">
        <v>0</v>
      </c>
      <c r="O123" s="10">
        <v>0</v>
      </c>
      <c r="P123" s="11">
        <v>0</v>
      </c>
      <c r="Q123" s="6">
        <f t="shared" si="17"/>
        <v>5000</v>
      </c>
      <c r="R123" s="7">
        <f t="shared" si="18"/>
        <v>5000</v>
      </c>
      <c r="S123" s="12">
        <f t="shared" si="19"/>
        <v>0</v>
      </c>
      <c r="T123" s="13"/>
    </row>
    <row r="124" spans="2:20" ht="20" customHeight="1" x14ac:dyDescent="0.35">
      <c r="B124" s="4" t="s">
        <v>206</v>
      </c>
      <c r="C124" s="5" t="s">
        <v>207</v>
      </c>
      <c r="D124" s="4" t="s">
        <v>184</v>
      </c>
      <c r="E124" s="5" t="s">
        <v>185</v>
      </c>
      <c r="F124" s="6">
        <v>0</v>
      </c>
      <c r="G124" s="7">
        <v>0</v>
      </c>
      <c r="H124" s="6">
        <f t="shared" si="15"/>
        <v>0</v>
      </c>
      <c r="I124" s="8">
        <f t="shared" si="16"/>
        <v>0</v>
      </c>
      <c r="J124" s="9"/>
      <c r="K124" s="10">
        <v>2000</v>
      </c>
      <c r="L124" s="11">
        <v>2000</v>
      </c>
      <c r="M124" s="10">
        <v>0</v>
      </c>
      <c r="N124" s="11">
        <v>0</v>
      </c>
      <c r="O124" s="10">
        <v>2000</v>
      </c>
      <c r="P124" s="11">
        <v>2000</v>
      </c>
      <c r="Q124" s="6">
        <f t="shared" si="17"/>
        <v>4000</v>
      </c>
      <c r="R124" s="7">
        <f t="shared" si="18"/>
        <v>4000</v>
      </c>
      <c r="S124" s="12">
        <f t="shared" si="19"/>
        <v>0</v>
      </c>
      <c r="T124" s="13"/>
    </row>
    <row r="125" spans="2:20" ht="20" customHeight="1" x14ac:dyDescent="0.35">
      <c r="B125" s="4" t="s">
        <v>32</v>
      </c>
      <c r="C125" s="5" t="s">
        <v>220</v>
      </c>
      <c r="D125" s="4" t="s">
        <v>39</v>
      </c>
      <c r="E125" s="5" t="s">
        <v>40</v>
      </c>
      <c r="F125" s="6">
        <v>0</v>
      </c>
      <c r="G125" s="7">
        <v>0</v>
      </c>
      <c r="H125" s="6">
        <f t="shared" si="15"/>
        <v>0</v>
      </c>
      <c r="I125" s="8">
        <f t="shared" si="16"/>
        <v>0</v>
      </c>
      <c r="J125" s="9"/>
      <c r="K125" s="10">
        <v>0</v>
      </c>
      <c r="L125" s="11">
        <v>0</v>
      </c>
      <c r="M125" s="10">
        <v>0</v>
      </c>
      <c r="N125" s="11">
        <v>0</v>
      </c>
      <c r="O125" s="10">
        <v>1000</v>
      </c>
      <c r="P125" s="11">
        <v>1000</v>
      </c>
      <c r="Q125" s="6">
        <f t="shared" si="17"/>
        <v>1000</v>
      </c>
      <c r="R125" s="7">
        <f t="shared" si="18"/>
        <v>1000</v>
      </c>
      <c r="S125" s="12">
        <f t="shared" si="19"/>
        <v>0</v>
      </c>
      <c r="T125" s="13"/>
    </row>
    <row r="126" spans="2:20" ht="20" customHeight="1" x14ac:dyDescent="0.35">
      <c r="B126" s="4" t="s">
        <v>32</v>
      </c>
      <c r="C126" s="5" t="s">
        <v>220</v>
      </c>
      <c r="D126" s="4" t="s">
        <v>221</v>
      </c>
      <c r="E126" s="5" t="s">
        <v>222</v>
      </c>
      <c r="F126" s="6">
        <v>1100</v>
      </c>
      <c r="G126" s="7">
        <v>1100</v>
      </c>
      <c r="H126" s="6">
        <f t="shared" si="15"/>
        <v>0</v>
      </c>
      <c r="I126" s="8">
        <f t="shared" si="16"/>
        <v>1</v>
      </c>
      <c r="J126" s="9"/>
      <c r="K126" s="10">
        <v>1100</v>
      </c>
      <c r="L126" s="11">
        <v>1100</v>
      </c>
      <c r="M126" s="10">
        <v>0</v>
      </c>
      <c r="N126" s="11">
        <v>0</v>
      </c>
      <c r="O126" s="10">
        <v>0</v>
      </c>
      <c r="P126" s="11">
        <v>0</v>
      </c>
      <c r="Q126" s="6">
        <f t="shared" si="17"/>
        <v>1100</v>
      </c>
      <c r="R126" s="7">
        <f t="shared" si="18"/>
        <v>1100</v>
      </c>
      <c r="S126" s="12">
        <f t="shared" si="19"/>
        <v>0</v>
      </c>
      <c r="T126" s="13"/>
    </row>
    <row r="127" spans="2:20" ht="20" customHeight="1" x14ac:dyDescent="0.35">
      <c r="B127" s="4" t="s">
        <v>32</v>
      </c>
      <c r="C127" s="5" t="s">
        <v>223</v>
      </c>
      <c r="D127" s="4" t="s">
        <v>37</v>
      </c>
      <c r="E127" s="5" t="s">
        <v>38</v>
      </c>
      <c r="F127" s="6">
        <v>0</v>
      </c>
      <c r="G127" s="7">
        <v>0</v>
      </c>
      <c r="H127" s="6">
        <f t="shared" si="15"/>
        <v>0</v>
      </c>
      <c r="I127" s="8">
        <f t="shared" si="16"/>
        <v>0</v>
      </c>
      <c r="J127" s="9"/>
      <c r="K127" s="10">
        <v>0</v>
      </c>
      <c r="L127" s="11">
        <v>0</v>
      </c>
      <c r="M127" s="10">
        <v>640</v>
      </c>
      <c r="N127" s="11">
        <v>640</v>
      </c>
      <c r="O127" s="10">
        <v>0</v>
      </c>
      <c r="P127" s="11">
        <v>0</v>
      </c>
      <c r="Q127" s="6">
        <f t="shared" si="17"/>
        <v>640</v>
      </c>
      <c r="R127" s="7">
        <f t="shared" si="18"/>
        <v>640</v>
      </c>
      <c r="S127" s="12">
        <f t="shared" si="19"/>
        <v>0</v>
      </c>
      <c r="T127" s="13"/>
    </row>
    <row r="128" spans="2:20" ht="25" customHeight="1" x14ac:dyDescent="0.35">
      <c r="B128" s="34" t="s">
        <v>224</v>
      </c>
      <c r="C128" s="35"/>
      <c r="D128" s="35"/>
      <c r="E128" s="35"/>
      <c r="F128" s="14">
        <f>SUM(F10:F127)</f>
        <v>37832</v>
      </c>
      <c r="G128" s="14">
        <f>SUM(G10:G127)</f>
        <v>57312</v>
      </c>
      <c r="H128" s="14">
        <f>SUM(H10:H127)</f>
        <v>42040</v>
      </c>
      <c r="I128" s="15">
        <f>IF(F128&gt;0, G128/F128, 1)</f>
        <v>1.5149080143793614</v>
      </c>
      <c r="J128" s="16"/>
      <c r="K128" s="14">
        <f t="shared" ref="K128:S128" si="20">SUM(K10:K127)</f>
        <v>87027</v>
      </c>
      <c r="L128" s="14">
        <f t="shared" si="20"/>
        <v>88027</v>
      </c>
      <c r="M128" s="14">
        <f t="shared" si="20"/>
        <v>110102</v>
      </c>
      <c r="N128" s="14">
        <f t="shared" si="20"/>
        <v>101102</v>
      </c>
      <c r="O128" s="14">
        <f t="shared" si="20"/>
        <v>104127</v>
      </c>
      <c r="P128" s="14">
        <f t="shared" si="20"/>
        <v>104127</v>
      </c>
      <c r="Q128" s="14">
        <f t="shared" si="20"/>
        <v>301256</v>
      </c>
      <c r="R128" s="14">
        <f t="shared" si="20"/>
        <v>293256</v>
      </c>
      <c r="S128" s="17">
        <f t="shared" si="20"/>
        <v>-8000</v>
      </c>
      <c r="T128" s="16"/>
    </row>
  </sheetData>
  <mergeCells count="20">
    <mergeCell ref="B2:T2"/>
    <mergeCell ref="B8:E8"/>
    <mergeCell ref="E5:G5"/>
    <mergeCell ref="K5:M5"/>
    <mergeCell ref="B128:E128"/>
    <mergeCell ref="H6:J6"/>
    <mergeCell ref="B3:T3"/>
    <mergeCell ref="B5:D5"/>
    <mergeCell ref="Q8:T8"/>
    <mergeCell ref="K6:M6"/>
    <mergeCell ref="H5:J5"/>
    <mergeCell ref="Q5:T5"/>
    <mergeCell ref="N5:P5"/>
    <mergeCell ref="E6:G6"/>
    <mergeCell ref="K8:P8"/>
    <mergeCell ref="B4:T4"/>
    <mergeCell ref="Q6:T6"/>
    <mergeCell ref="B6:D6"/>
    <mergeCell ref="F8:J8"/>
    <mergeCell ref="N6:P6"/>
  </mergeCells>
  <dataValidations count="1">
    <dataValidation type="list" allowBlank="1" errorTitle="Motivo de Desviación" error="Por favor seleccione un motivo de la lista o escriba su comentario" sqref="J10:J43 J10:J127" xr:uid="{00000000-0002-0000-0000-000000000000}">
      <formula1>"Adelanto de pedidos,Atraso de pedidos,Pedido extra no previsto,Campaña habitual,Cancelado / Sin siembra,Otro motivo"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Previsiones_García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Garcia</cp:lastModifiedBy>
  <dcterms:created xsi:type="dcterms:W3CDTF">2026-10-01T12:16:56Z</dcterms:created>
  <dcterms:modified xsi:type="dcterms:W3CDTF">2026-10-02T08:58:02Z</dcterms:modified>
</cp:coreProperties>
</file>