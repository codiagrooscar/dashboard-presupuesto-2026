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Fabricación'!$A$8:$Q$331</definedName>
    <definedName name="_xlnm._FilterDatabase" localSheetId="1" hidden="1">'Plan Graneles por Mes'!$A$5:$M$95</definedName>
    <definedName name="_xlnm._FilterDatabase" localSheetId="3" hidden="1">'SlowMovers &amp; NoMovers'!$A$8:$O$127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27/10/2026 07:38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1.239.852 L</t>
        </is>
      </c>
      <c r="B5" s="4" t="n"/>
      <c r="C5" s="5" t="inlineStr">
        <is>
          <t>1.239.852 u</t>
        </is>
      </c>
      <c r="D5" s="4" t="n"/>
      <c r="E5" s="5" t="inlineStr">
        <is>
          <t>163 Artículos</t>
        </is>
      </c>
      <c r="F5" s="4" t="n"/>
      <c r="G5" s="6" t="inlineStr">
        <is>
          <t>91 Artículos</t>
        </is>
      </c>
      <c r="H5" s="4" t="n"/>
      <c r="I5" s="7" t="inlineStr">
        <is>
          <t>235.549 u</t>
        </is>
      </c>
      <c r="J5" s="4" t="n"/>
      <c r="K5" s="4" t="n"/>
      <c r="L5" s="4" t="n"/>
      <c r="M5" s="8" t="inlineStr">
        <is>
          <t>227.902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165046.6484</v>
      </c>
      <c r="P10" s="34" t="n">
        <v>165046.65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17500</v>
      </c>
      <c r="I12" s="33" t="n">
        <v>2560</v>
      </c>
      <c r="J12" s="33" t="n">
        <v>16328.7632</v>
      </c>
      <c r="K12" s="33" t="n">
        <v>18069.5969</v>
      </c>
      <c r="L12" s="33" t="n">
        <v>14563.4983</v>
      </c>
      <c r="M12" s="34" t="n">
        <v>51521.8584</v>
      </c>
      <c r="N12" s="34" t="n">
        <v>51521.86</v>
      </c>
      <c r="O12" s="34" t="n">
        <v>34021.8584</v>
      </c>
      <c r="P12" s="34" t="n">
        <v>34021.86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5000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32660.2835</v>
      </c>
      <c r="P13" s="25" t="n">
        <v>32660.28</v>
      </c>
      <c r="Q13" s="26" t="inlineStr">
        <is>
          <t>FABRICACIÓN URGENTE</t>
        </is>
      </c>
    </row>
    <row r="14" ht="19" customHeight="1">
      <c r="A14" s="27" t="inlineStr">
        <is>
          <t>AN0020</t>
        </is>
      </c>
      <c r="B14" s="31" t="inlineStr">
        <is>
          <t>AN0020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24800</v>
      </c>
      <c r="I14" s="33" t="n">
        <v>26400</v>
      </c>
      <c r="J14" s="33" t="n">
        <v>10546.0258</v>
      </c>
      <c r="K14" s="33" t="n">
        <v>17818.0481</v>
      </c>
      <c r="L14" s="33" t="n">
        <v>954.6989</v>
      </c>
      <c r="M14" s="34" t="n">
        <v>55718.7728</v>
      </c>
      <c r="N14" s="34" t="n">
        <v>55718.77</v>
      </c>
      <c r="O14" s="34" t="n">
        <v>30918.7728</v>
      </c>
      <c r="P14" s="34" t="n">
        <v>30918.77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8436.820599999999</v>
      </c>
      <c r="K15" s="24" t="n">
        <v>17608.4239</v>
      </c>
      <c r="L15" s="24" t="n">
        <v>0</v>
      </c>
      <c r="M15" s="25" t="n">
        <v>26045.2445</v>
      </c>
      <c r="N15" s="25" t="n">
        <v>26045.24</v>
      </c>
      <c r="O15" s="25" t="n">
        <v>26045.2445</v>
      </c>
      <c r="P15" s="25" t="n">
        <v>26045.24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19" t="inlineStr">
        <is>
          <t>AN0020CR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9667.1903</v>
      </c>
      <c r="K17" s="24" t="n">
        <v>16141.0553</v>
      </c>
      <c r="L17" s="24" t="n">
        <v>0</v>
      </c>
      <c r="M17" s="25" t="n">
        <v>25808.2456</v>
      </c>
      <c r="N17" s="25" t="n">
        <v>25808.25</v>
      </c>
      <c r="O17" s="25" t="n">
        <v>25808.2456</v>
      </c>
      <c r="P17" s="25" t="n">
        <v>25808.25</v>
      </c>
      <c r="Q17" s="26" t="inlineStr">
        <is>
          <t>SOBRE PEDIDO (EXP)</t>
        </is>
      </c>
    </row>
    <row r="18" ht="19" customHeight="1">
      <c r="A18" s="27" t="inlineStr">
        <is>
          <t>SPCE2B0001</t>
        </is>
      </c>
      <c r="B18" s="28" t="inlineStr">
        <is>
          <t>SPCE2B0001EG</t>
        </is>
      </c>
      <c r="C18" s="29" t="inlineStr">
        <is>
          <t>SPRINTENE CON BORO, 1 L</t>
        </is>
      </c>
      <c r="D18" s="30" t="n">
        <v>1</v>
      </c>
      <c r="E18" s="29" t="inlineStr">
        <is>
          <t>Botellas 1L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10296</v>
      </c>
      <c r="J18" s="33" t="n">
        <v>4394.1774</v>
      </c>
      <c r="K18" s="33" t="n">
        <v>10481.2047</v>
      </c>
      <c r="L18" s="33" t="n">
        <v>0</v>
      </c>
      <c r="M18" s="34" t="n">
        <v>25171.3821</v>
      </c>
      <c r="N18" s="34" t="n">
        <v>25171.38</v>
      </c>
      <c r="O18" s="34" t="n">
        <v>25171.3821</v>
      </c>
      <c r="P18" s="34" t="n">
        <v>25171.38</v>
      </c>
      <c r="Q18" s="26" t="inlineStr">
        <is>
          <t>SOBRE PEDIDO (EXP)</t>
        </is>
      </c>
    </row>
    <row r="19" ht="19" customHeight="1">
      <c r="A19" s="18" t="inlineStr">
        <is>
          <t>SSEG0005</t>
        </is>
      </c>
      <c r="B19" s="22" t="inlineStr">
        <is>
          <t>SSEG0005</t>
        </is>
      </c>
      <c r="C19" s="20" t="inlineStr">
        <is>
          <t>SALWAX CALCIO EGIPTO, 5 KG</t>
        </is>
      </c>
      <c r="D19" s="21" t="n">
        <v>5</v>
      </c>
      <c r="E19" s="20" t="inlineStr">
        <is>
          <t>Bolsas 5 Kg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0</v>
      </c>
      <c r="I19" s="24" t="n">
        <v>21000</v>
      </c>
      <c r="J19" s="24" t="n">
        <v>0</v>
      </c>
      <c r="K19" s="24" t="n">
        <v>0</v>
      </c>
      <c r="L19" s="24" t="n">
        <v>0</v>
      </c>
      <c r="M19" s="25" t="n">
        <v>21000</v>
      </c>
      <c r="N19" s="25" t="n">
        <v>21000</v>
      </c>
      <c r="O19" s="25" t="n">
        <v>21000</v>
      </c>
      <c r="P19" s="25" t="n">
        <v>21000</v>
      </c>
      <c r="Q19" s="26" t="inlineStr">
        <is>
          <t>FABRICACIÓN URGENTE</t>
        </is>
      </c>
    </row>
    <row r="20" ht="19" customHeight="1">
      <c r="A20" s="27" t="inlineStr">
        <is>
          <t>AN1000</t>
        </is>
      </c>
      <c r="B20" s="28" t="inlineStr">
        <is>
          <t>AN1000EG</t>
        </is>
      </c>
      <c r="C20" s="29" t="inlineStr">
        <is>
          <t>ALCAPLANT-NEW</t>
        </is>
      </c>
      <c r="D20" s="30" t="n">
        <v>1000</v>
      </c>
      <c r="E20" s="29" t="inlineStr">
        <is>
          <t>Big Bag 1000 Kg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0</v>
      </c>
      <c r="K20" s="33" t="n">
        <v>20962.4094</v>
      </c>
      <c r="L20" s="33" t="n">
        <v>0</v>
      </c>
      <c r="M20" s="34" t="n">
        <v>20962.4094</v>
      </c>
      <c r="N20" s="34" t="n">
        <v>20962.41</v>
      </c>
      <c r="O20" s="34" t="n">
        <v>20962.4094</v>
      </c>
      <c r="P20" s="34" t="n">
        <v>20962.41</v>
      </c>
      <c r="Q20" s="26" t="inlineStr">
        <is>
          <t>SOBRE PEDIDO (EXP)</t>
        </is>
      </c>
    </row>
    <row r="21" ht="19" customHeight="1">
      <c r="A21" s="18" t="inlineStr">
        <is>
          <t>AGXK0005</t>
        </is>
      </c>
      <c r="B21" s="19" t="inlineStr">
        <is>
          <t>AGXK0005EG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EGIPTO</t>
        </is>
      </c>
      <c r="G21" s="23" t="inlineStr">
        <is>
          <t>Sobre Pedido (Export)</t>
        </is>
      </c>
      <c r="H21" s="24" t="n">
        <v>0</v>
      </c>
      <c r="I21" s="24" t="n">
        <v>16800</v>
      </c>
      <c r="J21" s="24" t="n">
        <v>0</v>
      </c>
      <c r="K21" s="24" t="n">
        <v>0</v>
      </c>
      <c r="L21" s="24" t="n">
        <v>0</v>
      </c>
      <c r="M21" s="25" t="n">
        <v>16800</v>
      </c>
      <c r="N21" s="25" t="n">
        <v>16800</v>
      </c>
      <c r="O21" s="25" t="n">
        <v>16800</v>
      </c>
      <c r="P21" s="25" t="n">
        <v>16800</v>
      </c>
      <c r="Q21" s="26" t="inlineStr">
        <is>
          <t>SOBRE PEDIDO (EXP)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AGXK0020</t>
        </is>
      </c>
      <c r="B24" s="28" t="inlineStr">
        <is>
          <t>AGXK0020MA</t>
        </is>
      </c>
      <c r="C24" s="29" t="inlineStr">
        <is>
          <t>AGROXILATO-K, 20 L</t>
        </is>
      </c>
      <c r="D24" s="30" t="n">
        <v>20</v>
      </c>
      <c r="E24" s="29" t="inlineStr">
        <is>
          <t>Garrafas 20L</t>
        </is>
      </c>
      <c r="F24" s="31" t="inlineStr">
        <is>
          <t>MARRUECOS</t>
        </is>
      </c>
      <c r="G24" s="32" t="inlineStr">
        <is>
          <t>Sobre Pedido (Export)</t>
        </is>
      </c>
      <c r="H24" s="33" t="n">
        <v>0</v>
      </c>
      <c r="I24" s="33" t="n">
        <v>7000</v>
      </c>
      <c r="J24" s="33" t="n">
        <v>4394.1774</v>
      </c>
      <c r="K24" s="33" t="n">
        <v>0</v>
      </c>
      <c r="L24" s="33" t="n">
        <v>4339.5406</v>
      </c>
      <c r="M24" s="34" t="n">
        <v>15733.718</v>
      </c>
      <c r="N24" s="34" t="n">
        <v>15733.72</v>
      </c>
      <c r="O24" s="34" t="n">
        <v>15733.718</v>
      </c>
      <c r="P24" s="34" t="n">
        <v>15733.72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BIO0020</t>
        </is>
      </c>
      <c r="B30" s="31" t="inlineStr">
        <is>
          <t>BIO0020</t>
        </is>
      </c>
      <c r="C30" s="29" t="inlineStr">
        <is>
          <t>BIORAD-20, 20 L</t>
        </is>
      </c>
      <c r="D30" s="30" t="n">
        <v>20</v>
      </c>
      <c r="E30" s="29" t="inlineStr">
        <is>
          <t>Garrafas 20L</t>
        </is>
      </c>
      <c r="F30" s="31" t="inlineStr">
        <is>
          <t>ESPAÑA</t>
        </is>
      </c>
      <c r="G30" s="31" t="inlineStr">
        <is>
          <t>Para Previsión (Nac)</t>
        </is>
      </c>
      <c r="H30" s="33" t="n">
        <v>9800</v>
      </c>
      <c r="I30" s="33" t="n">
        <v>7040</v>
      </c>
      <c r="J30" s="33" t="n">
        <v>4148.1034</v>
      </c>
      <c r="K30" s="33" t="n">
        <v>5785.625</v>
      </c>
      <c r="L30" s="33" t="n">
        <v>2464.8591</v>
      </c>
      <c r="M30" s="34" t="n">
        <v>19438.5875</v>
      </c>
      <c r="N30" s="34" t="n">
        <v>19438.59</v>
      </c>
      <c r="O30" s="34" t="n">
        <v>9638.587500000001</v>
      </c>
      <c r="P30" s="34" t="n">
        <v>9638.59</v>
      </c>
      <c r="Q30" s="26" t="inlineStr">
        <is>
          <t>FABRICACIÓN URGENTE</t>
        </is>
      </c>
    </row>
    <row r="31" ht="19" customHeight="1">
      <c r="A31" s="18" t="inlineStr">
        <is>
          <t>AN0005</t>
        </is>
      </c>
      <c r="B31" s="19" t="inlineStr">
        <is>
          <t>AN0005CO</t>
        </is>
      </c>
      <c r="C31" s="20" t="inlineStr">
        <is>
          <t>ALCAPLANT NEW, 5 KG</t>
        </is>
      </c>
      <c r="D31" s="21" t="n">
        <v>5</v>
      </c>
      <c r="E31" s="20" t="inlineStr">
        <is>
          <t>Bolsas 5 Kg</t>
        </is>
      </c>
      <c r="F31" s="22" t="inlineStr">
        <is>
          <t>COLOMBIA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9546.989299999999</v>
      </c>
      <c r="M31" s="25" t="n">
        <v>9546.989299999999</v>
      </c>
      <c r="N31" s="25" t="n">
        <v>9546.99</v>
      </c>
      <c r="O31" s="25" t="n">
        <v>9546.989299999999</v>
      </c>
      <c r="P31" s="25" t="n">
        <v>9546.99</v>
      </c>
      <c r="Q31" s="26" t="inlineStr">
        <is>
          <t>SOBRE PEDIDO (EXP)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AGXK0200</t>
        </is>
      </c>
      <c r="B34" s="28" t="inlineStr">
        <is>
          <t>AGXK0200MA</t>
        </is>
      </c>
      <c r="C34" s="29" t="inlineStr">
        <is>
          <t>AGROXILATO-K, 200 L</t>
        </is>
      </c>
      <c r="D34" s="30" t="n">
        <v>200</v>
      </c>
      <c r="E34" s="29" t="inlineStr">
        <is>
          <t>Depósito 200 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FTK0005</t>
        </is>
      </c>
      <c r="B35" s="19" t="inlineStr">
        <is>
          <t>FTK0005TR</t>
        </is>
      </c>
      <c r="C35" s="20" t="inlineStr">
        <is>
          <t>FITOKONTROL CA FLOW, 5 KG</t>
        </is>
      </c>
      <c r="D35" s="21" t="n">
        <v>5</v>
      </c>
      <c r="E35" s="20" t="inlineStr">
        <is>
          <t>Bolsas 5 Kg</t>
        </is>
      </c>
      <c r="F35" s="22" t="inlineStr">
        <is>
          <t>TURQUÍA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VITA0001</t>
        </is>
      </c>
      <c r="B36" s="28" t="inlineStr">
        <is>
          <t>VITA0001GR</t>
        </is>
      </c>
      <c r="C36" s="29" t="inlineStr">
        <is>
          <t>VITA-S</t>
        </is>
      </c>
      <c r="D36" s="30" t="n">
        <v>1</v>
      </c>
      <c r="E36" s="29" t="inlineStr">
        <is>
          <t>Botellas 1L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VITA0005</t>
        </is>
      </c>
      <c r="B37" s="19" t="inlineStr">
        <is>
          <t>VITA0005GR</t>
        </is>
      </c>
      <c r="C37" s="20" t="inlineStr">
        <is>
          <t>VITA-S</t>
        </is>
      </c>
      <c r="D37" s="21" t="n">
        <v>5</v>
      </c>
      <c r="E37" s="20" t="inlineStr">
        <is>
          <t>Garrafas 5L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AGXK0200</t>
        </is>
      </c>
      <c r="B38" s="31" t="inlineStr">
        <is>
          <t>AGXK0200</t>
        </is>
      </c>
      <c r="C38" s="29" t="inlineStr">
        <is>
          <t>AGROXILATO-K, 200 L</t>
        </is>
      </c>
      <c r="D38" s="30" t="n">
        <v>200</v>
      </c>
      <c r="E38" s="29" t="inlineStr">
        <is>
          <t>Depósito 200 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0</v>
      </c>
      <c r="I38" s="33" t="n">
        <v>0</v>
      </c>
      <c r="J38" s="33" t="n">
        <v>2812.2736</v>
      </c>
      <c r="K38" s="33" t="n">
        <v>2934.7374</v>
      </c>
      <c r="L38" s="33" t="n">
        <v>2603.7243</v>
      </c>
      <c r="M38" s="34" t="n">
        <v>8350.7353</v>
      </c>
      <c r="N38" s="34" t="n">
        <v>8350.74</v>
      </c>
      <c r="O38" s="34" t="n">
        <v>8350.7353</v>
      </c>
      <c r="P38" s="34" t="n">
        <v>8350.74</v>
      </c>
      <c r="Q38" s="26" t="inlineStr">
        <is>
          <t>FABRICACIÓN URGENTE</t>
        </is>
      </c>
    </row>
    <row r="39" ht="19" customHeight="1">
      <c r="A39" s="18" t="inlineStr">
        <is>
          <t>AN0020</t>
        </is>
      </c>
      <c r="B39" s="19" t="inlineStr">
        <is>
          <t>AN0020CO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COLOMBIA</t>
        </is>
      </c>
      <c r="G39" s="23" t="inlineStr">
        <is>
          <t>Sobre Pedido (Export)</t>
        </is>
      </c>
      <c r="H39" s="24" t="n">
        <v>0</v>
      </c>
      <c r="I39" s="24" t="n">
        <v>4000</v>
      </c>
      <c r="J39" s="24" t="n">
        <v>0</v>
      </c>
      <c r="K39" s="24" t="n">
        <v>0</v>
      </c>
      <c r="L39" s="24" t="n">
        <v>4339.5406</v>
      </c>
      <c r="M39" s="25" t="n">
        <v>8339.5406</v>
      </c>
      <c r="N39" s="25" t="n">
        <v>8339.540000000001</v>
      </c>
      <c r="O39" s="25" t="n">
        <v>8339.5406</v>
      </c>
      <c r="P39" s="25" t="n">
        <v>8339.540000000001</v>
      </c>
      <c r="Q39" s="26" t="inlineStr">
        <is>
          <t>SOBRE PEDIDO (EXP)</t>
        </is>
      </c>
    </row>
    <row r="40" ht="19" customHeight="1">
      <c r="A40" s="27" t="inlineStr">
        <is>
          <t>BC0005</t>
        </is>
      </c>
      <c r="B40" s="28" t="inlineStr">
        <is>
          <t>BC0005LB</t>
        </is>
      </c>
      <c r="C40" s="29" t="inlineStr">
        <is>
          <t>BITTER-CAL, 5 KG</t>
        </is>
      </c>
      <c r="D40" s="30" t="n">
        <v>5</v>
      </c>
      <c r="E40" s="29" t="inlineStr">
        <is>
          <t>Bolsas 5 Kg</t>
        </is>
      </c>
      <c r="F40" s="31" t="inlineStr">
        <is>
          <t>LÍBANO</t>
        </is>
      </c>
      <c r="G40" s="32" t="inlineStr">
        <is>
          <t>Sobre Pedido (Export)</t>
        </is>
      </c>
      <c r="H40" s="33" t="n">
        <v>370</v>
      </c>
      <c r="I40" s="33" t="n">
        <v>0</v>
      </c>
      <c r="J40" s="33" t="n">
        <v>0</v>
      </c>
      <c r="K40" s="33" t="n">
        <v>0</v>
      </c>
      <c r="L40" s="33" t="n">
        <v>8679.081200000001</v>
      </c>
      <c r="M40" s="34" t="n">
        <v>8679.081200000001</v>
      </c>
      <c r="N40" s="34" t="n">
        <v>8679.08</v>
      </c>
      <c r="O40" s="34" t="n">
        <v>8309.081200000001</v>
      </c>
      <c r="P40" s="34" t="n">
        <v>8309.08</v>
      </c>
      <c r="Q40" s="26" t="inlineStr">
        <is>
          <t>SOBRE PEDIDO (EXP)</t>
        </is>
      </c>
    </row>
    <row r="41" ht="19" customHeight="1">
      <c r="A41" s="18" t="inlineStr">
        <is>
          <t>C-CU20001</t>
        </is>
      </c>
      <c r="B41" s="19" t="inlineStr">
        <is>
          <t>C-CU20001EG</t>
        </is>
      </c>
      <c r="C41" s="20" t="inlineStr">
        <is>
          <t>CODICOBRE</t>
        </is>
      </c>
      <c r="D41" s="21" t="n">
        <v>1</v>
      </c>
      <c r="E41" s="20" t="inlineStr">
        <is>
          <t>Botellas 1L</t>
        </is>
      </c>
      <c r="F41" s="22" t="inlineStr">
        <is>
          <t>EGIPTO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8301.114100000001</v>
      </c>
      <c r="L41" s="24" t="n">
        <v>0</v>
      </c>
      <c r="M41" s="25" t="n">
        <v>8301.114100000001</v>
      </c>
      <c r="N41" s="25" t="n">
        <v>8301.110000000001</v>
      </c>
      <c r="O41" s="25" t="n">
        <v>8301.114100000001</v>
      </c>
      <c r="P41" s="25" t="n">
        <v>8301.110000000001</v>
      </c>
      <c r="Q41" s="26" t="inlineStr">
        <is>
          <t>SOBRE PEDIDO (EXP)</t>
        </is>
      </c>
    </row>
    <row r="42" ht="19" customHeight="1">
      <c r="A42" s="27" t="inlineStr">
        <is>
          <t>PIV0020</t>
        </is>
      </c>
      <c r="B42" s="31" t="inlineStr">
        <is>
          <t>PIV0020</t>
        </is>
      </c>
      <c r="C42" s="29" t="inlineStr">
        <is>
          <t>PGR IV, 20 L</t>
        </is>
      </c>
      <c r="D42" s="30" t="n">
        <v>20</v>
      </c>
      <c r="E42" s="29" t="inlineStr">
        <is>
          <t>Garrafas 20L</t>
        </is>
      </c>
      <c r="F42" s="31" t="inlineStr">
        <is>
          <t>ESPAÑA</t>
        </is>
      </c>
      <c r="G42" s="31" t="inlineStr">
        <is>
          <t>Para Previsión (Nac)</t>
        </is>
      </c>
      <c r="H42" s="33" t="n">
        <v>1820</v>
      </c>
      <c r="I42" s="33" t="n">
        <v>200</v>
      </c>
      <c r="J42" s="33" t="n">
        <v>4499.6376</v>
      </c>
      <c r="K42" s="33" t="n">
        <v>3353.9855</v>
      </c>
      <c r="L42" s="33" t="n">
        <v>1666.3836</v>
      </c>
      <c r="M42" s="34" t="n">
        <v>9720.0067</v>
      </c>
      <c r="N42" s="34" t="n">
        <v>9720.01</v>
      </c>
      <c r="O42" s="34" t="n">
        <v>7900.0067</v>
      </c>
      <c r="P42" s="34" t="n">
        <v>7900.01</v>
      </c>
      <c r="Q42" s="26" t="inlineStr">
        <is>
          <t>FABRICACIÓN URGENTE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BIO1000</t>
        </is>
      </c>
      <c r="B45" s="22" t="inlineStr">
        <is>
          <t>BIO1000</t>
        </is>
      </c>
      <c r="C45" s="20" t="inlineStr">
        <is>
          <t>BIORAD-20, 1000 L</t>
        </is>
      </c>
      <c r="D45" s="21" t="n">
        <v>1000</v>
      </c>
      <c r="E45" s="20" t="inlineStr">
        <is>
          <t>Depósito 1000 L</t>
        </is>
      </c>
      <c r="F45" s="22" t="inlineStr">
        <is>
          <t>ESPAÑA</t>
        </is>
      </c>
      <c r="G45" s="22" t="inlineStr">
        <is>
          <t>Para Previsión (Nac)</t>
        </is>
      </c>
      <c r="H45" s="24" t="n">
        <v>3000</v>
      </c>
      <c r="I45" s="24" t="n">
        <v>0</v>
      </c>
      <c r="J45" s="24" t="n">
        <v>2636.5065</v>
      </c>
      <c r="K45" s="24" t="n">
        <v>6288.7228</v>
      </c>
      <c r="L45" s="24" t="n">
        <v>0</v>
      </c>
      <c r="M45" s="25" t="n">
        <v>8925.229299999999</v>
      </c>
      <c r="N45" s="25" t="n">
        <v>8925.23</v>
      </c>
      <c r="O45" s="25" t="n">
        <v>5925.229299999999</v>
      </c>
      <c r="P45" s="25" t="n">
        <v>5925.23</v>
      </c>
      <c r="Q45" s="26" t="inlineStr">
        <is>
          <t>FABRICACIÓN URGENTE</t>
        </is>
      </c>
    </row>
    <row r="46" ht="19" customHeight="1">
      <c r="A46" s="27" t="inlineStr">
        <is>
          <t>FLORCR1000</t>
        </is>
      </c>
      <c r="B46" s="28" t="inlineStr">
        <is>
          <t>FLORCR1000CR</t>
        </is>
      </c>
      <c r="C46" s="29" t="inlineStr">
        <is>
          <t>FLORAMEC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2636.5064</v>
      </c>
      <c r="K46" s="33" t="n">
        <v>3144.3614</v>
      </c>
      <c r="L46" s="33" t="n">
        <v>0</v>
      </c>
      <c r="M46" s="34" t="n">
        <v>5780.8678</v>
      </c>
      <c r="N46" s="34" t="n">
        <v>5780.87</v>
      </c>
      <c r="O46" s="34" t="n">
        <v>5780.8678</v>
      </c>
      <c r="P46" s="34" t="n">
        <v>5780.87</v>
      </c>
      <c r="Q46" s="26" t="inlineStr">
        <is>
          <t>SOBRE PEDIDO (EXP)</t>
        </is>
      </c>
    </row>
    <row r="47" ht="19" customHeight="1">
      <c r="A47" s="18" t="inlineStr">
        <is>
          <t>AVAN0020</t>
        </is>
      </c>
      <c r="B47" s="22" t="inlineStr">
        <is>
          <t>AVAN0020</t>
        </is>
      </c>
      <c r="C47" s="20" t="inlineStr">
        <is>
          <t>FLORAMEC AVANCE, 20 L</t>
        </is>
      </c>
      <c r="D47" s="21" t="n">
        <v>20</v>
      </c>
      <c r="E47" s="20" t="inlineStr">
        <is>
          <t>Garrafas 20L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0</v>
      </c>
      <c r="I47" s="24" t="n">
        <v>0</v>
      </c>
      <c r="J47" s="24" t="n">
        <v>2320.1256</v>
      </c>
      <c r="K47" s="24" t="n">
        <v>1215.8197</v>
      </c>
      <c r="L47" s="24" t="n">
        <v>2013.5468</v>
      </c>
      <c r="M47" s="25" t="n">
        <v>5549.4921</v>
      </c>
      <c r="N47" s="25" t="n">
        <v>5549.49</v>
      </c>
      <c r="O47" s="25" t="n">
        <v>5549.4921</v>
      </c>
      <c r="P47" s="25" t="n">
        <v>5549.49</v>
      </c>
      <c r="Q47" s="26" t="inlineStr">
        <is>
          <t>FABRICACIÓN URGENTE</t>
        </is>
      </c>
    </row>
    <row r="48" ht="19" customHeight="1">
      <c r="A48" s="27" t="inlineStr">
        <is>
          <t>SS0020</t>
        </is>
      </c>
      <c r="B48" s="28" t="inlineStr">
        <is>
          <t>SS0020MA</t>
        </is>
      </c>
      <c r="C48" s="29" t="inlineStr">
        <is>
          <t>SAL-WAX-Ca sólido, 20 KG</t>
        </is>
      </c>
      <c r="D48" s="30" t="n">
        <v>20</v>
      </c>
      <c r="E48" s="29" t="inlineStr">
        <is>
          <t>Bolsas 20 Kg</t>
        </is>
      </c>
      <c r="F48" s="31" t="inlineStr">
        <is>
          <t>MARRUECOS</t>
        </is>
      </c>
      <c r="G48" s="32" t="inlineStr">
        <is>
          <t>Sobre Pedido (Export)</t>
        </is>
      </c>
      <c r="H48" s="33" t="n">
        <v>0</v>
      </c>
      <c r="I48" s="33" t="n">
        <v>2000</v>
      </c>
      <c r="J48" s="33" t="n">
        <v>1757.671</v>
      </c>
      <c r="K48" s="33" t="n">
        <v>0</v>
      </c>
      <c r="L48" s="33" t="n">
        <v>1735.8162</v>
      </c>
      <c r="M48" s="34" t="n">
        <v>5493.4872</v>
      </c>
      <c r="N48" s="34" t="n">
        <v>5493.49</v>
      </c>
      <c r="O48" s="34" t="n">
        <v>5493.4872</v>
      </c>
      <c r="P48" s="34" t="n">
        <v>5493.49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B0001</t>
        </is>
      </c>
      <c r="B53" s="22" t="inlineStr">
        <is>
          <t>B0001</t>
        </is>
      </c>
      <c r="C53" s="20" t="inlineStr">
        <is>
          <t>BOROCAL,1 L</t>
        </is>
      </c>
      <c r="D53" s="21" t="n">
        <v>1</v>
      </c>
      <c r="E53" s="20" t="inlineStr">
        <is>
          <t>Botellas 1L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48</v>
      </c>
      <c r="I53" s="24" t="n">
        <v>4656</v>
      </c>
      <c r="J53" s="24" t="n">
        <v>0</v>
      </c>
      <c r="K53" s="24" t="n">
        <v>12.5774</v>
      </c>
      <c r="L53" s="24" t="n">
        <v>41.6596</v>
      </c>
      <c r="M53" s="25" t="n">
        <v>4710.237</v>
      </c>
      <c r="N53" s="25" t="n">
        <v>4710.24</v>
      </c>
      <c r="O53" s="25" t="n">
        <v>4662.237</v>
      </c>
      <c r="P53" s="25" t="n">
        <v>4662.24</v>
      </c>
      <c r="Q53" s="26" t="inlineStr">
        <is>
          <t>FABRICACIÓN URGENTE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BIO0005</t>
        </is>
      </c>
      <c r="B55" s="22" t="inlineStr">
        <is>
          <t>BIO0005</t>
        </is>
      </c>
      <c r="C55" s="20" t="inlineStr">
        <is>
          <t>BIORAD-20, 5L</t>
        </is>
      </c>
      <c r="D55" s="21" t="n">
        <v>5</v>
      </c>
      <c r="E55" s="20" t="inlineStr">
        <is>
          <t>Garrafas 5L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1840</v>
      </c>
      <c r="I55" s="24" t="n">
        <v>3900</v>
      </c>
      <c r="J55" s="24" t="n">
        <v>826.1052999999999</v>
      </c>
      <c r="K55" s="24" t="n">
        <v>1572.1807</v>
      </c>
      <c r="L55" s="24" t="n">
        <v>0</v>
      </c>
      <c r="M55" s="25" t="n">
        <v>6298.286</v>
      </c>
      <c r="N55" s="25" t="n">
        <v>6298.29</v>
      </c>
      <c r="O55" s="25" t="n">
        <v>4458.286</v>
      </c>
      <c r="P55" s="25" t="n">
        <v>4458.29</v>
      </c>
      <c r="Q55" s="26" t="inlineStr">
        <is>
          <t>FABRICACIÓN URGENTE</t>
        </is>
      </c>
    </row>
    <row r="56" ht="19" customHeight="1">
      <c r="A56" s="27" t="inlineStr">
        <is>
          <t>AGXCR0020</t>
        </is>
      </c>
      <c r="B56" s="28" t="inlineStr">
        <is>
          <t>AGXCR0020LB</t>
        </is>
      </c>
      <c r="C56" s="29" t="inlineStr">
        <is>
          <t>AGROXILATO-K, (0-5-20), 20 LtS.</t>
        </is>
      </c>
      <c r="D56" s="30" t="n">
        <v>20</v>
      </c>
      <c r="E56" s="29" t="inlineStr">
        <is>
          <t>Garrafas 20L</t>
        </is>
      </c>
      <c r="F56" s="31" t="inlineStr">
        <is>
          <t>LÍBANO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A-50EG0001</t>
        </is>
      </c>
      <c r="B57" s="19" t="inlineStr">
        <is>
          <t>A-50EG0001EG</t>
        </is>
      </c>
      <c r="C57" s="20" t="inlineStr">
        <is>
          <t>CODIORGAN-A50</t>
        </is>
      </c>
      <c r="D57" s="21" t="n">
        <v>1</v>
      </c>
      <c r="E57" s="20" t="inlineStr">
        <is>
          <t>Bolsas 1 Kg</t>
        </is>
      </c>
      <c r="F57" s="22" t="inlineStr">
        <is>
          <t>EGIPTO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AGMG0005</t>
        </is>
      </c>
      <c r="B58" s="28" t="inlineStr">
        <is>
          <t>AGMG0005LB</t>
        </is>
      </c>
      <c r="C58" s="29" t="inlineStr">
        <is>
          <t>AGROXILATO-MG, 5 KG (EXPORT)</t>
        </is>
      </c>
      <c r="D58" s="30" t="n">
        <v>5</v>
      </c>
      <c r="E58" s="29" t="inlineStr">
        <is>
          <t>Bolsas 5 Kg</t>
        </is>
      </c>
      <c r="F58" s="31" t="inlineStr">
        <is>
          <t>LÍBANO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NAZAZ</t>
        </is>
      </c>
      <c r="B59" s="22" t="inlineStr">
        <is>
          <t>NAZAZ</t>
        </is>
      </c>
      <c r="C59" s="20" t="inlineStr">
        <is>
          <t>AMINOG AL , 1L</t>
        </is>
      </c>
      <c r="D59" s="21" t="n">
        <v>1</v>
      </c>
      <c r="E59" s="20" t="inlineStr">
        <is>
          <t>Botellas 1L</t>
        </is>
      </c>
      <c r="F59" s="22" t="inlineStr">
        <is>
          <t>AZERBAIYÁN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4270.108</v>
      </c>
      <c r="M59" s="25" t="n">
        <v>4270.108</v>
      </c>
      <c r="N59" s="25" t="n">
        <v>4270.11</v>
      </c>
      <c r="O59" s="25" t="n">
        <v>4270.108</v>
      </c>
      <c r="P59" s="25" t="n">
        <v>4270.11</v>
      </c>
      <c r="Q59" s="26" t="inlineStr">
        <is>
          <t>SOBRE PEDIDO (EXP)</t>
        </is>
      </c>
    </row>
    <row r="60" ht="19" customHeight="1">
      <c r="A60" s="27" t="inlineStr">
        <is>
          <t>SS0005</t>
        </is>
      </c>
      <c r="B60" s="28" t="inlineStr">
        <is>
          <t>SS0005MX</t>
        </is>
      </c>
      <c r="C60" s="29" t="inlineStr">
        <is>
          <t>SALWAX-CA, 5 KG</t>
        </is>
      </c>
      <c r="D60" s="30" t="n">
        <v>5</v>
      </c>
      <c r="E60" s="29" t="inlineStr">
        <is>
          <t>Bolsas 5 Kg</t>
        </is>
      </c>
      <c r="F60" s="31" t="inlineStr">
        <is>
          <t>NETHERLANS</t>
        </is>
      </c>
      <c r="G60" s="32" t="inlineStr">
        <is>
          <t>Sobre Pedido (Export)</t>
        </is>
      </c>
      <c r="H60" s="33" t="n">
        <v>257.9108999999999</v>
      </c>
      <c r="I60" s="33" t="n">
        <v>0</v>
      </c>
      <c r="J60" s="33" t="n">
        <v>0</v>
      </c>
      <c r="K60" s="33" t="n">
        <v>4192.4818</v>
      </c>
      <c r="L60" s="33" t="n">
        <v>0</v>
      </c>
      <c r="M60" s="34" t="n">
        <v>4192.4818</v>
      </c>
      <c r="N60" s="34" t="n">
        <v>4192.48</v>
      </c>
      <c r="O60" s="34" t="n">
        <v>3934.5709</v>
      </c>
      <c r="P60" s="34" t="n">
        <v>3934.57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AN0005EC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ECUADOR (INCLUIDAS LAS ISLAS GALÁPAGOS)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3866.8761</v>
      </c>
      <c r="K61" s="24" t="n">
        <v>0</v>
      </c>
      <c r="L61" s="24" t="n">
        <v>0</v>
      </c>
      <c r="M61" s="25" t="n">
        <v>3866.8761</v>
      </c>
      <c r="N61" s="25" t="n">
        <v>3866.88</v>
      </c>
      <c r="O61" s="25" t="n">
        <v>3866.8761</v>
      </c>
      <c r="P61" s="25" t="n">
        <v>3866.88</v>
      </c>
      <c r="Q61" s="26" t="inlineStr">
        <is>
          <t>SOBRE PEDIDO (EXP)</t>
        </is>
      </c>
    </row>
    <row r="62" ht="19" customHeight="1">
      <c r="A62" s="27" t="inlineStr">
        <is>
          <t>BIO0005</t>
        </is>
      </c>
      <c r="B62" s="28" t="inlineStr">
        <is>
          <t>BIO0005DO</t>
        </is>
      </c>
      <c r="C62" s="29" t="inlineStr">
        <is>
          <t>BIORAD-20, 5L</t>
        </is>
      </c>
      <c r="D62" s="30" t="n">
        <v>5</v>
      </c>
      <c r="E62" s="29" t="inlineStr">
        <is>
          <t>Garrafas 5L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3794.1961</v>
      </c>
      <c r="L62" s="33" t="n">
        <v>0</v>
      </c>
      <c r="M62" s="34" t="n">
        <v>3794.1961</v>
      </c>
      <c r="N62" s="34" t="n">
        <v>3794.2</v>
      </c>
      <c r="O62" s="34" t="n">
        <v>3794.1961</v>
      </c>
      <c r="P62" s="34" t="n">
        <v>3794.2</v>
      </c>
      <c r="Q62" s="26" t="inlineStr">
        <is>
          <t>SOBRE PEDIDO (EXP)</t>
        </is>
      </c>
    </row>
    <row r="63" ht="19" customHeight="1">
      <c r="A63" s="18" t="inlineStr">
        <is>
          <t>GRE10005</t>
        </is>
      </c>
      <c r="B63" s="19" t="inlineStr">
        <is>
          <t>GRE10005GR</t>
        </is>
      </c>
      <c r="C63" s="20" t="inlineStr">
        <is>
          <t>TONAZ</t>
        </is>
      </c>
      <c r="D63" s="21" t="n">
        <v>5</v>
      </c>
      <c r="E63" s="20" t="inlineStr">
        <is>
          <t>Garrafas 5L</t>
        </is>
      </c>
      <c r="F63" s="22" t="inlineStr">
        <is>
          <t>GRECIA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3471.6325</v>
      </c>
      <c r="M63" s="25" t="n">
        <v>3471.6325</v>
      </c>
      <c r="N63" s="25" t="n">
        <v>3471.63</v>
      </c>
      <c r="O63" s="25" t="n">
        <v>3471.6325</v>
      </c>
      <c r="P63" s="25" t="n">
        <v>3471.63</v>
      </c>
      <c r="Q63" s="26" t="inlineStr">
        <is>
          <t>SOBRE PEDIDO (EXP)</t>
        </is>
      </c>
    </row>
    <row r="64" ht="19" customHeight="1">
      <c r="A64" s="27" t="inlineStr">
        <is>
          <t>AN0005</t>
        </is>
      </c>
      <c r="B64" s="28" t="inlineStr">
        <is>
          <t>AN0005DO</t>
        </is>
      </c>
      <c r="C64" s="29" t="inlineStr">
        <is>
          <t>ALCAPLANT NEW, 5 KG</t>
        </is>
      </c>
      <c r="D64" s="30" t="n">
        <v>5</v>
      </c>
      <c r="E64" s="29" t="inlineStr">
        <is>
          <t>Bolsas 5 Kg</t>
        </is>
      </c>
      <c r="F64" s="31" t="inlineStr">
        <is>
          <t>DOMINICANA, REPÚBLICA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3458.7976</v>
      </c>
      <c r="L64" s="33" t="n">
        <v>0</v>
      </c>
      <c r="M64" s="34" t="n">
        <v>3458.7976</v>
      </c>
      <c r="N64" s="34" t="n">
        <v>3458.8</v>
      </c>
      <c r="O64" s="34" t="n">
        <v>3458.7976</v>
      </c>
      <c r="P64" s="34" t="n">
        <v>3458.8</v>
      </c>
      <c r="Q64" s="26" t="inlineStr">
        <is>
          <t>SOBRE PEDIDO (EXP)</t>
        </is>
      </c>
    </row>
    <row r="65" ht="19" customHeight="1">
      <c r="A65" s="18" t="inlineStr">
        <is>
          <t>SS0020</t>
        </is>
      </c>
      <c r="B65" s="19" t="inlineStr">
        <is>
          <t>SS0020CR</t>
        </is>
      </c>
      <c r="C65" s="20" t="inlineStr">
        <is>
          <t>SAL-WAX-Ca sólido, 20 KG</t>
        </is>
      </c>
      <c r="D65" s="21" t="n">
        <v>20</v>
      </c>
      <c r="E65" s="20" t="inlineStr">
        <is>
          <t>Bolsas 20 Kg</t>
        </is>
      </c>
      <c r="F65" s="22" t="inlineStr">
        <is>
          <t>COSTA RICA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2425.5859</v>
      </c>
      <c r="K65" s="24" t="n">
        <v>0</v>
      </c>
      <c r="L65" s="24" t="n">
        <v>694.3265</v>
      </c>
      <c r="M65" s="25" t="n">
        <v>3119.9124</v>
      </c>
      <c r="N65" s="25" t="n">
        <v>3119.91</v>
      </c>
      <c r="O65" s="25" t="n">
        <v>3119.9124</v>
      </c>
      <c r="P65" s="25" t="n">
        <v>3119.91</v>
      </c>
      <c r="Q65" s="26" t="inlineStr">
        <is>
          <t>SOBRE PEDIDO (EXP)</t>
        </is>
      </c>
    </row>
    <row r="66" ht="19" customHeight="1">
      <c r="A66" s="27" t="inlineStr">
        <is>
          <t>DECA0020</t>
        </is>
      </c>
      <c r="B66" s="31" t="inlineStr">
        <is>
          <t>DECA0020</t>
        </is>
      </c>
      <c r="C66" s="29" t="inlineStr">
        <is>
          <t>DEFENS-CA-AE, 20 KG</t>
        </is>
      </c>
      <c r="D66" s="30" t="n">
        <v>20</v>
      </c>
      <c r="E66" s="29" t="inlineStr">
        <is>
          <t>Bolsas 20 Kg</t>
        </is>
      </c>
      <c r="F66" s="31" t="inlineStr">
        <is>
          <t>ESPAÑA</t>
        </is>
      </c>
      <c r="G66" s="31" t="inlineStr">
        <is>
          <t>Para Previsión (Nac)</t>
        </is>
      </c>
      <c r="H66" s="33" t="n">
        <v>0</v>
      </c>
      <c r="I66" s="33" t="n">
        <v>3000</v>
      </c>
      <c r="J66" s="33" t="n">
        <v>0</v>
      </c>
      <c r="K66" s="33" t="n">
        <v>0</v>
      </c>
      <c r="L66" s="33" t="n">
        <v>0</v>
      </c>
      <c r="M66" s="34" t="n">
        <v>3000</v>
      </c>
      <c r="N66" s="34" t="n">
        <v>3000</v>
      </c>
      <c r="O66" s="34" t="n">
        <v>3000</v>
      </c>
      <c r="P66" s="34" t="n">
        <v>3000</v>
      </c>
      <c r="Q66" s="26" t="inlineStr">
        <is>
          <t>FABRICACIÓN URGENTE</t>
        </is>
      </c>
    </row>
    <row r="67" ht="19" customHeight="1">
      <c r="A67" s="18" t="inlineStr">
        <is>
          <t>AN0005</t>
        </is>
      </c>
      <c r="B67" s="22" t="inlineStr">
        <is>
          <t>AN0005</t>
        </is>
      </c>
      <c r="C67" s="20" t="inlineStr">
        <is>
          <t>ALCAPLANT NEW, 5 KG</t>
        </is>
      </c>
      <c r="D67" s="21" t="n">
        <v>5</v>
      </c>
      <c r="E67" s="20" t="inlineStr">
        <is>
          <t>Bolsas 5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1080</v>
      </c>
      <c r="I67" s="24" t="n">
        <v>4000</v>
      </c>
      <c r="J67" s="24" t="n">
        <v>0</v>
      </c>
      <c r="K67" s="24" t="n">
        <v>0</v>
      </c>
      <c r="L67" s="24" t="n">
        <v>0</v>
      </c>
      <c r="M67" s="25" t="n">
        <v>4000</v>
      </c>
      <c r="N67" s="25" t="n">
        <v>4000</v>
      </c>
      <c r="O67" s="25" t="n">
        <v>2920</v>
      </c>
      <c r="P67" s="25" t="n">
        <v>2920</v>
      </c>
      <c r="Q67" s="26" t="inlineStr">
        <is>
          <t>FABRICACIÓN URGENTE</t>
        </is>
      </c>
    </row>
    <row r="68" ht="19" customHeight="1">
      <c r="A68" s="27" t="inlineStr">
        <is>
          <t>START20001</t>
        </is>
      </c>
      <c r="B68" s="31" t="inlineStr">
        <is>
          <t>START20001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2904</v>
      </c>
      <c r="J68" s="33" t="n">
        <v>0</v>
      </c>
      <c r="K68" s="33" t="n">
        <v>0</v>
      </c>
      <c r="L68" s="33" t="n">
        <v>0</v>
      </c>
      <c r="M68" s="34" t="n">
        <v>2904</v>
      </c>
      <c r="N68" s="34" t="n">
        <v>2904</v>
      </c>
      <c r="O68" s="34" t="n">
        <v>2904</v>
      </c>
      <c r="P68" s="34" t="n">
        <v>2904</v>
      </c>
      <c r="Q68" s="26" t="inlineStr">
        <is>
          <t>FABRICACIÓN URGENTE</t>
        </is>
      </c>
    </row>
    <row r="69" ht="19" customHeight="1">
      <c r="A69" s="18" t="inlineStr">
        <is>
          <t>BIO0001</t>
        </is>
      </c>
      <c r="B69" s="22" t="inlineStr">
        <is>
          <t>BIO0001</t>
        </is>
      </c>
      <c r="C69" s="20" t="inlineStr">
        <is>
          <t>BIORAD-20</t>
        </is>
      </c>
      <c r="D69" s="21" t="n">
        <v>1</v>
      </c>
      <c r="E69" s="20" t="inlineStr">
        <is>
          <t>Botellas 1L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2892</v>
      </c>
      <c r="J69" s="24" t="n">
        <v>0</v>
      </c>
      <c r="K69" s="24" t="n">
        <v>0</v>
      </c>
      <c r="L69" s="24" t="n">
        <v>0</v>
      </c>
      <c r="M69" s="25" t="n">
        <v>2892</v>
      </c>
      <c r="N69" s="25" t="n">
        <v>2892</v>
      </c>
      <c r="O69" s="25" t="n">
        <v>2892</v>
      </c>
      <c r="P69" s="25" t="n">
        <v>2892</v>
      </c>
      <c r="Q69" s="26" t="inlineStr">
        <is>
          <t>FABRICACIÓN URGENTE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1757.671</v>
      </c>
      <c r="K70" s="33" t="n">
        <v>2096.2409</v>
      </c>
      <c r="L70" s="33" t="n">
        <v>0</v>
      </c>
      <c r="M70" s="34" t="n">
        <v>3853.9119</v>
      </c>
      <c r="N70" s="34" t="n">
        <v>3853.91</v>
      </c>
      <c r="O70" s="34" t="n">
        <v>2853.9119</v>
      </c>
      <c r="P70" s="34" t="n">
        <v>2853.91</v>
      </c>
      <c r="Q70" s="26" t="inlineStr">
        <is>
          <t>FABRICACIÓN URGENTE</t>
        </is>
      </c>
    </row>
    <row r="71" ht="19" customHeight="1">
      <c r="A71" s="18" t="inlineStr">
        <is>
          <t>CODIR1000</t>
        </is>
      </c>
      <c r="B71" s="19" t="inlineStr">
        <is>
          <t>CODIR1000CR</t>
        </is>
      </c>
      <c r="C71" s="20" t="inlineStr">
        <is>
          <t>CODIRESIST</t>
        </is>
      </c>
      <c r="D71" s="21" t="n">
        <v>1000</v>
      </c>
      <c r="E71" s="20" t="inlineStr">
        <is>
          <t>Depósito 1000 L</t>
        </is>
      </c>
      <c r="F71" s="22" t="inlineStr">
        <is>
          <t>COSTA RICA</t>
        </is>
      </c>
      <c r="G71" s="23" t="inlineStr">
        <is>
          <t>Sobre Pedido (Export)</t>
        </is>
      </c>
      <c r="H71" s="24" t="n">
        <v>0</v>
      </c>
      <c r="I71" s="24" t="n">
        <v>0</v>
      </c>
      <c r="J71" s="24" t="n">
        <v>878.8355</v>
      </c>
      <c r="K71" s="24" t="n">
        <v>1048.1205</v>
      </c>
      <c r="L71" s="24" t="n">
        <v>867.9081</v>
      </c>
      <c r="M71" s="25" t="n">
        <v>2794.8641</v>
      </c>
      <c r="N71" s="25" t="n">
        <v>2794.86</v>
      </c>
      <c r="O71" s="25" t="n">
        <v>2794.8641</v>
      </c>
      <c r="P71" s="25" t="n">
        <v>2794.86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AN0005</t>
        </is>
      </c>
      <c r="B73" s="19" t="inlineStr">
        <is>
          <t>AN0005MA</t>
        </is>
      </c>
      <c r="C73" s="20" t="inlineStr">
        <is>
          <t>ALCAPLANT NEW, 5 KG</t>
        </is>
      </c>
      <c r="D73" s="21" t="n">
        <v>5</v>
      </c>
      <c r="E73" s="20" t="inlineStr">
        <is>
          <t>Bolsas 5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2636.5064</v>
      </c>
      <c r="K73" s="24" t="n">
        <v>0</v>
      </c>
      <c r="L73" s="24" t="n">
        <v>0</v>
      </c>
      <c r="M73" s="25" t="n">
        <v>2636.5064</v>
      </c>
      <c r="N73" s="25" t="n">
        <v>2636.51</v>
      </c>
      <c r="O73" s="25" t="n">
        <v>2636.5064</v>
      </c>
      <c r="P73" s="25" t="n">
        <v>2636.51</v>
      </c>
      <c r="Q73" s="26" t="inlineStr">
        <is>
          <t>SOBRE PEDIDO (EXP)</t>
        </is>
      </c>
    </row>
    <row r="74" ht="19" customHeight="1">
      <c r="A74" s="27" t="inlineStr">
        <is>
          <t>FIORI1000</t>
        </is>
      </c>
      <c r="B74" s="28" t="inlineStr">
        <is>
          <t>FIORI1000IT</t>
        </is>
      </c>
      <c r="C74" s="29" t="inlineStr">
        <is>
          <t>RADIFIORI, 1000 L</t>
        </is>
      </c>
      <c r="D74" s="30" t="n">
        <v>1000</v>
      </c>
      <c r="E74" s="29" t="inlineStr">
        <is>
          <t>Depósito 1000 L</t>
        </is>
      </c>
      <c r="F74" s="31" t="inlineStr">
        <is>
          <t>ITALIA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PREZN0005</t>
        </is>
      </c>
      <c r="B75" s="22" t="inlineStr">
        <is>
          <t>PREZN0005</t>
        </is>
      </c>
      <c r="C75" s="20" t="inlineStr">
        <is>
          <t>PREZINC, 5 kg</t>
        </is>
      </c>
      <c r="D75" s="21" t="n">
        <v>5</v>
      </c>
      <c r="E75" s="20" t="inlineStr">
        <is>
          <t>Bolsas 5 Kg</t>
        </is>
      </c>
      <c r="F75" s="22" t="inlineStr">
        <is>
          <t>ESPAÑA</t>
        </is>
      </c>
      <c r="G75" s="22" t="inlineStr">
        <is>
          <t>Para Previsión (Nac)</t>
        </is>
      </c>
      <c r="H75" s="24" t="n">
        <v>140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2463.7244</v>
      </c>
      <c r="P75" s="25" t="n">
        <v>2463.72</v>
      </c>
      <c r="Q75" s="26" t="inlineStr">
        <is>
          <t>FABRICACIÓN URGENTE</t>
        </is>
      </c>
    </row>
    <row r="76" ht="19" customHeight="1">
      <c r="A76" s="27" t="inlineStr">
        <is>
          <t>A-50(2)0001</t>
        </is>
      </c>
      <c r="B76" s="31" t="inlineStr">
        <is>
          <t>A-50(2)0001</t>
        </is>
      </c>
      <c r="C76" s="29" t="inlineStr">
        <is>
          <t>CODIORGAN-A50</t>
        </is>
      </c>
      <c r="D76" s="30" t="n">
        <v>1</v>
      </c>
      <c r="E76" s="29" t="inlineStr">
        <is>
          <t>Bolsas 1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0</v>
      </c>
      <c r="I76" s="33" t="n">
        <v>2448</v>
      </c>
      <c r="J76" s="33" t="n">
        <v>0</v>
      </c>
      <c r="K76" s="33" t="n">
        <v>0</v>
      </c>
      <c r="L76" s="33" t="n">
        <v>0</v>
      </c>
      <c r="M76" s="34" t="n">
        <v>2448</v>
      </c>
      <c r="N76" s="34" t="n">
        <v>2448</v>
      </c>
      <c r="O76" s="34" t="n">
        <v>2448</v>
      </c>
      <c r="P76" s="34" t="n">
        <v>2448</v>
      </c>
      <c r="Q76" s="26" t="inlineStr">
        <is>
          <t>FABRICACIÓN URGENTE</t>
        </is>
      </c>
    </row>
    <row r="77" ht="19" customHeight="1">
      <c r="A77" s="18" t="inlineStr">
        <is>
          <t>ANAE0005</t>
        </is>
      </c>
      <c r="B77" s="22" t="inlineStr">
        <is>
          <t>ANAE0005</t>
        </is>
      </c>
      <c r="C77" s="20" t="inlineStr">
        <is>
          <t>ALCAPLANT NEW AE,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10760</v>
      </c>
      <c r="I77" s="24" t="n">
        <v>2200</v>
      </c>
      <c r="J77" s="24" t="n">
        <v>3866.8761</v>
      </c>
      <c r="K77" s="24" t="n">
        <v>6970.001099999999</v>
      </c>
      <c r="L77" s="24" t="n">
        <v>0</v>
      </c>
      <c r="M77" s="25" t="n">
        <v>13036.8772</v>
      </c>
      <c r="N77" s="25" t="n">
        <v>13036.88</v>
      </c>
      <c r="O77" s="25" t="n">
        <v>2276.877199999999</v>
      </c>
      <c r="P77" s="25" t="n">
        <v>2276.88</v>
      </c>
      <c r="Q77" s="26" t="inlineStr">
        <is>
          <t>FABRICACIÓN URGENTE</t>
        </is>
      </c>
    </row>
    <row r="78" ht="19" customHeight="1">
      <c r="A78" s="27" t="inlineStr">
        <is>
          <t>DECA0005</t>
        </is>
      </c>
      <c r="B78" s="31" t="inlineStr">
        <is>
          <t>DECA0005</t>
        </is>
      </c>
      <c r="C78" s="29" t="inlineStr">
        <is>
          <t>DEFENS-CA-AE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2200</v>
      </c>
      <c r="J78" s="33" t="n">
        <v>0</v>
      </c>
      <c r="K78" s="33" t="n">
        <v>0</v>
      </c>
      <c r="L78" s="33" t="n">
        <v>0</v>
      </c>
      <c r="M78" s="34" t="n">
        <v>2200</v>
      </c>
      <c r="N78" s="34" t="n">
        <v>2200</v>
      </c>
      <c r="O78" s="34" t="n">
        <v>2200</v>
      </c>
      <c r="P78" s="34" t="n">
        <v>2200</v>
      </c>
      <c r="Q78" s="26" t="inlineStr">
        <is>
          <t>FABRICACIÓN URGENTE</t>
        </is>
      </c>
    </row>
    <row r="79" ht="19" customHeight="1">
      <c r="A79" s="18" t="inlineStr">
        <is>
          <t>A-50(2)0020</t>
        </is>
      </c>
      <c r="B79" s="19" t="inlineStr">
        <is>
          <t>A-50(2)0020MA</t>
        </is>
      </c>
      <c r="C79" s="20" t="inlineStr">
        <is>
          <t>CODIORGAN A-50, 20 KG</t>
        </is>
      </c>
      <c r="D79" s="21" t="n">
        <v>20</v>
      </c>
      <c r="E79" s="20" t="inlineStr">
        <is>
          <t>Bolsas 20 Kg</t>
        </is>
      </c>
      <c r="F79" s="22" t="inlineStr">
        <is>
          <t>MARRUECOS</t>
        </is>
      </c>
      <c r="G79" s="23" t="inlineStr">
        <is>
          <t>Sobre Pedido (Export)</t>
        </is>
      </c>
      <c r="H79" s="24" t="n">
        <v>498.4</v>
      </c>
      <c r="I79" s="24" t="n">
        <v>0</v>
      </c>
      <c r="J79" s="24" t="n">
        <v>1757.671</v>
      </c>
      <c r="K79" s="24" t="n">
        <v>0</v>
      </c>
      <c r="L79" s="24" t="n">
        <v>867.9081</v>
      </c>
      <c r="M79" s="25" t="n">
        <v>2625.5791</v>
      </c>
      <c r="N79" s="25" t="n">
        <v>2625.58</v>
      </c>
      <c r="O79" s="25" t="n">
        <v>2127.1791</v>
      </c>
      <c r="P79" s="25" t="n">
        <v>2127.18</v>
      </c>
      <c r="Q79" s="26" t="inlineStr">
        <is>
          <t>SOBRE PEDIDO (EXP)</t>
        </is>
      </c>
    </row>
    <row r="80" ht="19" customHeight="1">
      <c r="A80" s="27" t="inlineStr">
        <is>
          <t>DECA0005</t>
        </is>
      </c>
      <c r="B80" s="28" t="inlineStr">
        <is>
          <t>DECA0005CR</t>
        </is>
      </c>
      <c r="C80" s="29" t="inlineStr">
        <is>
          <t>DEFENS-CA-AE</t>
        </is>
      </c>
      <c r="D80" s="30" t="n">
        <v>5</v>
      </c>
      <c r="E80" s="29" t="inlineStr">
        <is>
          <t>Bolsas 5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960</v>
      </c>
      <c r="I80" s="33" t="n">
        <v>0</v>
      </c>
      <c r="J80" s="33" t="n">
        <v>966.7190000000001</v>
      </c>
      <c r="K80" s="33" t="n">
        <v>1152.9325</v>
      </c>
      <c r="L80" s="33" t="n">
        <v>954.6989</v>
      </c>
      <c r="M80" s="34" t="n">
        <v>3074.3504</v>
      </c>
      <c r="N80" s="34" t="n">
        <v>3074.35</v>
      </c>
      <c r="O80" s="34" t="n">
        <v>2114.3504</v>
      </c>
      <c r="P80" s="34" t="n">
        <v>2114.35</v>
      </c>
      <c r="Q80" s="26" t="inlineStr">
        <is>
          <t>SOBRE PEDIDO (EXP)</t>
        </is>
      </c>
    </row>
    <row r="81" ht="19" customHeight="1">
      <c r="A81" s="18" t="inlineStr">
        <is>
          <t>SS0020</t>
        </is>
      </c>
      <c r="B81" s="22" t="inlineStr">
        <is>
          <t>SS0020</t>
        </is>
      </c>
      <c r="C81" s="20" t="inlineStr">
        <is>
          <t>SAL-WAX-Ca sólido, 20 KG</t>
        </is>
      </c>
      <c r="D81" s="21" t="n">
        <v>20</v>
      </c>
      <c r="E81" s="20" t="inlineStr">
        <is>
          <t>Bolsas 20 Kg</t>
        </is>
      </c>
      <c r="F81" s="22" t="inlineStr">
        <is>
          <t>ESPAÑA</t>
        </is>
      </c>
      <c r="G81" s="22" t="inlineStr">
        <is>
          <t>Para Previsión (Nac)</t>
        </is>
      </c>
      <c r="H81" s="24" t="n">
        <v>6240</v>
      </c>
      <c r="I81" s="24" t="n">
        <v>640</v>
      </c>
      <c r="J81" s="24" t="n">
        <v>3515.342</v>
      </c>
      <c r="K81" s="24" t="n">
        <v>4192.4819</v>
      </c>
      <c r="L81" s="24" t="n">
        <v>0</v>
      </c>
      <c r="M81" s="25" t="n">
        <v>8347.823899999999</v>
      </c>
      <c r="N81" s="25" t="n">
        <v>8347.82</v>
      </c>
      <c r="O81" s="25" t="n">
        <v>2107.823899999999</v>
      </c>
      <c r="P81" s="25" t="n">
        <v>2107.82</v>
      </c>
      <c r="Q81" s="26" t="inlineStr">
        <is>
          <t>FABRICACIÓN URGENTE</t>
        </is>
      </c>
    </row>
    <row r="82" ht="19" customHeight="1">
      <c r="A82" s="27" t="inlineStr">
        <is>
          <t>LP0001</t>
        </is>
      </c>
      <c r="B82" s="28" t="inlineStr">
        <is>
          <t>LP0001DO</t>
        </is>
      </c>
      <c r="C82" s="29" t="inlineStr">
        <is>
          <t>LAVAPLANT GRANEL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2096.2409</v>
      </c>
      <c r="L82" s="33" t="n">
        <v>0</v>
      </c>
      <c r="M82" s="34" t="n">
        <v>2096.2409</v>
      </c>
      <c r="N82" s="34" t="n">
        <v>2096.24</v>
      </c>
      <c r="O82" s="34" t="n">
        <v>2096.2409</v>
      </c>
      <c r="P82" s="34" t="n">
        <v>2096.24</v>
      </c>
      <c r="Q82" s="26" t="inlineStr">
        <is>
          <t>SOBRE PEDIDO (EXP)</t>
        </is>
      </c>
    </row>
    <row r="83" ht="19" customHeight="1">
      <c r="A83" s="18" t="inlineStr">
        <is>
          <t>START20001</t>
        </is>
      </c>
      <c r="B83" s="19" t="inlineStr">
        <is>
          <t>START20001DO</t>
        </is>
      </c>
      <c r="C83" s="20" t="inlineStr">
        <is>
          <t>RADISOL</t>
        </is>
      </c>
      <c r="D83" s="21" t="n">
        <v>1</v>
      </c>
      <c r="E83" s="20" t="inlineStr">
        <is>
          <t>Botellas 1L</t>
        </is>
      </c>
      <c r="F83" s="22" t="inlineStr">
        <is>
          <t>DOMINICANA, REPÚBLICA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2096.2409</v>
      </c>
      <c r="L83" s="24" t="n">
        <v>0</v>
      </c>
      <c r="M83" s="25" t="n">
        <v>2096.2409</v>
      </c>
      <c r="N83" s="25" t="n">
        <v>2096.24</v>
      </c>
      <c r="O83" s="25" t="n">
        <v>2096.2409</v>
      </c>
      <c r="P83" s="25" t="n">
        <v>2096.24</v>
      </c>
      <c r="Q83" s="26" t="inlineStr">
        <is>
          <t>SOBRE PEDIDO (EXP)</t>
        </is>
      </c>
    </row>
    <row r="84" ht="19" customHeight="1">
      <c r="A84" s="27" t="inlineStr">
        <is>
          <t>FLORCR1000</t>
        </is>
      </c>
      <c r="B84" s="31" t="inlineStr">
        <is>
          <t>FLORCR1000</t>
        </is>
      </c>
      <c r="C84" s="29" t="inlineStr">
        <is>
          <t>FLORAMEC</t>
        </is>
      </c>
      <c r="D84" s="30" t="n">
        <v>1000</v>
      </c>
      <c r="E84" s="29" t="inlineStr">
        <is>
          <t>Depósito 1000 L</t>
        </is>
      </c>
      <c r="F84" s="31" t="inlineStr">
        <is>
          <t>ESPAÑA</t>
        </is>
      </c>
      <c r="G84" s="31" t="inlineStr">
        <is>
          <t>Para Previsión (Nac)</t>
        </is>
      </c>
      <c r="H84" s="33" t="n">
        <v>0</v>
      </c>
      <c r="I84" s="33" t="n">
        <v>2000</v>
      </c>
      <c r="J84" s="33" t="n">
        <v>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2000</v>
      </c>
      <c r="P84" s="34" t="n">
        <v>2000</v>
      </c>
      <c r="Q84" s="26" t="inlineStr">
        <is>
          <t>FABRICACIÓN URGENTE</t>
        </is>
      </c>
    </row>
    <row r="85" ht="19" customHeight="1">
      <c r="A85" s="18" t="inlineStr">
        <is>
          <t>NB1000</t>
        </is>
      </c>
      <c r="B85" s="22" t="inlineStr">
        <is>
          <t>NB1000</t>
        </is>
      </c>
      <c r="C85" s="20" t="inlineStr">
        <is>
          <t>NITROBALANCE</t>
        </is>
      </c>
      <c r="D85" s="21" t="n">
        <v>1000</v>
      </c>
      <c r="E85" s="20" t="inlineStr">
        <is>
          <t>Depósito 1000 L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0</v>
      </c>
      <c r="I85" s="24" t="n">
        <v>2000</v>
      </c>
      <c r="J85" s="24" t="n">
        <v>0</v>
      </c>
      <c r="K85" s="24" t="n">
        <v>0</v>
      </c>
      <c r="L85" s="24" t="n">
        <v>0</v>
      </c>
      <c r="M85" s="25" t="n">
        <v>2000</v>
      </c>
      <c r="N85" s="25" t="n">
        <v>2000</v>
      </c>
      <c r="O85" s="25" t="n">
        <v>2000</v>
      </c>
      <c r="P85" s="25" t="n">
        <v>2000</v>
      </c>
      <c r="Q85" s="26" t="inlineStr">
        <is>
          <t>FABRICACIÓN URGENTE</t>
        </is>
      </c>
    </row>
    <row r="86" ht="19" customHeight="1">
      <c r="A86" s="27" t="inlineStr">
        <is>
          <t>CBROT0020</t>
        </is>
      </c>
      <c r="B86" s="28" t="inlineStr">
        <is>
          <t>CBROT0020AZ</t>
        </is>
      </c>
      <c r="C86" s="29" t="inlineStr">
        <is>
          <t>CODIBROT, 20 L</t>
        </is>
      </c>
      <c r="D86" s="30" t="n">
        <v>20</v>
      </c>
      <c r="E86" s="29" t="inlineStr">
        <is>
          <t>Garrafas 20L</t>
        </is>
      </c>
      <c r="F86" s="31" t="inlineStr">
        <is>
          <t>AZERBAIYÁN</t>
        </is>
      </c>
      <c r="G86" s="32" t="inlineStr">
        <is>
          <t>Sobre Pedido (Export)</t>
        </is>
      </c>
      <c r="H86" s="33" t="n">
        <v>620</v>
      </c>
      <c r="I86" s="33" t="n">
        <v>0</v>
      </c>
      <c r="J86" s="33" t="n">
        <v>0</v>
      </c>
      <c r="K86" s="33" t="n">
        <v>0</v>
      </c>
      <c r="L86" s="33" t="n">
        <v>2603.7244</v>
      </c>
      <c r="M86" s="34" t="n">
        <v>2603.7244</v>
      </c>
      <c r="N86" s="34" t="n">
        <v>2603.72</v>
      </c>
      <c r="O86" s="34" t="n">
        <v>1983.7244</v>
      </c>
      <c r="P86" s="34" t="n">
        <v>1983.72</v>
      </c>
      <c r="Q86" s="26" t="inlineStr">
        <is>
          <t>SOBRE PEDIDO (EXP)</t>
        </is>
      </c>
    </row>
    <row r="87" ht="19" customHeight="1">
      <c r="A87" s="18" t="inlineStr">
        <is>
          <t>A-500005</t>
        </is>
      </c>
      <c r="B87" s="19" t="inlineStr">
        <is>
          <t>A-500005CR</t>
        </is>
      </c>
      <c r="C87" s="20" t="inlineStr">
        <is>
          <t>CODIORGAN  A-50</t>
        </is>
      </c>
      <c r="D87" s="21" t="n">
        <v>5</v>
      </c>
      <c r="E87" s="20" t="inlineStr">
        <is>
          <t>Bolsas 5 Kg</t>
        </is>
      </c>
      <c r="F87" s="22" t="inlineStr">
        <is>
          <t>COSTA RICA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878.8355</v>
      </c>
      <c r="K87" s="24" t="n">
        <v>1048.1205</v>
      </c>
      <c r="L87" s="24" t="n">
        <v>0</v>
      </c>
      <c r="M87" s="25" t="n">
        <v>1926.956</v>
      </c>
      <c r="N87" s="25" t="n">
        <v>1926.96</v>
      </c>
      <c r="O87" s="25" t="n">
        <v>1926.956</v>
      </c>
      <c r="P87" s="25" t="n">
        <v>1926.96</v>
      </c>
      <c r="Q87" s="26" t="inlineStr">
        <is>
          <t>SOBRE PEDIDO (EXP)</t>
        </is>
      </c>
    </row>
    <row r="88" ht="19" customHeight="1">
      <c r="A88" s="27" t="inlineStr">
        <is>
          <t>FTK0020</t>
        </is>
      </c>
      <c r="B88" s="28" t="inlineStr">
        <is>
          <t>FTK0020RS</t>
        </is>
      </c>
      <c r="C88" s="29" t="inlineStr">
        <is>
          <t>FITOKONTROL CA FLOW, 20 KG</t>
        </is>
      </c>
      <c r="D88" s="30" t="n">
        <v>20</v>
      </c>
      <c r="E88" s="29" t="inlineStr">
        <is>
          <t>Bolsas 20 Kg</t>
        </is>
      </c>
      <c r="F88" s="31" t="inlineStr">
        <is>
          <t>SERBIA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1909.3979</v>
      </c>
      <c r="M88" s="34" t="n">
        <v>1909.3979</v>
      </c>
      <c r="N88" s="34" t="n">
        <v>1909.4</v>
      </c>
      <c r="O88" s="34" t="n">
        <v>1909.3979</v>
      </c>
      <c r="P88" s="34" t="n">
        <v>1909.4</v>
      </c>
      <c r="Q88" s="26" t="inlineStr">
        <is>
          <t>SOBRE PEDIDO (EXP)</t>
        </is>
      </c>
    </row>
    <row r="89" ht="19" customHeight="1">
      <c r="A89" s="18" t="inlineStr">
        <is>
          <t>START0001</t>
        </is>
      </c>
      <c r="B89" s="22" t="inlineStr">
        <is>
          <t>START0001</t>
        </is>
      </c>
      <c r="C89" s="20" t="inlineStr">
        <is>
          <t>RADISOL STARTER, 1 L</t>
        </is>
      </c>
      <c r="D89" s="21" t="n">
        <v>1</v>
      </c>
      <c r="E89" s="20" t="inlineStr">
        <is>
          <t>Botellas 1L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1848</v>
      </c>
      <c r="J89" s="24" t="n">
        <v>0</v>
      </c>
      <c r="K89" s="24" t="n">
        <v>0</v>
      </c>
      <c r="L89" s="24" t="n">
        <v>0</v>
      </c>
      <c r="M89" s="25" t="n">
        <v>1848</v>
      </c>
      <c r="N89" s="25" t="n">
        <v>1848</v>
      </c>
      <c r="O89" s="25" t="n">
        <v>1848</v>
      </c>
      <c r="P89" s="25" t="n">
        <v>1848</v>
      </c>
      <c r="Q89" s="26" t="inlineStr">
        <is>
          <t>FABRICACIÓN URGENTE</t>
        </is>
      </c>
    </row>
    <row r="90" ht="19" customHeight="1">
      <c r="A90" s="27" t="inlineStr">
        <is>
          <t>FTK0005</t>
        </is>
      </c>
      <c r="B90" s="28" t="inlineStr">
        <is>
          <t>FTK0005MA</t>
        </is>
      </c>
      <c r="C90" s="29" t="inlineStr">
        <is>
          <t>FITOKONTROL CA FLOW, 5 KG</t>
        </is>
      </c>
      <c r="D90" s="30" t="n">
        <v>5</v>
      </c>
      <c r="E90" s="29" t="inlineStr">
        <is>
          <t>Bolsas 5 Kg</t>
        </is>
      </c>
      <c r="F90" s="31" t="inlineStr">
        <is>
          <t>MARRUECOS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GRE20005</t>
        </is>
      </c>
      <c r="B91" s="19" t="inlineStr">
        <is>
          <t>GRE20005GR</t>
        </is>
      </c>
      <c r="C91" s="20" t="inlineStr">
        <is>
          <t>EGERSIS</t>
        </is>
      </c>
      <c r="D91" s="21" t="n">
        <v>5</v>
      </c>
      <c r="E91" s="20" t="inlineStr">
        <is>
          <t>Garrafas 5L</t>
        </is>
      </c>
      <c r="F91" s="22" t="inlineStr">
        <is>
          <t>GRECIA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CM3M0001</t>
        </is>
      </c>
      <c r="B92" s="28" t="inlineStr">
        <is>
          <t>CM3M0001AZ</t>
        </is>
      </c>
      <c r="C92" s="29" t="inlineStr">
        <is>
          <t>TENSOLINE-MAX, 1 L</t>
        </is>
      </c>
      <c r="D92" s="30" t="n">
        <v>1</v>
      </c>
      <c r="E92" s="29" t="inlineStr">
        <is>
          <t>Botellas 1L</t>
        </is>
      </c>
      <c r="F92" s="31" t="inlineStr">
        <is>
          <t>AZERBAIYÁN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A-50(2)0001</t>
        </is>
      </c>
      <c r="B93" s="19" t="inlineStr">
        <is>
          <t>A-50(2)0001RS</t>
        </is>
      </c>
      <c r="C93" s="20" t="inlineStr">
        <is>
          <t>CODIORGAN-A50</t>
        </is>
      </c>
      <c r="D93" s="21" t="n">
        <v>1</v>
      </c>
      <c r="E93" s="20" t="inlineStr">
        <is>
          <t>Bolsas 1 Kg</t>
        </is>
      </c>
      <c r="F93" s="22" t="inlineStr">
        <is>
          <t>SERBIA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CZNMNES1000</t>
        </is>
      </c>
      <c r="B94" s="28" t="inlineStr">
        <is>
          <t>CZNMNES1000TR</t>
        </is>
      </c>
      <c r="C94" s="29" t="inlineStr">
        <is>
          <t>CODIFOL ZN-MN, 1000 KG</t>
        </is>
      </c>
      <c r="D94" s="30" t="n">
        <v>1000</v>
      </c>
      <c r="E94" s="29" t="inlineStr">
        <is>
          <t>Big Bag 1000 Kg</t>
        </is>
      </c>
      <c r="F94" s="31" t="inlineStr">
        <is>
          <t>TURQUÍA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A-501000</t>
        </is>
      </c>
      <c r="B95" s="19" t="inlineStr">
        <is>
          <t>A-501000TR</t>
        </is>
      </c>
      <c r="C95" s="20" t="inlineStr">
        <is>
          <t>CODIORGAN-A50, 1000 KG</t>
        </is>
      </c>
      <c r="D95" s="21" t="n">
        <v>1000</v>
      </c>
      <c r="E95" s="20" t="inlineStr">
        <is>
          <t>Big Bag 1000 Kg</t>
        </is>
      </c>
      <c r="F95" s="22" t="inlineStr">
        <is>
          <t>TURQUÍA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1735.8162</v>
      </c>
      <c r="M95" s="25" t="n">
        <v>1735.8162</v>
      </c>
      <c r="N95" s="25" t="n">
        <v>1735.82</v>
      </c>
      <c r="O95" s="25" t="n">
        <v>1735.8162</v>
      </c>
      <c r="P95" s="25" t="n">
        <v>1735.82</v>
      </c>
      <c r="Q95" s="26" t="inlineStr">
        <is>
          <t>SOBRE PEDIDO (EXP)</t>
        </is>
      </c>
    </row>
    <row r="96" ht="19" customHeight="1">
      <c r="A96" s="27" t="inlineStr">
        <is>
          <t>BC0020</t>
        </is>
      </c>
      <c r="B96" s="31" t="inlineStr">
        <is>
          <t>BC0020</t>
        </is>
      </c>
      <c r="C96" s="29" t="inlineStr">
        <is>
          <t>BITTER-CAL,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200</v>
      </c>
      <c r="I96" s="33" t="n">
        <v>1920</v>
      </c>
      <c r="J96" s="33" t="n">
        <v>0</v>
      </c>
      <c r="K96" s="33" t="n">
        <v>0</v>
      </c>
      <c r="L96" s="33" t="n">
        <v>0</v>
      </c>
      <c r="M96" s="34" t="n">
        <v>1920</v>
      </c>
      <c r="N96" s="34" t="n">
        <v>1920</v>
      </c>
      <c r="O96" s="34" t="n">
        <v>1720</v>
      </c>
      <c r="P96" s="34" t="n">
        <v>1720</v>
      </c>
      <c r="Q96" s="26" t="inlineStr">
        <is>
          <t>FABRICACIÓN URGENTE</t>
        </is>
      </c>
    </row>
    <row r="97" ht="19" customHeight="1">
      <c r="A97" s="18" t="inlineStr">
        <is>
          <t>A-500001</t>
        </is>
      </c>
      <c r="B97" s="19" t="inlineStr">
        <is>
          <t>A-500001GE</t>
        </is>
      </c>
      <c r="C97" s="20" t="inlineStr">
        <is>
          <t>CODIORGAN-A50, 1 KG</t>
        </is>
      </c>
      <c r="D97" s="21" t="n">
        <v>1</v>
      </c>
      <c r="E97" s="20" t="inlineStr">
        <is>
          <t>Bolsas 1 Kg</t>
        </is>
      </c>
      <c r="F97" s="22" t="inlineStr">
        <is>
          <t>GEORGIA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0</v>
      </c>
      <c r="L97" s="24" t="n">
        <v>1666.3836</v>
      </c>
      <c r="M97" s="25" t="n">
        <v>1666.3836</v>
      </c>
      <c r="N97" s="25" t="n">
        <v>1666.38</v>
      </c>
      <c r="O97" s="25" t="n">
        <v>1666.3836</v>
      </c>
      <c r="P97" s="25" t="n">
        <v>1666.38</v>
      </c>
      <c r="Q97" s="26" t="inlineStr">
        <is>
          <t>SOBRE PEDIDO (EXP)</t>
        </is>
      </c>
    </row>
    <row r="98" ht="19" customHeight="1">
      <c r="A98" s="27" t="inlineStr">
        <is>
          <t>AGZNP0001</t>
        </is>
      </c>
      <c r="B98" s="28" t="inlineStr">
        <is>
          <t>AGZNP0001EG</t>
        </is>
      </c>
      <c r="C98" s="29" t="inlineStr">
        <is>
          <t>AGROXILATO-ZN PLUS</t>
        </is>
      </c>
      <c r="D98" s="30" t="n">
        <v>1</v>
      </c>
      <c r="E98" s="29" t="inlineStr">
        <is>
          <t>Bolsas 1 Kg</t>
        </is>
      </c>
      <c r="F98" s="31" t="inlineStr">
        <is>
          <t>EGIPTO</t>
        </is>
      </c>
      <c r="G98" s="32" t="inlineStr">
        <is>
          <t>Sobre Pedido (Export)</t>
        </is>
      </c>
      <c r="H98" s="33" t="n">
        <v>128</v>
      </c>
      <c r="I98" s="33" t="n">
        <v>0</v>
      </c>
      <c r="J98" s="33" t="n">
        <v>1757.671</v>
      </c>
      <c r="K98" s="33" t="n">
        <v>0</v>
      </c>
      <c r="L98" s="33" t="n">
        <v>0</v>
      </c>
      <c r="M98" s="34" t="n">
        <v>1757.671</v>
      </c>
      <c r="N98" s="34" t="n">
        <v>1757.67</v>
      </c>
      <c r="O98" s="34" t="n">
        <v>1629.671</v>
      </c>
      <c r="P98" s="34" t="n">
        <v>1629.67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FTK0005</t>
        </is>
      </c>
      <c r="B102" s="31" t="inlineStr">
        <is>
          <t>FTK0005</t>
        </is>
      </c>
      <c r="C102" s="29" t="inlineStr">
        <is>
          <t>FITOKONTROL CA FLOW, 5 KG</t>
        </is>
      </c>
      <c r="D102" s="30" t="n">
        <v>5</v>
      </c>
      <c r="E102" s="29" t="inlineStr">
        <is>
          <t>Bolsas 5 Kg</t>
        </is>
      </c>
      <c r="F102" s="31" t="inlineStr">
        <is>
          <t>ESPAÑA</t>
        </is>
      </c>
      <c r="G102" s="31" t="inlineStr">
        <is>
          <t>Para Previsión (Nac)</t>
        </is>
      </c>
      <c r="H102" s="33" t="n">
        <v>490</v>
      </c>
      <c r="I102" s="33" t="n">
        <v>0</v>
      </c>
      <c r="J102" s="33" t="n">
        <v>263.6506</v>
      </c>
      <c r="K102" s="33" t="n">
        <v>628.8722</v>
      </c>
      <c r="L102" s="33" t="n">
        <v>1041.4897</v>
      </c>
      <c r="M102" s="34" t="n">
        <v>1934.0125</v>
      </c>
      <c r="N102" s="34" t="n">
        <v>1934.01</v>
      </c>
      <c r="O102" s="34" t="n">
        <v>1444.0125</v>
      </c>
      <c r="P102" s="34" t="n">
        <v>1444.01</v>
      </c>
      <c r="Q102" s="26" t="inlineStr">
        <is>
          <t>FABRICACIÓN URGENTE</t>
        </is>
      </c>
    </row>
    <row r="103" ht="19" customHeight="1">
      <c r="A103" s="18" t="inlineStr">
        <is>
          <t>PHD0005</t>
        </is>
      </c>
      <c r="B103" s="19" t="inlineStr">
        <is>
          <t>PHD0005MA</t>
        </is>
      </c>
      <c r="C103" s="20" t="inlineStr">
        <is>
          <t>PH-DOWNER, 5 L</t>
        </is>
      </c>
      <c r="D103" s="21" t="n">
        <v>5</v>
      </c>
      <c r="E103" s="20" t="inlineStr">
        <is>
          <t>Garrafas 5L</t>
        </is>
      </c>
      <c r="F103" s="22" t="inlineStr">
        <is>
          <t>MARRUECOS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1406.1368</v>
      </c>
      <c r="K103" s="24" t="n">
        <v>0</v>
      </c>
      <c r="L103" s="24" t="n">
        <v>0</v>
      </c>
      <c r="M103" s="25" t="n">
        <v>1406.1368</v>
      </c>
      <c r="N103" s="25" t="n">
        <v>1406.14</v>
      </c>
      <c r="O103" s="25" t="n">
        <v>1406.1368</v>
      </c>
      <c r="P103" s="25" t="n">
        <v>1406.14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AGZN0005</t>
        </is>
      </c>
      <c r="B105" s="19" t="inlineStr">
        <is>
          <t>AGZN0005CR</t>
        </is>
      </c>
      <c r="C105" s="20" t="inlineStr">
        <is>
          <t>AGROXILATO-ZN 16%,  5 KG (EXPORT)</t>
        </is>
      </c>
      <c r="D105" s="21" t="n">
        <v>5</v>
      </c>
      <c r="E105" s="20" t="inlineStr">
        <is>
          <t>Bolsas 5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G1000CRCO</t>
        </is>
      </c>
      <c r="B106" s="31" t="inlineStr">
        <is>
          <t>G1000CRCO</t>
        </is>
      </c>
      <c r="C106" s="29" t="inlineStr">
        <is>
          <t>TRANSLOCADOR</t>
        </is>
      </c>
      <c r="D106" s="30" t="n">
        <v>1000</v>
      </c>
      <c r="E106" s="29" t="inlineStr">
        <is>
          <t>Depósito 1000 L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878.8355</v>
      </c>
      <c r="K106" s="33" t="n">
        <v>0</v>
      </c>
      <c r="L106" s="33" t="n">
        <v>433.9541</v>
      </c>
      <c r="M106" s="34" t="n">
        <v>1312.7896</v>
      </c>
      <c r="N106" s="34" t="n">
        <v>1312.79</v>
      </c>
      <c r="O106" s="34" t="n">
        <v>1312.7896</v>
      </c>
      <c r="P106" s="34" t="n">
        <v>1312.79</v>
      </c>
      <c r="Q106" s="26" t="inlineStr">
        <is>
          <t>SOBRE PEDIDO (EXP)</t>
        </is>
      </c>
    </row>
    <row r="107" ht="19" customHeight="1">
      <c r="A107" s="18" t="inlineStr">
        <is>
          <t>SS0001</t>
        </is>
      </c>
      <c r="B107" s="19" t="inlineStr">
        <is>
          <t>SS0001CR</t>
        </is>
      </c>
      <c r="C107" s="20" t="inlineStr">
        <is>
          <t>SAL-WAX Ca</t>
        </is>
      </c>
      <c r="D107" s="21" t="n">
        <v>1</v>
      </c>
      <c r="E107" s="20" t="inlineStr">
        <is>
          <t>Bolsas 1 Kg</t>
        </is>
      </c>
      <c r="F107" s="22" t="inlineStr">
        <is>
          <t>COSTA RICA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928.0503</v>
      </c>
      <c r="K107" s="24" t="n">
        <v>0</v>
      </c>
      <c r="L107" s="24" t="n">
        <v>347.1632</v>
      </c>
      <c r="M107" s="25" t="n">
        <v>1275.2135</v>
      </c>
      <c r="N107" s="25" t="n">
        <v>1275.21</v>
      </c>
      <c r="O107" s="25" t="n">
        <v>1275.2135</v>
      </c>
      <c r="P107" s="25" t="n">
        <v>1275.21</v>
      </c>
      <c r="Q107" s="26" t="inlineStr">
        <is>
          <t>SOBRE PEDIDO (EXP)</t>
        </is>
      </c>
    </row>
    <row r="108" ht="19" customHeight="1">
      <c r="A108" s="27" t="inlineStr">
        <is>
          <t>SSEG0020</t>
        </is>
      </c>
      <c r="B108" s="31" t="inlineStr">
        <is>
          <t>SSEG0020</t>
        </is>
      </c>
      <c r="C108" s="29" t="inlineStr">
        <is>
          <t>SAL-WAX Ca</t>
        </is>
      </c>
      <c r="D108" s="30" t="n">
        <v>20</v>
      </c>
      <c r="E108" s="29" t="inlineStr">
        <is>
          <t>Bolsas 20 Kg</t>
        </is>
      </c>
      <c r="F108" s="31" t="inlineStr">
        <is>
          <t>EXPORT</t>
        </is>
      </c>
      <c r="G108" s="32" t="inlineStr">
        <is>
          <t>Sobre Pedido (Export)</t>
        </is>
      </c>
      <c r="H108" s="33" t="n">
        <v>0</v>
      </c>
      <c r="I108" s="33" t="n">
        <v>1200</v>
      </c>
      <c r="J108" s="33" t="n">
        <v>0</v>
      </c>
      <c r="K108" s="33" t="n">
        <v>0</v>
      </c>
      <c r="L108" s="33" t="n">
        <v>0</v>
      </c>
      <c r="M108" s="34" t="n">
        <v>1200</v>
      </c>
      <c r="N108" s="34" t="n">
        <v>1200</v>
      </c>
      <c r="O108" s="34" t="n">
        <v>1200</v>
      </c>
      <c r="P108" s="34" t="n">
        <v>1200</v>
      </c>
      <c r="Q108" s="26" t="inlineStr">
        <is>
          <t>SOBRE PEDIDO (EXP)</t>
        </is>
      </c>
    </row>
    <row r="109" ht="19" customHeight="1">
      <c r="A109" s="18" t="inlineStr">
        <is>
          <t>AMIMG0020</t>
        </is>
      </c>
      <c r="B109" s="22" t="inlineStr">
        <is>
          <t>AMIMG0020</t>
        </is>
      </c>
      <c r="C109" s="20" t="inlineStr">
        <is>
          <t>AMINOSOIL MG, 20 L</t>
        </is>
      </c>
      <c r="D109" s="21" t="n">
        <v>20</v>
      </c>
      <c r="E109" s="20" t="inlineStr">
        <is>
          <t>Garrafas 20L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400</v>
      </c>
      <c r="I109" s="24" t="n">
        <v>640</v>
      </c>
      <c r="J109" s="24" t="n">
        <v>0</v>
      </c>
      <c r="K109" s="24" t="n">
        <v>670.7971</v>
      </c>
      <c r="L109" s="24" t="n">
        <v>260.3724</v>
      </c>
      <c r="M109" s="25" t="n">
        <v>1571.1695</v>
      </c>
      <c r="N109" s="25" t="n">
        <v>1571.17</v>
      </c>
      <c r="O109" s="25" t="n">
        <v>1171.1695</v>
      </c>
      <c r="P109" s="25" t="n">
        <v>1171.17</v>
      </c>
      <c r="Q109" s="26" t="inlineStr">
        <is>
          <t>FABRICACIÓN URGENTE</t>
        </is>
      </c>
    </row>
    <row r="110" ht="19" customHeight="1">
      <c r="A110" s="27" t="inlineStr">
        <is>
          <t>LP0005</t>
        </is>
      </c>
      <c r="B110" s="31" t="inlineStr">
        <is>
          <t>LP0005</t>
        </is>
      </c>
      <c r="C110" s="29" t="inlineStr">
        <is>
          <t>LAVAPLANT, 5 L</t>
        </is>
      </c>
      <c r="D110" s="30" t="n">
        <v>5</v>
      </c>
      <c r="E110" s="29" t="inlineStr">
        <is>
          <t>Garrafas 5L</t>
        </is>
      </c>
      <c r="F110" s="31" t="inlineStr">
        <is>
          <t>ESPAÑA</t>
        </is>
      </c>
      <c r="G110" s="31" t="inlineStr">
        <is>
          <t>Para Previsión (Nac)</t>
        </is>
      </c>
      <c r="H110" s="33" t="n">
        <v>0</v>
      </c>
      <c r="I110" s="33" t="n">
        <v>1160</v>
      </c>
      <c r="J110" s="33" t="n">
        <v>0</v>
      </c>
      <c r="K110" s="33" t="n">
        <v>0</v>
      </c>
      <c r="L110" s="33" t="n">
        <v>0</v>
      </c>
      <c r="M110" s="34" t="n">
        <v>1160</v>
      </c>
      <c r="N110" s="34" t="n">
        <v>1160</v>
      </c>
      <c r="O110" s="34" t="n">
        <v>1160</v>
      </c>
      <c r="P110" s="34" t="n">
        <v>1160</v>
      </c>
      <c r="Q110" s="26" t="inlineStr">
        <is>
          <t>FABRICACIÓN URGENTE</t>
        </is>
      </c>
    </row>
    <row r="111" ht="19" customHeight="1">
      <c r="A111" s="18" t="inlineStr">
        <is>
          <t>AN0020</t>
        </is>
      </c>
      <c r="B111" s="19" t="inlineStr">
        <is>
          <t>AN0020RO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RUMANÍA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1152.9325</v>
      </c>
      <c r="L111" s="24" t="n">
        <v>0</v>
      </c>
      <c r="M111" s="25" t="n">
        <v>1152.9325</v>
      </c>
      <c r="N111" s="25" t="n">
        <v>1152.93</v>
      </c>
      <c r="O111" s="25" t="n">
        <v>1152.9325</v>
      </c>
      <c r="P111" s="25" t="n">
        <v>1152.93</v>
      </c>
      <c r="Q111" s="26" t="inlineStr">
        <is>
          <t>SOBRE PEDIDO (EXP)</t>
        </is>
      </c>
    </row>
    <row r="112" ht="19" customHeight="1">
      <c r="A112" s="27" t="inlineStr">
        <is>
          <t>BROTA0020</t>
        </is>
      </c>
      <c r="B112" s="31" t="inlineStr">
        <is>
          <t>BROTA0020</t>
        </is>
      </c>
      <c r="C112" s="29" t="inlineStr">
        <is>
          <t>BROTAMEC, 20 L</t>
        </is>
      </c>
      <c r="D112" s="30" t="n">
        <v>20</v>
      </c>
      <c r="E112" s="29" t="inlineStr">
        <is>
          <t>Garrafas 20L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820</v>
      </c>
      <c r="I112" s="33" t="n">
        <v>0</v>
      </c>
      <c r="J112" s="33" t="n">
        <v>1124.9094</v>
      </c>
      <c r="K112" s="33" t="n">
        <v>0</v>
      </c>
      <c r="L112" s="33" t="n">
        <v>833.1917999999999</v>
      </c>
      <c r="M112" s="34" t="n">
        <v>1958.1012</v>
      </c>
      <c r="N112" s="34" t="n">
        <v>1958.1</v>
      </c>
      <c r="O112" s="34" t="n">
        <v>1138.1012</v>
      </c>
      <c r="P112" s="34" t="n">
        <v>1138.1</v>
      </c>
      <c r="Q112" s="26" t="inlineStr">
        <is>
          <t>FABRICACIÓN URGENTE</t>
        </is>
      </c>
    </row>
    <row r="113" ht="19" customHeight="1">
      <c r="A113" s="18" t="inlineStr">
        <is>
          <t>AGZN0001</t>
        </is>
      </c>
      <c r="B113" s="19" t="inlineStr">
        <is>
          <t>AGZN0001CR</t>
        </is>
      </c>
      <c r="C113" s="20" t="inlineStr">
        <is>
          <t>AGROXILATO Zn</t>
        </is>
      </c>
      <c r="D113" s="21" t="n">
        <v>1</v>
      </c>
      <c r="E113" s="20" t="inlineStr">
        <is>
          <t>Bolsas 1 Kg</t>
        </is>
      </c>
      <c r="F113" s="22" t="inlineStr">
        <is>
          <t>COSTA RICA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1106.8152</v>
      </c>
      <c r="L113" s="24" t="n">
        <v>0</v>
      </c>
      <c r="M113" s="25" t="n">
        <v>1106.8152</v>
      </c>
      <c r="N113" s="25" t="n">
        <v>1106.82</v>
      </c>
      <c r="O113" s="25" t="n">
        <v>1106.8152</v>
      </c>
      <c r="P113" s="25" t="n">
        <v>1106.82</v>
      </c>
      <c r="Q113" s="26" t="inlineStr">
        <is>
          <t>SOBRE PEDIDO (EXP)</t>
        </is>
      </c>
    </row>
    <row r="114" ht="19" customHeight="1">
      <c r="A114" s="27" t="inlineStr">
        <is>
          <t>AN0020</t>
        </is>
      </c>
      <c r="B114" s="28" t="inlineStr">
        <is>
          <t>AN0020PE</t>
        </is>
      </c>
      <c r="C114" s="29" t="inlineStr">
        <is>
          <t>ALCAPLANT NEW, 20 KG</t>
        </is>
      </c>
      <c r="D114" s="30" t="n">
        <v>20</v>
      </c>
      <c r="E114" s="29" t="inlineStr">
        <is>
          <t>Bolsas 20 Kg</t>
        </is>
      </c>
      <c r="F114" s="31" t="inlineStr">
        <is>
          <t>PERÚ</t>
        </is>
      </c>
      <c r="G114" s="32" t="inlineStr">
        <is>
          <t>Sobre Pedido (Export)</t>
        </is>
      </c>
      <c r="H114" s="33" t="n">
        <v>0</v>
      </c>
      <c r="I114" s="33" t="n">
        <v>1100</v>
      </c>
      <c r="J114" s="33" t="n">
        <v>0</v>
      </c>
      <c r="K114" s="33" t="n">
        <v>0</v>
      </c>
      <c r="L114" s="33" t="n">
        <v>0</v>
      </c>
      <c r="M114" s="34" t="n">
        <v>1100</v>
      </c>
      <c r="N114" s="34" t="n">
        <v>1100</v>
      </c>
      <c r="O114" s="34" t="n">
        <v>1100</v>
      </c>
      <c r="P114" s="34" t="n">
        <v>1100</v>
      </c>
      <c r="Q114" s="26" t="inlineStr">
        <is>
          <t>SOBRE PEDIDO (EXP)</t>
        </is>
      </c>
    </row>
    <row r="115" ht="19" customHeight="1">
      <c r="A115" s="18" t="inlineStr">
        <is>
          <t>LP0001</t>
        </is>
      </c>
      <c r="B115" s="22" t="inlineStr">
        <is>
          <t>LP0001</t>
        </is>
      </c>
      <c r="C115" s="20" t="inlineStr">
        <is>
          <t>LAVAPLANT GRANEL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1092</v>
      </c>
      <c r="J115" s="24" t="n">
        <v>0</v>
      </c>
      <c r="K115" s="24" t="n">
        <v>0</v>
      </c>
      <c r="L115" s="24" t="n">
        <v>0</v>
      </c>
      <c r="M115" s="25" t="n">
        <v>1092</v>
      </c>
      <c r="N115" s="25" t="n">
        <v>1092</v>
      </c>
      <c r="O115" s="25" t="n">
        <v>1092</v>
      </c>
      <c r="P115" s="25" t="n">
        <v>1092</v>
      </c>
      <c r="Q115" s="26" t="inlineStr">
        <is>
          <t>FABRICACIÓN URGENTE</t>
        </is>
      </c>
    </row>
    <row r="116" ht="19" customHeight="1">
      <c r="A116" s="27" t="inlineStr">
        <is>
          <t>SS0001</t>
        </is>
      </c>
      <c r="B116" s="31" t="inlineStr">
        <is>
          <t>SS0001</t>
        </is>
      </c>
      <c r="C116" s="29" t="inlineStr">
        <is>
          <t>SAL-WAX Ca</t>
        </is>
      </c>
      <c r="D116" s="30" t="n">
        <v>1</v>
      </c>
      <c r="E116" s="29" t="inlineStr">
        <is>
          <t>Bolsas 1 Kg</t>
        </is>
      </c>
      <c r="F116" s="31" t="inlineStr">
        <is>
          <t>ESPAÑA</t>
        </is>
      </c>
      <c r="G116" s="31" t="inlineStr">
        <is>
          <t>Para Previsión (Nac)</t>
        </is>
      </c>
      <c r="H116" s="33" t="n">
        <v>0</v>
      </c>
      <c r="I116" s="33" t="n">
        <v>1088</v>
      </c>
      <c r="J116" s="33" t="n">
        <v>0</v>
      </c>
      <c r="K116" s="33" t="n">
        <v>0</v>
      </c>
      <c r="L116" s="33" t="n">
        <v>0</v>
      </c>
      <c r="M116" s="34" t="n">
        <v>1088</v>
      </c>
      <c r="N116" s="34" t="n">
        <v>1088</v>
      </c>
      <c r="O116" s="34" t="n">
        <v>1088</v>
      </c>
      <c r="P116" s="34" t="n">
        <v>1088</v>
      </c>
      <c r="Q116" s="26" t="inlineStr">
        <is>
          <t>FABRICACIÓN URGENTE</t>
        </is>
      </c>
    </row>
    <row r="117" ht="19" customHeight="1">
      <c r="A117" s="18" t="inlineStr">
        <is>
          <t>F-MIX0020</t>
        </is>
      </c>
      <c r="B117" s="19" t="inlineStr">
        <is>
          <t>F-MIX0020MA</t>
        </is>
      </c>
      <c r="C117" s="20" t="inlineStr">
        <is>
          <t>FITOLIN-MIX, 20 L</t>
        </is>
      </c>
      <c r="D117" s="21" t="n">
        <v>20</v>
      </c>
      <c r="E117" s="20" t="inlineStr">
        <is>
          <t>Garrafas 20L</t>
        </is>
      </c>
      <c r="F117" s="22" t="inlineStr">
        <is>
          <t>MARRUECOS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1048.1205</v>
      </c>
      <c r="L117" s="24" t="n">
        <v>0</v>
      </c>
      <c r="M117" s="25" t="n">
        <v>1048.1205</v>
      </c>
      <c r="N117" s="25" t="n">
        <v>1048.12</v>
      </c>
      <c r="O117" s="25" t="n">
        <v>1048.1205</v>
      </c>
      <c r="P117" s="25" t="n">
        <v>1048.12</v>
      </c>
      <c r="Q117" s="26" t="inlineStr">
        <is>
          <t>SOBRE PEDIDO (EXP)</t>
        </is>
      </c>
    </row>
    <row r="118" ht="19" customHeight="1">
      <c r="A118" s="27" t="inlineStr">
        <is>
          <t>A-500020</t>
        </is>
      </c>
      <c r="B118" s="28" t="inlineStr">
        <is>
          <t>A-500020CR</t>
        </is>
      </c>
      <c r="C118" s="29" t="inlineStr">
        <is>
          <t>CODIORGAN  A-50</t>
        </is>
      </c>
      <c r="D118" s="30" t="n">
        <v>20</v>
      </c>
      <c r="E118" s="29" t="inlineStr">
        <is>
          <t>Bolsas 20 Kg</t>
        </is>
      </c>
      <c r="F118" s="31" t="inlineStr">
        <is>
          <t>COSTA RICA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1048.1205</v>
      </c>
      <c r="L118" s="33" t="n">
        <v>0</v>
      </c>
      <c r="M118" s="34" t="n">
        <v>1048.1205</v>
      </c>
      <c r="N118" s="34" t="n">
        <v>1048.12</v>
      </c>
      <c r="O118" s="34" t="n">
        <v>1048.1205</v>
      </c>
      <c r="P118" s="34" t="n">
        <v>1048.12</v>
      </c>
      <c r="Q118" s="26" t="inlineStr">
        <is>
          <t>SOBRE PEDIDO (EXP)</t>
        </is>
      </c>
    </row>
    <row r="119" ht="19" customHeight="1">
      <c r="A119" s="18" t="inlineStr">
        <is>
          <t>CODIR1000</t>
        </is>
      </c>
      <c r="B119" s="22" t="inlineStr">
        <is>
          <t>CODIR1000</t>
        </is>
      </c>
      <c r="C119" s="20" t="inlineStr">
        <is>
          <t>CODIRESIST</t>
        </is>
      </c>
      <c r="D119" s="21" t="n">
        <v>1000</v>
      </c>
      <c r="E119" s="20" t="inlineStr">
        <is>
          <t>Depósito 1000 L</t>
        </is>
      </c>
      <c r="F119" s="22" t="inlineStr">
        <is>
          <t>ESPAÑA</t>
        </is>
      </c>
      <c r="G119" s="22" t="inlineStr">
        <is>
          <t>Para Previsión (Nac)</t>
        </is>
      </c>
      <c r="H119" s="24" t="n">
        <v>0</v>
      </c>
      <c r="I119" s="24" t="n">
        <v>1000</v>
      </c>
      <c r="J119" s="24" t="n">
        <v>0</v>
      </c>
      <c r="K119" s="24" t="n">
        <v>0</v>
      </c>
      <c r="L119" s="24" t="n">
        <v>0</v>
      </c>
      <c r="M119" s="25" t="n">
        <v>1000</v>
      </c>
      <c r="N119" s="25" t="n">
        <v>1000</v>
      </c>
      <c r="O119" s="25" t="n">
        <v>1000</v>
      </c>
      <c r="P119" s="25" t="n">
        <v>1000</v>
      </c>
      <c r="Q119" s="26" t="inlineStr">
        <is>
          <t>FABRICACIÓN URGENTE</t>
        </is>
      </c>
    </row>
    <row r="120" ht="19" customHeight="1">
      <c r="A120" s="27" t="inlineStr">
        <is>
          <t>AN0005</t>
        </is>
      </c>
      <c r="B120" s="28" t="inlineStr">
        <is>
          <t>AN0005RS</t>
        </is>
      </c>
      <c r="C120" s="29" t="inlineStr">
        <is>
          <t>ALCAPLANT NEW, 5 KG</t>
        </is>
      </c>
      <c r="D120" s="30" t="n">
        <v>5</v>
      </c>
      <c r="E120" s="29" t="inlineStr">
        <is>
          <t>Bolsas 5 Kg</t>
        </is>
      </c>
      <c r="F120" s="31" t="inlineStr">
        <is>
          <t>SERBIA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0</v>
      </c>
      <c r="K120" s="33" t="n">
        <v>0</v>
      </c>
      <c r="L120" s="33" t="n">
        <v>954.6989</v>
      </c>
      <c r="M120" s="34" t="n">
        <v>954.6989</v>
      </c>
      <c r="N120" s="34" t="n">
        <v>954.7</v>
      </c>
      <c r="O120" s="34" t="n">
        <v>954.6989</v>
      </c>
      <c r="P120" s="34" t="n">
        <v>954.7</v>
      </c>
      <c r="Q120" s="26" t="inlineStr">
        <is>
          <t>SOBRE PEDIDO (EXP)</t>
        </is>
      </c>
    </row>
    <row r="121" ht="19" customHeight="1">
      <c r="A121" s="18" t="inlineStr">
        <is>
          <t>A-500001</t>
        </is>
      </c>
      <c r="B121" s="19" t="inlineStr">
        <is>
          <t>A-500001RO</t>
        </is>
      </c>
      <c r="C121" s="20" t="inlineStr">
        <is>
          <t>CODIORGAN-A50, 1 KG</t>
        </is>
      </c>
      <c r="D121" s="21" t="n">
        <v>1</v>
      </c>
      <c r="E121" s="20" t="inlineStr">
        <is>
          <t>Bolsas 1 Kg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928.0503</v>
      </c>
      <c r="K121" s="24" t="n">
        <v>0</v>
      </c>
      <c r="L121" s="24" t="n">
        <v>0</v>
      </c>
      <c r="M121" s="25" t="n">
        <v>928.0503</v>
      </c>
      <c r="N121" s="25" t="n">
        <v>928.05</v>
      </c>
      <c r="O121" s="25" t="n">
        <v>928.0503</v>
      </c>
      <c r="P121" s="25" t="n">
        <v>928.05</v>
      </c>
      <c r="Q121" s="26" t="inlineStr">
        <is>
          <t>SOBRE PEDIDO (EXP)</t>
        </is>
      </c>
    </row>
    <row r="122" ht="19" customHeight="1">
      <c r="A122" s="27" t="inlineStr">
        <is>
          <t>SS0001</t>
        </is>
      </c>
      <c r="B122" s="28" t="inlineStr">
        <is>
          <t>SS0001RO</t>
        </is>
      </c>
      <c r="C122" s="29" t="inlineStr">
        <is>
          <t>SAL-WAX Ca</t>
        </is>
      </c>
      <c r="D122" s="30" t="n">
        <v>1</v>
      </c>
      <c r="E122" s="29" t="inlineStr">
        <is>
          <t>Bolsas 1 Kg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928.0503</v>
      </c>
      <c r="K122" s="33" t="n">
        <v>0</v>
      </c>
      <c r="L122" s="33" t="n">
        <v>0</v>
      </c>
      <c r="M122" s="34" t="n">
        <v>928.0503</v>
      </c>
      <c r="N122" s="34" t="n">
        <v>928.05</v>
      </c>
      <c r="O122" s="34" t="n">
        <v>928.0503</v>
      </c>
      <c r="P122" s="34" t="n">
        <v>928.05</v>
      </c>
      <c r="Q122" s="26" t="inlineStr">
        <is>
          <t>SOBRE PEDIDO (EXP)</t>
        </is>
      </c>
    </row>
    <row r="123" ht="19" customHeight="1">
      <c r="A123" s="18" t="inlineStr">
        <is>
          <t>AGMG0005</t>
        </is>
      </c>
      <c r="B123" s="19" t="inlineStr">
        <is>
          <t>AGMG0005CR</t>
        </is>
      </c>
      <c r="C123" s="20" t="inlineStr">
        <is>
          <t>AGROXILATO-MG, 5 KG (EXPORT)</t>
        </is>
      </c>
      <c r="D123" s="21" t="n">
        <v>5</v>
      </c>
      <c r="E123" s="20" t="inlineStr">
        <is>
          <t>Bolsas 5 Kg</t>
        </is>
      </c>
      <c r="F123" s="22" t="inlineStr">
        <is>
          <t>COSTA RICA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439.4177</v>
      </c>
      <c r="K123" s="24" t="n">
        <v>0</v>
      </c>
      <c r="L123" s="24" t="n">
        <v>433.9541</v>
      </c>
      <c r="M123" s="25" t="n">
        <v>873.3718</v>
      </c>
      <c r="N123" s="25" t="n">
        <v>873.37</v>
      </c>
      <c r="O123" s="25" t="n">
        <v>873.3718</v>
      </c>
      <c r="P123" s="25" t="n">
        <v>873.37</v>
      </c>
      <c r="Q123" s="26" t="inlineStr">
        <is>
          <t>SOBRE PEDIDO (EXP)</t>
        </is>
      </c>
    </row>
    <row r="124" ht="19" customHeight="1">
      <c r="A124" s="27" t="inlineStr">
        <is>
          <t>CZNMNES0005</t>
        </is>
      </c>
      <c r="B124" s="28" t="inlineStr">
        <is>
          <t>CZNMNES0005GE</t>
        </is>
      </c>
      <c r="C124" s="29" t="inlineStr">
        <is>
          <t>CODIFOL ZN-MN, 5 KG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CALCIO0005</t>
        </is>
      </c>
      <c r="B125" s="19" t="inlineStr">
        <is>
          <t>CALCIO0005MA</t>
        </is>
      </c>
      <c r="C125" s="20" t="inlineStr">
        <is>
          <t>CALCIAMEC, 5 KG</t>
        </is>
      </c>
      <c r="D125" s="21" t="n">
        <v>5</v>
      </c>
      <c r="E125" s="20" t="inlineStr">
        <is>
          <t>Bolsas 5 Kg</t>
        </is>
      </c>
      <c r="F125" s="22" t="inlineStr">
        <is>
          <t>MARRUECOS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BPLUS0005</t>
        </is>
      </c>
      <c r="B126" s="28" t="inlineStr">
        <is>
          <t>BPLUS0005LB</t>
        </is>
      </c>
      <c r="C126" s="29" t="inlineStr">
        <is>
          <t>BOROCAL PLUS, 5 KG</t>
        </is>
      </c>
      <c r="D126" s="30" t="n">
        <v>5</v>
      </c>
      <c r="E126" s="29" t="inlineStr">
        <is>
          <t>Bolsas 5 Kg</t>
        </is>
      </c>
      <c r="F126" s="31" t="inlineStr">
        <is>
          <t>LÍBANO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A-500005</t>
        </is>
      </c>
      <c r="B127" s="19" t="inlineStr">
        <is>
          <t>A-500005GE</t>
        </is>
      </c>
      <c r="C127" s="20" t="inlineStr">
        <is>
          <t>CODIORGAN  A-50</t>
        </is>
      </c>
      <c r="D127" s="21" t="n">
        <v>5</v>
      </c>
      <c r="E127" s="20" t="inlineStr">
        <is>
          <t>Bolsas 5 Kg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CZNMNES0001</t>
        </is>
      </c>
      <c r="B128" s="28" t="inlineStr">
        <is>
          <t>CZNMNES0001AZ</t>
        </is>
      </c>
      <c r="C128" s="29" t="inlineStr">
        <is>
          <t>CODIFOL ZN-MN, 1 KG</t>
        </is>
      </c>
      <c r="D128" s="30" t="n">
        <v>1</v>
      </c>
      <c r="E128" s="29" t="inlineStr">
        <is>
          <t>Bolsas 1 Kg</t>
        </is>
      </c>
      <c r="F128" s="31" t="inlineStr">
        <is>
          <t>AZERBAIYÁN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CZNMNES0001</t>
        </is>
      </c>
      <c r="B129" s="19" t="inlineStr">
        <is>
          <t>CZNMNES0001GE</t>
        </is>
      </c>
      <c r="C129" s="20" t="inlineStr">
        <is>
          <t>CODIFOL ZN-MN, 1 KG</t>
        </is>
      </c>
      <c r="D129" s="21" t="n">
        <v>1</v>
      </c>
      <c r="E129" s="20" t="inlineStr">
        <is>
          <t>Bolsas 1 Kg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CM30005</t>
        </is>
      </c>
      <c r="B130" s="28" t="inlineStr">
        <is>
          <t>CM30005GE</t>
        </is>
      </c>
      <c r="C130" s="29" t="inlineStr">
        <is>
          <t>TENSOLINE, 5 L</t>
        </is>
      </c>
      <c r="D130" s="30" t="n">
        <v>5</v>
      </c>
      <c r="E130" s="29" t="inlineStr">
        <is>
          <t>Garrafas 5L</t>
        </is>
      </c>
      <c r="F130" s="31" t="inlineStr">
        <is>
          <t>GEORGIA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867.9081</v>
      </c>
      <c r="M130" s="34" t="n">
        <v>867.9081</v>
      </c>
      <c r="N130" s="34" t="n">
        <v>867.91</v>
      </c>
      <c r="O130" s="34" t="n">
        <v>867.9081</v>
      </c>
      <c r="P130" s="34" t="n">
        <v>867.91</v>
      </c>
      <c r="Q130" s="26" t="inlineStr">
        <is>
          <t>SOBRE PEDIDO (EXP)</t>
        </is>
      </c>
    </row>
    <row r="131" ht="19" customHeight="1">
      <c r="A131" s="18" t="inlineStr">
        <is>
          <t>A-50(2)0001</t>
        </is>
      </c>
      <c r="B131" s="19" t="inlineStr">
        <is>
          <t>A-50(2)0001DO</t>
        </is>
      </c>
      <c r="C131" s="20" t="inlineStr">
        <is>
          <t>CODIORGAN-A50</t>
        </is>
      </c>
      <c r="D131" s="21" t="n">
        <v>1</v>
      </c>
      <c r="E131" s="20" t="inlineStr">
        <is>
          <t>Bolsas 1 Kg</t>
        </is>
      </c>
      <c r="F131" s="22" t="inlineStr">
        <is>
          <t>DOMINICANA, REPÚBLICA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838.4964</v>
      </c>
      <c r="L131" s="24" t="n">
        <v>0</v>
      </c>
      <c r="M131" s="25" t="n">
        <v>838.4964</v>
      </c>
      <c r="N131" s="25" t="n">
        <v>838.5</v>
      </c>
      <c r="O131" s="25" t="n">
        <v>838.4964</v>
      </c>
      <c r="P131" s="25" t="n">
        <v>838.5</v>
      </c>
      <c r="Q131" s="26" t="inlineStr">
        <is>
          <t>SOBRE PEDIDO (EXP)</t>
        </is>
      </c>
    </row>
    <row r="132" ht="19" customHeight="1">
      <c r="A132" s="27" t="inlineStr">
        <is>
          <t>AGMG0020</t>
        </is>
      </c>
      <c r="B132" s="28" t="inlineStr">
        <is>
          <t>AGMG0020CR</t>
        </is>
      </c>
      <c r="C132" s="29" t="inlineStr">
        <is>
          <t>AGROXILATO MG, 20 KG (EXPORT)</t>
        </is>
      </c>
      <c r="D132" s="30" t="n">
        <v>20</v>
      </c>
      <c r="E132" s="29" t="inlineStr">
        <is>
          <t>Bolsas 20 Kg</t>
        </is>
      </c>
      <c r="F132" s="31" t="inlineStr">
        <is>
          <t>COSTA RICA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838.4964</v>
      </c>
      <c r="L132" s="33" t="n">
        <v>0</v>
      </c>
      <c r="M132" s="34" t="n">
        <v>838.4964</v>
      </c>
      <c r="N132" s="34" t="n">
        <v>838.5</v>
      </c>
      <c r="O132" s="34" t="n">
        <v>838.4964</v>
      </c>
      <c r="P132" s="34" t="n">
        <v>838.5</v>
      </c>
      <c r="Q132" s="26" t="inlineStr">
        <is>
          <t>SOBRE PEDIDO (EXP)</t>
        </is>
      </c>
    </row>
    <row r="133" ht="19" customHeight="1">
      <c r="A133" s="18" t="inlineStr">
        <is>
          <t>RUN0001</t>
        </is>
      </c>
      <c r="B133" s="19" t="inlineStr">
        <is>
          <t>RUN0001GE</t>
        </is>
      </c>
      <c r="C133" s="20" t="inlineStr">
        <is>
          <t>RUN STRESS</t>
        </is>
      </c>
      <c r="D133" s="21" t="n">
        <v>1</v>
      </c>
      <c r="E133" s="20" t="inlineStr">
        <is>
          <t>Botellas 1L</t>
        </is>
      </c>
      <c r="F133" s="22" t="inlineStr">
        <is>
          <t>GEORGIA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833.1917999999999</v>
      </c>
      <c r="M133" s="25" t="n">
        <v>833.1917999999999</v>
      </c>
      <c r="N133" s="25" t="n">
        <v>833.1900000000001</v>
      </c>
      <c r="O133" s="25" t="n">
        <v>833.1917999999999</v>
      </c>
      <c r="P133" s="25" t="n">
        <v>833.1900000000001</v>
      </c>
      <c r="Q133" s="26" t="inlineStr">
        <is>
          <t>SOBRE PEDIDO (EXP)</t>
        </is>
      </c>
    </row>
    <row r="134" ht="19" customHeight="1">
      <c r="A134" s="27" t="inlineStr">
        <is>
          <t>RUN0001</t>
        </is>
      </c>
      <c r="B134" s="28" t="inlineStr">
        <is>
          <t>RUN0001RS</t>
        </is>
      </c>
      <c r="C134" s="29" t="inlineStr">
        <is>
          <t>RUN STRESS</t>
        </is>
      </c>
      <c r="D134" s="30" t="n">
        <v>1</v>
      </c>
      <c r="E134" s="29" t="inlineStr">
        <is>
          <t>Botellas 1L</t>
        </is>
      </c>
      <c r="F134" s="31" t="inlineStr">
        <is>
          <t>SERBIA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833.1917999999999</v>
      </c>
      <c r="M134" s="34" t="n">
        <v>833.1917999999999</v>
      </c>
      <c r="N134" s="34" t="n">
        <v>833.1900000000001</v>
      </c>
      <c r="O134" s="34" t="n">
        <v>833.1917999999999</v>
      </c>
      <c r="P134" s="34" t="n">
        <v>833.1900000000001</v>
      </c>
      <c r="Q134" s="26" t="inlineStr">
        <is>
          <t>SOBRE PEDIDO (EXP)</t>
        </is>
      </c>
    </row>
    <row r="135" ht="19" customHeight="1">
      <c r="A135" s="18" t="inlineStr">
        <is>
          <t>CZNMNES0005</t>
        </is>
      </c>
      <c r="B135" s="19" t="inlineStr">
        <is>
          <t>CZNMNES0005AZ</t>
        </is>
      </c>
      <c r="C135" s="20" t="inlineStr">
        <is>
          <t>CODIFOL ZN-MN, 5 KG</t>
        </is>
      </c>
      <c r="D135" s="21" t="n">
        <v>5</v>
      </c>
      <c r="E135" s="20" t="inlineStr">
        <is>
          <t>Bolsas 5 Kg</t>
        </is>
      </c>
      <c r="F135" s="22" t="inlineStr">
        <is>
          <t>AZERBAIYÁN</t>
        </is>
      </c>
      <c r="G135" s="23" t="inlineStr">
        <is>
          <t>Sobre Pedido (Export)</t>
        </is>
      </c>
      <c r="H135" s="24" t="n">
        <v>50</v>
      </c>
      <c r="I135" s="24" t="n">
        <v>0</v>
      </c>
      <c r="J135" s="24" t="n">
        <v>0</v>
      </c>
      <c r="K135" s="24" t="n">
        <v>0</v>
      </c>
      <c r="L135" s="24" t="n">
        <v>867.9081</v>
      </c>
      <c r="M135" s="25" t="n">
        <v>867.9081</v>
      </c>
      <c r="N135" s="25" t="n">
        <v>867.91</v>
      </c>
      <c r="O135" s="25" t="n">
        <v>817.9081</v>
      </c>
      <c r="P135" s="25" t="n">
        <v>817.91</v>
      </c>
      <c r="Q135" s="26" t="inlineStr">
        <is>
          <t>SOBRE PEDIDO (EXP)</t>
        </is>
      </c>
    </row>
    <row r="136" ht="19" customHeight="1">
      <c r="A136" s="27" t="inlineStr">
        <is>
          <t>A-50(2)0005</t>
        </is>
      </c>
      <c r="B136" s="31" t="inlineStr">
        <is>
          <t>A-50(2)0005</t>
        </is>
      </c>
      <c r="C136" s="29" t="inlineStr">
        <is>
          <t>CODIORGAN-A50, 5 KG</t>
        </is>
      </c>
      <c r="D136" s="30" t="n">
        <v>5</v>
      </c>
      <c r="E136" s="29" t="inlineStr">
        <is>
          <t>Bolsas 5 Kg</t>
        </is>
      </c>
      <c r="F136" s="31" t="inlineStr">
        <is>
          <t>ESPAÑA</t>
        </is>
      </c>
      <c r="G136" s="31" t="inlineStr">
        <is>
          <t>Para Previsión (Nac)</t>
        </is>
      </c>
      <c r="H136" s="33" t="n">
        <v>1375</v>
      </c>
      <c r="I136" s="33" t="n">
        <v>250</v>
      </c>
      <c r="J136" s="33" t="n">
        <v>175.767</v>
      </c>
      <c r="K136" s="33" t="n">
        <v>1414.9626</v>
      </c>
      <c r="L136" s="33" t="n">
        <v>282.0701</v>
      </c>
      <c r="M136" s="34" t="n">
        <v>2122.7997</v>
      </c>
      <c r="N136" s="34" t="n">
        <v>2122.8</v>
      </c>
      <c r="O136" s="34" t="n">
        <v>747.7997</v>
      </c>
      <c r="P136" s="34" t="n">
        <v>747.8</v>
      </c>
      <c r="Q136" s="26" t="inlineStr">
        <is>
          <t>FABRICACIÓN URGENTE</t>
        </is>
      </c>
    </row>
    <row r="137" ht="19" customHeight="1">
      <c r="A137" s="18" t="inlineStr">
        <is>
          <t>SPCE0001</t>
        </is>
      </c>
      <c r="B137" s="19" t="inlineStr">
        <is>
          <t>SPCE0001RO</t>
        </is>
      </c>
      <c r="C137" s="20" t="inlineStr">
        <is>
          <t>SPRINTENE</t>
        </is>
      </c>
      <c r="D137" s="21" t="n">
        <v>1</v>
      </c>
      <c r="E137" s="20" t="inlineStr">
        <is>
          <t>Botellas 1L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696.0377</v>
      </c>
      <c r="K137" s="24" t="n">
        <v>0</v>
      </c>
      <c r="L137" s="24" t="n">
        <v>0</v>
      </c>
      <c r="M137" s="25" t="n">
        <v>696.0377</v>
      </c>
      <c r="N137" s="25" t="n">
        <v>696.04</v>
      </c>
      <c r="O137" s="25" t="n">
        <v>696.0377</v>
      </c>
      <c r="P137" s="25" t="n">
        <v>696.04</v>
      </c>
      <c r="Q137" s="26" t="inlineStr">
        <is>
          <t>SOBRE PEDIDO (EXP)</t>
        </is>
      </c>
    </row>
    <row r="138" ht="19" customHeight="1">
      <c r="A138" s="27" t="inlineStr">
        <is>
          <t>CODIR0005</t>
        </is>
      </c>
      <c r="B138" s="28" t="inlineStr">
        <is>
          <t>CODIR0005PA</t>
        </is>
      </c>
      <c r="C138" s="29" t="inlineStr">
        <is>
          <t>CODIRESIST, 5 L</t>
        </is>
      </c>
      <c r="D138" s="30" t="n">
        <v>5</v>
      </c>
      <c r="E138" s="29" t="inlineStr">
        <is>
          <t>Garrafas 5L</t>
        </is>
      </c>
      <c r="F138" s="31" t="inlineStr">
        <is>
          <t>PANAMÁ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0</v>
      </c>
      <c r="L138" s="33" t="n">
        <v>694.3265</v>
      </c>
      <c r="M138" s="34" t="n">
        <v>694.3265</v>
      </c>
      <c r="N138" s="34" t="n">
        <v>694.33</v>
      </c>
      <c r="O138" s="34" t="n">
        <v>694.3265</v>
      </c>
      <c r="P138" s="34" t="n">
        <v>694.33</v>
      </c>
      <c r="Q138" s="26" t="inlineStr">
        <is>
          <t>SOBRE PEDIDO (EXP)</t>
        </is>
      </c>
    </row>
    <row r="139" ht="19" customHeight="1">
      <c r="A139" s="18" t="inlineStr">
        <is>
          <t>G0001RORU</t>
        </is>
      </c>
      <c r="B139" s="22" t="inlineStr">
        <is>
          <t>G0001RORU</t>
        </is>
      </c>
      <c r="C139" s="20" t="inlineStr">
        <is>
          <t>GREEN-UP</t>
        </is>
      </c>
      <c r="D139" s="21" t="n">
        <v>1</v>
      </c>
      <c r="E139" s="20" t="inlineStr">
        <is>
          <t>Botellas 1L</t>
        </is>
      </c>
      <c r="F139" s="22" t="inlineStr">
        <is>
          <t>RUMANÍA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691.7595</v>
      </c>
      <c r="L139" s="24" t="n">
        <v>0</v>
      </c>
      <c r="M139" s="25" t="n">
        <v>691.7595</v>
      </c>
      <c r="N139" s="25" t="n">
        <v>691.76</v>
      </c>
      <c r="O139" s="25" t="n">
        <v>691.7595</v>
      </c>
      <c r="P139" s="25" t="n">
        <v>691.76</v>
      </c>
      <c r="Q139" s="26" t="inlineStr">
        <is>
          <t>SOBRE PEDIDO (EXP)</t>
        </is>
      </c>
    </row>
    <row r="140" ht="19" customHeight="1">
      <c r="A140" s="27" t="inlineStr">
        <is>
          <t>G0001PAPA</t>
        </is>
      </c>
      <c r="B140" s="31" t="inlineStr">
        <is>
          <t>G0001PAPA</t>
        </is>
      </c>
      <c r="C140" s="29" t="inlineStr">
        <is>
          <t>TRANSLOCADOR</t>
        </is>
      </c>
      <c r="D140" s="30" t="n">
        <v>1</v>
      </c>
      <c r="E140" s="29" t="inlineStr">
        <is>
          <t>Botellas 1L</t>
        </is>
      </c>
      <c r="F140" s="31" t="inlineStr">
        <is>
          <t>PANAMÁ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0</v>
      </c>
      <c r="L140" s="33" t="n">
        <v>687.3832</v>
      </c>
      <c r="M140" s="34" t="n">
        <v>687.3832</v>
      </c>
      <c r="N140" s="34" t="n">
        <v>687.38</v>
      </c>
      <c r="O140" s="34" t="n">
        <v>687.3832</v>
      </c>
      <c r="P140" s="34" t="n">
        <v>687.38</v>
      </c>
      <c r="Q140" s="26" t="inlineStr">
        <is>
          <t>SOBRE PEDIDO (EXP)</t>
        </is>
      </c>
    </row>
    <row r="141" ht="19" customHeight="1">
      <c r="A141" s="18" t="inlineStr">
        <is>
          <t>BROTA0005</t>
        </is>
      </c>
      <c r="B141" s="22" t="inlineStr">
        <is>
          <t>BROTA0005</t>
        </is>
      </c>
      <c r="C141" s="20" t="inlineStr">
        <is>
          <t>BROTAMEC, 5 L</t>
        </is>
      </c>
      <c r="D141" s="21" t="n">
        <v>5</v>
      </c>
      <c r="E141" s="20" t="inlineStr">
        <is>
          <t>Garrafas 5L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1660</v>
      </c>
      <c r="I141" s="24" t="n">
        <v>200</v>
      </c>
      <c r="J141" s="24" t="n">
        <v>790.9519</v>
      </c>
      <c r="K141" s="24" t="n">
        <v>733.6842</v>
      </c>
      <c r="L141" s="24" t="n">
        <v>607.5356</v>
      </c>
      <c r="M141" s="25" t="n">
        <v>2332.1717</v>
      </c>
      <c r="N141" s="25" t="n">
        <v>2332.17</v>
      </c>
      <c r="O141" s="25" t="n">
        <v>672.1716999999999</v>
      </c>
      <c r="P141" s="25" t="n">
        <v>672.17</v>
      </c>
      <c r="Q141" s="26" t="inlineStr">
        <is>
          <t>FABRICACIÓN URGENTE</t>
        </is>
      </c>
    </row>
    <row r="142" ht="19" customHeight="1">
      <c r="A142" s="27" t="inlineStr">
        <is>
          <t>SS0001</t>
        </is>
      </c>
      <c r="B142" s="28" t="inlineStr">
        <is>
          <t>SS0001DO</t>
        </is>
      </c>
      <c r="C142" s="29" t="inlineStr">
        <is>
          <t>SAL-WAX Ca</t>
        </is>
      </c>
      <c r="D142" s="30" t="n">
        <v>1</v>
      </c>
      <c r="E142" s="29" t="inlineStr">
        <is>
          <t>Bolsas 1 Kg</t>
        </is>
      </c>
      <c r="F142" s="31" t="inlineStr">
        <is>
          <t>DOMINICANA, REPÚBLICA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670.7971</v>
      </c>
      <c r="L142" s="33" t="n">
        <v>0</v>
      </c>
      <c r="M142" s="34" t="n">
        <v>670.7971</v>
      </c>
      <c r="N142" s="34" t="n">
        <v>670.8</v>
      </c>
      <c r="O142" s="34" t="n">
        <v>670.7971</v>
      </c>
      <c r="P142" s="34" t="n">
        <v>670.8</v>
      </c>
      <c r="Q142" s="26" t="inlineStr">
        <is>
          <t>SOBRE PEDIDO (EXP)</t>
        </is>
      </c>
    </row>
    <row r="143" ht="19" customHeight="1">
      <c r="A143" s="18" t="inlineStr">
        <is>
          <t>SS0020</t>
        </is>
      </c>
      <c r="B143" s="19" t="inlineStr">
        <is>
          <t>SS0020RO</t>
        </is>
      </c>
      <c r="C143" s="20" t="inlineStr">
        <is>
          <t>SAL-WAX-Ca sólido, 20 KG</t>
        </is>
      </c>
      <c r="D143" s="21" t="n">
        <v>20</v>
      </c>
      <c r="E143" s="20" t="inlineStr">
        <is>
          <t>Bolsas 20 Kg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628.8723</v>
      </c>
      <c r="L143" s="24" t="n">
        <v>0</v>
      </c>
      <c r="M143" s="25" t="n">
        <v>628.8723</v>
      </c>
      <c r="N143" s="25" t="n">
        <v>628.87</v>
      </c>
      <c r="O143" s="25" t="n">
        <v>628.8723</v>
      </c>
      <c r="P143" s="25" t="n">
        <v>628.87</v>
      </c>
      <c r="Q143" s="26" t="inlineStr">
        <is>
          <t>SOBRE PEDIDO (EXP)</t>
        </is>
      </c>
    </row>
    <row r="144" ht="19" customHeight="1">
      <c r="A144" s="27" t="inlineStr">
        <is>
          <t>PHD0005</t>
        </is>
      </c>
      <c r="B144" s="31" t="inlineStr">
        <is>
          <t>PHD0005</t>
        </is>
      </c>
      <c r="C144" s="29" t="inlineStr">
        <is>
          <t>PH-DOWNER, 5 L</t>
        </is>
      </c>
      <c r="D144" s="30" t="n">
        <v>5</v>
      </c>
      <c r="E144" s="29" t="inlineStr">
        <is>
          <t>Garrafas 5L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80</v>
      </c>
      <c r="I144" s="33" t="n">
        <v>600</v>
      </c>
      <c r="J144" s="33" t="n">
        <v>0</v>
      </c>
      <c r="K144" s="33" t="n">
        <v>104.812</v>
      </c>
      <c r="L144" s="33" t="n">
        <v>0</v>
      </c>
      <c r="M144" s="34" t="n">
        <v>704.812</v>
      </c>
      <c r="N144" s="34" t="n">
        <v>704.8099999999999</v>
      </c>
      <c r="O144" s="34" t="n">
        <v>624.812</v>
      </c>
      <c r="P144" s="34" t="n">
        <v>624.8099999999999</v>
      </c>
      <c r="Q144" s="26" t="inlineStr">
        <is>
          <t>FABRICACIÓN URGENTE</t>
        </is>
      </c>
    </row>
    <row r="145" ht="19" customHeight="1">
      <c r="A145" s="18" t="inlineStr">
        <is>
          <t>SASM0217</t>
        </is>
      </c>
      <c r="B145" s="22" t="inlineStr">
        <is>
          <t>SASM0217</t>
        </is>
      </c>
      <c r="C145" s="20" t="inlineStr">
        <is>
          <t>SASM0217 AMINOACIDO 80/80 VEGETAL H. ACIDA</t>
        </is>
      </c>
      <c r="D145" s="21" t="n">
        <v>1</v>
      </c>
      <c r="E145" s="20" t="inlineStr">
        <is>
          <t>Botellas 1L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0</v>
      </c>
      <c r="I145" s="24" t="n">
        <v>575</v>
      </c>
      <c r="J145" s="24" t="n">
        <v>0</v>
      </c>
      <c r="K145" s="24" t="n">
        <v>0</v>
      </c>
      <c r="L145" s="24" t="n">
        <v>0</v>
      </c>
      <c r="M145" s="25" t="n">
        <v>575</v>
      </c>
      <c r="N145" s="25" t="n">
        <v>575</v>
      </c>
      <c r="O145" s="25" t="n">
        <v>575</v>
      </c>
      <c r="P145" s="25" t="n">
        <v>575</v>
      </c>
      <c r="Q145" s="26" t="inlineStr">
        <is>
          <t>FABRICACIÓN URGENTE</t>
        </is>
      </c>
    </row>
    <row r="146" ht="19" customHeight="1">
      <c r="A146" s="27" t="inlineStr">
        <is>
          <t>SPCE0020</t>
        </is>
      </c>
      <c r="B146" s="28" t="inlineStr">
        <is>
          <t>SPCE0020RO</t>
        </is>
      </c>
      <c r="C146" s="29" t="inlineStr">
        <is>
          <t>SPRINTENE</t>
        </is>
      </c>
      <c r="D146" s="30" t="n">
        <v>20</v>
      </c>
      <c r="E146" s="29" t="inlineStr">
        <is>
          <t>Garrafas 20L</t>
        </is>
      </c>
      <c r="F146" s="31" t="inlineStr">
        <is>
          <t>RUMANÍA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562.4547</v>
      </c>
      <c r="K146" s="33" t="n">
        <v>0</v>
      </c>
      <c r="L146" s="33" t="n">
        <v>0</v>
      </c>
      <c r="M146" s="34" t="n">
        <v>562.4547</v>
      </c>
      <c r="N146" s="34" t="n">
        <v>562.45</v>
      </c>
      <c r="O146" s="34" t="n">
        <v>562.4547</v>
      </c>
      <c r="P146" s="34" t="n">
        <v>562.45</v>
      </c>
      <c r="Q146" s="26" t="inlineStr">
        <is>
          <t>SOBRE PEDIDO (EXP)</t>
        </is>
      </c>
    </row>
    <row r="147" ht="19" customHeight="1">
      <c r="A147" s="18" t="inlineStr">
        <is>
          <t>PHD0020</t>
        </is>
      </c>
      <c r="B147" s="22" t="inlineStr">
        <is>
          <t>PHD0020</t>
        </is>
      </c>
      <c r="C147" s="20" t="inlineStr">
        <is>
          <t>PH-DOWNER</t>
        </is>
      </c>
      <c r="D147" s="21" t="n">
        <v>20</v>
      </c>
      <c r="E147" s="20" t="inlineStr">
        <is>
          <t>Garrafas 20L</t>
        </is>
      </c>
      <c r="F147" s="22" t="inlineStr">
        <is>
          <t>ESPAÑA</t>
        </is>
      </c>
      <c r="G147" s="22" t="inlineStr">
        <is>
          <t>Para Previsión (Nac)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555.4612</v>
      </c>
      <c r="M147" s="25" t="n">
        <v>555.4612</v>
      </c>
      <c r="N147" s="25" t="n">
        <v>555.46</v>
      </c>
      <c r="O147" s="25" t="n">
        <v>555.4612</v>
      </c>
      <c r="P147" s="25" t="n">
        <v>555.46</v>
      </c>
      <c r="Q147" s="26" t="inlineStr">
        <is>
          <t>FABRICACIÓN URGENTE</t>
        </is>
      </c>
    </row>
    <row r="148" ht="19" customHeight="1">
      <c r="A148" s="27" t="inlineStr">
        <is>
          <t>CALCIO0005</t>
        </is>
      </c>
      <c r="B148" s="31" t="inlineStr">
        <is>
          <t>CALCIO0005</t>
        </is>
      </c>
      <c r="C148" s="29" t="inlineStr">
        <is>
          <t>CALCIAMEC, 5 KG</t>
        </is>
      </c>
      <c r="D148" s="30" t="n">
        <v>5</v>
      </c>
      <c r="E148" s="29" t="inlineStr">
        <is>
          <t>Bolsas 5 Kg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1730</v>
      </c>
      <c r="I148" s="33" t="n">
        <v>0</v>
      </c>
      <c r="J148" s="33" t="n">
        <v>725.0393</v>
      </c>
      <c r="K148" s="33" t="n">
        <v>890.9024000000001</v>
      </c>
      <c r="L148" s="33" t="n">
        <v>650.9311</v>
      </c>
      <c r="M148" s="34" t="n">
        <v>2266.8728</v>
      </c>
      <c r="N148" s="34" t="n">
        <v>2266.87</v>
      </c>
      <c r="O148" s="34" t="n">
        <v>536.8728000000001</v>
      </c>
      <c r="P148" s="34" t="n">
        <v>536.87</v>
      </c>
      <c r="Q148" s="26" t="inlineStr">
        <is>
          <t>FABRICACIÓN URGENTE</t>
        </is>
      </c>
    </row>
    <row r="149" ht="19" customHeight="1">
      <c r="A149" s="18" t="inlineStr">
        <is>
          <t>PHD0020</t>
        </is>
      </c>
      <c r="B149" s="19" t="inlineStr">
        <is>
          <t>PHD0020MA</t>
        </is>
      </c>
      <c r="C149" s="20" t="inlineStr">
        <is>
          <t>PH-DOWNER</t>
        </is>
      </c>
      <c r="D149" s="21" t="n">
        <v>20</v>
      </c>
      <c r="E149" s="20" t="inlineStr">
        <is>
          <t>Garrafas 20L</t>
        </is>
      </c>
      <c r="F149" s="22" t="inlineStr">
        <is>
          <t>MARRUECOS</t>
        </is>
      </c>
      <c r="G149" s="23" t="inlineStr">
        <is>
          <t>Sobre Pedido (Export)</t>
        </is>
      </c>
      <c r="H149" s="24" t="n">
        <v>600</v>
      </c>
      <c r="I149" s="24" t="n">
        <v>600</v>
      </c>
      <c r="J149" s="24" t="n">
        <v>527.3013</v>
      </c>
      <c r="K149" s="24" t="n">
        <v>0</v>
      </c>
      <c r="L149" s="24" t="n">
        <v>0</v>
      </c>
      <c r="M149" s="25" t="n">
        <v>1127.3013</v>
      </c>
      <c r="N149" s="25" t="n">
        <v>1127.3</v>
      </c>
      <c r="O149" s="25" t="n">
        <v>527.3013000000001</v>
      </c>
      <c r="P149" s="25" t="n">
        <v>527.3</v>
      </c>
      <c r="Q149" s="26" t="inlineStr">
        <is>
          <t>SOBRE PEDIDO (EXP)</t>
        </is>
      </c>
    </row>
    <row r="150" ht="19" customHeight="1">
      <c r="A150" s="27" t="inlineStr">
        <is>
          <t>LP0005</t>
        </is>
      </c>
      <c r="B150" s="28" t="inlineStr">
        <is>
          <t>LP0005DO</t>
        </is>
      </c>
      <c r="C150" s="29" t="inlineStr">
        <is>
          <t>LAVAPLANT, 5 L</t>
        </is>
      </c>
      <c r="D150" s="30" t="n">
        <v>5</v>
      </c>
      <c r="E150" s="29" t="inlineStr">
        <is>
          <t>Garrafas 5L</t>
        </is>
      </c>
      <c r="F150" s="31" t="inlineStr">
        <is>
          <t>DOMINICANA, REPÚBLICA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524.0602</v>
      </c>
      <c r="L150" s="33" t="n">
        <v>0</v>
      </c>
      <c r="M150" s="34" t="n">
        <v>524.0602</v>
      </c>
      <c r="N150" s="34" t="n">
        <v>524.0599999999999</v>
      </c>
      <c r="O150" s="34" t="n">
        <v>524.0602</v>
      </c>
      <c r="P150" s="34" t="n">
        <v>524.0599999999999</v>
      </c>
      <c r="Q150" s="26" t="inlineStr">
        <is>
          <t>SOBRE PEDIDO (EXP)</t>
        </is>
      </c>
    </row>
    <row r="151" ht="19" customHeight="1">
      <c r="A151" s="18" t="inlineStr">
        <is>
          <t>MPH0001</t>
        </is>
      </c>
      <c r="B151" s="19" t="inlineStr">
        <is>
          <t>MPH0001DO</t>
        </is>
      </c>
      <c r="C151" s="20" t="inlineStr">
        <is>
          <t>MOJALINE</t>
        </is>
      </c>
      <c r="D151" s="21" t="n">
        <v>1</v>
      </c>
      <c r="E151" s="20" t="inlineStr">
        <is>
          <t>Botellas 1L</t>
        </is>
      </c>
      <c r="F151" s="22" t="inlineStr">
        <is>
          <t>DOMINICANA, REPÚBLICA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0</v>
      </c>
      <c r="K151" s="24" t="n">
        <v>524.0602</v>
      </c>
      <c r="L151" s="24" t="n">
        <v>0</v>
      </c>
      <c r="M151" s="25" t="n">
        <v>524.0602</v>
      </c>
      <c r="N151" s="25" t="n">
        <v>524.0599999999999</v>
      </c>
      <c r="O151" s="25" t="n">
        <v>524.0602</v>
      </c>
      <c r="P151" s="25" t="n">
        <v>524.0599999999999</v>
      </c>
      <c r="Q151" s="26" t="inlineStr">
        <is>
          <t>SOBRE PEDIDO (EXP)</t>
        </is>
      </c>
    </row>
    <row r="152" ht="19" customHeight="1">
      <c r="A152" s="27" t="inlineStr">
        <is>
          <t>SSEG0005</t>
        </is>
      </c>
      <c r="B152" s="28" t="inlineStr">
        <is>
          <t>SSEG0005CO</t>
        </is>
      </c>
      <c r="C152" s="29" t="inlineStr">
        <is>
          <t>SALWAX CALCIO EGIPTO, 5 KG</t>
        </is>
      </c>
      <c r="D152" s="30" t="n">
        <v>5</v>
      </c>
      <c r="E152" s="29" t="inlineStr">
        <is>
          <t>Bolsas 5 Kg</t>
        </is>
      </c>
      <c r="F152" s="31" t="inlineStr">
        <is>
          <t>COLOMBIA</t>
        </is>
      </c>
      <c r="G152" s="32" t="inlineStr">
        <is>
          <t>Sobre Pedido (Export)</t>
        </is>
      </c>
      <c r="H152" s="33" t="n">
        <v>0</v>
      </c>
      <c r="I152" s="33" t="n">
        <v>480</v>
      </c>
      <c r="J152" s="33" t="n">
        <v>0</v>
      </c>
      <c r="K152" s="33" t="n">
        <v>0</v>
      </c>
      <c r="L152" s="33" t="n">
        <v>0</v>
      </c>
      <c r="M152" s="34" t="n">
        <v>480</v>
      </c>
      <c r="N152" s="34" t="n">
        <v>480</v>
      </c>
      <c r="O152" s="34" t="n">
        <v>480</v>
      </c>
      <c r="P152" s="34" t="n">
        <v>480</v>
      </c>
      <c r="Q152" s="26" t="inlineStr">
        <is>
          <t>SOBRE PEDIDO (EXP)</t>
        </is>
      </c>
    </row>
    <row r="153" ht="19" customHeight="1">
      <c r="A153" s="18" t="inlineStr">
        <is>
          <t>HST0020</t>
        </is>
      </c>
      <c r="B153" s="22" t="inlineStr">
        <is>
          <t>HST0020</t>
        </is>
      </c>
      <c r="C153" s="20" t="inlineStr">
        <is>
          <t>HIDROSTRESS-40, 20 L</t>
        </is>
      </c>
      <c r="D153" s="21" t="n">
        <v>20</v>
      </c>
      <c r="E153" s="20" t="inlineStr">
        <is>
          <t>Garrafas 20L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2000</v>
      </c>
      <c r="I153" s="24" t="n">
        <v>0</v>
      </c>
      <c r="J153" s="24" t="n">
        <v>1124.9094</v>
      </c>
      <c r="K153" s="24" t="n">
        <v>1341.5942</v>
      </c>
      <c r="L153" s="24" t="n">
        <v>0</v>
      </c>
      <c r="M153" s="25" t="n">
        <v>2466.5036</v>
      </c>
      <c r="N153" s="25" t="n">
        <v>2466.5</v>
      </c>
      <c r="O153" s="25" t="n">
        <v>466.5036</v>
      </c>
      <c r="P153" s="25" t="n">
        <v>466.5</v>
      </c>
      <c r="Q153" s="26" t="inlineStr">
        <is>
          <t>FABRICACIÓN URGENTE</t>
        </is>
      </c>
    </row>
    <row r="154" ht="19" customHeight="1">
      <c r="A154" s="27" t="inlineStr">
        <is>
          <t>SS0001</t>
        </is>
      </c>
      <c r="B154" s="28" t="inlineStr">
        <is>
          <t>SS0001PA</t>
        </is>
      </c>
      <c r="C154" s="29" t="inlineStr">
        <is>
          <t>SAL-WAX Ca</t>
        </is>
      </c>
      <c r="D154" s="30" t="n">
        <v>1</v>
      </c>
      <c r="E154" s="29" t="inlineStr">
        <is>
          <t>Bolsas 1 Kg</t>
        </is>
      </c>
      <c r="F154" s="31" t="inlineStr">
        <is>
          <t>PANAMÁ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0</v>
      </c>
      <c r="L154" s="33" t="n">
        <v>458.2555</v>
      </c>
      <c r="M154" s="34" t="n">
        <v>458.2555</v>
      </c>
      <c r="N154" s="34" t="n">
        <v>458.26</v>
      </c>
      <c r="O154" s="34" t="n">
        <v>458.2555</v>
      </c>
      <c r="P154" s="34" t="n">
        <v>458.26</v>
      </c>
      <c r="Q154" s="26" t="inlineStr">
        <is>
          <t>SOBRE PEDIDO (EXP)</t>
        </is>
      </c>
    </row>
    <row r="155" ht="19" customHeight="1">
      <c r="A155" s="18" t="inlineStr">
        <is>
          <t>G0200RORU</t>
        </is>
      </c>
      <c r="B155" s="22" t="inlineStr">
        <is>
          <t>G0200RORU</t>
        </is>
      </c>
      <c r="C155" s="20" t="inlineStr">
        <is>
          <t>GREEN-UP EXPORTACION, 200 L</t>
        </is>
      </c>
      <c r="D155" s="21" t="n">
        <v>200</v>
      </c>
      <c r="E155" s="20" t="inlineStr">
        <is>
          <t>Depósito 200 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419.2482</v>
      </c>
      <c r="L155" s="24" t="n">
        <v>0</v>
      </c>
      <c r="M155" s="25" t="n">
        <v>419.2482</v>
      </c>
      <c r="N155" s="25" t="n">
        <v>419.25</v>
      </c>
      <c r="O155" s="25" t="n">
        <v>419.2482</v>
      </c>
      <c r="P155" s="25" t="n">
        <v>419.25</v>
      </c>
      <c r="Q155" s="26" t="inlineStr">
        <is>
          <t>SOBRE PEDIDO (EXP)</t>
        </is>
      </c>
    </row>
    <row r="156" ht="19" customHeight="1">
      <c r="A156" s="27" t="inlineStr">
        <is>
          <t>RUN0005</t>
        </is>
      </c>
      <c r="B156" s="28" t="inlineStr">
        <is>
          <t>RUN0005GE</t>
        </is>
      </c>
      <c r="C156" s="29" t="inlineStr">
        <is>
          <t>RUN STRESS, 5 L</t>
        </is>
      </c>
      <c r="D156" s="30" t="n">
        <v>5</v>
      </c>
      <c r="E156" s="29" t="inlineStr">
        <is>
          <t>Garrafas 5L</t>
        </is>
      </c>
      <c r="F156" s="31" t="inlineStr">
        <is>
          <t>GEORGIA</t>
        </is>
      </c>
      <c r="G156" s="32" t="inlineStr">
        <is>
          <t>Sobre Pedido (Export)</t>
        </is>
      </c>
      <c r="H156" s="33" t="n">
        <v>460</v>
      </c>
      <c r="I156" s="33" t="n">
        <v>0</v>
      </c>
      <c r="J156" s="33" t="n">
        <v>0</v>
      </c>
      <c r="K156" s="33" t="n">
        <v>0</v>
      </c>
      <c r="L156" s="33" t="n">
        <v>867.9081</v>
      </c>
      <c r="M156" s="34" t="n">
        <v>867.9081</v>
      </c>
      <c r="N156" s="34" t="n">
        <v>867.91</v>
      </c>
      <c r="O156" s="34" t="n">
        <v>407.9081</v>
      </c>
      <c r="P156" s="34" t="n">
        <v>407.91</v>
      </c>
      <c r="Q156" s="26" t="inlineStr">
        <is>
          <t>SOBRE PEDIDO (EXP)</t>
        </is>
      </c>
    </row>
    <row r="157" ht="19" customHeight="1">
      <c r="A157" s="18" t="inlineStr">
        <is>
          <t>G0005PAPA</t>
        </is>
      </c>
      <c r="B157" s="22" t="inlineStr">
        <is>
          <t>G0005PAPA</t>
        </is>
      </c>
      <c r="C157" s="20" t="inlineStr">
        <is>
          <t>TRANSLOCADOR</t>
        </is>
      </c>
      <c r="D157" s="21" t="n">
        <v>5</v>
      </c>
      <c r="E157" s="20" t="inlineStr">
        <is>
          <t>Garrafas 5L</t>
        </is>
      </c>
      <c r="F157" s="22" t="inlineStr">
        <is>
          <t>PANAMÁ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0</v>
      </c>
      <c r="L157" s="24" t="n">
        <v>347.1632</v>
      </c>
      <c r="M157" s="25" t="n">
        <v>347.1632</v>
      </c>
      <c r="N157" s="25" t="n">
        <v>347.16</v>
      </c>
      <c r="O157" s="25" t="n">
        <v>347.1632</v>
      </c>
      <c r="P157" s="25" t="n">
        <v>347.16</v>
      </c>
      <c r="Q157" s="26" t="inlineStr">
        <is>
          <t>SOBRE PEDIDO (EXP)</t>
        </is>
      </c>
    </row>
    <row r="158" ht="19" customHeight="1">
      <c r="A158" s="27" t="inlineStr">
        <is>
          <t>BPLUS0001</t>
        </is>
      </c>
      <c r="B158" s="28" t="inlineStr">
        <is>
          <t>BPLUS0001CO</t>
        </is>
      </c>
      <c r="C158" s="29" t="inlineStr">
        <is>
          <t>BOROCAL PLUS, 1 KG</t>
        </is>
      </c>
      <c r="D158" s="30" t="n">
        <v>1</v>
      </c>
      <c r="E158" s="29" t="inlineStr">
        <is>
          <t>Bolsas 1 Kg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0</v>
      </c>
      <c r="K158" s="33" t="n">
        <v>335.3986</v>
      </c>
      <c r="L158" s="33" t="n">
        <v>0</v>
      </c>
      <c r="M158" s="34" t="n">
        <v>335.3986</v>
      </c>
      <c r="N158" s="34" t="n">
        <v>335.4</v>
      </c>
      <c r="O158" s="34" t="n">
        <v>335.3986</v>
      </c>
      <c r="P158" s="34" t="n">
        <v>335.4</v>
      </c>
      <c r="Q158" s="26" t="inlineStr">
        <is>
          <t>SOBRE PEDIDO (EXP)</t>
        </is>
      </c>
    </row>
    <row r="159" ht="19" customHeight="1">
      <c r="A159" s="18" t="inlineStr">
        <is>
          <t>SASM0072</t>
        </is>
      </c>
      <c r="B159" s="22" t="inlineStr">
        <is>
          <t>SASM0072</t>
        </is>
      </c>
      <c r="C159" s="20" t="inlineStr">
        <is>
          <t>SASM0072 NITRATO CALCIO</t>
        </is>
      </c>
      <c r="D159" s="21" t="n">
        <v>1</v>
      </c>
      <c r="E159" s="20" t="inlineStr">
        <is>
          <t>Botellas 1L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0</v>
      </c>
      <c r="I159" s="24" t="n">
        <v>325</v>
      </c>
      <c r="J159" s="24" t="n">
        <v>0</v>
      </c>
      <c r="K159" s="24" t="n">
        <v>0</v>
      </c>
      <c r="L159" s="24" t="n">
        <v>0</v>
      </c>
      <c r="M159" s="25" t="n">
        <v>325</v>
      </c>
      <c r="N159" s="25" t="n">
        <v>325</v>
      </c>
      <c r="O159" s="25" t="n">
        <v>325</v>
      </c>
      <c r="P159" s="25" t="n">
        <v>325</v>
      </c>
      <c r="Q159" s="26" t="inlineStr">
        <is>
          <t>FABRICACIÓN URGENTE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RUN0001</t>
        </is>
      </c>
      <c r="B163" s="22" t="inlineStr">
        <is>
          <t>RUN0001</t>
        </is>
      </c>
      <c r="C163" s="20" t="inlineStr">
        <is>
          <t>RUN STRESS</t>
        </is>
      </c>
      <c r="D163" s="21" t="n">
        <v>1</v>
      </c>
      <c r="E163" s="20" t="inlineStr">
        <is>
          <t>Botellas 1L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0</v>
      </c>
      <c r="I163" s="24" t="n">
        <v>204</v>
      </c>
      <c r="J163" s="24" t="n">
        <v>0</v>
      </c>
      <c r="K163" s="24" t="n">
        <v>0</v>
      </c>
      <c r="L163" s="24" t="n">
        <v>0</v>
      </c>
      <c r="M163" s="25" t="n">
        <v>204</v>
      </c>
      <c r="N163" s="25" t="n">
        <v>204</v>
      </c>
      <c r="O163" s="25" t="n">
        <v>204</v>
      </c>
      <c r="P163" s="25" t="n">
        <v>204</v>
      </c>
      <c r="Q163" s="26" t="inlineStr">
        <is>
          <t>FABRICACIÓN URGENTE</t>
        </is>
      </c>
    </row>
    <row r="164" ht="19" customHeight="1">
      <c r="A164" s="27" t="inlineStr">
        <is>
          <t>AN0005</t>
        </is>
      </c>
      <c r="B164" s="28" t="inlineStr">
        <is>
          <t>AN0005IT</t>
        </is>
      </c>
      <c r="C164" s="29" t="inlineStr">
        <is>
          <t>ALCAPLANT NEW, 5 KG</t>
        </is>
      </c>
      <c r="D164" s="30" t="n">
        <v>5</v>
      </c>
      <c r="E164" s="29" t="inlineStr">
        <is>
          <t>Bolsas 5 Kg</t>
        </is>
      </c>
      <c r="F164" s="31" t="inlineStr">
        <is>
          <t>ITALIA</t>
        </is>
      </c>
      <c r="G164" s="32" t="inlineStr">
        <is>
          <t>Sobre Pedido (Export)</t>
        </is>
      </c>
      <c r="H164" s="33" t="n">
        <v>0</v>
      </c>
      <c r="I164" s="33" t="n">
        <v>0</v>
      </c>
      <c r="J164" s="33" t="n">
        <v>175.7671</v>
      </c>
      <c r="K164" s="33" t="n">
        <v>0</v>
      </c>
      <c r="L164" s="33" t="n">
        <v>0</v>
      </c>
      <c r="M164" s="34" t="n">
        <v>175.7671</v>
      </c>
      <c r="N164" s="34" t="n">
        <v>175.77</v>
      </c>
      <c r="O164" s="34" t="n">
        <v>175.7671</v>
      </c>
      <c r="P164" s="34" t="n">
        <v>175.77</v>
      </c>
      <c r="Q164" s="26" t="inlineStr">
        <is>
          <t>SOBRE PEDIDO (EXP)</t>
        </is>
      </c>
    </row>
    <row r="165" ht="19" customHeight="1">
      <c r="A165" s="18" t="inlineStr">
        <is>
          <t>AGZNP0005</t>
        </is>
      </c>
      <c r="B165" s="22" t="inlineStr">
        <is>
          <t>AGZNP0005</t>
        </is>
      </c>
      <c r="C165" s="20" t="inlineStr">
        <is>
          <t>AGROXILATO ZN PLUS, 5 KG</t>
        </is>
      </c>
      <c r="D165" s="21" t="n">
        <v>5</v>
      </c>
      <c r="E165" s="20" t="inlineStr">
        <is>
          <t>Bolsas 5 Kg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705</v>
      </c>
      <c r="I165" s="24" t="n">
        <v>0</v>
      </c>
      <c r="J165" s="24" t="n">
        <v>0</v>
      </c>
      <c r="K165" s="24" t="n">
        <v>0</v>
      </c>
      <c r="L165" s="24" t="n">
        <v>824.5127</v>
      </c>
      <c r="M165" s="25" t="n">
        <v>824.5127</v>
      </c>
      <c r="N165" s="25" t="n">
        <v>824.51</v>
      </c>
      <c r="O165" s="25" t="n">
        <v>119.5127</v>
      </c>
      <c r="P165" s="25" t="n">
        <v>119.51</v>
      </c>
      <c r="Q165" s="26" t="inlineStr">
        <is>
          <t>FABRICACIÓN URGENTE</t>
        </is>
      </c>
    </row>
    <row r="166" ht="19" customHeight="1">
      <c r="A166" s="27" t="inlineStr">
        <is>
          <t>CAG</t>
        </is>
      </c>
      <c r="B166" s="31" t="inlineStr">
        <is>
          <t>CAG</t>
        </is>
      </c>
      <c r="C166" s="29" t="inlineStr">
        <is>
          <t>CAJA "CODIAGRO NUEVA CALIDAD"  5L</t>
        </is>
      </c>
      <c r="D166" s="30" t="n">
        <v>5</v>
      </c>
      <c r="E166" s="29" t="inlineStr">
        <is>
          <t>Garrafas 5L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60</v>
      </c>
      <c r="J166" s="33" t="n">
        <v>0</v>
      </c>
      <c r="K166" s="33" t="n">
        <v>0</v>
      </c>
      <c r="L166" s="33" t="n">
        <v>0</v>
      </c>
      <c r="M166" s="34" t="n">
        <v>60</v>
      </c>
      <c r="N166" s="34" t="n">
        <v>60</v>
      </c>
      <c r="O166" s="34" t="n">
        <v>60</v>
      </c>
      <c r="P166" s="34" t="n">
        <v>60</v>
      </c>
      <c r="Q166" s="26" t="inlineStr">
        <is>
          <t>FABRICACIÓN URGENTE</t>
        </is>
      </c>
    </row>
    <row r="167" ht="19" customHeight="1">
      <c r="A167" s="18" t="inlineStr">
        <is>
          <t>AGZ-M0001</t>
        </is>
      </c>
      <c r="B167" s="22" t="inlineStr">
        <is>
          <t>AGZ-M0001</t>
        </is>
      </c>
      <c r="C167" s="20" t="inlineStr">
        <is>
          <t>AGROXILATO-ZN-MN, 1 KG</t>
        </is>
      </c>
      <c r="D167" s="21" t="n">
        <v>1</v>
      </c>
      <c r="E167" s="20" t="inlineStr">
        <is>
          <t>Bolsas 1 Kg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75</v>
      </c>
      <c r="I167" s="24" t="n">
        <v>0</v>
      </c>
      <c r="J167" s="24" t="n">
        <v>0</v>
      </c>
      <c r="K167" s="24" t="n">
        <v>117.3895</v>
      </c>
      <c r="L167" s="24" t="n">
        <v>0</v>
      </c>
      <c r="M167" s="25" t="n">
        <v>117.3895</v>
      </c>
      <c r="N167" s="25" t="n">
        <v>117.39</v>
      </c>
      <c r="O167" s="25" t="n">
        <v>42.3895</v>
      </c>
      <c r="P167" s="25" t="n">
        <v>42.39</v>
      </c>
      <c r="Q167" s="26" t="inlineStr">
        <is>
          <t>FABRICACIÓN URGENTE</t>
        </is>
      </c>
    </row>
    <row r="168" ht="19" customHeight="1">
      <c r="A168" s="27" t="inlineStr">
        <is>
          <t>CWH</t>
        </is>
      </c>
      <c r="B168" s="31" t="inlineStr">
        <is>
          <t>CWH</t>
        </is>
      </c>
      <c r="C168" s="29" t="inlineStr">
        <is>
          <t>CAJA AGROWHITE</t>
        </is>
      </c>
      <c r="D168" s="30" t="n">
        <v>1</v>
      </c>
      <c r="E168" s="29" t="inlineStr">
        <is>
          <t>Botellas 1L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0</v>
      </c>
      <c r="I168" s="33" t="n">
        <v>40</v>
      </c>
      <c r="J168" s="33" t="n">
        <v>0</v>
      </c>
      <c r="K168" s="33" t="n">
        <v>0</v>
      </c>
      <c r="L168" s="33" t="n">
        <v>0</v>
      </c>
      <c r="M168" s="34" t="n">
        <v>40</v>
      </c>
      <c r="N168" s="34" t="n">
        <v>40</v>
      </c>
      <c r="O168" s="34" t="n">
        <v>40</v>
      </c>
      <c r="P168" s="34" t="n">
        <v>40</v>
      </c>
      <c r="Q168" s="26" t="inlineStr">
        <is>
          <t>FABRICACIÓN URGENTE</t>
        </is>
      </c>
    </row>
    <row r="169" ht="19" customHeight="1">
      <c r="A169" s="18" t="inlineStr">
        <is>
          <t>HST0005</t>
        </is>
      </c>
      <c r="B169" s="22" t="inlineStr">
        <is>
          <t>HST0005</t>
        </is>
      </c>
      <c r="C169" s="20" t="inlineStr">
        <is>
          <t>HIDROSTRESS-40, 5 L</t>
        </is>
      </c>
      <c r="D169" s="21" t="n">
        <v>5</v>
      </c>
      <c r="E169" s="20" t="inlineStr">
        <is>
          <t>Garrafas 5L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160</v>
      </c>
      <c r="I169" s="24" t="n">
        <v>0</v>
      </c>
      <c r="J169" s="24" t="n">
        <v>35.1534</v>
      </c>
      <c r="K169" s="24" t="n">
        <v>41.9248</v>
      </c>
      <c r="L169" s="24" t="n">
        <v>121.5071</v>
      </c>
      <c r="M169" s="25" t="n">
        <v>198.5853</v>
      </c>
      <c r="N169" s="25" t="n">
        <v>198.59</v>
      </c>
      <c r="O169" s="25" t="n">
        <v>38.58530000000002</v>
      </c>
      <c r="P169" s="25" t="n">
        <v>38.59</v>
      </c>
      <c r="Q169" s="26" t="inlineStr">
        <is>
          <t>FABRICACIÓN URGENTE</t>
        </is>
      </c>
    </row>
    <row r="170" ht="19" customHeight="1">
      <c r="A170" s="27" t="inlineStr">
        <is>
          <t>SASE0011</t>
        </is>
      </c>
      <c r="B170" s="31" t="inlineStr">
        <is>
          <t>SASE0011</t>
        </is>
      </c>
      <c r="C170" s="29" t="inlineStr">
        <is>
          <t>CANTONERAS DE CARTON SAS 2MTR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0</v>
      </c>
      <c r="I170" s="33" t="n">
        <v>26</v>
      </c>
      <c r="J170" s="33" t="n">
        <v>0</v>
      </c>
      <c r="K170" s="33" t="n">
        <v>0</v>
      </c>
      <c r="L170" s="33" t="n">
        <v>0</v>
      </c>
      <c r="M170" s="34" t="n">
        <v>26</v>
      </c>
      <c r="N170" s="34" t="n">
        <v>26</v>
      </c>
      <c r="O170" s="34" t="n">
        <v>26</v>
      </c>
      <c r="P170" s="34" t="n">
        <v>26</v>
      </c>
      <c r="Q170" s="26" t="inlineStr">
        <is>
          <t>FABRICACIÓN URGENTE</t>
        </is>
      </c>
    </row>
    <row r="171" ht="19" customHeight="1">
      <c r="A171" s="18" t="inlineStr">
        <is>
          <t>SASE0052</t>
        </is>
      </c>
      <c r="B171" s="22" t="inlineStr">
        <is>
          <t>SASE0052</t>
        </is>
      </c>
      <c r="C171" s="20" t="inlineStr">
        <is>
          <t>PALET 115 X 0,75</t>
        </is>
      </c>
      <c r="D171" s="21" t="n">
        <v>1</v>
      </c>
      <c r="E171" s="20" t="inlineStr">
        <is>
          <t>Botellas 1L</t>
        </is>
      </c>
      <c r="F171" s="22" t="inlineStr">
        <is>
          <t>ESPAÑA</t>
        </is>
      </c>
      <c r="G171" s="22" t="inlineStr">
        <is>
          <t>Para Previsión (Nac)</t>
        </is>
      </c>
      <c r="H171" s="24" t="n">
        <v>0</v>
      </c>
      <c r="I171" s="24" t="n">
        <v>9</v>
      </c>
      <c r="J171" s="24" t="n">
        <v>0</v>
      </c>
      <c r="K171" s="24" t="n">
        <v>0</v>
      </c>
      <c r="L171" s="24" t="n">
        <v>0</v>
      </c>
      <c r="M171" s="25" t="n">
        <v>9</v>
      </c>
      <c r="N171" s="25" t="n">
        <v>9</v>
      </c>
      <c r="O171" s="25" t="n">
        <v>9</v>
      </c>
      <c r="P171" s="25" t="n">
        <v>9</v>
      </c>
      <c r="Q171" s="26" t="inlineStr">
        <is>
          <t>FABRICACIÓN URGENTE</t>
        </is>
      </c>
    </row>
    <row r="172" ht="19" customHeight="1">
      <c r="A172" s="27" t="inlineStr">
        <is>
          <t>AO0020</t>
        </is>
      </c>
      <c r="B172" s="31" t="inlineStr">
        <is>
          <t>AO0020</t>
        </is>
      </c>
      <c r="C172" s="29" t="inlineStr">
        <is>
          <t>ALCAPLANT NEW</t>
        </is>
      </c>
      <c r="D172" s="30" t="n">
        <v>20</v>
      </c>
      <c r="E172" s="29" t="inlineStr">
        <is>
          <t>Bolsas 20 Kg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0</v>
      </c>
      <c r="I172" s="33" t="n">
        <v>19800</v>
      </c>
      <c r="J172" s="33" t="n">
        <v>0</v>
      </c>
      <c r="K172" s="33" t="n">
        <v>0</v>
      </c>
      <c r="L172" s="33" t="n">
        <v>0</v>
      </c>
      <c r="M172" s="34" t="n">
        <v>19800</v>
      </c>
      <c r="N172" s="34" t="n">
        <v>19800</v>
      </c>
      <c r="O172" s="34" t="n">
        <v>19800</v>
      </c>
      <c r="P172" s="34" t="n">
        <v>19800</v>
      </c>
      <c r="Q172" s="35" t="inlineStr">
        <is>
          <t>SOLO ENVASAR</t>
        </is>
      </c>
    </row>
    <row r="173" ht="19" customHeight="1">
      <c r="A173" s="18" t="inlineStr">
        <is>
          <t>PT0020</t>
        </is>
      </c>
      <c r="B173" s="19" t="inlineStr">
        <is>
          <t>PT0020MA</t>
        </is>
      </c>
      <c r="C173" s="20" t="inlineStr">
        <is>
          <t>AGROPOTASION, 20 L</t>
        </is>
      </c>
      <c r="D173" s="21" t="n">
        <v>20</v>
      </c>
      <c r="E173" s="20" t="inlineStr">
        <is>
          <t>Garrafas 20L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3000</v>
      </c>
      <c r="J173" s="24" t="n">
        <v>4394.1774</v>
      </c>
      <c r="K173" s="24" t="n">
        <v>0</v>
      </c>
      <c r="L173" s="24" t="n">
        <v>0</v>
      </c>
      <c r="M173" s="25" t="n">
        <v>7394.1774</v>
      </c>
      <c r="N173" s="25" t="n">
        <v>7394.18</v>
      </c>
      <c r="O173" s="25" t="n">
        <v>7394.1774</v>
      </c>
      <c r="P173" s="25" t="n">
        <v>7394.18</v>
      </c>
      <c r="Q173" s="35" t="inlineStr">
        <is>
          <t>SOBRE PEDIDO (EXP)</t>
        </is>
      </c>
    </row>
    <row r="174" ht="19" customHeight="1">
      <c r="A174" s="27" t="inlineStr">
        <is>
          <t>PT1000</t>
        </is>
      </c>
      <c r="B174" s="28" t="inlineStr">
        <is>
          <t>PT1000CR</t>
        </is>
      </c>
      <c r="C174" s="29" t="inlineStr">
        <is>
          <t>AGROPOTASION, 1000 L</t>
        </is>
      </c>
      <c r="D174" s="30" t="n">
        <v>1000</v>
      </c>
      <c r="E174" s="29" t="inlineStr">
        <is>
          <t>Depósito 1000 L</t>
        </is>
      </c>
      <c r="F174" s="31" t="inlineStr">
        <is>
          <t>COSTA RICA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3515.3419</v>
      </c>
      <c r="K174" s="33" t="n">
        <v>0</v>
      </c>
      <c r="L174" s="33" t="n">
        <v>1735.8162</v>
      </c>
      <c r="M174" s="34" t="n">
        <v>5251.1581</v>
      </c>
      <c r="N174" s="34" t="n">
        <v>5251.16</v>
      </c>
      <c r="O174" s="34" t="n">
        <v>5251.1581</v>
      </c>
      <c r="P174" s="34" t="n">
        <v>5251.16</v>
      </c>
      <c r="Q174" s="35" t="inlineStr">
        <is>
          <t>SOBRE PEDIDO (EXP)</t>
        </is>
      </c>
    </row>
    <row r="175" ht="19" customHeight="1">
      <c r="A175" s="18" t="inlineStr">
        <is>
          <t>AVAN0001</t>
        </is>
      </c>
      <c r="B175" s="19" t="inlineStr">
        <is>
          <t>AVAN0001EG</t>
        </is>
      </c>
      <c r="C175" s="20" t="inlineStr">
        <is>
          <t>CODI-FLOR AVANCE, 1 L</t>
        </is>
      </c>
      <c r="D175" s="21" t="n">
        <v>1</v>
      </c>
      <c r="E175" s="20" t="inlineStr">
        <is>
          <t>Botellas 1L</t>
        </is>
      </c>
      <c r="F175" s="22" t="inlineStr">
        <is>
          <t>EGIPTO</t>
        </is>
      </c>
      <c r="G175" s="23" t="inlineStr">
        <is>
          <t>Sobre Pedido (Export)</t>
        </is>
      </c>
      <c r="H175" s="24" t="n">
        <v>156</v>
      </c>
      <c r="I175" s="24" t="n">
        <v>0</v>
      </c>
      <c r="J175" s="24" t="n">
        <v>2636.5064</v>
      </c>
      <c r="K175" s="24" t="n">
        <v>0</v>
      </c>
      <c r="L175" s="24" t="n">
        <v>2603.7244</v>
      </c>
      <c r="M175" s="25" t="n">
        <v>5240.2308</v>
      </c>
      <c r="N175" s="25" t="n">
        <v>5240.23</v>
      </c>
      <c r="O175" s="25" t="n">
        <v>5084.2308</v>
      </c>
      <c r="P175" s="25" t="n">
        <v>5084.23</v>
      </c>
      <c r="Q175" s="35" t="inlineStr">
        <is>
          <t>SOBRE PEDIDO (EXP)</t>
        </is>
      </c>
    </row>
    <row r="176" ht="19" customHeight="1">
      <c r="A176" s="27" t="inlineStr">
        <is>
          <t>PT1000</t>
        </is>
      </c>
      <c r="B176" s="31" t="inlineStr">
        <is>
          <t>PT1000</t>
        </is>
      </c>
      <c r="C176" s="29" t="inlineStr">
        <is>
          <t>AGROPOTASION, 1000 L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AGXCR1000</t>
        </is>
      </c>
      <c r="B177" s="22" t="inlineStr">
        <is>
          <t>AGXCR1000</t>
        </is>
      </c>
      <c r="C177" s="20" t="inlineStr">
        <is>
          <t>AGROXILATO-K</t>
        </is>
      </c>
      <c r="D177" s="21" t="n">
        <v>1000</v>
      </c>
      <c r="E177" s="20" t="inlineStr">
        <is>
          <t>Depósito 1000 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0</v>
      </c>
      <c r="I177" s="24" t="n">
        <v>4000</v>
      </c>
      <c r="J177" s="24" t="n">
        <v>0</v>
      </c>
      <c r="K177" s="24" t="n">
        <v>0</v>
      </c>
      <c r="L177" s="24" t="n">
        <v>0</v>
      </c>
      <c r="M177" s="25" t="n">
        <v>4000</v>
      </c>
      <c r="N177" s="25" t="n">
        <v>4000</v>
      </c>
      <c r="O177" s="25" t="n">
        <v>4000</v>
      </c>
      <c r="P177" s="25" t="n">
        <v>4000</v>
      </c>
      <c r="Q177" s="35" t="inlineStr">
        <is>
          <t>SOLO ENVASAR</t>
        </is>
      </c>
    </row>
    <row r="178" ht="19" customHeight="1">
      <c r="A178" s="27" t="inlineStr">
        <is>
          <t>BIO0020</t>
        </is>
      </c>
      <c r="B178" s="28" t="inlineStr">
        <is>
          <t>BIO0020DO</t>
        </is>
      </c>
      <c r="C178" s="29" t="inlineStr">
        <is>
          <t>BIORAD-20, 20 L</t>
        </is>
      </c>
      <c r="D178" s="30" t="n">
        <v>20</v>
      </c>
      <c r="E178" s="29" t="inlineStr">
        <is>
          <t>Garrafas 20L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2620.3012</v>
      </c>
      <c r="L178" s="33" t="n">
        <v>0</v>
      </c>
      <c r="M178" s="34" t="n">
        <v>2620.3012</v>
      </c>
      <c r="N178" s="34" t="n">
        <v>2620.3</v>
      </c>
      <c r="O178" s="34" t="n">
        <v>2620.3012</v>
      </c>
      <c r="P178" s="34" t="n">
        <v>2620.3</v>
      </c>
      <c r="Q178" s="35" t="inlineStr">
        <is>
          <t>SOBRE PEDIDO (EXP)</t>
        </is>
      </c>
    </row>
    <row r="179" ht="19" customHeight="1">
      <c r="A179" s="18" t="inlineStr">
        <is>
          <t>AVAN0005</t>
        </is>
      </c>
      <c r="B179" s="19" t="inlineStr">
        <is>
          <t>AVAN0005AZ</t>
        </is>
      </c>
      <c r="C179" s="20" t="inlineStr">
        <is>
          <t>FLORAMEC AVANCE, 5 L</t>
        </is>
      </c>
      <c r="D179" s="21" t="n">
        <v>5</v>
      </c>
      <c r="E179" s="20" t="inlineStr">
        <is>
          <t>Garrafas 5L</t>
        </is>
      </c>
      <c r="F179" s="22" t="inlineStr">
        <is>
          <t>AZERBAIYÁN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0</v>
      </c>
      <c r="L179" s="24" t="n">
        <v>2603.7244</v>
      </c>
      <c r="M179" s="25" t="n">
        <v>2603.7244</v>
      </c>
      <c r="N179" s="25" t="n">
        <v>2603.72</v>
      </c>
      <c r="O179" s="25" t="n">
        <v>2603.7244</v>
      </c>
      <c r="P179" s="25" t="n">
        <v>2603.72</v>
      </c>
      <c r="Q179" s="35" t="inlineStr">
        <is>
          <t>SOBRE PEDIDO (EXP)</t>
        </is>
      </c>
    </row>
    <row r="180" ht="19" customHeight="1">
      <c r="A180" s="27" t="inlineStr">
        <is>
          <t>C-L0005</t>
        </is>
      </c>
      <c r="B180" s="28" t="inlineStr">
        <is>
          <t>C-L0005AZ</t>
        </is>
      </c>
      <c r="C180" s="29" t="inlineStr">
        <is>
          <t>CODIBOR-L, 5 L</t>
        </is>
      </c>
      <c r="D180" s="30" t="n">
        <v>5</v>
      </c>
      <c r="E180" s="29" t="inlineStr">
        <is>
          <t>Garrafas 5L</t>
        </is>
      </c>
      <c r="F180" s="31" t="inlineStr">
        <is>
          <t>AZERBAIYÁN</t>
        </is>
      </c>
      <c r="G180" s="32" t="inlineStr">
        <is>
          <t>Sobre Pedido (Export)</t>
        </is>
      </c>
      <c r="H180" s="33" t="n">
        <v>154.6088</v>
      </c>
      <c r="I180" s="33" t="n">
        <v>0</v>
      </c>
      <c r="J180" s="33" t="n">
        <v>0</v>
      </c>
      <c r="K180" s="33" t="n">
        <v>0</v>
      </c>
      <c r="L180" s="33" t="n">
        <v>2603.7244</v>
      </c>
      <c r="M180" s="34" t="n">
        <v>2603.7244</v>
      </c>
      <c r="N180" s="34" t="n">
        <v>2603.72</v>
      </c>
      <c r="O180" s="34" t="n">
        <v>2449.1156</v>
      </c>
      <c r="P180" s="34" t="n">
        <v>2449.12</v>
      </c>
      <c r="Q180" s="35" t="inlineStr">
        <is>
          <t>SOBRE PEDIDO (EXP)</t>
        </is>
      </c>
    </row>
    <row r="181" ht="19" customHeight="1">
      <c r="A181" s="18" t="inlineStr">
        <is>
          <t>AGXK0005</t>
        </is>
      </c>
      <c r="B181" s="22" t="inlineStr">
        <is>
          <t>AGXK0005</t>
        </is>
      </c>
      <c r="C181" s="20" t="inlineStr">
        <is>
          <t>AGROXILATO-K, 5 L</t>
        </is>
      </c>
      <c r="D181" s="21" t="n">
        <v>5</v>
      </c>
      <c r="E181" s="20" t="inlineStr">
        <is>
          <t>Garrafas 5L</t>
        </is>
      </c>
      <c r="F181" s="22" t="inlineStr">
        <is>
          <t>ESPAÑA</t>
        </is>
      </c>
      <c r="G181" s="22" t="inlineStr">
        <is>
          <t>Para Previsión (Nac)</t>
        </is>
      </c>
      <c r="H181" s="24" t="n">
        <v>155</v>
      </c>
      <c r="I181" s="24" t="n">
        <v>0</v>
      </c>
      <c r="J181" s="24" t="n">
        <v>175.7671</v>
      </c>
      <c r="K181" s="24" t="n">
        <v>2096.2409</v>
      </c>
      <c r="L181" s="24" t="n">
        <v>0</v>
      </c>
      <c r="M181" s="25" t="n">
        <v>2272.008</v>
      </c>
      <c r="N181" s="25" t="n">
        <v>2272.01</v>
      </c>
      <c r="O181" s="25" t="n">
        <v>2117.008</v>
      </c>
      <c r="P181" s="25" t="n">
        <v>2117.01</v>
      </c>
      <c r="Q181" s="35" t="inlineStr">
        <is>
          <t>SOLO ENVASAR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AVAN0020</t>
        </is>
      </c>
      <c r="B186" s="28" t="inlineStr">
        <is>
          <t>AVAN0020MA</t>
        </is>
      </c>
      <c r="C186" s="29" t="inlineStr">
        <is>
          <t>FLORAMEC AVANCE, 20 L</t>
        </is>
      </c>
      <c r="D186" s="30" t="n">
        <v>20</v>
      </c>
      <c r="E186" s="29" t="inlineStr">
        <is>
          <t>Garrafas 20L</t>
        </is>
      </c>
      <c r="F186" s="31" t="inlineStr">
        <is>
          <t>MARRUECOS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AGXCR0020</t>
        </is>
      </c>
      <c r="B187" s="19" t="inlineStr">
        <is>
          <t>AGXCR0020CO</t>
        </is>
      </c>
      <c r="C187" s="20" t="inlineStr">
        <is>
          <t>AGROXILATO-K, (0-5-20), 20 LtS.</t>
        </is>
      </c>
      <c r="D187" s="21" t="n">
        <v>20</v>
      </c>
      <c r="E187" s="20" t="inlineStr">
        <is>
          <t>Garrafas 20L</t>
        </is>
      </c>
      <c r="F187" s="22" t="inlineStr">
        <is>
          <t>COLOMBIA</t>
        </is>
      </c>
      <c r="G187" s="23" t="inlineStr">
        <is>
          <t>Sobre Pedido (Export)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SOBRE PEDIDO (EXP)</t>
        </is>
      </c>
    </row>
    <row r="188" ht="19" customHeight="1">
      <c r="A188" s="27" t="inlineStr">
        <is>
          <t>B1000</t>
        </is>
      </c>
      <c r="B188" s="31" t="inlineStr">
        <is>
          <t>B1000</t>
        </is>
      </c>
      <c r="C188" s="29" t="inlineStr">
        <is>
          <t>BOROCAL, 1000 L</t>
        </is>
      </c>
      <c r="D188" s="30" t="n">
        <v>1000</v>
      </c>
      <c r="E188" s="29" t="inlineStr">
        <is>
          <t>Depósito 1000 L</t>
        </is>
      </c>
      <c r="F188" s="31" t="inlineStr">
        <is>
          <t>ESPAÑA</t>
        </is>
      </c>
      <c r="G188" s="31" t="inlineStr">
        <is>
          <t>Para Previsión (Nac)</t>
        </is>
      </c>
      <c r="H188" s="33" t="n">
        <v>0</v>
      </c>
      <c r="I188" s="33" t="n">
        <v>2000</v>
      </c>
      <c r="J188" s="33" t="n">
        <v>0</v>
      </c>
      <c r="K188" s="33" t="n">
        <v>0</v>
      </c>
      <c r="L188" s="33" t="n">
        <v>0</v>
      </c>
      <c r="M188" s="34" t="n">
        <v>2000</v>
      </c>
      <c r="N188" s="34" t="n">
        <v>2000</v>
      </c>
      <c r="O188" s="34" t="n">
        <v>2000</v>
      </c>
      <c r="P188" s="34" t="n">
        <v>2000</v>
      </c>
      <c r="Q188" s="35" t="inlineStr">
        <is>
          <t>SOLO ENVASAR</t>
        </is>
      </c>
    </row>
    <row r="189" ht="19" customHeight="1">
      <c r="A189" s="18" t="inlineStr">
        <is>
          <t>F-A1000</t>
        </is>
      </c>
      <c r="B189" s="19" t="inlineStr">
        <is>
          <t>F-A1000CR</t>
        </is>
      </c>
      <c r="C189" s="20" t="inlineStr">
        <is>
          <t>FITOLIN AGRO</t>
        </is>
      </c>
      <c r="D189" s="21" t="n">
        <v>1000</v>
      </c>
      <c r="E189" s="20" t="inlineStr">
        <is>
          <t>Depósito 1000 L</t>
        </is>
      </c>
      <c r="F189" s="22" t="inlineStr">
        <is>
          <t>COSTA RICA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1048.1205</v>
      </c>
      <c r="L189" s="24" t="n">
        <v>867.9081</v>
      </c>
      <c r="M189" s="25" t="n">
        <v>1916.0286</v>
      </c>
      <c r="N189" s="25" t="n">
        <v>1916.03</v>
      </c>
      <c r="O189" s="25" t="n">
        <v>1916.0286</v>
      </c>
      <c r="P189" s="25" t="n">
        <v>1916.03</v>
      </c>
      <c r="Q189" s="35" t="inlineStr">
        <is>
          <t>SOBRE PEDIDO (EXP)</t>
        </is>
      </c>
    </row>
    <row r="190" ht="19" customHeight="1">
      <c r="A190" s="27" t="inlineStr">
        <is>
          <t>C-L0020</t>
        </is>
      </c>
      <c r="B190" s="28" t="inlineStr">
        <is>
          <t>C-L0020AZ</t>
        </is>
      </c>
      <c r="C190" s="29" t="inlineStr">
        <is>
          <t>CODIBOR-L, 20 L</t>
        </is>
      </c>
      <c r="D190" s="30" t="n">
        <v>20</v>
      </c>
      <c r="E190" s="29" t="inlineStr">
        <is>
          <t>Garrafas 20L</t>
        </is>
      </c>
      <c r="F190" s="31" t="inlineStr">
        <is>
          <t>AZERBAIYÁN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0</v>
      </c>
      <c r="L190" s="33" t="n">
        <v>1735.8162</v>
      </c>
      <c r="M190" s="34" t="n">
        <v>1735.8162</v>
      </c>
      <c r="N190" s="34" t="n">
        <v>1735.82</v>
      </c>
      <c r="O190" s="34" t="n">
        <v>1735.8162</v>
      </c>
      <c r="P190" s="34" t="n">
        <v>1735.82</v>
      </c>
      <c r="Q190" s="35" t="inlineStr">
        <is>
          <t>SOBRE PEDIDO (EXP)</t>
        </is>
      </c>
    </row>
    <row r="191" ht="19" customHeight="1">
      <c r="A191" s="18" t="inlineStr">
        <is>
          <t>S0020</t>
        </is>
      </c>
      <c r="B191" s="22" t="inlineStr">
        <is>
          <t>S0020</t>
        </is>
      </c>
      <c r="C191" s="20" t="inlineStr">
        <is>
          <t>SALWAX STAR, 20 L</t>
        </is>
      </c>
      <c r="D191" s="21" t="n">
        <v>20</v>
      </c>
      <c r="E191" s="20" t="inlineStr">
        <is>
          <t>Garrafas 20L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4440</v>
      </c>
      <c r="I191" s="24" t="n">
        <v>0</v>
      </c>
      <c r="J191" s="24" t="n">
        <v>2249.8188</v>
      </c>
      <c r="K191" s="24" t="n">
        <v>3353.9855</v>
      </c>
      <c r="L191" s="24" t="n">
        <v>555.4612</v>
      </c>
      <c r="M191" s="25" t="n">
        <v>6159.2655</v>
      </c>
      <c r="N191" s="25" t="n">
        <v>6159.27</v>
      </c>
      <c r="O191" s="25" t="n">
        <v>1719.2655</v>
      </c>
      <c r="P191" s="25" t="n">
        <v>1719.27</v>
      </c>
      <c r="Q191" s="35" t="inlineStr">
        <is>
          <t>SOLO ENVASAR</t>
        </is>
      </c>
    </row>
    <row r="192" ht="19" customHeight="1">
      <c r="A192" s="27" t="inlineStr">
        <is>
          <t>F-A0005</t>
        </is>
      </c>
      <c r="B192" s="28" t="inlineStr">
        <is>
          <t>F-A0005DO</t>
        </is>
      </c>
      <c r="C192" s="29" t="inlineStr">
        <is>
          <t>FITOLIN-AGRO, 5 L</t>
        </is>
      </c>
      <c r="D192" s="30" t="n">
        <v>5</v>
      </c>
      <c r="E192" s="29" t="inlineStr">
        <is>
          <t>Garrafas 5L</t>
        </is>
      </c>
      <c r="F192" s="31" t="inlineStr">
        <is>
          <t>DOMINICANA, REPÚBLICA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1572.1807</v>
      </c>
      <c r="L192" s="33" t="n">
        <v>0</v>
      </c>
      <c r="M192" s="34" t="n">
        <v>1572.1807</v>
      </c>
      <c r="N192" s="34" t="n">
        <v>1572.18</v>
      </c>
      <c r="O192" s="34" t="n">
        <v>1572.1807</v>
      </c>
      <c r="P192" s="34" t="n">
        <v>1572.18</v>
      </c>
      <c r="Q192" s="35" t="inlineStr">
        <is>
          <t>SOBRE PEDIDO (EXP)</t>
        </is>
      </c>
    </row>
    <row r="193" ht="19" customHeight="1">
      <c r="A193" s="18" t="inlineStr">
        <is>
          <t>CPLUS0020</t>
        </is>
      </c>
      <c r="B193" s="22" t="inlineStr">
        <is>
          <t>CPLUS0020</t>
        </is>
      </c>
      <c r="C193" s="20" t="inlineStr">
        <is>
          <t>CALCIPLUS, 20 L</t>
        </is>
      </c>
      <c r="D193" s="21" t="n">
        <v>20</v>
      </c>
      <c r="E193" s="20" t="inlineStr">
        <is>
          <t>Garrafas 20L</t>
        </is>
      </c>
      <c r="F193" s="22" t="inlineStr">
        <is>
          <t>ESPAÑA</t>
        </is>
      </c>
      <c r="G193" s="22" t="inlineStr">
        <is>
          <t>Para Previsión (Nac)</t>
        </is>
      </c>
      <c r="H193" s="24" t="n">
        <v>9220</v>
      </c>
      <c r="I193" s="24" t="n">
        <v>0</v>
      </c>
      <c r="J193" s="24" t="n">
        <v>4288.7171</v>
      </c>
      <c r="K193" s="24" t="n">
        <v>4695.5797</v>
      </c>
      <c r="L193" s="24" t="n">
        <v>1666.3836</v>
      </c>
      <c r="M193" s="25" t="n">
        <v>10650.6804</v>
      </c>
      <c r="N193" s="25" t="n">
        <v>10650.68</v>
      </c>
      <c r="O193" s="25" t="n">
        <v>1430.680399999999</v>
      </c>
      <c r="P193" s="25" t="n">
        <v>1430.68</v>
      </c>
      <c r="Q193" s="35" t="inlineStr">
        <is>
          <t>SOLO ENVASAR</t>
        </is>
      </c>
    </row>
    <row r="194" ht="19" customHeight="1">
      <c r="A194" s="27" t="inlineStr">
        <is>
          <t>AGXCR0001</t>
        </is>
      </c>
      <c r="B194" s="28" t="inlineStr">
        <is>
          <t>AGXCR0001PA</t>
        </is>
      </c>
      <c r="C194" s="29" t="inlineStr">
        <is>
          <t>AGROXILATO-K</t>
        </is>
      </c>
      <c r="D194" s="30" t="n">
        <v>1</v>
      </c>
      <c r="E194" s="29" t="inlineStr">
        <is>
          <t>Botellas 1L</t>
        </is>
      </c>
      <c r="F194" s="31" t="inlineStr">
        <is>
          <t>PANAMÁ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0</v>
      </c>
      <c r="L194" s="33" t="n">
        <v>1374.7665</v>
      </c>
      <c r="M194" s="34" t="n">
        <v>1374.7665</v>
      </c>
      <c r="N194" s="34" t="n">
        <v>1374.77</v>
      </c>
      <c r="O194" s="34" t="n">
        <v>1374.7665</v>
      </c>
      <c r="P194" s="34" t="n">
        <v>1374.77</v>
      </c>
      <c r="Q194" s="35" t="inlineStr">
        <is>
          <t>SOBRE PEDIDO (EXP)</t>
        </is>
      </c>
    </row>
    <row r="195" ht="19" customHeight="1">
      <c r="A195" s="18" t="inlineStr">
        <is>
          <t>FLORCR0001</t>
        </is>
      </c>
      <c r="B195" s="19" t="inlineStr">
        <is>
          <t>FLORCR0001PA</t>
        </is>
      </c>
      <c r="C195" s="20" t="inlineStr">
        <is>
          <t>FLORAMEC CR, 1 L</t>
        </is>
      </c>
      <c r="D195" s="21" t="n">
        <v>1</v>
      </c>
      <c r="E195" s="20" t="inlineStr">
        <is>
          <t>Botellas 1L</t>
        </is>
      </c>
      <c r="F195" s="22" t="inlineStr">
        <is>
          <t>PANAMÁ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0</v>
      </c>
      <c r="L195" s="24" t="n">
        <v>1374.7665</v>
      </c>
      <c r="M195" s="25" t="n">
        <v>1374.7665</v>
      </c>
      <c r="N195" s="25" t="n">
        <v>1374.77</v>
      </c>
      <c r="O195" s="25" t="n">
        <v>1374.7665</v>
      </c>
      <c r="P195" s="25" t="n">
        <v>1374.77</v>
      </c>
      <c r="Q195" s="35" t="inlineStr">
        <is>
          <t>SOBRE PEDIDO (EXP)</t>
        </is>
      </c>
    </row>
    <row r="196" ht="19" customHeight="1">
      <c r="A196" s="27" t="inlineStr">
        <is>
          <t>AGXCR0001</t>
        </is>
      </c>
      <c r="B196" s="28" t="inlineStr">
        <is>
          <t>AGXCR0001CO</t>
        </is>
      </c>
      <c r="C196" s="29" t="inlineStr">
        <is>
          <t>AGROXILATO-K</t>
        </is>
      </c>
      <c r="D196" s="30" t="n">
        <v>1</v>
      </c>
      <c r="E196" s="29" t="inlineStr">
        <is>
          <t>Botellas 1L</t>
        </is>
      </c>
      <c r="F196" s="31" t="inlineStr">
        <is>
          <t>COLOMBIA</t>
        </is>
      </c>
      <c r="G196" s="32" t="inlineStr">
        <is>
          <t>Sobre Pedido (Export)</t>
        </is>
      </c>
      <c r="H196" s="33" t="n">
        <v>0</v>
      </c>
      <c r="I196" s="33" t="n">
        <v>840</v>
      </c>
      <c r="J196" s="33" t="n">
        <v>0</v>
      </c>
      <c r="K196" s="33" t="n">
        <v>0</v>
      </c>
      <c r="L196" s="33" t="n">
        <v>520.7449</v>
      </c>
      <c r="M196" s="34" t="n">
        <v>1360.7449</v>
      </c>
      <c r="N196" s="34" t="n">
        <v>1360.74</v>
      </c>
      <c r="O196" s="34" t="n">
        <v>1360.7449</v>
      </c>
      <c r="P196" s="34" t="n">
        <v>1360.74</v>
      </c>
      <c r="Q196" s="35" t="inlineStr">
        <is>
          <t>SOBRE PEDIDO (EXP)</t>
        </is>
      </c>
    </row>
    <row r="197" ht="19" customHeight="1">
      <c r="A197" s="18" t="inlineStr">
        <is>
          <t>BIO0001</t>
        </is>
      </c>
      <c r="B197" s="19" t="inlineStr">
        <is>
          <t>BIO0001DO</t>
        </is>
      </c>
      <c r="C197" s="20" t="inlineStr">
        <is>
          <t>BIORAD-20</t>
        </is>
      </c>
      <c r="D197" s="21" t="n">
        <v>1</v>
      </c>
      <c r="E197" s="20" t="inlineStr">
        <is>
          <t>Botellas 1L</t>
        </is>
      </c>
      <c r="F197" s="22" t="inlineStr">
        <is>
          <t>DOMINICANA, REPÚBLICA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1282.8995</v>
      </c>
      <c r="L197" s="24" t="n">
        <v>0</v>
      </c>
      <c r="M197" s="25" t="n">
        <v>1282.8995</v>
      </c>
      <c r="N197" s="25" t="n">
        <v>1282.9</v>
      </c>
      <c r="O197" s="25" t="n">
        <v>1282.8995</v>
      </c>
      <c r="P197" s="25" t="n">
        <v>1282.9</v>
      </c>
      <c r="Q197" s="35" t="inlineStr">
        <is>
          <t>SOBRE PEDIDO (EXP)</t>
        </is>
      </c>
    </row>
    <row r="198" ht="19" customHeight="1">
      <c r="A198" s="27" t="inlineStr">
        <is>
          <t>PT0001</t>
        </is>
      </c>
      <c r="B198" s="31" t="inlineStr">
        <is>
          <t>PT0001</t>
        </is>
      </c>
      <c r="C198" s="29" t="inlineStr">
        <is>
          <t>AGROPOTASION, 1 L</t>
        </is>
      </c>
      <c r="D198" s="30" t="n">
        <v>1</v>
      </c>
      <c r="E198" s="29" t="inlineStr">
        <is>
          <t>Botellas 1L</t>
        </is>
      </c>
      <c r="F198" s="31" t="inlineStr">
        <is>
          <t>ESPAÑA</t>
        </is>
      </c>
      <c r="G198" s="31" t="inlineStr">
        <is>
          <t>Para Previsión (Nac)</t>
        </is>
      </c>
      <c r="H198" s="33" t="n">
        <v>1288</v>
      </c>
      <c r="I198" s="33" t="n">
        <v>2520</v>
      </c>
      <c r="J198" s="33" t="n">
        <v>0</v>
      </c>
      <c r="K198" s="33" t="n">
        <v>0</v>
      </c>
      <c r="L198" s="33" t="n">
        <v>0</v>
      </c>
      <c r="M198" s="34" t="n">
        <v>2520</v>
      </c>
      <c r="N198" s="34" t="n">
        <v>2520</v>
      </c>
      <c r="O198" s="34" t="n">
        <v>1232</v>
      </c>
      <c r="P198" s="34" t="n">
        <v>1232</v>
      </c>
      <c r="Q198" s="35" t="inlineStr">
        <is>
          <t>SOLO ENVASAR</t>
        </is>
      </c>
    </row>
    <row r="199" ht="19" customHeight="1">
      <c r="A199" s="18" t="inlineStr">
        <is>
          <t>C-CU0001</t>
        </is>
      </c>
      <c r="B199" s="22" t="inlineStr">
        <is>
          <t>C-CU0001</t>
        </is>
      </c>
      <c r="C199" s="20" t="inlineStr">
        <is>
          <t>CODICOBRE</t>
        </is>
      </c>
      <c r="D199" s="21" t="n">
        <v>1</v>
      </c>
      <c r="E199" s="20" t="inlineStr">
        <is>
          <t>Botellas 1L</t>
        </is>
      </c>
      <c r="F199" s="22" t="inlineStr">
        <is>
          <t>ESPAÑA</t>
        </is>
      </c>
      <c r="G199" s="22" t="inlineStr">
        <is>
          <t>Para Previsión (Nac)</t>
        </is>
      </c>
      <c r="H199" s="24" t="n">
        <v>0</v>
      </c>
      <c r="I199" s="24" t="n">
        <v>1200</v>
      </c>
      <c r="J199" s="24" t="n">
        <v>0</v>
      </c>
      <c r="K199" s="24" t="n">
        <v>0</v>
      </c>
      <c r="L199" s="24" t="n">
        <v>0</v>
      </c>
      <c r="M199" s="25" t="n">
        <v>1200</v>
      </c>
      <c r="N199" s="25" t="n">
        <v>1200</v>
      </c>
      <c r="O199" s="25" t="n">
        <v>1200</v>
      </c>
      <c r="P199" s="25" t="n">
        <v>1200</v>
      </c>
      <c r="Q199" s="35" t="inlineStr">
        <is>
          <t>SOLO ENVASAR</t>
        </is>
      </c>
    </row>
    <row r="200" ht="19" customHeight="1">
      <c r="A200" s="27" t="inlineStr">
        <is>
          <t>PT0020</t>
        </is>
      </c>
      <c r="B200" s="31" t="inlineStr">
        <is>
          <t>PT0020</t>
        </is>
      </c>
      <c r="C200" s="29" t="inlineStr">
        <is>
          <t>AGROPOTASION, 20 L</t>
        </is>
      </c>
      <c r="D200" s="30" t="n">
        <v>20</v>
      </c>
      <c r="E200" s="29" t="inlineStr">
        <is>
          <t>Garrafas 20L</t>
        </is>
      </c>
      <c r="F200" s="31" t="inlineStr">
        <is>
          <t>ESPAÑA</t>
        </is>
      </c>
      <c r="G200" s="31" t="inlineStr">
        <is>
          <t>Para Previsión (Nac)</t>
        </is>
      </c>
      <c r="H200" s="33" t="n">
        <v>13880</v>
      </c>
      <c r="I200" s="33" t="n">
        <v>0</v>
      </c>
      <c r="J200" s="33" t="n">
        <v>6749.456400000001</v>
      </c>
      <c r="K200" s="33" t="n">
        <v>8049.565199999999</v>
      </c>
      <c r="L200" s="33" t="n">
        <v>260.3724</v>
      </c>
      <c r="M200" s="34" t="n">
        <v>15059.394</v>
      </c>
      <c r="N200" s="34" t="n">
        <v>15059.39</v>
      </c>
      <c r="O200" s="34" t="n">
        <v>1179.394</v>
      </c>
      <c r="P200" s="34" t="n">
        <v>1179.39</v>
      </c>
      <c r="Q200" s="35" t="inlineStr">
        <is>
          <t>SOLO ENVASAR</t>
        </is>
      </c>
    </row>
    <row r="201" ht="19" customHeight="1">
      <c r="A201" s="18" t="inlineStr">
        <is>
          <t>TRI0005</t>
        </is>
      </c>
      <c r="B201" s="22" t="inlineStr">
        <is>
          <t>TRI0005</t>
        </is>
      </c>
      <c r="C201" s="20" t="inlineStr">
        <is>
          <t>TRIFENO-94, 5L</t>
        </is>
      </c>
      <c r="D201" s="21" t="n">
        <v>5</v>
      </c>
      <c r="E201" s="20" t="inlineStr">
        <is>
          <t>Garrafas 5L</t>
        </is>
      </c>
      <c r="F201" s="22" t="inlineStr">
        <is>
          <t>ESPAÑA</t>
        </is>
      </c>
      <c r="G201" s="22" t="inlineStr">
        <is>
          <t>Para Previsión (Nac)</t>
        </is>
      </c>
      <c r="H201" s="24" t="n">
        <v>55</v>
      </c>
      <c r="I201" s="24" t="n">
        <v>0</v>
      </c>
      <c r="J201" s="24" t="n">
        <v>421.8409</v>
      </c>
      <c r="K201" s="24" t="n">
        <v>419.2481</v>
      </c>
      <c r="L201" s="24" t="n">
        <v>381.8795</v>
      </c>
      <c r="M201" s="25" t="n">
        <v>1222.9685</v>
      </c>
      <c r="N201" s="25" t="n">
        <v>1222.97</v>
      </c>
      <c r="O201" s="25" t="n">
        <v>1167.9685</v>
      </c>
      <c r="P201" s="25" t="n">
        <v>1167.97</v>
      </c>
      <c r="Q201" s="35" t="inlineStr">
        <is>
          <t>SOLO ENVASAR</t>
        </is>
      </c>
    </row>
    <row r="202" ht="19" customHeight="1">
      <c r="A202" s="27" t="inlineStr">
        <is>
          <t>PT0005</t>
        </is>
      </c>
      <c r="B202" s="28" t="inlineStr">
        <is>
          <t>PT0005DO</t>
        </is>
      </c>
      <c r="C202" s="29" t="inlineStr">
        <is>
          <t>AGROPOTASION, 5 L</t>
        </is>
      </c>
      <c r="D202" s="30" t="n">
        <v>5</v>
      </c>
      <c r="E202" s="29" t="inlineStr">
        <is>
          <t>Garrafas 5L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AGXCR1000</t>
        </is>
      </c>
      <c r="B203" s="19" t="inlineStr">
        <is>
          <t>AGXCR1000RO</t>
        </is>
      </c>
      <c r="C203" s="20" t="inlineStr">
        <is>
          <t>AGROXILATO-K</t>
        </is>
      </c>
      <c r="D203" s="21" t="n">
        <v>1000</v>
      </c>
      <c r="E203" s="20" t="inlineStr">
        <is>
          <t>Depósito 1000 L</t>
        </is>
      </c>
      <c r="F203" s="22" t="inlineStr">
        <is>
          <t>RUMANÍA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B1000RORU</t>
        </is>
      </c>
      <c r="B204" s="31" t="inlineStr">
        <is>
          <t>B1000RORU</t>
        </is>
      </c>
      <c r="C204" s="29" t="inlineStr">
        <is>
          <t>BOROCAL, 1000 L</t>
        </is>
      </c>
      <c r="D204" s="30" t="n">
        <v>1000</v>
      </c>
      <c r="E204" s="29" t="inlineStr">
        <is>
          <t>Depósito 1000 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1048.1205</v>
      </c>
      <c r="L204" s="33" t="n">
        <v>0</v>
      </c>
      <c r="M204" s="34" t="n">
        <v>1048.1205</v>
      </c>
      <c r="N204" s="34" t="n">
        <v>1048.12</v>
      </c>
      <c r="O204" s="34" t="n">
        <v>1048.1205</v>
      </c>
      <c r="P204" s="34" t="n">
        <v>1048.12</v>
      </c>
      <c r="Q204" s="35" t="inlineStr">
        <is>
          <t>SOBRE PEDIDO (EXP)</t>
        </is>
      </c>
    </row>
    <row r="205" ht="19" customHeight="1">
      <c r="A205" s="18" t="inlineStr">
        <is>
          <t>AGXK0001</t>
        </is>
      </c>
      <c r="B205" s="19" t="inlineStr">
        <is>
          <t>AGXK0001DO</t>
        </is>
      </c>
      <c r="C205" s="20" t="inlineStr">
        <is>
          <t>AGROXILATO-K</t>
        </is>
      </c>
      <c r="D205" s="21" t="n">
        <v>1</v>
      </c>
      <c r="E205" s="20" t="inlineStr">
        <is>
          <t>Botellas 1L</t>
        </is>
      </c>
      <c r="F205" s="22" t="inlineStr">
        <is>
          <t>DOMINICANA, REPÚBLICA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1048.1205</v>
      </c>
      <c r="L205" s="24" t="n">
        <v>0</v>
      </c>
      <c r="M205" s="25" t="n">
        <v>1048.1205</v>
      </c>
      <c r="N205" s="25" t="n">
        <v>1048.12</v>
      </c>
      <c r="O205" s="25" t="n">
        <v>1048.1205</v>
      </c>
      <c r="P205" s="25" t="n">
        <v>1048.12</v>
      </c>
      <c r="Q205" s="35" t="inlineStr">
        <is>
          <t>SOBRE PEDIDO (EXP)</t>
        </is>
      </c>
    </row>
    <row r="206" ht="19" customHeight="1">
      <c r="A206" s="27" t="inlineStr">
        <is>
          <t>F-A0001</t>
        </is>
      </c>
      <c r="B206" s="28" t="inlineStr">
        <is>
          <t>F-A0001DO</t>
        </is>
      </c>
      <c r="C206" s="29" t="inlineStr">
        <is>
          <t>FITOLIN-AGRO, 1 L</t>
        </is>
      </c>
      <c r="D206" s="30" t="n">
        <v>1</v>
      </c>
      <c r="E206" s="29" t="inlineStr">
        <is>
          <t>Botellas 1L</t>
        </is>
      </c>
      <c r="F206" s="31" t="inlineStr">
        <is>
          <t>DOMINICANA, REPÚBLICA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1048.1205</v>
      </c>
      <c r="L206" s="33" t="n">
        <v>0</v>
      </c>
      <c r="M206" s="34" t="n">
        <v>1048.1205</v>
      </c>
      <c r="N206" s="34" t="n">
        <v>1048.12</v>
      </c>
      <c r="O206" s="34" t="n">
        <v>1048.1205</v>
      </c>
      <c r="P206" s="34" t="n">
        <v>1048.12</v>
      </c>
      <c r="Q206" s="35" t="inlineStr">
        <is>
          <t>SOBRE PEDIDO (EXP)</t>
        </is>
      </c>
    </row>
    <row r="207" ht="19" customHeight="1">
      <c r="A207" s="18" t="inlineStr">
        <is>
          <t>B0001DODO</t>
        </is>
      </c>
      <c r="B207" s="22" t="inlineStr">
        <is>
          <t>B0001DODO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DOMINICANA, REPÚBLICA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1048.1205</v>
      </c>
      <c r="L207" s="24" t="n">
        <v>0</v>
      </c>
      <c r="M207" s="25" t="n">
        <v>1048.1205</v>
      </c>
      <c r="N207" s="25" t="n">
        <v>1048.12</v>
      </c>
      <c r="O207" s="25" t="n">
        <v>1048.1205</v>
      </c>
      <c r="P207" s="25" t="n">
        <v>1048.12</v>
      </c>
      <c r="Q207" s="35" t="inlineStr">
        <is>
          <t>SOBRE PEDIDO (EXP)</t>
        </is>
      </c>
    </row>
    <row r="208" ht="19" customHeight="1">
      <c r="A208" s="27" t="inlineStr">
        <is>
          <t>AVAN0005</t>
        </is>
      </c>
      <c r="B208" s="31" t="inlineStr">
        <is>
          <t>AVAN0005</t>
        </is>
      </c>
      <c r="C208" s="29" t="inlineStr">
        <is>
          <t>FLORAMEC AVANCE, 5 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2640</v>
      </c>
      <c r="I208" s="33" t="n">
        <v>0</v>
      </c>
      <c r="J208" s="33" t="n">
        <v>1933.4379</v>
      </c>
      <c r="K208" s="33" t="n">
        <v>419.2481</v>
      </c>
      <c r="L208" s="33" t="n">
        <v>1301.8621</v>
      </c>
      <c r="M208" s="34" t="n">
        <v>3654.5481</v>
      </c>
      <c r="N208" s="34" t="n">
        <v>3654.55</v>
      </c>
      <c r="O208" s="34" t="n">
        <v>1014.5481</v>
      </c>
      <c r="P208" s="34" t="n">
        <v>1014.55</v>
      </c>
      <c r="Q208" s="35" t="inlineStr">
        <is>
          <t>SOLO ENVASAR</t>
        </is>
      </c>
    </row>
    <row r="209" ht="19" customHeight="1">
      <c r="A209" s="18" t="inlineStr">
        <is>
          <t>C-CU0020</t>
        </is>
      </c>
      <c r="B209" s="22" t="inlineStr">
        <is>
          <t>C-CU0020</t>
        </is>
      </c>
      <c r="C209" s="20" t="inlineStr">
        <is>
          <t>CODICOBRE, 20 L</t>
        </is>
      </c>
      <c r="D209" s="21" t="n">
        <v>20</v>
      </c>
      <c r="E209" s="20" t="inlineStr">
        <is>
          <t>Garrafas 20L</t>
        </is>
      </c>
      <c r="F209" s="22" t="inlineStr">
        <is>
          <t>ESPAÑA</t>
        </is>
      </c>
      <c r="G209" s="22" t="inlineStr">
        <is>
          <t>Para Previsión (Nac)</t>
        </is>
      </c>
      <c r="H209" s="24" t="n">
        <v>2940</v>
      </c>
      <c r="I209" s="24" t="n">
        <v>320</v>
      </c>
      <c r="J209" s="24" t="n">
        <v>1863.1312</v>
      </c>
      <c r="K209" s="24" t="n">
        <v>1760.8424</v>
      </c>
      <c r="L209" s="24" t="n">
        <v>0</v>
      </c>
      <c r="M209" s="25" t="n">
        <v>3943.9736</v>
      </c>
      <c r="N209" s="25" t="n">
        <v>3943.97</v>
      </c>
      <c r="O209" s="25" t="n">
        <v>1003.9736</v>
      </c>
      <c r="P209" s="25" t="n">
        <v>1003.97</v>
      </c>
      <c r="Q209" s="35" t="inlineStr">
        <is>
          <t>SOLO ENVASAR</t>
        </is>
      </c>
    </row>
    <row r="210" ht="19" customHeight="1">
      <c r="A210" s="27" t="inlineStr">
        <is>
          <t>C-CU1000</t>
        </is>
      </c>
      <c r="B210" s="31" t="inlineStr">
        <is>
          <t>C-CU1000</t>
        </is>
      </c>
      <c r="C210" s="29" t="inlineStr">
        <is>
          <t>CODICOBRE, 1000 L</t>
        </is>
      </c>
      <c r="D210" s="30" t="n">
        <v>1000</v>
      </c>
      <c r="E210" s="29" t="inlineStr">
        <is>
          <t>Depósito 1000 L</t>
        </is>
      </c>
      <c r="F210" s="31" t="inlineStr">
        <is>
          <t>ESPAÑA</t>
        </is>
      </c>
      <c r="G210" s="31" t="inlineStr">
        <is>
          <t>Para Previsión (Nac)</t>
        </is>
      </c>
      <c r="H210" s="33" t="n">
        <v>0</v>
      </c>
      <c r="I210" s="33" t="n">
        <v>1000</v>
      </c>
      <c r="J210" s="33" t="n">
        <v>0</v>
      </c>
      <c r="K210" s="33" t="n">
        <v>0</v>
      </c>
      <c r="L210" s="33" t="n">
        <v>0</v>
      </c>
      <c r="M210" s="34" t="n">
        <v>1000</v>
      </c>
      <c r="N210" s="34" t="n">
        <v>1000</v>
      </c>
      <c r="O210" s="34" t="n">
        <v>1000</v>
      </c>
      <c r="P210" s="34" t="n">
        <v>1000</v>
      </c>
      <c r="Q210" s="35" t="inlineStr">
        <is>
          <t>SOLO ENVASAR</t>
        </is>
      </c>
    </row>
    <row r="211" ht="19" customHeight="1">
      <c r="A211" s="18" t="inlineStr">
        <is>
          <t>PT0005</t>
        </is>
      </c>
      <c r="B211" s="22" t="inlineStr">
        <is>
          <t>PT0005</t>
        </is>
      </c>
      <c r="C211" s="20" t="inlineStr">
        <is>
          <t>AGROPOTASION, 5 L</t>
        </is>
      </c>
      <c r="D211" s="21" t="n">
        <v>5</v>
      </c>
      <c r="E211" s="20" t="inlineStr">
        <is>
          <t>Garrafas 5L</t>
        </is>
      </c>
      <c r="F211" s="22" t="inlineStr">
        <is>
          <t>ESPAÑA</t>
        </is>
      </c>
      <c r="G211" s="22" t="inlineStr">
        <is>
          <t>Para Previsión (Nac)</t>
        </is>
      </c>
      <c r="H211" s="24" t="n">
        <v>1080</v>
      </c>
      <c r="I211" s="24" t="n">
        <v>1460</v>
      </c>
      <c r="J211" s="24" t="n">
        <v>175.767</v>
      </c>
      <c r="K211" s="24" t="n">
        <v>0</v>
      </c>
      <c r="L211" s="24" t="n">
        <v>433.9540000000001</v>
      </c>
      <c r="M211" s="25" t="n">
        <v>2069.721</v>
      </c>
      <c r="N211" s="25" t="n">
        <v>2069.72</v>
      </c>
      <c r="O211" s="25" t="n">
        <v>989.721</v>
      </c>
      <c r="P211" s="25" t="n">
        <v>989.72</v>
      </c>
      <c r="Q211" s="35" t="inlineStr">
        <is>
          <t>SOLO ENVASAR</t>
        </is>
      </c>
    </row>
    <row r="212" ht="19" customHeight="1">
      <c r="A212" s="27" t="inlineStr">
        <is>
          <t>F-A0001</t>
        </is>
      </c>
      <c r="B212" s="31" t="inlineStr">
        <is>
          <t>F-A0001</t>
        </is>
      </c>
      <c r="C212" s="29" t="inlineStr">
        <is>
          <t>FITOLIN-AGRO, 1 L</t>
        </is>
      </c>
      <c r="D212" s="30" t="n">
        <v>1</v>
      </c>
      <c r="E212" s="29" t="inlineStr">
        <is>
          <t>Botellas 1L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0</v>
      </c>
      <c r="I212" s="33" t="n">
        <v>984</v>
      </c>
      <c r="J212" s="33" t="n">
        <v>0</v>
      </c>
      <c r="K212" s="33" t="n">
        <v>0</v>
      </c>
      <c r="L212" s="33" t="n">
        <v>0</v>
      </c>
      <c r="M212" s="34" t="n">
        <v>984</v>
      </c>
      <c r="N212" s="34" t="n">
        <v>984</v>
      </c>
      <c r="O212" s="34" t="n">
        <v>984</v>
      </c>
      <c r="P212" s="34" t="n">
        <v>984</v>
      </c>
      <c r="Q212" s="35" t="inlineStr">
        <is>
          <t>SOLO ENVASAR</t>
        </is>
      </c>
    </row>
    <row r="213" ht="19" customHeight="1">
      <c r="A213" s="18" t="inlineStr">
        <is>
          <t>AGXK0005</t>
        </is>
      </c>
      <c r="B213" s="19" t="inlineStr">
        <is>
          <t>AGXK0005GE</t>
        </is>
      </c>
      <c r="C213" s="20" t="inlineStr">
        <is>
          <t>AGROXILATO-K, 5 L</t>
        </is>
      </c>
      <c r="D213" s="21" t="n">
        <v>5</v>
      </c>
      <c r="E213" s="20" t="inlineStr">
        <is>
          <t>Garrafas 5L</t>
        </is>
      </c>
      <c r="F213" s="22" t="inlineStr">
        <is>
          <t>GEORGIA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0</v>
      </c>
      <c r="L213" s="24" t="n">
        <v>867.9081</v>
      </c>
      <c r="M213" s="25" t="n">
        <v>867.9081</v>
      </c>
      <c r="N213" s="25" t="n">
        <v>867.91</v>
      </c>
      <c r="O213" s="25" t="n">
        <v>867.9081</v>
      </c>
      <c r="P213" s="25" t="n">
        <v>867.91</v>
      </c>
      <c r="Q213" s="35" t="inlineStr">
        <is>
          <t>SOBRE PEDIDO (EXP)</t>
        </is>
      </c>
    </row>
    <row r="214" ht="19" customHeight="1">
      <c r="A214" s="27" t="inlineStr">
        <is>
          <t>C-CU0005</t>
        </is>
      </c>
      <c r="B214" s="28" t="inlineStr">
        <is>
          <t>C-CU0005GE</t>
        </is>
      </c>
      <c r="C214" s="29" t="inlineStr">
        <is>
          <t>CODICOBRE, 5 L</t>
        </is>
      </c>
      <c r="D214" s="30" t="n">
        <v>5</v>
      </c>
      <c r="E214" s="29" t="inlineStr">
        <is>
          <t>Garrafas 5L</t>
        </is>
      </c>
      <c r="F214" s="31" t="inlineStr">
        <is>
          <t>GEORGIA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867.9081</v>
      </c>
      <c r="M214" s="34" t="n">
        <v>867.9081</v>
      </c>
      <c r="N214" s="34" t="n">
        <v>867.91</v>
      </c>
      <c r="O214" s="34" t="n">
        <v>867.9081</v>
      </c>
      <c r="P214" s="34" t="n">
        <v>867.91</v>
      </c>
      <c r="Q214" s="35" t="inlineStr">
        <is>
          <t>SOBRE PEDIDO (EXP)</t>
        </is>
      </c>
    </row>
    <row r="215" ht="19" customHeight="1">
      <c r="A215" s="18" t="inlineStr">
        <is>
          <t>AGXCR0005</t>
        </is>
      </c>
      <c r="B215" s="19" t="inlineStr">
        <is>
          <t>AGXCR0005CO</t>
        </is>
      </c>
      <c r="C215" s="20" t="inlineStr">
        <is>
          <t>AGROXILATO-K</t>
        </is>
      </c>
      <c r="D215" s="21" t="n">
        <v>5</v>
      </c>
      <c r="E215" s="20" t="inlineStr">
        <is>
          <t>Garrafas 5L</t>
        </is>
      </c>
      <c r="F215" s="22" t="inlineStr">
        <is>
          <t>COLOMBIA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0</v>
      </c>
      <c r="L215" s="24" t="n">
        <v>867.9081</v>
      </c>
      <c r="M215" s="25" t="n">
        <v>867.9081</v>
      </c>
      <c r="N215" s="25" t="n">
        <v>867.91</v>
      </c>
      <c r="O215" s="25" t="n">
        <v>867.9081</v>
      </c>
      <c r="P215" s="25" t="n">
        <v>867.91</v>
      </c>
      <c r="Q215" s="35" t="inlineStr">
        <is>
          <t>SOBRE PEDIDO (EXP)</t>
        </is>
      </c>
    </row>
    <row r="216" ht="19" customHeight="1">
      <c r="A216" s="27" t="inlineStr">
        <is>
          <t>CPLUS0200</t>
        </is>
      </c>
      <c r="B216" s="31" t="inlineStr">
        <is>
          <t>CPLUS0200</t>
        </is>
      </c>
      <c r="C216" s="29" t="inlineStr">
        <is>
          <t>CALCIPLUS, 200 L</t>
        </is>
      </c>
      <c r="D216" s="30" t="n">
        <v>200</v>
      </c>
      <c r="E216" s="29" t="inlineStr">
        <is>
          <t>Depósito 200 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0</v>
      </c>
      <c r="I216" s="33" t="n">
        <v>0</v>
      </c>
      <c r="J216" s="33" t="n">
        <v>0</v>
      </c>
      <c r="K216" s="33" t="n">
        <v>838.4964</v>
      </c>
      <c r="L216" s="33" t="n">
        <v>0</v>
      </c>
      <c r="M216" s="34" t="n">
        <v>838.4964</v>
      </c>
      <c r="N216" s="34" t="n">
        <v>838.5</v>
      </c>
      <c r="O216" s="34" t="n">
        <v>838.4964</v>
      </c>
      <c r="P216" s="34" t="n">
        <v>838.5</v>
      </c>
      <c r="Q216" s="35" t="inlineStr">
        <is>
          <t>SOLO ENVASAR</t>
        </is>
      </c>
    </row>
    <row r="217" ht="19" customHeight="1">
      <c r="A217" s="18" t="inlineStr">
        <is>
          <t>C-CU0001</t>
        </is>
      </c>
      <c r="B217" s="19" t="inlineStr">
        <is>
          <t>C-CU0001GE</t>
        </is>
      </c>
      <c r="C217" s="20" t="inlineStr">
        <is>
          <t>CODICOBRE</t>
        </is>
      </c>
      <c r="D217" s="21" t="n">
        <v>1</v>
      </c>
      <c r="E217" s="20" t="inlineStr">
        <is>
          <t>Botellas 1L</t>
        </is>
      </c>
      <c r="F217" s="22" t="inlineStr">
        <is>
          <t>GEORGIA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0</v>
      </c>
      <c r="K217" s="24" t="n">
        <v>0</v>
      </c>
      <c r="L217" s="24" t="n">
        <v>833.1917999999999</v>
      </c>
      <c r="M217" s="25" t="n">
        <v>833.1917999999999</v>
      </c>
      <c r="N217" s="25" t="n">
        <v>833.1900000000001</v>
      </c>
      <c r="O217" s="25" t="n">
        <v>833.1917999999999</v>
      </c>
      <c r="P217" s="25" t="n">
        <v>833.1900000000001</v>
      </c>
      <c r="Q217" s="35" t="inlineStr">
        <is>
          <t>SOBRE PEDIDO (EXP)</t>
        </is>
      </c>
    </row>
    <row r="218" ht="19" customHeight="1">
      <c r="A218" s="27" t="inlineStr">
        <is>
          <t>SPCE20005</t>
        </is>
      </c>
      <c r="B218" s="28" t="inlineStr">
        <is>
          <t>SPCE20005CR</t>
        </is>
      </c>
      <c r="C218" s="29" t="inlineStr">
        <is>
          <t>SPRINTENE ZNMN 5L</t>
        </is>
      </c>
      <c r="D218" s="30" t="n">
        <v>5</v>
      </c>
      <c r="E218" s="29" t="inlineStr">
        <is>
          <t>Garrafas 5L</t>
        </is>
      </c>
      <c r="F218" s="31" t="inlineStr">
        <is>
          <t>COSTA RICA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351.5342</v>
      </c>
      <c r="K218" s="33" t="n">
        <v>419.2482</v>
      </c>
      <c r="L218" s="33" t="n">
        <v>0</v>
      </c>
      <c r="M218" s="34" t="n">
        <v>770.7824000000001</v>
      </c>
      <c r="N218" s="34" t="n">
        <v>770.78</v>
      </c>
      <c r="O218" s="34" t="n">
        <v>770.7824000000001</v>
      </c>
      <c r="P218" s="34" t="n">
        <v>770.78</v>
      </c>
      <c r="Q218" s="35" t="inlineStr">
        <is>
          <t>SOBRE PEDIDO (EXP)</t>
        </is>
      </c>
    </row>
    <row r="219" ht="19" customHeight="1">
      <c r="A219" s="18" t="inlineStr">
        <is>
          <t>C-L0001</t>
        </is>
      </c>
      <c r="B219" s="19" t="inlineStr">
        <is>
          <t>C-L0001RO</t>
        </is>
      </c>
      <c r="C219" s="20" t="inlineStr">
        <is>
          <t>CODIBOR-L, 1 L</t>
        </is>
      </c>
      <c r="D219" s="21" t="n">
        <v>1</v>
      </c>
      <c r="E219" s="20" t="inlineStr">
        <is>
          <t>Botellas 1L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696.0377</v>
      </c>
      <c r="K219" s="24" t="n">
        <v>0</v>
      </c>
      <c r="L219" s="24" t="n">
        <v>0</v>
      </c>
      <c r="M219" s="25" t="n">
        <v>696.0377</v>
      </c>
      <c r="N219" s="25" t="n">
        <v>696.04</v>
      </c>
      <c r="O219" s="25" t="n">
        <v>696.0377</v>
      </c>
      <c r="P219" s="25" t="n">
        <v>696.04</v>
      </c>
      <c r="Q219" s="35" t="inlineStr">
        <is>
          <t>SOBRE PEDIDO (EXP)</t>
        </is>
      </c>
    </row>
    <row r="220" ht="19" customHeight="1">
      <c r="A220" s="27" t="inlineStr">
        <is>
          <t>BIO0001</t>
        </is>
      </c>
      <c r="B220" s="28" t="inlineStr">
        <is>
          <t>BIO0001RO</t>
        </is>
      </c>
      <c r="C220" s="29" t="inlineStr">
        <is>
          <t>BIORAD-20</t>
        </is>
      </c>
      <c r="D220" s="30" t="n">
        <v>1</v>
      </c>
      <c r="E220" s="29" t="inlineStr">
        <is>
          <t>Botellas 1L</t>
        </is>
      </c>
      <c r="F220" s="31" t="inlineStr">
        <is>
          <t>RUMANÍA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696.0377</v>
      </c>
      <c r="K220" s="33" t="n">
        <v>0</v>
      </c>
      <c r="L220" s="33" t="n">
        <v>0</v>
      </c>
      <c r="M220" s="34" t="n">
        <v>696.0377</v>
      </c>
      <c r="N220" s="34" t="n">
        <v>696.04</v>
      </c>
      <c r="O220" s="34" t="n">
        <v>696.0377</v>
      </c>
      <c r="P220" s="34" t="n">
        <v>696.04</v>
      </c>
      <c r="Q220" s="35" t="inlineStr">
        <is>
          <t>SOBRE PEDIDO (EXP)</t>
        </is>
      </c>
    </row>
    <row r="221" ht="19" customHeight="1">
      <c r="A221" s="18" t="inlineStr">
        <is>
          <t>AGXCR0005</t>
        </is>
      </c>
      <c r="B221" s="19" t="inlineStr">
        <is>
          <t>AGXCR0005PA</t>
        </is>
      </c>
      <c r="C221" s="20" t="inlineStr">
        <is>
          <t>AGROXILATO-K</t>
        </is>
      </c>
      <c r="D221" s="21" t="n">
        <v>5</v>
      </c>
      <c r="E221" s="20" t="inlineStr">
        <is>
          <t>Garrafas 5L</t>
        </is>
      </c>
      <c r="F221" s="22" t="inlineStr">
        <is>
          <t>PANAMÁ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0</v>
      </c>
      <c r="L221" s="24" t="n">
        <v>694.3265</v>
      </c>
      <c r="M221" s="25" t="n">
        <v>694.3265</v>
      </c>
      <c r="N221" s="25" t="n">
        <v>694.33</v>
      </c>
      <c r="O221" s="25" t="n">
        <v>694.3265</v>
      </c>
      <c r="P221" s="25" t="n">
        <v>694.33</v>
      </c>
      <c r="Q221" s="35" t="inlineStr">
        <is>
          <t>SOBRE PEDIDO (EXP)</t>
        </is>
      </c>
    </row>
    <row r="222" ht="19" customHeight="1">
      <c r="A222" s="27" t="inlineStr">
        <is>
          <t>B0001RORU</t>
        </is>
      </c>
      <c r="B222" s="31" t="inlineStr">
        <is>
          <t>B0001RORU</t>
        </is>
      </c>
      <c r="C222" s="29" t="inlineStr">
        <is>
          <t>BOROCAL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C-CU0001</t>
        </is>
      </c>
      <c r="B223" s="19" t="inlineStr">
        <is>
          <t>C-CU0001RO</t>
        </is>
      </c>
      <c r="C223" s="20" t="inlineStr">
        <is>
          <t>CODICOBRE</t>
        </is>
      </c>
      <c r="D223" s="21" t="n">
        <v>1</v>
      </c>
      <c r="E223" s="20" t="inlineStr">
        <is>
          <t>Botellas 1L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691.7595</v>
      </c>
      <c r="L223" s="24" t="n">
        <v>0</v>
      </c>
      <c r="M223" s="25" t="n">
        <v>691.7595</v>
      </c>
      <c r="N223" s="25" t="n">
        <v>691.76</v>
      </c>
      <c r="O223" s="25" t="n">
        <v>691.7595</v>
      </c>
      <c r="P223" s="25" t="n">
        <v>691.76</v>
      </c>
      <c r="Q223" s="35" t="inlineStr">
        <is>
          <t>SOBRE PEDIDO (EXP)</t>
        </is>
      </c>
    </row>
    <row r="224" ht="19" customHeight="1">
      <c r="A224" s="27" t="inlineStr">
        <is>
          <t>PML0001</t>
        </is>
      </c>
      <c r="B224" s="28" t="inlineStr">
        <is>
          <t>PML0001RO</t>
        </is>
      </c>
      <c r="C224" s="29" t="inlineStr">
        <is>
          <t>POLIGREEN MIX L</t>
        </is>
      </c>
      <c r="D224" s="30" t="n">
        <v>1</v>
      </c>
      <c r="E224" s="29" t="inlineStr">
        <is>
          <t>Botellas 1L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691.7595</v>
      </c>
      <c r="L224" s="33" t="n">
        <v>0</v>
      </c>
      <c r="M224" s="34" t="n">
        <v>691.7595</v>
      </c>
      <c r="N224" s="34" t="n">
        <v>691.76</v>
      </c>
      <c r="O224" s="34" t="n">
        <v>691.7595</v>
      </c>
      <c r="P224" s="34" t="n">
        <v>691.76</v>
      </c>
      <c r="Q224" s="35" t="inlineStr">
        <is>
          <t>SOBRE PEDIDO (EXP)</t>
        </is>
      </c>
    </row>
    <row r="225" ht="19" customHeight="1">
      <c r="A225" s="18" t="inlineStr">
        <is>
          <t>AGXCR0020</t>
        </is>
      </c>
      <c r="B225" s="19" t="inlineStr">
        <is>
          <t>AGXCR0020RO</t>
        </is>
      </c>
      <c r="C225" s="20" t="inlineStr">
        <is>
          <t>AGROXILATO-K, (0-5-20), 20 LtS.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B0020RORU</t>
        </is>
      </c>
      <c r="B226" s="31" t="inlineStr">
        <is>
          <t>B0020RORU</t>
        </is>
      </c>
      <c r="C226" s="29" t="inlineStr">
        <is>
          <t>BOROCAL</t>
        </is>
      </c>
      <c r="D226" s="30" t="n">
        <v>20</v>
      </c>
      <c r="E226" s="29" t="inlineStr">
        <is>
          <t>Garrafas 20L</t>
        </is>
      </c>
      <c r="F226" s="31" t="inlineStr">
        <is>
          <t>RUMANÍA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670.7971</v>
      </c>
      <c r="L226" s="33" t="n">
        <v>0</v>
      </c>
      <c r="M226" s="34" t="n">
        <v>670.7971</v>
      </c>
      <c r="N226" s="34" t="n">
        <v>670.8</v>
      </c>
      <c r="O226" s="34" t="n">
        <v>670.7971</v>
      </c>
      <c r="P226" s="34" t="n">
        <v>670.8</v>
      </c>
      <c r="Q226" s="35" t="inlineStr">
        <is>
          <t>SOBRE PEDIDO (EXP)</t>
        </is>
      </c>
    </row>
    <row r="227" ht="19" customHeight="1">
      <c r="A227" s="18" t="inlineStr">
        <is>
          <t>PK500020</t>
        </is>
      </c>
      <c r="B227" s="19" t="inlineStr">
        <is>
          <t>PK500020RO</t>
        </is>
      </c>
      <c r="C227" s="20" t="inlineStr">
        <is>
          <t>POLIFRUIT K50</t>
        </is>
      </c>
      <c r="D227" s="21" t="n">
        <v>20</v>
      </c>
      <c r="E227" s="20" t="inlineStr">
        <is>
          <t>Garrafas 20L</t>
        </is>
      </c>
      <c r="F227" s="22" t="inlineStr">
        <is>
          <t>RUMANÍA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670.7971</v>
      </c>
      <c r="L227" s="24" t="n">
        <v>0</v>
      </c>
      <c r="M227" s="25" t="n">
        <v>670.7971</v>
      </c>
      <c r="N227" s="25" t="n">
        <v>670.8</v>
      </c>
      <c r="O227" s="25" t="n">
        <v>670.7971</v>
      </c>
      <c r="P227" s="25" t="n">
        <v>670.8</v>
      </c>
      <c r="Q227" s="35" t="inlineStr">
        <is>
          <t>SOBRE PEDIDO (EXP)</t>
        </is>
      </c>
    </row>
    <row r="228" ht="19" customHeight="1">
      <c r="A228" s="27" t="inlineStr">
        <is>
          <t>FLOR0001</t>
        </is>
      </c>
      <c r="B228" s="31" t="inlineStr">
        <is>
          <t>FLOR0001</t>
        </is>
      </c>
      <c r="C228" s="29" t="inlineStr">
        <is>
          <t>FLORAMEC</t>
        </is>
      </c>
      <c r="D228" s="30" t="n">
        <v>1</v>
      </c>
      <c r="E228" s="29" t="inlineStr">
        <is>
          <t>Botellas 1L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648</v>
      </c>
      <c r="J228" s="33" t="n">
        <v>0</v>
      </c>
      <c r="K228" s="33" t="n">
        <v>0</v>
      </c>
      <c r="L228" s="33" t="n">
        <v>0</v>
      </c>
      <c r="M228" s="34" t="n">
        <v>648</v>
      </c>
      <c r="N228" s="34" t="n">
        <v>648</v>
      </c>
      <c r="O228" s="34" t="n">
        <v>648</v>
      </c>
      <c r="P228" s="34" t="n">
        <v>648</v>
      </c>
      <c r="Q228" s="35" t="inlineStr">
        <is>
          <t>SOLO ENVASAR</t>
        </is>
      </c>
    </row>
    <row r="229" ht="19" customHeight="1">
      <c r="A229" s="18" t="inlineStr">
        <is>
          <t>PT0020</t>
        </is>
      </c>
      <c r="B229" s="19" t="inlineStr">
        <is>
          <t>PT0020RO</t>
        </is>
      </c>
      <c r="C229" s="20" t="inlineStr">
        <is>
          <t>AGROPOTASION, 20 L</t>
        </is>
      </c>
      <c r="D229" s="21" t="n">
        <v>20</v>
      </c>
      <c r="E229" s="20" t="inlineStr">
        <is>
          <t>Garrafas 20L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0</v>
      </c>
      <c r="K229" s="24" t="n">
        <v>628.8723</v>
      </c>
      <c r="L229" s="24" t="n">
        <v>0</v>
      </c>
      <c r="M229" s="25" t="n">
        <v>628.8723</v>
      </c>
      <c r="N229" s="25" t="n">
        <v>628.87</v>
      </c>
      <c r="O229" s="25" t="n">
        <v>628.8723</v>
      </c>
      <c r="P229" s="25" t="n">
        <v>628.87</v>
      </c>
      <c r="Q229" s="35" t="inlineStr">
        <is>
          <t>SOBRE PEDIDO (EXP)</t>
        </is>
      </c>
    </row>
    <row r="230" ht="19" customHeight="1">
      <c r="A230" s="27" t="inlineStr">
        <is>
          <t>PT0001</t>
        </is>
      </c>
      <c r="B230" s="28" t="inlineStr">
        <is>
          <t>PT0001RO</t>
        </is>
      </c>
      <c r="C230" s="29" t="inlineStr">
        <is>
          <t>AGROPOTASION, 1 L</t>
        </is>
      </c>
      <c r="D230" s="30" t="n">
        <v>1</v>
      </c>
      <c r="E230" s="29" t="inlineStr">
        <is>
          <t>Botellas 1L</t>
        </is>
      </c>
      <c r="F230" s="31" t="inlineStr">
        <is>
          <t>RUMANÍA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628.8723</v>
      </c>
      <c r="L230" s="33" t="n">
        <v>0</v>
      </c>
      <c r="M230" s="34" t="n">
        <v>628.8723</v>
      </c>
      <c r="N230" s="34" t="n">
        <v>628.87</v>
      </c>
      <c r="O230" s="34" t="n">
        <v>628.8723</v>
      </c>
      <c r="P230" s="34" t="n">
        <v>628.87</v>
      </c>
      <c r="Q230" s="35" t="inlineStr">
        <is>
          <t>SOBRE PEDIDO (EXP)</t>
        </is>
      </c>
    </row>
    <row r="231" ht="19" customHeight="1">
      <c r="A231" s="18" t="inlineStr">
        <is>
          <t>JF0005</t>
        </is>
      </c>
      <c r="B231" s="19" t="inlineStr">
        <is>
          <t>JF0005MA</t>
        </is>
      </c>
      <c r="C231" s="20" t="inlineStr">
        <is>
          <t>CODIGIN-FOS, 5 L</t>
        </is>
      </c>
      <c r="D231" s="21" t="n">
        <v>5</v>
      </c>
      <c r="E231" s="20" t="inlineStr">
        <is>
          <t>Garrafas 5L</t>
        </is>
      </c>
      <c r="F231" s="22" t="inlineStr">
        <is>
          <t>MARRUECOS</t>
        </is>
      </c>
      <c r="G231" s="23" t="inlineStr">
        <is>
          <t>Sobre Pedido (Export)</t>
        </is>
      </c>
      <c r="H231" s="24" t="n">
        <v>242.1165</v>
      </c>
      <c r="I231" s="24" t="n">
        <v>0</v>
      </c>
      <c r="J231" s="24" t="n">
        <v>0</v>
      </c>
      <c r="K231" s="24" t="n">
        <v>0</v>
      </c>
      <c r="L231" s="24" t="n">
        <v>867.9081</v>
      </c>
      <c r="M231" s="25" t="n">
        <v>867.9081</v>
      </c>
      <c r="N231" s="25" t="n">
        <v>867.91</v>
      </c>
      <c r="O231" s="25" t="n">
        <v>625.7916</v>
      </c>
      <c r="P231" s="25" t="n">
        <v>625.79</v>
      </c>
      <c r="Q231" s="35" t="inlineStr">
        <is>
          <t>SOBRE PEDIDO (EXP)</t>
        </is>
      </c>
    </row>
    <row r="232" ht="19" customHeight="1">
      <c r="A232" s="27" t="inlineStr">
        <is>
          <t>BIO0020</t>
        </is>
      </c>
      <c r="B232" s="28" t="inlineStr">
        <is>
          <t>BIO0020RO</t>
        </is>
      </c>
      <c r="C232" s="29" t="inlineStr">
        <is>
          <t>BIORAD-20, 20 L</t>
        </is>
      </c>
      <c r="D232" s="30" t="n">
        <v>20</v>
      </c>
      <c r="E232" s="29" t="inlineStr">
        <is>
          <t>Garrafas 20L</t>
        </is>
      </c>
      <c r="F232" s="31" t="inlineStr">
        <is>
          <t>RUMANÍA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562.4547</v>
      </c>
      <c r="K232" s="33" t="n">
        <v>0</v>
      </c>
      <c r="L232" s="33" t="n">
        <v>0</v>
      </c>
      <c r="M232" s="34" t="n">
        <v>562.4547</v>
      </c>
      <c r="N232" s="34" t="n">
        <v>562.45</v>
      </c>
      <c r="O232" s="34" t="n">
        <v>562.4547</v>
      </c>
      <c r="P232" s="34" t="n">
        <v>562.45</v>
      </c>
      <c r="Q232" s="35" t="inlineStr">
        <is>
          <t>SOBRE PEDIDO (EXP)</t>
        </is>
      </c>
    </row>
    <row r="233" ht="19" customHeight="1">
      <c r="A233" s="18" t="inlineStr">
        <is>
          <t>BIO0005</t>
        </is>
      </c>
      <c r="B233" s="19" t="inlineStr">
        <is>
          <t>BIO0005RO</t>
        </is>
      </c>
      <c r="C233" s="20" t="inlineStr">
        <is>
          <t>BIORAD-20, 5L</t>
        </is>
      </c>
      <c r="D233" s="21" t="n">
        <v>5</v>
      </c>
      <c r="E233" s="20" t="inlineStr">
        <is>
          <t>Garrafas 5L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527.3013</v>
      </c>
      <c r="K233" s="24" t="n">
        <v>0</v>
      </c>
      <c r="L233" s="24" t="n">
        <v>0</v>
      </c>
      <c r="M233" s="25" t="n">
        <v>527.3013</v>
      </c>
      <c r="N233" s="25" t="n">
        <v>527.3</v>
      </c>
      <c r="O233" s="25" t="n">
        <v>527.3013</v>
      </c>
      <c r="P233" s="25" t="n">
        <v>527.3</v>
      </c>
      <c r="Q233" s="35" t="inlineStr">
        <is>
          <t>SOBRE PEDIDO (EXP)</t>
        </is>
      </c>
    </row>
    <row r="234" ht="19" customHeight="1">
      <c r="A234" s="27" t="inlineStr">
        <is>
          <t>SPCE20001</t>
        </is>
      </c>
      <c r="B234" s="28" t="inlineStr">
        <is>
          <t>SPCE20001CR</t>
        </is>
      </c>
      <c r="C234" s="29" t="inlineStr">
        <is>
          <t>SPRINTENE ZNMN 1L</t>
        </is>
      </c>
      <c r="D234" s="30" t="n">
        <v>1</v>
      </c>
      <c r="E234" s="29" t="inlineStr">
        <is>
          <t>Botellas 1L</t>
        </is>
      </c>
      <c r="F234" s="31" t="inlineStr">
        <is>
          <t>COSTA RICA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524.0602</v>
      </c>
      <c r="L234" s="33" t="n">
        <v>0</v>
      </c>
      <c r="M234" s="34" t="n">
        <v>524.0602</v>
      </c>
      <c r="N234" s="34" t="n">
        <v>524.0599999999999</v>
      </c>
      <c r="O234" s="34" t="n">
        <v>524.0602</v>
      </c>
      <c r="P234" s="34" t="n">
        <v>524.0599999999999</v>
      </c>
      <c r="Q234" s="35" t="inlineStr">
        <is>
          <t>SOBRE PEDIDO (EXP)</t>
        </is>
      </c>
    </row>
    <row r="235" ht="19" customHeight="1">
      <c r="A235" s="18" t="inlineStr">
        <is>
          <t>C-CU0005</t>
        </is>
      </c>
      <c r="B235" s="19" t="inlineStr">
        <is>
          <t>C-CU0005MA</t>
        </is>
      </c>
      <c r="C235" s="20" t="inlineStr">
        <is>
          <t>CODICOBRE, 5 L</t>
        </is>
      </c>
      <c r="D235" s="21" t="n">
        <v>5</v>
      </c>
      <c r="E235" s="20" t="inlineStr">
        <is>
          <t>Garrafas 5L</t>
        </is>
      </c>
      <c r="F235" s="22" t="inlineStr">
        <is>
          <t>MARRUECOS</t>
        </is>
      </c>
      <c r="G235" s="23" t="inlineStr">
        <is>
          <t>Sobre Pedido (Export)</t>
        </is>
      </c>
      <c r="H235" s="24" t="n">
        <v>496.7974999999999</v>
      </c>
      <c r="I235" s="24" t="n">
        <v>1000</v>
      </c>
      <c r="J235" s="24" t="n">
        <v>0</v>
      </c>
      <c r="K235" s="24" t="n">
        <v>0</v>
      </c>
      <c r="L235" s="24" t="n">
        <v>0</v>
      </c>
      <c r="M235" s="25" t="n">
        <v>1000</v>
      </c>
      <c r="N235" s="25" t="n">
        <v>1000</v>
      </c>
      <c r="O235" s="25" t="n">
        <v>503.2025000000001</v>
      </c>
      <c r="P235" s="25" t="n">
        <v>503.2</v>
      </c>
      <c r="Q235" s="35" t="inlineStr">
        <is>
          <t>SOBRE PEDIDO (EXP)</t>
        </is>
      </c>
    </row>
    <row r="236" ht="19" customHeight="1">
      <c r="A236" s="27" t="inlineStr">
        <is>
          <t>AGMG0001</t>
        </is>
      </c>
      <c r="B236" s="28" t="inlineStr">
        <is>
          <t>AGMG0001RO</t>
        </is>
      </c>
      <c r="C236" s="29" t="inlineStr">
        <is>
          <t>AGROXILATO Mg</t>
        </is>
      </c>
      <c r="D236" s="30" t="n">
        <v>1</v>
      </c>
      <c r="E236" s="29" t="inlineStr">
        <is>
          <t>Bolsas 1 Kg</t>
        </is>
      </c>
      <c r="F236" s="31" t="inlineStr">
        <is>
          <t>RUMANÍA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464.0251</v>
      </c>
      <c r="K236" s="33" t="n">
        <v>0</v>
      </c>
      <c r="L236" s="33" t="n">
        <v>0</v>
      </c>
      <c r="M236" s="34" t="n">
        <v>464.0251</v>
      </c>
      <c r="N236" s="34" t="n">
        <v>464.03</v>
      </c>
      <c r="O236" s="34" t="n">
        <v>464.0251</v>
      </c>
      <c r="P236" s="34" t="n">
        <v>464.03</v>
      </c>
      <c r="Q236" s="35" t="inlineStr">
        <is>
          <t>SOBRE PEDIDO (EXP)</t>
        </is>
      </c>
    </row>
    <row r="237" ht="19" customHeight="1">
      <c r="A237" s="18" t="inlineStr">
        <is>
          <t>PT0001</t>
        </is>
      </c>
      <c r="B237" s="19" t="inlineStr">
        <is>
          <t>PT0001PA</t>
        </is>
      </c>
      <c r="C237" s="20" t="inlineStr">
        <is>
          <t>AGROPOTASION, 1 L</t>
        </is>
      </c>
      <c r="D237" s="21" t="n">
        <v>1</v>
      </c>
      <c r="E237" s="20" t="inlineStr">
        <is>
          <t>Botellas 1L</t>
        </is>
      </c>
      <c r="F237" s="22" t="inlineStr">
        <is>
          <t>PANAMÁ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458.2555</v>
      </c>
      <c r="M237" s="25" t="n">
        <v>458.2555</v>
      </c>
      <c r="N237" s="25" t="n">
        <v>458.26</v>
      </c>
      <c r="O237" s="25" t="n">
        <v>458.2555</v>
      </c>
      <c r="P237" s="25" t="n">
        <v>458.26</v>
      </c>
      <c r="Q237" s="35" t="inlineStr">
        <is>
          <t>SOBRE PEDIDO (EXP)</t>
        </is>
      </c>
    </row>
    <row r="238" ht="19" customHeight="1">
      <c r="A238" s="27" t="inlineStr">
        <is>
          <t>C-MB0005</t>
        </is>
      </c>
      <c r="B238" s="31" t="inlineStr">
        <is>
          <t>C-MB0005</t>
        </is>
      </c>
      <c r="C238" s="29" t="inlineStr">
        <is>
          <t>CODIFOL-MB</t>
        </is>
      </c>
      <c r="D238" s="30" t="n">
        <v>5</v>
      </c>
      <c r="E238" s="29" t="inlineStr">
        <is>
          <t>Garrafas 5L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940</v>
      </c>
      <c r="I238" s="33" t="n">
        <v>0</v>
      </c>
      <c r="J238" s="33" t="n">
        <v>703.0683</v>
      </c>
      <c r="K238" s="33" t="n">
        <v>0</v>
      </c>
      <c r="L238" s="33" t="n">
        <v>694.3265</v>
      </c>
      <c r="M238" s="34" t="n">
        <v>1397.3948</v>
      </c>
      <c r="N238" s="34" t="n">
        <v>1397.39</v>
      </c>
      <c r="O238" s="34" t="n">
        <v>457.3948</v>
      </c>
      <c r="P238" s="34" t="n">
        <v>457.39</v>
      </c>
      <c r="Q238" s="35" t="inlineStr">
        <is>
          <t>SOLO ENVASAR</t>
        </is>
      </c>
    </row>
    <row r="239" ht="19" customHeight="1">
      <c r="A239" s="18" t="inlineStr">
        <is>
          <t>FLOR0001</t>
        </is>
      </c>
      <c r="B239" s="19" t="inlineStr">
        <is>
          <t>FLOR0001DO</t>
        </is>
      </c>
      <c r="C239" s="20" t="inlineStr">
        <is>
          <t>FLORAMEC</t>
        </is>
      </c>
      <c r="D239" s="21" t="n">
        <v>1</v>
      </c>
      <c r="E239" s="20" t="inlineStr">
        <is>
          <t>Botellas 1L</t>
        </is>
      </c>
      <c r="F239" s="22" t="inlineStr">
        <is>
          <t>DOMINICANA, REPÚBLICA</t>
        </is>
      </c>
      <c r="G239" s="23" t="inlineStr">
        <is>
          <t>Sobre Pedido (Export)</t>
        </is>
      </c>
      <c r="H239" s="24" t="n">
        <v>396.5639</v>
      </c>
      <c r="I239" s="24" t="n">
        <v>0</v>
      </c>
      <c r="J239" s="24" t="n">
        <v>0</v>
      </c>
      <c r="K239" s="24" t="n">
        <v>838.4964</v>
      </c>
      <c r="L239" s="24" t="n">
        <v>0</v>
      </c>
      <c r="M239" s="25" t="n">
        <v>838.4964</v>
      </c>
      <c r="N239" s="25" t="n">
        <v>838.5</v>
      </c>
      <c r="O239" s="25" t="n">
        <v>441.9325</v>
      </c>
      <c r="P239" s="25" t="n">
        <v>441.93</v>
      </c>
      <c r="Q239" s="35" t="inlineStr">
        <is>
          <t>SOBRE PEDIDO (EXP)</t>
        </is>
      </c>
    </row>
    <row r="240" ht="19" customHeight="1">
      <c r="A240" s="27" t="inlineStr">
        <is>
          <t>C-CU0001</t>
        </is>
      </c>
      <c r="B240" s="28" t="inlineStr">
        <is>
          <t>C-CU0001RS</t>
        </is>
      </c>
      <c r="C240" s="29" t="inlineStr">
        <is>
          <t>CODICOBRE</t>
        </is>
      </c>
      <c r="D240" s="30" t="n">
        <v>1</v>
      </c>
      <c r="E240" s="29" t="inlineStr">
        <is>
          <t>Botellas 1L</t>
        </is>
      </c>
      <c r="F240" s="31" t="inlineStr">
        <is>
          <t>SERBIA</t>
        </is>
      </c>
      <c r="G240" s="32" t="inlineStr">
        <is>
          <t>Sobre Pedido (Export)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433.9541</v>
      </c>
      <c r="M240" s="34" t="n">
        <v>433.9541</v>
      </c>
      <c r="N240" s="34" t="n">
        <v>433.95</v>
      </c>
      <c r="O240" s="34" t="n">
        <v>433.9541</v>
      </c>
      <c r="P240" s="34" t="n">
        <v>433.95</v>
      </c>
      <c r="Q240" s="35" t="inlineStr">
        <is>
          <t>SOBRE PEDIDO (EXP)</t>
        </is>
      </c>
    </row>
    <row r="241" ht="19" customHeight="1">
      <c r="A241" s="18" t="inlineStr">
        <is>
          <t>AVAN0200</t>
        </is>
      </c>
      <c r="B241" s="19" t="inlineStr">
        <is>
          <t>AVAN0200RO</t>
        </is>
      </c>
      <c r="C241" s="20" t="inlineStr">
        <is>
          <t>FLORAMEC AVANCE, 200 L</t>
        </is>
      </c>
      <c r="D241" s="21" t="n">
        <v>200</v>
      </c>
      <c r="E241" s="20" t="inlineStr">
        <is>
          <t>Depósito 200 L</t>
        </is>
      </c>
      <c r="F241" s="22" t="inlineStr">
        <is>
          <t>RUMANÍA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0</v>
      </c>
      <c r="K241" s="24" t="n">
        <v>419.2482</v>
      </c>
      <c r="L241" s="24" t="n">
        <v>0</v>
      </c>
      <c r="M241" s="25" t="n">
        <v>419.2482</v>
      </c>
      <c r="N241" s="25" t="n">
        <v>419.25</v>
      </c>
      <c r="O241" s="25" t="n">
        <v>419.2482</v>
      </c>
      <c r="P241" s="25" t="n">
        <v>419.25</v>
      </c>
      <c r="Q241" s="35" t="inlineStr">
        <is>
          <t>SOBRE PEDIDO (EXP)</t>
        </is>
      </c>
    </row>
    <row r="242" ht="19" customHeight="1">
      <c r="A242" s="27" t="inlineStr">
        <is>
          <t>PT0200</t>
        </is>
      </c>
      <c r="B242" s="31" t="inlineStr">
        <is>
          <t>PT0200</t>
        </is>
      </c>
      <c r="C242" s="29" t="inlineStr">
        <is>
          <t>AGROPOTASION, 200 L</t>
        </is>
      </c>
      <c r="D242" s="30" t="n">
        <v>200</v>
      </c>
      <c r="E242" s="29" t="inlineStr">
        <is>
          <t>Depósito 200 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175.7671</v>
      </c>
      <c r="K242" s="33" t="n">
        <v>209.6241</v>
      </c>
      <c r="L242" s="33" t="n">
        <v>0</v>
      </c>
      <c r="M242" s="34" t="n">
        <v>385.3912</v>
      </c>
      <c r="N242" s="34" t="n">
        <v>385.39</v>
      </c>
      <c r="O242" s="34" t="n">
        <v>385.3912</v>
      </c>
      <c r="P242" s="34" t="n">
        <v>385.39</v>
      </c>
      <c r="Q242" s="35" t="inlineStr">
        <is>
          <t>SOLO ENVASAR</t>
        </is>
      </c>
    </row>
    <row r="243" ht="19" customHeight="1">
      <c r="A243" s="18" t="inlineStr">
        <is>
          <t>SPCE2B0001</t>
        </is>
      </c>
      <c r="B243" s="19" t="inlineStr">
        <is>
          <t>SPCE2B0001DO</t>
        </is>
      </c>
      <c r="C243" s="20" t="inlineStr">
        <is>
          <t>SPRINTENE CON BORO,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0</v>
      </c>
      <c r="J243" s="24" t="n">
        <v>0</v>
      </c>
      <c r="K243" s="24" t="n">
        <v>377.3234</v>
      </c>
      <c r="L243" s="24" t="n">
        <v>0</v>
      </c>
      <c r="M243" s="25" t="n">
        <v>377.3234</v>
      </c>
      <c r="N243" s="25" t="n">
        <v>377.32</v>
      </c>
      <c r="O243" s="25" t="n">
        <v>377.3234</v>
      </c>
      <c r="P243" s="25" t="n">
        <v>377.32</v>
      </c>
      <c r="Q243" s="35" t="inlineStr">
        <is>
          <t>SOBRE PEDIDO (EXP)</t>
        </is>
      </c>
    </row>
    <row r="244" ht="19" customHeight="1">
      <c r="A244" s="27" t="inlineStr">
        <is>
          <t>AGXKAE0001</t>
        </is>
      </c>
      <c r="B244" s="28" t="inlineStr">
        <is>
          <t>AGXKAE0001RO</t>
        </is>
      </c>
      <c r="C244" s="29" t="inlineStr">
        <is>
          <t>BIOCULTURE POTASIO</t>
        </is>
      </c>
      <c r="D244" s="30" t="n">
        <v>1</v>
      </c>
      <c r="E244" s="29" t="inlineStr">
        <is>
          <t>Botellas 1L</t>
        </is>
      </c>
      <c r="F244" s="31" t="inlineStr">
        <is>
          <t>RUMANÍA</t>
        </is>
      </c>
      <c r="G244" s="32" t="inlineStr">
        <is>
          <t>Sobre Pedido (Export)</t>
        </is>
      </c>
      <c r="H244" s="33" t="n">
        <v>0</v>
      </c>
      <c r="I244" s="33" t="n">
        <v>0</v>
      </c>
      <c r="J244" s="33" t="n">
        <v>348.0189</v>
      </c>
      <c r="K244" s="33" t="n">
        <v>0</v>
      </c>
      <c r="L244" s="33" t="n">
        <v>0</v>
      </c>
      <c r="M244" s="34" t="n">
        <v>348.0189</v>
      </c>
      <c r="N244" s="34" t="n">
        <v>348.02</v>
      </c>
      <c r="O244" s="34" t="n">
        <v>348.0189</v>
      </c>
      <c r="P244" s="34" t="n">
        <v>348.02</v>
      </c>
      <c r="Q244" s="35" t="inlineStr">
        <is>
          <t>SOBRE PEDIDO (EXP)</t>
        </is>
      </c>
    </row>
    <row r="245" ht="19" customHeight="1">
      <c r="A245" s="18" t="inlineStr">
        <is>
          <t>FLORCR0005</t>
        </is>
      </c>
      <c r="B245" s="19" t="inlineStr">
        <is>
          <t>FLORCR0005PA</t>
        </is>
      </c>
      <c r="C245" s="20" t="inlineStr">
        <is>
          <t>FLORAMEC</t>
        </is>
      </c>
      <c r="D245" s="21" t="n">
        <v>5</v>
      </c>
      <c r="E245" s="20" t="inlineStr">
        <is>
          <t>Garrafas 5L</t>
        </is>
      </c>
      <c r="F245" s="22" t="inlineStr">
        <is>
          <t>PANAMÁ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0</v>
      </c>
      <c r="K245" s="24" t="n">
        <v>0</v>
      </c>
      <c r="L245" s="24" t="n">
        <v>347.1632</v>
      </c>
      <c r="M245" s="25" t="n">
        <v>347.1632</v>
      </c>
      <c r="N245" s="25" t="n">
        <v>347.16</v>
      </c>
      <c r="O245" s="25" t="n">
        <v>347.1632</v>
      </c>
      <c r="P245" s="25" t="n">
        <v>347.16</v>
      </c>
      <c r="Q245" s="35" t="inlineStr">
        <is>
          <t>SOBRE PEDIDO (EXP)</t>
        </is>
      </c>
    </row>
    <row r="246" ht="19" customHeight="1">
      <c r="A246" s="27" t="inlineStr">
        <is>
          <t>C-CU0020</t>
        </is>
      </c>
      <c r="B246" s="28" t="inlineStr">
        <is>
          <t>C-CU0020RO</t>
        </is>
      </c>
      <c r="C246" s="29" t="inlineStr">
        <is>
          <t>CODICOBRE, 20 L</t>
        </is>
      </c>
      <c r="D246" s="30" t="n">
        <v>20</v>
      </c>
      <c r="E246" s="29" t="inlineStr">
        <is>
          <t>Garrafas 20L</t>
        </is>
      </c>
      <c r="F246" s="31" t="inlineStr">
        <is>
          <t>RUMANÍA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335.3986</v>
      </c>
      <c r="L246" s="33" t="n">
        <v>0</v>
      </c>
      <c r="M246" s="34" t="n">
        <v>335.3986</v>
      </c>
      <c r="N246" s="34" t="n">
        <v>335.4</v>
      </c>
      <c r="O246" s="34" t="n">
        <v>335.3986</v>
      </c>
      <c r="P246" s="34" t="n">
        <v>335.4</v>
      </c>
      <c r="Q246" s="35" t="inlineStr">
        <is>
          <t>SOBRE PEDIDO (EXP)</t>
        </is>
      </c>
    </row>
    <row r="247" ht="19" customHeight="1">
      <c r="A247" s="18" t="inlineStr">
        <is>
          <t>SSEG0001</t>
        </is>
      </c>
      <c r="B247" s="19" t="inlineStr">
        <is>
          <t>SSEG0001CO</t>
        </is>
      </c>
      <c r="C247" s="20" t="inlineStr">
        <is>
          <t>SALWAX CALCIO</t>
        </is>
      </c>
      <c r="D247" s="21" t="n">
        <v>1</v>
      </c>
      <c r="E247" s="20" t="inlineStr">
        <is>
          <t>Bolsas 1 Kg</t>
        </is>
      </c>
      <c r="F247" s="22" t="inlineStr">
        <is>
          <t>COLOMBIA</t>
        </is>
      </c>
      <c r="G247" s="23" t="inlineStr">
        <is>
          <t>Sobre Pedido (Export)</t>
        </is>
      </c>
      <c r="H247" s="24" t="n">
        <v>0</v>
      </c>
      <c r="I247" s="24" t="n">
        <v>324</v>
      </c>
      <c r="J247" s="24" t="n">
        <v>0</v>
      </c>
      <c r="K247" s="24" t="n">
        <v>0</v>
      </c>
      <c r="L247" s="24" t="n">
        <v>0</v>
      </c>
      <c r="M247" s="25" t="n">
        <v>324</v>
      </c>
      <c r="N247" s="25" t="n">
        <v>324</v>
      </c>
      <c r="O247" s="25" t="n">
        <v>324</v>
      </c>
      <c r="P247" s="25" t="n">
        <v>324</v>
      </c>
      <c r="Q247" s="35" t="inlineStr">
        <is>
          <t>SOBRE PEDIDO (EXP)</t>
        </is>
      </c>
    </row>
    <row r="248" ht="19" customHeight="1">
      <c r="A248" s="27" t="inlineStr">
        <is>
          <t>C-L0001</t>
        </is>
      </c>
      <c r="B248" s="28" t="inlineStr">
        <is>
          <t>C-L0001DO</t>
        </is>
      </c>
      <c r="C248" s="29" t="inlineStr">
        <is>
          <t>CODIBOR-L, 1 L</t>
        </is>
      </c>
      <c r="D248" s="30" t="n">
        <v>1</v>
      </c>
      <c r="E248" s="29" t="inlineStr">
        <is>
          <t>Botellas 1L</t>
        </is>
      </c>
      <c r="F248" s="31" t="inlineStr">
        <is>
          <t>DOMINICANA, REPÚBLICA</t>
        </is>
      </c>
      <c r="G248" s="32" t="inlineStr">
        <is>
          <t>Sobre Pedido (Export)</t>
        </is>
      </c>
      <c r="H248" s="33" t="n">
        <v>0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314.4361</v>
      </c>
      <c r="P248" s="34" t="n">
        <v>314.44</v>
      </c>
      <c r="Q248" s="35" t="inlineStr">
        <is>
          <t>SOBRE PEDIDO (EXP)</t>
        </is>
      </c>
    </row>
    <row r="249" ht="19" customHeight="1">
      <c r="A249" s="18" t="inlineStr">
        <is>
          <t>AVAN0001</t>
        </is>
      </c>
      <c r="B249" s="19" t="inlineStr">
        <is>
          <t>AVAN0001RO</t>
        </is>
      </c>
      <c r="C249" s="20" t="inlineStr">
        <is>
          <t>CODI-FLOR AVANCE, 1 L</t>
        </is>
      </c>
      <c r="D249" s="21" t="n">
        <v>1</v>
      </c>
      <c r="E249" s="20" t="inlineStr">
        <is>
          <t>Botellas 1L</t>
        </is>
      </c>
      <c r="F249" s="22" t="inlineStr">
        <is>
          <t>RUMANÍA</t>
        </is>
      </c>
      <c r="G249" s="23" t="inlineStr">
        <is>
          <t>Sobre Pedido (Export)</t>
        </is>
      </c>
      <c r="H249" s="24" t="n">
        <v>0</v>
      </c>
      <c r="I249" s="24" t="n">
        <v>0</v>
      </c>
      <c r="J249" s="24" t="n">
        <v>0</v>
      </c>
      <c r="K249" s="24" t="n">
        <v>314.4361</v>
      </c>
      <c r="L249" s="24" t="n">
        <v>0</v>
      </c>
      <c r="M249" s="25" t="n">
        <v>314.4361</v>
      </c>
      <c r="N249" s="25" t="n">
        <v>314.44</v>
      </c>
      <c r="O249" s="25" t="n">
        <v>314.4361</v>
      </c>
      <c r="P249" s="25" t="n">
        <v>314.44</v>
      </c>
      <c r="Q249" s="35" t="inlineStr">
        <is>
          <t>SOBRE PEDIDO (EXP)</t>
        </is>
      </c>
    </row>
    <row r="250" ht="19" customHeight="1">
      <c r="A250" s="27" t="inlineStr">
        <is>
          <t>PK500001</t>
        </is>
      </c>
      <c r="B250" s="28" t="inlineStr">
        <is>
          <t>PK500001RO</t>
        </is>
      </c>
      <c r="C250" s="29" t="inlineStr">
        <is>
          <t>POLIFRUIT K50</t>
        </is>
      </c>
      <c r="D250" s="30" t="n">
        <v>1</v>
      </c>
      <c r="E250" s="29" t="inlineStr">
        <is>
          <t>Botellas 1L</t>
        </is>
      </c>
      <c r="F250" s="31" t="inlineStr">
        <is>
          <t>RUMANÍA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314.4361</v>
      </c>
      <c r="L250" s="33" t="n">
        <v>0</v>
      </c>
      <c r="M250" s="34" t="n">
        <v>314.4361</v>
      </c>
      <c r="N250" s="34" t="n">
        <v>314.44</v>
      </c>
      <c r="O250" s="34" t="n">
        <v>314.4361</v>
      </c>
      <c r="P250" s="34" t="n">
        <v>314.44</v>
      </c>
      <c r="Q250" s="35" t="inlineStr">
        <is>
          <t>SOBRE PEDIDO (EXP)</t>
        </is>
      </c>
    </row>
    <row r="251" ht="19" customHeight="1">
      <c r="A251" s="18" t="inlineStr">
        <is>
          <t>F-A0001</t>
        </is>
      </c>
      <c r="B251" s="19" t="inlineStr">
        <is>
          <t>F-A0001CO</t>
        </is>
      </c>
      <c r="C251" s="20" t="inlineStr">
        <is>
          <t>FITOLIN-AGRO, 1 L</t>
        </is>
      </c>
      <c r="D251" s="21" t="n">
        <v>1</v>
      </c>
      <c r="E251" s="20" t="inlineStr">
        <is>
          <t>Botellas 1L</t>
        </is>
      </c>
      <c r="F251" s="22" t="inlineStr">
        <is>
          <t>COLOMBIA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251.5489</v>
      </c>
      <c r="L251" s="24" t="n">
        <v>0</v>
      </c>
      <c r="M251" s="25" t="n">
        <v>251.5489</v>
      </c>
      <c r="N251" s="25" t="n">
        <v>251.55</v>
      </c>
      <c r="O251" s="25" t="n">
        <v>251.5489</v>
      </c>
      <c r="P251" s="25" t="n">
        <v>251.55</v>
      </c>
      <c r="Q251" s="35" t="inlineStr">
        <is>
          <t>SOBRE PEDIDO (EXP)</t>
        </is>
      </c>
    </row>
    <row r="252" ht="19" customHeight="1">
      <c r="A252" s="27" t="inlineStr">
        <is>
          <t>C-CUAE0005</t>
        </is>
      </c>
      <c r="B252" s="31" t="inlineStr">
        <is>
          <t>C-CUAE0005</t>
        </is>
      </c>
      <c r="C252" s="29" t="inlineStr">
        <is>
          <t>CUPRAMEC,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1220</v>
      </c>
      <c r="I252" s="33" t="n">
        <v>0</v>
      </c>
      <c r="J252" s="33" t="n">
        <v>0</v>
      </c>
      <c r="K252" s="33" t="n">
        <v>943.3084</v>
      </c>
      <c r="L252" s="33" t="n">
        <v>520.7448000000001</v>
      </c>
      <c r="M252" s="34" t="n">
        <v>1464.0532</v>
      </c>
      <c r="N252" s="34" t="n">
        <v>1464.05</v>
      </c>
      <c r="O252" s="34" t="n">
        <v>244.0532000000001</v>
      </c>
      <c r="P252" s="34" t="n">
        <v>244.05</v>
      </c>
      <c r="Q252" s="35" t="inlineStr">
        <is>
          <t>SOLO ENVASAR</t>
        </is>
      </c>
    </row>
    <row r="253" ht="19" customHeight="1">
      <c r="A253" s="18" t="inlineStr">
        <is>
          <t>F-A0005</t>
        </is>
      </c>
      <c r="B253" s="19" t="inlineStr">
        <is>
          <t>F-A0005CO</t>
        </is>
      </c>
      <c r="C253" s="20" t="inlineStr">
        <is>
          <t>FITOLIN-AGRO, 5 L</t>
        </is>
      </c>
      <c r="D253" s="21" t="n">
        <v>5</v>
      </c>
      <c r="E253" s="20" t="inlineStr">
        <is>
          <t>Garrafas 5L</t>
        </is>
      </c>
      <c r="F253" s="22" t="inlineStr">
        <is>
          <t>COLOMBIA</t>
        </is>
      </c>
      <c r="G253" s="23" t="inlineStr">
        <is>
          <t>Sobre Pedido (Export)</t>
        </is>
      </c>
      <c r="H253" s="24" t="n">
        <v>0</v>
      </c>
      <c r="I253" s="24" t="n">
        <v>0</v>
      </c>
      <c r="J253" s="24" t="n">
        <v>0</v>
      </c>
      <c r="K253" s="24" t="n">
        <v>209.6241</v>
      </c>
      <c r="L253" s="24" t="n">
        <v>0</v>
      </c>
      <c r="M253" s="25" t="n">
        <v>209.6241</v>
      </c>
      <c r="N253" s="25" t="n">
        <v>209.62</v>
      </c>
      <c r="O253" s="25" t="n">
        <v>209.6241</v>
      </c>
      <c r="P253" s="25" t="n">
        <v>209.62</v>
      </c>
      <c r="Q253" s="35" t="inlineStr">
        <is>
          <t>SOBRE PEDIDO (EXP)</t>
        </is>
      </c>
    </row>
    <row r="254" ht="19" customHeight="1">
      <c r="A254" s="27" t="inlineStr">
        <is>
          <t>FLORCR0001</t>
        </is>
      </c>
      <c r="B254" s="28" t="inlineStr">
        <is>
          <t>FLORCR0001CO</t>
        </is>
      </c>
      <c r="C254" s="29" t="inlineStr">
        <is>
          <t>FLORAMEC CR, 1 L</t>
        </is>
      </c>
      <c r="D254" s="30" t="n">
        <v>1</v>
      </c>
      <c r="E254" s="29" t="inlineStr">
        <is>
          <t>Botellas 1L</t>
        </is>
      </c>
      <c r="F254" s="31" t="inlineStr">
        <is>
          <t>COLOMBIA</t>
        </is>
      </c>
      <c r="G254" s="32" t="inlineStr">
        <is>
          <t>Sobre Pedido (Export)</t>
        </is>
      </c>
      <c r="H254" s="33" t="n">
        <v>0</v>
      </c>
      <c r="I254" s="33" t="n">
        <v>0</v>
      </c>
      <c r="J254" s="33" t="n">
        <v>0</v>
      </c>
      <c r="K254" s="33" t="n">
        <v>209.6241</v>
      </c>
      <c r="L254" s="33" t="n">
        <v>0</v>
      </c>
      <c r="M254" s="34" t="n">
        <v>209.6241</v>
      </c>
      <c r="N254" s="34" t="n">
        <v>209.62</v>
      </c>
      <c r="O254" s="34" t="n">
        <v>209.6241</v>
      </c>
      <c r="P254" s="34" t="n">
        <v>209.62</v>
      </c>
      <c r="Q254" s="35" t="inlineStr">
        <is>
          <t>SOBRE PEDIDO (EXP)</t>
        </is>
      </c>
    </row>
    <row r="255" ht="19" customHeight="1">
      <c r="A255" s="18" t="inlineStr">
        <is>
          <t>FLORCR0005</t>
        </is>
      </c>
      <c r="B255" s="19" t="inlineStr">
        <is>
          <t>FLORCR0005CO</t>
        </is>
      </c>
      <c r="C255" s="20" t="inlineStr">
        <is>
          <t>FLORAMEC</t>
        </is>
      </c>
      <c r="D255" s="21" t="n">
        <v>5</v>
      </c>
      <c r="E255" s="20" t="inlineStr">
        <is>
          <t>Garrafas 5L</t>
        </is>
      </c>
      <c r="F255" s="22" t="inlineStr">
        <is>
          <t>COLOMBIA</t>
        </is>
      </c>
      <c r="G255" s="23" t="inlineStr">
        <is>
          <t>Sobre Pedido (Export)</t>
        </is>
      </c>
      <c r="H255" s="24" t="n">
        <v>0</v>
      </c>
      <c r="I255" s="24" t="n">
        <v>0</v>
      </c>
      <c r="J255" s="24" t="n">
        <v>0</v>
      </c>
      <c r="K255" s="24" t="n">
        <v>209.6241</v>
      </c>
      <c r="L255" s="24" t="n">
        <v>0</v>
      </c>
      <c r="M255" s="25" t="n">
        <v>209.6241</v>
      </c>
      <c r="N255" s="25" t="n">
        <v>209.62</v>
      </c>
      <c r="O255" s="25" t="n">
        <v>209.6241</v>
      </c>
      <c r="P255" s="25" t="n">
        <v>209.62</v>
      </c>
      <c r="Q255" s="35" t="inlineStr">
        <is>
          <t>SOBRE PEDIDO (EXP)</t>
        </is>
      </c>
    </row>
    <row r="256" ht="19" customHeight="1">
      <c r="A256" s="27" t="inlineStr">
        <is>
          <t>AQUOM0020</t>
        </is>
      </c>
      <c r="B256" s="31" t="inlineStr">
        <is>
          <t>AQUOM0020</t>
        </is>
      </c>
      <c r="C256" s="29" t="inlineStr">
        <is>
          <t>AQUOM, 20 L</t>
        </is>
      </c>
      <c r="D256" s="30" t="n">
        <v>20</v>
      </c>
      <c r="E256" s="29" t="inlineStr">
        <is>
          <t>Garrafas 20L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87.8835</v>
      </c>
      <c r="K256" s="33" t="n">
        <v>104.812</v>
      </c>
      <c r="L256" s="33" t="n">
        <v>0</v>
      </c>
      <c r="M256" s="34" t="n">
        <v>192.6955</v>
      </c>
      <c r="N256" s="34" t="n">
        <v>192.7</v>
      </c>
      <c r="O256" s="34" t="n">
        <v>192.6955</v>
      </c>
      <c r="P256" s="34" t="n">
        <v>192.7</v>
      </c>
      <c r="Q256" s="35" t="inlineStr">
        <is>
          <t>SOLO ENVASAR</t>
        </is>
      </c>
    </row>
    <row r="257" ht="19" customHeight="1">
      <c r="A257" s="18" t="inlineStr">
        <is>
          <t>FLOR0200</t>
        </is>
      </c>
      <c r="B257" s="22" t="inlineStr">
        <is>
          <t>FLOR0200</t>
        </is>
      </c>
      <c r="C257" s="20" t="inlineStr">
        <is>
          <t>FLORAMEC, 200 L</t>
        </is>
      </c>
      <c r="D257" s="21" t="n">
        <v>200</v>
      </c>
      <c r="E257" s="20" t="inlineStr">
        <is>
          <t>Depósito 200 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175.7671</v>
      </c>
      <c r="K257" s="24" t="n">
        <v>0</v>
      </c>
      <c r="L257" s="24" t="n">
        <v>0</v>
      </c>
      <c r="M257" s="25" t="n">
        <v>175.7671</v>
      </c>
      <c r="N257" s="25" t="n">
        <v>175.77</v>
      </c>
      <c r="O257" s="25" t="n">
        <v>175.7671</v>
      </c>
      <c r="P257" s="25" t="n">
        <v>175.77</v>
      </c>
      <c r="Q257" s="35" t="inlineStr">
        <is>
          <t>SOLO ENVASAR</t>
        </is>
      </c>
    </row>
    <row r="258" ht="19" customHeight="1">
      <c r="A258" s="27" t="inlineStr">
        <is>
          <t>TRI0001</t>
        </is>
      </c>
      <c r="B258" s="31" t="inlineStr">
        <is>
          <t>TRI0001</t>
        </is>
      </c>
      <c r="C258" s="29" t="inlineStr">
        <is>
          <t>TRIFENO-94, 1 L</t>
        </is>
      </c>
      <c r="D258" s="30" t="n">
        <v>1</v>
      </c>
      <c r="E258" s="29" t="inlineStr">
        <is>
          <t>Botellas 1L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155</v>
      </c>
      <c r="I258" s="33" t="n">
        <v>108</v>
      </c>
      <c r="J258" s="33" t="n">
        <v>0</v>
      </c>
      <c r="K258" s="33" t="n">
        <v>0</v>
      </c>
      <c r="L258" s="33" t="n">
        <v>187.4682</v>
      </c>
      <c r="M258" s="34" t="n">
        <v>295.4682</v>
      </c>
      <c r="N258" s="34" t="n">
        <v>295.47</v>
      </c>
      <c r="O258" s="34" t="n">
        <v>140.4682</v>
      </c>
      <c r="P258" s="34" t="n">
        <v>140.47</v>
      </c>
      <c r="Q258" s="35" t="inlineStr">
        <is>
          <t>SOLO ENVASAR</t>
        </is>
      </c>
    </row>
    <row r="259" ht="19" customHeight="1">
      <c r="A259" s="18" t="inlineStr">
        <is>
          <t>SPCE2B0001</t>
        </is>
      </c>
      <c r="B259" s="22" t="inlineStr">
        <is>
          <t>SPCE2B0001</t>
        </is>
      </c>
      <c r="C259" s="20" t="inlineStr">
        <is>
          <t>SPRINTENE CON BORO, 1 L</t>
        </is>
      </c>
      <c r="D259" s="21" t="n">
        <v>1</v>
      </c>
      <c r="E259" s="20" t="inlineStr">
        <is>
          <t>Botellas 1L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162</v>
      </c>
      <c r="I259" s="24" t="n">
        <v>300</v>
      </c>
      <c r="J259" s="24" t="n">
        <v>0</v>
      </c>
      <c r="K259" s="24" t="n">
        <v>0</v>
      </c>
      <c r="L259" s="24" t="n">
        <v>0</v>
      </c>
      <c r="M259" s="25" t="n">
        <v>300</v>
      </c>
      <c r="N259" s="25" t="n">
        <v>300</v>
      </c>
      <c r="O259" s="25" t="n">
        <v>138</v>
      </c>
      <c r="P259" s="25" t="n">
        <v>138</v>
      </c>
      <c r="Q259" s="35" t="inlineStr">
        <is>
          <t>SOLO ENVASAR</t>
        </is>
      </c>
    </row>
    <row r="260" ht="19" customHeight="1">
      <c r="A260" s="27" t="inlineStr">
        <is>
          <t>C-L0020</t>
        </is>
      </c>
      <c r="B260" s="31" t="inlineStr">
        <is>
          <t>C-L0020</t>
        </is>
      </c>
      <c r="C260" s="29" t="inlineStr">
        <is>
          <t>CODIBOR-L,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260</v>
      </c>
      <c r="I260" s="33" t="n">
        <v>320</v>
      </c>
      <c r="J260" s="33" t="n">
        <v>0</v>
      </c>
      <c r="K260" s="33" t="n">
        <v>0</v>
      </c>
      <c r="L260" s="33" t="n">
        <v>0</v>
      </c>
      <c r="M260" s="34" t="n">
        <v>320</v>
      </c>
      <c r="N260" s="34" t="n">
        <v>320</v>
      </c>
      <c r="O260" s="34" t="n">
        <v>60</v>
      </c>
      <c r="P260" s="34" t="n">
        <v>60</v>
      </c>
      <c r="Q260" s="35" t="inlineStr">
        <is>
          <t>SOLO ENVASAR</t>
        </is>
      </c>
    </row>
    <row r="261" ht="19" customHeight="1">
      <c r="A261" s="18" t="inlineStr">
        <is>
          <t>BEY0001</t>
        </is>
      </c>
      <c r="B261" s="22" t="inlineStr">
        <is>
          <t>BEY0001</t>
        </is>
      </c>
      <c r="C261" s="20" t="inlineStr">
        <is>
          <t>BERRY-FLOR, 1 L</t>
        </is>
      </c>
      <c r="D261" s="21" t="n">
        <v>1</v>
      </c>
      <c r="E261" s="20" t="inlineStr">
        <is>
          <t>Botellas 1L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36</v>
      </c>
      <c r="J261" s="24" t="n">
        <v>0</v>
      </c>
      <c r="K261" s="24" t="n">
        <v>0</v>
      </c>
      <c r="L261" s="24" t="n">
        <v>0</v>
      </c>
      <c r="M261" s="25" t="n">
        <v>36</v>
      </c>
      <c r="N261" s="25" t="n">
        <v>36</v>
      </c>
      <c r="O261" s="25" t="n">
        <v>36</v>
      </c>
      <c r="P261" s="25" t="n">
        <v>36</v>
      </c>
      <c r="Q261" s="35" t="inlineStr">
        <is>
          <t>SOLO ENVASAR</t>
        </is>
      </c>
    </row>
    <row r="262" ht="19" customHeight="1">
      <c r="A262" s="27" t="inlineStr">
        <is>
          <t>C-L0001</t>
        </is>
      </c>
      <c r="B262" s="31" t="inlineStr">
        <is>
          <t>C-L0001</t>
        </is>
      </c>
      <c r="C262" s="29" t="inlineStr">
        <is>
          <t>CODIBOR-L,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68</v>
      </c>
      <c r="I262" s="33" t="n">
        <v>84</v>
      </c>
      <c r="J262" s="33" t="n">
        <v>0</v>
      </c>
      <c r="K262" s="33" t="n">
        <v>0</v>
      </c>
      <c r="L262" s="33" t="n">
        <v>0</v>
      </c>
      <c r="M262" s="34" t="n">
        <v>84</v>
      </c>
      <c r="N262" s="34" t="n">
        <v>84</v>
      </c>
      <c r="O262" s="34" t="n">
        <v>16</v>
      </c>
      <c r="P262" s="34" t="n">
        <v>16</v>
      </c>
      <c r="Q262" s="35" t="inlineStr">
        <is>
          <t>SOLO ENVASAR</t>
        </is>
      </c>
    </row>
    <row r="263" ht="19" customHeight="1">
      <c r="A263" s="18" t="inlineStr">
        <is>
          <t>A-50(2)0020</t>
        </is>
      </c>
      <c r="B263" s="22" t="inlineStr">
        <is>
          <t>A-50(2)0020</t>
        </is>
      </c>
      <c r="C263" s="20" t="inlineStr">
        <is>
          <t>CODIORGAN A-50, 20 KG</t>
        </is>
      </c>
      <c r="D263" s="21" t="n">
        <v>20</v>
      </c>
      <c r="E263" s="20" t="inlineStr">
        <is>
          <t>Bolsas 20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101.6</v>
      </c>
      <c r="I263" s="24" t="n">
        <v>100</v>
      </c>
      <c r="J263" s="24" t="n">
        <v>0</v>
      </c>
      <c r="K263" s="24" t="n">
        <v>0</v>
      </c>
      <c r="L263" s="24" t="n">
        <v>1.6</v>
      </c>
      <c r="M263" s="25" t="n">
        <v>101.6</v>
      </c>
      <c r="N263" s="25" t="n">
        <v>101.6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FU0020</t>
        </is>
      </c>
      <c r="B264" s="31" t="inlineStr">
        <is>
          <t>FU0020</t>
        </is>
      </c>
      <c r="C264" s="29" t="inlineStr">
        <is>
          <t>FULVIGIN, 20 L</t>
        </is>
      </c>
      <c r="D264" s="30" t="n">
        <v>20</v>
      </c>
      <c r="E264" s="29" t="inlineStr">
        <is>
          <t>Garrafas 20L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BR-590005</t>
        </is>
      </c>
      <c r="B265" s="22" t="inlineStr">
        <is>
          <t>BR-590005</t>
        </is>
      </c>
      <c r="C265" s="20" t="inlineStr">
        <is>
          <t>BR-59, 5 KG</t>
        </is>
      </c>
      <c r="D265" s="21" t="n">
        <v>5</v>
      </c>
      <c r="E265" s="20" t="inlineStr">
        <is>
          <t>Bolsas 5 Kg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480</v>
      </c>
      <c r="I265" s="24" t="n">
        <v>480</v>
      </c>
      <c r="J265" s="24" t="n">
        <v>0</v>
      </c>
      <c r="K265" s="24" t="n">
        <v>0</v>
      </c>
      <c r="L265" s="24" t="n">
        <v>0</v>
      </c>
      <c r="M265" s="25" t="n">
        <v>480</v>
      </c>
      <c r="N265" s="25" t="n">
        <v>480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BR-590005</t>
        </is>
      </c>
      <c r="B266" s="28" t="inlineStr">
        <is>
          <t>BR-590005MA</t>
        </is>
      </c>
      <c r="C266" s="29" t="inlineStr">
        <is>
          <t>BR-59, 5 KG</t>
        </is>
      </c>
      <c r="D266" s="30" t="n">
        <v>5</v>
      </c>
      <c r="E266" s="29" t="inlineStr">
        <is>
          <t>Bolsas 5 Kg</t>
        </is>
      </c>
      <c r="F266" s="31" t="inlineStr">
        <is>
          <t>MARRUECOS</t>
        </is>
      </c>
      <c r="G266" s="32" t="inlineStr">
        <is>
          <t>Sobre Pedido (Export)</t>
        </is>
      </c>
      <c r="H266" s="33" t="n">
        <v>800</v>
      </c>
      <c r="I266" s="33" t="n">
        <v>800</v>
      </c>
      <c r="J266" s="33" t="n">
        <v>0</v>
      </c>
      <c r="K266" s="33" t="n">
        <v>0</v>
      </c>
      <c r="L266" s="33" t="n">
        <v>0</v>
      </c>
      <c r="M266" s="34" t="n">
        <v>800</v>
      </c>
      <c r="N266" s="34" t="n">
        <v>800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BR-590005</t>
        </is>
      </c>
      <c r="B267" s="19" t="inlineStr">
        <is>
          <t>BR-590005CO</t>
        </is>
      </c>
      <c r="C267" s="20" t="inlineStr">
        <is>
          <t>BR-59, 5 KG</t>
        </is>
      </c>
      <c r="D267" s="21" t="n">
        <v>5</v>
      </c>
      <c r="E267" s="20" t="inlineStr">
        <is>
          <t>Bolsas 5 Kg</t>
        </is>
      </c>
      <c r="F267" s="22" t="inlineStr">
        <is>
          <t>COLOMBIA</t>
        </is>
      </c>
      <c r="G267" s="23" t="inlineStr">
        <is>
          <t>Sobre Pedido (Export)</t>
        </is>
      </c>
      <c r="H267" s="24" t="n">
        <v>314.4361</v>
      </c>
      <c r="I267" s="24" t="n">
        <v>0</v>
      </c>
      <c r="J267" s="24" t="n">
        <v>0</v>
      </c>
      <c r="K267" s="24" t="n">
        <v>314.4361</v>
      </c>
      <c r="L267" s="24" t="n">
        <v>0</v>
      </c>
      <c r="M267" s="25" t="n">
        <v>314.4361</v>
      </c>
      <c r="N267" s="25" t="n">
        <v>314.44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AGFEL0001</t>
        </is>
      </c>
      <c r="B268" s="31" t="inlineStr">
        <is>
          <t>AGFEL0001</t>
        </is>
      </c>
      <c r="C268" s="29" t="inlineStr">
        <is>
          <t>AGROXILATO-FE-L, 1 L</t>
        </is>
      </c>
      <c r="D268" s="30" t="n">
        <v>1</v>
      </c>
      <c r="E268" s="29" t="inlineStr">
        <is>
          <t>Botellas 1L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AGFEL0005</t>
        </is>
      </c>
      <c r="B269" s="22" t="inlineStr">
        <is>
          <t>AGFEL0005</t>
        </is>
      </c>
      <c r="C269" s="20" t="inlineStr">
        <is>
          <t>AGROXILATO-FE-L,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AGRMG0005</t>
        </is>
      </c>
      <c r="B270" s="31" t="inlineStr">
        <is>
          <t>AGRMG0005</t>
        </is>
      </c>
      <c r="C270" s="29" t="inlineStr">
        <is>
          <t>AGROXIGREEN-MG, 5 L</t>
        </is>
      </c>
      <c r="D270" s="30" t="n">
        <v>5</v>
      </c>
      <c r="E270" s="29" t="inlineStr">
        <is>
          <t>Garrafas 5L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AMIMG0005</t>
        </is>
      </c>
      <c r="B271" s="22" t="inlineStr">
        <is>
          <t>AMIMG0005</t>
        </is>
      </c>
      <c r="C271" s="20" t="inlineStr">
        <is>
          <t>AMINOSOIL-MG, 5L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AQUOM0005</t>
        </is>
      </c>
      <c r="B272" s="31" t="inlineStr">
        <is>
          <t>AQUOM0005</t>
        </is>
      </c>
      <c r="C272" s="29" t="inlineStr">
        <is>
          <t>AQUOM,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BR-59AE0005</t>
        </is>
      </c>
      <c r="B273" s="22" t="inlineStr">
        <is>
          <t>BR-59AE0005</t>
        </is>
      </c>
      <c r="C273" s="20" t="inlineStr">
        <is>
          <t>BR-59 AE,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C-CU0005</t>
        </is>
      </c>
      <c r="B274" s="31" t="inlineStr">
        <is>
          <t>C-CU0005</t>
        </is>
      </c>
      <c r="C274" s="29" t="inlineStr">
        <is>
          <t>CODICOBRE, 5 L</t>
        </is>
      </c>
      <c r="D274" s="30" t="n">
        <v>5</v>
      </c>
      <c r="E274" s="29" t="inlineStr">
        <is>
          <t>Garrafas 5L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1103.2025</v>
      </c>
      <c r="I274" s="33" t="n">
        <v>0</v>
      </c>
      <c r="J274" s="33" t="n">
        <v>615.1848</v>
      </c>
      <c r="K274" s="33" t="n">
        <v>314.4361</v>
      </c>
      <c r="L274" s="33" t="n">
        <v>173.5816</v>
      </c>
      <c r="M274" s="34" t="n">
        <v>1103.2025</v>
      </c>
      <c r="N274" s="34" t="n">
        <v>1103.2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WHITE0020</t>
        </is>
      </c>
      <c r="B275" s="22" t="inlineStr">
        <is>
          <t>WHITE0020</t>
        </is>
      </c>
      <c r="C275" s="20" t="inlineStr">
        <is>
          <t>AGROWHITE, 20 KG</t>
        </is>
      </c>
      <c r="D275" s="21" t="n">
        <v>20</v>
      </c>
      <c r="E275" s="20" t="inlineStr">
        <is>
          <t>Bolsas 20 Kg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966.7190000000001</v>
      </c>
      <c r="I275" s="24" t="n">
        <v>0</v>
      </c>
      <c r="J275" s="24" t="n">
        <v>966.7190000000001</v>
      </c>
      <c r="K275" s="24" t="n">
        <v>0</v>
      </c>
      <c r="L275" s="24" t="n">
        <v>0</v>
      </c>
      <c r="M275" s="25" t="n">
        <v>966.7190000000001</v>
      </c>
      <c r="N275" s="25" t="n">
        <v>966.72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C-GLB0001</t>
        </is>
      </c>
      <c r="B276" s="31" t="inlineStr">
        <is>
          <t>C-GLB0001</t>
        </is>
      </c>
      <c r="C276" s="29" t="inlineStr">
        <is>
          <t>CODIORGAN GLB, 1 KG</t>
        </is>
      </c>
      <c r="D276" s="30" t="n">
        <v>1</v>
      </c>
      <c r="E276" s="29" t="inlineStr">
        <is>
          <t>Bolsas 1 Kg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501.0397</v>
      </c>
      <c r="I276" s="33" t="n">
        <v>0</v>
      </c>
      <c r="J276" s="33" t="n">
        <v>200.3745</v>
      </c>
      <c r="K276" s="33" t="n">
        <v>113.197</v>
      </c>
      <c r="L276" s="33" t="n">
        <v>187.4682</v>
      </c>
      <c r="M276" s="34" t="n">
        <v>501.0397</v>
      </c>
      <c r="N276" s="34" t="n">
        <v>501.04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CSIL0020</t>
        </is>
      </c>
      <c r="B277" s="22" t="inlineStr">
        <is>
          <t>CSIL0020</t>
        </is>
      </c>
      <c r="C277" s="20" t="inlineStr">
        <is>
          <t>FITOKONTROL-K, 20 L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FU0005</t>
        </is>
      </c>
      <c r="B278" s="31" t="inlineStr">
        <is>
          <t>FU0005</t>
        </is>
      </c>
      <c r="C278" s="29" t="inlineStr">
        <is>
          <t>FULVIGIN, 5 L</t>
        </is>
      </c>
      <c r="D278" s="30" t="n">
        <v>5</v>
      </c>
      <c r="E278" s="29" t="inlineStr">
        <is>
          <t>Garrafas 5L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AGRMGN0020</t>
        </is>
      </c>
      <c r="B279" s="22" t="inlineStr">
        <is>
          <t>AGRMGN0020</t>
        </is>
      </c>
      <c r="C279" s="20" t="inlineStr">
        <is>
          <t>AGROXIGREEN-MG, 20 L</t>
        </is>
      </c>
      <c r="D279" s="21" t="n">
        <v>20</v>
      </c>
      <c r="E279" s="20" t="inlineStr">
        <is>
          <t>Garrafas 20L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C-CUAE0020</t>
        </is>
      </c>
      <c r="B280" s="31" t="inlineStr">
        <is>
          <t>C-CUAE0020</t>
        </is>
      </c>
      <c r="C280" s="29" t="inlineStr">
        <is>
          <t>CUPRAMEC, 20 L</t>
        </is>
      </c>
      <c r="D280" s="30" t="n">
        <v>20</v>
      </c>
      <c r="E280" s="29" t="inlineStr">
        <is>
          <t>Garrafas 20L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FROST-P0005</t>
        </is>
      </c>
      <c r="B281" s="22" t="inlineStr">
        <is>
          <t>FROST-P0005</t>
        </is>
      </c>
      <c r="C281" s="20" t="inlineStr">
        <is>
          <t>CODIFROST PLUS,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RUN0020</t>
        </is>
      </c>
      <c r="B282" s="31" t="inlineStr">
        <is>
          <t>RUN0020</t>
        </is>
      </c>
      <c r="C282" s="29" t="inlineStr">
        <is>
          <t>RUN STRESS, 20 L</t>
        </is>
      </c>
      <c r="D282" s="30" t="n">
        <v>20</v>
      </c>
      <c r="E282" s="29" t="inlineStr">
        <is>
          <t>Garrafas 20L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AQUOM0001</t>
        </is>
      </c>
      <c r="B283" s="22" t="inlineStr">
        <is>
          <t>AQUOM0001</t>
        </is>
      </c>
      <c r="C283" s="20" t="inlineStr">
        <is>
          <t>AQUOM, 1 L</t>
        </is>
      </c>
      <c r="D283" s="21" t="n">
        <v>1</v>
      </c>
      <c r="E283" s="20" t="inlineStr">
        <is>
          <t>Botellas 1L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B0005</t>
        </is>
      </c>
      <c r="B284" s="31" t="inlineStr">
        <is>
          <t>B0005</t>
        </is>
      </c>
      <c r="C284" s="29" t="inlineStr">
        <is>
          <t>BOROCAL, 5 L</t>
        </is>
      </c>
      <c r="D284" s="30" t="n">
        <v>5</v>
      </c>
      <c r="E284" s="29" t="inlineStr">
        <is>
          <t>Garrafas 5L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459.2873</v>
      </c>
      <c r="I284" s="33" t="n">
        <v>0</v>
      </c>
      <c r="J284" s="33" t="n">
        <v>351.5341</v>
      </c>
      <c r="K284" s="33" t="n">
        <v>20.9624</v>
      </c>
      <c r="L284" s="33" t="n">
        <v>86.7908</v>
      </c>
      <c r="M284" s="34" t="n">
        <v>459.2873</v>
      </c>
      <c r="N284" s="34" t="n">
        <v>459.29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C-GLB0005</t>
        </is>
      </c>
      <c r="B285" s="22" t="inlineStr">
        <is>
          <t>C-GLB0005</t>
        </is>
      </c>
      <c r="C285" s="20" t="inlineStr">
        <is>
          <t>CODIORGAN GLB,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PIV0005</t>
        </is>
      </c>
      <c r="B286" s="31" t="inlineStr">
        <is>
          <t>PIV0005</t>
        </is>
      </c>
      <c r="C286" s="29" t="inlineStr">
        <is>
          <t>PGR IV, 5 L</t>
        </is>
      </c>
      <c r="D286" s="30" t="n">
        <v>5</v>
      </c>
      <c r="E286" s="29" t="inlineStr">
        <is>
          <t>Garrafas 5L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200</v>
      </c>
      <c r="I286" s="33" t="n">
        <v>200</v>
      </c>
      <c r="J286" s="33" t="n">
        <v>0</v>
      </c>
      <c r="K286" s="33" t="n">
        <v>0</v>
      </c>
      <c r="L286" s="33" t="n">
        <v>0</v>
      </c>
      <c r="M286" s="34" t="n">
        <v>200</v>
      </c>
      <c r="N286" s="34" t="n">
        <v>200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S0005</t>
        </is>
      </c>
      <c r="B287" s="22" t="inlineStr">
        <is>
          <t>S0005</t>
        </is>
      </c>
      <c r="C287" s="20" t="inlineStr">
        <is>
          <t>SAL-WAX STAR, 5 L</t>
        </is>
      </c>
      <c r="D287" s="21" t="n">
        <v>5</v>
      </c>
      <c r="E287" s="20" t="inlineStr">
        <is>
          <t>Garrafas 5L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G30020</t>
        </is>
      </c>
      <c r="B288" s="31" t="inlineStr">
        <is>
          <t>G30020</t>
        </is>
      </c>
      <c r="C288" s="29" t="inlineStr">
        <is>
          <t>GREEN-UP,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2466.5036</v>
      </c>
      <c r="I288" s="33" t="n">
        <v>0</v>
      </c>
      <c r="J288" s="33" t="n">
        <v>1124.9094</v>
      </c>
      <c r="K288" s="33" t="n">
        <v>1341.5942</v>
      </c>
      <c r="L288" s="33" t="n">
        <v>0</v>
      </c>
      <c r="M288" s="34" t="n">
        <v>2466.5036</v>
      </c>
      <c r="N288" s="34" t="n">
        <v>2466.5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CBROT0005</t>
        </is>
      </c>
      <c r="B289" s="22" t="inlineStr">
        <is>
          <t>CBROT0005</t>
        </is>
      </c>
      <c r="C289" s="20" t="inlineStr">
        <is>
          <t>CODIBROT,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C-L0005</t>
        </is>
      </c>
      <c r="B290" s="31" t="inlineStr">
        <is>
          <t>C-L0005</t>
        </is>
      </c>
      <c r="C290" s="29" t="inlineStr">
        <is>
          <t>CODIBOR-L, 5 L</t>
        </is>
      </c>
      <c r="D290" s="30" t="n">
        <v>5</v>
      </c>
      <c r="E290" s="29" t="inlineStr">
        <is>
          <t>Garrafas 5L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685.3912</v>
      </c>
      <c r="I290" s="33" t="n">
        <v>300</v>
      </c>
      <c r="J290" s="33" t="n">
        <v>175.7671</v>
      </c>
      <c r="K290" s="33" t="n">
        <v>209.6241</v>
      </c>
      <c r="L290" s="33" t="n">
        <v>0</v>
      </c>
      <c r="M290" s="34" t="n">
        <v>685.3912</v>
      </c>
      <c r="N290" s="34" t="n">
        <v>685.39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CBASI0005</t>
        </is>
      </c>
      <c r="B291" s="22" t="inlineStr">
        <is>
          <t>CBASI0005</t>
        </is>
      </c>
      <c r="C291" s="20" t="inlineStr">
        <is>
          <t>BIOCULTURE BASI, 5 KG</t>
        </is>
      </c>
      <c r="D291" s="21" t="n">
        <v>5</v>
      </c>
      <c r="E291" s="20" t="inlineStr">
        <is>
          <t>Bolsas 5 Kg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439.4177</v>
      </c>
      <c r="I291" s="24" t="n">
        <v>0</v>
      </c>
      <c r="J291" s="24" t="n">
        <v>439.4177</v>
      </c>
      <c r="K291" s="24" t="n">
        <v>0</v>
      </c>
      <c r="L291" s="24" t="n">
        <v>0</v>
      </c>
      <c r="M291" s="25" t="n">
        <v>439.4177</v>
      </c>
      <c r="N291" s="25" t="n">
        <v>439.42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SS0005</t>
        </is>
      </c>
      <c r="B292" s="31" t="inlineStr">
        <is>
          <t>SS0005</t>
        </is>
      </c>
      <c r="C292" s="29" t="inlineStr">
        <is>
          <t>SALWAX-CA,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786.0904</v>
      </c>
      <c r="I292" s="33" t="n">
        <v>0</v>
      </c>
      <c r="J292" s="33" t="n">
        <v>0</v>
      </c>
      <c r="K292" s="33" t="n">
        <v>786.0904</v>
      </c>
      <c r="L292" s="33" t="n">
        <v>0</v>
      </c>
      <c r="M292" s="34" t="n">
        <v>786.0904</v>
      </c>
      <c r="N292" s="34" t="n">
        <v>786.09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SS0005</t>
        </is>
      </c>
      <c r="B293" s="19" t="inlineStr">
        <is>
          <t>SS0005CR</t>
        </is>
      </c>
      <c r="C293" s="20" t="inlineStr">
        <is>
          <t>SALWAX-CA, 5 KG</t>
        </is>
      </c>
      <c r="D293" s="21" t="n">
        <v>5</v>
      </c>
      <c r="E293" s="20" t="inlineStr">
        <is>
          <t>Bolsas 5 Kg</t>
        </is>
      </c>
      <c r="F293" s="22" t="inlineStr">
        <is>
          <t>COSTA RICA</t>
        </is>
      </c>
      <c r="G293" s="23" t="inlineStr">
        <is>
          <t>Sobre Pedido (Export)</t>
        </is>
      </c>
      <c r="H293" s="24" t="n">
        <v>1225.9987</v>
      </c>
      <c r="I293" s="24" t="n">
        <v>0</v>
      </c>
      <c r="J293" s="24" t="n">
        <v>878.8355</v>
      </c>
      <c r="K293" s="24" t="n">
        <v>0</v>
      </c>
      <c r="L293" s="24" t="n">
        <v>347.1632</v>
      </c>
      <c r="M293" s="25" t="n">
        <v>1225.9987</v>
      </c>
      <c r="N293" s="25" t="n">
        <v>1226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B0020</t>
        </is>
      </c>
      <c r="B294" s="31" t="inlineStr">
        <is>
          <t>B0020</t>
        </is>
      </c>
      <c r="C294" s="29" t="inlineStr">
        <is>
          <t>BOROCAL, 20 L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3699.7554</v>
      </c>
      <c r="I294" s="33" t="n">
        <v>0</v>
      </c>
      <c r="J294" s="33" t="n">
        <v>1687.3641</v>
      </c>
      <c r="K294" s="33" t="n">
        <v>2012.3913</v>
      </c>
      <c r="L294" s="33" t="n">
        <v>0</v>
      </c>
      <c r="M294" s="34" t="n">
        <v>3699.7554</v>
      </c>
      <c r="N294" s="34" t="n">
        <v>3699.76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G30005</t>
        </is>
      </c>
      <c r="B295" s="19" t="inlineStr">
        <is>
          <t>G30005CO</t>
        </is>
      </c>
      <c r="C295" s="20" t="inlineStr">
        <is>
          <t>GREEN-UP, 5 L</t>
        </is>
      </c>
      <c r="D295" s="21" t="n">
        <v>5</v>
      </c>
      <c r="E295" s="20" t="inlineStr">
        <is>
          <t>Garrafas 5L</t>
        </is>
      </c>
      <c r="F295" s="22" t="inlineStr">
        <is>
          <t>COLOMBIA</t>
        </is>
      </c>
      <c r="G295" s="23" t="inlineStr">
        <is>
          <t>Sobre Pedido (Export)</t>
        </is>
      </c>
      <c r="H295" s="24" t="n">
        <v>208.2979</v>
      </c>
      <c r="I295" s="24" t="n">
        <v>0</v>
      </c>
      <c r="J295" s="24" t="n">
        <v>0</v>
      </c>
      <c r="K295" s="24" t="n">
        <v>0</v>
      </c>
      <c r="L295" s="24" t="n">
        <v>208.2979</v>
      </c>
      <c r="M295" s="25" t="n">
        <v>208.2979</v>
      </c>
      <c r="N295" s="25" t="n">
        <v>208.3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N0020</t>
        </is>
      </c>
      <c r="B296" s="31" t="inlineStr">
        <is>
          <t>N0020</t>
        </is>
      </c>
      <c r="C296" s="29" t="inlineStr">
        <is>
          <t>NUTRICALE, 20 L</t>
        </is>
      </c>
      <c r="D296" s="30" t="n">
        <v>20</v>
      </c>
      <c r="E296" s="29" t="inlineStr">
        <is>
          <t>Garrafas 20L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2466.5036</v>
      </c>
      <c r="I296" s="33" t="n">
        <v>0</v>
      </c>
      <c r="J296" s="33" t="n">
        <v>1124.9094</v>
      </c>
      <c r="K296" s="33" t="n">
        <v>1341.5942</v>
      </c>
      <c r="L296" s="33" t="n">
        <v>0</v>
      </c>
      <c r="M296" s="34" t="n">
        <v>2466.5036</v>
      </c>
      <c r="N296" s="34" t="n">
        <v>2466.5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S0200</t>
        </is>
      </c>
      <c r="B297" s="22" t="inlineStr">
        <is>
          <t>S0200</t>
        </is>
      </c>
      <c r="C297" s="20" t="inlineStr">
        <is>
          <t>SAL-WAX STAR, 200 L</t>
        </is>
      </c>
      <c r="D297" s="21" t="n">
        <v>200</v>
      </c>
      <c r="E297" s="20" t="inlineStr">
        <is>
          <t>Depósito 200 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5395.4768</v>
      </c>
      <c r="I297" s="24" t="n">
        <v>0</v>
      </c>
      <c r="J297" s="24" t="n">
        <v>2460.7394</v>
      </c>
      <c r="K297" s="24" t="n">
        <v>2934.7374</v>
      </c>
      <c r="L297" s="24" t="n">
        <v>0</v>
      </c>
      <c r="M297" s="25" t="n">
        <v>5395.4768</v>
      </c>
      <c r="N297" s="25" t="n">
        <v>5395.48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CSIL0001</t>
        </is>
      </c>
      <c r="B298" s="31" t="inlineStr">
        <is>
          <t>CSIL0001</t>
        </is>
      </c>
      <c r="C298" s="29" t="inlineStr">
        <is>
          <t>FITOKONTROL-K, 1 L</t>
        </is>
      </c>
      <c r="D298" s="30" t="n">
        <v>1</v>
      </c>
      <c r="E298" s="29" t="inlineStr">
        <is>
          <t>Botellas 1L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CSIL0005</t>
        </is>
      </c>
      <c r="B299" s="22" t="inlineStr">
        <is>
          <t>CSIL0005</t>
        </is>
      </c>
      <c r="C299" s="20" t="inlineStr">
        <is>
          <t>FITOKONTROL-K,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JF0005</t>
        </is>
      </c>
      <c r="B300" s="31" t="inlineStr">
        <is>
          <t>JF0005</t>
        </is>
      </c>
      <c r="C300" s="29" t="inlineStr">
        <is>
          <t>CODIGIN-FOS, 5 L</t>
        </is>
      </c>
      <c r="D300" s="30" t="n">
        <v>5</v>
      </c>
      <c r="E300" s="29" t="inlineStr">
        <is>
          <t>Garrafas 5L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87.8835</v>
      </c>
      <c r="I300" s="33" t="n">
        <v>0</v>
      </c>
      <c r="J300" s="33" t="n">
        <v>87.8835</v>
      </c>
      <c r="K300" s="33" t="n">
        <v>0</v>
      </c>
      <c r="L300" s="33" t="n">
        <v>0</v>
      </c>
      <c r="M300" s="34" t="n">
        <v>87.8835</v>
      </c>
      <c r="N300" s="34" t="n">
        <v>87.88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FLOR0020</t>
        </is>
      </c>
      <c r="B301" s="22" t="inlineStr">
        <is>
          <t>FLOR0020</t>
        </is>
      </c>
      <c r="C301" s="20" t="inlineStr">
        <is>
          <t>FLORAMEC,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AQUOMAR0005</t>
        </is>
      </c>
      <c r="B302" s="28" t="inlineStr">
        <is>
          <t>AQUOMAR0005SA</t>
        </is>
      </c>
      <c r="C302" s="29" t="inlineStr">
        <is>
          <t>AQUOM ARABIA, 5 L</t>
        </is>
      </c>
      <c r="D302" s="30" t="n">
        <v>5</v>
      </c>
      <c r="E302" s="29" t="inlineStr">
        <is>
          <t>Garrafas 5L</t>
        </is>
      </c>
      <c r="F302" s="31" t="inlineStr">
        <is>
          <t>ARABIA SAUDÍ</t>
        </is>
      </c>
      <c r="G302" s="32" t="inlineStr">
        <is>
          <t>Sobre Pedido (Export)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AGZ-M0005</t>
        </is>
      </c>
      <c r="B303" s="22" t="inlineStr">
        <is>
          <t>AGZ-M0005</t>
        </is>
      </c>
      <c r="C303" s="20" t="inlineStr">
        <is>
          <t>AGROXILATO-ZN-MN, 5 KG</t>
        </is>
      </c>
      <c r="D303" s="21" t="n">
        <v>5</v>
      </c>
      <c r="E303" s="20" t="inlineStr">
        <is>
          <t>Bolsas 5 Kg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173.5816</v>
      </c>
      <c r="I303" s="24" t="n">
        <v>0</v>
      </c>
      <c r="J303" s="24" t="n">
        <v>0</v>
      </c>
      <c r="K303" s="24" t="n">
        <v>0</v>
      </c>
      <c r="L303" s="24" t="n">
        <v>173.5816</v>
      </c>
      <c r="M303" s="25" t="n">
        <v>173.5816</v>
      </c>
      <c r="N303" s="25" t="n">
        <v>173.58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ANAE0020</t>
        </is>
      </c>
      <c r="B304" s="31" t="inlineStr">
        <is>
          <t>ANAE0020</t>
        </is>
      </c>
      <c r="C304" s="29" t="inlineStr">
        <is>
          <t>ALCAPLANT NEW AE, 20 KG</t>
        </is>
      </c>
      <c r="D304" s="30" t="n">
        <v>20</v>
      </c>
      <c r="E304" s="29" t="inlineStr">
        <is>
          <t>Bolsas 20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7325.6736</v>
      </c>
      <c r="I304" s="33" t="n">
        <v>0</v>
      </c>
      <c r="J304" s="33" t="n">
        <v>3866.8761</v>
      </c>
      <c r="K304" s="33" t="n">
        <v>3458.7975</v>
      </c>
      <c r="L304" s="33" t="n">
        <v>0</v>
      </c>
      <c r="M304" s="34" t="n">
        <v>7325.6736</v>
      </c>
      <c r="N304" s="34" t="n">
        <v>7325.67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C-MB0020</t>
        </is>
      </c>
      <c r="B305" s="22" t="inlineStr">
        <is>
          <t>C-MB0020</t>
        </is>
      </c>
      <c r="C305" s="20" t="inlineStr">
        <is>
          <t>CODIFOL-MB, 20 L</t>
        </is>
      </c>
      <c r="D305" s="21" t="n">
        <v>20</v>
      </c>
      <c r="E305" s="20" t="inlineStr">
        <is>
          <t>Garrafas 20L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P-5X0005</t>
        </is>
      </c>
      <c r="B306" s="31" t="inlineStr">
        <is>
          <t>P-5X0005</t>
        </is>
      </c>
      <c r="C306" s="29" t="inlineStr">
        <is>
          <t>P.M.S. 5x, 5 L</t>
        </is>
      </c>
      <c r="D306" s="30" t="n">
        <v>5</v>
      </c>
      <c r="E306" s="29" t="inlineStr">
        <is>
          <t>Garrafas 5L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86.7908</v>
      </c>
      <c r="I306" s="33" t="n">
        <v>0</v>
      </c>
      <c r="J306" s="33" t="n">
        <v>0</v>
      </c>
      <c r="K306" s="33" t="n">
        <v>0</v>
      </c>
      <c r="L306" s="33" t="n">
        <v>86.7908</v>
      </c>
      <c r="M306" s="34" t="n">
        <v>86.7908</v>
      </c>
      <c r="N306" s="34" t="n">
        <v>86.79000000000001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P-5X0020</t>
        </is>
      </c>
      <c r="B307" s="22" t="inlineStr">
        <is>
          <t>P-5X0020</t>
        </is>
      </c>
      <c r="C307" s="20" t="inlineStr">
        <is>
          <t>P.M.S. 5x, 20 L</t>
        </is>
      </c>
      <c r="D307" s="21" t="n">
        <v>20</v>
      </c>
      <c r="E307" s="20" t="inlineStr">
        <is>
          <t>Garrafas 20L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0</v>
      </c>
      <c r="I307" s="24" t="n">
        <v>0</v>
      </c>
      <c r="J307" s="24" t="n">
        <v>0</v>
      </c>
      <c r="K307" s="24" t="n">
        <v>0</v>
      </c>
      <c r="L307" s="24" t="n">
        <v>0</v>
      </c>
      <c r="M307" s="25" t="n">
        <v>0</v>
      </c>
      <c r="N307" s="25" t="n">
        <v>0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AGXKAE0020</t>
        </is>
      </c>
      <c r="B308" s="31" t="inlineStr">
        <is>
          <t>AGXKAE0020</t>
        </is>
      </c>
      <c r="C308" s="29" t="inlineStr">
        <is>
          <t>BIOCULTURE POTASIO, 20 L</t>
        </is>
      </c>
      <c r="D308" s="30" t="n">
        <v>20</v>
      </c>
      <c r="E308" s="29" t="inlineStr">
        <is>
          <t>Garrafas 20L</t>
        </is>
      </c>
      <c r="F308" s="31" t="inlineStr">
        <is>
          <t>ESPAÑA</t>
        </is>
      </c>
      <c r="G308" s="31" t="inlineStr">
        <is>
          <t>Para Previsión (Nac)</t>
        </is>
      </c>
      <c r="H308" s="33" t="n">
        <v>555.4612</v>
      </c>
      <c r="I308" s="33" t="n">
        <v>0</v>
      </c>
      <c r="J308" s="33" t="n">
        <v>0</v>
      </c>
      <c r="K308" s="33" t="n">
        <v>0</v>
      </c>
      <c r="L308" s="33" t="n">
        <v>555.4612</v>
      </c>
      <c r="M308" s="34" t="n">
        <v>555.4612</v>
      </c>
      <c r="N308" s="34" t="n">
        <v>555.46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SSAE0005</t>
        </is>
      </c>
      <c r="B309" s="22" t="inlineStr">
        <is>
          <t>SSAE0005</t>
        </is>
      </c>
      <c r="C309" s="20" t="inlineStr">
        <is>
          <t>MAGNIFIC-VIETS-AE, 5 KG</t>
        </is>
      </c>
      <c r="D309" s="21" t="n">
        <v>5</v>
      </c>
      <c r="E309" s="20" t="inlineStr">
        <is>
          <t>Bolsas 5 Kg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175.7671</v>
      </c>
      <c r="I309" s="24" t="n">
        <v>0</v>
      </c>
      <c r="J309" s="24" t="n">
        <v>175.7671</v>
      </c>
      <c r="K309" s="24" t="n">
        <v>0</v>
      </c>
      <c r="L309" s="24" t="n">
        <v>0</v>
      </c>
      <c r="M309" s="25" t="n">
        <v>175.7671</v>
      </c>
      <c r="N309" s="25" t="n">
        <v>175.77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C-M-P0005</t>
        </is>
      </c>
      <c r="B310" s="28" t="inlineStr">
        <is>
          <t>C-M-P0005MA</t>
        </is>
      </c>
      <c r="C310" s="29" t="inlineStr">
        <is>
          <t>CODIFOL-MO-PLUS, 5 L</t>
        </is>
      </c>
      <c r="D310" s="30" t="n">
        <v>5</v>
      </c>
      <c r="E310" s="29" t="inlineStr">
        <is>
          <t>Garrafas 5L</t>
        </is>
      </c>
      <c r="F310" s="31" t="inlineStr">
        <is>
          <t>MARRUECOS</t>
        </is>
      </c>
      <c r="G310" s="32" t="inlineStr">
        <is>
          <t>Sobre Pedido (Export)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SPCE2B0020</t>
        </is>
      </c>
      <c r="B311" s="22" t="inlineStr">
        <is>
          <t>SPCE2B0020</t>
        </is>
      </c>
      <c r="C311" s="20" t="inlineStr">
        <is>
          <t>SPRINTENE CON BORO</t>
        </is>
      </c>
      <c r="D311" s="21" t="n">
        <v>20</v>
      </c>
      <c r="E311" s="20" t="inlineStr">
        <is>
          <t>Garrafas 20L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1124.9094</v>
      </c>
      <c r="I311" s="24" t="n">
        <v>0</v>
      </c>
      <c r="J311" s="24" t="n">
        <v>1124.9094</v>
      </c>
      <c r="K311" s="24" t="n">
        <v>0</v>
      </c>
      <c r="L311" s="24" t="n">
        <v>0</v>
      </c>
      <c r="M311" s="25" t="n">
        <v>1124.9094</v>
      </c>
      <c r="N311" s="25" t="n">
        <v>1124.91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AO0005</t>
        </is>
      </c>
      <c r="B312" s="28" t="inlineStr">
        <is>
          <t>AO0005RO</t>
        </is>
      </c>
      <c r="C312" s="29" t="inlineStr">
        <is>
          <t>ALCAPLANT OMRI, 5 KG</t>
        </is>
      </c>
      <c r="D312" s="30" t="n">
        <v>5</v>
      </c>
      <c r="E312" s="29" t="inlineStr">
        <is>
          <t>Bolsas 5 Kg</t>
        </is>
      </c>
      <c r="F312" s="31" t="inlineStr">
        <is>
          <t>RUMANÍA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CALCIO0020</t>
        </is>
      </c>
      <c r="B313" s="22" t="inlineStr">
        <is>
          <t>CALCIO0020</t>
        </is>
      </c>
      <c r="C313" s="20" t="inlineStr">
        <is>
          <t>CALCIAMEC</t>
        </is>
      </c>
      <c r="D313" s="21" t="n">
        <v>20</v>
      </c>
      <c r="E313" s="20" t="inlineStr">
        <is>
          <t>Bolsas 20 Kg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1048.1205</v>
      </c>
      <c r="I313" s="24" t="n">
        <v>0</v>
      </c>
      <c r="J313" s="24" t="n">
        <v>0</v>
      </c>
      <c r="K313" s="24" t="n">
        <v>1048.1205</v>
      </c>
      <c r="L313" s="24" t="n">
        <v>0</v>
      </c>
      <c r="M313" s="25" t="n">
        <v>1048.1205</v>
      </c>
      <c r="N313" s="25" t="n">
        <v>1048.12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FLOR0001</t>
        </is>
      </c>
      <c r="B314" s="28" t="inlineStr">
        <is>
          <t>FLOR0001RO</t>
        </is>
      </c>
      <c r="C314" s="29" t="inlineStr">
        <is>
          <t>FLORAMEC</t>
        </is>
      </c>
      <c r="D314" s="30" t="n">
        <v>1</v>
      </c>
      <c r="E314" s="29" t="inlineStr">
        <is>
          <t>Botellas 1L</t>
        </is>
      </c>
      <c r="F314" s="31" t="inlineStr">
        <is>
          <t>RUMANÍA</t>
        </is>
      </c>
      <c r="G314" s="32" t="inlineStr">
        <is>
          <t>Sobre Pedido (Export)</t>
        </is>
      </c>
      <c r="H314" s="33" t="n">
        <v>314.4361</v>
      </c>
      <c r="I314" s="33" t="n">
        <v>0</v>
      </c>
      <c r="J314" s="33" t="n">
        <v>0</v>
      </c>
      <c r="K314" s="33" t="n">
        <v>314.4361</v>
      </c>
      <c r="L314" s="33" t="n">
        <v>0</v>
      </c>
      <c r="M314" s="34" t="n">
        <v>314.4361</v>
      </c>
      <c r="N314" s="34" t="n">
        <v>314.44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PHD0001</t>
        </is>
      </c>
      <c r="B315" s="19" t="inlineStr">
        <is>
          <t>PHD0001RO</t>
        </is>
      </c>
      <c r="C315" s="20" t="inlineStr">
        <is>
          <t>PH-DOWNER</t>
        </is>
      </c>
      <c r="D315" s="21" t="n">
        <v>1</v>
      </c>
      <c r="E315" s="20" t="inlineStr">
        <is>
          <t>Botellas 1L</t>
        </is>
      </c>
      <c r="F315" s="22" t="inlineStr">
        <is>
          <t>RUMANÍA</t>
        </is>
      </c>
      <c r="G315" s="23" t="inlineStr">
        <is>
          <t>Sobre Pedido (Export)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C-M-P0001</t>
        </is>
      </c>
      <c r="B316" s="31" t="inlineStr">
        <is>
          <t>C-M-P0001</t>
        </is>
      </c>
      <c r="C316" s="29" t="inlineStr">
        <is>
          <t>CODIFOL Mo-PLUS, 1 L</t>
        </is>
      </c>
      <c r="D316" s="30" t="n">
        <v>1</v>
      </c>
      <c r="E316" s="29" t="inlineStr">
        <is>
          <t>Botellas 1L</t>
        </is>
      </c>
      <c r="F316" s="31" t="inlineStr">
        <is>
          <t>ESPAÑA</t>
        </is>
      </c>
      <c r="G316" s="31" t="inlineStr">
        <is>
          <t>Para Previsión (Nac)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C-MB0001</t>
        </is>
      </c>
      <c r="B317" s="22" t="inlineStr">
        <is>
          <t>C-MB0001</t>
        </is>
      </c>
      <c r="C317" s="20" t="inlineStr">
        <is>
          <t>CODIFOL-MB, 1 L</t>
        </is>
      </c>
      <c r="D317" s="21" t="n">
        <v>1</v>
      </c>
      <c r="E317" s="20" t="inlineStr">
        <is>
          <t>Botellas 1L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0</v>
      </c>
      <c r="I317" s="24" t="n">
        <v>0</v>
      </c>
      <c r="J317" s="24" t="n">
        <v>0</v>
      </c>
      <c r="K317" s="24" t="n">
        <v>0</v>
      </c>
      <c r="L317" s="24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HST0001</t>
        </is>
      </c>
      <c r="B318" s="31" t="inlineStr">
        <is>
          <t>HST0001</t>
        </is>
      </c>
      <c r="C318" s="29" t="inlineStr">
        <is>
          <t>HIDROSTRESS,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AGN0020</t>
        </is>
      </c>
      <c r="B319" s="22" t="inlineStr">
        <is>
          <t>AGN0020</t>
        </is>
      </c>
      <c r="C319" s="20" t="inlineStr">
        <is>
          <t>AGROXILATO N, 20 L</t>
        </is>
      </c>
      <c r="D319" s="21" t="n">
        <v>20</v>
      </c>
      <c r="E319" s="20" t="inlineStr">
        <is>
          <t>Garrafas 20L</t>
        </is>
      </c>
      <c r="F319" s="22" t="inlineStr">
        <is>
          <t>ESPAÑA</t>
        </is>
      </c>
      <c r="G319" s="22" t="inlineStr">
        <is>
          <t>Para Previsión (Nac)</t>
        </is>
      </c>
      <c r="H319" s="24" t="n">
        <v>0</v>
      </c>
      <c r="I319" s="24" t="n">
        <v>0</v>
      </c>
      <c r="J319" s="24" t="n">
        <v>0</v>
      </c>
      <c r="K319" s="24" t="n">
        <v>0</v>
      </c>
      <c r="L319" s="24" t="n">
        <v>0</v>
      </c>
      <c r="M319" s="25" t="n">
        <v>0</v>
      </c>
      <c r="N319" s="25" t="n">
        <v>0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BEY0020</t>
        </is>
      </c>
      <c r="B320" s="31" t="inlineStr">
        <is>
          <t>BEY0020</t>
        </is>
      </c>
      <c r="C320" s="29" t="inlineStr">
        <is>
          <t>FLORAMEC PLUS 20 L</t>
        </is>
      </c>
      <c r="D320" s="30" t="n">
        <v>20</v>
      </c>
      <c r="E320" s="29" t="inlineStr">
        <is>
          <t>Garrafas 20L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BROTA0001</t>
        </is>
      </c>
      <c r="B321" s="22" t="inlineStr">
        <is>
          <t>BROTA0001</t>
        </is>
      </c>
      <c r="C321" s="20" t="inlineStr">
        <is>
          <t>BROTAMEC, 1 L</t>
        </is>
      </c>
      <c r="D321" s="21" t="n">
        <v>1</v>
      </c>
      <c r="E321" s="20" t="inlineStr">
        <is>
          <t>Botellas 1L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BPLUS20005</t>
        </is>
      </c>
      <c r="B322" s="31" t="inlineStr">
        <is>
          <t>BPLUS20005</t>
        </is>
      </c>
      <c r="C322" s="29" t="inlineStr">
        <is>
          <t>BOROCAL PLUS, 5 KG</t>
        </is>
      </c>
      <c r="D322" s="30" t="n">
        <v>5</v>
      </c>
      <c r="E322" s="29" t="inlineStr">
        <is>
          <t>Bolsas 5 Kg</t>
        </is>
      </c>
      <c r="F322" s="31" t="inlineStr">
        <is>
          <t>ESPAÑA</t>
        </is>
      </c>
      <c r="G322" s="31" t="inlineStr">
        <is>
          <t>Para Previsión (Nac)</t>
        </is>
      </c>
      <c r="H322" s="33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4" t="n">
        <v>0</v>
      </c>
      <c r="N322" s="34" t="n">
        <v>0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AGMNP0005</t>
        </is>
      </c>
      <c r="B323" s="22" t="inlineStr">
        <is>
          <t>AGMNP0005</t>
        </is>
      </c>
      <c r="C323" s="20" t="inlineStr">
        <is>
          <t>AGROXILATO MN PLUS, 5 KG</t>
        </is>
      </c>
      <c r="D323" s="21" t="n">
        <v>5</v>
      </c>
      <c r="E323" s="20" t="inlineStr">
        <is>
          <t>Bolsas 5 Kg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CBROT0001</t>
        </is>
      </c>
      <c r="B324" s="31" t="inlineStr">
        <is>
          <t>CBROT0001</t>
        </is>
      </c>
      <c r="C324" s="29" t="inlineStr">
        <is>
          <t>CODIBROT, 1 L</t>
        </is>
      </c>
      <c r="D324" s="30" t="n">
        <v>1</v>
      </c>
      <c r="E324" s="29" t="inlineStr">
        <is>
          <t>Botellas 1L</t>
        </is>
      </c>
      <c r="F324" s="31" t="inlineStr">
        <is>
          <t>ESPAÑA</t>
        </is>
      </c>
      <c r="G324" s="31" t="inlineStr">
        <is>
          <t>Para Previsión (Nac)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FU0001</t>
        </is>
      </c>
      <c r="B325" s="19" t="inlineStr">
        <is>
          <t>FU0001DO</t>
        </is>
      </c>
      <c r="C325" s="20" t="inlineStr">
        <is>
          <t>FULVIGIN, 1 L</t>
        </is>
      </c>
      <c r="D325" s="21" t="n">
        <v>1</v>
      </c>
      <c r="E325" s="20" t="inlineStr">
        <is>
          <t>Botellas 1L</t>
        </is>
      </c>
      <c r="F325" s="22" t="inlineStr">
        <is>
          <t>DOMINICANA, REPÚBLICA</t>
        </is>
      </c>
      <c r="G325" s="23" t="inlineStr">
        <is>
          <t>Sobre Pedido (Export)</t>
        </is>
      </c>
      <c r="H325" s="24" t="n">
        <v>524.0602</v>
      </c>
      <c r="I325" s="24" t="n">
        <v>0</v>
      </c>
      <c r="J325" s="24" t="n">
        <v>0</v>
      </c>
      <c r="K325" s="24" t="n">
        <v>524.0602</v>
      </c>
      <c r="L325" s="24" t="n">
        <v>0</v>
      </c>
      <c r="M325" s="25" t="n">
        <v>524.0602</v>
      </c>
      <c r="N325" s="25" t="n">
        <v>524.0599999999999</v>
      </c>
      <c r="O325" s="25" t="n">
        <v>0</v>
      </c>
      <c r="P325" s="25" t="n">
        <v>0</v>
      </c>
      <c r="Q325" s="36" t="inlineStr">
        <is>
          <t>CUBIERTO</t>
        </is>
      </c>
    </row>
    <row r="326" ht="19" customHeight="1">
      <c r="A326" s="27" t="inlineStr">
        <is>
          <t>N0001</t>
        </is>
      </c>
      <c r="B326" s="31" t="inlineStr">
        <is>
          <t>N0001</t>
        </is>
      </c>
      <c r="C326" s="29" t="inlineStr">
        <is>
          <t>NUTRICALE, 1 L</t>
        </is>
      </c>
      <c r="D326" s="30" t="n">
        <v>1</v>
      </c>
      <c r="E326" s="29" t="inlineStr">
        <is>
          <t>Botellas 1L</t>
        </is>
      </c>
      <c r="F326" s="31" t="inlineStr">
        <is>
          <t>ESPAÑA</t>
        </is>
      </c>
      <c r="G326" s="31" t="inlineStr">
        <is>
          <t>Para Previsión (Nac)</t>
        </is>
      </c>
      <c r="H326" s="33" t="n">
        <v>0</v>
      </c>
      <c r="I326" s="33" t="n">
        <v>0</v>
      </c>
      <c r="J326" s="33" t="n">
        <v>0</v>
      </c>
      <c r="K326" s="33" t="n">
        <v>0</v>
      </c>
      <c r="L326" s="33" t="n">
        <v>0</v>
      </c>
      <c r="M326" s="34" t="n">
        <v>0</v>
      </c>
      <c r="N326" s="34" t="n">
        <v>0</v>
      </c>
      <c r="O326" s="34" t="n">
        <v>0</v>
      </c>
      <c r="P326" s="34" t="n">
        <v>0</v>
      </c>
      <c r="Q326" s="36" t="inlineStr">
        <is>
          <t>CUBIERTO</t>
        </is>
      </c>
    </row>
    <row r="327" ht="19" customHeight="1">
      <c r="A327" s="18" t="inlineStr">
        <is>
          <t>P-ZM3.50020</t>
        </is>
      </c>
      <c r="B327" s="22" t="inlineStr">
        <is>
          <t>P-ZM3.50020</t>
        </is>
      </c>
      <c r="C327" s="20" t="inlineStr">
        <is>
          <t>POLIGREEN-ZNMN, 20 L</t>
        </is>
      </c>
      <c r="D327" s="21" t="n">
        <v>20</v>
      </c>
      <c r="E327" s="20" t="inlineStr">
        <is>
          <t>Garrafas 20L</t>
        </is>
      </c>
      <c r="F327" s="22" t="inlineStr">
        <is>
          <t>ESPAÑA</t>
        </is>
      </c>
      <c r="G327" s="22" t="inlineStr">
        <is>
          <t>Para Previsión (Nac)</t>
        </is>
      </c>
      <c r="H327" s="24" t="n">
        <v>0</v>
      </c>
      <c r="I327" s="24" t="n">
        <v>0</v>
      </c>
      <c r="J327" s="24" t="n">
        <v>0</v>
      </c>
      <c r="K327" s="24" t="n">
        <v>0</v>
      </c>
      <c r="L327" s="24" t="n">
        <v>0</v>
      </c>
      <c r="M327" s="25" t="n">
        <v>0</v>
      </c>
      <c r="N327" s="25" t="n">
        <v>0</v>
      </c>
      <c r="O327" s="25" t="n">
        <v>0</v>
      </c>
      <c r="P327" s="25" t="n">
        <v>0</v>
      </c>
      <c r="Q327" s="36" t="inlineStr">
        <is>
          <t>CUBIERTO</t>
        </is>
      </c>
    </row>
    <row r="328" ht="19" customHeight="1">
      <c r="A328" s="27" t="inlineStr">
        <is>
          <t>FU1000</t>
        </is>
      </c>
      <c r="B328" s="28" t="inlineStr">
        <is>
          <t>FU1000TR</t>
        </is>
      </c>
      <c r="C328" s="29" t="inlineStr">
        <is>
          <t>FULVIGIN, 1000 L</t>
        </is>
      </c>
      <c r="D328" s="30" t="n">
        <v>1000</v>
      </c>
      <c r="E328" s="29" t="inlineStr">
        <is>
          <t>Depósito 1000 L</t>
        </is>
      </c>
      <c r="F328" s="31" t="inlineStr">
        <is>
          <t>TURQUÍA</t>
        </is>
      </c>
      <c r="G328" s="32" t="inlineStr">
        <is>
          <t>Sobre Pedido (Export)</t>
        </is>
      </c>
      <c r="H328" s="33" t="n">
        <v>867.9081</v>
      </c>
      <c r="I328" s="33" t="n">
        <v>0</v>
      </c>
      <c r="J328" s="33" t="n">
        <v>0</v>
      </c>
      <c r="K328" s="33" t="n">
        <v>0</v>
      </c>
      <c r="L328" s="33" t="n">
        <v>867.9081</v>
      </c>
      <c r="M328" s="34" t="n">
        <v>867.9081</v>
      </c>
      <c r="N328" s="34" t="n">
        <v>867.91</v>
      </c>
      <c r="O328" s="34" t="n">
        <v>0</v>
      </c>
      <c r="P328" s="34" t="n">
        <v>0</v>
      </c>
      <c r="Q328" s="36" t="inlineStr">
        <is>
          <t>CUBIERTO</t>
        </is>
      </c>
    </row>
    <row r="329" ht="19" customHeight="1">
      <c r="A329" s="18" t="inlineStr">
        <is>
          <t>AGXKAEP0005</t>
        </is>
      </c>
      <c r="B329" s="22" t="inlineStr">
        <is>
          <t>AGXKAEP0005</t>
        </is>
      </c>
      <c r="C329" s="20" t="inlineStr">
        <is>
          <t>BIOCULTURE POTASIO PLUS, 5 L</t>
        </is>
      </c>
      <c r="D329" s="21" t="n">
        <v>5</v>
      </c>
      <c r="E329" s="20" t="inlineStr">
        <is>
          <t>Garrafas 5L</t>
        </is>
      </c>
      <c r="F329" s="22" t="inlineStr">
        <is>
          <t>ESPAÑA</t>
        </is>
      </c>
      <c r="G329" s="22" t="inlineStr">
        <is>
          <t>Para Previsión (Nac)</t>
        </is>
      </c>
      <c r="H329" s="24" t="n">
        <v>0</v>
      </c>
      <c r="I329" s="24" t="n">
        <v>0</v>
      </c>
      <c r="J329" s="24" t="n">
        <v>0</v>
      </c>
      <c r="K329" s="24" t="n">
        <v>0</v>
      </c>
      <c r="L329" s="24" t="n">
        <v>0</v>
      </c>
      <c r="M329" s="25" t="n">
        <v>0</v>
      </c>
      <c r="N329" s="25" t="n">
        <v>0</v>
      </c>
      <c r="O329" s="25" t="n">
        <v>0</v>
      </c>
      <c r="P329" s="25" t="n">
        <v>0</v>
      </c>
      <c r="Q329" s="36" t="inlineStr">
        <is>
          <t>CUBIERTO</t>
        </is>
      </c>
    </row>
    <row r="330" ht="19" customHeight="1">
      <c r="A330" s="27" t="inlineStr">
        <is>
          <t>BAYCAL0020</t>
        </is>
      </c>
      <c r="B330" s="28" t="inlineStr">
        <is>
          <t>BAYCAL0020CL</t>
        </is>
      </c>
      <c r="C330" s="29" t="inlineStr">
        <is>
          <t>BAYFOLAN CALCIO</t>
        </is>
      </c>
      <c r="D330" s="30" t="n">
        <v>20</v>
      </c>
      <c r="E330" s="29" t="inlineStr">
        <is>
          <t>Garrafas 20L</t>
        </is>
      </c>
      <c r="F330" s="31" t="inlineStr">
        <is>
          <t>CHILE</t>
        </is>
      </c>
      <c r="G330" s="32" t="inlineStr">
        <is>
          <t>Sobre Pedido (Export)</t>
        </is>
      </c>
      <c r="H330" s="33" t="n">
        <v>0</v>
      </c>
      <c r="I330" s="33" t="n">
        <v>0</v>
      </c>
      <c r="J330" s="33" t="n">
        <v>0</v>
      </c>
      <c r="K330" s="33" t="n">
        <v>0</v>
      </c>
      <c r="L330" s="33" t="n">
        <v>0</v>
      </c>
      <c r="M330" s="34" t="n">
        <v>0</v>
      </c>
      <c r="N330" s="34" t="n">
        <v>0</v>
      </c>
      <c r="O330" s="34" t="n">
        <v>0</v>
      </c>
      <c r="P330" s="34" t="n">
        <v>0</v>
      </c>
      <c r="Q330" s="36" t="inlineStr">
        <is>
          <t>CUBIERTO</t>
        </is>
      </c>
    </row>
    <row r="331" ht="19" customHeight="1">
      <c r="A331" s="18" t="inlineStr">
        <is>
          <t>G1000</t>
        </is>
      </c>
      <c r="B331" s="22" t="inlineStr">
        <is>
          <t>G1000</t>
        </is>
      </c>
      <c r="C331" s="20" t="inlineStr">
        <is>
          <t>TRANSLOCADOR, 1000 L</t>
        </is>
      </c>
      <c r="D331" s="21" t="n">
        <v>1000</v>
      </c>
      <c r="E331" s="20" t="inlineStr">
        <is>
          <t>Depósito 1000 L</t>
        </is>
      </c>
      <c r="F331" s="22" t="inlineStr">
        <is>
          <t>ESPAÑA</t>
        </is>
      </c>
      <c r="G331" s="22" t="inlineStr">
        <is>
          <t>Para Previsión (Nac)</t>
        </is>
      </c>
      <c r="H331" s="24" t="n">
        <v>1000</v>
      </c>
      <c r="I331" s="24" t="n">
        <v>1000</v>
      </c>
      <c r="J331" s="24" t="n">
        <v>0</v>
      </c>
      <c r="K331" s="24" t="n">
        <v>0</v>
      </c>
      <c r="L331" s="24" t="n">
        <v>0</v>
      </c>
      <c r="M331" s="25" t="n">
        <v>1000</v>
      </c>
      <c r="N331" s="25" t="n">
        <v>1000</v>
      </c>
      <c r="O331" s="25" t="n">
        <v>0</v>
      </c>
      <c r="P331" s="25" t="n">
        <v>0</v>
      </c>
      <c r="Q331" s="36" t="inlineStr">
        <is>
          <t>CUBIERTO</t>
        </is>
      </c>
    </row>
    <row r="332" ht="26" customHeight="1">
      <c r="A332" s="37" t="inlineStr">
        <is>
          <t>TOTAL GENERAL (UNIDADES Y VOLUMEN)</t>
        </is>
      </c>
      <c r="B332" s="38" t="n"/>
      <c r="C332" s="38" t="n"/>
      <c r="D332" s="38" t="n"/>
      <c r="E332" s="38" t="n"/>
      <c r="F332" s="38" t="n"/>
      <c r="G332" s="38" t="n"/>
      <c r="H332" s="39">
        <f>SUM(H9:H331)</f>
        <v/>
      </c>
      <c r="I332" s="39">
        <f>SUM(I9:I331)</f>
        <v/>
      </c>
      <c r="J332" s="39">
        <f>SUM(J9:J331)</f>
        <v/>
      </c>
      <c r="K332" s="39">
        <f>SUM(K9:K331)</f>
        <v/>
      </c>
      <c r="L332" s="39">
        <f>SUM(L9:L331)</f>
        <v/>
      </c>
      <c r="M332" s="39">
        <f>SUM(M9:M331)</f>
        <v/>
      </c>
      <c r="N332" s="39">
        <f>SUM(N9:N331)</f>
        <v/>
      </c>
      <c r="O332" s="39">
        <f>SUM(O9:O331)</f>
        <v/>
      </c>
      <c r="P332" s="39">
        <f>SUM(P9:P331)</f>
        <v/>
      </c>
      <c r="Q332" s="40" t="inlineStr"/>
    </row>
  </sheetData>
  <autoFilter ref="A8:Q331"/>
  <mergeCells count="18">
    <mergeCell ref="A4:B4"/>
    <mergeCell ref="G4:H4"/>
    <mergeCell ref="E4:F4"/>
    <mergeCell ref="H7:M7"/>
    <mergeCell ref="A332:G332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27/10/2026 07:38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53081.67</v>
      </c>
      <c r="H6" s="33" t="n">
        <v>69962.05</v>
      </c>
      <c r="I6" s="33" t="n">
        <v>51987.7</v>
      </c>
      <c r="J6" s="34" t="n">
        <v>212731.42</v>
      </c>
      <c r="K6" s="33" t="n">
        <v>-163371.41</v>
      </c>
      <c r="L6" s="34" t="n">
        <v>163371.41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21300</v>
      </c>
      <c r="D7" s="24" t="n">
        <v>7240</v>
      </c>
      <c r="E7" s="25" t="n">
        <v>28540</v>
      </c>
      <c r="F7" s="24" t="n">
        <v>19800</v>
      </c>
      <c r="G7" s="24" t="n">
        <v>38668.76</v>
      </c>
      <c r="H7" s="24" t="n">
        <v>69175.95</v>
      </c>
      <c r="I7" s="24" t="n">
        <v>57281.94</v>
      </c>
      <c r="J7" s="25" t="n">
        <v>184926.65</v>
      </c>
      <c r="K7" s="24" t="n">
        <v>-156386.65</v>
      </c>
      <c r="L7" s="25" t="n">
        <v>156386.65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18295</v>
      </c>
      <c r="E8" s="34" t="n">
        <v>21217</v>
      </c>
      <c r="F8" s="33" t="n">
        <v>30920</v>
      </c>
      <c r="G8" s="33" t="n">
        <v>40405.33999999999</v>
      </c>
      <c r="H8" s="33" t="n">
        <v>50142.07999999999</v>
      </c>
      <c r="I8" s="33" t="n">
        <v>31609.21</v>
      </c>
      <c r="J8" s="34" t="n">
        <v>153076.63</v>
      </c>
      <c r="K8" s="33" t="n">
        <v>-131859.63</v>
      </c>
      <c r="L8" s="34" t="n">
        <v>131859.63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14640</v>
      </c>
      <c r="E9" s="25" t="n">
        <v>17460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-85408.27</v>
      </c>
      <c r="L9" s="25" t="n">
        <v>85408.27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3515.34</v>
      </c>
      <c r="H11" s="24" t="n">
        <v>5911.400000000001</v>
      </c>
      <c r="I11" s="24" t="n">
        <v>11268.91</v>
      </c>
      <c r="J11" s="25" t="n">
        <v>27535.65</v>
      </c>
      <c r="K11" s="24" t="n">
        <v>-23375.65</v>
      </c>
      <c r="L11" s="25" t="n">
        <v>23375.65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10433.54</v>
      </c>
      <c r="H12" s="33" t="n">
        <v>10470.72</v>
      </c>
      <c r="I12" s="33" t="n">
        <v>3582.72</v>
      </c>
      <c r="J12" s="34" t="n">
        <v>28214.98</v>
      </c>
      <c r="K12" s="33" t="n">
        <v>-19704.98</v>
      </c>
      <c r="L12" s="34" t="n">
        <v>19704.98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0</v>
      </c>
      <c r="G13" s="24" t="n">
        <v>263.65</v>
      </c>
      <c r="H13" s="24" t="n">
        <v>628.87</v>
      </c>
      <c r="I13" s="24" t="n">
        <v>13365.79</v>
      </c>
      <c r="J13" s="25" t="n">
        <v>14258.31</v>
      </c>
      <c r="K13" s="24" t="n">
        <v>-13768.31</v>
      </c>
      <c r="L13" s="25" t="n">
        <v>13768.31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5519.09</v>
      </c>
      <c r="H14" s="33" t="n">
        <v>10858.53</v>
      </c>
      <c r="I14" s="33" t="n">
        <v>0</v>
      </c>
      <c r="J14" s="34" t="n">
        <v>26973.62</v>
      </c>
      <c r="K14" s="33" t="n">
        <v>-13694.62</v>
      </c>
      <c r="L14" s="34" t="n">
        <v>13694.62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16248</v>
      </c>
      <c r="E15" s="25" t="n">
        <v>29432</v>
      </c>
      <c r="F15" s="24" t="n">
        <v>10980</v>
      </c>
      <c r="G15" s="24" t="n">
        <v>15010.51</v>
      </c>
      <c r="H15" s="24" t="n">
        <v>12661.29</v>
      </c>
      <c r="I15" s="24" t="n">
        <v>2888.4</v>
      </c>
      <c r="J15" s="25" t="n">
        <v>41540.2</v>
      </c>
      <c r="K15" s="24" t="n">
        <v>-12108.2</v>
      </c>
      <c r="L15" s="25" t="n">
        <v>12108.2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5226</v>
      </c>
      <c r="D16" s="33" t="n">
        <v>2796</v>
      </c>
      <c r="E16" s="34" t="n">
        <v>8022</v>
      </c>
      <c r="F16" s="33" t="n">
        <v>2000</v>
      </c>
      <c r="G16" s="33" t="n">
        <v>6890.08</v>
      </c>
      <c r="H16" s="33" t="n">
        <v>2368.76</v>
      </c>
      <c r="I16" s="33" t="n">
        <v>8522.860000000001</v>
      </c>
      <c r="J16" s="34" t="n">
        <v>19781.7</v>
      </c>
      <c r="K16" s="33" t="n">
        <v>-11759.7</v>
      </c>
      <c r="L16" s="34" t="n">
        <v>11759.7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21408.43</v>
      </c>
      <c r="H17" s="24" t="n">
        <v>27251.14</v>
      </c>
      <c r="I17" s="24" t="n">
        <v>555.46</v>
      </c>
      <c r="J17" s="25" t="n">
        <v>49215.03</v>
      </c>
      <c r="K17" s="24" t="n">
        <v>-11095.03</v>
      </c>
      <c r="L17" s="25" t="n">
        <v>11095.03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6656</v>
      </c>
      <c r="G18" s="33" t="n">
        <v>4675.4</v>
      </c>
      <c r="H18" s="33" t="n">
        <v>5504.73</v>
      </c>
      <c r="I18" s="33" t="n">
        <v>2732.17</v>
      </c>
      <c r="J18" s="34" t="n">
        <v>19568.3</v>
      </c>
      <c r="K18" s="33" t="n">
        <v>-10855.3</v>
      </c>
      <c r="L18" s="34" t="n">
        <v>10855.3</v>
      </c>
      <c r="M18" s="26" t="inlineStr">
        <is>
          <t>FABRICAR GRANEL</t>
        </is>
      </c>
    </row>
    <row r="19" ht="20" customHeight="1">
      <c r="A19" s="18" t="inlineStr">
        <is>
          <t>A-50</t>
        </is>
      </c>
      <c r="B19" s="42" t="inlineStr">
        <is>
          <t>CODIORGAN-A50</t>
        </is>
      </c>
      <c r="C19" s="24" t="n">
        <v>156</v>
      </c>
      <c r="D19" s="24" t="n">
        <v>0</v>
      </c>
      <c r="E19" s="25" t="n">
        <v>156</v>
      </c>
      <c r="F19" s="24" t="n">
        <v>1500</v>
      </c>
      <c r="G19" s="24" t="n">
        <v>1806.89</v>
      </c>
      <c r="H19" s="24" t="n">
        <v>2096.24</v>
      </c>
      <c r="I19" s="24" t="n">
        <v>4270.11</v>
      </c>
      <c r="J19" s="25" t="n">
        <v>9673.239999999998</v>
      </c>
      <c r="K19" s="24" t="n">
        <v>-9517.239999999998</v>
      </c>
      <c r="L19" s="25" t="n">
        <v>9517.239999999998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2000</v>
      </c>
      <c r="G20" s="33" t="n">
        <v>2636.51</v>
      </c>
      <c r="H20" s="33" t="n">
        <v>3563.6</v>
      </c>
      <c r="I20" s="33" t="n">
        <v>1721.93</v>
      </c>
      <c r="J20" s="34" t="n">
        <v>9922.040000000001</v>
      </c>
      <c r="K20" s="33" t="n">
        <v>-8122.040000000001</v>
      </c>
      <c r="L20" s="34" t="n">
        <v>8122.040000000001</v>
      </c>
      <c r="M20" s="26" t="inlineStr">
        <is>
          <t>FABRICAR GRANEL</t>
        </is>
      </c>
    </row>
    <row r="21" ht="20" customHeight="1">
      <c r="A21" s="18" t="inlineStr">
        <is>
          <t>A-50(2)</t>
        </is>
      </c>
      <c r="B21" s="42" t="inlineStr">
        <is>
          <t>CODIORGAN-A50</t>
        </is>
      </c>
      <c r="C21" s="24" t="n">
        <v>47</v>
      </c>
      <c r="D21" s="24" t="n">
        <v>1975</v>
      </c>
      <c r="E21" s="25" t="n">
        <v>2022</v>
      </c>
      <c r="F21" s="24" t="n">
        <v>2798</v>
      </c>
      <c r="G21" s="24" t="n">
        <v>1933.44</v>
      </c>
      <c r="H21" s="24" t="n">
        <v>2253.46</v>
      </c>
      <c r="I21" s="24" t="n">
        <v>2887.4</v>
      </c>
      <c r="J21" s="25" t="n">
        <v>9872.299999999999</v>
      </c>
      <c r="K21" s="24" t="n">
        <v>-7850.299999999999</v>
      </c>
      <c r="L21" s="25" t="n">
        <v>7850.299999999999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GRE1</t>
        </is>
      </c>
      <c r="B23" s="42" t="inlineStr">
        <is>
          <t>TONAZ</t>
        </is>
      </c>
      <c r="C23" s="24" t="n">
        <v>180</v>
      </c>
      <c r="D23" s="24" t="n">
        <v>0</v>
      </c>
      <c r="E23" s="25" t="n">
        <v>180</v>
      </c>
      <c r="F23" s="24" t="n">
        <v>0</v>
      </c>
      <c r="G23" s="24" t="n">
        <v>0</v>
      </c>
      <c r="H23" s="24" t="n">
        <v>0</v>
      </c>
      <c r="I23" s="24" t="n">
        <v>6943.27</v>
      </c>
      <c r="J23" s="25" t="n">
        <v>6943.27</v>
      </c>
      <c r="K23" s="24" t="n">
        <v>-6763.27</v>
      </c>
      <c r="L23" s="25" t="n">
        <v>6763.27</v>
      </c>
      <c r="M23" s="26" t="inlineStr">
        <is>
          <t>FABRICAR GRANEL</t>
        </is>
      </c>
    </row>
    <row r="24" ht="20" customHeight="1">
      <c r="A24" s="27" t="inlineStr">
        <is>
          <t>DECA</t>
        </is>
      </c>
      <c r="B24" s="41" t="inlineStr">
        <is>
          <t>DEFENS-CA-AE</t>
        </is>
      </c>
      <c r="C24" s="33" t="n">
        <v>1380</v>
      </c>
      <c r="D24" s="33" t="n">
        <v>960</v>
      </c>
      <c r="E24" s="34" t="n">
        <v>2340</v>
      </c>
      <c r="F24" s="33" t="n">
        <v>5200</v>
      </c>
      <c r="G24" s="33" t="n">
        <v>966.72</v>
      </c>
      <c r="H24" s="33" t="n">
        <v>1152.93</v>
      </c>
      <c r="I24" s="33" t="n">
        <v>954.7</v>
      </c>
      <c r="J24" s="34" t="n">
        <v>8274.35</v>
      </c>
      <c r="K24" s="33" t="n">
        <v>-5934.35</v>
      </c>
      <c r="L24" s="34" t="n">
        <v>5934.35</v>
      </c>
      <c r="M24" s="26" t="inlineStr">
        <is>
          <t>FABRICAR GRANEL</t>
        </is>
      </c>
    </row>
    <row r="25" ht="20" customHeight="1">
      <c r="A25" s="18" t="inlineStr">
        <is>
          <t>AGMG</t>
        </is>
      </c>
      <c r="B25" s="42" t="inlineStr">
        <is>
          <t>AGROXILATO-MG (EXPORT)</t>
        </is>
      </c>
      <c r="C25" s="24" t="n">
        <v>628</v>
      </c>
      <c r="D25" s="24" t="n">
        <v>0</v>
      </c>
      <c r="E25" s="25" t="n">
        <v>628</v>
      </c>
      <c r="F25" s="24" t="n">
        <v>0</v>
      </c>
      <c r="G25" s="24" t="n">
        <v>903.45</v>
      </c>
      <c r="H25" s="24" t="n">
        <v>838.5</v>
      </c>
      <c r="I25" s="24" t="n">
        <v>4773.49</v>
      </c>
      <c r="J25" s="25" t="n">
        <v>6515.44</v>
      </c>
      <c r="K25" s="24" t="n">
        <v>-5887.44</v>
      </c>
      <c r="L25" s="25" t="n">
        <v>5887.44</v>
      </c>
      <c r="M25" s="26" t="inlineStr">
        <is>
          <t>FABRICAR GRANEL</t>
        </is>
      </c>
    </row>
    <row r="26" ht="20" customHeight="1">
      <c r="A26" s="27" t="inlineStr">
        <is>
          <t>C-CU</t>
        </is>
      </c>
      <c r="B26" s="41" t="inlineStr">
        <is>
          <t>CODICOBRE</t>
        </is>
      </c>
      <c r="C26" s="33" t="n">
        <v>5113</v>
      </c>
      <c r="D26" s="33" t="n">
        <v>6300</v>
      </c>
      <c r="E26" s="34" t="n">
        <v>11413</v>
      </c>
      <c r="F26" s="33" t="n">
        <v>3520</v>
      </c>
      <c r="G26" s="33" t="n">
        <v>4566.42</v>
      </c>
      <c r="H26" s="33" t="n">
        <v>6141.99</v>
      </c>
      <c r="I26" s="33" t="n">
        <v>2829.38</v>
      </c>
      <c r="J26" s="34" t="n">
        <v>17057.79</v>
      </c>
      <c r="K26" s="33" t="n">
        <v>-5644.790000000001</v>
      </c>
      <c r="L26" s="34" t="n">
        <v>5644.790000000001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START2</t>
        </is>
      </c>
      <c r="B31" s="42" t="inlineStr">
        <is>
          <t>RADISOL STARTER</t>
        </is>
      </c>
      <c r="C31" s="24" t="n">
        <v>614</v>
      </c>
      <c r="D31" s="24" t="n">
        <v>0</v>
      </c>
      <c r="E31" s="25" t="n">
        <v>614</v>
      </c>
      <c r="F31" s="24" t="n">
        <v>2904</v>
      </c>
      <c r="G31" s="24" t="n">
        <v>0</v>
      </c>
      <c r="H31" s="24" t="n">
        <v>2096.24</v>
      </c>
      <c r="I31" s="24" t="n">
        <v>0</v>
      </c>
      <c r="J31" s="25" t="n">
        <v>5000.24</v>
      </c>
      <c r="K31" s="24" t="n">
        <v>-4386.24</v>
      </c>
      <c r="L31" s="25" t="n">
        <v>4386.24</v>
      </c>
      <c r="M31" s="26" t="inlineStr">
        <is>
          <t>FABRICAR GRANEL</t>
        </is>
      </c>
    </row>
    <row r="32" ht="20" customHeight="1">
      <c r="A32" s="27" t="inlineStr">
        <is>
          <t>A-50EG</t>
        </is>
      </c>
      <c r="B32" s="41" t="inlineStr">
        <is>
          <t>CODIORGAN-A50 EGIPTO</t>
        </is>
      </c>
      <c r="C32" s="33" t="n">
        <v>0</v>
      </c>
      <c r="D32" s="33" t="n">
        <v>0</v>
      </c>
      <c r="E32" s="34" t="n">
        <v>0</v>
      </c>
      <c r="F32" s="33" t="n">
        <v>0</v>
      </c>
      <c r="G32" s="33" t="n">
        <v>0</v>
      </c>
      <c r="H32" s="33" t="n">
        <v>0</v>
      </c>
      <c r="I32" s="33" t="n">
        <v>4339.54</v>
      </c>
      <c r="J32" s="34" t="n">
        <v>4339.54</v>
      </c>
      <c r="K32" s="33" t="n">
        <v>-4339.54</v>
      </c>
      <c r="L32" s="34" t="n">
        <v>4339.54</v>
      </c>
      <c r="M32" s="26" t="inlineStr">
        <is>
          <t>FABRICAR GRANEL</t>
        </is>
      </c>
    </row>
    <row r="33" ht="20" customHeight="1">
      <c r="A33" s="18" t="inlineStr">
        <is>
          <t>F-A</t>
        </is>
      </c>
      <c r="B33" s="42" t="inlineStr">
        <is>
          <t>FITOLIN-AGRO</t>
        </is>
      </c>
      <c r="C33" s="24" t="n">
        <v>4000</v>
      </c>
      <c r="D33" s="24" t="n">
        <v>0</v>
      </c>
      <c r="E33" s="25" t="n">
        <v>4000</v>
      </c>
      <c r="F33" s="24" t="n">
        <v>3024</v>
      </c>
      <c r="G33" s="24" t="n">
        <v>0</v>
      </c>
      <c r="H33" s="24" t="n">
        <v>4129.59</v>
      </c>
      <c r="I33" s="24" t="n">
        <v>867.91</v>
      </c>
      <c r="J33" s="25" t="n">
        <v>8021.5</v>
      </c>
      <c r="K33" s="24" t="n">
        <v>-4021.5</v>
      </c>
      <c r="L33" s="25" t="n">
        <v>4021.5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PIV</t>
        </is>
      </c>
      <c r="B35" s="42" t="inlineStr">
        <is>
          <t>PGRIV</t>
        </is>
      </c>
      <c r="C35" s="24" t="n">
        <v>5105</v>
      </c>
      <c r="D35" s="24" t="n">
        <v>2020</v>
      </c>
      <c r="E35" s="25" t="n">
        <v>7125</v>
      </c>
      <c r="F35" s="24" t="n">
        <v>400</v>
      </c>
      <c r="G35" s="24" t="n">
        <v>4499.64</v>
      </c>
      <c r="H35" s="24" t="n">
        <v>3353.99</v>
      </c>
      <c r="I35" s="24" t="n">
        <v>1666.38</v>
      </c>
      <c r="J35" s="25" t="n">
        <v>9920.010000000002</v>
      </c>
      <c r="K35" s="24" t="n">
        <v>-2795.010000000002</v>
      </c>
      <c r="L35" s="25" t="n">
        <v>2795.010000000002</v>
      </c>
      <c r="M35" s="26" t="inlineStr">
        <is>
          <t>FABRICAR GRANEL</t>
        </is>
      </c>
    </row>
    <row r="36" ht="20" customHeight="1">
      <c r="A36" s="27" t="inlineStr">
        <is>
          <t>CPLUS</t>
        </is>
      </c>
      <c r="B36" s="41" t="inlineStr">
        <is>
          <t>CALCIPLUS</t>
        </is>
      </c>
      <c r="C36" s="33" t="n">
        <v>2406</v>
      </c>
      <c r="D36" s="33" t="n">
        <v>10220</v>
      </c>
      <c r="E36" s="34" t="n">
        <v>12626</v>
      </c>
      <c r="F36" s="33" t="n">
        <v>0</v>
      </c>
      <c r="G36" s="33" t="n">
        <v>6046.39</v>
      </c>
      <c r="H36" s="33" t="n">
        <v>7630.32</v>
      </c>
      <c r="I36" s="33" t="n">
        <v>1666.38</v>
      </c>
      <c r="J36" s="34" t="n">
        <v>15343.09</v>
      </c>
      <c r="K36" s="33" t="n">
        <v>-2717.09</v>
      </c>
      <c r="L36" s="34" t="n">
        <v>2717.09</v>
      </c>
      <c r="M36" s="26" t="inlineStr">
        <is>
          <t>FABRICAR GRANEL</t>
        </is>
      </c>
    </row>
    <row r="37" ht="20" customHeight="1">
      <c r="A37" s="18" t="inlineStr">
        <is>
          <t>FIORI</t>
        </is>
      </c>
      <c r="B37" s="42" t="inlineStr">
        <is>
          <t>RADIFIORI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-2603.72</v>
      </c>
      <c r="L37" s="25" t="n">
        <v>2603.72</v>
      </c>
      <c r="M37" s="26" t="inlineStr">
        <is>
          <t>FABRICAR GRANEL</t>
        </is>
      </c>
    </row>
    <row r="38" ht="20" customHeight="1">
      <c r="A38" s="27" t="inlineStr">
        <is>
          <t>AGNF</t>
        </is>
      </c>
      <c r="B38" s="41" t="inlineStr">
        <is>
          <t>CODIGREEN</t>
        </is>
      </c>
      <c r="C38" s="33" t="n">
        <v>304</v>
      </c>
      <c r="D38" s="33" t="n">
        <v>0</v>
      </c>
      <c r="E38" s="34" t="n">
        <v>304</v>
      </c>
      <c r="F38" s="33" t="n">
        <v>2772</v>
      </c>
      <c r="G38" s="33" t="n">
        <v>0</v>
      </c>
      <c r="H38" s="33" t="n">
        <v>0</v>
      </c>
      <c r="I38" s="33" t="n">
        <v>0</v>
      </c>
      <c r="J38" s="34" t="n">
        <v>2772</v>
      </c>
      <c r="K38" s="33" t="n">
        <v>-2468</v>
      </c>
      <c r="L38" s="34" t="n">
        <v>2468</v>
      </c>
      <c r="M38" s="26" t="inlineStr">
        <is>
          <t>FABRICAR GRANEL</t>
        </is>
      </c>
    </row>
    <row r="39" ht="20" customHeight="1">
      <c r="A39" s="18" t="inlineStr">
        <is>
          <t>PREZN</t>
        </is>
      </c>
      <c r="B39" s="42" t="inlineStr">
        <is>
          <t>PREZINC</t>
        </is>
      </c>
      <c r="C39" s="24" t="n">
        <v>0</v>
      </c>
      <c r="D39" s="24" t="n">
        <v>140</v>
      </c>
      <c r="E39" s="25" t="n">
        <v>140</v>
      </c>
      <c r="F39" s="24" t="n">
        <v>0</v>
      </c>
      <c r="G39" s="24" t="n">
        <v>0</v>
      </c>
      <c r="H39" s="24" t="n">
        <v>0</v>
      </c>
      <c r="I39" s="24" t="n">
        <v>2603.72</v>
      </c>
      <c r="J39" s="25" t="n">
        <v>2603.72</v>
      </c>
      <c r="K39" s="24" t="n">
        <v>-2463.72</v>
      </c>
      <c r="L39" s="25" t="n">
        <v>2463.72</v>
      </c>
      <c r="M39" s="26" t="inlineStr">
        <is>
          <t>FABRICAR GRANEL</t>
        </is>
      </c>
    </row>
    <row r="40" ht="20" customHeight="1">
      <c r="A40" s="27" t="inlineStr">
        <is>
          <t>AGZN</t>
        </is>
      </c>
      <c r="B40" s="41" t="inlineStr">
        <is>
          <t>AGROXILATO-ZN 16% (EXPORT)</t>
        </is>
      </c>
      <c r="C40" s="33" t="n">
        <v>35</v>
      </c>
      <c r="D40" s="33" t="n">
        <v>0</v>
      </c>
      <c r="E40" s="34" t="n">
        <v>35</v>
      </c>
      <c r="F40" s="33" t="n">
        <v>0</v>
      </c>
      <c r="G40" s="33" t="n">
        <v>878.84</v>
      </c>
      <c r="H40" s="33" t="n">
        <v>1106.82</v>
      </c>
      <c r="I40" s="33" t="n">
        <v>433.95</v>
      </c>
      <c r="J40" s="34" t="n">
        <v>2419.61</v>
      </c>
      <c r="K40" s="33" t="n">
        <v>-2384.61</v>
      </c>
      <c r="L40" s="34" t="n">
        <v>2384.61</v>
      </c>
      <c r="M40" s="26" t="inlineStr">
        <is>
          <t>FABRICAR GRANEL</t>
        </is>
      </c>
    </row>
    <row r="41" ht="20" customHeight="1">
      <c r="A41" s="18" t="inlineStr">
        <is>
          <t>RUN</t>
        </is>
      </c>
      <c r="B41" s="42" t="inlineStr">
        <is>
          <t>RUN STRESS</t>
        </is>
      </c>
      <c r="C41" s="24" t="n">
        <v>0</v>
      </c>
      <c r="D41" s="24" t="n">
        <v>600</v>
      </c>
      <c r="E41" s="25" t="n">
        <v>600</v>
      </c>
      <c r="F41" s="24" t="n">
        <v>204</v>
      </c>
      <c r="G41" s="24" t="n">
        <v>0</v>
      </c>
      <c r="H41" s="24" t="n">
        <v>0</v>
      </c>
      <c r="I41" s="24" t="n">
        <v>2534.29</v>
      </c>
      <c r="J41" s="25" t="n">
        <v>2738.29</v>
      </c>
      <c r="K41" s="24" t="n">
        <v>-2138.29</v>
      </c>
      <c r="L41" s="25" t="n">
        <v>2138.29</v>
      </c>
      <c r="M41" s="26" t="inlineStr">
        <is>
          <t>FABRICAR GRANEL</t>
        </is>
      </c>
    </row>
    <row r="42" ht="20" customHeight="1">
      <c r="A42" s="27" t="inlineStr">
        <is>
          <t>NB</t>
        </is>
      </c>
      <c r="B42" s="41" t="inlineStr">
        <is>
          <t>NITROBALANCE</t>
        </is>
      </c>
      <c r="C42" s="33" t="n">
        <v>0</v>
      </c>
      <c r="D42" s="33" t="n">
        <v>0</v>
      </c>
      <c r="E42" s="34" t="n">
        <v>0</v>
      </c>
      <c r="F42" s="33" t="n">
        <v>2000</v>
      </c>
      <c r="G42" s="33" t="n">
        <v>0</v>
      </c>
      <c r="H42" s="33" t="n">
        <v>0</v>
      </c>
      <c r="I42" s="33" t="n">
        <v>0</v>
      </c>
      <c r="J42" s="34" t="n">
        <v>2000</v>
      </c>
      <c r="K42" s="33" t="n">
        <v>-2000</v>
      </c>
      <c r="L42" s="34" t="n">
        <v>2000</v>
      </c>
      <c r="M42" s="26" t="inlineStr">
        <is>
          <t>FABRICAR GRANEL</t>
        </is>
      </c>
    </row>
    <row r="43" ht="20" customHeight="1">
      <c r="A43" s="18" t="inlineStr">
        <is>
          <t>AGZNP</t>
        </is>
      </c>
      <c r="B43" s="42" t="inlineStr">
        <is>
          <t>AGROXILATO-ZN PLUS</t>
        </is>
      </c>
      <c r="C43" s="24" t="n">
        <v>13</v>
      </c>
      <c r="D43" s="24" t="n">
        <v>833</v>
      </c>
      <c r="E43" s="25" t="n">
        <v>846</v>
      </c>
      <c r="F43" s="24" t="n">
        <v>0</v>
      </c>
      <c r="G43" s="24" t="n">
        <v>1757.67</v>
      </c>
      <c r="H43" s="24" t="n">
        <v>0</v>
      </c>
      <c r="I43" s="24" t="n">
        <v>824.51</v>
      </c>
      <c r="J43" s="25" t="n">
        <v>2582.18</v>
      </c>
      <c r="K43" s="24" t="n">
        <v>-1736.18</v>
      </c>
      <c r="L43" s="25" t="n">
        <v>1736.18</v>
      </c>
      <c r="M43" s="26" t="inlineStr">
        <is>
          <t>FABRICAR GRANEL</t>
        </is>
      </c>
    </row>
    <row r="44" ht="20" customHeight="1">
      <c r="A44" s="27" t="inlineStr">
        <is>
          <t>CM3M</t>
        </is>
      </c>
      <c r="B44" s="41" t="inlineStr">
        <is>
          <t>TENSOLINE-MAX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-1735.82</v>
      </c>
      <c r="L44" s="34" t="n">
        <v>1735.82</v>
      </c>
      <c r="M44" s="26" t="inlineStr">
        <is>
          <t>FABRICAR GRANEL</t>
        </is>
      </c>
    </row>
    <row r="45" ht="20" customHeight="1">
      <c r="A45" s="18" t="inlineStr">
        <is>
          <t>GRE2</t>
        </is>
      </c>
      <c r="B45" s="42" t="inlineStr">
        <is>
          <t>EGERSIS</t>
        </is>
      </c>
      <c r="C45" s="24" t="n">
        <v>50</v>
      </c>
      <c r="D45" s="24" t="n">
        <v>0</v>
      </c>
      <c r="E45" s="25" t="n">
        <v>50</v>
      </c>
      <c r="F45" s="24" t="n">
        <v>0</v>
      </c>
      <c r="G45" s="24" t="n">
        <v>0</v>
      </c>
      <c r="H45" s="24" t="n">
        <v>0</v>
      </c>
      <c r="I45" s="24" t="n">
        <v>1735.82</v>
      </c>
      <c r="J45" s="25" t="n">
        <v>1735.82</v>
      </c>
      <c r="K45" s="24" t="n">
        <v>-1685.82</v>
      </c>
      <c r="L45" s="25" t="n">
        <v>1685.82</v>
      </c>
      <c r="M45" s="26" t="inlineStr">
        <is>
          <t>FABRICAR GRANEL</t>
        </is>
      </c>
    </row>
    <row r="46" ht="20" customHeight="1">
      <c r="A46" s="27" t="inlineStr">
        <is>
          <t>BROTA</t>
        </is>
      </c>
      <c r="B46" s="41" t="inlineStr">
        <is>
          <t>BROTAMEC</t>
        </is>
      </c>
      <c r="C46" s="33" t="n">
        <v>100</v>
      </c>
      <c r="D46" s="33" t="n">
        <v>2528</v>
      </c>
      <c r="E46" s="34" t="n">
        <v>2628</v>
      </c>
      <c r="F46" s="33" t="n">
        <v>200</v>
      </c>
      <c r="G46" s="33" t="n">
        <v>1915.86</v>
      </c>
      <c r="H46" s="33" t="n">
        <v>733.6799999999999</v>
      </c>
      <c r="I46" s="33" t="n">
        <v>1440.73</v>
      </c>
      <c r="J46" s="34" t="n">
        <v>4290.27</v>
      </c>
      <c r="K46" s="33" t="n">
        <v>-1662.27</v>
      </c>
      <c r="L46" s="34" t="n">
        <v>1662.27</v>
      </c>
      <c r="M46" s="26" t="inlineStr">
        <is>
          <t>FABRICAR GRANEL</t>
        </is>
      </c>
    </row>
    <row r="47" ht="20" customHeight="1">
      <c r="A47" s="18" t="inlineStr">
        <is>
          <t>BPLUS</t>
        </is>
      </c>
      <c r="B47" s="42" t="inlineStr">
        <is>
          <t>BOROCAL PLUS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335.4</v>
      </c>
      <c r="I47" s="24" t="n">
        <v>867.91</v>
      </c>
      <c r="J47" s="25" t="n">
        <v>1203.31</v>
      </c>
      <c r="K47" s="24" t="n">
        <v>-1203.31</v>
      </c>
      <c r="L47" s="25" t="n">
        <v>1203.31</v>
      </c>
      <c r="M47" s="26" t="inlineStr">
        <is>
          <t>FABRICAR GRANEL</t>
        </is>
      </c>
    </row>
    <row r="48" ht="20" customHeight="1">
      <c r="A48" s="27" t="inlineStr">
        <is>
          <t>JF</t>
        </is>
      </c>
      <c r="B48" s="41" t="inlineStr">
        <is>
          <t>CODIGIN-FOS</t>
        </is>
      </c>
      <c r="C48" s="33" t="n">
        <v>1055</v>
      </c>
      <c r="D48" s="33" t="n">
        <v>1530</v>
      </c>
      <c r="E48" s="34" t="n">
        <v>2585</v>
      </c>
      <c r="F48" s="33" t="n">
        <v>0</v>
      </c>
      <c r="G48" s="33" t="n">
        <v>87.88</v>
      </c>
      <c r="H48" s="33" t="n">
        <v>2683.19</v>
      </c>
      <c r="I48" s="33" t="n">
        <v>867.91</v>
      </c>
      <c r="J48" s="34" t="n">
        <v>3638.98</v>
      </c>
      <c r="K48" s="33" t="n">
        <v>-1053.98</v>
      </c>
      <c r="L48" s="34" t="n">
        <v>1053.98</v>
      </c>
      <c r="M48" s="26" t="inlineStr">
        <is>
          <t>FABRICAR GRANEL</t>
        </is>
      </c>
    </row>
    <row r="49" ht="20" customHeight="1">
      <c r="A49" s="18" t="inlineStr">
        <is>
          <t>CBROT</t>
        </is>
      </c>
      <c r="B49" s="42" t="inlineStr">
        <is>
          <t>CODIBROT</t>
        </is>
      </c>
      <c r="C49" s="24" t="n">
        <v>400</v>
      </c>
      <c r="D49" s="24" t="n">
        <v>1244</v>
      </c>
      <c r="E49" s="25" t="n">
        <v>1644</v>
      </c>
      <c r="F49" s="24" t="n">
        <v>0</v>
      </c>
      <c r="G49" s="24" t="n">
        <v>0</v>
      </c>
      <c r="H49" s="24" t="n">
        <v>0</v>
      </c>
      <c r="I49" s="24" t="n">
        <v>2603.72</v>
      </c>
      <c r="J49" s="25" t="n">
        <v>2603.72</v>
      </c>
      <c r="K49" s="24" t="n">
        <v>-959.7199999999998</v>
      </c>
      <c r="L49" s="25" t="n">
        <v>959.7199999999998</v>
      </c>
      <c r="M49" s="26" t="inlineStr">
        <is>
          <t>FABRICAR GRANEL</t>
        </is>
      </c>
    </row>
    <row r="50" ht="20" customHeight="1">
      <c r="A50" s="27" t="inlineStr">
        <is>
          <t>CM3</t>
        </is>
      </c>
      <c r="B50" s="41" t="inlineStr">
        <is>
          <t>TENSOLINE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0</v>
      </c>
      <c r="I50" s="33" t="n">
        <v>867.91</v>
      </c>
      <c r="J50" s="34" t="n">
        <v>867.91</v>
      </c>
      <c r="K50" s="33" t="n">
        <v>-867.91</v>
      </c>
      <c r="L50" s="34" t="n">
        <v>867.91</v>
      </c>
      <c r="M50" s="26" t="inlineStr">
        <is>
          <t>FABRICAR GRANEL</t>
        </is>
      </c>
    </row>
    <row r="51" ht="20" customHeight="1">
      <c r="A51" s="18" t="inlineStr">
        <is>
          <t>MPH</t>
        </is>
      </c>
      <c r="B51" s="42" t="inlineStr">
        <is>
          <t>MOJALINE NL</t>
        </is>
      </c>
      <c r="C51" s="24" t="n">
        <v>0</v>
      </c>
      <c r="D51" s="24" t="n">
        <v>0</v>
      </c>
      <c r="E51" s="25" t="n">
        <v>0</v>
      </c>
      <c r="F51" s="24" t="n">
        <v>0</v>
      </c>
      <c r="G51" s="24" t="n">
        <v>0</v>
      </c>
      <c r="H51" s="24" t="n">
        <v>838.5</v>
      </c>
      <c r="I51" s="24" t="n">
        <v>0</v>
      </c>
      <c r="J51" s="25" t="n">
        <v>838.5</v>
      </c>
      <c r="K51" s="24" t="n">
        <v>-838.5</v>
      </c>
      <c r="L51" s="25" t="n">
        <v>838.5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AMIMG</t>
        </is>
      </c>
      <c r="B53" s="42" t="inlineStr">
        <is>
          <t>AMINOSOIL-MG</t>
        </is>
      </c>
      <c r="C53" s="24" t="n">
        <v>540</v>
      </c>
      <c r="D53" s="24" t="n">
        <v>560</v>
      </c>
      <c r="E53" s="25" t="n">
        <v>1100</v>
      </c>
      <c r="F53" s="24" t="n">
        <v>640</v>
      </c>
      <c r="G53" s="24" t="n">
        <v>0</v>
      </c>
      <c r="H53" s="24" t="n">
        <v>670.8</v>
      </c>
      <c r="I53" s="24" t="n">
        <v>260.37</v>
      </c>
      <c r="J53" s="25" t="n">
        <v>1571.17</v>
      </c>
      <c r="K53" s="24" t="n">
        <v>-471.1700000000001</v>
      </c>
      <c r="L53" s="25" t="n">
        <v>471.1700000000001</v>
      </c>
      <c r="M53" s="26" t="inlineStr">
        <is>
          <t>FABRICAR GRANEL</t>
        </is>
      </c>
    </row>
    <row r="54" ht="20" customHeight="1">
      <c r="A54" s="27" t="inlineStr">
        <is>
          <t>HST</t>
        </is>
      </c>
      <c r="B54" s="41" t="inlineStr">
        <is>
          <t>HIDROSTRESS-40</t>
        </is>
      </c>
      <c r="C54" s="33" t="n">
        <v>0</v>
      </c>
      <c r="D54" s="33" t="n">
        <v>2316</v>
      </c>
      <c r="E54" s="34" t="n">
        <v>2316</v>
      </c>
      <c r="F54" s="33" t="n">
        <v>0</v>
      </c>
      <c r="G54" s="33" t="n">
        <v>1160.06</v>
      </c>
      <c r="H54" s="33" t="n">
        <v>1383.51</v>
      </c>
      <c r="I54" s="33" t="n">
        <v>121.51</v>
      </c>
      <c r="J54" s="34" t="n">
        <v>2665.08</v>
      </c>
      <c r="K54" s="33" t="n">
        <v>-349.0800000000004</v>
      </c>
      <c r="L54" s="34" t="n">
        <v>349.0800000000004</v>
      </c>
      <c r="M54" s="26" t="inlineStr">
        <is>
          <t>FABRICAR GRANEL</t>
        </is>
      </c>
    </row>
    <row r="55" ht="20" customHeight="1">
      <c r="A55" s="18" t="inlineStr">
        <is>
          <t>CALCIO</t>
        </is>
      </c>
      <c r="B55" s="42" t="inlineStr">
        <is>
          <t>CALCIAMEC</t>
        </is>
      </c>
      <c r="C55" s="24" t="n">
        <v>0</v>
      </c>
      <c r="D55" s="24" t="n">
        <v>3850</v>
      </c>
      <c r="E55" s="25" t="n">
        <v>3850</v>
      </c>
      <c r="F55" s="24" t="n">
        <v>0</v>
      </c>
      <c r="G55" s="24" t="n">
        <v>725.04</v>
      </c>
      <c r="H55" s="24" t="n">
        <v>1939.02</v>
      </c>
      <c r="I55" s="24" t="n">
        <v>1518.84</v>
      </c>
      <c r="J55" s="25" t="n">
        <v>4182.9</v>
      </c>
      <c r="K55" s="24" t="n">
        <v>-332.8999999999996</v>
      </c>
      <c r="L55" s="25" t="n">
        <v>332.8999999999996</v>
      </c>
      <c r="M55" s="26" t="inlineStr">
        <is>
          <t>FABRICAR GRANEL</t>
        </is>
      </c>
    </row>
    <row r="56" ht="20" customHeight="1">
      <c r="A56" s="27" t="inlineStr">
        <is>
          <t>G3</t>
        </is>
      </c>
      <c r="B56" s="41" t="inlineStr">
        <is>
          <t>GREEN-UP</t>
        </is>
      </c>
      <c r="C56" s="33" t="n">
        <v>0</v>
      </c>
      <c r="D56" s="33" t="n">
        <v>2900</v>
      </c>
      <c r="E56" s="34" t="n">
        <v>2900</v>
      </c>
      <c r="F56" s="33" t="n">
        <v>240</v>
      </c>
      <c r="G56" s="33" t="n">
        <v>1124.91</v>
      </c>
      <c r="H56" s="33" t="n">
        <v>1341.59</v>
      </c>
      <c r="I56" s="33" t="n">
        <v>208.3</v>
      </c>
      <c r="J56" s="34" t="n">
        <v>2914.8</v>
      </c>
      <c r="K56" s="33" t="n">
        <v>-14.80000000000018</v>
      </c>
      <c r="L56" s="34" t="n">
        <v>14.80000000000018</v>
      </c>
      <c r="M56" s="26" t="inlineStr">
        <is>
          <t>FABRICAR GRANEL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1168</v>
      </c>
      <c r="E57" s="25" t="n">
        <v>9168.00095</v>
      </c>
      <c r="F57" s="24" t="n">
        <v>704</v>
      </c>
      <c r="G57" s="24" t="n">
        <v>871.8099999999999</v>
      </c>
      <c r="H57" s="24" t="n">
        <v>524.0599999999999</v>
      </c>
      <c r="I57" s="24" t="n">
        <v>4339.54</v>
      </c>
      <c r="J57" s="25" t="n">
        <v>6439.41</v>
      </c>
      <c r="K57" s="24" t="n">
        <v>2728.59095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1124.91</v>
      </c>
      <c r="H58" s="33" t="n">
        <v>1341.59</v>
      </c>
      <c r="I58" s="33" t="n">
        <v>0</v>
      </c>
      <c r="J58" s="34" t="n">
        <v>2466.5</v>
      </c>
      <c r="K58" s="33" t="n">
        <v>1795.5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175.77</v>
      </c>
      <c r="H59" s="24" t="n">
        <v>1152.93</v>
      </c>
      <c r="I59" s="24" t="n">
        <v>0</v>
      </c>
      <c r="J59" s="25" t="n">
        <v>1976.7</v>
      </c>
      <c r="K59" s="24" t="n">
        <v>374.3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BR-59</t>
        </is>
      </c>
      <c r="B60" s="41" t="inlineStr">
        <is>
          <t>BR-59</t>
        </is>
      </c>
      <c r="C60" s="33" t="n">
        <v>0</v>
      </c>
      <c r="D60" s="33" t="n">
        <v>5755</v>
      </c>
      <c r="E60" s="34" t="n">
        <v>5755</v>
      </c>
      <c r="F60" s="33" t="n">
        <v>1280</v>
      </c>
      <c r="G60" s="33" t="n">
        <v>0</v>
      </c>
      <c r="H60" s="33" t="n">
        <v>314.44</v>
      </c>
      <c r="I60" s="33" t="n">
        <v>0</v>
      </c>
      <c r="J60" s="34" t="n">
        <v>1594.44</v>
      </c>
      <c r="K60" s="33" t="n">
        <v>4160.559999999999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TRI</t>
        </is>
      </c>
      <c r="B61" s="42" t="inlineStr">
        <is>
          <t>TRIFENO-94</t>
        </is>
      </c>
      <c r="C61" s="24" t="n">
        <v>1750</v>
      </c>
      <c r="D61" s="24" t="n">
        <v>210</v>
      </c>
      <c r="E61" s="25" t="n">
        <v>1960</v>
      </c>
      <c r="F61" s="24" t="n">
        <v>108</v>
      </c>
      <c r="G61" s="24" t="n">
        <v>421.84</v>
      </c>
      <c r="H61" s="24" t="n">
        <v>419.25</v>
      </c>
      <c r="I61" s="24" t="n">
        <v>569.35</v>
      </c>
      <c r="J61" s="25" t="n">
        <v>1518.44</v>
      </c>
      <c r="K61" s="24" t="n">
        <v>441.5599999999999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703.0700000000001</v>
      </c>
      <c r="H62" s="33" t="n">
        <v>0</v>
      </c>
      <c r="I62" s="33" t="n">
        <v>694.33</v>
      </c>
      <c r="J62" s="34" t="n">
        <v>1397.4</v>
      </c>
      <c r="K62" s="33" t="n">
        <v>2446.6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FU</t>
        </is>
      </c>
      <c r="B63" s="42" t="inlineStr">
        <is>
          <t>FULVIGIN</t>
        </is>
      </c>
      <c r="C63" s="24" t="n">
        <v>3000</v>
      </c>
      <c r="D63" s="24" t="n">
        <v>3496</v>
      </c>
      <c r="E63" s="25" t="n">
        <v>6496</v>
      </c>
      <c r="F63" s="24" t="n">
        <v>0</v>
      </c>
      <c r="G63" s="24" t="n">
        <v>0</v>
      </c>
      <c r="H63" s="24" t="n">
        <v>524.0599999999999</v>
      </c>
      <c r="I63" s="24" t="n">
        <v>867.91</v>
      </c>
      <c r="J63" s="25" t="n">
        <v>1391.97</v>
      </c>
      <c r="K63" s="24" t="n">
        <v>5104.030000000001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351.53</v>
      </c>
      <c r="H64" s="33" t="n">
        <v>943.3099999999999</v>
      </c>
      <c r="I64" s="33" t="n">
        <v>0</v>
      </c>
      <c r="J64" s="34" t="n">
        <v>1294.84</v>
      </c>
      <c r="K64" s="33" t="n">
        <v>605.1600000000001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200.37</v>
      </c>
      <c r="H68" s="33" t="n">
        <v>113.2</v>
      </c>
      <c r="I68" s="33" t="n">
        <v>187.47</v>
      </c>
      <c r="J68" s="34" t="n">
        <v>501.04</v>
      </c>
      <c r="K68" s="33" t="n">
        <v>383.96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2893.31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772</v>
      </c>
      <c r="E87" s="25" t="n">
        <v>772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772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26</v>
      </c>
      <c r="C4" s="33" t="n">
        <v>10867.9081</v>
      </c>
      <c r="D4" s="33" t="n">
        <v>28000</v>
      </c>
      <c r="E4" s="33" t="n">
        <v>38668.7612</v>
      </c>
      <c r="F4" s="33" t="n">
        <v>56598.50539999998</v>
      </c>
      <c r="G4" s="33" t="n">
        <v>17792.1165</v>
      </c>
      <c r="H4" s="34" t="n">
        <v>141059.3831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</v>
      </c>
      <c r="I6" s="34" t="n">
        <v>19322.6044</v>
      </c>
    </row>
    <row r="7" ht="20" customHeight="1">
      <c r="A7" s="42" t="inlineStr">
        <is>
          <t>Garrafas 20L</t>
        </is>
      </c>
      <c r="B7" s="22" t="n">
        <v>55</v>
      </c>
      <c r="C7" s="24" t="n">
        <v>77133.1332</v>
      </c>
      <c r="D7" s="24" t="n">
        <v>35740</v>
      </c>
      <c r="E7" s="24" t="n">
        <v>73119.11140000002</v>
      </c>
      <c r="F7" s="24" t="n">
        <v>83032.10360000002</v>
      </c>
      <c r="G7" s="24" t="n">
        <v>68963.97929999999</v>
      </c>
      <c r="H7" s="25" t="n">
        <v>260855.1942999999</v>
      </c>
      <c r="I7" s="25" t="n">
        <v>183722.0610999999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41260.5131</v>
      </c>
      <c r="D8" s="33" t="n">
        <v>61660</v>
      </c>
      <c r="E8" s="33" t="n">
        <v>81960.1971</v>
      </c>
      <c r="F8" s="33" t="n">
        <v>125984.0808</v>
      </c>
      <c r="G8" s="33" t="n">
        <v>270615.3523</v>
      </c>
      <c r="H8" s="34" t="n">
        <v>540219.6301999999</v>
      </c>
      <c r="I8" s="34" t="n">
        <v>498959.1171</v>
      </c>
    </row>
    <row r="9" ht="20" customHeight="1">
      <c r="A9" s="42" t="inlineStr">
        <is>
          <t>Garrafas 5L</t>
        </is>
      </c>
      <c r="B9" s="22" t="n">
        <v>59</v>
      </c>
      <c r="C9" s="24" t="n">
        <v>14014.376</v>
      </c>
      <c r="D9" s="24" t="n">
        <v>27720</v>
      </c>
      <c r="E9" s="24" t="n">
        <v>8577.433599999998</v>
      </c>
      <c r="F9" s="24" t="n">
        <v>14967.1598</v>
      </c>
      <c r="G9" s="24" t="n">
        <v>31001.67739999999</v>
      </c>
      <c r="H9" s="25" t="n">
        <v>82266.27079999998</v>
      </c>
      <c r="I9" s="25" t="n">
        <v>68251.89479999999</v>
      </c>
    </row>
    <row r="10" ht="20" customHeight="1">
      <c r="A10" s="41" t="inlineStr">
        <is>
          <t>Bolsas 5 Kg</t>
        </is>
      </c>
      <c r="B10" s="31" t="n">
        <v>47</v>
      </c>
      <c r="C10" s="33" t="n">
        <v>22313.2025</v>
      </c>
      <c r="D10" s="33" t="n">
        <v>39410</v>
      </c>
      <c r="E10" s="33" t="n">
        <v>44491.04599999999</v>
      </c>
      <c r="F10" s="33" t="n">
        <v>42868.1271</v>
      </c>
      <c r="G10" s="33" t="n">
        <v>70322.25520000001</v>
      </c>
      <c r="H10" s="34" t="n">
        <v>197091.4283</v>
      </c>
      <c r="I10" s="34" t="n">
        <v>174778.2258</v>
      </c>
    </row>
    <row r="11" ht="20" customHeight="1">
      <c r="A11" s="42" t="inlineStr">
        <is>
          <t>Botellas 1L</t>
        </is>
      </c>
      <c r="B11" s="22" t="n">
        <v>77</v>
      </c>
      <c r="C11" s="24" t="n">
        <v>3135.0602</v>
      </c>
      <c r="D11" s="24" t="n">
        <v>39159</v>
      </c>
      <c r="E11" s="24" t="n">
        <v>11554.9289</v>
      </c>
      <c r="F11" s="24" t="n">
        <v>37413.70800000001</v>
      </c>
      <c r="G11" s="24" t="n">
        <v>33185.33520000001</v>
      </c>
      <c r="H11" s="25" t="n">
        <v>121312.9721000001</v>
      </c>
      <c r="I11" s="25" t="n">
        <v>118177.9119000001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27/10/2026 07:38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17.0%</t>
        </is>
      </c>
      <c r="F4" s="4" t="n"/>
      <c r="G4" s="4" t="n"/>
      <c r="H4" s="4" t="n"/>
      <c r="I4" s="3" t="inlineStr">
        <is>
          <t>🟡 SLOWMOVERS (3-6M NACIONAL) — 12.8%</t>
        </is>
      </c>
      <c r="J4" s="4" t="n"/>
      <c r="K4" s="4" t="n"/>
      <c r="L4" s="4" t="n"/>
      <c r="M4" s="3" t="inlineStr">
        <is>
          <t>🟢 ALTA ROTACIÓN (Q4 NACIONAL) — 70.2%</t>
        </is>
      </c>
      <c r="N4" s="4" t="n"/>
      <c r="O4" s="4" t="n"/>
      <c r="P4" s="4" t="n"/>
    </row>
    <row r="5" ht="24" customHeight="1">
      <c r="A5" s="46" t="inlineStr">
        <is>
          <t>227.902 L/Kg  (211.045 €)</t>
        </is>
      </c>
      <c r="B5" s="4" t="n"/>
      <c r="C5" s="4" t="n"/>
      <c r="D5" s="4" t="n"/>
      <c r="E5" s="5" t="inlineStr">
        <is>
          <t>38.662 L/Kg  |  33.666.69 €</t>
        </is>
      </c>
      <c r="F5" s="4" t="n"/>
      <c r="G5" s="4" t="n"/>
      <c r="H5" s="4" t="n"/>
      <c r="I5" s="6" t="inlineStr">
        <is>
          <t>29.217 L/Kg  |  35.019.06 €</t>
        </is>
      </c>
      <c r="J5" s="4" t="n"/>
      <c r="K5" s="4" t="n"/>
      <c r="L5" s="4" t="n"/>
      <c r="M5" s="8" t="inlineStr">
        <is>
          <t>160.022 L/Kg  (36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BC0005</t>
        </is>
      </c>
      <c r="B30" s="29" t="inlineStr">
        <is>
          <t>BITTER-CAL, 5 KG</t>
        </is>
      </c>
      <c r="C30" s="29" t="inlineStr">
        <is>
          <t>Bolsas 5 Kg</t>
        </is>
      </c>
      <c r="D30" s="34" t="n">
        <v>370</v>
      </c>
      <c r="E30" s="33" t="n">
        <v>74</v>
      </c>
      <c r="F30" s="33" t="n">
        <v>0</v>
      </c>
      <c r="G30" s="33" t="n">
        <v>0</v>
      </c>
      <c r="H30" s="34" t="n">
        <v>0</v>
      </c>
      <c r="I30" s="34" t="n">
        <v>370</v>
      </c>
      <c r="J30" s="33" t="n">
        <v>74</v>
      </c>
      <c r="K30" s="26" t="inlineStr">
        <is>
          <t>🔴 NoMover (&gt;6M Nac)</t>
        </is>
      </c>
      <c r="L30" s="55" t="n">
        <v>1.158218336</v>
      </c>
      <c r="M30" s="56" t="n">
        <v>428.54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G30005</t>
        </is>
      </c>
      <c r="B31" s="20" t="inlineStr">
        <is>
          <t>GREEN-UP, 5 L</t>
        </is>
      </c>
      <c r="C31" s="20" t="inlineStr">
        <is>
          <t>Garrafas 5L</t>
        </is>
      </c>
      <c r="D31" s="25" t="n">
        <v>360</v>
      </c>
      <c r="E31" s="24" t="n">
        <v>72</v>
      </c>
      <c r="F31" s="24" t="n">
        <v>0</v>
      </c>
      <c r="G31" s="24" t="n">
        <v>40</v>
      </c>
      <c r="H31" s="25" t="n">
        <v>40</v>
      </c>
      <c r="I31" s="25" t="n">
        <v>320</v>
      </c>
      <c r="J31" s="24" t="n">
        <v>64</v>
      </c>
      <c r="K31" s="26" t="inlineStr">
        <is>
          <t>🔴 NoMover (&gt;6M Nac)</t>
        </is>
      </c>
      <c r="L31" s="52" t="n">
        <v>1.291982944</v>
      </c>
      <c r="M31" s="53" t="n">
        <v>413.43</v>
      </c>
      <c r="N31" s="58" t="n">
        <v>51.68</v>
      </c>
      <c r="O31" s="20" t="inlineStr">
        <is>
          <t>Plan Choque Comercial Nac / Oferta</t>
        </is>
      </c>
    </row>
    <row r="32" ht="20" customHeight="1">
      <c r="A32" s="54" t="inlineStr">
        <is>
          <t>C-GLB0005</t>
        </is>
      </c>
      <c r="B32" s="29" t="inlineStr">
        <is>
          <t>CODIORGAN GLB, 5 KG</t>
        </is>
      </c>
      <c r="C32" s="29" t="inlineStr">
        <is>
          <t>Bolsas 5 Kg</t>
        </is>
      </c>
      <c r="D32" s="34" t="n">
        <v>255</v>
      </c>
      <c r="E32" s="33" t="n">
        <v>51</v>
      </c>
      <c r="F32" s="33" t="n">
        <v>0</v>
      </c>
      <c r="G32" s="33" t="n">
        <v>0</v>
      </c>
      <c r="H32" s="34" t="n">
        <v>0</v>
      </c>
      <c r="I32" s="34" t="n">
        <v>255</v>
      </c>
      <c r="J32" s="33" t="n">
        <v>51</v>
      </c>
      <c r="K32" s="26" t="inlineStr">
        <is>
          <t>🔴 NoMover (&gt;6M Nac)</t>
        </is>
      </c>
      <c r="L32" s="55" t="n">
        <v>1.575231243</v>
      </c>
      <c r="M32" s="56" t="n">
        <v>401.68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AGRMG0005</t>
        </is>
      </c>
      <c r="B33" s="20" t="inlineStr">
        <is>
          <t>AGROXIGREEN-MG, 5 L</t>
        </is>
      </c>
      <c r="C33" s="20" t="inlineStr">
        <is>
          <t>Garrafas 5L</t>
        </is>
      </c>
      <c r="D33" s="25" t="n">
        <v>775</v>
      </c>
      <c r="E33" s="24" t="n">
        <v>155</v>
      </c>
      <c r="F33" s="24" t="n">
        <v>0</v>
      </c>
      <c r="G33" s="24" t="n">
        <v>475</v>
      </c>
      <c r="H33" s="25" t="n">
        <v>475</v>
      </c>
      <c r="I33" s="25" t="n">
        <v>300</v>
      </c>
      <c r="J33" s="24" t="n">
        <v>60</v>
      </c>
      <c r="K33" s="26" t="inlineStr">
        <is>
          <t>🔴 NoMover (&gt;6M Nac)</t>
        </is>
      </c>
      <c r="L33" s="52" t="n">
        <v>1.221615086</v>
      </c>
      <c r="M33" s="53" t="n">
        <v>366.48</v>
      </c>
      <c r="N33" s="58" t="n">
        <v>580.27</v>
      </c>
      <c r="O33" s="20" t="inlineStr">
        <is>
          <t>Plan Choque Comercial Nac / Oferta</t>
        </is>
      </c>
    </row>
    <row r="34" ht="20" customHeight="1">
      <c r="A34" s="54" t="inlineStr">
        <is>
          <t>AGZNP0001</t>
        </is>
      </c>
      <c r="B34" s="29" t="inlineStr">
        <is>
          <t>AGROXILATO-ZN PLUS</t>
        </is>
      </c>
      <c r="C34" s="29" t="inlineStr">
        <is>
          <t>Bolsas 1 Kg</t>
        </is>
      </c>
      <c r="D34" s="34" t="n">
        <v>128</v>
      </c>
      <c r="E34" s="33" t="n">
        <v>128</v>
      </c>
      <c r="F34" s="33" t="n">
        <v>0</v>
      </c>
      <c r="G34" s="33" t="n">
        <v>0</v>
      </c>
      <c r="H34" s="34" t="n">
        <v>0</v>
      </c>
      <c r="I34" s="34" t="n">
        <v>128</v>
      </c>
      <c r="J34" s="33" t="n">
        <v>128</v>
      </c>
      <c r="K34" s="26" t="inlineStr">
        <is>
          <t>🔴 NoMover (&gt;6M Nac)</t>
        </is>
      </c>
      <c r="L34" s="55" t="n">
        <v>2.77492046</v>
      </c>
      <c r="M34" s="56" t="n">
        <v>355.19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S0005</t>
        </is>
      </c>
      <c r="B35" s="20" t="inlineStr">
        <is>
          <t>SAL-WAX STAR, 5 L</t>
        </is>
      </c>
      <c r="C35" s="20" t="inlineStr">
        <is>
          <t>Garrafas 5L</t>
        </is>
      </c>
      <c r="D35" s="25" t="n">
        <v>540</v>
      </c>
      <c r="E35" s="24" t="n">
        <v>108</v>
      </c>
      <c r="F35" s="24" t="n">
        <v>0</v>
      </c>
      <c r="G35" s="24" t="n">
        <v>90</v>
      </c>
      <c r="H35" s="25" t="n">
        <v>90</v>
      </c>
      <c r="I35" s="25" t="n">
        <v>450</v>
      </c>
      <c r="J35" s="24" t="n">
        <v>90</v>
      </c>
      <c r="K35" s="26" t="inlineStr">
        <is>
          <t>🔴 NoMover (&gt;6M Nac)</t>
        </is>
      </c>
      <c r="L35" s="52" t="n">
        <v>0.731536129</v>
      </c>
      <c r="M35" s="53" t="n">
        <v>329.19</v>
      </c>
      <c r="N35" s="58" t="n">
        <v>65.84</v>
      </c>
      <c r="O35" s="20" t="inlineStr">
        <is>
          <t>Plan Choque Comercial Nac / Oferta</t>
        </is>
      </c>
    </row>
    <row r="36" ht="20" customHeight="1">
      <c r="A36" s="54" t="inlineStr">
        <is>
          <t>HST0001</t>
        </is>
      </c>
      <c r="B36" s="29" t="inlineStr">
        <is>
          <t>HIDROSTRESS,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75</v>
      </c>
      <c r="H36" s="34" t="n">
        <v>75</v>
      </c>
      <c r="I36" s="34" t="n">
        <v>81</v>
      </c>
      <c r="J36" s="33" t="n">
        <v>81</v>
      </c>
      <c r="K36" s="26" t="inlineStr">
        <is>
          <t>🔴 NoMover (&gt;6M Nac)</t>
        </is>
      </c>
      <c r="L36" s="55" t="n">
        <v>3.519051434</v>
      </c>
      <c r="M36" s="56" t="n">
        <v>285.04</v>
      </c>
      <c r="N36" s="57" t="n">
        <v>263.93</v>
      </c>
      <c r="O36" s="29" t="inlineStr">
        <is>
          <t>Plan Choque Comercial Nac / Oferta</t>
        </is>
      </c>
    </row>
    <row r="37" ht="20" customHeight="1">
      <c r="A37" s="51" t="inlineStr">
        <is>
          <t>AVAN0001</t>
        </is>
      </c>
      <c r="B37" s="20" t="inlineStr">
        <is>
          <t>CODI-FLOR AVANCE,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43</v>
      </c>
      <c r="H37" s="25" t="n">
        <v>43</v>
      </c>
      <c r="I37" s="25" t="n">
        <v>113</v>
      </c>
      <c r="J37" s="24" t="n">
        <v>113</v>
      </c>
      <c r="K37" s="26" t="inlineStr">
        <is>
          <t>🔴 NoMover (&gt;6M Nac)</t>
        </is>
      </c>
      <c r="L37" s="52" t="n">
        <v>2.35378569</v>
      </c>
      <c r="M37" s="53" t="n">
        <v>265.98</v>
      </c>
      <c r="N37" s="58" t="n">
        <v>101.21</v>
      </c>
      <c r="O37" s="20" t="inlineStr">
        <is>
          <t>Plan Choque Comercial Nac / Oferta</t>
        </is>
      </c>
    </row>
    <row r="38" ht="20" customHeight="1">
      <c r="A38" s="54" t="inlineStr">
        <is>
          <t>AN0005</t>
        </is>
      </c>
      <c r="B38" s="29" t="inlineStr">
        <is>
          <t>ALCAPLANT NEW, 5 KG</t>
        </is>
      </c>
      <c r="C38" s="29" t="inlineStr">
        <is>
          <t>Bolsas 5 Kg</t>
        </is>
      </c>
      <c r="D38" s="34" t="n">
        <v>1080</v>
      </c>
      <c r="E38" s="33" t="n">
        <v>216</v>
      </c>
      <c r="F38" s="33" t="n">
        <v>0</v>
      </c>
      <c r="G38" s="33" t="n">
        <v>0</v>
      </c>
      <c r="H38" s="34" t="n">
        <v>0</v>
      </c>
      <c r="I38" s="34" t="n">
        <v>1080</v>
      </c>
      <c r="J38" s="33" t="n">
        <v>216</v>
      </c>
      <c r="K38" s="26" t="inlineStr">
        <is>
          <t>🔴 NoMover (&gt;6M Nac)</t>
        </is>
      </c>
      <c r="L38" s="55" t="n">
        <v>0.232699579</v>
      </c>
      <c r="M38" s="56" t="n">
        <v>251.32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ANAE0020</t>
        </is>
      </c>
      <c r="B39" s="20" t="inlineStr">
        <is>
          <t>ALCAPLANT NEW AE, 20 KG</t>
        </is>
      </c>
      <c r="C39" s="20" t="inlineStr">
        <is>
          <t>Bolsas 20 Kg</t>
        </is>
      </c>
      <c r="D39" s="25" t="n">
        <v>12720</v>
      </c>
      <c r="E39" s="24" t="n">
        <v>636</v>
      </c>
      <c r="F39" s="24" t="n">
        <v>7325.67</v>
      </c>
      <c r="G39" s="24" t="n">
        <v>4800</v>
      </c>
      <c r="H39" s="25" t="n">
        <v>4800</v>
      </c>
      <c r="I39" s="25" t="n">
        <v>594.33</v>
      </c>
      <c r="J39" s="24" t="n">
        <v>29.7</v>
      </c>
      <c r="K39" s="26" t="inlineStr">
        <is>
          <t>🔴 NoMover (&gt;6M Nac)</t>
        </is>
      </c>
      <c r="L39" s="52" t="n">
        <v>0.409634067</v>
      </c>
      <c r="M39" s="53" t="n">
        <v>243.46</v>
      </c>
      <c r="N39" s="58" t="n">
        <v>1966.24</v>
      </c>
      <c r="O39" s="20" t="inlineStr">
        <is>
          <t>Plan Choque Comercial Nac / Oferta</t>
        </is>
      </c>
    </row>
    <row r="40" ht="20" customHeight="1">
      <c r="A40" s="54" t="inlineStr">
        <is>
          <t>N0001</t>
        </is>
      </c>
      <c r="B40" s="29" t="inlineStr">
        <is>
          <t>NUTRICALE, 1 L</t>
        </is>
      </c>
      <c r="C40" s="29" t="inlineStr">
        <is>
          <t>Botellas 1L</t>
        </is>
      </c>
      <c r="D40" s="34" t="n">
        <v>132</v>
      </c>
      <c r="E40" s="33" t="n">
        <v>132</v>
      </c>
      <c r="F40" s="33" t="n">
        <v>0</v>
      </c>
      <c r="G40" s="33" t="n">
        <v>0</v>
      </c>
      <c r="H40" s="34" t="n">
        <v>0</v>
      </c>
      <c r="I40" s="34" t="n">
        <v>132</v>
      </c>
      <c r="J40" s="33" t="n">
        <v>132</v>
      </c>
      <c r="K40" s="26" t="inlineStr">
        <is>
          <t>🔴 NoMover (&gt;6M Nac)</t>
        </is>
      </c>
      <c r="L40" s="55" t="n">
        <v>1.606300393</v>
      </c>
      <c r="M40" s="56" t="n">
        <v>212.03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CBASI0005</t>
        </is>
      </c>
      <c r="B41" s="20" t="inlineStr">
        <is>
          <t>BIOCULTURE BASI, 5 KG</t>
        </is>
      </c>
      <c r="C41" s="20" t="inlineStr">
        <is>
          <t>Bolsas 5 Kg</t>
        </is>
      </c>
      <c r="D41" s="25" t="n">
        <v>770</v>
      </c>
      <c r="E41" s="24" t="n">
        <v>154</v>
      </c>
      <c r="F41" s="24" t="n">
        <v>439.42</v>
      </c>
      <c r="G41" s="24" t="n">
        <v>0</v>
      </c>
      <c r="H41" s="25" t="n">
        <v>0</v>
      </c>
      <c r="I41" s="25" t="n">
        <v>330.58</v>
      </c>
      <c r="J41" s="24" t="n">
        <v>66.09999999999999</v>
      </c>
      <c r="K41" s="26" t="inlineStr">
        <is>
          <t>🔴 NoMover (&gt;6M Nac)</t>
        </is>
      </c>
      <c r="L41" s="52" t="n">
        <v>0.638528424</v>
      </c>
      <c r="M41" s="53" t="n">
        <v>211.08</v>
      </c>
      <c r="N41" s="52" t="n">
        <v>0</v>
      </c>
      <c r="O41" s="20" t="inlineStr">
        <is>
          <t>Plan Choque Comercial Nac / Oferta</t>
        </is>
      </c>
    </row>
    <row r="42" ht="20" customHeight="1">
      <c r="A42" s="54" t="inlineStr">
        <is>
          <t>AQUOM0001</t>
        </is>
      </c>
      <c r="B42" s="29" t="inlineStr">
        <is>
          <t>AQUOM, 1 L</t>
        </is>
      </c>
      <c r="C42" s="29" t="inlineStr">
        <is>
          <t>Botellas 1L</t>
        </is>
      </c>
      <c r="D42" s="34" t="n">
        <v>36</v>
      </c>
      <c r="E42" s="33" t="n">
        <v>36</v>
      </c>
      <c r="F42" s="33" t="n">
        <v>0</v>
      </c>
      <c r="G42" s="33" t="n">
        <v>0</v>
      </c>
      <c r="H42" s="34" t="n">
        <v>0</v>
      </c>
      <c r="I42" s="34" t="n">
        <v>36</v>
      </c>
      <c r="J42" s="33" t="n">
        <v>36</v>
      </c>
      <c r="K42" s="26" t="inlineStr">
        <is>
          <t>🔴 NoMover (&gt;6M Nac)</t>
        </is>
      </c>
      <c r="L42" s="55" t="n">
        <v>5.280834965</v>
      </c>
      <c r="M42" s="56" t="n">
        <v>190.11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PIV0005</t>
        </is>
      </c>
      <c r="B43" s="20" t="inlineStr">
        <is>
          <t>PGR IV,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0</v>
      </c>
      <c r="H43" s="25" t="n">
        <v>0</v>
      </c>
      <c r="I43" s="25" t="n">
        <v>200</v>
      </c>
      <c r="J43" s="24" t="n">
        <v>40</v>
      </c>
      <c r="K43" s="26" t="inlineStr">
        <is>
          <t>🔴 NoMover (&gt;6M Nac)</t>
        </is>
      </c>
      <c r="L43" s="52" t="n">
        <v>0.919223317</v>
      </c>
      <c r="M43" s="53" t="n">
        <v>183.84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CSIL0005</t>
        </is>
      </c>
      <c r="B44" s="29" t="inlineStr">
        <is>
          <t>FITOKONTROL-K,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65</v>
      </c>
      <c r="H44" s="34" t="n">
        <v>65</v>
      </c>
      <c r="I44" s="34" t="n">
        <v>135</v>
      </c>
      <c r="J44" s="33" t="n">
        <v>27</v>
      </c>
      <c r="K44" s="26" t="inlineStr">
        <is>
          <t>🔴 NoMover (&gt;6M Nac)</t>
        </is>
      </c>
      <c r="L44" s="55" t="n">
        <v>1.319499703</v>
      </c>
      <c r="M44" s="56" t="n">
        <v>178.13</v>
      </c>
      <c r="N44" s="57" t="n">
        <v>85.77</v>
      </c>
      <c r="O44" s="29" t="inlineStr">
        <is>
          <t>Plan Choque Comercial Nac / Oferta</t>
        </is>
      </c>
    </row>
    <row r="45" ht="20" customHeight="1">
      <c r="A45" s="51" t="inlineStr">
        <is>
          <t>BEY0020</t>
        </is>
      </c>
      <c r="B45" s="20" t="inlineStr">
        <is>
          <t>FLORAMEC PLUS 20 L</t>
        </is>
      </c>
      <c r="C45" s="20" t="inlineStr">
        <is>
          <t>Garrafas 20L</t>
        </is>
      </c>
      <c r="D45" s="25" t="n">
        <v>320</v>
      </c>
      <c r="E45" s="24" t="n">
        <v>16</v>
      </c>
      <c r="F45" s="24" t="n">
        <v>0</v>
      </c>
      <c r="G45" s="24" t="n">
        <v>220</v>
      </c>
      <c r="H45" s="25" t="n">
        <v>220</v>
      </c>
      <c r="I45" s="25" t="n">
        <v>100</v>
      </c>
      <c r="J45" s="24" t="n">
        <v>5</v>
      </c>
      <c r="K45" s="26" t="inlineStr">
        <is>
          <t>🔴 NoMover (&gt;6M Nac)</t>
        </is>
      </c>
      <c r="L45" s="52" t="n">
        <v>1.472711782</v>
      </c>
      <c r="M45" s="53" t="n">
        <v>147.27</v>
      </c>
      <c r="N45" s="58" t="n">
        <v>324</v>
      </c>
      <c r="O45" s="20" t="inlineStr">
        <is>
          <t>Plan Choque Comercial Nac / Oferta</t>
        </is>
      </c>
    </row>
    <row r="46" ht="20" customHeight="1">
      <c r="A46" s="54" t="inlineStr">
        <is>
          <t>AGFEL0005</t>
        </is>
      </c>
      <c r="B46" s="29" t="inlineStr">
        <is>
          <t>AGROXILATO-FE-L, 5 L</t>
        </is>
      </c>
      <c r="C46" s="29" t="inlineStr">
        <is>
          <t>Garrafas 5L</t>
        </is>
      </c>
      <c r="D46" s="34" t="n">
        <v>120</v>
      </c>
      <c r="E46" s="33" t="n">
        <v>24</v>
      </c>
      <c r="F46" s="33" t="n">
        <v>0</v>
      </c>
      <c r="G46" s="33" t="n">
        <v>45</v>
      </c>
      <c r="H46" s="34" t="n">
        <v>45</v>
      </c>
      <c r="I46" s="34" t="n">
        <v>75</v>
      </c>
      <c r="J46" s="33" t="n">
        <v>15</v>
      </c>
      <c r="K46" s="26" t="inlineStr">
        <is>
          <t>🔴 NoMover (&gt;6M Nac)</t>
        </is>
      </c>
      <c r="L46" s="55" t="n">
        <v>1.807611829</v>
      </c>
      <c r="M46" s="56" t="n">
        <v>135.57</v>
      </c>
      <c r="N46" s="57" t="n">
        <v>81.34</v>
      </c>
      <c r="O46" s="29" t="inlineStr">
        <is>
          <t>Plan Choque Comercial Nac / Oferta</t>
        </is>
      </c>
    </row>
    <row r="47" ht="20" customHeight="1">
      <c r="A47" s="51" t="inlineStr">
        <is>
          <t>FLOR0020</t>
        </is>
      </c>
      <c r="B47" s="20" t="inlineStr">
        <is>
          <t>FLORAMEC, 20 L</t>
        </is>
      </c>
      <c r="C47" s="20" t="inlineStr">
        <is>
          <t>Garrafas 20L</t>
        </is>
      </c>
      <c r="D47" s="25" t="n">
        <v>140</v>
      </c>
      <c r="E47" s="24" t="n">
        <v>7</v>
      </c>
      <c r="F47" s="24" t="n">
        <v>0</v>
      </c>
      <c r="G47" s="24" t="n">
        <v>0</v>
      </c>
      <c r="H47" s="25" t="n">
        <v>0</v>
      </c>
      <c r="I47" s="25" t="n">
        <v>140</v>
      </c>
      <c r="J47" s="24" t="n">
        <v>7</v>
      </c>
      <c r="K47" s="26" t="inlineStr">
        <is>
          <t>🔴 NoMover (&gt;6M Nac)</t>
        </is>
      </c>
      <c r="L47" s="52" t="n">
        <v>0.842963167</v>
      </c>
      <c r="M47" s="53" t="n">
        <v>118.01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CSIL0020</t>
        </is>
      </c>
      <c r="B48" s="29" t="inlineStr">
        <is>
          <t>FITOKONTROL-K, 20 L</t>
        </is>
      </c>
      <c r="C48" s="29" t="inlineStr">
        <is>
          <t>Garrafas 20L</t>
        </is>
      </c>
      <c r="D48" s="34" t="n">
        <v>80</v>
      </c>
      <c r="E48" s="33" t="n">
        <v>4</v>
      </c>
      <c r="F48" s="33" t="n">
        <v>0</v>
      </c>
      <c r="G48" s="33" t="n">
        <v>0</v>
      </c>
      <c r="H48" s="34" t="n">
        <v>0</v>
      </c>
      <c r="I48" s="34" t="n">
        <v>80</v>
      </c>
      <c r="J48" s="33" t="n">
        <v>4</v>
      </c>
      <c r="K48" s="26" t="inlineStr">
        <is>
          <t>🔴 NoMover (&gt;6M Nac)</t>
        </is>
      </c>
      <c r="L48" s="55" t="n">
        <v>1.378835911</v>
      </c>
      <c r="M48" s="56" t="n">
        <v>110.31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AMIMG0005</t>
        </is>
      </c>
      <c r="B49" s="20" t="inlineStr">
        <is>
          <t>AMINOSOIL-MG, 5L</t>
        </is>
      </c>
      <c r="C49" s="20" t="inlineStr">
        <is>
          <t>Garrafas 5L</t>
        </is>
      </c>
      <c r="D49" s="25" t="n">
        <v>160</v>
      </c>
      <c r="E49" s="24" t="n">
        <v>32</v>
      </c>
      <c r="F49" s="24" t="n">
        <v>0</v>
      </c>
      <c r="G49" s="24" t="n">
        <v>45</v>
      </c>
      <c r="H49" s="25" t="n">
        <v>45</v>
      </c>
      <c r="I49" s="25" t="n">
        <v>115</v>
      </c>
      <c r="J49" s="24" t="n">
        <v>23</v>
      </c>
      <c r="K49" s="26" t="inlineStr">
        <is>
          <t>🔴 NoMover (&gt;6M Nac)</t>
        </is>
      </c>
      <c r="L49" s="52" t="n">
        <v>0.898465215</v>
      </c>
      <c r="M49" s="53" t="n">
        <v>103.32</v>
      </c>
      <c r="N49" s="58" t="n">
        <v>40.43</v>
      </c>
      <c r="O49" s="20" t="inlineStr">
        <is>
          <t>Plan Choque Comercial Nac / Oferta</t>
        </is>
      </c>
    </row>
    <row r="50" ht="20" customHeight="1">
      <c r="A50" s="54" t="inlineStr">
        <is>
          <t>BC0020</t>
        </is>
      </c>
      <c r="B50" s="29" t="inlineStr">
        <is>
          <t>BITTER-CAL, 20 KG</t>
        </is>
      </c>
      <c r="C50" s="29" t="inlineStr">
        <is>
          <t>Bolsas 20 Kg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1.016006974</v>
      </c>
      <c r="M50" s="56" t="n">
        <v>101.6</v>
      </c>
      <c r="N50" s="57" t="n">
        <v>101.6</v>
      </c>
      <c r="O50" s="29" t="inlineStr">
        <is>
          <t>Plan Choque Comercial Nac / Oferta</t>
        </is>
      </c>
    </row>
    <row r="51" ht="20" customHeight="1">
      <c r="A51" s="51" t="inlineStr">
        <is>
          <t>AGN0020</t>
        </is>
      </c>
      <c r="B51" s="20" t="inlineStr">
        <is>
          <t>AGROXILATO N, 20 L</t>
        </is>
      </c>
      <c r="C51" s="20" t="inlineStr">
        <is>
          <t>Garrafas 20L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0.935092885</v>
      </c>
      <c r="M51" s="53" t="n">
        <v>93.51000000000001</v>
      </c>
      <c r="N51" s="58" t="n">
        <v>93.51000000000001</v>
      </c>
      <c r="O51" s="20" t="inlineStr">
        <is>
          <t>Plan Choque Comercial Nac / Oferta</t>
        </is>
      </c>
    </row>
    <row r="52" ht="20" customHeight="1">
      <c r="A52" s="54" t="inlineStr">
        <is>
          <t>CZNMNES0005</t>
        </is>
      </c>
      <c r="B52" s="29" t="inlineStr">
        <is>
          <t>CODIFOL ZN-MN, 5 KG</t>
        </is>
      </c>
      <c r="C52" s="29" t="inlineStr">
        <is>
          <t>Bolsas 5 Kg</t>
        </is>
      </c>
      <c r="D52" s="34" t="n">
        <v>50</v>
      </c>
      <c r="E52" s="33" t="n">
        <v>10</v>
      </c>
      <c r="F52" s="33" t="n">
        <v>0</v>
      </c>
      <c r="G52" s="33" t="n">
        <v>0</v>
      </c>
      <c r="H52" s="34" t="n">
        <v>0</v>
      </c>
      <c r="I52" s="34" t="n">
        <v>50</v>
      </c>
      <c r="J52" s="33" t="n">
        <v>10</v>
      </c>
      <c r="K52" s="26" t="inlineStr">
        <is>
          <t>🔴 NoMover (&gt;6M Nac)</t>
        </is>
      </c>
      <c r="L52" s="55" t="n">
        <v>1.798703932</v>
      </c>
      <c r="M52" s="56" t="n">
        <v>89.94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1.310016924</v>
      </c>
      <c r="M53" s="53" t="n">
        <v>87.77</v>
      </c>
      <c r="N53" s="58" t="n">
        <v>100.87</v>
      </c>
      <c r="O53" s="20" t="inlineStr">
        <is>
          <t>Plan Choque Comercial Nac / Oferta</t>
        </is>
      </c>
    </row>
    <row r="54" ht="20" customHeight="1">
      <c r="A54" s="54" t="inlineStr">
        <is>
          <t>BROTA0001</t>
        </is>
      </c>
      <c r="B54" s="29" t="inlineStr">
        <is>
          <t>BROTAMEC, 1 L</t>
        </is>
      </c>
      <c r="C54" s="29" t="inlineStr">
        <is>
          <t>Botellas 1L</t>
        </is>
      </c>
      <c r="D54" s="34" t="n">
        <v>48</v>
      </c>
      <c r="E54" s="33" t="n">
        <v>48</v>
      </c>
      <c r="F54" s="33" t="n">
        <v>0</v>
      </c>
      <c r="G54" s="33" t="n">
        <v>0</v>
      </c>
      <c r="H54" s="34" t="n">
        <v>0</v>
      </c>
      <c r="I54" s="34" t="n">
        <v>48</v>
      </c>
      <c r="J54" s="33" t="n">
        <v>48</v>
      </c>
      <c r="K54" s="26" t="inlineStr">
        <is>
          <t>🔴 NoMover (&gt;6M Nac)</t>
        </is>
      </c>
      <c r="L54" s="55" t="n">
        <v>1.697671971</v>
      </c>
      <c r="M54" s="56" t="n">
        <v>81.48999999999999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CODIR0001</t>
        </is>
      </c>
      <c r="B55" s="20" t="inlineStr">
        <is>
          <t>CODIRESIST, 1 L</t>
        </is>
      </c>
      <c r="C55" s="20" t="inlineStr">
        <is>
          <t>Botellas 1L</t>
        </is>
      </c>
      <c r="D55" s="25" t="n">
        <v>23</v>
      </c>
      <c r="E55" s="24" t="n">
        <v>23</v>
      </c>
      <c r="F55" s="24" t="n">
        <v>0</v>
      </c>
      <c r="G55" s="24" t="n">
        <v>0</v>
      </c>
      <c r="H55" s="25" t="n">
        <v>0</v>
      </c>
      <c r="I55" s="25" t="n">
        <v>23</v>
      </c>
      <c r="J55" s="24" t="n">
        <v>23</v>
      </c>
      <c r="K55" s="26" t="inlineStr">
        <is>
          <t>🔴 NoMover (&gt;6M Nac)</t>
        </is>
      </c>
      <c r="L55" s="52" t="n">
        <v>2.595357906</v>
      </c>
      <c r="M55" s="53" t="n">
        <v>59.69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BAYCAL0020</t>
        </is>
      </c>
      <c r="B56" s="29" t="inlineStr">
        <is>
          <t>BAYFOLAN CALCIO</t>
        </is>
      </c>
      <c r="C56" s="29" t="inlineStr">
        <is>
          <t>Garrafas 20L</t>
        </is>
      </c>
      <c r="D56" s="34" t="n">
        <v>100</v>
      </c>
      <c r="E56" s="33" t="n">
        <v>5</v>
      </c>
      <c r="F56" s="33" t="n">
        <v>0</v>
      </c>
      <c r="G56" s="33" t="n">
        <v>0</v>
      </c>
      <c r="H56" s="34" t="n">
        <v>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0.507299272</v>
      </c>
      <c r="M56" s="56" t="n">
        <v>50.73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CSIL0001</t>
        </is>
      </c>
      <c r="B57" s="20" t="inlineStr">
        <is>
          <t>FITOKONTROL-K, 1 L</t>
        </is>
      </c>
      <c r="C57" s="20" t="inlineStr">
        <is>
          <t>Botellas 1L</t>
        </is>
      </c>
      <c r="D57" s="25" t="n">
        <v>24</v>
      </c>
      <c r="E57" s="24" t="n">
        <v>24</v>
      </c>
      <c r="F57" s="24" t="n">
        <v>0</v>
      </c>
      <c r="G57" s="24" t="n">
        <v>0</v>
      </c>
      <c r="H57" s="25" t="n">
        <v>0</v>
      </c>
      <c r="I57" s="25" t="n">
        <v>24</v>
      </c>
      <c r="J57" s="24" t="n">
        <v>24</v>
      </c>
      <c r="K57" s="26" t="inlineStr">
        <is>
          <t>🔴 NoMover (&gt;6M Nac)</t>
        </is>
      </c>
      <c r="L57" s="52" t="n">
        <v>2.075429556</v>
      </c>
      <c r="M57" s="53" t="n">
        <v>49.81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AQUOMAR0005</t>
        </is>
      </c>
      <c r="B58" s="29" t="inlineStr">
        <is>
          <t>AQUOM ARABIA, 5 L</t>
        </is>
      </c>
      <c r="C58" s="29" t="inlineStr">
        <is>
          <t>Garrafas 5L</t>
        </is>
      </c>
      <c r="D58" s="34" t="n">
        <v>15</v>
      </c>
      <c r="E58" s="33" t="n">
        <v>3</v>
      </c>
      <c r="F58" s="33" t="n">
        <v>0</v>
      </c>
      <c r="G58" s="33" t="n">
        <v>0</v>
      </c>
      <c r="H58" s="34" t="n">
        <v>0</v>
      </c>
      <c r="I58" s="34" t="n">
        <v>15</v>
      </c>
      <c r="J58" s="33" t="n">
        <v>3</v>
      </c>
      <c r="K58" s="26" t="inlineStr">
        <is>
          <t>🔴 NoMover (&gt;6M Nac)</t>
        </is>
      </c>
      <c r="L58" s="55" t="n">
        <v>3.078849199</v>
      </c>
      <c r="M58" s="56" t="n">
        <v>46.18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AO0020</t>
        </is>
      </c>
      <c r="B59" s="20" t="inlineStr">
        <is>
          <t>ALCAPLANT NEW</t>
        </is>
      </c>
      <c r="C59" s="20" t="inlineStr">
        <is>
          <t>Bolsas 20 Kg</t>
        </is>
      </c>
      <c r="D59" s="25" t="n">
        <v>80</v>
      </c>
      <c r="E59" s="24" t="n">
        <v>4</v>
      </c>
      <c r="F59" s="24" t="n">
        <v>0</v>
      </c>
      <c r="G59" s="24" t="n">
        <v>0</v>
      </c>
      <c r="H59" s="25" t="n">
        <v>0</v>
      </c>
      <c r="I59" s="25" t="n">
        <v>80</v>
      </c>
      <c r="J59" s="24" t="n">
        <v>4</v>
      </c>
      <c r="K59" s="26" t="inlineStr">
        <is>
          <t>🔴 NoMover (&gt;6M Nac)</t>
        </is>
      </c>
      <c r="L59" s="52" t="n">
        <v>0.366404645</v>
      </c>
      <c r="M59" s="53" t="n">
        <v>29.31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N0020</t>
        </is>
      </c>
      <c r="B67" s="20" t="inlineStr">
        <is>
          <t>NUTRICALE, 20 L</t>
        </is>
      </c>
      <c r="C67" s="20" t="inlineStr">
        <is>
          <t>Garrafas 20L</t>
        </is>
      </c>
      <c r="D67" s="25" t="n">
        <v>3080</v>
      </c>
      <c r="E67" s="24" t="n">
        <v>154</v>
      </c>
      <c r="F67" s="24" t="n">
        <v>2466.5</v>
      </c>
      <c r="G67" s="24" t="n">
        <v>1440</v>
      </c>
      <c r="H67" s="25" t="n">
        <v>613.5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0.8198929780000001</v>
      </c>
      <c r="M67" s="52" t="n">
        <v>0</v>
      </c>
      <c r="N67" s="58" t="n">
        <v>503</v>
      </c>
      <c r="O67" s="20" t="inlineStr">
        <is>
          <t>Consumo previsto en Q1-27 Nacional</t>
        </is>
      </c>
    </row>
    <row r="68" ht="20" customHeight="1">
      <c r="A68" s="54" t="inlineStr">
        <is>
          <t>A-50(2)0020</t>
        </is>
      </c>
      <c r="B68" s="29" t="inlineStr">
        <is>
          <t>CODIORGAN A-50, 20 KG</t>
        </is>
      </c>
      <c r="C68" s="29" t="inlineStr">
        <is>
          <t>Bolsas 20 Kg</t>
        </is>
      </c>
      <c r="D68" s="34" t="n">
        <v>600</v>
      </c>
      <c r="E68" s="33" t="n">
        <v>30</v>
      </c>
      <c r="F68" s="33" t="n">
        <v>1.6</v>
      </c>
      <c r="G68" s="33" t="n">
        <v>1980</v>
      </c>
      <c r="H68" s="34" t="n">
        <v>598.4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1.70253852</v>
      </c>
      <c r="M68" s="55" t="n">
        <v>0</v>
      </c>
      <c r="N68" s="57" t="n">
        <v>1018.8</v>
      </c>
      <c r="O68" s="29" t="inlineStr">
        <is>
          <t>Consumo previsto en Q1-27 Nacional</t>
        </is>
      </c>
    </row>
    <row r="69" ht="20" customHeight="1">
      <c r="A69" s="51" t="inlineStr">
        <is>
          <t>SPCE2B0020</t>
        </is>
      </c>
      <c r="B69" s="20" t="inlineStr">
        <is>
          <t>SPRINTENE CON BORO</t>
        </is>
      </c>
      <c r="C69" s="20" t="inlineStr">
        <is>
          <t>Garrafas 20L</t>
        </is>
      </c>
      <c r="D69" s="25" t="n">
        <v>1700</v>
      </c>
      <c r="E69" s="24" t="n">
        <v>85</v>
      </c>
      <c r="F69" s="24" t="n">
        <v>1124.91</v>
      </c>
      <c r="G69" s="24" t="n">
        <v>2360</v>
      </c>
      <c r="H69" s="25" t="n">
        <v>575.09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3.323017189</v>
      </c>
      <c r="M69" s="52" t="n">
        <v>0</v>
      </c>
      <c r="N69" s="58" t="n">
        <v>1911.03</v>
      </c>
      <c r="O69" s="20" t="inlineStr">
        <is>
          <t>Consumo previsto en Q1-27 Nacional</t>
        </is>
      </c>
    </row>
    <row r="70" ht="20" customHeight="1">
      <c r="A70" s="54" t="inlineStr">
        <is>
          <t>C-CUAE0020</t>
        </is>
      </c>
      <c r="B70" s="29" t="inlineStr">
        <is>
          <t>CUPRAMEC, 20 L</t>
        </is>
      </c>
      <c r="C70" s="29" t="inlineStr">
        <is>
          <t>Garrafas 20L</t>
        </is>
      </c>
      <c r="D70" s="34" t="n">
        <v>540</v>
      </c>
      <c r="E70" s="33" t="n">
        <v>27</v>
      </c>
      <c r="F70" s="33" t="n">
        <v>0</v>
      </c>
      <c r="G70" s="33" t="n">
        <v>980</v>
      </c>
      <c r="H70" s="34" t="n">
        <v>540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1.173409957</v>
      </c>
      <c r="M70" s="55" t="n">
        <v>0</v>
      </c>
      <c r="N70" s="57" t="n">
        <v>633.64</v>
      </c>
      <c r="O70" s="29" t="inlineStr">
        <is>
          <t>Consumo previsto en Q1-27 Nacional</t>
        </is>
      </c>
    </row>
    <row r="71" ht="20" customHeight="1">
      <c r="A71" s="51" t="inlineStr">
        <is>
          <t>C-CU0005</t>
        </is>
      </c>
      <c r="B71" s="20" t="inlineStr">
        <is>
          <t>CODICOBRE, 5 L</t>
        </is>
      </c>
      <c r="C71" s="20" t="inlineStr">
        <is>
          <t>Garrafas 5L</t>
        </is>
      </c>
      <c r="D71" s="25" t="n">
        <v>1600</v>
      </c>
      <c r="E71" s="24" t="n">
        <v>320</v>
      </c>
      <c r="F71" s="24" t="n">
        <v>1103.2</v>
      </c>
      <c r="G71" s="24" t="n">
        <v>2130</v>
      </c>
      <c r="H71" s="25" t="n">
        <v>496.8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1.736254358</v>
      </c>
      <c r="M71" s="52" t="n">
        <v>0</v>
      </c>
      <c r="N71" s="58" t="n">
        <v>862.5700000000001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1080</v>
      </c>
      <c r="E72" s="33" t="n">
        <v>216</v>
      </c>
      <c r="F72" s="33" t="n">
        <v>609.72</v>
      </c>
      <c r="G72" s="33" t="n">
        <v>1420</v>
      </c>
      <c r="H72" s="34" t="n">
        <v>470.28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535.88</v>
      </c>
      <c r="O72" s="29" t="inlineStr">
        <is>
          <t>Consumo previsto en Q1-27 Nacional</t>
        </is>
      </c>
    </row>
    <row r="73" ht="20" customHeight="1">
      <c r="A73" s="51" t="inlineStr">
        <is>
          <t>RUN0005</t>
        </is>
      </c>
      <c r="B73" s="20" t="inlineStr">
        <is>
          <t>RUN STRESS, 5 L</t>
        </is>
      </c>
      <c r="C73" s="20" t="inlineStr">
        <is>
          <t>Garrafas 5L</t>
        </is>
      </c>
      <c r="D73" s="25" t="n">
        <v>460</v>
      </c>
      <c r="E73" s="24" t="n">
        <v>92</v>
      </c>
      <c r="F73" s="24" t="n">
        <v>0</v>
      </c>
      <c r="G73" s="24" t="n">
        <v>1450</v>
      </c>
      <c r="H73" s="25" t="n">
        <v>460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4.062569483</v>
      </c>
      <c r="M73" s="52" t="n">
        <v>0</v>
      </c>
      <c r="N73" s="58" t="n">
        <v>1868.78</v>
      </c>
      <c r="O73" s="20" t="inlineStr">
        <is>
          <t>Consumo previsto en Q1-27 Nacional</t>
        </is>
      </c>
    </row>
    <row r="74" ht="20" customHeight="1">
      <c r="A74" s="54" t="inlineStr">
        <is>
          <t>C-L0005</t>
        </is>
      </c>
      <c r="B74" s="29" t="inlineStr">
        <is>
          <t>CODIBOR-L, 5 L</t>
        </is>
      </c>
      <c r="C74" s="29" t="inlineStr">
        <is>
          <t>Garrafas 5L</t>
        </is>
      </c>
      <c r="D74" s="34" t="n">
        <v>840</v>
      </c>
      <c r="E74" s="33" t="n">
        <v>168</v>
      </c>
      <c r="F74" s="33" t="n">
        <v>385.39</v>
      </c>
      <c r="G74" s="33" t="n">
        <v>5555</v>
      </c>
      <c r="H74" s="34" t="n">
        <v>454.61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1.930734655</v>
      </c>
      <c r="M74" s="55" t="n">
        <v>0</v>
      </c>
      <c r="N74" s="57" t="n">
        <v>877.73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CBROT0001</t>
        </is>
      </c>
      <c r="B87" s="20" t="inlineStr">
        <is>
          <t>CODIBROT, 1 L</t>
        </is>
      </c>
      <c r="C87" s="20" t="inlineStr">
        <is>
          <t>Botellas 1L</t>
        </is>
      </c>
      <c r="D87" s="25" t="n">
        <v>24</v>
      </c>
      <c r="E87" s="24" t="n">
        <v>24</v>
      </c>
      <c r="F87" s="24" t="n">
        <v>0</v>
      </c>
      <c r="G87" s="24" t="n">
        <v>26</v>
      </c>
      <c r="H87" s="25" t="n">
        <v>24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2.102549663</v>
      </c>
      <c r="M87" s="52" t="n">
        <v>0</v>
      </c>
      <c r="N87" s="58" t="n">
        <v>50.46</v>
      </c>
      <c r="O87" s="20" t="inlineStr">
        <is>
          <t>Consumo previsto en Q1-27 Nacional</t>
        </is>
      </c>
    </row>
    <row r="88" ht="20" customHeight="1">
      <c r="A88" s="54" t="inlineStr">
        <is>
          <t>B0005</t>
        </is>
      </c>
      <c r="B88" s="29" t="inlineStr">
        <is>
          <t>BOROCAL, 5 L</t>
        </is>
      </c>
      <c r="C88" s="29" t="inlineStr">
        <is>
          <t>Garrafas 5L</t>
        </is>
      </c>
      <c r="D88" s="34" t="n">
        <v>475</v>
      </c>
      <c r="E88" s="33" t="n">
        <v>95</v>
      </c>
      <c r="F88" s="33" t="n">
        <v>459.29</v>
      </c>
      <c r="G88" s="33" t="n">
        <v>435</v>
      </c>
      <c r="H88" s="34" t="n">
        <v>15.71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0.992750935</v>
      </c>
      <c r="M88" s="55" t="n">
        <v>0</v>
      </c>
      <c r="N88" s="57" t="n">
        <v>15.6</v>
      </c>
      <c r="O88" s="29" t="inlineStr">
        <is>
          <t>Consumo previsto en Q1-27 Nacional</t>
        </is>
      </c>
    </row>
    <row r="89" ht="20" customHeight="1">
      <c r="A89" s="51" t="inlineStr">
        <is>
          <t>P-5X0005</t>
        </is>
      </c>
      <c r="B89" s="20" t="inlineStr">
        <is>
          <t>P.M.S. 5x, 5 L</t>
        </is>
      </c>
      <c r="C89" s="20" t="inlineStr">
        <is>
          <t>Garrafas 5L</t>
        </is>
      </c>
      <c r="D89" s="25" t="n">
        <v>100</v>
      </c>
      <c r="E89" s="24" t="n">
        <v>20</v>
      </c>
      <c r="F89" s="24" t="n">
        <v>86.79000000000001</v>
      </c>
      <c r="G89" s="24" t="n">
        <v>700</v>
      </c>
      <c r="H89" s="25" t="n">
        <v>13.21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0.9438241550000001</v>
      </c>
      <c r="M89" s="52" t="n">
        <v>0</v>
      </c>
      <c r="N89" s="58" t="n">
        <v>12.47</v>
      </c>
      <c r="O89" s="20" t="inlineStr">
        <is>
          <t>Consumo previsto en Q1-27 Nacional</t>
        </is>
      </c>
    </row>
    <row r="90" ht="20" customHeight="1">
      <c r="A90" s="54" t="inlineStr">
        <is>
          <t>C-M-P0001</t>
        </is>
      </c>
      <c r="B90" s="29" t="inlineStr">
        <is>
          <t>CODIFOL Mo-PLUS, 1 L</t>
        </is>
      </c>
      <c r="C90" s="29" t="inlineStr">
        <is>
          <t>Botellas 1L</t>
        </is>
      </c>
      <c r="D90" s="34" t="n">
        <v>12</v>
      </c>
      <c r="E90" s="33" t="n">
        <v>12</v>
      </c>
      <c r="F90" s="33" t="n">
        <v>0</v>
      </c>
      <c r="G90" s="33" t="n">
        <v>101</v>
      </c>
      <c r="H90" s="34" t="n">
        <v>12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9.755021372</v>
      </c>
      <c r="M90" s="55" t="n">
        <v>0</v>
      </c>
      <c r="N90" s="57" t="n">
        <v>117.06</v>
      </c>
      <c r="O90" s="29" t="inlineStr">
        <is>
          <t>Consumo previsto en Q1-27 Nacional</t>
        </is>
      </c>
    </row>
    <row r="91" ht="20" customHeight="1">
      <c r="A91" s="51" t="inlineStr">
        <is>
          <t>AGMNP0005</t>
        </is>
      </c>
      <c r="B91" s="20" t="inlineStr">
        <is>
          <t>AGROXILATO MN PLUS, 5 KG</t>
        </is>
      </c>
      <c r="C91" s="20" t="inlineStr">
        <is>
          <t>Bolsas 5 Kg</t>
        </is>
      </c>
      <c r="D91" s="25" t="n">
        <v>5</v>
      </c>
      <c r="E91" s="24" t="n">
        <v>1</v>
      </c>
      <c r="F91" s="24" t="n">
        <v>0</v>
      </c>
      <c r="G91" s="24" t="n">
        <v>240</v>
      </c>
      <c r="H91" s="25" t="n">
        <v>5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1.88519534</v>
      </c>
      <c r="M91" s="52" t="n">
        <v>0</v>
      </c>
      <c r="N91" s="58" t="n">
        <v>9.43</v>
      </c>
      <c r="O91" s="20" t="inlineStr">
        <is>
          <t>Consumo previsto en Q1-27 Nacional</t>
        </is>
      </c>
    </row>
    <row r="92" ht="20" customHeight="1">
      <c r="A92" s="54" t="inlineStr">
        <is>
          <t>BIO0020</t>
        </is>
      </c>
      <c r="B92" s="29" t="inlineStr">
        <is>
          <t>BIORAD-20, 20 L</t>
        </is>
      </c>
      <c r="C92" s="29" t="inlineStr">
        <is>
          <t>Garrafas 20L</t>
        </is>
      </c>
      <c r="D92" s="34" t="n">
        <v>9800</v>
      </c>
      <c r="E92" s="33" t="n">
        <v>490</v>
      </c>
      <c r="F92" s="33" t="n">
        <v>12398.59</v>
      </c>
      <c r="G92" s="33" t="n">
        <v>9380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0.82548993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BROTA0020</t>
        </is>
      </c>
      <c r="B93" s="20" t="inlineStr">
        <is>
          <t>BROTAMEC, 20 L</t>
        </is>
      </c>
      <c r="C93" s="20" t="inlineStr">
        <is>
          <t>Garrafas 20L</t>
        </is>
      </c>
      <c r="D93" s="25" t="n">
        <v>820</v>
      </c>
      <c r="E93" s="24" t="n">
        <v>41</v>
      </c>
      <c r="F93" s="24" t="n">
        <v>1958.1</v>
      </c>
      <c r="G93" s="24" t="n">
        <v>3180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1.125647362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PIV0020</t>
        </is>
      </c>
      <c r="B94" s="29" t="inlineStr">
        <is>
          <t>PGR IV, 20 L</t>
        </is>
      </c>
      <c r="C94" s="29" t="inlineStr">
        <is>
          <t>Garrafas 20L</t>
        </is>
      </c>
      <c r="D94" s="34" t="n">
        <v>1820</v>
      </c>
      <c r="E94" s="33" t="n">
        <v>91</v>
      </c>
      <c r="F94" s="33" t="n">
        <v>9520.01</v>
      </c>
      <c r="G94" s="33" t="n">
        <v>980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0.715896795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PT0020</t>
        </is>
      </c>
      <c r="B95" s="20" t="inlineStr">
        <is>
          <t>AGROPOTASION, 20 L</t>
        </is>
      </c>
      <c r="C95" s="20" t="inlineStr">
        <is>
          <t>Garrafas 20L</t>
        </is>
      </c>
      <c r="D95" s="25" t="n">
        <v>13880</v>
      </c>
      <c r="E95" s="24" t="n">
        <v>694</v>
      </c>
      <c r="F95" s="24" t="n">
        <v>15059.39</v>
      </c>
      <c r="G95" s="24" t="n">
        <v>20520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1.035782567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AGXK0020</t>
        </is>
      </c>
      <c r="B96" s="29" t="inlineStr">
        <is>
          <t>AGROXILATO-K, 20 L</t>
        </is>
      </c>
      <c r="C96" s="29" t="inlineStr">
        <is>
          <t>Garrafas 20L</t>
        </is>
      </c>
      <c r="D96" s="34" t="n">
        <v>17500</v>
      </c>
      <c r="E96" s="33" t="n">
        <v>875</v>
      </c>
      <c r="F96" s="33" t="n">
        <v>48961.86</v>
      </c>
      <c r="G96" s="33" t="n">
        <v>45800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0.892292282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AMIMG0020</t>
        </is>
      </c>
      <c r="B97" s="20" t="inlineStr">
        <is>
          <t>AMINOSOIL MG, 20 L</t>
        </is>
      </c>
      <c r="C97" s="20" t="inlineStr">
        <is>
          <t>Garrafas 20L</t>
        </is>
      </c>
      <c r="D97" s="25" t="n">
        <v>400</v>
      </c>
      <c r="E97" s="24" t="n">
        <v>20</v>
      </c>
      <c r="F97" s="24" t="n">
        <v>931.17</v>
      </c>
      <c r="G97" s="24" t="n">
        <v>220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0.72122703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AN0020</t>
        </is>
      </c>
      <c r="B98" s="29" t="inlineStr">
        <is>
          <t>ALCAPLANT NEW, 20 KG</t>
        </is>
      </c>
      <c r="C98" s="29" t="inlineStr">
        <is>
          <t>Bolsas 20 Kg</t>
        </is>
      </c>
      <c r="D98" s="34" t="n">
        <v>24800</v>
      </c>
      <c r="E98" s="33" t="n">
        <v>1240</v>
      </c>
      <c r="F98" s="33" t="n">
        <v>29318.77</v>
      </c>
      <c r="G98" s="33" t="n">
        <v>51020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0.392857608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C-CU0020</t>
        </is>
      </c>
      <c r="B99" s="20" t="inlineStr">
        <is>
          <t>CODICOBRE, 20 L</t>
        </is>
      </c>
      <c r="C99" s="20" t="inlineStr">
        <is>
          <t>Garrafas 20L</t>
        </is>
      </c>
      <c r="D99" s="25" t="n">
        <v>2940</v>
      </c>
      <c r="E99" s="24" t="n">
        <v>147</v>
      </c>
      <c r="F99" s="24" t="n">
        <v>3623.97</v>
      </c>
      <c r="G99" s="24" t="n">
        <v>3380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1.421740492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S0020</t>
        </is>
      </c>
      <c r="B100" s="29" t="inlineStr">
        <is>
          <t>SALWAX STAR, 20 L</t>
        </is>
      </c>
      <c r="C100" s="29" t="inlineStr">
        <is>
          <t>Garrafas 20L</t>
        </is>
      </c>
      <c r="D100" s="34" t="n">
        <v>4440</v>
      </c>
      <c r="E100" s="33" t="n">
        <v>222</v>
      </c>
      <c r="F100" s="33" t="n">
        <v>6159.27</v>
      </c>
      <c r="G100" s="33" t="n">
        <v>19600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0.6060273430000001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S1000</t>
        </is>
      </c>
      <c r="B101" s="20" t="inlineStr">
        <is>
          <t>SAL-WAX STAR, 1000 L</t>
        </is>
      </c>
      <c r="C101" s="20" t="inlineStr">
        <is>
          <t>Depósito 1000 L</t>
        </is>
      </c>
      <c r="D101" s="25" t="n">
        <v>5000</v>
      </c>
      <c r="E101" s="24" t="n">
        <v>5</v>
      </c>
      <c r="F101" s="24" t="n">
        <v>37660.28</v>
      </c>
      <c r="G101" s="24" t="n">
        <v>61000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0.345951136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A-50(2)0005</t>
        </is>
      </c>
      <c r="B102" s="29" t="inlineStr">
        <is>
          <t>CODIORGAN-A50, 5 KG</t>
        </is>
      </c>
      <c r="C102" s="29" t="inlineStr">
        <is>
          <t>Bolsas 5 Kg</t>
        </is>
      </c>
      <c r="D102" s="34" t="n">
        <v>1375</v>
      </c>
      <c r="E102" s="33" t="n">
        <v>275</v>
      </c>
      <c r="F102" s="33" t="n">
        <v>1872.8</v>
      </c>
      <c r="G102" s="33" t="n">
        <v>2955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1.645731742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AGXK0005</t>
        </is>
      </c>
      <c r="B103" s="20" t="inlineStr">
        <is>
          <t>AGROXILATO-K, 5 L</t>
        </is>
      </c>
      <c r="C103" s="20" t="inlineStr">
        <is>
          <t>Garrafas 5L</t>
        </is>
      </c>
      <c r="D103" s="25" t="n">
        <v>155</v>
      </c>
      <c r="E103" s="24" t="n">
        <v>31</v>
      </c>
      <c r="F103" s="24" t="n">
        <v>2272.01</v>
      </c>
      <c r="G103" s="24" t="n">
        <v>830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1.066778429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C-CUAE0005</t>
        </is>
      </c>
      <c r="B104" s="29" t="inlineStr">
        <is>
          <t>CUPRAMEC, 5 L</t>
        </is>
      </c>
      <c r="C104" s="29" t="inlineStr">
        <is>
          <t>Garrafas 5L</t>
        </is>
      </c>
      <c r="D104" s="34" t="n">
        <v>1220</v>
      </c>
      <c r="E104" s="33" t="n">
        <v>244</v>
      </c>
      <c r="F104" s="33" t="n">
        <v>1464.05</v>
      </c>
      <c r="G104" s="33" t="n">
        <v>3295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1.982082574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FROST-P0020</t>
        </is>
      </c>
      <c r="B105" s="20" t="inlineStr">
        <is>
          <t>CODIFROST PLUS, 20 L</t>
        </is>
      </c>
      <c r="C105" s="20" t="inlineStr">
        <is>
          <t>Garrafas 20L</t>
        </is>
      </c>
      <c r="D105" s="25" t="n">
        <v>280</v>
      </c>
      <c r="E105" s="24" t="n">
        <v>14</v>
      </c>
      <c r="F105" s="24" t="n">
        <v>1829.61</v>
      </c>
      <c r="G105" s="24" t="n">
        <v>460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2.043268413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HST0020</t>
        </is>
      </c>
      <c r="B106" s="29" t="inlineStr">
        <is>
          <t>HIDROSTRESS-40, 20 L</t>
        </is>
      </c>
      <c r="C106" s="29" t="inlineStr">
        <is>
          <t>Garrafas 20L</t>
        </is>
      </c>
      <c r="D106" s="34" t="n">
        <v>2000</v>
      </c>
      <c r="E106" s="33" t="n">
        <v>100</v>
      </c>
      <c r="F106" s="33" t="n">
        <v>2466.5</v>
      </c>
      <c r="G106" s="33" t="n">
        <v>2880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2.704237109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BROTA0005</t>
        </is>
      </c>
      <c r="B107" s="20" t="inlineStr">
        <is>
          <t>BROTAMEC, 5 L</t>
        </is>
      </c>
      <c r="C107" s="20" t="inlineStr">
        <is>
          <t>Garrafas 5L</t>
        </is>
      </c>
      <c r="D107" s="25" t="n">
        <v>1660</v>
      </c>
      <c r="E107" s="24" t="n">
        <v>332</v>
      </c>
      <c r="F107" s="24" t="n">
        <v>2132.17</v>
      </c>
      <c r="G107" s="24" t="n">
        <v>4000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1.266781043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TRI0005</t>
        </is>
      </c>
      <c r="B108" s="29" t="inlineStr">
        <is>
          <t>TRIFENO-94, 5L</t>
        </is>
      </c>
      <c r="C108" s="29" t="inlineStr">
        <is>
          <t>Garrafas 5L</t>
        </is>
      </c>
      <c r="D108" s="34" t="n">
        <v>55</v>
      </c>
      <c r="E108" s="33" t="n">
        <v>11</v>
      </c>
      <c r="F108" s="33" t="n">
        <v>1222.97</v>
      </c>
      <c r="G108" s="33" t="n">
        <v>2425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1.879828899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FTK0005</t>
        </is>
      </c>
      <c r="B109" s="20" t="inlineStr">
        <is>
          <t>FITOKONTROL CA FLOW, 5 KG</t>
        </is>
      </c>
      <c r="C109" s="20" t="inlineStr">
        <is>
          <t>Bolsas 5 Kg</t>
        </is>
      </c>
      <c r="D109" s="25" t="n">
        <v>490</v>
      </c>
      <c r="E109" s="24" t="n">
        <v>98</v>
      </c>
      <c r="F109" s="24" t="n">
        <v>1934.01</v>
      </c>
      <c r="G109" s="24" t="n">
        <v>3765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1.029142979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AVAN0005</t>
        </is>
      </c>
      <c r="B110" s="29" t="inlineStr">
        <is>
          <t>FLORAMEC AVANCE, 5 L</t>
        </is>
      </c>
      <c r="C110" s="29" t="inlineStr">
        <is>
          <t>Garrafas 5L</t>
        </is>
      </c>
      <c r="D110" s="34" t="n">
        <v>2640</v>
      </c>
      <c r="E110" s="33" t="n">
        <v>528</v>
      </c>
      <c r="F110" s="33" t="n">
        <v>3654.55</v>
      </c>
      <c r="G110" s="33" t="n">
        <v>5040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2.233200185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BIO0005</t>
        </is>
      </c>
      <c r="B111" s="20" t="inlineStr">
        <is>
          <t>BIORAD-20, 5L</t>
        </is>
      </c>
      <c r="C111" s="20" t="inlineStr">
        <is>
          <t>Garrafas 5L</t>
        </is>
      </c>
      <c r="D111" s="25" t="n">
        <v>1840</v>
      </c>
      <c r="E111" s="24" t="n">
        <v>368</v>
      </c>
      <c r="F111" s="24" t="n">
        <v>2398.29</v>
      </c>
      <c r="G111" s="24" t="n">
        <v>945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0.732839327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HST0005</t>
        </is>
      </c>
      <c r="B112" s="29" t="inlineStr">
        <is>
          <t>HIDROSTRESS-40, 5 L</t>
        </is>
      </c>
      <c r="C112" s="29" t="inlineStr">
        <is>
          <t>Garrafas 5L</t>
        </is>
      </c>
      <c r="D112" s="34" t="n">
        <v>160</v>
      </c>
      <c r="E112" s="33" t="n">
        <v>32</v>
      </c>
      <c r="F112" s="33" t="n">
        <v>198.59</v>
      </c>
      <c r="G112" s="33" t="n">
        <v>675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2.864954856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PHD0005</t>
        </is>
      </c>
      <c r="B113" s="20" t="inlineStr">
        <is>
          <t>PH-DOWNER, 5 L</t>
        </is>
      </c>
      <c r="C113" s="20" t="inlineStr">
        <is>
          <t>Garrafas 5L</t>
        </is>
      </c>
      <c r="D113" s="25" t="n">
        <v>80</v>
      </c>
      <c r="E113" s="24" t="n">
        <v>16</v>
      </c>
      <c r="F113" s="24" t="n">
        <v>104.81</v>
      </c>
      <c r="G113" s="24" t="n">
        <v>630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1.541953282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B0001</t>
        </is>
      </c>
      <c r="B114" s="29" t="inlineStr">
        <is>
          <t>BOROCAL,1 L</t>
        </is>
      </c>
      <c r="C114" s="29" t="inlineStr">
        <is>
          <t>Botellas 1L</t>
        </is>
      </c>
      <c r="D114" s="34" t="n">
        <v>48</v>
      </c>
      <c r="E114" s="33" t="n">
        <v>48</v>
      </c>
      <c r="F114" s="33" t="n">
        <v>54.24</v>
      </c>
      <c r="G114" s="33" t="n">
        <v>202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1.497879497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SS0020</t>
        </is>
      </c>
      <c r="B115" s="20" t="inlineStr">
        <is>
          <t>SAL-WAX-Ca sólido, 20 KG</t>
        </is>
      </c>
      <c r="C115" s="20" t="inlineStr">
        <is>
          <t>Bolsas 20 Kg</t>
        </is>
      </c>
      <c r="D115" s="25" t="n">
        <v>6240</v>
      </c>
      <c r="E115" s="24" t="n">
        <v>312</v>
      </c>
      <c r="F115" s="24" t="n">
        <v>7707.82</v>
      </c>
      <c r="G115" s="24" t="n">
        <v>11600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1.105963041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BIO1000</t>
        </is>
      </c>
      <c r="B116" s="29" t="inlineStr">
        <is>
          <t>BIORAD-20, 1000 L</t>
        </is>
      </c>
      <c r="C116" s="29" t="inlineStr">
        <is>
          <t>Depósito 1000 L</t>
        </is>
      </c>
      <c r="D116" s="34" t="n">
        <v>3000</v>
      </c>
      <c r="E116" s="33" t="n">
        <v>3</v>
      </c>
      <c r="F116" s="33" t="n">
        <v>8925.23</v>
      </c>
      <c r="G116" s="33" t="n">
        <v>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0.6878357349999999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CPLUS0020</t>
        </is>
      </c>
      <c r="B117" s="20" t="inlineStr">
        <is>
          <t>CALCIPLUS, 20 L</t>
        </is>
      </c>
      <c r="C117" s="20" t="inlineStr">
        <is>
          <t>Garrafas 20L</t>
        </is>
      </c>
      <c r="D117" s="25" t="n">
        <v>9220</v>
      </c>
      <c r="E117" s="24" t="n">
        <v>461</v>
      </c>
      <c r="F117" s="24" t="n">
        <v>10650.68</v>
      </c>
      <c r="G117" s="24" t="n">
        <v>10500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0.804715192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AGZNP0005</t>
        </is>
      </c>
      <c r="B118" s="29" t="inlineStr">
        <is>
          <t>AGROXILATO ZN PLUS, 5 KG</t>
        </is>
      </c>
      <c r="C118" s="29" t="inlineStr">
        <is>
          <t>Bolsas 5 Kg</t>
        </is>
      </c>
      <c r="D118" s="34" t="n">
        <v>705</v>
      </c>
      <c r="E118" s="33" t="n">
        <v>141</v>
      </c>
      <c r="F118" s="33" t="n">
        <v>824.51</v>
      </c>
      <c r="G118" s="33" t="n">
        <v>7695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1.827109111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CALCIO0005</t>
        </is>
      </c>
      <c r="B119" s="20" t="inlineStr">
        <is>
          <t>CALCIAMEC, 5 KG</t>
        </is>
      </c>
      <c r="C119" s="20" t="inlineStr">
        <is>
          <t>Bolsas 5 Kg</t>
        </is>
      </c>
      <c r="D119" s="25" t="n">
        <v>1730</v>
      </c>
      <c r="E119" s="24" t="n">
        <v>346</v>
      </c>
      <c r="F119" s="24" t="n">
        <v>2266.87</v>
      </c>
      <c r="G119" s="24" t="n">
        <v>890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1.568672415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ANAE0005</t>
        </is>
      </c>
      <c r="B120" s="29" t="inlineStr">
        <is>
          <t>ALCAPLANT NEW AE, 5 KG</t>
        </is>
      </c>
      <c r="C120" s="29" t="inlineStr">
        <is>
          <t>Bolsas 5 Kg</t>
        </is>
      </c>
      <c r="D120" s="34" t="n">
        <v>10760</v>
      </c>
      <c r="E120" s="33" t="n">
        <v>2152</v>
      </c>
      <c r="F120" s="33" t="n">
        <v>10836.88</v>
      </c>
      <c r="G120" s="33" t="n">
        <v>16800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0.438175951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PREZN0005</t>
        </is>
      </c>
      <c r="B121" s="20" t="inlineStr">
        <is>
          <t>PREZINC, 5 kg</t>
        </is>
      </c>
      <c r="C121" s="20" t="inlineStr">
        <is>
          <t>Bolsas 5 Kg</t>
        </is>
      </c>
      <c r="D121" s="25" t="n">
        <v>140</v>
      </c>
      <c r="E121" s="24" t="n">
        <v>28</v>
      </c>
      <c r="F121" s="24" t="n">
        <v>2603.72</v>
      </c>
      <c r="G121" s="24" t="n">
        <v>3240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1.201215013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C-MB0005</t>
        </is>
      </c>
      <c r="B122" s="29" t="inlineStr">
        <is>
          <t>CODIFOL-MB</t>
        </is>
      </c>
      <c r="C122" s="29" t="inlineStr">
        <is>
          <t>Garrafas 5L</t>
        </is>
      </c>
      <c r="D122" s="34" t="n">
        <v>940</v>
      </c>
      <c r="E122" s="33" t="n">
        <v>188</v>
      </c>
      <c r="F122" s="33" t="n">
        <v>1397.39</v>
      </c>
      <c r="G122" s="33" t="n">
        <v>2885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3.871111145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TRI0001</t>
        </is>
      </c>
      <c r="B123" s="20" t="inlineStr">
        <is>
          <t>TRIFENO-94, 1 L</t>
        </is>
      </c>
      <c r="C123" s="20" t="inlineStr">
        <is>
          <t>Botellas 1L</t>
        </is>
      </c>
      <c r="D123" s="25" t="n">
        <v>155</v>
      </c>
      <c r="E123" s="24" t="n">
        <v>155</v>
      </c>
      <c r="F123" s="24" t="n">
        <v>187.47</v>
      </c>
      <c r="G123" s="24" t="n">
        <v>387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2.4359826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AGZ-M0001</t>
        </is>
      </c>
      <c r="B124" s="29" t="inlineStr">
        <is>
          <t>AGROXILATO-ZN-MN, 1 KG</t>
        </is>
      </c>
      <c r="C124" s="29" t="inlineStr">
        <is>
          <t>Bolsas 1 Kg</t>
        </is>
      </c>
      <c r="D124" s="34" t="n">
        <v>75</v>
      </c>
      <c r="E124" s="33" t="n">
        <v>75</v>
      </c>
      <c r="F124" s="33" t="n">
        <v>117.39</v>
      </c>
      <c r="G124" s="33" t="n">
        <v>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5.153120375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CPLUS1000</t>
        </is>
      </c>
      <c r="B125" s="20" t="inlineStr">
        <is>
          <t>CALCIPLUS, 1000 L</t>
        </is>
      </c>
      <c r="C125" s="20" t="inlineStr">
        <is>
          <t>Depósito 1000 L</t>
        </is>
      </c>
      <c r="D125" s="25" t="n">
        <v>1000</v>
      </c>
      <c r="E125" s="24" t="n">
        <v>1</v>
      </c>
      <c r="F125" s="24" t="n">
        <v>3853.91</v>
      </c>
      <c r="G125" s="24" t="n">
        <v>2000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0.67950347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JF0020</t>
        </is>
      </c>
      <c r="B126" s="29" t="inlineStr">
        <is>
          <t>DRAGO-FOS, 20 L</t>
        </is>
      </c>
      <c r="C126" s="29" t="inlineStr">
        <is>
          <t>Garrafas 20L</t>
        </is>
      </c>
      <c r="D126" s="34" t="n">
        <v>1200</v>
      </c>
      <c r="E126" s="33" t="n">
        <v>60</v>
      </c>
      <c r="F126" s="33" t="n">
        <v>2683.19</v>
      </c>
      <c r="G126" s="33" t="n">
        <v>4080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0.816114042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AGXKC0020</t>
        </is>
      </c>
      <c r="B127" s="20" t="inlineStr">
        <is>
          <t>AGROXILATO-COMPLET, 20 L</t>
        </is>
      </c>
      <c r="C127" s="20" t="inlineStr">
        <is>
          <t>Garrafas 20L</t>
        </is>
      </c>
      <c r="D127" s="25" t="n">
        <v>1040</v>
      </c>
      <c r="E127" s="24" t="n">
        <v>52</v>
      </c>
      <c r="F127" s="24" t="n">
        <v>1341.59</v>
      </c>
      <c r="G127" s="24" t="n">
        <v>800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1.093907371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6" customHeight="1">
      <c r="A128" s="37" t="inlineStr">
        <is>
          <t>TOTAL ROTACIÓN PLANTA (MERCADO NACIONAL)</t>
        </is>
      </c>
      <c r="B128" s="38" t="n"/>
      <c r="C128" s="38" t="n"/>
      <c r="D128" s="39">
        <f>SUM(D9:D127)</f>
        <v/>
      </c>
      <c r="E128" s="39">
        <f>SUM(E9:E127)</f>
        <v/>
      </c>
      <c r="F128" s="39">
        <f>SUM(F9:F127)</f>
        <v/>
      </c>
      <c r="G128" s="39">
        <f>SUM(G9:G127)</f>
        <v/>
      </c>
      <c r="H128" s="39">
        <f>SUM(H9:H127)</f>
        <v/>
      </c>
      <c r="I128" s="39">
        <f>SUM(I9:I127)</f>
        <v/>
      </c>
      <c r="J128" s="39">
        <f>SUM(J9:J127)</f>
        <v/>
      </c>
      <c r="K128" s="40" t="inlineStr"/>
      <c r="L128" s="40" t="inlineStr"/>
      <c r="M128" s="59">
        <f>SUM(M9:M127)</f>
        <v/>
      </c>
      <c r="N128" s="59">
        <f>SUM(N9:N127)</f>
        <v/>
      </c>
      <c r="O128" s="60" t="inlineStr"/>
    </row>
  </sheetData>
  <autoFilter ref="A8:O127"/>
  <mergeCells count="15">
    <mergeCell ref="M5:P5"/>
    <mergeCell ref="A5:D5"/>
    <mergeCell ref="A128:C128"/>
    <mergeCell ref="M4:P4"/>
    <mergeCell ref="D7:E7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2026-10-27T06:38:59Z</dcterms:created>
  <dcterms:modified xmlns:dcterms="http://purl.org/dc/terms/" xmlns:xsi="http://www.w3.org/2001/XMLSchema-instance" xsi:type="dcterms:W3CDTF">2026-10-27T06:38:59Z</dcterms:modified>
</cp:coreProperties>
</file>