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01/10/2026 | Generado: 01/10/2026 14:17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236,105 u</t>
        </is>
      </c>
      <c r="E6" s="4" t="n"/>
      <c r="F6" s="8" t="inlineStr">
        <is>
          <t>129.8%</t>
        </is>
      </c>
      <c r="G6" s="4" t="n"/>
      <c r="H6" s="9" t="inlineStr">
        <is>
          <t>15,512 u</t>
        </is>
      </c>
      <c r="I6" s="4" t="n"/>
      <c r="J6" s="7" t="inlineStr">
        <is>
          <t>35,774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12</v>
      </c>
      <c r="D10" s="14" t="n">
        <v>2320</v>
      </c>
      <c r="E10" s="14" t="n">
        <v>11874</v>
      </c>
      <c r="F10" s="14" t="n">
        <v>11874</v>
      </c>
      <c r="G10" s="14" t="n">
        <v>0</v>
      </c>
      <c r="H10" s="14">
        <f>MAX(0, D10-E10)</f>
        <v/>
      </c>
      <c r="I10" s="14">
        <f>'Alfonso'!J41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9</v>
      </c>
      <c r="D11" s="18" t="n">
        <v>37832</v>
      </c>
      <c r="E11" s="18" t="n">
        <v>57312</v>
      </c>
      <c r="F11" s="18" t="n">
        <v>57312</v>
      </c>
      <c r="G11" s="18" t="n">
        <v>0</v>
      </c>
      <c r="H11" s="18">
        <f>MAX(0, D11-E11)</f>
        <v/>
      </c>
      <c r="I11" s="18">
        <f>'García'!J56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3</v>
      </c>
      <c r="D12" s="14" t="n">
        <v>21914</v>
      </c>
      <c r="E12" s="14" t="n">
        <v>23674</v>
      </c>
      <c r="F12" s="14" t="n">
        <v>23674</v>
      </c>
      <c r="G12" s="14" t="n">
        <v>0</v>
      </c>
      <c r="H12" s="14">
        <f>MAX(0, D12-E12)</f>
        <v/>
      </c>
      <c r="I12" s="14">
        <f>'Irene'!J46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8</v>
      </c>
      <c r="D13" s="18" t="n">
        <v>17100</v>
      </c>
      <c r="E13" s="18" t="n">
        <v>47049</v>
      </c>
      <c r="F13" s="18" t="n">
        <v>42519</v>
      </c>
      <c r="G13" s="18" t="n">
        <v>4530</v>
      </c>
      <c r="H13" s="18">
        <f>MAX(0, D13-E13)</f>
        <v/>
      </c>
      <c r="I13" s="18">
        <f>'Javier'!J56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1</v>
      </c>
      <c r="D14" s="14" t="n">
        <v>39460</v>
      </c>
      <c r="E14" s="14" t="n">
        <v>32728</v>
      </c>
      <c r="F14" s="14" t="n">
        <v>11668</v>
      </c>
      <c r="G14" s="14" t="n">
        <v>21060</v>
      </c>
      <c r="H14" s="14">
        <f>MAX(0, D14-E14)</f>
        <v/>
      </c>
      <c r="I14" s="14">
        <f>'Mehmet'!J17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17340</v>
      </c>
      <c r="E15" s="18" t="n">
        <v>8560</v>
      </c>
      <c r="F15" s="18" t="n">
        <v>8560</v>
      </c>
      <c r="G15" s="18" t="n">
        <v>0</v>
      </c>
      <c r="H15" s="18">
        <f>MAX(0, D15-E15)</f>
        <v/>
      </c>
      <c r="I15" s="18">
        <f>'Pedro'!J33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6</v>
      </c>
      <c r="D16" s="14" t="n">
        <v>46000</v>
      </c>
      <c r="E16" s="14" t="n">
        <v>54908</v>
      </c>
      <c r="F16" s="14" t="n">
        <v>44724</v>
      </c>
      <c r="G16" s="14" t="n">
        <v>10184</v>
      </c>
      <c r="H16" s="14">
        <f>MAX(0, D16-E16)</f>
        <v/>
      </c>
      <c r="I16" s="14">
        <f>'Ricardo'!J44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2,320 u</t>
        </is>
      </c>
      <c r="C6" s="4" t="n"/>
      <c r="D6" s="25" t="inlineStr">
        <is>
          <t>11,874 u</t>
        </is>
      </c>
      <c r="E6" s="4" t="n"/>
      <c r="F6" s="25" t="inlineStr">
        <is>
          <t>511.8%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960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960</v>
      </c>
      <c r="F11" s="18" t="n">
        <v>1920</v>
      </c>
      <c r="G11" s="18" t="n">
        <v>1920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AGRICOLA DEL JUCAR DE CUENCA, S.L.</t>
        </is>
      </c>
      <c r="C12" s="28" t="inlineStr">
        <is>
          <t>C-CU0020</t>
        </is>
      </c>
      <c r="D12" s="27" t="inlineStr">
        <is>
          <t>CODICOBRE, 20 L</t>
        </is>
      </c>
      <c r="E12" s="14" t="n">
        <v>0</v>
      </c>
      <c r="F12" s="14" t="n">
        <v>100</v>
      </c>
      <c r="G12" s="14" t="n">
        <v>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AGRICOLA DEL JUCAR DE CUENCA, S.L.</t>
        </is>
      </c>
      <c r="C13" s="31" t="inlineStr">
        <is>
          <t>C-L0020</t>
        </is>
      </c>
      <c r="D13" s="30" t="inlineStr">
        <is>
          <t>CODIBOR-L, 20 L</t>
        </is>
      </c>
      <c r="E13" s="18" t="n">
        <v>0</v>
      </c>
      <c r="F13" s="18" t="n">
        <v>200</v>
      </c>
      <c r="G13" s="18" t="n">
        <v>200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A-50(2)0005</t>
        </is>
      </c>
      <c r="D14" s="27" t="inlineStr">
        <is>
          <t>CODIORGAN-A50, 5 KG</t>
        </is>
      </c>
      <c r="E14" s="14" t="n">
        <v>0</v>
      </c>
      <c r="F14" s="14" t="n">
        <v>500</v>
      </c>
      <c r="G14" s="14" t="n">
        <v>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AGRMG0005</t>
        </is>
      </c>
      <c r="D15" s="30" t="inlineStr">
        <is>
          <t>AGROXIGREEN-MG, 5 L</t>
        </is>
      </c>
      <c r="E15" s="18" t="n">
        <v>0</v>
      </c>
      <c r="F15" s="18" t="n">
        <v>300</v>
      </c>
      <c r="G15" s="18" t="n">
        <v>300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AGROTÉCNICA DEL NORTE, S.L</t>
        </is>
      </c>
      <c r="C16" s="28" t="inlineStr">
        <is>
          <t>PT0005</t>
        </is>
      </c>
      <c r="D16" s="27" t="inlineStr">
        <is>
          <t>AGROPOTASION, 5 L</t>
        </is>
      </c>
      <c r="E16" s="14" t="n">
        <v>0</v>
      </c>
      <c r="F16" s="14" t="n">
        <v>400</v>
      </c>
      <c r="G16" s="14" t="n">
        <v>400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AGROVEYCA,S.L</t>
        </is>
      </c>
      <c r="C17" s="31" t="inlineStr">
        <is>
          <t>A-50(2)0005</t>
        </is>
      </c>
      <c r="D17" s="30" t="inlineStr">
        <is>
          <t>CODIORGAN-A50, 5 KG</t>
        </is>
      </c>
      <c r="E17" s="18" t="n">
        <v>0</v>
      </c>
      <c r="F17" s="18" t="n">
        <v>400</v>
      </c>
      <c r="G17" s="18" t="n">
        <v>400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AGROVEYCA,S.L</t>
        </is>
      </c>
      <c r="C18" s="28" t="inlineStr">
        <is>
          <t>BIO0020</t>
        </is>
      </c>
      <c r="D18" s="27" t="inlineStr">
        <is>
          <t>BIORAD-20, 20 L</t>
        </is>
      </c>
      <c r="E18" s="14" t="n">
        <v>400</v>
      </c>
      <c r="F18" s="14" t="n">
        <v>320</v>
      </c>
      <c r="G18" s="14" t="n">
        <v>320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ASOC. HORTICULTORES DE VILLA DEL PRADO</t>
        </is>
      </c>
      <c r="C19" s="31" t="inlineStr">
        <is>
          <t>A-50(2)0005</t>
        </is>
      </c>
      <c r="D19" s="30" t="inlineStr">
        <is>
          <t>CODIORGAN A-50, 5 KG</t>
        </is>
      </c>
      <c r="E19" s="18" t="n">
        <v>0</v>
      </c>
      <c r="F19" s="18" t="n">
        <v>50</v>
      </c>
      <c r="G19" s="18" t="n">
        <v>50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ASOC. HORTICULTORES DE VILLA DEL PRADO</t>
        </is>
      </c>
      <c r="C20" s="28" t="inlineStr">
        <is>
          <t>AVAN0005</t>
        </is>
      </c>
      <c r="D20" s="27" t="inlineStr">
        <is>
          <t>FLORAMEC AVANCE,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ASOC. HORTICULTORES DE VILLA DEL PRADO</t>
        </is>
      </c>
      <c r="C21" s="31" t="inlineStr">
        <is>
          <t>C-CU0005</t>
        </is>
      </c>
      <c r="D21" s="30" t="inlineStr">
        <is>
          <t>CODICOBRE, 5 L</t>
        </is>
      </c>
      <c r="E21" s="18" t="n">
        <v>0</v>
      </c>
      <c r="F21" s="18" t="n">
        <v>20</v>
      </c>
      <c r="G21" s="18" t="n">
        <v>20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ASOC. HORTICULTORES DE VILLA DEL PRADO</t>
        </is>
      </c>
      <c r="C22" s="28" t="inlineStr">
        <is>
          <t>S0020</t>
        </is>
      </c>
      <c r="D22" s="27" t="inlineStr">
        <is>
          <t>SALWAX STAR, 20 L</t>
        </is>
      </c>
      <c r="E22" s="14" t="n">
        <v>0</v>
      </c>
      <c r="F22" s="14" t="n">
        <v>40</v>
      </c>
      <c r="G22" s="14" t="n">
        <v>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BARDENAS COMERCIAL, S.L.</t>
        </is>
      </c>
      <c r="C23" s="31" t="inlineStr">
        <is>
          <t>AGRMG0005</t>
        </is>
      </c>
      <c r="D23" s="30" t="inlineStr">
        <is>
          <t>AGROXIGREEN-MG, 5 L</t>
        </is>
      </c>
      <c r="E23" s="18" t="n">
        <v>0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BARDENAS COMERCIAL,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300</v>
      </c>
      <c r="G24" s="14" t="n">
        <v>300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COMERCIAL NORTE AGROCAMPO, S.L.</t>
        </is>
      </c>
      <c r="C25" s="31" t="inlineStr">
        <is>
          <t>A-50(2)0020</t>
        </is>
      </c>
      <c r="D25" s="30" t="inlineStr">
        <is>
          <t>CODIORGAN-A50, 20 KG</t>
        </is>
      </c>
      <c r="E25" s="18" t="n">
        <v>0</v>
      </c>
      <c r="F25" s="18" t="n">
        <v>40</v>
      </c>
      <c r="G25" s="18" t="n">
        <v>40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COMERCIAL NORTE AGROCAMPO, S.L.</t>
        </is>
      </c>
      <c r="C26" s="28" t="inlineStr">
        <is>
          <t>AN0005</t>
        </is>
      </c>
      <c r="D26" s="27" t="inlineStr">
        <is>
          <t>ALCAPLANT NEW, 5 KG</t>
        </is>
      </c>
      <c r="E26" s="14" t="n">
        <v>0</v>
      </c>
      <c r="F26" s="14" t="n">
        <v>20</v>
      </c>
      <c r="G26" s="14" t="n">
        <v>20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COMERCIAL NORTE AGROCAMPO, S.L.</t>
        </is>
      </c>
      <c r="C27" s="31" t="inlineStr">
        <is>
          <t>BR-590005</t>
        </is>
      </c>
      <c r="D27" s="30" t="inlineStr">
        <is>
          <t>BR-59, 5 KG</t>
        </is>
      </c>
      <c r="E27" s="18" t="n">
        <v>0</v>
      </c>
      <c r="F27" s="18" t="n">
        <v>60</v>
      </c>
      <c r="G27" s="18" t="n">
        <v>60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COMERCIAL NORTE AGROCAMPO, S.L.</t>
        </is>
      </c>
      <c r="C28" s="28" t="inlineStr">
        <is>
          <t>BROTA0020</t>
        </is>
      </c>
      <c r="D28" s="27" t="inlineStr">
        <is>
          <t>BROTAMEC, 20 L</t>
        </is>
      </c>
      <c r="E28" s="14" t="n">
        <v>0</v>
      </c>
      <c r="F28" s="14" t="n">
        <v>20</v>
      </c>
      <c r="G28" s="14" t="n">
        <v>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COMERCIAL NORTE AGROCAMPO, S.L.</t>
        </is>
      </c>
      <c r="C29" s="31" t="inlineStr">
        <is>
          <t>C-CU0005</t>
        </is>
      </c>
      <c r="D29" s="30" t="inlineStr">
        <is>
          <t>CODICOBRE,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COMERCIAL NORTE AGROCAMPO,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20</v>
      </c>
      <c r="G30" s="14" t="n">
        <v>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COMERCIAL NORTE AGROCAMPO, S.L.</t>
        </is>
      </c>
      <c r="C31" s="31" t="inlineStr">
        <is>
          <t>S0020</t>
        </is>
      </c>
      <c r="D31" s="30" t="inlineStr">
        <is>
          <t>SALWAX STAR, 20 L</t>
        </is>
      </c>
      <c r="E31" s="18" t="n">
        <v>0</v>
      </c>
      <c r="F31" s="18" t="n">
        <v>40</v>
      </c>
      <c r="G31" s="18" t="n">
        <v>40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MAJ AGROQUIMICOS S.L.</t>
        </is>
      </c>
      <c r="C32" s="28" t="inlineStr">
        <is>
          <t>CPLUS0005</t>
        </is>
      </c>
      <c r="D32" s="27" t="inlineStr">
        <is>
          <t>CALCIPLUS, 5 L</t>
        </is>
      </c>
      <c r="E32" s="14" t="n">
        <v>0</v>
      </c>
      <c r="F32" s="14" t="n">
        <v>20</v>
      </c>
      <c r="G32" s="14" t="n">
        <v>20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MAJ AGROQUIMICOS S.L.</t>
        </is>
      </c>
      <c r="C33" s="31" t="inlineStr">
        <is>
          <t>FTK0005</t>
        </is>
      </c>
      <c r="D33" s="30" t="inlineStr">
        <is>
          <t>FITOKONTROL CA FLOW, 5 KG</t>
        </is>
      </c>
      <c r="E33" s="18" t="n">
        <v>0</v>
      </c>
      <c r="F33" s="18" t="n">
        <v>40</v>
      </c>
      <c r="G33" s="18" t="n">
        <v>40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>MUNDOHUERTO-CARMEN SOLAZ BLANCO</t>
        </is>
      </c>
      <c r="C34" s="28" t="inlineStr">
        <is>
          <t>PT0001</t>
        </is>
      </c>
      <c r="D34" s="27" t="inlineStr">
        <is>
          <t>AGROPOTASION, 1 L</t>
        </is>
      </c>
      <c r="E34" s="14" t="n">
        <v>0</v>
      </c>
      <c r="F34" s="14" t="n">
        <v>24</v>
      </c>
      <c r="G34" s="14" t="n">
        <v>24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MUNDOHUERTO-CARMEN SOLAZ BLANCO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80</v>
      </c>
      <c r="G35" s="18" t="n">
        <v>80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MUNDOHUERTO-CARMEN SOLAZ BLANCO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60</v>
      </c>
      <c r="G36" s="14" t="n">
        <v>60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SAFIAGRO, S.A.</t>
        </is>
      </c>
      <c r="C37" s="31" t="inlineStr">
        <is>
          <t>AGXK0020</t>
        </is>
      </c>
      <c r="D37" s="30" t="inlineStr">
        <is>
          <t>AGROXILATO-K, 20 L</t>
        </is>
      </c>
      <c r="E37" s="18" t="n">
        <v>0</v>
      </c>
      <c r="F37" s="18" t="n">
        <v>640</v>
      </c>
      <c r="G37" s="18" t="n">
        <v>640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T.J AGRICULTURA S.L.</t>
        </is>
      </c>
      <c r="C38" s="28" t="inlineStr">
        <is>
          <t>AN0020</t>
        </is>
      </c>
      <c r="D38" s="27" t="inlineStr">
        <is>
          <t>ALCAPLANT NEW, 20 KG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T.J AGRICULTURA S.L.</t>
        </is>
      </c>
      <c r="C39" s="31" t="inlineStr">
        <is>
          <t>SS0020</t>
        </is>
      </c>
      <c r="D39" s="30" t="inlineStr">
        <is>
          <t>SALWAX-CA, 20 KG</t>
        </is>
      </c>
      <c r="E39" s="18" t="n">
        <v>0</v>
      </c>
      <c r="F39" s="18" t="n">
        <v>500</v>
      </c>
      <c r="G39" s="18" t="n">
        <v>500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VILLALTA SATIVUM, S.L.</t>
        </is>
      </c>
      <c r="C40" s="28" t="inlineStr">
        <is>
          <t>WHITE0020</t>
        </is>
      </c>
      <c r="D40" s="27" t="inlineStr">
        <is>
          <t>AGROWHITE, 20 KG</t>
        </is>
      </c>
      <c r="E40" s="14" t="n">
        <v>0</v>
      </c>
      <c r="F40" s="14" t="n">
        <v>3460</v>
      </c>
      <c r="G40" s="14" t="n">
        <v>3460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 ht="24" customHeight="1">
      <c r="B41" s="20" t="inlineStr">
        <is>
          <t>TOTAL ALFONSO</t>
        </is>
      </c>
      <c r="C41" s="34" t="inlineStr">
        <is>
          <t>282 líneas</t>
        </is>
      </c>
      <c r="D41" s="35" t="inlineStr"/>
      <c r="E41" s="22">
        <f>SUM(E10:E40)</f>
        <v/>
      </c>
      <c r="F41" s="22">
        <f>SUM(F10:F40)</f>
        <v/>
      </c>
      <c r="G41" s="22">
        <f>SUM(G10:G40)</f>
        <v/>
      </c>
      <c r="H41" s="22">
        <f>SUM(H10:H40)</f>
        <v/>
      </c>
      <c r="I41" s="22">
        <f>SUM(I10:I40)</f>
        <v/>
      </c>
      <c r="J41" s="22">
        <f>SUM(J10:J40)</f>
        <v/>
      </c>
      <c r="K41" s="23">
        <f>IF(E41&gt;0, F41/E41, 0)</f>
        <v/>
      </c>
      <c r="L41" s="21">
        <f>IF(K41&gt;=1,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37,832 u</t>
        </is>
      </c>
      <c r="C6" s="4" t="n"/>
      <c r="D6" s="25" t="inlineStr">
        <is>
          <t>57,312 u</t>
        </is>
      </c>
      <c r="E6" s="4" t="n"/>
      <c r="F6" s="25" t="inlineStr">
        <is>
          <t>151.5%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700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2000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300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AGZNP0005</t>
        </is>
      </c>
      <c r="D13" s="30" t="inlineStr">
        <is>
          <t>AGROXILATO-ZN PLUS, 5 KG</t>
        </is>
      </c>
      <c r="E13" s="18" t="n">
        <v>0</v>
      </c>
      <c r="F13" s="18" t="n">
        <v>100</v>
      </c>
      <c r="G13" s="18" t="n">
        <v>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AGRONEW FITO, S.L.</t>
        </is>
      </c>
      <c r="C14" s="28" t="inlineStr">
        <is>
          <t>ANAE0020</t>
        </is>
      </c>
      <c r="D14" s="27" t="inlineStr">
        <is>
          <t>ALCAPLANT NEW AE, 20 KG</t>
        </is>
      </c>
      <c r="E14" s="14" t="n">
        <v>2200</v>
      </c>
      <c r="F14" s="14" t="n">
        <v>1100</v>
      </c>
      <c r="G14" s="14" t="n">
        <v>1100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AGRONEW FITO,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1920</v>
      </c>
      <c r="F15" s="18" t="n">
        <v>1280</v>
      </c>
      <c r="G15" s="18" t="n">
        <v>1280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En Curso</t>
        </is>
      </c>
    </row>
    <row r="16">
      <c r="B16" s="27" t="inlineStr">
        <is>
          <t>AGRONEW FITO, S.L.</t>
        </is>
      </c>
      <c r="C16" s="28" t="inlineStr">
        <is>
          <t>S1000</t>
        </is>
      </c>
      <c r="D16" s="27" t="inlineStr">
        <is>
          <t>SAL-WAX STAR, 1000 L</t>
        </is>
      </c>
      <c r="E16" s="14" t="n">
        <v>5000</v>
      </c>
      <c r="F16" s="14" t="n">
        <v>1000</v>
      </c>
      <c r="G16" s="14" t="n">
        <v>1000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9" t="inlineStr">
        <is>
          <t>Rezagado</t>
        </is>
      </c>
    </row>
    <row r="17">
      <c r="B17" s="30" t="inlineStr">
        <is>
          <t>AGROREBOLLO, S.L.</t>
        </is>
      </c>
      <c r="C17" s="31" t="inlineStr">
        <is>
          <t>AGZNP0005</t>
        </is>
      </c>
      <c r="D17" s="30" t="inlineStr">
        <is>
          <t>AGROXILATO ZN PLUS, 5 KG</t>
        </is>
      </c>
      <c r="E17" s="18" t="n">
        <v>500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AGROSER BERNARDINO,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1100</v>
      </c>
      <c r="F18" s="14" t="n">
        <v>1100</v>
      </c>
      <c r="G18" s="14" t="n">
        <v>1100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Superado</t>
        </is>
      </c>
    </row>
    <row r="19">
      <c r="B19" s="30" t="inlineStr">
        <is>
          <t>AGROTRAPICHE, S.L.U</t>
        </is>
      </c>
      <c r="C19" s="31" t="inlineStr">
        <is>
          <t>A-50(2)0020</t>
        </is>
      </c>
      <c r="D19" s="30" t="inlineStr">
        <is>
          <t>CODIORGAN-A50, 20 KG</t>
        </is>
      </c>
      <c r="E19" s="18" t="n">
        <v>200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7" t="inlineStr">
        <is>
          <t>Sin Pedido</t>
        </is>
      </c>
    </row>
    <row r="20">
      <c r="B20" s="27" t="inlineStr">
        <is>
          <t>AGROTRAPICHE, S.L.U</t>
        </is>
      </c>
      <c r="C20" s="28" t="inlineStr">
        <is>
          <t>AGZNP0005</t>
        </is>
      </c>
      <c r="D20" s="27" t="inlineStr">
        <is>
          <t>AGROXILATO-ZN PLUS, 5 KG</t>
        </is>
      </c>
      <c r="E20" s="14" t="n">
        <v>300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AGXK0020</t>
        </is>
      </c>
      <c r="D21" s="30" t="inlineStr">
        <is>
          <t>AGROXILATO-K, 20 L</t>
        </is>
      </c>
      <c r="E21" s="18" t="n">
        <v>100</v>
      </c>
      <c r="F21" s="18" t="n">
        <v>100</v>
      </c>
      <c r="G21" s="18" t="n">
        <v>100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AGRUPACION DE LABRADORES DEL POZUELO, SA</t>
        </is>
      </c>
      <c r="C22" s="28" t="inlineStr">
        <is>
          <t>AVAN0005</t>
        </is>
      </c>
      <c r="D22" s="27" t="inlineStr">
        <is>
          <t>FLORAMEC AVANCE, 5 L</t>
        </is>
      </c>
      <c r="E22" s="14" t="n">
        <v>300</v>
      </c>
      <c r="F22" s="14" t="n">
        <v>300</v>
      </c>
      <c r="G22" s="14" t="n">
        <v>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AGRUPACION DE LABRADORES DEL POZUELO, SA</t>
        </is>
      </c>
      <c r="C23" s="31" t="inlineStr">
        <is>
          <t>AVAN0020</t>
        </is>
      </c>
      <c r="D23" s="30" t="inlineStr">
        <is>
          <t>FLORAMEC AVANCE, 20 L</t>
        </is>
      </c>
      <c r="E23" s="18" t="n">
        <v>200</v>
      </c>
      <c r="F23" s="18" t="n">
        <v>200</v>
      </c>
      <c r="G23" s="18" t="n">
        <v>200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AGRUPACION DE LABRADORES DEL POZUELO, SA</t>
        </is>
      </c>
      <c r="C24" s="28" t="inlineStr">
        <is>
          <t>C-CU0005</t>
        </is>
      </c>
      <c r="D24" s="27" t="inlineStr">
        <is>
          <t>CODICOBRE, 5 L</t>
        </is>
      </c>
      <c r="E24" s="14" t="n">
        <v>200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DOTRA CHEMICALS</t>
        </is>
      </c>
      <c r="C25" s="31" t="inlineStr">
        <is>
          <t>SSEG0005</t>
        </is>
      </c>
      <c r="D25" s="30" t="inlineStr">
        <is>
          <t>SAL-WAX Ca</t>
        </is>
      </c>
      <c r="E25" s="18" t="n">
        <v>20000</v>
      </c>
      <c r="F25" s="18" t="n">
        <v>21000</v>
      </c>
      <c r="G25" s="18" t="n">
        <v>21000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DOTRA GULF TRADING COMPANY</t>
        </is>
      </c>
      <c r="C26" s="28" t="inlineStr">
        <is>
          <t>AQUOMAR0005</t>
        </is>
      </c>
      <c r="D26" s="27" t="inlineStr">
        <is>
          <t>AQUOM ARABIA, 5 L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DOTRA GULF TRADING COMPANY</t>
        </is>
      </c>
      <c r="C27" s="31" t="inlineStr">
        <is>
          <t>AVAN0001</t>
        </is>
      </c>
      <c r="D27" s="30" t="inlineStr">
        <is>
          <t>FLORAMEC AVANCE, 1 L</t>
        </is>
      </c>
      <c r="E27" s="18" t="n">
        <v>0</v>
      </c>
      <c r="F27" s="18" t="n">
        <v>504</v>
      </c>
      <c r="G27" s="18" t="n">
        <v>504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DOTRA GULF TRADING COMPANY</t>
        </is>
      </c>
      <c r="C28" s="28" t="inlineStr">
        <is>
          <t>BIO0005</t>
        </is>
      </c>
      <c r="D28" s="27" t="inlineStr">
        <is>
          <t>BIORAD-20, 5L</t>
        </is>
      </c>
      <c r="E28" s="14" t="n">
        <v>0</v>
      </c>
      <c r="F28" s="14" t="n">
        <v>800</v>
      </c>
      <c r="G28" s="14" t="n">
        <v>800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DOTRA GULF TRADING COMPANY</t>
        </is>
      </c>
      <c r="C29" s="31" t="inlineStr">
        <is>
          <t>SPAR0001</t>
        </is>
      </c>
      <c r="D29" s="30" t="inlineStr">
        <is>
          <t>SPRINTENE ARABIA, 1 L</t>
        </is>
      </c>
      <c r="E29" s="18" t="n">
        <v>0</v>
      </c>
      <c r="F29" s="18" t="n">
        <v>1080</v>
      </c>
      <c r="G29" s="18" t="n">
        <v>1080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DOTRA GULF TRADING COMPANY</t>
        </is>
      </c>
      <c r="C30" s="28" t="inlineStr">
        <is>
          <t>SSEG0005</t>
        </is>
      </c>
      <c r="D30" s="27" t="inlineStr">
        <is>
          <t>SALWAX CALCIO EGIPTO, 5 KG</t>
        </is>
      </c>
      <c r="E30" s="14" t="n">
        <v>0</v>
      </c>
      <c r="F30" s="14" t="n">
        <v>17500</v>
      </c>
      <c r="G30" s="14" t="n">
        <v>17500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EL PINAR BERRIES, S.L.</t>
        </is>
      </c>
      <c r="C31" s="31" t="inlineStr">
        <is>
          <t>AN0005</t>
        </is>
      </c>
      <c r="D31" s="30" t="inlineStr">
        <is>
          <t>ALCAPLANT NEW, 5 KG</t>
        </is>
      </c>
      <c r="E31" s="18" t="n">
        <v>0</v>
      </c>
      <c r="F31" s="18" t="n">
        <v>1100</v>
      </c>
      <c r="G31" s="18" t="n">
        <v>1100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INIESTA DEL PINO DISTRIBUCIONES S.L.U</t>
        </is>
      </c>
      <c r="C32" s="28" t="inlineStr">
        <is>
          <t>AGXK0020</t>
        </is>
      </c>
      <c r="D32" s="27" t="inlineStr">
        <is>
          <t>AGROXILATO-K, 20 L</t>
        </is>
      </c>
      <c r="E32" s="14" t="n">
        <v>640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INIESTA DEL PINO DISTRIBUCIONES S.L.U</t>
        </is>
      </c>
      <c r="C33" s="31" t="inlineStr">
        <is>
          <t>TRI0005</t>
        </is>
      </c>
      <c r="D33" s="30" t="inlineStr">
        <is>
          <t>TRIFENO-94, 5L</t>
        </is>
      </c>
      <c r="E33" s="18" t="n">
        <v>60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SC MARCOSER S.R.L.</t>
        </is>
      </c>
      <c r="C34" s="28" t="inlineStr">
        <is>
          <t>A-500001</t>
        </is>
      </c>
      <c r="D34" s="27" t="inlineStr">
        <is>
          <t>CODIORGAN  A-50</t>
        </is>
      </c>
      <c r="E34" s="14" t="n">
        <v>0</v>
      </c>
      <c r="F34" s="14" t="n">
        <v>1056</v>
      </c>
      <c r="G34" s="14" t="n">
        <v>1056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SC MARCOSER S.R.L.</t>
        </is>
      </c>
      <c r="C35" s="31" t="inlineStr">
        <is>
          <t>AGMG0001</t>
        </is>
      </c>
      <c r="D35" s="30" t="inlineStr">
        <is>
          <t>AGROXILATO Mg</t>
        </is>
      </c>
      <c r="E35" s="18" t="n">
        <v>0</v>
      </c>
      <c r="F35" s="18" t="n">
        <v>528</v>
      </c>
      <c r="G35" s="18" t="n">
        <v>528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SC MARCOSER S.R.L.</t>
        </is>
      </c>
      <c r="C36" s="28" t="inlineStr">
        <is>
          <t>AGXKAEP0001</t>
        </is>
      </c>
      <c r="D36" s="27" t="inlineStr">
        <is>
          <t>BIOCULTURE POTASIO PLUS, 1 L</t>
        </is>
      </c>
      <c r="E36" s="14" t="n">
        <v>0</v>
      </c>
      <c r="F36" s="14" t="n">
        <v>396</v>
      </c>
      <c r="G36" s="14" t="n">
        <v>396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SC MARCOSER S.R.L.</t>
        </is>
      </c>
      <c r="C37" s="31" t="inlineStr">
        <is>
          <t>BIO0001</t>
        </is>
      </c>
      <c r="D37" s="30" t="inlineStr">
        <is>
          <t>BIORAD-20</t>
        </is>
      </c>
      <c r="E37" s="18" t="n">
        <v>0</v>
      </c>
      <c r="F37" s="18" t="n">
        <v>792</v>
      </c>
      <c r="G37" s="18" t="n">
        <v>792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SC MARCOSER S.R.L.</t>
        </is>
      </c>
      <c r="C38" s="28" t="inlineStr">
        <is>
          <t>BIO0005</t>
        </is>
      </c>
      <c r="D38" s="27" t="inlineStr">
        <is>
          <t>BIORAD-20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SC MARCOSER S.R.L.</t>
        </is>
      </c>
      <c r="C39" s="31" t="inlineStr">
        <is>
          <t>BIO0020</t>
        </is>
      </c>
      <c r="D39" s="30" t="inlineStr">
        <is>
          <t>BIORAD-20</t>
        </is>
      </c>
      <c r="E39" s="18" t="n">
        <v>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SC MARCOSER S.R.L.</t>
        </is>
      </c>
      <c r="C40" s="28" t="inlineStr">
        <is>
          <t>C-L0001</t>
        </is>
      </c>
      <c r="D40" s="27" t="inlineStr">
        <is>
          <t>CODIBOR-L</t>
        </is>
      </c>
      <c r="E40" s="14" t="n">
        <v>0</v>
      </c>
      <c r="F40" s="14" t="n">
        <v>792</v>
      </c>
      <c r="G40" s="14" t="n">
        <v>792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SC MARCOSER S.R.L.</t>
        </is>
      </c>
      <c r="C41" s="31" t="inlineStr">
        <is>
          <t>P-5X0020RU</t>
        </is>
      </c>
      <c r="D41" s="30" t="inlineStr">
        <is>
          <t>P.M.S. 5x, 20 L</t>
        </is>
      </c>
      <c r="E41" s="18" t="n">
        <v>0</v>
      </c>
      <c r="F41" s="18" t="n">
        <v>640</v>
      </c>
      <c r="G41" s="18" t="n">
        <v>640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SC MARCOSER S.R.L.</t>
        </is>
      </c>
      <c r="C42" s="28" t="inlineStr">
        <is>
          <t>SPCE0001</t>
        </is>
      </c>
      <c r="D42" s="27" t="inlineStr">
        <is>
          <t>SPRINTENE</t>
        </is>
      </c>
      <c r="E42" s="14" t="n">
        <v>0</v>
      </c>
      <c r="F42" s="14" t="n">
        <v>792</v>
      </c>
      <c r="G42" s="14" t="n">
        <v>792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SC MARCOSER S.R.L.</t>
        </is>
      </c>
      <c r="C43" s="31" t="inlineStr">
        <is>
          <t>SPCE0020</t>
        </is>
      </c>
      <c r="D43" s="30" t="inlineStr">
        <is>
          <t>SPRINTENE</t>
        </is>
      </c>
      <c r="E43" s="18" t="n">
        <v>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SC MARCOSER S.R.L.</t>
        </is>
      </c>
      <c r="C44" s="28" t="inlineStr">
        <is>
          <t>SS0001</t>
        </is>
      </c>
      <c r="D44" s="27" t="inlineStr">
        <is>
          <t>SAL-WAX Ca</t>
        </is>
      </c>
      <c r="E44" s="14" t="n">
        <v>0</v>
      </c>
      <c r="F44" s="14" t="n">
        <v>1056</v>
      </c>
      <c r="G44" s="14" t="n">
        <v>1056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SERVIAGRI´ 97, S.L.</t>
        </is>
      </c>
      <c r="C45" s="31" t="inlineStr">
        <is>
          <t>AGXK0005</t>
        </is>
      </c>
      <c r="D45" s="30" t="inlineStr">
        <is>
          <t>AGROXILATO-K, 5 L</t>
        </is>
      </c>
      <c r="E45" s="18" t="n">
        <v>200</v>
      </c>
      <c r="F45" s="18" t="n">
        <v>0</v>
      </c>
      <c r="G45" s="18" t="n">
        <v>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7" t="inlineStr">
        <is>
          <t>Sin Pedido</t>
        </is>
      </c>
    </row>
    <row r="46">
      <c r="B46" s="27" t="inlineStr">
        <is>
          <t>SERVIAGRI´ 97, S.L.</t>
        </is>
      </c>
      <c r="C46" s="28" t="inlineStr">
        <is>
          <t>AGXK0020</t>
        </is>
      </c>
      <c r="D46" s="27" t="inlineStr">
        <is>
          <t>AGROXILATO-K, 20 L</t>
        </is>
      </c>
      <c r="E46" s="14" t="n">
        <v>0</v>
      </c>
      <c r="F46" s="14" t="n">
        <v>120</v>
      </c>
      <c r="G46" s="14" t="n">
        <v>120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SERVIAGRI´ 97, S.L.</t>
        </is>
      </c>
      <c r="C47" s="31" t="inlineStr">
        <is>
          <t>AVAN0005</t>
        </is>
      </c>
      <c r="D47" s="30" t="inlineStr">
        <is>
          <t>FLORAMEC AVANCE, 5 L</t>
        </is>
      </c>
      <c r="E47" s="18" t="n">
        <v>100</v>
      </c>
      <c r="F47" s="18" t="n">
        <v>120</v>
      </c>
      <c r="G47" s="18" t="n">
        <v>120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Superado</t>
        </is>
      </c>
    </row>
    <row r="48">
      <c r="B48" s="27" t="inlineStr">
        <is>
          <t>SERVIAGRI´ 97, S.L.</t>
        </is>
      </c>
      <c r="C48" s="28" t="inlineStr">
        <is>
          <t>B0001</t>
        </is>
      </c>
      <c r="D48" s="27" t="inlineStr">
        <is>
          <t>BOROCAL,1 L</t>
        </is>
      </c>
      <c r="E48" s="14" t="n">
        <v>12</v>
      </c>
      <c r="F48" s="14" t="n">
        <v>12</v>
      </c>
      <c r="G48" s="14" t="n">
        <v>12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Superado</t>
        </is>
      </c>
    </row>
    <row r="49">
      <c r="B49" s="30" t="inlineStr">
        <is>
          <t>SERVIAGRI´ 97, S.L.</t>
        </is>
      </c>
      <c r="C49" s="31" t="inlineStr">
        <is>
          <t>BIO0005</t>
        </is>
      </c>
      <c r="D49" s="30" t="inlineStr">
        <is>
          <t>BIORAD-20, 5L</t>
        </is>
      </c>
      <c r="E49" s="18" t="n">
        <v>300</v>
      </c>
      <c r="F49" s="18" t="n">
        <v>0</v>
      </c>
      <c r="G49" s="18" t="n">
        <v>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7" t="inlineStr">
        <is>
          <t>Sin Pedido</t>
        </is>
      </c>
    </row>
    <row r="50">
      <c r="B50" s="27" t="inlineStr">
        <is>
          <t>SERVIAGRI´ 97, S.L.</t>
        </is>
      </c>
      <c r="C50" s="28" t="inlineStr">
        <is>
          <t>BROTA0001</t>
        </is>
      </c>
      <c r="D50" s="27" t="inlineStr">
        <is>
          <t>BROTAMEC, 1 L</t>
        </is>
      </c>
      <c r="E50" s="14" t="n">
        <v>0</v>
      </c>
      <c r="F50" s="14" t="n">
        <v>24</v>
      </c>
      <c r="G50" s="14" t="n">
        <v>24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SERVIAGRI´ 97, S.L.</t>
        </is>
      </c>
      <c r="C51" s="31" t="inlineStr">
        <is>
          <t>BROTA0005</t>
        </is>
      </c>
      <c r="D51" s="30" t="inlineStr">
        <is>
          <t>BROTAMEC, 5 L</t>
        </is>
      </c>
      <c r="E51" s="18" t="n">
        <v>0</v>
      </c>
      <c r="F51" s="18" t="n">
        <v>100</v>
      </c>
      <c r="G51" s="18" t="n">
        <v>100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SERVIAGRI´ 97, S.L.</t>
        </is>
      </c>
      <c r="C52" s="28" t="inlineStr">
        <is>
          <t>FTK0005</t>
        </is>
      </c>
      <c r="D52" s="27" t="inlineStr">
        <is>
          <t>FITOKONTROL CA FLOW, 5 KG</t>
        </is>
      </c>
      <c r="E52" s="14" t="n">
        <v>300</v>
      </c>
      <c r="F52" s="14" t="n">
        <v>160</v>
      </c>
      <c r="G52" s="14" t="n">
        <v>160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33" t="inlineStr">
        <is>
          <t>En Curso</t>
        </is>
      </c>
    </row>
    <row r="53">
      <c r="B53" s="30" t="inlineStr">
        <is>
          <t>SERVIAGRI´ 97, S.L.</t>
        </is>
      </c>
      <c r="C53" s="31" t="inlineStr">
        <is>
          <t>JF0005</t>
        </is>
      </c>
      <c r="D53" s="30" t="inlineStr">
        <is>
          <t>CODIGIN-FOS, 5 L</t>
        </is>
      </c>
      <c r="E53" s="18" t="n">
        <v>100</v>
      </c>
      <c r="F53" s="18" t="n">
        <v>120</v>
      </c>
      <c r="G53" s="18" t="n">
        <v>120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SERVIAGRI´ 97, S.L.</t>
        </is>
      </c>
      <c r="C54" s="28" t="inlineStr">
        <is>
          <t>SSAE0005</t>
        </is>
      </c>
      <c r="D54" s="27" t="inlineStr">
        <is>
          <t>MAGNIFIC-VIETS-AE, 5 KG</t>
        </is>
      </c>
      <c r="E54" s="14" t="n">
        <v>0</v>
      </c>
      <c r="F54" s="14" t="n">
        <v>60</v>
      </c>
      <c r="G54" s="14" t="n">
        <v>60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29" t="inlineStr">
        <is>
          <t>Extra Estimación</t>
        </is>
      </c>
    </row>
    <row r="55">
      <c r="B55" s="30" t="inlineStr">
        <is>
          <t>TRATAMIENTOS AGRICOLAS BRENES, S.L.</t>
        </is>
      </c>
      <c r="C55" s="31" t="inlineStr">
        <is>
          <t>WHITE0020</t>
        </is>
      </c>
      <c r="D55" s="30" t="inlineStr">
        <is>
          <t>AGROWHITE, 20 KG</t>
        </is>
      </c>
      <c r="E55" s="18" t="n">
        <v>1100</v>
      </c>
      <c r="F55" s="18" t="n">
        <v>1100</v>
      </c>
      <c r="G55" s="18" t="n">
        <v>1100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Superado</t>
        </is>
      </c>
    </row>
    <row r="56" ht="24" customHeight="1">
      <c r="B56" s="20" t="inlineStr">
        <is>
          <t>TOTAL GARCÍA</t>
        </is>
      </c>
      <c r="C56" s="34" t="inlineStr">
        <is>
          <t>235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21,914 u</t>
        </is>
      </c>
      <c r="C6" s="4" t="n"/>
      <c r="D6" s="25" t="inlineStr">
        <is>
          <t>23,674 u</t>
        </is>
      </c>
      <c r="E6" s="4" t="n"/>
      <c r="F6" s="25" t="inlineStr">
        <is>
          <t>108.0%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200</v>
      </c>
      <c r="F10" s="14" t="n">
        <v>100</v>
      </c>
      <c r="G10" s="14" t="n">
        <v>100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En Curso</t>
        </is>
      </c>
    </row>
    <row r="11">
      <c r="B11" s="30" t="inlineStr">
        <is>
          <t>CAMPOEJIDO S.C.A.</t>
        </is>
      </c>
      <c r="C11" s="31" t="inlineStr">
        <is>
          <t>AGN0005</t>
        </is>
      </c>
      <c r="D11" s="30" t="inlineStr">
        <is>
          <t>AGROXILATO N, 5 L</t>
        </is>
      </c>
      <c r="E11" s="18" t="n">
        <v>0</v>
      </c>
      <c r="F11" s="18" t="n">
        <v>20</v>
      </c>
      <c r="G11" s="18" t="n">
        <v>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CAMPOEJIDO S.C.A.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1920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9" t="inlineStr">
        <is>
          <t>Rezagado</t>
        </is>
      </c>
    </row>
    <row r="13">
      <c r="B13" s="30" t="inlineStr">
        <is>
          <t>CAMPOEJIDO S.C.A.</t>
        </is>
      </c>
      <c r="C13" s="31" t="inlineStr">
        <is>
          <t>AVAN0005</t>
        </is>
      </c>
      <c r="D13" s="30" t="inlineStr">
        <is>
          <t>FLORAMEC AVANCE, 5 L</t>
        </is>
      </c>
      <c r="E13" s="18" t="n">
        <v>300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CAMPOEJIDO S.C.A.</t>
        </is>
      </c>
      <c r="C14" s="28" t="inlineStr">
        <is>
          <t>AVAN0020</t>
        </is>
      </c>
      <c r="D14" s="27" t="inlineStr">
        <is>
          <t>FLORAMEC AVANCE, 20 L</t>
        </is>
      </c>
      <c r="E14" s="14" t="n">
        <v>960</v>
      </c>
      <c r="F14" s="14" t="n">
        <v>2560</v>
      </c>
      <c r="G14" s="14" t="n">
        <v>2560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Superado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640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Superado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60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300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48</v>
      </c>
      <c r="F18" s="14" t="n">
        <v>36</v>
      </c>
      <c r="G18" s="14" t="n">
        <v>36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400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Superado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800</v>
      </c>
      <c r="F20" s="14" t="n">
        <v>1600</v>
      </c>
      <c r="G20" s="14" t="n">
        <v>1600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Superado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1280</v>
      </c>
      <c r="F21" s="18" t="n">
        <v>4480</v>
      </c>
      <c r="G21" s="18" t="n">
        <v>4480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PHD0001</t>
        </is>
      </c>
      <c r="D22" s="27" t="inlineStr">
        <is>
          <t>PH-DOWNER, 1 L</t>
        </is>
      </c>
      <c r="E22" s="14" t="n">
        <v>0</v>
      </c>
      <c r="F22" s="14" t="n">
        <v>48</v>
      </c>
      <c r="G22" s="14" t="n">
        <v>48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100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3200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9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100</v>
      </c>
      <c r="F26" s="14" t="n">
        <v>100</v>
      </c>
      <c r="G26" s="14" t="n">
        <v>100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3200</v>
      </c>
      <c r="F27" s="18" t="n">
        <v>0</v>
      </c>
      <c r="G27" s="18" t="n">
        <v>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7" t="inlineStr">
        <is>
          <t>Sin Pedido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400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6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AVAN0005</t>
        </is>
      </c>
      <c r="D29" s="30" t="inlineStr">
        <is>
          <t>FLORAMEC AVANCE, 5 L</t>
        </is>
      </c>
      <c r="E29" s="18" t="n">
        <v>1200</v>
      </c>
      <c r="F29" s="18" t="n">
        <v>0</v>
      </c>
      <c r="G29" s="18" t="n">
        <v>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7" t="inlineStr">
        <is>
          <t>Sin Pedido</t>
        </is>
      </c>
    </row>
    <row r="30">
      <c r="B30" s="27" t="inlineStr">
        <is>
          <t>COOP.AGRIC. SAN ISIDRO S.C.A.</t>
        </is>
      </c>
      <c r="C30" s="28" t="inlineStr">
        <is>
          <t>C-L0005</t>
        </is>
      </c>
      <c r="D30" s="27" t="inlineStr">
        <is>
          <t>CODIBOR-L, 5 L</t>
        </is>
      </c>
      <c r="E30" s="14" t="n">
        <v>200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6" t="inlineStr">
        <is>
          <t>Sin Pedido</t>
        </is>
      </c>
    </row>
    <row r="31">
      <c r="B31" s="30" t="inlineStr">
        <is>
          <t>COOP.AGRIC. SAN ISIDRO S.C.A.</t>
        </is>
      </c>
      <c r="C31" s="31" t="inlineStr">
        <is>
          <t>C-MB0005</t>
        </is>
      </c>
      <c r="D31" s="30" t="inlineStr">
        <is>
          <t>CODIFOL-MB, 5 L</t>
        </is>
      </c>
      <c r="E31" s="18" t="n">
        <v>300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7" t="inlineStr">
        <is>
          <t>Sin Pedido</t>
        </is>
      </c>
    </row>
    <row r="32">
      <c r="B32" s="27" t="inlineStr">
        <is>
          <t>COOP.AGRIC. SAN ISIDRO S.C.A.</t>
        </is>
      </c>
      <c r="C32" s="28" t="inlineStr">
        <is>
          <t>CPLUS0020</t>
        </is>
      </c>
      <c r="D32" s="27" t="inlineStr">
        <is>
          <t>CALCIPLUS, 20 L</t>
        </is>
      </c>
      <c r="E32" s="14" t="n">
        <v>640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COOP.AGRIC. SAN ISIDRO S.C.A.</t>
        </is>
      </c>
      <c r="C33" s="31" t="inlineStr">
        <is>
          <t>PIV0020</t>
        </is>
      </c>
      <c r="D33" s="30" t="inlineStr">
        <is>
          <t>PGR IV, 20 L</t>
        </is>
      </c>
      <c r="E33" s="18" t="n">
        <v>1280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GUIVARTO AGRICOLA, S.L.</t>
        </is>
      </c>
      <c r="C34" s="28" t="inlineStr">
        <is>
          <t>A-50(2)0005</t>
        </is>
      </c>
      <c r="D34" s="27" t="inlineStr">
        <is>
          <t>CODIORGAN A-50, 5 KG</t>
        </is>
      </c>
      <c r="E34" s="14" t="n">
        <v>100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6" t="inlineStr">
        <is>
          <t>Sin Pedido</t>
        </is>
      </c>
    </row>
    <row r="35">
      <c r="B35" s="30" t="inlineStr">
        <is>
          <t>GUIVARTO AGRICOLA, S.L.</t>
        </is>
      </c>
      <c r="C35" s="31" t="inlineStr">
        <is>
          <t>AGXK0020</t>
        </is>
      </c>
      <c r="D35" s="30" t="inlineStr">
        <is>
          <t>AGROXILATO-K, 20 L</t>
        </is>
      </c>
      <c r="E35" s="18" t="n">
        <v>1240</v>
      </c>
      <c r="F35" s="18" t="n">
        <v>0</v>
      </c>
      <c r="G35" s="18" t="n">
        <v>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7" t="inlineStr">
        <is>
          <t>Sin Pedido</t>
        </is>
      </c>
    </row>
    <row r="36">
      <c r="B36" s="27" t="inlineStr">
        <is>
          <t>GUIVARTO AGRICOLA, S.L.</t>
        </is>
      </c>
      <c r="C36" s="28" t="inlineStr">
        <is>
          <t>AGXK1000</t>
        </is>
      </c>
      <c r="D36" s="27" t="inlineStr">
        <is>
          <t>AGROXILATO-K, 1000 L</t>
        </is>
      </c>
      <c r="E36" s="14" t="n">
        <v>0</v>
      </c>
      <c r="F36" s="14" t="n">
        <v>8000</v>
      </c>
      <c r="G36" s="14" t="n">
        <v>8000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GUIVARTO AGRICOLA, S.L.</t>
        </is>
      </c>
      <c r="C37" s="31" t="inlineStr">
        <is>
          <t>AGZNP0005</t>
        </is>
      </c>
      <c r="D37" s="30" t="inlineStr">
        <is>
          <t>AGROXILATO-ZN PLUS, 5 KG</t>
        </is>
      </c>
      <c r="E37" s="18" t="n">
        <v>50</v>
      </c>
      <c r="F37" s="18" t="n">
        <v>50</v>
      </c>
      <c r="G37" s="18" t="n">
        <v>50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Superado</t>
        </is>
      </c>
    </row>
    <row r="38">
      <c r="B38" s="27" t="inlineStr">
        <is>
          <t>GUIVARTO AGRICOLA, S.L.</t>
        </is>
      </c>
      <c r="C38" s="28" t="inlineStr">
        <is>
          <t>AQUOM0005</t>
        </is>
      </c>
      <c r="D38" s="27" t="inlineStr">
        <is>
          <t>AQUOM, 5 L</t>
        </is>
      </c>
      <c r="E38" s="14" t="n">
        <v>200</v>
      </c>
      <c r="F38" s="14" t="n">
        <v>200</v>
      </c>
      <c r="G38" s="14" t="n">
        <v>200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AVAN0020</t>
        </is>
      </c>
      <c r="D39" s="30" t="inlineStr">
        <is>
          <t>FLORAMEC AVANCE, 20 L</t>
        </is>
      </c>
      <c r="E39" s="18" t="n">
        <v>640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Superado</t>
        </is>
      </c>
    </row>
    <row r="40">
      <c r="B40" s="27" t="inlineStr">
        <is>
          <t>GUIVARTO AGRICOLA, S.L.</t>
        </is>
      </c>
      <c r="C40" s="28" t="inlineStr">
        <is>
          <t>BEY0020</t>
        </is>
      </c>
      <c r="D40" s="27" t="inlineStr">
        <is>
          <t>FLORAMEC PLUS 20 L</t>
        </is>
      </c>
      <c r="E40" s="14" t="n">
        <v>80</v>
      </c>
      <c r="F40" s="14" t="n">
        <v>80</v>
      </c>
      <c r="G40" s="14" t="n">
        <v>80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Superado</t>
        </is>
      </c>
    </row>
    <row r="41">
      <c r="B41" s="30" t="inlineStr">
        <is>
          <t>GUIVARTO AGRICOLA, S.L.</t>
        </is>
      </c>
      <c r="C41" s="31" t="inlineStr">
        <is>
          <t>BROTA0005</t>
        </is>
      </c>
      <c r="D41" s="30" t="inlineStr">
        <is>
          <t>BROTAMEC, 5 L</t>
        </is>
      </c>
      <c r="E41" s="18" t="n">
        <v>600</v>
      </c>
      <c r="F41" s="18" t="n">
        <v>600</v>
      </c>
      <c r="G41" s="18" t="n">
        <v>600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Superado</t>
        </is>
      </c>
    </row>
    <row r="42">
      <c r="B42" s="27" t="inlineStr">
        <is>
          <t>GUIVARTO AGRICOLA, S.L.</t>
        </is>
      </c>
      <c r="C42" s="28" t="inlineStr">
        <is>
          <t>C-M-P0001</t>
        </is>
      </c>
      <c r="D42" s="27" t="inlineStr">
        <is>
          <t>CODIFOL Mo-PLUS, 1 L</t>
        </is>
      </c>
      <c r="E42" s="14" t="n">
        <v>36</v>
      </c>
      <c r="F42" s="14" t="n">
        <v>0</v>
      </c>
      <c r="G42" s="14" t="n">
        <v>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6" t="inlineStr">
        <is>
          <t>Sin Pedido</t>
        </is>
      </c>
    </row>
    <row r="43">
      <c r="B43" s="30" t="inlineStr">
        <is>
          <t>GUIVARTO AGRICOLA, S.L.</t>
        </is>
      </c>
      <c r="C43" s="31" t="inlineStr">
        <is>
          <t>FTK0005</t>
        </is>
      </c>
      <c r="D43" s="30" t="inlineStr">
        <is>
          <t>FITOKONTROL CA FLOW, 5 KG</t>
        </is>
      </c>
      <c r="E43" s="18" t="n">
        <v>800</v>
      </c>
      <c r="F43" s="18" t="n">
        <v>800</v>
      </c>
      <c r="G43" s="18" t="n">
        <v>800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Superado</t>
        </is>
      </c>
    </row>
    <row r="44">
      <c r="B44" s="27" t="inlineStr">
        <is>
          <t>SUCA, S.C.A.</t>
        </is>
      </c>
      <c r="C44" s="28" t="inlineStr">
        <is>
          <t>AGXK0020</t>
        </is>
      </c>
      <c r="D44" s="27" t="inlineStr">
        <is>
          <t>AGROXILATO-K, 20 L</t>
        </is>
      </c>
      <c r="E44" s="14" t="n">
        <v>0</v>
      </c>
      <c r="F44" s="14" t="n">
        <v>640</v>
      </c>
      <c r="G44" s="14" t="n">
        <v>640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SUCA, S.C.A.</t>
        </is>
      </c>
      <c r="C45" s="31" t="inlineStr">
        <is>
          <t>AVAN0020</t>
        </is>
      </c>
      <c r="D45" s="30" t="inlineStr">
        <is>
          <t>FLORAMEC AVANCE, 20 L</t>
        </is>
      </c>
      <c r="E45" s="18" t="n">
        <v>0</v>
      </c>
      <c r="F45" s="18" t="n">
        <v>200</v>
      </c>
      <c r="G45" s="18" t="n">
        <v>200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 ht="24" customHeight="1">
      <c r="B46" s="20" t="inlineStr">
        <is>
          <t>TOTAL IRENE</t>
        </is>
      </c>
      <c r="C46" s="34" t="inlineStr">
        <is>
          <t>89 líneas</t>
        </is>
      </c>
      <c r="D46" s="35" t="inlineStr"/>
      <c r="E46" s="22">
        <f>SUM(E10:E45)</f>
        <v/>
      </c>
      <c r="F46" s="22">
        <f>SUM(F10:F45)</f>
        <v/>
      </c>
      <c r="G46" s="22">
        <f>SUM(G10:G45)</f>
        <v/>
      </c>
      <c r="H46" s="22">
        <f>SUM(H10:H45)</f>
        <v/>
      </c>
      <c r="I46" s="22">
        <f>SUM(I10:I45)</f>
        <v/>
      </c>
      <c r="J46" s="22">
        <f>SUM(J10:J45)</f>
        <v/>
      </c>
      <c r="K46" s="23">
        <f>IF(E46&gt;0, F46/E46, 0)</f>
        <v/>
      </c>
      <c r="L46" s="21">
        <f>IF(K46&gt;=1,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17,100 u</t>
        </is>
      </c>
      <c r="C6" s="4" t="n"/>
      <c r="D6" s="25" t="inlineStr">
        <is>
          <t>47,049 u</t>
        </is>
      </c>
      <c r="E6" s="4" t="n"/>
      <c r="F6" s="25" t="inlineStr">
        <is>
          <t>275.1%</t>
        </is>
      </c>
      <c r="G6" s="4" t="n"/>
      <c r="H6" s="25" t="inlineStr">
        <is>
          <t>0 u</t>
        </is>
      </c>
      <c r="I6" s="4" t="n"/>
      <c r="J6" s="24" t="inlineStr">
        <is>
          <t>4,530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AGXK0200</t>
        </is>
      </c>
      <c r="D10" s="27" t="inlineStr">
        <is>
          <t>AGROXILATO-K, 200 L</t>
        </is>
      </c>
      <c r="E10" s="14" t="n">
        <v>1600</v>
      </c>
      <c r="F10" s="14" t="n">
        <v>3200</v>
      </c>
      <c r="G10" s="14" t="n">
        <v>3200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AGROQUIMICAS DRAGO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0</v>
      </c>
      <c r="F11" s="18" t="n">
        <v>1000</v>
      </c>
      <c r="G11" s="18" t="n">
        <v>1000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AN0020</t>
        </is>
      </c>
      <c r="D12" s="27" t="inlineStr">
        <is>
          <t>ALCAPLANT NEW, 20 KG</t>
        </is>
      </c>
      <c r="E12" s="14" t="n">
        <v>1100</v>
      </c>
      <c r="F12" s="14" t="n">
        <v>1100</v>
      </c>
      <c r="G12" s="14" t="n">
        <v>1100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B0005</t>
        </is>
      </c>
      <c r="D13" s="30" t="inlineStr">
        <is>
          <t>BOROCAL, 5 L</t>
        </is>
      </c>
      <c r="E13" s="18" t="n">
        <v>0</v>
      </c>
      <c r="F13" s="18" t="n">
        <v>40</v>
      </c>
      <c r="G13" s="18" t="n">
        <v>40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AGROQUIMICAS DRAGO S.L.</t>
        </is>
      </c>
      <c r="C14" s="28" t="inlineStr">
        <is>
          <t>B0020</t>
        </is>
      </c>
      <c r="D14" s="27" t="inlineStr">
        <is>
          <t>BOROCAL, 20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CALCIO0020</t>
        </is>
      </c>
      <c r="D15" s="30" t="inlineStr">
        <is>
          <t>CALCIAMEC, 20 KG</t>
        </is>
      </c>
      <c r="E15" s="18" t="n">
        <v>0</v>
      </c>
      <c r="F15" s="18" t="n">
        <v>60</v>
      </c>
      <c r="G15" s="18" t="n">
        <v>60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AGROQUIMICAS DRAGO S.L.</t>
        </is>
      </c>
      <c r="C16" s="28" t="inlineStr">
        <is>
          <t>CM3M0005</t>
        </is>
      </c>
      <c r="D16" s="27" t="inlineStr">
        <is>
          <t>TENSOLINE-MAX, 5 L</t>
        </is>
      </c>
      <c r="E16" s="14" t="n">
        <v>0</v>
      </c>
      <c r="F16" s="14" t="n">
        <v>60</v>
      </c>
      <c r="G16" s="14" t="n">
        <v>60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AGROQUIMICAS DRAGO S.L.</t>
        </is>
      </c>
      <c r="C17" s="31" t="inlineStr">
        <is>
          <t>CPLUS0020</t>
        </is>
      </c>
      <c r="D17" s="30" t="inlineStr">
        <is>
          <t>CALCIPLUS, 20 L</t>
        </is>
      </c>
      <c r="E17" s="18" t="n">
        <v>0</v>
      </c>
      <c r="F17" s="18" t="n">
        <v>200</v>
      </c>
      <c r="G17" s="18" t="n">
        <v>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AGROQUIMICAS DRAGO S.L.</t>
        </is>
      </c>
      <c r="C18" s="28" t="inlineStr">
        <is>
          <t>FTK0005</t>
        </is>
      </c>
      <c r="D18" s="27" t="inlineStr">
        <is>
          <t>FITOKONTROL CA FLOW, 5 KG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AGROQUIMICAS DRAGO S.L.</t>
        </is>
      </c>
      <c r="C19" s="31" t="inlineStr">
        <is>
          <t>JF0020</t>
        </is>
      </c>
      <c r="D19" s="30" t="inlineStr">
        <is>
          <t>DRAGO-FOS, 20 L</t>
        </is>
      </c>
      <c r="E19" s="18" t="n">
        <v>0</v>
      </c>
      <c r="F19" s="18" t="n">
        <v>1280</v>
      </c>
      <c r="G19" s="18" t="n">
        <v>1280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AGROQUIMICAS DRAGO S.L.</t>
        </is>
      </c>
      <c r="C20" s="28" t="inlineStr">
        <is>
          <t>PHD0005</t>
        </is>
      </c>
      <c r="D20" s="27" t="inlineStr">
        <is>
          <t>PH-DOWNER, 5 L</t>
        </is>
      </c>
      <c r="E20" s="14" t="n">
        <v>0</v>
      </c>
      <c r="F20" s="14" t="n">
        <v>40</v>
      </c>
      <c r="G20" s="14" t="n">
        <v>40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AGROQUIMICAS DRAGO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0</v>
      </c>
      <c r="F21" s="18" t="n">
        <v>1280</v>
      </c>
      <c r="G21" s="18" t="n">
        <v>1280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ALMENDRALIA IBÉRICA, S.L.U.</t>
        </is>
      </c>
      <c r="C22" s="28" t="inlineStr">
        <is>
          <t>AN0020</t>
        </is>
      </c>
      <c r="D22" s="27" t="inlineStr">
        <is>
          <t>ALCAPLANT NEW, 20 KG</t>
        </is>
      </c>
      <c r="E22" s="14" t="n">
        <v>0</v>
      </c>
      <c r="F22" s="14" t="n">
        <v>1100</v>
      </c>
      <c r="G22" s="14" t="n">
        <v>1100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CABRERA MORALES FRANCISCO</t>
        </is>
      </c>
      <c r="C23" s="31" t="inlineStr">
        <is>
          <t>A-50(2)0005</t>
        </is>
      </c>
      <c r="D23" s="30" t="inlineStr">
        <is>
          <t>CODIORGAN A-50, 5 KG</t>
        </is>
      </c>
      <c r="E23" s="18" t="n">
        <v>0</v>
      </c>
      <c r="F23" s="18" t="n">
        <v>625</v>
      </c>
      <c r="G23" s="18" t="n">
        <v>375</v>
      </c>
      <c r="H23" s="18" t="n">
        <v>250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CABRERA MORALES FRANCISCO</t>
        </is>
      </c>
      <c r="C24" s="28" t="inlineStr">
        <is>
          <t>A-50(2)0020</t>
        </is>
      </c>
      <c r="D24" s="27" t="inlineStr">
        <is>
          <t>CODIORGAN A-50, 20 KG</t>
        </is>
      </c>
      <c r="E24" s="14" t="n">
        <v>0</v>
      </c>
      <c r="F24" s="14" t="n">
        <v>100</v>
      </c>
      <c r="G24" s="14" t="n">
        <v>0</v>
      </c>
      <c r="H24" s="14" t="n">
        <v>100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CABRERA MORALES FRANCISCO</t>
        </is>
      </c>
      <c r="C25" s="31" t="inlineStr">
        <is>
          <t>ANAE0005</t>
        </is>
      </c>
      <c r="D25" s="30" t="inlineStr">
        <is>
          <t>ALCAPLANT NEW AE, 5 KG</t>
        </is>
      </c>
      <c r="E25" s="18" t="n">
        <v>6600</v>
      </c>
      <c r="F25" s="18" t="n">
        <v>6600</v>
      </c>
      <c r="G25" s="18" t="n">
        <v>4400</v>
      </c>
      <c r="H25" s="18" t="n">
        <v>2200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CABRERA MORALES FRANCISCO</t>
        </is>
      </c>
      <c r="C26" s="28" t="inlineStr">
        <is>
          <t>BIO0005</t>
        </is>
      </c>
      <c r="D26" s="27" t="inlineStr">
        <is>
          <t>BIORAD-20, 5L</t>
        </is>
      </c>
      <c r="E26" s="14" t="n">
        <v>0</v>
      </c>
      <c r="F26" s="14" t="n">
        <v>600</v>
      </c>
      <c r="G26" s="14" t="n">
        <v>600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CABRERA MORALES FRANCISCO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1280</v>
      </c>
      <c r="G27" s="18" t="n">
        <v>1280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CABRERA MORALES FRANCISCO</t>
        </is>
      </c>
      <c r="C28" s="28" t="inlineStr">
        <is>
          <t>C-L0005</t>
        </is>
      </c>
      <c r="D28" s="27" t="inlineStr">
        <is>
          <t>CODIBOR-L, 5 L</t>
        </is>
      </c>
      <c r="E28" s="14" t="n">
        <v>0</v>
      </c>
      <c r="F28" s="14" t="n">
        <v>400</v>
      </c>
      <c r="G28" s="14" t="n">
        <v>200</v>
      </c>
      <c r="H28" s="14" t="n">
        <v>200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CABRERA MORALES FRANCISCO</t>
        </is>
      </c>
      <c r="C29" s="31" t="inlineStr">
        <is>
          <t>PIV0005</t>
        </is>
      </c>
      <c r="D29" s="30" t="inlineStr">
        <is>
          <t>PGR IV, 5 L</t>
        </is>
      </c>
      <c r="E29" s="18" t="n">
        <v>0</v>
      </c>
      <c r="F29" s="18" t="n">
        <v>200</v>
      </c>
      <c r="G29" s="18" t="n">
        <v>0</v>
      </c>
      <c r="H29" s="18" t="n">
        <v>200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CABRERA MORALES FRANCISCO</t>
        </is>
      </c>
      <c r="C30" s="28" t="inlineStr">
        <is>
          <t>PIV0020</t>
        </is>
      </c>
      <c r="D30" s="27" t="inlineStr">
        <is>
          <t>PGR IV, 20 L</t>
        </is>
      </c>
      <c r="E30" s="14" t="n">
        <v>0</v>
      </c>
      <c r="F30" s="14" t="n">
        <v>200</v>
      </c>
      <c r="G30" s="14" t="n">
        <v>0</v>
      </c>
      <c r="H30" s="14" t="n">
        <v>200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CODIMED EXPORT, S.L.</t>
        </is>
      </c>
      <c r="C31" s="31" t="inlineStr">
        <is>
          <t>BIO0020</t>
        </is>
      </c>
      <c r="D31" s="30" t="inlineStr">
        <is>
          <t>BIORAD-20, 20 L</t>
        </is>
      </c>
      <c r="E31" s="18" t="n">
        <v>0</v>
      </c>
      <c r="F31" s="18" t="n">
        <v>640</v>
      </c>
      <c r="G31" s="18" t="n">
        <v>0</v>
      </c>
      <c r="H31" s="18" t="n">
        <v>640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CODIMED EXPORT, S.L.</t>
        </is>
      </c>
      <c r="C32" s="28" t="inlineStr">
        <is>
          <t>C-CU0020</t>
        </is>
      </c>
      <c r="D32" s="27" t="inlineStr">
        <is>
          <t>CODICOBRE, 20 L</t>
        </is>
      </c>
      <c r="E32" s="14" t="n">
        <v>0</v>
      </c>
      <c r="F32" s="14" t="n">
        <v>320</v>
      </c>
      <c r="G32" s="14" t="n">
        <v>0</v>
      </c>
      <c r="H32" s="14" t="n">
        <v>320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CODIMED EXPORT, S.L.</t>
        </is>
      </c>
      <c r="C33" s="31" t="inlineStr">
        <is>
          <t>C-L0005</t>
        </is>
      </c>
      <c r="D33" s="30" t="inlineStr">
        <is>
          <t>CODIBOR-L, 5 L</t>
        </is>
      </c>
      <c r="E33" s="18" t="n">
        <v>200</v>
      </c>
      <c r="F33" s="18" t="n">
        <v>300</v>
      </c>
      <c r="G33" s="18" t="n">
        <v>200</v>
      </c>
      <c r="H33" s="18" t="n">
        <v>100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Superado</t>
        </is>
      </c>
    </row>
    <row r="34">
      <c r="B34" s="27" t="inlineStr">
        <is>
          <t>CODIMED EXPORT, S.L.</t>
        </is>
      </c>
      <c r="C34" s="28" t="inlineStr">
        <is>
          <t>C-L0020</t>
        </is>
      </c>
      <c r="D34" s="27" t="inlineStr">
        <is>
          <t>CODIBOR-L, 20 L</t>
        </is>
      </c>
      <c r="E34" s="14" t="n">
        <v>640</v>
      </c>
      <c r="F34" s="14" t="n">
        <v>960</v>
      </c>
      <c r="G34" s="14" t="n">
        <v>640</v>
      </c>
      <c r="H34" s="14" t="n">
        <v>320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Superado</t>
        </is>
      </c>
    </row>
    <row r="35">
      <c r="B35" s="30" t="inlineStr">
        <is>
          <t>CODIMED EXPORT, S.L.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100</v>
      </c>
      <c r="G35" s="18" t="n">
        <v>100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CODIMED EXPORT, S.L.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200</v>
      </c>
      <c r="G36" s="14" t="n">
        <v>200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CODIMED EXPORT, S.L.</t>
        </is>
      </c>
      <c r="C37" s="31" t="inlineStr">
        <is>
          <t>SPCE2B0020</t>
        </is>
      </c>
      <c r="D37" s="30" t="inlineStr">
        <is>
          <t>SPRINTENE CON BORO, 20 L</t>
        </is>
      </c>
      <c r="E37" s="18" t="n">
        <v>0</v>
      </c>
      <c r="F37" s="18" t="n">
        <v>320</v>
      </c>
      <c r="G37" s="18" t="n">
        <v>320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FINCA DOÑA ANA C.B.</t>
        </is>
      </c>
      <c r="C38" s="28" t="inlineStr">
        <is>
          <t>A-50(2)0020</t>
        </is>
      </c>
      <c r="D38" s="27" t="inlineStr">
        <is>
          <t>CODIORGAN-A50, 20 KG</t>
        </is>
      </c>
      <c r="E38" s="14" t="n">
        <v>0</v>
      </c>
      <c r="F38" s="14" t="n">
        <v>120</v>
      </c>
      <c r="G38" s="14" t="n">
        <v>120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FINCA DOÑA ANA C.B.</t>
        </is>
      </c>
      <c r="C39" s="31" t="inlineStr">
        <is>
          <t>C-CU1000</t>
        </is>
      </c>
      <c r="D39" s="30" t="inlineStr">
        <is>
          <t>CODICOBRE, 1000 L</t>
        </is>
      </c>
      <c r="E39" s="18" t="n">
        <v>0</v>
      </c>
      <c r="F39" s="18" t="n">
        <v>1000</v>
      </c>
      <c r="G39" s="18" t="n">
        <v>1000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FITOSANITARIOS CARCAIXENT, S.L.</t>
        </is>
      </c>
      <c r="C40" s="28" t="inlineStr">
        <is>
          <t>C-CU0005</t>
        </is>
      </c>
      <c r="D40" s="27" t="inlineStr">
        <is>
          <t>CODICOBRE, 5 L</t>
        </is>
      </c>
      <c r="E40" s="14" t="n">
        <v>0</v>
      </c>
      <c r="F40" s="14" t="n">
        <v>100</v>
      </c>
      <c r="G40" s="14" t="n">
        <v>100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FITOSANITARIOS CARCAIXENT, S.L.</t>
        </is>
      </c>
      <c r="C41" s="31" t="inlineStr">
        <is>
          <t>G30020</t>
        </is>
      </c>
      <c r="D41" s="30" t="inlineStr">
        <is>
          <t>GREEN-UP, 20 L</t>
        </is>
      </c>
      <c r="E41" s="18" t="n">
        <v>0</v>
      </c>
      <c r="F41" s="18" t="n">
        <v>200</v>
      </c>
      <c r="G41" s="18" t="n">
        <v>200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FITOSANITARIOS CARCAIXENT, S.L.</t>
        </is>
      </c>
      <c r="C42" s="28" t="inlineStr">
        <is>
          <t>HST0020</t>
        </is>
      </c>
      <c r="D42" s="27" t="inlineStr">
        <is>
          <t>HIDROSTRESS-40, 20 L</t>
        </is>
      </c>
      <c r="E42" s="14" t="n">
        <v>0</v>
      </c>
      <c r="F42" s="14" t="n">
        <v>100</v>
      </c>
      <c r="G42" s="14" t="n">
        <v>100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FITOSANITARIOS CARCAIXENT, S.L.</t>
        </is>
      </c>
      <c r="C43" s="31" t="inlineStr">
        <is>
          <t>PT0005</t>
        </is>
      </c>
      <c r="D43" s="30" t="inlineStr">
        <is>
          <t>AGROPOTASION, 5 L</t>
        </is>
      </c>
      <c r="E43" s="18" t="n">
        <v>0</v>
      </c>
      <c r="F43" s="18" t="n">
        <v>600</v>
      </c>
      <c r="G43" s="18" t="n">
        <v>600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FITOSANITARIOS CARCAIXENT, S.L.</t>
        </is>
      </c>
      <c r="C44" s="28" t="inlineStr">
        <is>
          <t>PT0020</t>
        </is>
      </c>
      <c r="D44" s="27" t="inlineStr">
        <is>
          <t>AGROPOTASION, 20 L</t>
        </is>
      </c>
      <c r="E44" s="14" t="n">
        <v>0</v>
      </c>
      <c r="F44" s="14" t="n">
        <v>1920</v>
      </c>
      <c r="G44" s="14" t="n">
        <v>1920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FITOSANITARIOS DRAGO S.L.U</t>
        </is>
      </c>
      <c r="C45" s="31" t="inlineStr">
        <is>
          <t>AGXK0200</t>
        </is>
      </c>
      <c r="D45" s="30" t="inlineStr">
        <is>
          <t>AGROXILATO-K, 200 L</t>
        </is>
      </c>
      <c r="E45" s="18" t="n">
        <v>0</v>
      </c>
      <c r="F45" s="18" t="n">
        <v>1600</v>
      </c>
      <c r="G45" s="18" t="n">
        <v>1600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>
      <c r="B46" s="27" t="inlineStr">
        <is>
          <t>FITOSANITARIOS DRAGO S.L.U</t>
        </is>
      </c>
      <c r="C46" s="28" t="inlineStr">
        <is>
          <t>AGXK1000</t>
        </is>
      </c>
      <c r="D46" s="27" t="inlineStr">
        <is>
          <t>AGROXILATO-K, 1000 L</t>
        </is>
      </c>
      <c r="E46" s="14" t="n">
        <v>0</v>
      </c>
      <c r="F46" s="14" t="n">
        <v>10000</v>
      </c>
      <c r="G46" s="14" t="n">
        <v>10000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FITOSANITARIOS DRAGO S.L.U</t>
        </is>
      </c>
      <c r="C47" s="31" t="inlineStr">
        <is>
          <t>C-CU0001</t>
        </is>
      </c>
      <c r="D47" s="30" t="inlineStr">
        <is>
          <t>CODICOBRE, 1 L</t>
        </is>
      </c>
      <c r="E47" s="18" t="n">
        <v>0</v>
      </c>
      <c r="F47" s="18" t="n">
        <v>24</v>
      </c>
      <c r="G47" s="18" t="n">
        <v>24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Extra Estimación</t>
        </is>
      </c>
    </row>
    <row r="48">
      <c r="B48" s="27" t="inlineStr">
        <is>
          <t>FITOSANITARIOS DRAGO S.L.U</t>
        </is>
      </c>
      <c r="C48" s="28" t="inlineStr">
        <is>
          <t>JF0020</t>
        </is>
      </c>
      <c r="D48" s="27" t="inlineStr">
        <is>
          <t>DRAGO-FOS, 20 L</t>
        </is>
      </c>
      <c r="E48" s="14" t="n">
        <v>0</v>
      </c>
      <c r="F48" s="14" t="n">
        <v>1280</v>
      </c>
      <c r="G48" s="14" t="n">
        <v>1280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Extra Estimación</t>
        </is>
      </c>
    </row>
    <row r="49">
      <c r="B49" s="30" t="inlineStr">
        <is>
          <t>FITOSANITARIOS DRAGO S.L.U</t>
        </is>
      </c>
      <c r="C49" s="31" t="inlineStr">
        <is>
          <t>PHD0005</t>
        </is>
      </c>
      <c r="D49" s="30" t="inlineStr">
        <is>
          <t xml:space="preserve">PH-DOWNER, 5 L   </t>
        </is>
      </c>
      <c r="E49" s="18" t="n">
        <v>0</v>
      </c>
      <c r="F49" s="18" t="n">
        <v>400</v>
      </c>
      <c r="G49" s="18" t="n">
        <v>400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2" t="inlineStr">
        <is>
          <t>Extra Estimación</t>
        </is>
      </c>
    </row>
    <row r="50">
      <c r="B50" s="27" t="inlineStr">
        <is>
          <t>FITOSANITARIOS DRAGO S.L.U</t>
        </is>
      </c>
      <c r="C50" s="28" t="inlineStr">
        <is>
          <t>PHD0020</t>
        </is>
      </c>
      <c r="D50" s="27" t="inlineStr">
        <is>
          <t>PH-DOWNER, 20 L</t>
        </is>
      </c>
      <c r="E50" s="14" t="n">
        <v>0</v>
      </c>
      <c r="F50" s="14" t="n">
        <v>640</v>
      </c>
      <c r="G50" s="14" t="n">
        <v>640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FITOSANITARIOS DRAGO S.L.U</t>
        </is>
      </c>
      <c r="C51" s="31" t="inlineStr">
        <is>
          <t>S0200</t>
        </is>
      </c>
      <c r="D51" s="30" t="inlineStr">
        <is>
          <t>SAL-WAX STAR, 200 L</t>
        </is>
      </c>
      <c r="E51" s="18" t="n">
        <v>0</v>
      </c>
      <c r="F51" s="18" t="n">
        <v>800</v>
      </c>
      <c r="G51" s="18" t="n">
        <v>800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FITOSANITARIOS DRAGO S.L.U</t>
        </is>
      </c>
      <c r="C52" s="28" t="inlineStr">
        <is>
          <t>SS0020</t>
        </is>
      </c>
      <c r="D52" s="27" t="inlineStr">
        <is>
          <t>SALWAX-CA, 20 KG</t>
        </is>
      </c>
      <c r="E52" s="14" t="n">
        <v>0</v>
      </c>
      <c r="F52" s="14" t="n">
        <v>40</v>
      </c>
      <c r="G52" s="14" t="n">
        <v>40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29" t="inlineStr">
        <is>
          <t>Extra Estimación</t>
        </is>
      </c>
    </row>
    <row r="53">
      <c r="B53" s="30" t="inlineStr">
        <is>
          <t>FITOXENT S.C.L.V.</t>
        </is>
      </c>
      <c r="C53" s="31" t="inlineStr">
        <is>
          <t>FTK0005</t>
        </is>
      </c>
      <c r="D53" s="30" t="inlineStr">
        <is>
          <t>FITOKONTROL CA FLOW, 5 KG</t>
        </is>
      </c>
      <c r="E53" s="18" t="n">
        <v>4400</v>
      </c>
      <c r="F53" s="18" t="n">
        <v>4400</v>
      </c>
      <c r="G53" s="18" t="n">
        <v>4400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FITOXENT S.C.L.V.</t>
        </is>
      </c>
      <c r="C54" s="28" t="inlineStr">
        <is>
          <t>PT0020</t>
        </is>
      </c>
      <c r="D54" s="27" t="inlineStr">
        <is>
          <t>AGROPOTASION, 20 L</t>
        </is>
      </c>
      <c r="E54" s="14" t="n">
        <v>2560</v>
      </c>
      <c r="F54" s="14" t="n">
        <v>1280</v>
      </c>
      <c r="G54" s="14" t="n">
        <v>1280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33" t="inlineStr">
        <is>
          <t>En Curso</t>
        </is>
      </c>
    </row>
    <row r="55">
      <c r="B55" s="30" t="inlineStr">
        <is>
          <t>FITOXENT S.C.L.V.</t>
        </is>
      </c>
      <c r="C55" s="31" t="inlineStr">
        <is>
          <t>S0020</t>
        </is>
      </c>
      <c r="D55" s="30" t="inlineStr">
        <is>
          <t>SALWAX STAR, 20 L</t>
        </is>
      </c>
      <c r="E55" s="18" t="n">
        <v>0</v>
      </c>
      <c r="F55" s="18" t="n">
        <v>200</v>
      </c>
      <c r="G55" s="18" t="n">
        <v>200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Extra Estimación</t>
        </is>
      </c>
    </row>
    <row r="56" ht="24" customHeight="1">
      <c r="B56" s="20" t="inlineStr">
        <is>
          <t>TOTAL JAVIER</t>
        </is>
      </c>
      <c r="C56" s="34" t="inlineStr">
        <is>
          <t>186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39,460 u</t>
        </is>
      </c>
      <c r="C6" s="4" t="n"/>
      <c r="D6" s="24" t="inlineStr">
        <is>
          <t>32,728 u</t>
        </is>
      </c>
      <c r="E6" s="4" t="n"/>
      <c r="F6" s="40" t="inlineStr">
        <is>
          <t>82.9%</t>
        </is>
      </c>
      <c r="G6" s="4" t="n"/>
      <c r="H6" s="40" t="inlineStr">
        <is>
          <t>6,732 u</t>
        </is>
      </c>
      <c r="I6" s="4" t="n"/>
      <c r="J6" s="24" t="inlineStr">
        <is>
          <t>21,060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5500</v>
      </c>
      <c r="F10" s="14" t="n">
        <v>2200</v>
      </c>
      <c r="G10" s="14" t="n">
        <v>2200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9" t="inlineStr">
        <is>
          <t>Rezagado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10000</v>
      </c>
      <c r="F11" s="18" t="n">
        <v>10060</v>
      </c>
      <c r="G11" s="18" t="n">
        <v>0</v>
      </c>
      <c r="H11" s="18" t="n">
        <v>10060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10000</v>
      </c>
      <c r="F12" s="14" t="n">
        <v>11000</v>
      </c>
      <c r="G12" s="14" t="n">
        <v>0</v>
      </c>
      <c r="H12" s="14" t="n">
        <v>11000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2000</v>
      </c>
      <c r="F13" s="18" t="n">
        <v>1000</v>
      </c>
      <c r="G13" s="18" t="n">
        <v>1000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8" t="inlineStr">
        <is>
          <t>En Curso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10000</v>
      </c>
      <c r="F14" s="14" t="n">
        <v>5500</v>
      </c>
      <c r="G14" s="14" t="n">
        <v>5500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ÇITAR ÇIÇEK TARIM TIC. LTD. STI</t>
        </is>
      </c>
      <c r="C15" s="31" t="inlineStr">
        <is>
          <t>FU1000</t>
        </is>
      </c>
      <c r="D15" s="30" t="inlineStr">
        <is>
          <t>FULVIGIN, 1000 L</t>
        </is>
      </c>
      <c r="E15" s="18" t="n">
        <v>0</v>
      </c>
      <c r="F15" s="18" t="n">
        <v>1000</v>
      </c>
      <c r="G15" s="18" t="n">
        <v>1000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ÇITAR ÇIÇEK TARIM TIC. LTD. STI</t>
        </is>
      </c>
      <c r="C16" s="28" t="inlineStr">
        <is>
          <t>RUN0001</t>
        </is>
      </c>
      <c r="D16" s="27" t="inlineStr">
        <is>
          <t>RUN STRESS, 1 L</t>
        </is>
      </c>
      <c r="E16" s="14" t="n">
        <v>1960</v>
      </c>
      <c r="F16" s="14" t="n">
        <v>1968</v>
      </c>
      <c r="G16" s="14" t="n">
        <v>1968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Superado</t>
        </is>
      </c>
    </row>
    <row r="17" ht="24" customHeight="1">
      <c r="B17" s="20" t="inlineStr">
        <is>
          <t>TOTAL MEHMET</t>
        </is>
      </c>
      <c r="C17" s="34" t="inlineStr">
        <is>
          <t>61 líneas</t>
        </is>
      </c>
      <c r="D17" s="35" t="inlineStr"/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2">
        <f>SUM(J10:J16)</f>
        <v/>
      </c>
      <c r="K17" s="23">
        <f>IF(E17&gt;0, F17/E17, 0)</f>
        <v/>
      </c>
      <c r="L17" s="21">
        <f>IF(K17&gt;=1,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17,340 u</t>
        </is>
      </c>
      <c r="C6" s="4" t="n"/>
      <c r="D6" s="24" t="inlineStr">
        <is>
          <t>8,560 u</t>
        </is>
      </c>
      <c r="E6" s="4" t="n"/>
      <c r="F6" s="40" t="inlineStr">
        <is>
          <t>49.4%</t>
        </is>
      </c>
      <c r="G6" s="4" t="n"/>
      <c r="H6" s="40" t="inlineStr">
        <is>
          <t>8,780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640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300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1280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1280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ASESORAMIENTO TECNICO DE CULTIVOS,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2560</v>
      </c>
      <c r="F14" s="14" t="n">
        <v>1920</v>
      </c>
      <c r="G14" s="14" t="n">
        <v>1920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COMERCIAL TÉCNICA FITOCARTHAGO, S.L.</t>
        </is>
      </c>
      <c r="C15" s="31" t="inlineStr">
        <is>
          <t>AGXK0200</t>
        </is>
      </c>
      <c r="D15" s="30" t="inlineStr">
        <is>
          <t>AGROXILATO-K, 200 L</t>
        </is>
      </c>
      <c r="E15" s="18" t="n">
        <v>400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7" t="inlineStr">
        <is>
          <t>Sin Pedido</t>
        </is>
      </c>
    </row>
    <row r="16">
      <c r="B16" s="27" t="inlineStr">
        <is>
          <t>COMERCIAL TÉCNICA FITOCARTHAGO, S.L.</t>
        </is>
      </c>
      <c r="C16" s="28" t="inlineStr">
        <is>
          <t>AGXK1000</t>
        </is>
      </c>
      <c r="D16" s="27" t="inlineStr">
        <is>
          <t>AGROXILATO-K, 1000 L</t>
        </is>
      </c>
      <c r="E16" s="14" t="n">
        <v>2000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2200</v>
      </c>
      <c r="F17" s="18" t="n">
        <v>2200</v>
      </c>
      <c r="G17" s="18" t="n">
        <v>2200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Superado</t>
        </is>
      </c>
    </row>
    <row r="18">
      <c r="B18" s="27" t="inlineStr">
        <is>
          <t>COMERCIAL TÉCNICA FITOCARTHAGO,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200</v>
      </c>
      <c r="G18" s="14" t="n">
        <v>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COMERCIAL TÉCNICA FITOCARTHAGO, S.L.</t>
        </is>
      </c>
      <c r="C19" s="31" t="inlineStr">
        <is>
          <t>N0200</t>
        </is>
      </c>
      <c r="D19" s="30" t="inlineStr">
        <is>
          <t>NUTRICALE, 200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PT0200</t>
        </is>
      </c>
      <c r="D20" s="27" t="inlineStr">
        <is>
          <t>AGROPOTASION, 200 L</t>
        </is>
      </c>
      <c r="E20" s="14" t="n">
        <v>0</v>
      </c>
      <c r="F20" s="14" t="n">
        <v>600</v>
      </c>
      <c r="G20" s="14" t="n">
        <v>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PT1000</t>
        </is>
      </c>
      <c r="D21" s="30" t="inlineStr">
        <is>
          <t>AGROPOTASION, 1000 L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COMERCIAL TÉCNICA FITOCARTHAGO, S.L.</t>
        </is>
      </c>
      <c r="C22" s="28" t="inlineStr">
        <is>
          <t>S0020</t>
        </is>
      </c>
      <c r="D22" s="27" t="inlineStr">
        <is>
          <t>SAL-WAX STAR, 20 L</t>
        </is>
      </c>
      <c r="E22" s="14" t="n">
        <v>640</v>
      </c>
      <c r="F22" s="14" t="n">
        <v>640</v>
      </c>
      <c r="G22" s="14" t="n">
        <v>640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S0200</t>
        </is>
      </c>
      <c r="D23" s="30" t="inlineStr">
        <is>
          <t>SAL-WAX STAR, 200 L</t>
        </is>
      </c>
      <c r="E23" s="18" t="n">
        <v>400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7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S1000</t>
        </is>
      </c>
      <c r="D24" s="27" t="inlineStr">
        <is>
          <t>SAL-WAX STAR, 1000 L</t>
        </is>
      </c>
      <c r="E24" s="14" t="n">
        <v>5000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COMERCIAL TÉCNICA FITOCARTHAGO, S.L.</t>
        </is>
      </c>
      <c r="C25" s="31" t="inlineStr">
        <is>
          <t>SPCE2B0020</t>
        </is>
      </c>
      <c r="D25" s="30" t="inlineStr">
        <is>
          <t>SPRINTENE CON BORO,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COMERCIAL TÉCNICA FITOCARTHAGO, S.L.</t>
        </is>
      </c>
      <c r="C26" s="28" t="inlineStr">
        <is>
          <t>SS0020</t>
        </is>
      </c>
      <c r="D26" s="27" t="inlineStr">
        <is>
          <t>SAL-WAX-Ca sólido, 20 KG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FITOMURCIA S.L.</t>
        </is>
      </c>
      <c r="C27" s="31" t="inlineStr">
        <is>
          <t>AGZNP0005</t>
        </is>
      </c>
      <c r="D27" s="30" t="inlineStr">
        <is>
          <t>AGROXILATO-ZN PLUS, 5 KG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FITOMURCIA S.L.</t>
        </is>
      </c>
      <c r="C28" s="28" t="inlineStr">
        <is>
          <t>C-L0020</t>
        </is>
      </c>
      <c r="D28" s="27" t="inlineStr">
        <is>
          <t>CODIBOR-L, 20 L</t>
        </is>
      </c>
      <c r="E28" s="14" t="n">
        <v>0</v>
      </c>
      <c r="F28" s="14" t="n">
        <v>320</v>
      </c>
      <c r="G28" s="14" t="n">
        <v>320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FITOMURCIA S.L.</t>
        </is>
      </c>
      <c r="C29" s="31" t="inlineStr">
        <is>
          <t>C-MB0005</t>
        </is>
      </c>
      <c r="D29" s="30" t="inlineStr">
        <is>
          <t>CODIFOL-MB, 5 L</t>
        </is>
      </c>
      <c r="E29" s="18" t="n">
        <v>0</v>
      </c>
      <c r="F29" s="18" t="n">
        <v>60</v>
      </c>
      <c r="G29" s="18" t="n">
        <v>60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FITOMURCIA S.L.</t>
        </is>
      </c>
      <c r="C30" s="28" t="inlineStr">
        <is>
          <t>C-MB0020</t>
        </is>
      </c>
      <c r="D30" s="27" t="inlineStr">
        <is>
          <t>CODIFOL-MB, 20 L</t>
        </is>
      </c>
      <c r="E30" s="14" t="n">
        <v>0</v>
      </c>
      <c r="F30" s="14" t="n">
        <v>320</v>
      </c>
      <c r="G30" s="14" t="n">
        <v>320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FITOMURCIA S.L.</t>
        </is>
      </c>
      <c r="C31" s="31" t="inlineStr">
        <is>
          <t>SPCE2B0020</t>
        </is>
      </c>
      <c r="D31" s="30" t="inlineStr">
        <is>
          <t>SPRINTENE CON BORO, 20 L</t>
        </is>
      </c>
      <c r="E31" s="18" t="n">
        <v>0</v>
      </c>
      <c r="F31" s="18" t="n">
        <v>200</v>
      </c>
      <c r="G31" s="18" t="n">
        <v>200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FITOMURCIA S.L.</t>
        </is>
      </c>
      <c r="C32" s="28" t="inlineStr">
        <is>
          <t>SS0005</t>
        </is>
      </c>
      <c r="D32" s="27" t="inlineStr">
        <is>
          <t>SAL-WAX-Ca sólido, 5 KG</t>
        </is>
      </c>
      <c r="E32" s="14" t="n">
        <v>0</v>
      </c>
      <c r="F32" s="14" t="n">
        <v>300</v>
      </c>
      <c r="G32" s="14" t="n">
        <v>300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 ht="24" customHeight="1">
      <c r="B33" s="20" t="inlineStr">
        <is>
          <t>TOTAL PEDRO</t>
        </is>
      </c>
      <c r="C33" s="34" t="inlineStr">
        <is>
          <t>106 líneas</t>
        </is>
      </c>
      <c r="D33" s="35" t="inlineStr"/>
      <c r="E33" s="22">
        <f>SUM(E10:E32)</f>
        <v/>
      </c>
      <c r="F33" s="22">
        <f>SUM(F10:F32)</f>
        <v/>
      </c>
      <c r="G33" s="22">
        <f>SUM(G10:G32)</f>
        <v/>
      </c>
      <c r="H33" s="22">
        <f>SUM(H10:H32)</f>
        <v/>
      </c>
      <c r="I33" s="22">
        <f>SUM(I10:I32)</f>
        <v/>
      </c>
      <c r="J33" s="22">
        <f>SUM(J10:J32)</f>
        <v/>
      </c>
      <c r="K33" s="23">
        <f>IF(E33&gt;0, F33/E33, 0)</f>
        <v/>
      </c>
      <c r="L33" s="21">
        <f>IF(K33&gt;=1,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46,000 u</t>
        </is>
      </c>
      <c r="C6" s="4" t="n"/>
      <c r="D6" s="25" t="inlineStr">
        <is>
          <t>54,908 u</t>
        </is>
      </c>
      <c r="E6" s="4" t="n"/>
      <c r="F6" s="25" t="inlineStr">
        <is>
          <t>119.4%</t>
        </is>
      </c>
      <c r="G6" s="4" t="n"/>
      <c r="H6" s="25" t="inlineStr">
        <is>
          <t>0 u</t>
        </is>
      </c>
      <c r="I6" s="4" t="n"/>
      <c r="J6" s="24" t="inlineStr">
        <is>
          <t>10,184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AIFAR S.P.A</t>
        </is>
      </c>
      <c r="C10" s="28" t="inlineStr">
        <is>
          <t>FIORI1000</t>
        </is>
      </c>
      <c r="D10" s="27" t="inlineStr">
        <is>
          <t>RADIFIORI, 1000 L</t>
        </is>
      </c>
      <c r="E10" s="14" t="n">
        <v>0</v>
      </c>
      <c r="F10" s="14" t="n">
        <v>3000</v>
      </c>
      <c r="G10" s="14" t="n">
        <v>3000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CAMPO ABIERTO, S.A.S.</t>
        </is>
      </c>
      <c r="C11" s="31" t="inlineStr">
        <is>
          <t>AGXCR0001</t>
        </is>
      </c>
      <c r="D11" s="30" t="inlineStr">
        <is>
          <t>AGROXILATO-K</t>
        </is>
      </c>
      <c r="E11" s="18" t="n">
        <v>0</v>
      </c>
      <c r="F11" s="18" t="n">
        <v>840</v>
      </c>
      <c r="G11" s="18" t="n">
        <v>0</v>
      </c>
      <c r="H11" s="18" t="n">
        <v>840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 ABIERTO, S.A.S.</t>
        </is>
      </c>
      <c r="C12" s="28" t="inlineStr">
        <is>
          <t>AGXCR0020</t>
        </is>
      </c>
      <c r="D12" s="27" t="inlineStr">
        <is>
          <t>AGROXILATO-K</t>
        </is>
      </c>
      <c r="E12" s="14" t="n">
        <v>0</v>
      </c>
      <c r="F12" s="14" t="n">
        <v>2000</v>
      </c>
      <c r="G12" s="14" t="n">
        <v>0</v>
      </c>
      <c r="H12" s="14" t="n">
        <v>2000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CAMPO ABIERTO, S.A.S.</t>
        </is>
      </c>
      <c r="C13" s="31" t="inlineStr">
        <is>
          <t>AN0020</t>
        </is>
      </c>
      <c r="D13" s="30" t="inlineStr">
        <is>
          <t>ALCAPLANT NEW</t>
        </is>
      </c>
      <c r="E13" s="18" t="n">
        <v>0</v>
      </c>
      <c r="F13" s="18" t="n">
        <v>4000</v>
      </c>
      <c r="G13" s="18" t="n">
        <v>0</v>
      </c>
      <c r="H13" s="18" t="n">
        <v>4000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CAMPO ABIERTO, S.A.S.</t>
        </is>
      </c>
      <c r="C14" s="28" t="inlineStr">
        <is>
          <t>G30001</t>
        </is>
      </c>
      <c r="D14" s="27" t="inlineStr">
        <is>
          <t>GREEN-UP, 1 L</t>
        </is>
      </c>
      <c r="E14" s="14" t="n">
        <v>0</v>
      </c>
      <c r="F14" s="14" t="n">
        <v>240</v>
      </c>
      <c r="G14" s="14" t="n">
        <v>0</v>
      </c>
      <c r="H14" s="14" t="n">
        <v>240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CAMPO ABIERTO, S.A.S.</t>
        </is>
      </c>
      <c r="C15" s="31" t="inlineStr">
        <is>
          <t>SSEG0001</t>
        </is>
      </c>
      <c r="D15" s="30" t="inlineStr">
        <is>
          <t>SALWAX CALCIO</t>
        </is>
      </c>
      <c r="E15" s="18" t="n">
        <v>0</v>
      </c>
      <c r="F15" s="18" t="n">
        <v>324</v>
      </c>
      <c r="G15" s="18" t="n">
        <v>0</v>
      </c>
      <c r="H15" s="18" t="n">
        <v>324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CAMPO ABIERTO, S.A.S.</t>
        </is>
      </c>
      <c r="C16" s="28" t="inlineStr">
        <is>
          <t>SSEG0005</t>
        </is>
      </c>
      <c r="D16" s="27" t="inlineStr">
        <is>
          <t>SALWAX CALCIO EGIPTO, 5 KG</t>
        </is>
      </c>
      <c r="E16" s="14" t="n">
        <v>0</v>
      </c>
      <c r="F16" s="14" t="n">
        <v>480</v>
      </c>
      <c r="G16" s="14" t="n">
        <v>0</v>
      </c>
      <c r="H16" s="14" t="n">
        <v>480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CAMPO ABIERTO, S.A.S.</t>
        </is>
      </c>
      <c r="C17" s="31" t="inlineStr">
        <is>
          <t>SSEG0020</t>
        </is>
      </c>
      <c r="D17" s="30" t="inlineStr">
        <is>
          <t>SALWAX CALCIO EGIPTO, 20 KG</t>
        </is>
      </c>
      <c r="E17" s="18" t="n">
        <v>0</v>
      </c>
      <c r="F17" s="18" t="n">
        <v>1200</v>
      </c>
      <c r="G17" s="18" t="n">
        <v>0</v>
      </c>
      <c r="H17" s="18" t="n">
        <v>1200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ECUAQUIMICA</t>
        </is>
      </c>
      <c r="C18" s="28" t="inlineStr">
        <is>
          <t>AN0005</t>
        </is>
      </c>
      <c r="D18" s="27" t="inlineStr">
        <is>
          <t>ALCAPLANT NEW</t>
        </is>
      </c>
      <c r="E18" s="14" t="n">
        <v>0</v>
      </c>
      <c r="F18" s="14" t="n">
        <v>2200</v>
      </c>
      <c r="G18" s="14" t="n">
        <v>2200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ECUAQUIMICA</t>
        </is>
      </c>
      <c r="C19" s="31" t="inlineStr">
        <is>
          <t>AN0020</t>
        </is>
      </c>
      <c r="D19" s="30" t="inlineStr">
        <is>
          <t>ALCAPLANT NEW</t>
        </is>
      </c>
      <c r="E19" s="18" t="n">
        <v>0</v>
      </c>
      <c r="F19" s="18" t="n">
        <v>6600</v>
      </c>
      <c r="G19" s="18" t="n">
        <v>6600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EUROFERTIL, S.A.</t>
        </is>
      </c>
      <c r="C20" s="28" t="inlineStr">
        <is>
          <t>F-A1000</t>
        </is>
      </c>
      <c r="D20" s="27" t="inlineStr">
        <is>
          <t>FITOLIN AGRO</t>
        </is>
      </c>
      <c r="E20" s="14" t="n">
        <v>2000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 xml:space="preserve">EUROFERTIL, S.A.    </t>
        </is>
      </c>
      <c r="C21" s="31" t="inlineStr">
        <is>
          <t>AGXCR1000</t>
        </is>
      </c>
      <c r="D21" s="30" t="inlineStr">
        <is>
          <t>AGROXILATO-K, 1000 L</t>
        </is>
      </c>
      <c r="E21" s="18" t="n">
        <v>0</v>
      </c>
      <c r="F21" s="18" t="n">
        <v>3000</v>
      </c>
      <c r="G21" s="18" t="n">
        <v>3000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 xml:space="preserve">EUROFERTIL, S.A.    </t>
        </is>
      </c>
      <c r="C22" s="28" t="inlineStr">
        <is>
          <t>AN0005</t>
        </is>
      </c>
      <c r="D22" s="27" t="inlineStr">
        <is>
          <t>ALCAPLANT, 5 KG</t>
        </is>
      </c>
      <c r="E22" s="14" t="n">
        <v>0</v>
      </c>
      <c r="F22" s="14" t="n">
        <v>3300</v>
      </c>
      <c r="G22" s="14" t="n">
        <v>3300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 xml:space="preserve">EUROFERTIL, S.A.    </t>
        </is>
      </c>
      <c r="C23" s="31" t="inlineStr">
        <is>
          <t>AN0020</t>
        </is>
      </c>
      <c r="D23" s="30" t="inlineStr">
        <is>
          <t>ALCAPLANT, 20 KG</t>
        </is>
      </c>
      <c r="E23" s="18" t="n">
        <v>0</v>
      </c>
      <c r="F23" s="18" t="n">
        <v>4400</v>
      </c>
      <c r="G23" s="18" t="n">
        <v>4400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 xml:space="preserve">EUROFERTIL, S.A.    </t>
        </is>
      </c>
      <c r="C24" s="28" t="inlineStr">
        <is>
          <t>B1000</t>
        </is>
      </c>
      <c r="D24" s="27" t="inlineStr">
        <is>
          <t>FORTALEZA, 1000 L</t>
        </is>
      </c>
      <c r="E24" s="14" t="n">
        <v>0</v>
      </c>
      <c r="F24" s="14" t="n">
        <v>2000</v>
      </c>
      <c r="G24" s="14" t="n">
        <v>2000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 xml:space="preserve">EUROFERTIL, S.A.    </t>
        </is>
      </c>
      <c r="C25" s="31" t="inlineStr">
        <is>
          <t>C-CU1000</t>
        </is>
      </c>
      <c r="D25" s="30" t="inlineStr">
        <is>
          <t>CODICOBRE, 1000 L</t>
        </is>
      </c>
      <c r="E25" s="18" t="n">
        <v>0</v>
      </c>
      <c r="F25" s="18" t="n">
        <v>1000</v>
      </c>
      <c r="G25" s="18" t="n">
        <v>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 xml:space="preserve">EUROFERTIL, S.A.    </t>
        </is>
      </c>
      <c r="C26" s="28" t="inlineStr">
        <is>
          <t>CODIR1000</t>
        </is>
      </c>
      <c r="D26" s="27" t="inlineStr">
        <is>
          <t>CODIRESIST,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 xml:space="preserve">EUROFERTIL, S.A.    </t>
        </is>
      </c>
      <c r="C27" s="31" t="inlineStr">
        <is>
          <t>DECA0005</t>
        </is>
      </c>
      <c r="D27" s="30" t="inlineStr">
        <is>
          <t>DEFENS-CA-AE, 5 KG</t>
        </is>
      </c>
      <c r="E27" s="18" t="n">
        <v>0</v>
      </c>
      <c r="F27" s="18" t="n">
        <v>750</v>
      </c>
      <c r="G27" s="18" t="n">
        <v>750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 xml:space="preserve">EUROFERTIL, S.A.    </t>
        </is>
      </c>
      <c r="C28" s="28" t="inlineStr">
        <is>
          <t>F-A1000</t>
        </is>
      </c>
      <c r="D28" s="27" t="inlineStr">
        <is>
          <t xml:space="preserve">FITOLIN AGRO, 1000 L </t>
        </is>
      </c>
      <c r="E28" s="14" t="n">
        <v>0</v>
      </c>
      <c r="F28" s="14" t="n">
        <v>1000</v>
      </c>
      <c r="G28" s="14" t="n">
        <v>1000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 xml:space="preserve">EUROFERTIL, S.A.    </t>
        </is>
      </c>
      <c r="C29" s="31" t="inlineStr">
        <is>
          <t>NB1000</t>
        </is>
      </c>
      <c r="D29" s="30" t="inlineStr">
        <is>
          <t>NITROBALANCE, 1000 L</t>
        </is>
      </c>
      <c r="E29" s="18" t="n">
        <v>0</v>
      </c>
      <c r="F29" s="18" t="n">
        <v>2000</v>
      </c>
      <c r="G29" s="18" t="n">
        <v>2000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 xml:space="preserve">EUROFERTIL, S.A.    </t>
        </is>
      </c>
      <c r="C30" s="28" t="inlineStr">
        <is>
          <t>SS0020</t>
        </is>
      </c>
      <c r="D30" s="27" t="inlineStr">
        <is>
          <t>SAL WAX MAX, 20 KG</t>
        </is>
      </c>
      <c r="E30" s="14" t="n">
        <v>0</v>
      </c>
      <c r="F30" s="14" t="n">
        <v>1600</v>
      </c>
      <c r="G30" s="14" t="n">
        <v>1600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HORTIFRUT - PERU, S.A.C.</t>
        </is>
      </c>
      <c r="C31" s="31" t="inlineStr">
        <is>
          <t>AN0020</t>
        </is>
      </c>
      <c r="D31" s="30" t="inlineStr">
        <is>
          <t>ALCAPLANT NEW, 20 KG</t>
        </is>
      </c>
      <c r="E31" s="18" t="n">
        <v>0</v>
      </c>
      <c r="F31" s="18" t="n">
        <v>1100</v>
      </c>
      <c r="G31" s="18" t="n">
        <v>0</v>
      </c>
      <c r="H31" s="18" t="n">
        <v>1100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LEKKERBIO B.V.</t>
        </is>
      </c>
      <c r="C32" s="28" t="inlineStr">
        <is>
          <t>AO0020</t>
        </is>
      </c>
      <c r="D32" s="27" t="inlineStr">
        <is>
          <t>ALCAPLANT NEW</t>
        </is>
      </c>
      <c r="E32" s="14" t="n">
        <v>44000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 xml:space="preserve">SERVICIOS AGROPECUARIOS EL LLANO, S. A. </t>
        </is>
      </c>
      <c r="C33" s="31" t="inlineStr">
        <is>
          <t>A-500001</t>
        </is>
      </c>
      <c r="D33" s="30" t="inlineStr">
        <is>
          <t>CODIORGAN-A50, 1 KG</t>
        </is>
      </c>
      <c r="E33" s="18" t="n">
        <v>0</v>
      </c>
      <c r="F33" s="18" t="n">
        <v>368</v>
      </c>
      <c r="G33" s="18" t="n">
        <v>368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 xml:space="preserve">SERVICIOS AGROPECUARIOS EL LLANO, S. A. </t>
        </is>
      </c>
      <c r="C34" s="28" t="inlineStr">
        <is>
          <t>AGXCR0001</t>
        </is>
      </c>
      <c r="D34" s="27" t="inlineStr">
        <is>
          <t>AGROXILATO-K, 1 L</t>
        </is>
      </c>
      <c r="E34" s="14" t="n">
        <v>0</v>
      </c>
      <c r="F34" s="14" t="n">
        <v>540</v>
      </c>
      <c r="G34" s="14" t="n">
        <v>540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 xml:space="preserve">SERVICIOS AGROPECUARIOS EL LLANO, S. A. </t>
        </is>
      </c>
      <c r="C35" s="31" t="inlineStr">
        <is>
          <t>AGXCR0005</t>
        </is>
      </c>
      <c r="D35" s="30" t="inlineStr">
        <is>
          <t>AGROXILATO-K, 5 L</t>
        </is>
      </c>
      <c r="E35" s="18" t="n">
        <v>0</v>
      </c>
      <c r="F35" s="18" t="n">
        <v>300</v>
      </c>
      <c r="G35" s="18" t="n">
        <v>300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 xml:space="preserve">SERVICIOS AGROPECUARIOS EL LLANO, S. A. </t>
        </is>
      </c>
      <c r="C36" s="28" t="inlineStr">
        <is>
          <t>AN0005</t>
        </is>
      </c>
      <c r="D36" s="27" t="inlineStr">
        <is>
          <t>ALCAPLANT, 5 KG</t>
        </is>
      </c>
      <c r="E36" s="14" t="n">
        <v>0</v>
      </c>
      <c r="F36" s="14" t="n">
        <v>7920</v>
      </c>
      <c r="G36" s="14" t="n">
        <v>7920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 xml:space="preserve">SERVICIOS AGROPECUARIOS EL LLANO, S. A. </t>
        </is>
      </c>
      <c r="C37" s="31" t="inlineStr">
        <is>
          <t>B0001</t>
        </is>
      </c>
      <c r="D37" s="30" t="inlineStr">
        <is>
          <t>FORTALEZA,1 L</t>
        </is>
      </c>
      <c r="E37" s="18" t="n">
        <v>0</v>
      </c>
      <c r="F37" s="18" t="n">
        <v>540</v>
      </c>
      <c r="G37" s="18" t="n">
        <v>540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 xml:space="preserve">SERVICIOS AGROPECUARIOS EL LLANO, S. A. </t>
        </is>
      </c>
      <c r="C38" s="28" t="inlineStr">
        <is>
          <t>C-CU0001</t>
        </is>
      </c>
      <c r="D38" s="27" t="inlineStr">
        <is>
          <t>CODICOBRE, 1 L</t>
        </is>
      </c>
      <c r="E38" s="14" t="n">
        <v>0</v>
      </c>
      <c r="F38" s="14" t="n">
        <v>840</v>
      </c>
      <c r="G38" s="14" t="n">
        <v>840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 xml:space="preserve">SERVICIOS AGROPECUARIOS EL LLANO, S. A. </t>
        </is>
      </c>
      <c r="C39" s="31" t="inlineStr">
        <is>
          <t>C-CU0005</t>
        </is>
      </c>
      <c r="D39" s="30" t="inlineStr">
        <is>
          <t>CODICOBRE, 5 L</t>
        </is>
      </c>
      <c r="E39" s="18" t="n">
        <v>0</v>
      </c>
      <c r="F39" s="18" t="n">
        <v>600</v>
      </c>
      <c r="G39" s="18" t="n">
        <v>600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 xml:space="preserve">SERVICIOS AGROPECUARIOS EL LLANO, S. A. </t>
        </is>
      </c>
      <c r="C40" s="28" t="inlineStr">
        <is>
          <t>SERVFLETE</t>
        </is>
      </c>
      <c r="D40" s="27" t="inlineStr">
        <is>
          <t>FREIGHT</t>
        </is>
      </c>
      <c r="E40" s="14" t="n">
        <v>0</v>
      </c>
      <c r="F40" s="14" t="n">
        <v>1</v>
      </c>
      <c r="G40" s="14" t="n">
        <v>1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 xml:space="preserve">SERVICIOS AGROPECUARIOS EL LLANO, S. A. </t>
        </is>
      </c>
      <c r="C41" s="31" t="inlineStr">
        <is>
          <t>SERVSEGURO</t>
        </is>
      </c>
      <c r="D41" s="30" t="inlineStr">
        <is>
          <t>INSURANCE</t>
        </is>
      </c>
      <c r="E41" s="18" t="n">
        <v>0</v>
      </c>
      <c r="F41" s="18" t="n">
        <v>1</v>
      </c>
      <c r="G41" s="18" t="n">
        <v>1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 xml:space="preserve">SERVICIOS AGROPECUARIOS EL LLANO, S. A. </t>
        </is>
      </c>
      <c r="C42" s="28" t="inlineStr">
        <is>
          <t>SPCE0001</t>
        </is>
      </c>
      <c r="D42" s="27" t="inlineStr">
        <is>
          <t>SPRINTENE ABONO CE, 1 L</t>
        </is>
      </c>
      <c r="E42" s="14" t="n">
        <v>0</v>
      </c>
      <c r="F42" s="14" t="n">
        <v>180</v>
      </c>
      <c r="G42" s="14" t="n">
        <v>180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 xml:space="preserve">SERVICIOS AGROPECUARIOS EL LLANO, S. A. </t>
        </is>
      </c>
      <c r="C43" s="31" t="inlineStr">
        <is>
          <t>SS0001</t>
        </is>
      </c>
      <c r="D43" s="30" t="inlineStr">
        <is>
          <t>SAL WAX MAX, 1 KG</t>
        </is>
      </c>
      <c r="E43" s="18" t="n">
        <v>0</v>
      </c>
      <c r="F43" s="18" t="n">
        <v>1584</v>
      </c>
      <c r="G43" s="18" t="n">
        <v>1584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 ht="24" customHeight="1">
      <c r="B44" s="20" t="inlineStr">
        <is>
          <t>TOTAL RICARDO</t>
        </is>
      </c>
      <c r="C44" s="34" t="inlineStr">
        <is>
          <t>137 líneas</t>
        </is>
      </c>
      <c r="D44" s="35" t="inlineStr"/>
      <c r="E44" s="22">
        <f>SUM(E10:E43)</f>
        <v/>
      </c>
      <c r="F44" s="22">
        <f>SUM(F10:F43)</f>
        <v/>
      </c>
      <c r="G44" s="22">
        <f>SUM(G10:G43)</f>
        <v/>
      </c>
      <c r="H44" s="22">
        <f>SUM(H10:H43)</f>
        <v/>
      </c>
      <c r="I44" s="22">
        <f>SUM(I10:I43)</f>
        <v/>
      </c>
      <c r="J44" s="22">
        <f>SUM(J10:J43)</f>
        <v/>
      </c>
      <c r="K44" s="23">
        <f>IF(E44&gt;0, F44/E44, 0)</f>
        <v/>
      </c>
      <c r="L44" s="21">
        <f>IF(K44&gt;=1,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2026-10-01T12:17:59Z</dcterms:created>
  <dcterms:modified xmlns:dcterms="http://purl.org/dc/terms/" xmlns:xsi="http://www.w3.org/2001/XMLSchema-instance" xsi:type="dcterms:W3CDTF">2026-10-01T12:18:00Z</dcterms:modified>
</cp:coreProperties>
</file>