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Detalle Mensual y Mapeo PGC" sheetId="2" state="visible" r:id="rId2"/>
    <sheet xmlns:r="http://schemas.openxmlformats.org/officeDocument/2006/relationships" name="Análisis Inmovilizaciones" sheetId="3" state="visible" r:id="rId3"/>
    <sheet xmlns:r="http://schemas.openxmlformats.org/officeDocument/2006/relationships" name="Comparativa Cuentas PGC" sheetId="4" state="visible" r:id="rId4"/>
    <sheet xmlns:r="http://schemas.openxmlformats.org/officeDocument/2006/relationships" name="Criterios y Normativa PGC" sheetId="5" state="visible" r:id="rId5"/>
  </sheets>
  <definedNames/>
  <calcPr calcId="124519" fullCalcOnLoad="1"/>
</workbook>
</file>

<file path=xl/styles.xml><?xml version="1.0" encoding="utf-8"?>
<styleSheet xmlns="http://schemas.openxmlformats.org/spreadsheetml/2006/main">
  <numFmts count="4">
    <numFmt numFmtId="164" formatCode="#,##0.00 €;[Red]-#,##0.00 €;&quot;-&quot;"/>
    <numFmt numFmtId="165" formatCode="+0.0%;-0.0%;&quot;0.0%&quot;"/>
    <numFmt numFmtId="166" formatCode="0.0%"/>
    <numFmt numFmtId="167" formatCode="100.0%"/>
  </numFmts>
  <fonts count="11">
    <font>
      <name val="Calibri"/>
      <family val="2"/>
      <color theme="1"/>
      <sz val="11"/>
      <scheme val="minor"/>
    </font>
    <font>
      <name val="Calibri"/>
      <b val="1"/>
      <color rgb="001F4E79"/>
      <sz val="16"/>
    </font>
    <font>
      <name val="Calibri"/>
      <i val="1"/>
      <color rgb="00595959"/>
      <sz val="10"/>
    </font>
    <font>
      <name val="Calibri"/>
      <b val="1"/>
      <color rgb="00FFFFFF"/>
      <sz val="12"/>
    </font>
    <font>
      <name val="Calibri"/>
      <b val="1"/>
      <color rgb="00FFFFFF"/>
      <sz val="10"/>
    </font>
    <font>
      <name val="Calibri"/>
      <b val="1"/>
      <sz val="10"/>
    </font>
    <font>
      <name val="Calibri"/>
      <sz val="10"/>
    </font>
    <font>
      <name val="Calibri"/>
      <b val="1"/>
      <color rgb="001F4E79"/>
      <sz val="11"/>
    </font>
    <font>
      <name val="Calibri"/>
      <i val="1"/>
      <color rgb="00333333"/>
      <sz val="9"/>
    </font>
    <font>
      <name val="Calibri"/>
      <b val="1"/>
      <color rgb="00C00000"/>
      <sz val="10"/>
    </font>
    <font>
      <name val="Calibri"/>
      <b val="1"/>
      <color rgb="00276A3C"/>
      <sz val="10"/>
    </font>
  </fonts>
  <fills count="10">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F9FAFC"/>
        <bgColor rgb="00F9FAFC"/>
      </patternFill>
    </fill>
    <fill>
      <patternFill patternType="solid">
        <fgColor rgb="00E2EFDA"/>
        <bgColor rgb="00E2EFDA"/>
      </patternFill>
    </fill>
    <fill>
      <patternFill patternType="solid">
        <fgColor rgb="00D9E1F2"/>
        <bgColor rgb="00D9E1F2"/>
      </patternFill>
    </fill>
    <fill>
      <patternFill patternType="solid">
        <fgColor rgb="00FFF2CC"/>
        <bgColor rgb="00FFF2CC"/>
      </patternFill>
    </fill>
    <fill>
      <patternFill patternType="solid">
        <fgColor rgb="0041719C"/>
        <bgColor rgb="0041719C"/>
      </patternFill>
    </fill>
    <fill>
      <patternFill patternType="solid">
        <fgColor rgb="00FCE4D6"/>
        <bgColor rgb="00FCE4D6"/>
      </patternFill>
    </fill>
  </fills>
  <borders count="4">
    <border>
      <left/>
      <right/>
      <top/>
      <bottom/>
      <diagonal/>
    </border>
    <border>
      <left style="thin">
        <color rgb="00FFFFFF"/>
      </left>
      <right style="thin">
        <color rgb="00FFFFFF"/>
      </right>
      <top style="thin">
        <color rgb="002F5597"/>
      </top>
      <bottom style="medium">
        <color rgb="001F4E7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1F4E79"/>
      </top>
      <bottom style="double">
        <color rgb="001F4E79"/>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3" borderId="1" applyAlignment="1" pivotButton="0" quotePrefix="0" xfId="0">
      <alignment horizontal="center" vertical="center" wrapText="1"/>
    </xf>
    <xf numFmtId="0" fontId="5" fillId="0" borderId="2" pivotButton="0" quotePrefix="0" xfId="0"/>
    <xf numFmtId="0" fontId="6" fillId="0" borderId="2" pivotButton="0" quotePrefix="0" xfId="0"/>
    <xf numFmtId="164" fontId="6" fillId="0" borderId="2" applyAlignment="1" pivotButton="0" quotePrefix="0" xfId="0">
      <alignment horizontal="right" vertical="center"/>
    </xf>
    <xf numFmtId="164" fontId="5" fillId="0" borderId="2" applyAlignment="1" pivotButton="0" quotePrefix="0" xfId="0">
      <alignment horizontal="right" vertical="center"/>
    </xf>
    <xf numFmtId="165" fontId="6" fillId="0" borderId="2" applyAlignment="1" pivotButton="0" quotePrefix="0" xfId="0">
      <alignment horizontal="right" vertical="center"/>
    </xf>
    <xf numFmtId="0" fontId="6" fillId="0" borderId="2" applyAlignment="1" pivotButton="0" quotePrefix="0" xfId="0">
      <alignment horizontal="left" vertical="center"/>
    </xf>
    <xf numFmtId="0" fontId="5" fillId="4" borderId="2" pivotButton="0" quotePrefix="0" xfId="0"/>
    <xf numFmtId="0" fontId="6" fillId="4" borderId="2" pivotButton="0" quotePrefix="0" xfId="0"/>
    <xf numFmtId="164" fontId="6" fillId="4" borderId="2" applyAlignment="1" pivotButton="0" quotePrefix="0" xfId="0">
      <alignment horizontal="right" vertical="center"/>
    </xf>
    <xf numFmtId="164" fontId="5" fillId="4" borderId="2" applyAlignment="1" pivotButton="0" quotePrefix="0" xfId="0">
      <alignment horizontal="right" vertical="center"/>
    </xf>
    <xf numFmtId="165" fontId="6" fillId="4" borderId="2" applyAlignment="1" pivotButton="0" quotePrefix="0" xfId="0">
      <alignment horizontal="right" vertical="center"/>
    </xf>
    <xf numFmtId="0" fontId="6" fillId="4" borderId="2" applyAlignment="1" pivotButton="0" quotePrefix="0" xfId="0">
      <alignment horizontal="left" vertical="center"/>
    </xf>
    <xf numFmtId="164" fontId="5" fillId="5" borderId="2" applyAlignment="1" pivotButton="0" quotePrefix="0" xfId="0">
      <alignment horizontal="right" vertical="center"/>
    </xf>
    <xf numFmtId="0" fontId="7" fillId="6" borderId="3" pivotButton="0" quotePrefix="0" xfId="0"/>
    <xf numFmtId="164" fontId="7" fillId="6" borderId="3" applyAlignment="1" pivotButton="0" quotePrefix="0" xfId="0">
      <alignment horizontal="right" vertical="center"/>
    </xf>
    <xf numFmtId="165" fontId="7" fillId="6" borderId="3" applyAlignment="1" pivotButton="0" quotePrefix="0" xfId="0">
      <alignment horizontal="right" vertical="center"/>
    </xf>
    <xf numFmtId="0" fontId="5" fillId="6" borderId="3" pivotButton="0" quotePrefix="0" xfId="0"/>
    <xf numFmtId="0" fontId="8" fillId="7" borderId="0" applyAlignment="1" pivotButton="0" quotePrefix="0" xfId="0">
      <alignment vertical="center" indent="1"/>
    </xf>
    <xf numFmtId="0" fontId="5" fillId="0" borderId="2" applyAlignment="1" pivotButton="0" quotePrefix="0" xfId="0">
      <alignment horizontal="center" vertical="center"/>
    </xf>
    <xf numFmtId="166" fontId="6" fillId="0" borderId="2" applyAlignment="1" pivotButton="0" quotePrefix="0" xfId="0">
      <alignment horizontal="right" vertical="center"/>
    </xf>
    <xf numFmtId="0" fontId="5" fillId="4" borderId="2" applyAlignment="1" pivotButton="0" quotePrefix="0" xfId="0">
      <alignment horizontal="center" vertical="center"/>
    </xf>
    <xf numFmtId="166" fontId="6" fillId="4" borderId="2" applyAlignment="1" pivotButton="0" quotePrefix="0" xfId="0">
      <alignment horizontal="right" vertical="center"/>
    </xf>
    <xf numFmtId="0" fontId="7" fillId="6" borderId="3" applyAlignment="1" pivotButton="0" quotePrefix="0" xfId="0">
      <alignment horizontal="center" vertical="center"/>
    </xf>
    <xf numFmtId="167" fontId="7" fillId="6" borderId="3" applyAlignment="1" pivotButton="0" quotePrefix="0" xfId="0">
      <alignment horizontal="right" vertical="center"/>
    </xf>
    <xf numFmtId="0" fontId="4" fillId="8" borderId="1" applyAlignment="1" pivotButton="0" quotePrefix="0" xfId="0">
      <alignment horizontal="center" vertical="center" wrapText="1"/>
    </xf>
    <xf numFmtId="0" fontId="9" fillId="9" borderId="2" pivotButton="0" quotePrefix="0" xfId="0"/>
    <xf numFmtId="0" fontId="10" fillId="5" borderId="2" pivotButton="0" quotePrefix="0" xfId="0"/>
    <xf numFmtId="0" fontId="6" fillId="0" borderId="2" applyAlignment="1" pivotButton="0" quotePrefix="0" xfId="0">
      <alignment horizontal="center" vertical="center"/>
    </xf>
    <xf numFmtId="0" fontId="6" fillId="4" borderId="2" applyAlignment="1" pivotButton="0" quotePrefix="0" xfId="0">
      <alignment horizontal="center" vertical="center"/>
    </xf>
    <xf numFmtId="164" fontId="7" fillId="5" borderId="3" applyAlignment="1" pivotButton="0" quotePrefix="0" xfId="0">
      <alignment horizontal="right" vertical="center"/>
    </xf>
    <xf numFmtId="164" fontId="0" fillId="0" borderId="2" pivotButton="0" quotePrefix="0" xfId="0"/>
    <xf numFmtId="164" fontId="9" fillId="0" borderId="2" pivotButton="0" quotePrefix="0" xfId="0"/>
    <xf numFmtId="0" fontId="5" fillId="5" borderId="2" pivotButton="0" quotePrefix="0" xfId="0"/>
    <xf numFmtId="164" fontId="0" fillId="5" borderId="2" pivotButton="0" quotePrefix="0" xfId="0"/>
    <xf numFmtId="164" fontId="10" fillId="5" borderId="2" pivotButton="0" quotePrefix="0" xfId="0"/>
    <xf numFmtId="0" fontId="5" fillId="0" borderId="2" applyAlignment="1" pivotButton="0" quotePrefix="0" xfId="0">
      <alignment vertical="top"/>
    </xf>
    <xf numFmtId="0" fontId="6" fillId="0" borderId="2" applyAlignment="1" pivotButton="0" quotePrefix="0" xfId="0">
      <alignmen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43"/>
  <sheetViews>
    <sheetView showGridLines="1" workbookViewId="0">
      <selection activeCell="A1" sqref="A1"/>
    </sheetView>
  </sheetViews>
  <sheetFormatPr baseColWidth="8" defaultRowHeight="15"/>
  <cols>
    <col width="3" customWidth="1" min="1" max="1"/>
    <col width="36" customWidth="1" min="2" max="2"/>
    <col width="28" customWidth="1" min="3" max="3"/>
    <col width="18" customWidth="1" min="4" max="4"/>
    <col width="18" customWidth="1" min="5" max="5"/>
    <col width="18" customWidth="1" min="6" max="6"/>
    <col width="16" customWidth="1" min="7" max="7"/>
    <col width="20" customWidth="1" min="8" max="8"/>
    <col width="20" customWidth="1" min="9" max="9"/>
    <col width="20" customWidth="1" min="10" max="10"/>
    <col width="44" customWidth="1" min="11" max="11"/>
  </cols>
  <sheetData>
    <row r="2">
      <c r="B2" s="1" t="inlineStr">
        <is>
          <t>CODIAGRO · CONTROL PRESUPUESTARIO 2026 - 2027</t>
        </is>
      </c>
    </row>
    <row r="3">
      <c r="B3" s="2" t="inlineStr">
        <is>
          <t>Comparativa Integral de Presupuestos Departamentales vs P&amp;L (Salvedad: Transporte Exportación Repercutido al Cliente Excluido de Gastos)</t>
        </is>
      </c>
    </row>
    <row r="5">
      <c r="B5" s="3" t="inlineStr">
        <is>
          <t>1. COMPARATIVA GENERAL POR DEPARTAMENTO (PRESUPUESTO 2027)</t>
        </is>
      </c>
    </row>
    <row r="6" ht="28" customHeight="1">
      <c r="B6" s="4" t="inlineStr">
        <is>
          <t>Departamento</t>
        </is>
      </c>
      <c r="C6" s="4" t="inlineStr">
        <is>
          <t>Cuentas PGC Clave</t>
        </is>
      </c>
      <c r="D6" s="4" t="inlineStr">
        <is>
          <t>Presupuesto Depto (€)</t>
        </is>
      </c>
      <c r="E6" s="4" t="inlineStr">
        <is>
          <t>Previsión P&amp;L Actual (€)</t>
        </is>
      </c>
      <c r="F6" s="4" t="inlineStr">
        <is>
          <t>Desviación (€)</t>
        </is>
      </c>
      <c r="G6" s="4" t="inlineStr">
        <is>
          <t>Desviación (%)</t>
        </is>
      </c>
      <c r="H6" s="4" t="inlineStr">
        <is>
          <t>Partidas Inmovilizables (€)</t>
        </is>
      </c>
      <c r="I6" s="4" t="inlineStr">
        <is>
          <t>Gasto Operativo Neto (€)</t>
        </is>
      </c>
      <c r="J6" s="4" t="inlineStr">
        <is>
          <t>Impacto en EBITDA (€)</t>
        </is>
      </c>
      <c r="K6" s="4" t="inlineStr">
        <is>
          <t>Estado / Dictamen</t>
        </is>
      </c>
    </row>
    <row r="7">
      <c r="B7" s="5" t="inlineStr">
        <is>
          <t>Compras y Aprovisionamientos</t>
        </is>
      </c>
      <c r="C7" s="6" t="inlineStr">
        <is>
          <t>601, 6020 (MP, Envases, Etiquetas, Palets)</t>
        </is>
      </c>
      <c r="D7" s="7" t="n">
        <v>6254128.573975374</v>
      </c>
      <c r="E7" s="7" t="n">
        <v>6036995.79</v>
      </c>
      <c r="F7" s="8">
        <f>D7-E7</f>
        <v/>
      </c>
      <c r="G7" s="9">
        <f>F7/E7</f>
        <v/>
      </c>
      <c r="H7" s="7" t="n">
        <v>0</v>
      </c>
      <c r="I7" s="8">
        <f>D7-H7</f>
        <v/>
      </c>
      <c r="J7" s="8">
        <f>E7-I7</f>
        <v/>
      </c>
      <c r="K7" s="10" t="inlineStr">
        <is>
          <t>Alineado con necesidades netas (+3% reserva)</t>
        </is>
      </c>
    </row>
    <row r="8">
      <c r="B8" s="11" t="inlineStr">
        <is>
          <t>Transportes (Gasto Neto Codiagro)</t>
        </is>
      </c>
      <c r="C8" s="12" t="inlineStr">
        <is>
          <t>624000001, 624000003 (Nacional y Canarias)</t>
        </is>
      </c>
      <c r="D8" s="13" t="n">
        <v>245670.4413810744</v>
      </c>
      <c r="E8" s="13" t="n">
        <v>301548.73</v>
      </c>
      <c r="F8" s="14">
        <f>D8-E8</f>
        <v/>
      </c>
      <c r="G8" s="15">
        <f>F8/E8</f>
        <v/>
      </c>
      <c r="H8" s="7" t="n">
        <v>0</v>
      </c>
      <c r="I8" s="14">
        <f>D8-H8</f>
        <v/>
      </c>
      <c r="J8" s="14">
        <f>E8-I8</f>
        <v/>
      </c>
      <c r="K8" s="16" t="inlineStr">
        <is>
          <t>Ahorro de -55,9k € (-18,5%); Export repercutido al cliente</t>
        </is>
      </c>
    </row>
    <row r="9">
      <c r="B9" s="5" t="inlineStr">
        <is>
          <t>Mantenimiento de Fábrica</t>
        </is>
      </c>
      <c r="C9" s="6" t="inlineStr">
        <is>
          <t>6220 (Correctivo, Preventivo, Repuestos)</t>
        </is>
      </c>
      <c r="D9" s="7" t="n">
        <v>91234.2375</v>
      </c>
      <c r="E9" s="7" t="n">
        <v>197422.44</v>
      </c>
      <c r="F9" s="8">
        <f>D9-E9</f>
        <v/>
      </c>
      <c r="G9" s="9">
        <f>F9/E9</f>
        <v/>
      </c>
      <c r="H9" s="17" t="n">
        <v>9410</v>
      </c>
      <c r="I9" s="8">
        <f>D9-H9</f>
        <v/>
      </c>
      <c r="J9" s="8">
        <f>E9-I9</f>
        <v/>
      </c>
      <c r="K9" s="10" t="inlineStr">
        <is>
          <t>Ahorro masivo vs histórico (-106,2k €)</t>
        </is>
      </c>
    </row>
    <row r="10">
      <c r="B10" s="11" t="inlineStr">
        <is>
          <t>Marketing y Comunicación</t>
        </is>
      </c>
      <c r="C10" s="12" t="inlineStr">
        <is>
          <t>6270 (Ferias, Campañas, Clientes A/B)</t>
        </is>
      </c>
      <c r="D10" s="13" t="n">
        <v>266072.4</v>
      </c>
      <c r="E10" s="13" t="n">
        <v>49697</v>
      </c>
      <c r="F10" s="14">
        <f>D10-E10</f>
        <v/>
      </c>
      <c r="G10" s="15">
        <f>F10/E10</f>
        <v/>
      </c>
      <c r="H10" s="7" t="n">
        <v>0</v>
      </c>
      <c r="I10" s="14">
        <f>D10-H10</f>
        <v/>
      </c>
      <c r="J10" s="14">
        <f>E10-I10</f>
        <v/>
      </c>
      <c r="K10" s="16" t="inlineStr">
        <is>
          <t>Plan integral formalizado (1,50% s/ventas)</t>
        </is>
      </c>
    </row>
    <row r="11">
      <c r="B11" s="5" t="inlineStr">
        <is>
          <t>Regulatory (Residuos, Marcas, Registros)</t>
        </is>
      </c>
      <c r="C11" s="6" t="inlineStr">
        <is>
          <t>6290, 6230, 6232 (Marcas, AEVAE, Registros)</t>
        </is>
      </c>
      <c r="D11" s="7" t="n">
        <v>233918</v>
      </c>
      <c r="E11" s="7" t="n">
        <v>105550.58</v>
      </c>
      <c r="F11" s="8">
        <f>D11-E11</f>
        <v/>
      </c>
      <c r="G11" s="9">
        <f>F11/E11</f>
        <v/>
      </c>
      <c r="H11" s="17" t="n">
        <v>51800</v>
      </c>
      <c r="I11" s="8">
        <f>D11-H11</f>
        <v/>
      </c>
      <c r="J11" s="8">
        <f>E11-I11</f>
        <v/>
      </c>
      <c r="K11" s="10" t="inlineStr">
        <is>
          <t>Activación clave en Marcas y Registros (51,8k €)</t>
        </is>
      </c>
    </row>
    <row r="12">
      <c r="B12" s="18" t="inlineStr">
        <is>
          <t>TOTAL GASTOS ASUMIDOS POR CODIAGRO</t>
        </is>
      </c>
      <c r="C12" s="18" t="inlineStr"/>
      <c r="D12" s="19">
        <f>SUM(D7:D11)</f>
        <v/>
      </c>
      <c r="E12" s="19">
        <f>SUM(E7:E11)</f>
        <v/>
      </c>
      <c r="F12" s="19">
        <f>SUM(F7:F11)</f>
        <v/>
      </c>
      <c r="G12" s="20">
        <f>F12/E12</f>
        <v/>
      </c>
      <c r="H12" s="19">
        <f>SUM(H7:H11)</f>
        <v/>
      </c>
      <c r="I12" s="19">
        <f>SUM(I7:I11)</f>
        <v/>
      </c>
      <c r="J12" s="19">
        <f>SUM(J7:J11)</f>
        <v/>
      </c>
      <c r="K12" s="21" t="inlineStr">
        <is>
          <t>Impacto neto de gasto muy controlado</t>
        </is>
      </c>
    </row>
    <row r="13" ht="24" customHeight="1">
      <c r="B13" s="22" t="inlineStr">
        <is>
          <t>ℹ️ SALVEDAD TRANSPORTE EXPORTACIÓN: El transporte de exportación presupuestado (305.223,30 € en 2027 y 97.236,00 € en Q4 2026) se repercute íntegramente al cliente vía factura (700001624), por lo que NO computa como gasto operativo de Codiagro al tener impacto neto nulo en resultados.</t>
        </is>
      </c>
    </row>
    <row r="15">
      <c r="B15" s="3" t="inlineStr">
        <is>
          <t>2. CALENDARIO MENSUAL DE GASTOS NETOS PRESUPUESTADOS (EJERCICIO 2027)</t>
        </is>
      </c>
    </row>
    <row r="16" ht="24" customHeight="1">
      <c r="B16" s="4" t="inlineStr">
        <is>
          <t>Mes</t>
        </is>
      </c>
      <c r="C16" s="4" t="inlineStr">
        <is>
          <t>Compras (€)</t>
        </is>
      </c>
      <c r="D16" s="4" t="inlineStr">
        <is>
          <t>Transporte Neto (€)</t>
        </is>
      </c>
      <c r="E16" s="4" t="inlineStr">
        <is>
          <t>Mantenimiento (€)</t>
        </is>
      </c>
      <c r="F16" s="4" t="inlineStr">
        <is>
          <t>Marketing (€)</t>
        </is>
      </c>
      <c r="G16" s="4" t="inlineStr">
        <is>
          <t>Regulatory (€)</t>
        </is>
      </c>
      <c r="H16" s="4" t="inlineStr">
        <is>
          <t>Total Mensual (€)</t>
        </is>
      </c>
      <c r="I16" s="4" t="inlineStr">
        <is>
          <t>% s/Anual</t>
        </is>
      </c>
      <c r="J16" s="4" t="inlineStr">
        <is>
          <t>Inmovilizable (€)</t>
        </is>
      </c>
      <c r="K16" s="4" t="inlineStr">
        <is>
          <t>Gasto Neto P&amp;L (€)</t>
        </is>
      </c>
    </row>
    <row r="17">
      <c r="B17" s="23" t="inlineStr">
        <is>
          <t>Ene</t>
        </is>
      </c>
      <c r="C17" s="7" t="n">
        <v>319241.2727653924</v>
      </c>
      <c r="D17" s="7" t="n">
        <v>13105.03547013266</v>
      </c>
      <c r="E17" s="7" t="n">
        <v>6415.5</v>
      </c>
      <c r="F17" s="7" t="n">
        <v>25641</v>
      </c>
      <c r="G17" s="7" t="n">
        <v>30010</v>
      </c>
      <c r="H17" s="8">
        <f>SUM(C17:G17)</f>
        <v/>
      </c>
      <c r="I17" s="24">
        <f>H17/$H$29</f>
        <v/>
      </c>
      <c r="J17" s="17" t="n">
        <v>12520</v>
      </c>
      <c r="K17" s="8">
        <f>H17-J17</f>
        <v/>
      </c>
    </row>
    <row r="18">
      <c r="B18" s="25" t="inlineStr">
        <is>
          <t>Feb</t>
        </is>
      </c>
      <c r="C18" s="13" t="n">
        <v>619016.6119691671</v>
      </c>
      <c r="D18" s="13" t="n">
        <v>18987.1600426693</v>
      </c>
      <c r="E18" s="13" t="n">
        <v>6220.2</v>
      </c>
      <c r="F18" s="13" t="n">
        <v>31207</v>
      </c>
      <c r="G18" s="13" t="n">
        <v>31220</v>
      </c>
      <c r="H18" s="14">
        <f>SUM(C18:G18)</f>
        <v/>
      </c>
      <c r="I18" s="26">
        <f>H18/$H$29</f>
        <v/>
      </c>
      <c r="J18" s="17" t="n">
        <v>10300</v>
      </c>
      <c r="K18" s="14">
        <f>H18-J18</f>
        <v/>
      </c>
    </row>
    <row r="19">
      <c r="B19" s="23" t="inlineStr">
        <is>
          <t>Mar</t>
        </is>
      </c>
      <c r="C19" s="7" t="n">
        <v>651837.1984674601</v>
      </c>
      <c r="D19" s="7" t="n">
        <v>25832.26550581559</v>
      </c>
      <c r="E19" s="7" t="n">
        <v>7481.25</v>
      </c>
      <c r="F19" s="7" t="n">
        <v>29843</v>
      </c>
      <c r="G19" s="7" t="n">
        <v>25550</v>
      </c>
      <c r="H19" s="8">
        <f>SUM(C19:G19)</f>
        <v/>
      </c>
      <c r="I19" s="24">
        <f>H19/$H$29</f>
        <v/>
      </c>
      <c r="J19" s="17" t="n">
        <v>9900</v>
      </c>
      <c r="K19" s="8">
        <f>H19-J19</f>
        <v/>
      </c>
    </row>
    <row r="20">
      <c r="B20" s="25" t="inlineStr">
        <is>
          <t>Abr</t>
        </is>
      </c>
      <c r="C20" s="13" t="n">
        <v>504624.9822249613</v>
      </c>
      <c r="D20" s="13" t="n">
        <v>25767.48094980326</v>
      </c>
      <c r="E20" s="13" t="n">
        <v>7064.400000000001</v>
      </c>
      <c r="F20" s="13" t="n">
        <v>33565</v>
      </c>
      <c r="G20" s="13" t="n">
        <v>19910</v>
      </c>
      <c r="H20" s="14">
        <f>SUM(C20:G20)</f>
        <v/>
      </c>
      <c r="I20" s="26">
        <f>H20/$H$29</f>
        <v/>
      </c>
      <c r="J20" s="17" t="n">
        <v>10210</v>
      </c>
      <c r="K20" s="14">
        <f>H20-J20</f>
        <v/>
      </c>
    </row>
    <row r="21">
      <c r="B21" s="23" t="inlineStr">
        <is>
          <t>May</t>
        </is>
      </c>
      <c r="C21" s="7" t="n">
        <v>824915.0375747171</v>
      </c>
      <c r="D21" s="7" t="n">
        <v>32674.58500877966</v>
      </c>
      <c r="E21" s="7" t="n">
        <v>8274</v>
      </c>
      <c r="F21" s="7" t="n">
        <v>26406</v>
      </c>
      <c r="G21" s="7" t="n">
        <v>16160</v>
      </c>
      <c r="H21" s="8">
        <f>SUM(C21:G21)</f>
        <v/>
      </c>
      <c r="I21" s="24">
        <f>H21/$H$29</f>
        <v/>
      </c>
      <c r="J21" s="17" t="n">
        <v>2950</v>
      </c>
      <c r="K21" s="8">
        <f>H21-J21</f>
        <v/>
      </c>
    </row>
    <row r="22">
      <c r="B22" s="25" t="inlineStr">
        <is>
          <t>Jun</t>
        </is>
      </c>
      <c r="C22" s="13" t="n">
        <v>851595.804033321</v>
      </c>
      <c r="D22" s="13" t="n">
        <v>22980.84716876557</v>
      </c>
      <c r="E22" s="13" t="n">
        <v>8111.25</v>
      </c>
      <c r="F22" s="13" t="n">
        <v>18861</v>
      </c>
      <c r="G22" s="13" t="n">
        <v>11618</v>
      </c>
      <c r="H22" s="14">
        <f>SUM(C22:G22)</f>
        <v/>
      </c>
      <c r="I22" s="26">
        <f>H22/$H$29</f>
        <v/>
      </c>
      <c r="J22" s="17" t="n">
        <v>2450</v>
      </c>
      <c r="K22" s="14">
        <f>H22-J22</f>
        <v/>
      </c>
    </row>
    <row r="23">
      <c r="B23" s="23" t="inlineStr">
        <is>
          <t>Jul</t>
        </is>
      </c>
      <c r="C23" s="7" t="n">
        <v>548868.0419689477</v>
      </c>
      <c r="D23" s="7" t="n">
        <v>19336.21026221047</v>
      </c>
      <c r="E23" s="7" t="n">
        <v>7875</v>
      </c>
      <c r="F23" s="7" t="n">
        <v>16163</v>
      </c>
      <c r="G23" s="7" t="n">
        <v>13765</v>
      </c>
      <c r="H23" s="8">
        <f>SUM(C23:G23)</f>
        <v/>
      </c>
      <c r="I23" s="24">
        <f>H23/$H$29</f>
        <v/>
      </c>
      <c r="J23" s="17" t="n">
        <v>1950</v>
      </c>
      <c r="K23" s="8">
        <f>H23-J23</f>
        <v/>
      </c>
    </row>
    <row r="24">
      <c r="B24" s="25" t="inlineStr">
        <is>
          <t>Ago</t>
        </is>
      </c>
      <c r="C24" s="13" t="n">
        <v>329214.9760776906</v>
      </c>
      <c r="D24" s="13" t="n">
        <v>22006.13408312717</v>
      </c>
      <c r="E24" s="13" t="n">
        <v>6942.337500000001</v>
      </c>
      <c r="F24" s="13" t="n">
        <v>6831</v>
      </c>
      <c r="G24" s="13" t="n">
        <v>14710</v>
      </c>
      <c r="H24" s="14">
        <f>SUM(C24:G24)</f>
        <v/>
      </c>
      <c r="I24" s="26">
        <f>H24/$H$29</f>
        <v/>
      </c>
      <c r="J24" s="17" t="n">
        <v>2810</v>
      </c>
      <c r="K24" s="14">
        <f>H24-J24</f>
        <v/>
      </c>
    </row>
    <row r="25">
      <c r="B25" s="23" t="inlineStr">
        <is>
          <t>Sep</t>
        </is>
      </c>
      <c r="C25" s="7" t="n">
        <v>199269.5807313944</v>
      </c>
      <c r="D25" s="7" t="n">
        <v>10776.71224325897</v>
      </c>
      <c r="E25" s="7" t="n">
        <v>10938.9</v>
      </c>
      <c r="F25" s="7" t="n">
        <v>19390</v>
      </c>
      <c r="G25" s="7" t="n">
        <v>28675</v>
      </c>
      <c r="H25" s="8">
        <f>SUM(C25:G25)</f>
        <v/>
      </c>
      <c r="I25" s="24">
        <f>H25/$H$29</f>
        <v/>
      </c>
      <c r="J25" s="17" t="n">
        <v>4250</v>
      </c>
      <c r="K25" s="8">
        <f>H25-J25</f>
        <v/>
      </c>
    </row>
    <row r="26">
      <c r="B26" s="25" t="inlineStr">
        <is>
          <t>Oct</t>
        </is>
      </c>
      <c r="C26" s="13" t="n">
        <v>331848.5093179598</v>
      </c>
      <c r="D26" s="13" t="n">
        <v>22335.15684341648</v>
      </c>
      <c r="E26" s="13" t="n">
        <v>9862.65</v>
      </c>
      <c r="F26" s="13" t="n">
        <v>13399</v>
      </c>
      <c r="G26" s="13" t="n">
        <v>10030</v>
      </c>
      <c r="H26" s="14">
        <f>SUM(C26:G26)</f>
        <v/>
      </c>
      <c r="I26" s="26">
        <f>H26/$H$29</f>
        <v/>
      </c>
      <c r="J26" s="17" t="n">
        <v>4950</v>
      </c>
      <c r="K26" s="14">
        <f>H26-J26</f>
        <v/>
      </c>
    </row>
    <row r="27">
      <c r="B27" s="23" t="inlineStr">
        <is>
          <t>Nov</t>
        </is>
      </c>
      <c r="C27" s="7" t="n">
        <v>529526.71023076</v>
      </c>
      <c r="D27" s="7" t="n">
        <v>26253.35324830169</v>
      </c>
      <c r="E27" s="7" t="n">
        <v>7717.5</v>
      </c>
      <c r="F27" s="7" t="n">
        <v>28994</v>
      </c>
      <c r="G27" s="7" t="n">
        <v>11550</v>
      </c>
      <c r="H27" s="8">
        <f>SUM(C27:G27)</f>
        <v/>
      </c>
      <c r="I27" s="24">
        <f>H27/$H$29</f>
        <v/>
      </c>
      <c r="J27" s="17" t="n">
        <v>1950</v>
      </c>
      <c r="K27" s="8">
        <f>H27-J27</f>
        <v/>
      </c>
    </row>
    <row r="28">
      <c r="B28" s="25" t="inlineStr">
        <is>
          <t>Dic</t>
        </is>
      </c>
      <c r="C28" s="13" t="n">
        <v>544169.8486136022</v>
      </c>
      <c r="D28" s="13" t="n">
        <v>5615.500554793536</v>
      </c>
      <c r="E28" s="13" t="n">
        <v>4331.25</v>
      </c>
      <c r="F28" s="13" t="n">
        <v>15772.4</v>
      </c>
      <c r="G28" s="13" t="n">
        <v>20720</v>
      </c>
      <c r="H28" s="14">
        <f>SUM(C28:G28)</f>
        <v/>
      </c>
      <c r="I28" s="26">
        <f>H28/$H$29</f>
        <v/>
      </c>
      <c r="J28" s="17" t="n">
        <v>2810</v>
      </c>
      <c r="K28" s="14">
        <f>H28-J28</f>
        <v/>
      </c>
    </row>
    <row r="29">
      <c r="B29" s="27" t="inlineStr">
        <is>
          <t>TOTAL GASTOS NETOS 2027</t>
        </is>
      </c>
      <c r="C29" s="19">
        <f>SUM(C17:C28)</f>
        <v/>
      </c>
      <c r="D29" s="19">
        <f>SUM(D17:D28)</f>
        <v/>
      </c>
      <c r="E29" s="19">
        <f>SUM(E17:E28)</f>
        <v/>
      </c>
      <c r="F29" s="19">
        <f>SUM(F17:F28)</f>
        <v/>
      </c>
      <c r="G29" s="19">
        <f>SUM(G17:G28)</f>
        <v/>
      </c>
      <c r="H29" s="19">
        <f>SUM(H17:H28)</f>
        <v/>
      </c>
      <c r="I29" s="28" t="n">
        <v>1</v>
      </c>
      <c r="J29" s="19">
        <f>SUM(J17:J28)</f>
        <v/>
      </c>
      <c r="K29" s="19">
        <f>SUM(K17:K28)</f>
        <v/>
      </c>
    </row>
    <row r="32">
      <c r="B32" s="3" t="inlineStr">
        <is>
          <t>3. CIERRE EJERCICIO 2026 (SEPTIEMBRE - DICIEMBRE): TRANSPORTE Y REGULATORY</t>
        </is>
      </c>
    </row>
    <row r="33" ht="24" customHeight="1">
      <c r="B33" s="29" t="inlineStr">
        <is>
          <t>Concepto / Partida</t>
        </is>
      </c>
      <c r="C33" s="29" t="inlineStr">
        <is>
          <t>Cuenta PGC</t>
        </is>
      </c>
      <c r="D33" s="29" t="inlineStr">
        <is>
          <t>Sep (€)</t>
        </is>
      </c>
      <c r="E33" s="29" t="inlineStr">
        <is>
          <t>Oct (€)</t>
        </is>
      </c>
      <c r="F33" s="29" t="inlineStr">
        <is>
          <t>Nov (€)</t>
        </is>
      </c>
      <c r="G33" s="29" t="inlineStr">
        <is>
          <t>Dic (€)</t>
        </is>
      </c>
      <c r="H33" s="29" t="inlineStr">
        <is>
          <t>Total Sep-Dic (€)</t>
        </is>
      </c>
      <c r="I33" s="29" t="inlineStr">
        <is>
          <t>P&amp;L Sep-Dic (€)</t>
        </is>
      </c>
      <c r="J33" s="29" t="inlineStr">
        <is>
          <t>Diferencia (€)</t>
        </is>
      </c>
      <c r="K33" s="29" t="inlineStr">
        <is>
          <t>Comentario</t>
        </is>
      </c>
    </row>
    <row r="34">
      <c r="B34" s="5" t="inlineStr">
        <is>
          <t>Transporte Nacional (Campillo)</t>
        </is>
      </c>
      <c r="C34" s="6" t="inlineStr">
        <is>
          <t>624000001</t>
        </is>
      </c>
      <c r="D34" s="7" t="n">
        <v>6434.53</v>
      </c>
      <c r="E34" s="7" t="n">
        <v>10499.03</v>
      </c>
      <c r="F34" s="7" t="n">
        <v>10212.34</v>
      </c>
      <c r="G34" s="7" t="n">
        <v>4053.93</v>
      </c>
      <c r="H34" s="7" t="n">
        <v>31199.84</v>
      </c>
      <c r="I34" s="7" t="n">
        <v>58042.3</v>
      </c>
      <c r="J34" s="8">
        <f>H34-I34</f>
        <v/>
      </c>
      <c r="K34" s="6" t="inlineStr">
        <is>
          <t>Ahorro vs previsión P&amp;L (-26.8k €)</t>
        </is>
      </c>
    </row>
    <row r="35">
      <c r="B35" s="11" t="inlineStr">
        <is>
          <t>Transporte Canarias (Sealine)</t>
        </is>
      </c>
      <c r="C35" s="12" t="inlineStr">
        <is>
          <t>624000003</t>
        </is>
      </c>
      <c r="D35" s="13" t="n">
        <v>2450.11</v>
      </c>
      <c r="E35" s="13" t="n">
        <v>7990.59</v>
      </c>
      <c r="F35" s="13" t="n">
        <v>11300.38</v>
      </c>
      <c r="G35" s="13" t="n">
        <v>534.14</v>
      </c>
      <c r="H35" s="13" t="n">
        <v>22275.21</v>
      </c>
      <c r="I35" s="13" t="n">
        <v>23316.18</v>
      </c>
      <c r="J35" s="14">
        <f>H35-I35</f>
        <v/>
      </c>
      <c r="K35" s="12" t="inlineStr">
        <is>
          <t>Alineado con previsión (-1.0k €)</t>
        </is>
      </c>
    </row>
    <row r="36">
      <c r="B36" s="5" t="inlineStr">
        <is>
          <t>Transporte Exportación (Repercutido a Clientes)</t>
        </is>
      </c>
      <c r="C36" s="6" t="inlineStr">
        <is>
          <t>700001624 / 624</t>
        </is>
      </c>
      <c r="D36" s="7" t="n">
        <v>0</v>
      </c>
      <c r="E36" s="7" t="n">
        <v>0</v>
      </c>
      <c r="F36" s="7" t="n">
        <v>0</v>
      </c>
      <c r="G36" s="7" t="n">
        <v>0</v>
      </c>
      <c r="H36" s="7" t="n">
        <v>0</v>
      </c>
      <c r="I36" s="7" t="n">
        <v>0</v>
      </c>
      <c r="J36" s="8">
        <f>H36-I36</f>
        <v/>
      </c>
      <c r="K36" s="6" t="inlineStr">
        <is>
          <t>Repercutido 100% al cliente (97.236 € facturados; 0 € coste neto Codiagro)</t>
        </is>
      </c>
    </row>
    <row r="37">
      <c r="B37" s="11" t="inlineStr">
        <is>
          <t>Residuos Peligrosos y NP</t>
        </is>
      </c>
      <c r="C37" s="12" t="inlineStr">
        <is>
          <t>629000007</t>
        </is>
      </c>
      <c r="D37" s="13" t="n">
        <v>0</v>
      </c>
      <c r="E37" s="13" t="n">
        <v>4500</v>
      </c>
      <c r="F37" s="13" t="n">
        <v>4500</v>
      </c>
      <c r="G37" s="13" t="n">
        <v>4500</v>
      </c>
      <c r="H37" s="13" t="n">
        <v>13500</v>
      </c>
      <c r="I37" s="13" t="n">
        <v>11500</v>
      </c>
      <c r="J37" s="14">
        <f>H37-I37</f>
        <v/>
      </c>
      <c r="K37" s="12" t="inlineStr">
        <is>
          <t>Estimación de 4.500 €/mes en Q4</t>
        </is>
      </c>
    </row>
    <row r="38">
      <c r="B38" s="5" t="inlineStr">
        <is>
          <t>AEVAE (Declaración y Regulariz.)</t>
        </is>
      </c>
      <c r="C38" s="6" t="inlineStr">
        <is>
          <t>629000002</t>
        </is>
      </c>
      <c r="D38" s="7" t="n">
        <v>0</v>
      </c>
      <c r="E38" s="7" t="n">
        <v>0</v>
      </c>
      <c r="F38" s="7" t="n">
        <v>0</v>
      </c>
      <c r="G38" s="7" t="n">
        <v>2916</v>
      </c>
      <c r="H38" s="7" t="n">
        <v>2916</v>
      </c>
      <c r="I38" s="7" t="n">
        <v>2916</v>
      </c>
      <c r="J38" s="8">
        <f>H38-I38</f>
        <v/>
      </c>
      <c r="K38" s="6" t="inlineStr">
        <is>
          <t>Declaración Q3 + regularización provisional</t>
        </is>
      </c>
    </row>
    <row r="39">
      <c r="B39" s="11" t="inlineStr">
        <is>
          <t>Registros y Tenedurías</t>
        </is>
      </c>
      <c r="C39" s="12" t="inlineStr">
        <is>
          <t>623000003</t>
        </is>
      </c>
      <c r="D39" s="13" t="n">
        <v>0</v>
      </c>
      <c r="E39" s="13" t="n">
        <v>2650</v>
      </c>
      <c r="F39" s="13" t="n">
        <v>1600</v>
      </c>
      <c r="G39" s="13" t="n">
        <v>6150</v>
      </c>
      <c r="H39" s="13" t="n">
        <v>10400</v>
      </c>
      <c r="I39" s="13" t="n">
        <v>8000</v>
      </c>
      <c r="J39" s="14">
        <f>H39-I39</f>
        <v/>
      </c>
      <c r="K39" s="12" t="inlineStr">
        <is>
          <t>Guatemala, Sudáfrica y Arabia</t>
        </is>
      </c>
    </row>
    <row r="40">
      <c r="B40" s="5" t="inlineStr">
        <is>
          <t>Marcas Nuevas (Biorad UE e Int)</t>
        </is>
      </c>
      <c r="C40" s="6" t="inlineStr">
        <is>
          <t>203000000 / 6232</t>
        </is>
      </c>
      <c r="D40" s="7" t="n">
        <v>0</v>
      </c>
      <c r="E40" s="7" t="n">
        <v>900</v>
      </c>
      <c r="F40" s="7" t="n">
        <v>0</v>
      </c>
      <c r="G40" s="7" t="n">
        <v>4000</v>
      </c>
      <c r="H40" s="7" t="n">
        <v>4900</v>
      </c>
      <c r="I40" s="7" t="n">
        <v>0</v>
      </c>
      <c r="J40" s="8">
        <f>H40-I40</f>
        <v/>
      </c>
      <c r="K40" s="6" t="inlineStr">
        <is>
          <t>Biorad UE (4.000 €) activable en inmovilizado</t>
        </is>
      </c>
    </row>
    <row r="41">
      <c r="B41" s="11" t="inlineStr">
        <is>
          <t>Inspecciones y Seguridad Industrial</t>
        </is>
      </c>
      <c r="C41" s="12" t="inlineStr">
        <is>
          <t>622000000</t>
        </is>
      </c>
      <c r="D41" s="13" t="n">
        <v>0</v>
      </c>
      <c r="E41" s="13" t="n">
        <v>0</v>
      </c>
      <c r="F41" s="13" t="n">
        <v>1500</v>
      </c>
      <c r="G41" s="13" t="n">
        <v>0</v>
      </c>
      <c r="H41" s="13" t="n">
        <v>1500</v>
      </c>
      <c r="I41" s="13" t="n">
        <v>0</v>
      </c>
      <c r="J41" s="14">
        <f>H41-I41</f>
        <v/>
      </c>
      <c r="K41" s="12" t="inlineStr">
        <is>
          <t>Inspección Antiincendios y APQ (cada 5 años)</t>
        </is>
      </c>
    </row>
    <row r="42">
      <c r="B42" s="5" t="inlineStr">
        <is>
          <t>Certificaciones Ecológicas (BCS)</t>
        </is>
      </c>
      <c r="C42" s="6" t="inlineStr">
        <is>
          <t>623000004</t>
        </is>
      </c>
      <c r="D42" s="7" t="n">
        <v>0</v>
      </c>
      <c r="E42" s="7" t="n">
        <v>300</v>
      </c>
      <c r="F42" s="7" t="n">
        <v>0</v>
      </c>
      <c r="G42" s="7" t="n">
        <v>1200</v>
      </c>
      <c r="H42" s="7" t="n">
        <v>1500</v>
      </c>
      <c r="I42" s="7" t="n">
        <v>5084.56</v>
      </c>
      <c r="J42" s="8">
        <f>H42-I42</f>
        <v/>
      </c>
      <c r="K42" s="6" t="inlineStr">
        <is>
          <t>Renovación 4 productos</t>
        </is>
      </c>
    </row>
    <row r="43">
      <c r="B43" s="18" t="inlineStr">
        <is>
          <t>TOTAL GASTOS Q4 2026</t>
        </is>
      </c>
      <c r="C43" s="18" t="inlineStr"/>
      <c r="D43" s="19">
        <f>SUM(D34:D42)</f>
        <v/>
      </c>
      <c r="E43" s="19">
        <f>SUM(E34:E42)</f>
        <v/>
      </c>
      <c r="F43" s="19">
        <f>SUM(F34:F42)</f>
        <v/>
      </c>
      <c r="G43" s="19">
        <f>SUM(G34:G42)</f>
        <v/>
      </c>
      <c r="H43" s="19">
        <f>SUM(H34:H42)</f>
        <v/>
      </c>
      <c r="I43" s="19">
        <f>SUM(I34:I42)</f>
        <v/>
      </c>
      <c r="J43" s="19">
        <f>SUM(J34:J42)</f>
        <v/>
      </c>
      <c r="K43" s="21" t="inlineStr">
        <is>
          <t>Control estricto de cierre Q4 (sin distorsión de fletes export)</t>
        </is>
      </c>
    </row>
  </sheetData>
  <mergeCells count="6">
    <mergeCell ref="B32:K32"/>
    <mergeCell ref="B13:K13"/>
    <mergeCell ref="B15:K15"/>
    <mergeCell ref="B2:K2"/>
    <mergeCell ref="B3:K3"/>
    <mergeCell ref="B5:K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Y79"/>
  <sheetViews>
    <sheetView showGridLines="1" workbookViewId="0">
      <selection activeCell="A1" sqref="A1"/>
    </sheetView>
  </sheetViews>
  <sheetFormatPr baseColWidth="8" defaultRowHeight="15"/>
  <cols>
    <col width="3" customWidth="1" min="1" max="1"/>
    <col width="16" customWidth="1" min="2" max="2"/>
    <col width="22" customWidth="1" min="3" max="3"/>
    <col width="35" customWidth="1" min="4" max="4"/>
    <col width="24" customWidth="1" min="5" max="5"/>
    <col width="14" customWidth="1" min="6" max="6"/>
    <col width="28" customWidth="1" min="7" max="7"/>
    <col width="24" customWidth="1" min="8" max="8"/>
    <col width="2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8" customWidth="1" min="22" max="22"/>
    <col width="18" customWidth="1" min="23" max="23"/>
    <col width="18" customWidth="1" min="24" max="24"/>
    <col width="55" customWidth="1" min="25" max="25"/>
  </cols>
  <sheetData>
    <row r="2">
      <c r="B2" s="1" t="inlineStr">
        <is>
          <t>DETALLE DE PARTIDAS PRESUPUESTARIAS 2027 Y MAPEO A CUENTAS PGC</t>
        </is>
      </c>
    </row>
    <row r="3">
      <c r="B3" s="2" t="inlineStr">
        <is>
          <t>Desglose mensual de cada partida, imputación contable, comparativa con P&amp;L actual y clasificación de inmovilizado</t>
        </is>
      </c>
    </row>
    <row r="5" ht="28" customHeight="1">
      <c r="B5" s="4" t="inlineStr">
        <is>
          <t>Depto</t>
        </is>
      </c>
      <c r="C5" s="4" t="inlineStr">
        <is>
          <t>Subcategoría / Área</t>
        </is>
      </c>
      <c r="D5" s="4" t="inlineStr">
        <is>
          <t>Partida / Concepto Detallado</t>
        </is>
      </c>
      <c r="E5" s="4" t="inlineStr">
        <is>
          <t>Proveedor / Destino</t>
        </is>
      </c>
      <c r="F5" s="4" t="inlineStr">
        <is>
          <t>Cta PGC Gasto</t>
        </is>
      </c>
      <c r="G5" s="4" t="inlineStr">
        <is>
          <t>Nombre Cuenta Contable PGC</t>
        </is>
      </c>
      <c r="H5" s="4" t="inlineStr">
        <is>
          <t>Tipo Contable</t>
        </is>
      </c>
      <c r="I5" s="4" t="inlineStr">
        <is>
          <t>Cta Inmovilizado Alternativa</t>
        </is>
      </c>
      <c r="J5" s="4" t="inlineStr">
        <is>
          <t>Ene</t>
        </is>
      </c>
      <c r="K5" s="4" t="inlineStr">
        <is>
          <t>Feb</t>
        </is>
      </c>
      <c r="L5" s="4" t="inlineStr">
        <is>
          <t>Mar</t>
        </is>
      </c>
      <c r="M5" s="4" t="inlineStr">
        <is>
          <t>Abr</t>
        </is>
      </c>
      <c r="N5" s="4" t="inlineStr">
        <is>
          <t>May</t>
        </is>
      </c>
      <c r="O5" s="4" t="inlineStr">
        <is>
          <t>Jun</t>
        </is>
      </c>
      <c r="P5" s="4" t="inlineStr">
        <is>
          <t>Jul</t>
        </is>
      </c>
      <c r="Q5" s="4" t="inlineStr">
        <is>
          <t>Ago</t>
        </is>
      </c>
      <c r="R5" s="4" t="inlineStr">
        <is>
          <t>Sep</t>
        </is>
      </c>
      <c r="S5" s="4" t="inlineStr">
        <is>
          <t>Oct</t>
        </is>
      </c>
      <c r="T5" s="4" t="inlineStr">
        <is>
          <t>Nov</t>
        </is>
      </c>
      <c r="U5" s="4" t="inlineStr">
        <is>
          <t>Dic</t>
        </is>
      </c>
      <c r="V5" s="4" t="inlineStr">
        <is>
          <t>Total 2027 (€)</t>
        </is>
      </c>
      <c r="W5" s="4" t="inlineStr">
        <is>
          <t>P&amp;L Actual Cta (€)</t>
        </is>
      </c>
      <c r="X5" s="4" t="inlineStr">
        <is>
          <t>Diferencia (€)</t>
        </is>
      </c>
      <c r="Y5" s="4" t="inlineStr">
        <is>
          <t>Criterio / Justificación Contable</t>
        </is>
      </c>
    </row>
    <row r="6">
      <c r="B6" s="5" t="inlineStr">
        <is>
          <t>Compras</t>
        </is>
      </c>
      <c r="C6" s="6" t="inlineStr">
        <is>
          <t>Materias Primas</t>
        </is>
      </c>
      <c r="D6" s="6" t="inlineStr">
        <is>
          <t>Compras Netas MP Formulados (+3% reserva pedidos mín)</t>
        </is>
      </c>
      <c r="E6" s="6" t="inlineStr">
        <is>
          <t>Varios proveedores MP</t>
        </is>
      </c>
      <c r="F6" s="5" t="inlineStr">
        <is>
          <t>601000000</t>
        </is>
      </c>
      <c r="G6" s="6" t="inlineStr">
        <is>
          <t>Compras de materias primas</t>
        </is>
      </c>
      <c r="H6" s="6" t="inlineStr">
        <is>
          <t>Gasto Corriente</t>
        </is>
      </c>
      <c r="I6" s="6" t="inlineStr">
        <is>
          <t>-</t>
        </is>
      </c>
      <c r="J6" s="7" t="n">
        <v>247571.61</v>
      </c>
      <c r="K6" s="7" t="n">
        <v>480047.38</v>
      </c>
      <c r="L6" s="7" t="n">
        <v>505499.75</v>
      </c>
      <c r="M6" s="7" t="n">
        <v>391336.67</v>
      </c>
      <c r="N6" s="7" t="n">
        <v>639721.61</v>
      </c>
      <c r="O6" s="7" t="n">
        <v>660412.55</v>
      </c>
      <c r="P6" s="7" t="n">
        <v>425647.17</v>
      </c>
      <c r="Q6" s="7" t="n">
        <v>255306.21</v>
      </c>
      <c r="R6" s="7" t="n">
        <v>154533.56</v>
      </c>
      <c r="S6" s="7" t="n">
        <v>257348.52</v>
      </c>
      <c r="T6" s="7" t="n">
        <v>410647.96</v>
      </c>
      <c r="U6" s="7" t="n">
        <v>422003.72</v>
      </c>
      <c r="V6" s="8">
        <f>SUM(J6:U6)</f>
        <v/>
      </c>
      <c r="W6" s="7" t="n">
        <v>4791964</v>
      </c>
      <c r="X6" s="8">
        <f>V6-W6</f>
        <v/>
      </c>
      <c r="Y6" s="10" t="inlineStr">
        <is>
          <t>Valoración a coste de adquisición neto de stock 31/12 según necesidades de producción formulados.</t>
        </is>
      </c>
    </row>
    <row r="7">
      <c r="B7" s="11" t="inlineStr">
        <is>
          <t>Compras</t>
        </is>
      </c>
      <c r="C7" s="12" t="inlineStr">
        <is>
          <t>Envases y Embalajes</t>
        </is>
      </c>
      <c r="D7" s="12" t="inlineStr">
        <is>
          <t>Envases y bidones para producción envasados</t>
        </is>
      </c>
      <c r="E7" s="12" t="inlineStr">
        <is>
          <t>Varios envases</t>
        </is>
      </c>
      <c r="F7" s="11" t="inlineStr">
        <is>
          <t>602000001</t>
        </is>
      </c>
      <c r="G7" s="12" t="inlineStr">
        <is>
          <t>Compra de envases y embalajes</t>
        </is>
      </c>
      <c r="H7" s="6" t="inlineStr">
        <is>
          <t>Gasto Corriente</t>
        </is>
      </c>
      <c r="I7" s="12" t="inlineStr">
        <is>
          <t>-</t>
        </is>
      </c>
      <c r="J7" s="13" t="n">
        <v>51110.53</v>
      </c>
      <c r="K7" s="13" t="n">
        <v>99104.56</v>
      </c>
      <c r="L7" s="13" t="n">
        <v>104359.14</v>
      </c>
      <c r="M7" s="13" t="n">
        <v>80790.46000000001</v>
      </c>
      <c r="N7" s="13" t="n">
        <v>132068.9</v>
      </c>
      <c r="O7" s="13" t="n">
        <v>136340.49</v>
      </c>
      <c r="P7" s="13" t="n">
        <v>87873.77</v>
      </c>
      <c r="Q7" s="13" t="n">
        <v>52707.32</v>
      </c>
      <c r="R7" s="13" t="n">
        <v>31903.06</v>
      </c>
      <c r="S7" s="13" t="n">
        <v>53128.95</v>
      </c>
      <c r="T7" s="13" t="n">
        <v>84777.23</v>
      </c>
      <c r="U7" s="13" t="n">
        <v>87121.59</v>
      </c>
      <c r="V7" s="14">
        <f>SUM(J7:U7)</f>
        <v/>
      </c>
      <c r="W7" s="13" t="n">
        <v>998826.14</v>
      </c>
      <c r="X7" s="14">
        <f>V7-W7</f>
        <v/>
      </c>
      <c r="Y7" s="16" t="inlineStr">
        <is>
          <t>Coste variable directo de envases según lotes presupuestados.</t>
        </is>
      </c>
    </row>
    <row r="8">
      <c r="B8" s="5" t="inlineStr">
        <is>
          <t>Compras</t>
        </is>
      </c>
      <c r="C8" s="6" t="inlineStr">
        <is>
          <t>Etiquetas</t>
        </is>
      </c>
      <c r="D8" s="6" t="inlineStr">
        <is>
          <t>Etiquetas bobina y adhesivas para envasado</t>
        </is>
      </c>
      <c r="E8" s="6" t="inlineStr">
        <is>
          <t>Imprentas gráficas</t>
        </is>
      </c>
      <c r="F8" s="5" t="inlineStr">
        <is>
          <t>602000002</t>
        </is>
      </c>
      <c r="G8" s="6" t="inlineStr">
        <is>
          <t>Compra de etiquetas</t>
        </is>
      </c>
      <c r="H8" s="6" t="inlineStr">
        <is>
          <t>Gasto Corriente</t>
        </is>
      </c>
      <c r="I8" s="6" t="inlineStr">
        <is>
          <t>-</t>
        </is>
      </c>
      <c r="J8" s="7" t="n">
        <v>7981.03</v>
      </c>
      <c r="K8" s="7" t="n">
        <v>15475.42</v>
      </c>
      <c r="L8" s="7" t="n">
        <v>16295.93</v>
      </c>
      <c r="M8" s="7" t="n">
        <v>12615.62</v>
      </c>
      <c r="N8" s="7" t="n">
        <v>20622.88</v>
      </c>
      <c r="O8" s="7" t="n">
        <v>21289.9</v>
      </c>
      <c r="P8" s="7" t="n">
        <v>13721.7</v>
      </c>
      <c r="Q8" s="7" t="n">
        <v>8230.370000000001</v>
      </c>
      <c r="R8" s="7" t="n">
        <v>4981.74</v>
      </c>
      <c r="S8" s="7" t="n">
        <v>8296.209999999999</v>
      </c>
      <c r="T8" s="7" t="n">
        <v>13238.17</v>
      </c>
      <c r="U8" s="7" t="n">
        <v>13604.25</v>
      </c>
      <c r="V8" s="8">
        <f>SUM(J8:U8)</f>
        <v/>
      </c>
      <c r="W8" s="7" t="n">
        <v>101284.89</v>
      </c>
      <c r="X8" s="8">
        <f>V8-W8</f>
        <v/>
      </c>
      <c r="Y8" s="10" t="inlineStr">
        <is>
          <t>Material auxiliar de acondicionamiento proporcional a las unidades envasadas.</t>
        </is>
      </c>
    </row>
    <row r="9">
      <c r="B9" s="11" t="inlineStr">
        <is>
          <t>Compras</t>
        </is>
      </c>
      <c r="C9" s="12" t="inlineStr">
        <is>
          <t>Palets</t>
        </is>
      </c>
      <c r="D9" s="12" t="inlineStr">
        <is>
          <t>Palets homologados (nacional y export)</t>
        </is>
      </c>
      <c r="E9" s="12" t="inlineStr">
        <is>
          <t>Proveedores palets</t>
        </is>
      </c>
      <c r="F9" s="11" t="inlineStr">
        <is>
          <t>602000003</t>
        </is>
      </c>
      <c r="G9" s="12" t="inlineStr">
        <is>
          <t>Compra de palets</t>
        </is>
      </c>
      <c r="H9" s="6" t="inlineStr">
        <is>
          <t>Gasto Corriente</t>
        </is>
      </c>
      <c r="I9" s="12" t="inlineStr">
        <is>
          <t>-</t>
        </is>
      </c>
      <c r="J9" s="13" t="n">
        <v>8300.27</v>
      </c>
      <c r="K9" s="13" t="n">
        <v>16094.43</v>
      </c>
      <c r="L9" s="13" t="n">
        <v>16947.77</v>
      </c>
      <c r="M9" s="13" t="n">
        <v>13120.25</v>
      </c>
      <c r="N9" s="13" t="n">
        <v>21447.79</v>
      </c>
      <c r="O9" s="13" t="n">
        <v>22141.49</v>
      </c>
      <c r="P9" s="13" t="n">
        <v>14270.57</v>
      </c>
      <c r="Q9" s="13" t="n">
        <v>8559.59</v>
      </c>
      <c r="R9" s="13" t="n">
        <v>5181.01</v>
      </c>
      <c r="S9" s="13" t="n">
        <v>8628.059999999999</v>
      </c>
      <c r="T9" s="13" t="n">
        <v>13767.69</v>
      </c>
      <c r="U9" s="13" t="n">
        <v>14148.42</v>
      </c>
      <c r="V9" s="14">
        <f>SUM(J9:U9)</f>
        <v/>
      </c>
      <c r="W9" s="13" t="n">
        <v>105364.66</v>
      </c>
      <c r="X9" s="14">
        <f>V9-W9</f>
        <v/>
      </c>
      <c r="Y9" s="16" t="inlineStr">
        <is>
          <t>Suministros logísticos de transporte y expedición.</t>
        </is>
      </c>
    </row>
    <row r="10">
      <c r="B10" s="5" t="inlineStr">
        <is>
          <t>Compras</t>
        </is>
      </c>
      <c r="C10" s="6" t="inlineStr">
        <is>
          <t>Tapones</t>
        </is>
      </c>
      <c r="D10" s="6" t="inlineStr">
        <is>
          <t>Tapones de seguridad y dosificadores envases</t>
        </is>
      </c>
      <c r="E10" s="6" t="inlineStr">
        <is>
          <t>Fabricantes tapones</t>
        </is>
      </c>
      <c r="F10" s="5" t="inlineStr">
        <is>
          <t>602000006</t>
        </is>
      </c>
      <c r="G10" s="6" t="inlineStr">
        <is>
          <t>Compra tapones de envases</t>
        </is>
      </c>
      <c r="H10" s="6" t="inlineStr">
        <is>
          <t>Gasto Corriente</t>
        </is>
      </c>
      <c r="I10" s="6" t="inlineStr">
        <is>
          <t>-</t>
        </is>
      </c>
      <c r="J10" s="7" t="n">
        <v>4277.83</v>
      </c>
      <c r="K10" s="7" t="n">
        <v>8294.82</v>
      </c>
      <c r="L10" s="7" t="n">
        <v>8734.620000000001</v>
      </c>
      <c r="M10" s="7" t="n">
        <v>6761.97</v>
      </c>
      <c r="N10" s="7" t="n">
        <v>11053.86</v>
      </c>
      <c r="O10" s="7" t="n">
        <v>11411.38</v>
      </c>
      <c r="P10" s="7" t="n">
        <v>7354.83</v>
      </c>
      <c r="Q10" s="7" t="n">
        <v>4411.48</v>
      </c>
      <c r="R10" s="7" t="n">
        <v>2670.21</v>
      </c>
      <c r="S10" s="7" t="n">
        <v>4446.77</v>
      </c>
      <c r="T10" s="7" t="n">
        <v>7095.66</v>
      </c>
      <c r="U10" s="7" t="n">
        <v>7291.88</v>
      </c>
      <c r="V10" s="8">
        <f>SUM(J10:U10)</f>
        <v/>
      </c>
      <c r="W10" s="7" t="n">
        <v>39556.1</v>
      </c>
      <c r="X10" s="8">
        <f>V10-W10</f>
        <v/>
      </c>
      <c r="Y10" s="10" t="inlineStr">
        <is>
          <t>Aprovisionamiento auxiliar directo para líneas de envasado.</t>
        </is>
      </c>
    </row>
    <row r="11">
      <c r="B11" s="11" t="inlineStr">
        <is>
          <t>Transporte</t>
        </is>
      </c>
      <c r="C11" s="12" t="inlineStr">
        <is>
          <t>Logística Nacional</t>
        </is>
      </c>
      <c r="D11" s="12" t="inlineStr">
        <is>
          <t>Transporte Resto Nacional (Campillo)</t>
        </is>
      </c>
      <c r="E11" s="12" t="inlineStr">
        <is>
          <t>Campillo Palmera</t>
        </is>
      </c>
      <c r="F11" s="11" t="inlineStr">
        <is>
          <t>624000001</t>
        </is>
      </c>
      <c r="G11" s="12" t="inlineStr">
        <is>
          <t>Transportes nacional</t>
        </is>
      </c>
      <c r="H11" s="6" t="inlineStr">
        <is>
          <t>Gasto Corriente</t>
        </is>
      </c>
      <c r="I11" s="12" t="inlineStr">
        <is>
          <t>-</t>
        </is>
      </c>
      <c r="J11" s="13" t="n">
        <v>7016.854184929888</v>
      </c>
      <c r="K11" s="13" t="n">
        <v>13619.90193040933</v>
      </c>
      <c r="L11" s="13" t="n">
        <v>18607.54083461593</v>
      </c>
      <c r="M11" s="13" t="n">
        <v>22055.43884009254</v>
      </c>
      <c r="N11" s="13" t="n">
        <v>18645.63133053208</v>
      </c>
      <c r="O11" s="13" t="n">
        <v>20396.40715391152</v>
      </c>
      <c r="P11" s="13" t="n">
        <v>14747.91199593976</v>
      </c>
      <c r="Q11" s="13" t="n">
        <v>13338.44855233464</v>
      </c>
      <c r="R11" s="13" t="n">
        <v>7825.858785609745</v>
      </c>
      <c r="S11" s="13" t="n">
        <v>12700.11574760398</v>
      </c>
      <c r="T11" s="13" t="n">
        <v>12528.19156517634</v>
      </c>
      <c r="U11" s="13" t="n">
        <v>4989.849112742552</v>
      </c>
      <c r="V11" s="14">
        <f>SUM(J11:U11)</f>
        <v/>
      </c>
      <c r="W11" s="13" t="n">
        <v>212857.93</v>
      </c>
      <c r="X11" s="14">
        <f>V11-W11</f>
        <v/>
      </c>
      <c r="Y11" s="16" t="inlineStr">
        <is>
          <t>Coste variable según expediciones peninsulares estimadas (+10% tarifas e incremento combustible).</t>
        </is>
      </c>
    </row>
    <row r="12">
      <c r="B12" s="5" t="inlineStr">
        <is>
          <t>Transporte</t>
        </is>
      </c>
      <c r="C12" s="6" t="inlineStr">
        <is>
          <t>Logística Insular</t>
        </is>
      </c>
      <c r="D12" s="6" t="inlineStr">
        <is>
          <t>Transporte Canarias (Sealine marítimo)</t>
        </is>
      </c>
      <c r="E12" s="6" t="inlineStr">
        <is>
          <t>Sealine</t>
        </is>
      </c>
      <c r="F12" s="5" t="inlineStr">
        <is>
          <t>624000003</t>
        </is>
      </c>
      <c r="G12" s="6" t="inlineStr">
        <is>
          <t>Transportes Canarias</t>
        </is>
      </c>
      <c r="H12" s="6" t="inlineStr">
        <is>
          <t>Gasto Corriente</t>
        </is>
      </c>
      <c r="I12" s="6" t="inlineStr">
        <is>
          <t>-</t>
        </is>
      </c>
      <c r="J12" s="7" t="n">
        <v>6088.181285202775</v>
      </c>
      <c r="K12" s="7" t="n">
        <v>5367.258112259968</v>
      </c>
      <c r="L12" s="7" t="n">
        <v>7224.724671199661</v>
      </c>
      <c r="M12" s="7" t="n">
        <v>3712.042109710713</v>
      </c>
      <c r="N12" s="7" t="n">
        <v>14028.95367824759</v>
      </c>
      <c r="O12" s="7" t="n">
        <v>2584.44001485405</v>
      </c>
      <c r="P12" s="7" t="n">
        <v>4588.298266270711</v>
      </c>
      <c r="Q12" s="7" t="n">
        <v>8667.685530792523</v>
      </c>
      <c r="R12" s="7" t="n">
        <v>2950.85345764923</v>
      </c>
      <c r="S12" s="7" t="n">
        <v>9635.041095812496</v>
      </c>
      <c r="T12" s="7" t="n">
        <v>13725.16168312535</v>
      </c>
      <c r="U12" s="7" t="n">
        <v>625.6514420509841</v>
      </c>
      <c r="V12" s="8">
        <f>SUM(J12:U12)</f>
        <v/>
      </c>
      <c r="W12" s="7" t="n">
        <v>88690.8</v>
      </c>
      <c r="X12" s="8">
        <f>V12-W12</f>
        <v/>
      </c>
      <c r="Y12" s="10" t="inlineStr">
        <is>
          <t>Flete marítimo regular a delegaciones y distribuidores canarios.</t>
        </is>
      </c>
    </row>
    <row r="13">
      <c r="B13" s="11" t="inlineStr">
        <is>
          <t>Transporte</t>
        </is>
      </c>
      <c r="C13" s="12" t="inlineStr">
        <is>
          <t>Logística Exportación</t>
        </is>
      </c>
      <c r="D13" s="11" t="inlineStr">
        <is>
          <t>Transporte Exportación (Repercutido 100% al Cliente)</t>
        </is>
      </c>
      <c r="E13" s="12" t="inlineStr">
        <is>
          <t>Transitarios y navieras</t>
        </is>
      </c>
      <c r="F13" s="11" t="inlineStr">
        <is>
          <t>700001624 / 624</t>
        </is>
      </c>
      <c r="G13" s="12" t="inlineStr">
        <is>
          <t>Venta transporte rep. / Flete internacional</t>
        </is>
      </c>
      <c r="H13" s="30" t="inlineStr">
        <is>
          <t>Repercutido a Clientes (Neutro)</t>
        </is>
      </c>
      <c r="I13" s="12" t="inlineStr">
        <is>
          <t>-</t>
        </is>
      </c>
      <c r="J13" s="13" t="n">
        <v>0</v>
      </c>
      <c r="K13" s="13" t="n">
        <v>0</v>
      </c>
      <c r="L13" s="13" t="n">
        <v>0</v>
      </c>
      <c r="M13" s="13" t="n">
        <v>0</v>
      </c>
      <c r="N13" s="13" t="n">
        <v>0</v>
      </c>
      <c r="O13" s="13" t="n">
        <v>0</v>
      </c>
      <c r="P13" s="13" t="n">
        <v>0</v>
      </c>
      <c r="Q13" s="13" t="n">
        <v>0</v>
      </c>
      <c r="R13" s="13" t="n">
        <v>0</v>
      </c>
      <c r="S13" s="13" t="n">
        <v>0</v>
      </c>
      <c r="T13" s="13" t="n">
        <v>0</v>
      </c>
      <c r="U13" s="13" t="n">
        <v>0</v>
      </c>
      <c r="V13" s="14">
        <f>SUM(J13:U13)</f>
        <v/>
      </c>
      <c r="W13" s="13" t="n">
        <v>0</v>
      </c>
      <c r="X13" s="14">
        <f>V13-W13</f>
        <v/>
      </c>
      <c r="Y13" s="16" t="inlineStr">
        <is>
          <t>El transporte de exportación (305.223,30 €) se factura íntegramente al cliente vía flete repercutido (700001624). Coste neto 0 € para Codiagro, excluido de gastos.</t>
        </is>
      </c>
    </row>
    <row r="14">
      <c r="B14" s="5" t="inlineStr">
        <is>
          <t>Mantenimiento</t>
        </is>
      </c>
      <c r="C14" s="6" t="inlineStr">
        <is>
          <t>Correctivo</t>
        </is>
      </c>
      <c r="D14" s="6" t="inlineStr">
        <is>
          <t>Imprevistos y averías de planta (3.000 €/mes base + contingencia)</t>
        </is>
      </c>
      <c r="E14" s="6" t="inlineStr">
        <is>
          <t>Varios / Taller propio</t>
        </is>
      </c>
      <c r="F14" s="5" t="inlineStr">
        <is>
          <t>622010000</t>
        </is>
      </c>
      <c r="G14" s="6" t="inlineStr">
        <is>
          <t>Mantenimiento preventivo/correctivo</t>
        </is>
      </c>
      <c r="H14" s="6" t="inlineStr">
        <is>
          <t>Gasto Corriente</t>
        </is>
      </c>
      <c r="I14" s="6" t="inlineStr">
        <is>
          <t>-</t>
        </is>
      </c>
      <c r="J14" s="7" t="n">
        <v>3150</v>
      </c>
      <c r="K14" s="7" t="n">
        <v>3150</v>
      </c>
      <c r="L14" s="7" t="n">
        <v>3150</v>
      </c>
      <c r="M14" s="7" t="n">
        <v>3150</v>
      </c>
      <c r="N14" s="7" t="n">
        <v>3150</v>
      </c>
      <c r="O14" s="7" t="n">
        <v>3150</v>
      </c>
      <c r="P14" s="7" t="n">
        <v>3150</v>
      </c>
      <c r="Q14" s="7" t="n">
        <v>3150</v>
      </c>
      <c r="R14" s="7" t="n">
        <v>3150</v>
      </c>
      <c r="S14" s="7" t="n">
        <v>3150</v>
      </c>
      <c r="T14" s="7" t="n">
        <v>3150</v>
      </c>
      <c r="U14" s="7" t="n">
        <v>3150</v>
      </c>
      <c r="V14" s="8">
        <f>SUM(J14:U14)</f>
        <v/>
      </c>
      <c r="W14" s="7" t="n">
        <v>17669.4</v>
      </c>
      <c r="X14" s="8">
        <f>V14-W14</f>
        <v/>
      </c>
      <c r="Y14" s="10" t="inlineStr">
        <is>
          <t>Mantenimiento correctivo ordinario mensual para resolución de incidencias en fábrica.</t>
        </is>
      </c>
    </row>
    <row r="15">
      <c r="B15" s="11" t="inlineStr">
        <is>
          <t>Mantenimiento</t>
        </is>
      </c>
      <c r="C15" s="12" t="inlineStr">
        <is>
          <t>Alcaplant / Molinos</t>
        </is>
      </c>
      <c r="D15" s="11" t="inlineStr">
        <is>
          <t>Mantenimiento preventivo y molinos Alcaplant (incluye overhaul Oliver&amp;Batlle)</t>
        </is>
      </c>
      <c r="E15" s="12" t="inlineStr">
        <is>
          <t xml:space="preserve">Maquisel / Talleres Hurtado / </t>
        </is>
      </c>
      <c r="F15" s="11" t="inlineStr">
        <is>
          <t>622010200</t>
        </is>
      </c>
      <c r="G15" s="12" t="inlineStr">
        <is>
          <t>Mantenimiento Alcaplant</t>
        </is>
      </c>
      <c r="H15" s="31" t="inlineStr">
        <is>
          <t>Inmovilizable (Parcial)</t>
        </is>
      </c>
      <c r="I15" s="11" t="inlineStr">
        <is>
          <t>213000000 - Maquinaria</t>
        </is>
      </c>
      <c r="J15" s="13" t="n">
        <v>0</v>
      </c>
      <c r="K15" s="13" t="n">
        <v>0</v>
      </c>
      <c r="L15" s="13" t="n">
        <v>0</v>
      </c>
      <c r="M15" s="13" t="n">
        <v>554.4</v>
      </c>
      <c r="N15" s="13" t="n">
        <v>0</v>
      </c>
      <c r="O15" s="13" t="n">
        <v>0</v>
      </c>
      <c r="P15" s="13" t="n">
        <v>0</v>
      </c>
      <c r="Q15" s="13" t="n">
        <v>1050</v>
      </c>
      <c r="R15" s="13" t="n">
        <v>840</v>
      </c>
      <c r="S15" s="13" t="n">
        <v>3150</v>
      </c>
      <c r="T15" s="13" t="n">
        <v>0</v>
      </c>
      <c r="U15" s="13" t="n">
        <v>0</v>
      </c>
      <c r="V15" s="14">
        <f>SUM(J15:U15)</f>
        <v/>
      </c>
      <c r="W15" s="13" t="n">
        <v>80577.24000000001</v>
      </c>
      <c r="X15" s="14">
        <f>V15-W15</f>
        <v/>
      </c>
      <c r="Y15" s="16" t="inlineStr">
        <is>
          <t>Revisión técnica de molinos. Los 3.000 € de Oliver&amp;Batlle en Octubre son activables en maquinaria si suponen una gran reparación que alarga vida útil.</t>
        </is>
      </c>
    </row>
    <row r="16">
      <c r="B16" s="5" t="inlineStr">
        <is>
          <t>Mantenimiento</t>
        </is>
      </c>
      <c r="C16" s="6" t="inlineStr">
        <is>
          <t>Envasado Sólido</t>
        </is>
      </c>
      <c r="D16" s="6" t="inlineStr">
        <is>
          <t>Repuestos envasado sólido y repaso de sinfines Proymec</t>
        </is>
      </c>
      <c r="E16" s="6" t="inlineStr">
        <is>
          <t>Elocom Montajes / Proymec</t>
        </is>
      </c>
      <c r="F16" s="5" t="inlineStr">
        <is>
          <t>622010300</t>
        </is>
      </c>
      <c r="G16" s="6" t="inlineStr">
        <is>
          <t>Mantenimiento Sólidos</t>
        </is>
      </c>
      <c r="H16" s="6" t="inlineStr">
        <is>
          <t>Gasto Corriente</t>
        </is>
      </c>
      <c r="I16" s="6" t="inlineStr">
        <is>
          <t>-</t>
        </is>
      </c>
      <c r="J16" s="7" t="n">
        <v>367.5</v>
      </c>
      <c r="K16" s="7" t="n">
        <v>367.5</v>
      </c>
      <c r="L16" s="7" t="n">
        <v>367.5</v>
      </c>
      <c r="M16" s="7" t="n">
        <v>367.5</v>
      </c>
      <c r="N16" s="7" t="n">
        <v>367.5</v>
      </c>
      <c r="O16" s="7" t="n">
        <v>367.5</v>
      </c>
      <c r="P16" s="7" t="n">
        <v>367.5</v>
      </c>
      <c r="Q16" s="7" t="n">
        <v>367.5</v>
      </c>
      <c r="R16" s="7" t="n">
        <v>367.5</v>
      </c>
      <c r="S16" s="7" t="n">
        <v>367.5</v>
      </c>
      <c r="T16" s="7" t="n">
        <v>2992.5</v>
      </c>
      <c r="U16" s="7" t="n">
        <v>367.5</v>
      </c>
      <c r="V16" s="8">
        <f>SUM(J16:U16)</f>
        <v/>
      </c>
      <c r="W16" s="7" t="n">
        <v>71268.96000000001</v>
      </c>
      <c r="X16" s="8">
        <f>V16-W16</f>
        <v/>
      </c>
      <c r="Y16" s="10" t="inlineStr">
        <is>
          <t>Repuestos periódicos mensuales (350 €) y repaso general anual de sinfines (2.500 € en Noviembre).</t>
        </is>
      </c>
    </row>
    <row r="17">
      <c r="B17" s="11" t="inlineStr">
        <is>
          <t>Mantenimiento</t>
        </is>
      </c>
      <c r="C17" s="12" t="inlineStr">
        <is>
          <t>Líquidos y Tuberías</t>
        </is>
      </c>
      <c r="D17" s="11" t="inlineStr">
        <is>
          <t>Valvulería, latiguillos, fontanería y propulsores Proymec</t>
        </is>
      </c>
      <c r="E17" s="12" t="inlineStr">
        <is>
          <t>S.I.R / Irriagro / Proymec</t>
        </is>
      </c>
      <c r="F17" s="11" t="inlineStr">
        <is>
          <t>622010400</t>
        </is>
      </c>
      <c r="G17" s="12" t="inlineStr">
        <is>
          <t>Mantenimiento Líquidos</t>
        </is>
      </c>
      <c r="H17" s="31" t="inlineStr">
        <is>
          <t>Inmovilizable (Parcial)</t>
        </is>
      </c>
      <c r="I17" s="11" t="inlineStr">
        <is>
          <t>213000000 - Maquinaria</t>
        </is>
      </c>
      <c r="J17" s="13" t="n">
        <v>420</v>
      </c>
      <c r="K17" s="13" t="n">
        <v>0</v>
      </c>
      <c r="L17" s="13" t="n">
        <v>0</v>
      </c>
      <c r="M17" s="13" t="n">
        <v>630</v>
      </c>
      <c r="N17" s="13" t="n">
        <v>0</v>
      </c>
      <c r="O17" s="13" t="n">
        <v>0</v>
      </c>
      <c r="P17" s="13" t="n">
        <v>0</v>
      </c>
      <c r="Q17" s="13" t="n">
        <v>0</v>
      </c>
      <c r="R17" s="13" t="n">
        <v>3885</v>
      </c>
      <c r="S17" s="13" t="n">
        <v>1155</v>
      </c>
      <c r="T17" s="13" t="n">
        <v>0</v>
      </c>
      <c r="U17" s="13" t="n">
        <v>0</v>
      </c>
      <c r="V17" s="14">
        <f>SUM(J17:U17)</f>
        <v/>
      </c>
      <c r="W17" s="13" t="n">
        <v>12448.08</v>
      </c>
      <c r="X17" s="14">
        <f>V17-W17</f>
        <v/>
      </c>
      <c r="Y17" s="16" t="inlineStr">
        <is>
          <t>Mantenimiento de reactores y líneas de trasvase. La sustitución integral de válvulas propulsores (2.300 € en Sept) puede capitalizarse.</t>
        </is>
      </c>
    </row>
    <row r="18">
      <c r="B18" s="5" t="inlineStr">
        <is>
          <t>Mantenimiento</t>
        </is>
      </c>
      <c r="C18" s="6" t="inlineStr">
        <is>
          <t>Taller Planta</t>
        </is>
      </c>
      <c r="D18" s="6" t="inlineStr">
        <is>
          <t>Consumibles de taller y repuestos generales de mantenimiento</t>
        </is>
      </c>
      <c r="E18" s="6" t="inlineStr">
        <is>
          <t>Novastec / Thermocontrol</t>
        </is>
      </c>
      <c r="F18" s="5" t="inlineStr">
        <is>
          <t>622010500</t>
        </is>
      </c>
      <c r="G18" s="6" t="inlineStr">
        <is>
          <t>Repuestos mantenimiento varios</t>
        </is>
      </c>
      <c r="H18" s="6" t="inlineStr">
        <is>
          <t>Gasto Corriente</t>
        </is>
      </c>
      <c r="I18" s="6" t="inlineStr">
        <is>
          <t>-</t>
        </is>
      </c>
      <c r="J18" s="7" t="n">
        <v>262.5</v>
      </c>
      <c r="K18" s="7" t="n">
        <v>262.5</v>
      </c>
      <c r="L18" s="7" t="n">
        <v>262.5</v>
      </c>
      <c r="M18" s="7" t="n">
        <v>262.5</v>
      </c>
      <c r="N18" s="7" t="n">
        <v>262.5</v>
      </c>
      <c r="O18" s="7" t="n">
        <v>262.5</v>
      </c>
      <c r="P18" s="7" t="n">
        <v>262.5</v>
      </c>
      <c r="Q18" s="7" t="n">
        <v>262.5</v>
      </c>
      <c r="R18" s="7" t="n">
        <v>367.5</v>
      </c>
      <c r="S18" s="7" t="n">
        <v>262.5</v>
      </c>
      <c r="T18" s="7" t="n">
        <v>262.5</v>
      </c>
      <c r="U18" s="7" t="n">
        <v>262.5</v>
      </c>
      <c r="V18" s="8">
        <f>SUM(J18:U18)</f>
        <v/>
      </c>
      <c r="W18" s="7" t="n">
        <v>9458.4</v>
      </c>
      <c r="X18" s="8">
        <f>V18-W18</f>
        <v/>
      </c>
      <c r="Y18" s="10" t="inlineStr">
        <is>
          <t>Suministros de ferretería, tornillería, engrase y consumibles operativos de taller.</t>
        </is>
      </c>
    </row>
    <row r="19">
      <c r="B19" s="11" t="inlineStr">
        <is>
          <t>Mantenimiento</t>
        </is>
      </c>
      <c r="C19" s="12" t="inlineStr">
        <is>
          <t>Instalaciones y Edificios</t>
        </is>
      </c>
      <c r="D19" s="11" t="inlineStr">
        <is>
          <t>Reparación cubierta tejado nave y puerta corredera</t>
        </is>
      </c>
      <c r="E19" s="12" t="inlineStr">
        <is>
          <t>Cuvierbal / Diego Rodrigo Dols</t>
        </is>
      </c>
      <c r="F19" s="11" t="inlineStr">
        <is>
          <t>622000000</t>
        </is>
      </c>
      <c r="G19" s="12" t="inlineStr">
        <is>
          <t>Reparaciones y conservación</t>
        </is>
      </c>
      <c r="H19" s="31" t="inlineStr">
        <is>
          <t>Inmovilizable (Parcial)</t>
        </is>
      </c>
      <c r="I19" s="11" t="inlineStr">
        <is>
          <t>211000000 - Construcciones</t>
        </is>
      </c>
      <c r="J19" s="13" t="n">
        <v>2215.5</v>
      </c>
      <c r="K19" s="13" t="n">
        <v>0</v>
      </c>
      <c r="L19" s="13" t="n">
        <v>0</v>
      </c>
      <c r="M19" s="13" t="n">
        <v>0</v>
      </c>
      <c r="N19" s="13" t="n">
        <v>0</v>
      </c>
      <c r="O19" s="13" t="n">
        <v>0</v>
      </c>
      <c r="P19" s="13" t="n">
        <v>0</v>
      </c>
      <c r="Q19" s="13" t="n">
        <v>2374.8375</v>
      </c>
      <c r="R19" s="13" t="n">
        <v>0</v>
      </c>
      <c r="S19" s="13" t="n">
        <v>0</v>
      </c>
      <c r="T19" s="13" t="n">
        <v>0</v>
      </c>
      <c r="U19" s="13" t="n">
        <v>0</v>
      </c>
      <c r="V19" s="14">
        <f>SUM(J19:U19)</f>
        <v/>
      </c>
      <c r="W19" s="13" t="n">
        <v>17669.4</v>
      </c>
      <c r="X19" s="14">
        <f>V19-W19</f>
        <v/>
      </c>
      <c r="Y19" s="16" t="inlineStr">
        <is>
          <t>Reparación de tejado (2.110 €) y adecuación nave: activable como mayor valor de Construcciones (211) si supone sustitución de cubierta.</t>
        </is>
      </c>
    </row>
    <row r="20">
      <c r="B20" s="5" t="inlineStr">
        <is>
          <t>Mantenimiento</t>
        </is>
      </c>
      <c r="C20" s="6" t="inlineStr">
        <is>
          <t>Equipamiento Taller</t>
        </is>
      </c>
      <c r="D20" s="5" t="inlineStr">
        <is>
          <t>Herramientas eléctricas de taller</t>
        </is>
      </c>
      <c r="E20" s="6" t="inlineStr">
        <is>
          <t>Recambios Alcora</t>
        </is>
      </c>
      <c r="F20" s="5" t="inlineStr">
        <is>
          <t>629000016</t>
        </is>
      </c>
      <c r="G20" s="6" t="inlineStr">
        <is>
          <t>Herramientas taller</t>
        </is>
      </c>
      <c r="H20" s="31" t="inlineStr">
        <is>
          <t>Inmovilizable (Activable)</t>
        </is>
      </c>
      <c r="I20" s="5" t="inlineStr">
        <is>
          <t>214000000 - Utillaje</t>
        </is>
      </c>
      <c r="J20" s="7" t="n">
        <v>0</v>
      </c>
      <c r="K20" s="7" t="n">
        <v>0</v>
      </c>
      <c r="L20" s="7" t="n">
        <v>0</v>
      </c>
      <c r="M20" s="7" t="n">
        <v>2100</v>
      </c>
      <c r="N20" s="7" t="n">
        <v>0</v>
      </c>
      <c r="O20" s="7" t="n">
        <v>0</v>
      </c>
      <c r="P20" s="7" t="n">
        <v>0</v>
      </c>
      <c r="Q20" s="7" t="n">
        <v>0</v>
      </c>
      <c r="R20" s="7" t="n">
        <v>0</v>
      </c>
      <c r="S20" s="7" t="n">
        <v>0</v>
      </c>
      <c r="T20" s="7" t="n">
        <v>0</v>
      </c>
      <c r="U20" s="7" t="n">
        <v>0</v>
      </c>
      <c r="V20" s="8">
        <f>SUM(J20:U20)</f>
        <v/>
      </c>
      <c r="W20" s="7" t="n">
        <v>6000.36</v>
      </c>
      <c r="X20" s="8">
        <f>V20-W20</f>
        <v/>
      </c>
      <c r="Y20" s="10" t="inlineStr">
        <is>
          <t>Herramientas duraderas de taller con vida útil plurianual; activable en la cuenta 214 Utillaje según PGC.</t>
        </is>
      </c>
    </row>
    <row r="21">
      <c r="B21" s="11" t="inlineStr">
        <is>
          <t>Mantenimiento</t>
        </is>
      </c>
      <c r="C21" s="12" t="inlineStr">
        <is>
          <t>Servicios Externos Especializados</t>
        </is>
      </c>
      <c r="D21" s="12" t="inlineStr">
        <is>
          <t>Revisión compresores de aire y mantenimiento carretillas elevadoras</t>
        </is>
      </c>
      <c r="E21" s="12" t="inlineStr">
        <is>
          <t>Repcar / Especialista aire com</t>
        </is>
      </c>
      <c r="F21" s="11" t="inlineStr">
        <is>
          <t>622000000</t>
        </is>
      </c>
      <c r="G21" s="12" t="inlineStr">
        <is>
          <t>Reparaciones y conservación</t>
        </is>
      </c>
      <c r="H21" s="6" t="inlineStr">
        <is>
          <t>Gasto Corriente</t>
        </is>
      </c>
      <c r="I21" s="12" t="inlineStr">
        <is>
          <t>-</t>
        </is>
      </c>
      <c r="J21" s="13" t="n">
        <v>0</v>
      </c>
      <c r="K21" s="13" t="n">
        <v>0</v>
      </c>
      <c r="L21" s="13" t="n">
        <v>0</v>
      </c>
      <c r="M21" s="13" t="n">
        <v>0</v>
      </c>
      <c r="N21" s="13" t="n">
        <v>0</v>
      </c>
      <c r="O21" s="13" t="n">
        <v>0</v>
      </c>
      <c r="P21" s="13" t="n">
        <v>0</v>
      </c>
      <c r="Q21" s="13" t="n">
        <v>0</v>
      </c>
      <c r="R21" s="13" t="n">
        <v>2328.9</v>
      </c>
      <c r="S21" s="13" t="n">
        <v>1777.65</v>
      </c>
      <c r="T21" s="13" t="n">
        <v>0</v>
      </c>
      <c r="U21" s="13" t="n">
        <v>551.25</v>
      </c>
      <c r="V21" s="14">
        <f>SUM(J21:U21)</f>
        <v/>
      </c>
      <c r="W21" s="13" t="n">
        <v>17669.4</v>
      </c>
      <c r="X21" s="14">
        <f>V21-W21</f>
        <v/>
      </c>
      <c r="Y21" s="16" t="inlineStr">
        <is>
          <t>Mantenimiento preventivo reglamentario y normativo de compresores y maquinaria de elevación.</t>
        </is>
      </c>
    </row>
    <row r="22">
      <c r="B22" s="5" t="inlineStr">
        <is>
          <t>Marketing</t>
        </is>
      </c>
      <c r="C22" s="6" t="inlineStr">
        <is>
          <t>Ferias y Encuentros</t>
        </is>
      </c>
      <c r="D22" s="6" t="inlineStr">
        <is>
          <t>Ferias internacionales (Fruit Attraction, Fruit Logistica, Sahara Expo, Growtech, etc.)</t>
        </is>
      </c>
      <c r="E22" s="6" t="inlineStr">
        <is>
          <t>Entidades feriales e instalado</t>
        </is>
      </c>
      <c r="F22" s="5" t="inlineStr">
        <is>
          <t>627000007</t>
        </is>
      </c>
      <c r="G22" s="6" t="inlineStr">
        <is>
          <t>Ferias y congresos</t>
        </is>
      </c>
      <c r="H22" s="6" t="inlineStr">
        <is>
          <t>Gasto Corriente</t>
        </is>
      </c>
      <c r="I22" s="6" t="inlineStr">
        <is>
          <t>-</t>
        </is>
      </c>
      <c r="J22" s="7" t="n">
        <v>3254.36</v>
      </c>
      <c r="K22" s="7" t="n">
        <v>3960.8</v>
      </c>
      <c r="L22" s="7" t="n">
        <v>3787.68</v>
      </c>
      <c r="M22" s="7" t="n">
        <v>4260.08</v>
      </c>
      <c r="N22" s="7" t="n">
        <v>3351.46</v>
      </c>
      <c r="O22" s="7" t="n">
        <v>2393.84</v>
      </c>
      <c r="P22" s="7" t="n">
        <v>2051.41</v>
      </c>
      <c r="Q22" s="7" t="n">
        <v>866.99</v>
      </c>
      <c r="R22" s="7" t="n">
        <v>2460.99</v>
      </c>
      <c r="S22" s="7" t="n">
        <v>1700.61</v>
      </c>
      <c r="T22" s="7" t="n">
        <v>3679.93</v>
      </c>
      <c r="U22" s="7" t="n">
        <v>2001.84</v>
      </c>
      <c r="V22" s="8">
        <f>SUM(J22:U22)</f>
        <v/>
      </c>
      <c r="W22" s="7" t="n">
        <v>3855.75</v>
      </c>
      <c r="X22" s="8">
        <f>V22-W22</f>
        <v/>
      </c>
      <c r="Y22" s="10" t="inlineStr">
        <is>
          <t>Participación ferial, stands, acreditaciones y eventos comerciales internacionales.</t>
        </is>
      </c>
    </row>
    <row r="23">
      <c r="B23" s="11" t="inlineStr">
        <is>
          <t>Marketing</t>
        </is>
      </c>
      <c r="C23" s="12" t="inlineStr">
        <is>
          <t>Corporativo y Marca</t>
        </is>
      </c>
      <c r="D23" s="12" t="inlineStr">
        <is>
          <t>Marketing transversal, diseño corporativo, catálogos, packaging y web</t>
        </is>
      </c>
      <c r="E23" s="12" t="inlineStr">
        <is>
          <t>Agencias diseño y marketing</t>
        </is>
      </c>
      <c r="F23" s="11" t="inlineStr">
        <is>
          <t>627000006</t>
        </is>
      </c>
      <c r="G23" s="12" t="inlineStr">
        <is>
          <t>Publicidad, catálogos y folletos</t>
        </is>
      </c>
      <c r="H23" s="6" t="inlineStr">
        <is>
          <t>Gasto Corriente</t>
        </is>
      </c>
      <c r="I23" s="12" t="inlineStr">
        <is>
          <t>-</t>
        </is>
      </c>
      <c r="J23" s="13" t="n">
        <v>2469.92</v>
      </c>
      <c r="K23" s="13" t="n">
        <v>3006.08</v>
      </c>
      <c r="L23" s="13" t="n">
        <v>2874.69</v>
      </c>
      <c r="M23" s="13" t="n">
        <v>3233.22</v>
      </c>
      <c r="N23" s="13" t="n">
        <v>2543.62</v>
      </c>
      <c r="O23" s="13" t="n">
        <v>1816.83</v>
      </c>
      <c r="P23" s="13" t="n">
        <v>1556.94</v>
      </c>
      <c r="Q23" s="13" t="n">
        <v>658.01</v>
      </c>
      <c r="R23" s="13" t="n">
        <v>1867.78</v>
      </c>
      <c r="S23" s="13" t="n">
        <v>1290.69</v>
      </c>
      <c r="T23" s="13" t="n">
        <v>2792.91</v>
      </c>
      <c r="U23" s="13" t="n">
        <v>1519.31</v>
      </c>
      <c r="V23" s="14">
        <f>SUM(J23:U23)</f>
        <v/>
      </c>
      <c r="W23" s="13" t="n">
        <v>1236.75</v>
      </c>
      <c r="X23" s="14">
        <f>V23-W23</f>
        <v/>
      </c>
      <c r="Y23" s="16" t="inlineStr">
        <is>
          <t>Renovación de imagen de producto, fichas técnicas multilingües y soporte institucional.</t>
        </is>
      </c>
    </row>
    <row r="24">
      <c r="B24" s="5" t="inlineStr">
        <is>
          <t>Marketing</t>
        </is>
      </c>
      <c r="C24" s="6" t="inlineStr">
        <is>
          <t>Programas Cliente-Producto</t>
        </is>
      </c>
      <c r="D24" s="6" t="inlineStr">
        <is>
          <t>Planes de activación comercial por cliente clave y producto foco (Familias A/B)</t>
        </is>
      </c>
      <c r="E24" s="6" t="inlineStr">
        <is>
          <t>Distribuidores y material prom</t>
        </is>
      </c>
      <c r="F24" s="5" t="inlineStr">
        <is>
          <t>627000008</t>
        </is>
      </c>
      <c r="G24" s="6" t="inlineStr">
        <is>
          <t>Marketing y campañas comerciales</t>
        </is>
      </c>
      <c r="H24" s="6" t="inlineStr">
        <is>
          <t>Gasto Corriente</t>
        </is>
      </c>
      <c r="I24" s="6" t="inlineStr">
        <is>
          <t>-</t>
        </is>
      </c>
      <c r="J24" s="7" t="n">
        <v>18917.14</v>
      </c>
      <c r="K24" s="7" t="n">
        <v>23023.56</v>
      </c>
      <c r="L24" s="7" t="n">
        <v>22017.24</v>
      </c>
      <c r="M24" s="7" t="n">
        <v>24763.22</v>
      </c>
      <c r="N24" s="7" t="n">
        <v>19481.53</v>
      </c>
      <c r="O24" s="7" t="n">
        <v>13915.06</v>
      </c>
      <c r="P24" s="7" t="n">
        <v>11924.56</v>
      </c>
      <c r="Q24" s="7" t="n">
        <v>5039.7</v>
      </c>
      <c r="R24" s="7" t="n">
        <v>14305.34</v>
      </c>
      <c r="S24" s="7" t="n">
        <v>9885.370000000001</v>
      </c>
      <c r="T24" s="7" t="n">
        <v>21390.88</v>
      </c>
      <c r="U24" s="7" t="n">
        <v>11636.39</v>
      </c>
      <c r="V24" s="8">
        <f>SUM(J24:U24)</f>
        <v/>
      </c>
      <c r="W24" s="7" t="n">
        <v>0</v>
      </c>
      <c r="X24" s="8">
        <f>V24-W24</f>
        <v/>
      </c>
      <c r="Y24" s="10" t="inlineStr">
        <is>
          <t>Plan específico por clientes estratégicos y productos prioritarios en fase de lanzamiento y crecimiento.</t>
        </is>
      </c>
    </row>
    <row r="25">
      <c r="B25" s="11" t="inlineStr">
        <is>
          <t>Marketing</t>
        </is>
      </c>
      <c r="C25" s="12" t="inlineStr">
        <is>
          <t>Reserva Táctica</t>
        </is>
      </c>
      <c r="D25" s="12" t="inlineStr">
        <is>
          <t>Fondo de maniobra para contingencias y oportunidades comerciales imprevistas</t>
        </is>
      </c>
      <c r="E25" s="12" t="inlineStr">
        <is>
          <t>Fondo de reserva comercial</t>
        </is>
      </c>
      <c r="F25" s="11" t="inlineStr">
        <is>
          <t>627000009</t>
        </is>
      </c>
      <c r="G25" s="12" t="inlineStr">
        <is>
          <t>Artículos publicidad / promociones</t>
        </is>
      </c>
      <c r="H25" s="6" t="inlineStr">
        <is>
          <t>Gasto Corriente</t>
        </is>
      </c>
      <c r="I25" s="12" t="inlineStr">
        <is>
          <t>-</t>
        </is>
      </c>
      <c r="J25" s="13" t="n">
        <v>999.5700000000001</v>
      </c>
      <c r="K25" s="13" t="n">
        <v>1216.55</v>
      </c>
      <c r="L25" s="13" t="n">
        <v>1163.38</v>
      </c>
      <c r="M25" s="13" t="n">
        <v>1308.48</v>
      </c>
      <c r="N25" s="13" t="n">
        <v>1029.39</v>
      </c>
      <c r="O25" s="13" t="n">
        <v>735.27</v>
      </c>
      <c r="P25" s="13" t="n">
        <v>630.09</v>
      </c>
      <c r="Q25" s="13" t="n">
        <v>266.3</v>
      </c>
      <c r="R25" s="13" t="n">
        <v>755.89</v>
      </c>
      <c r="S25" s="13" t="n">
        <v>522.34</v>
      </c>
      <c r="T25" s="13" t="n">
        <v>1130.28</v>
      </c>
      <c r="U25" s="13" t="n">
        <v>614.86</v>
      </c>
      <c r="V25" s="14">
        <f>SUM(J25:U25)</f>
        <v/>
      </c>
      <c r="W25" s="13" t="n">
        <v>26500</v>
      </c>
      <c r="X25" s="14">
        <f>V25-W25</f>
        <v/>
      </c>
      <c r="Y25" s="16" t="inlineStr">
        <is>
          <t>Reserva táctica para promociones de temporada y apoyo a comerciales de zona.</t>
        </is>
      </c>
    </row>
    <row r="26">
      <c r="B26" s="5" t="inlineStr">
        <is>
          <t>Regulatory</t>
        </is>
      </c>
      <c r="C26" s="6" t="inlineStr">
        <is>
          <t>Marcas</t>
        </is>
      </c>
      <c r="D26" s="6" t="inlineStr">
        <is>
          <t>Amec chile</t>
        </is>
      </c>
      <c r="E26" s="6" t="inlineStr">
        <is>
          <t>1500</t>
        </is>
      </c>
      <c r="F26" s="5" t="inlineStr">
        <is>
          <t>623200000</t>
        </is>
      </c>
      <c r="G26" s="6" t="inlineStr">
        <is>
          <t>Gastos marcas y patentes</t>
        </is>
      </c>
      <c r="H26" s="6" t="inlineStr">
        <is>
          <t>Gasto Corriente</t>
        </is>
      </c>
      <c r="I26" s="6" t="inlineStr">
        <is>
          <t>-</t>
        </is>
      </c>
      <c r="J26" s="7" t="n">
        <v>0</v>
      </c>
      <c r="K26" s="7" t="n">
        <v>1500</v>
      </c>
      <c r="L26" s="7" t="n">
        <v>0</v>
      </c>
      <c r="M26" s="7" t="n">
        <v>0</v>
      </c>
      <c r="N26" s="7" t="n">
        <v>0</v>
      </c>
      <c r="O26" s="7" t="n">
        <v>0</v>
      </c>
      <c r="P26" s="7" t="n">
        <v>0</v>
      </c>
      <c r="Q26" s="7" t="n">
        <v>0</v>
      </c>
      <c r="R26" s="7" t="n">
        <v>0</v>
      </c>
      <c r="S26" s="7" t="n">
        <v>0</v>
      </c>
      <c r="T26" s="7" t="n">
        <v>0</v>
      </c>
      <c r="U26" s="7" t="n">
        <v>0</v>
      </c>
      <c r="V26" s="8">
        <f>SUM(J26:U26)</f>
        <v/>
      </c>
      <c r="W26" s="7" t="n">
        <v>0</v>
      </c>
      <c r="X26" s="8">
        <f>V26-W26</f>
        <v/>
      </c>
      <c r="Y26" s="10" t="inlineStr">
        <is>
          <t>Tasas oficiales de renovación decenal de marcas comerciales registradas en el país de destino.</t>
        </is>
      </c>
    </row>
    <row r="27">
      <c r="B27" s="11" t="inlineStr">
        <is>
          <t>Regulatory</t>
        </is>
      </c>
      <c r="C27" s="12" t="inlineStr">
        <is>
          <t>Marcas</t>
        </is>
      </c>
      <c r="D27" s="12" t="inlineStr">
        <is>
          <t>Amec Perú</t>
        </is>
      </c>
      <c r="E27" s="12" t="inlineStr">
        <is>
          <t>1400</t>
        </is>
      </c>
      <c r="F27" s="11" t="inlineStr">
        <is>
          <t>623200000</t>
        </is>
      </c>
      <c r="G27" s="12" t="inlineStr">
        <is>
          <t>Gastos marcas y patentes</t>
        </is>
      </c>
      <c r="H27" s="6" t="inlineStr">
        <is>
          <t>Gasto Corriente</t>
        </is>
      </c>
      <c r="I27" s="12" t="inlineStr">
        <is>
          <t>-</t>
        </is>
      </c>
      <c r="J27" s="13" t="n">
        <v>0</v>
      </c>
      <c r="K27" s="13" t="n">
        <v>0</v>
      </c>
      <c r="L27" s="13" t="n">
        <v>1400</v>
      </c>
      <c r="M27" s="13" t="n">
        <v>0</v>
      </c>
      <c r="N27" s="13" t="n">
        <v>0</v>
      </c>
      <c r="O27" s="13" t="n">
        <v>0</v>
      </c>
      <c r="P27" s="13" t="n">
        <v>0</v>
      </c>
      <c r="Q27" s="13" t="n">
        <v>0</v>
      </c>
      <c r="R27" s="13" t="n">
        <v>0</v>
      </c>
      <c r="S27" s="13" t="n">
        <v>0</v>
      </c>
      <c r="T27" s="13" t="n">
        <v>0</v>
      </c>
      <c r="U27" s="13" t="n">
        <v>0</v>
      </c>
      <c r="V27" s="14">
        <f>SUM(J27:U27)</f>
        <v/>
      </c>
      <c r="W27" s="13" t="n">
        <v>0</v>
      </c>
      <c r="X27" s="14">
        <f>V27-W27</f>
        <v/>
      </c>
      <c r="Y27" s="16" t="inlineStr">
        <is>
          <t>Tasas oficiales de renovación decenal de marcas comerciales registradas en el país de destino.</t>
        </is>
      </c>
    </row>
    <row r="28">
      <c r="B28" s="5" t="inlineStr">
        <is>
          <t>Regulatory</t>
        </is>
      </c>
      <c r="C28" s="6" t="inlineStr">
        <is>
          <t>Marcas</t>
        </is>
      </c>
      <c r="D28" s="6" t="inlineStr">
        <is>
          <t>Amec Costa Rica</t>
        </is>
      </c>
      <c r="E28" s="6" t="inlineStr">
        <is>
          <t>1400</t>
        </is>
      </c>
      <c r="F28" s="5" t="inlineStr">
        <is>
          <t>623200000</t>
        </is>
      </c>
      <c r="G28" s="6" t="inlineStr">
        <is>
          <t>Gastos marcas y patentes</t>
        </is>
      </c>
      <c r="H28" s="6" t="inlineStr">
        <is>
          <t>Gasto Corriente</t>
        </is>
      </c>
      <c r="I28" s="6" t="inlineStr">
        <is>
          <t>-</t>
        </is>
      </c>
      <c r="J28" s="7" t="n">
        <v>0</v>
      </c>
      <c r="K28" s="7" t="n">
        <v>0</v>
      </c>
      <c r="L28" s="7" t="n">
        <v>0</v>
      </c>
      <c r="M28" s="7" t="n">
        <v>0</v>
      </c>
      <c r="N28" s="7" t="n">
        <v>0</v>
      </c>
      <c r="O28" s="7" t="n">
        <v>0</v>
      </c>
      <c r="P28" s="7" t="n">
        <v>0</v>
      </c>
      <c r="Q28" s="7" t="n">
        <v>0</v>
      </c>
      <c r="R28" s="7" t="n">
        <v>1400</v>
      </c>
      <c r="S28" s="7" t="n">
        <v>0</v>
      </c>
      <c r="T28" s="7" t="n">
        <v>0</v>
      </c>
      <c r="U28" s="7" t="n">
        <v>0</v>
      </c>
      <c r="V28" s="8">
        <f>SUM(J28:U28)</f>
        <v/>
      </c>
      <c r="W28" s="7" t="n">
        <v>0</v>
      </c>
      <c r="X28" s="8">
        <f>V28-W28</f>
        <v/>
      </c>
      <c r="Y28" s="10" t="inlineStr">
        <is>
          <t>Tasas oficiales de renovación decenal de marcas comerciales registradas en el país de destino.</t>
        </is>
      </c>
    </row>
    <row r="29">
      <c r="B29" s="11" t="inlineStr">
        <is>
          <t>Regulatory</t>
        </is>
      </c>
      <c r="C29" s="12" t="inlineStr">
        <is>
          <t>Marcas</t>
        </is>
      </c>
      <c r="D29" s="12" t="inlineStr">
        <is>
          <t>Agropotasión UE-Int</t>
        </is>
      </c>
      <c r="E29" s="12" t="inlineStr">
        <is>
          <t>4000</t>
        </is>
      </c>
      <c r="F29" s="11" t="inlineStr">
        <is>
          <t>623200000</t>
        </is>
      </c>
      <c r="G29" s="12" t="inlineStr">
        <is>
          <t>Gastos marcas y patentes</t>
        </is>
      </c>
      <c r="H29" s="6" t="inlineStr">
        <is>
          <t>Gasto Corriente</t>
        </is>
      </c>
      <c r="I29" s="12" t="inlineStr">
        <is>
          <t>-</t>
        </is>
      </c>
      <c r="J29" s="13" t="n">
        <v>0</v>
      </c>
      <c r="K29" s="13" t="n">
        <v>0</v>
      </c>
      <c r="L29" s="13" t="n">
        <v>0</v>
      </c>
      <c r="M29" s="13" t="n">
        <v>0</v>
      </c>
      <c r="N29" s="13" t="n">
        <v>0</v>
      </c>
      <c r="O29" s="13" t="n">
        <v>0</v>
      </c>
      <c r="P29" s="13" t="n">
        <v>0</v>
      </c>
      <c r="Q29" s="13" t="n">
        <v>4000</v>
      </c>
      <c r="R29" s="13" t="n">
        <v>0</v>
      </c>
      <c r="S29" s="13" t="n">
        <v>0</v>
      </c>
      <c r="T29" s="13" t="n">
        <v>0</v>
      </c>
      <c r="U29" s="13" t="n">
        <v>0</v>
      </c>
      <c r="V29" s="14">
        <f>SUM(J29:U29)</f>
        <v/>
      </c>
      <c r="W29" s="13" t="n">
        <v>0</v>
      </c>
      <c r="X29" s="14">
        <f>V29-W29</f>
        <v/>
      </c>
      <c r="Y29" s="16" t="inlineStr">
        <is>
          <t>Tasas oficiales de renovación decenal de marcas comerciales registradas en el país de destino.</t>
        </is>
      </c>
    </row>
    <row r="30">
      <c r="B30" s="5" t="inlineStr">
        <is>
          <t>Regulatory</t>
        </is>
      </c>
      <c r="C30" s="6" t="inlineStr">
        <is>
          <t>Marcas</t>
        </is>
      </c>
      <c r="D30" s="6" t="inlineStr">
        <is>
          <t>Agropotasión Jordania</t>
        </is>
      </c>
      <c r="E30" s="6" t="inlineStr">
        <is>
          <t>3000</t>
        </is>
      </c>
      <c r="F30" s="5" t="inlineStr">
        <is>
          <t>623200000</t>
        </is>
      </c>
      <c r="G30" s="6" t="inlineStr">
        <is>
          <t>Gastos marcas y patentes</t>
        </is>
      </c>
      <c r="H30" s="6" t="inlineStr">
        <is>
          <t>Gasto Corriente</t>
        </is>
      </c>
      <c r="I30" s="6" t="inlineStr">
        <is>
          <t>-</t>
        </is>
      </c>
      <c r="J30" s="7" t="n">
        <v>0</v>
      </c>
      <c r="K30" s="7" t="n">
        <v>0</v>
      </c>
      <c r="L30" s="7" t="n">
        <v>0</v>
      </c>
      <c r="M30" s="7" t="n">
        <v>0</v>
      </c>
      <c r="N30" s="7" t="n">
        <v>0</v>
      </c>
      <c r="O30" s="7" t="n">
        <v>0</v>
      </c>
      <c r="P30" s="7" t="n">
        <v>0</v>
      </c>
      <c r="Q30" s="7" t="n">
        <v>0</v>
      </c>
      <c r="R30" s="7" t="n">
        <v>3000</v>
      </c>
      <c r="S30" s="7" t="n">
        <v>0</v>
      </c>
      <c r="T30" s="7" t="n">
        <v>0</v>
      </c>
      <c r="U30" s="7" t="n">
        <v>0</v>
      </c>
      <c r="V30" s="8">
        <f>SUM(J30:U30)</f>
        <v/>
      </c>
      <c r="W30" s="7" t="n">
        <v>0</v>
      </c>
      <c r="X30" s="8">
        <f>V30-W30</f>
        <v/>
      </c>
      <c r="Y30" s="10" t="inlineStr">
        <is>
          <t>Tasas oficiales de renovación decenal de marcas comerciales registradas en el país de destino.</t>
        </is>
      </c>
    </row>
    <row r="31">
      <c r="B31" s="11" t="inlineStr">
        <is>
          <t>Regulatory</t>
        </is>
      </c>
      <c r="C31" s="12" t="inlineStr">
        <is>
          <t>Marcas</t>
        </is>
      </c>
      <c r="D31" s="12" t="inlineStr">
        <is>
          <t>Alcaplant Chile</t>
        </is>
      </c>
      <c r="E31" s="12" t="inlineStr">
        <is>
          <t>1500</t>
        </is>
      </c>
      <c r="F31" s="11" t="inlineStr">
        <is>
          <t>623200000</t>
        </is>
      </c>
      <c r="G31" s="12" t="inlineStr">
        <is>
          <t>Gastos marcas y patentes</t>
        </is>
      </c>
      <c r="H31" s="6" t="inlineStr">
        <is>
          <t>Gasto Corriente</t>
        </is>
      </c>
      <c r="I31" s="12" t="inlineStr">
        <is>
          <t>-</t>
        </is>
      </c>
      <c r="J31" s="13" t="n">
        <v>0</v>
      </c>
      <c r="K31" s="13" t="n">
        <v>0</v>
      </c>
      <c r="L31" s="13" t="n">
        <v>0</v>
      </c>
      <c r="M31" s="13" t="n">
        <v>1500</v>
      </c>
      <c r="N31" s="13" t="n">
        <v>0</v>
      </c>
      <c r="O31" s="13" t="n">
        <v>0</v>
      </c>
      <c r="P31" s="13" t="n">
        <v>0</v>
      </c>
      <c r="Q31" s="13" t="n">
        <v>0</v>
      </c>
      <c r="R31" s="13" t="n">
        <v>0</v>
      </c>
      <c r="S31" s="13" t="n">
        <v>0</v>
      </c>
      <c r="T31" s="13" t="n">
        <v>0</v>
      </c>
      <c r="U31" s="13" t="n">
        <v>0</v>
      </c>
      <c r="V31" s="14">
        <f>SUM(J31:U31)</f>
        <v/>
      </c>
      <c r="W31" s="13" t="n">
        <v>0</v>
      </c>
      <c r="X31" s="14">
        <f>V31-W31</f>
        <v/>
      </c>
      <c r="Y31" s="16" t="inlineStr">
        <is>
          <t>Tasas oficiales de renovación decenal de marcas comerciales registradas en el país de destino.</t>
        </is>
      </c>
    </row>
    <row r="32">
      <c r="B32" s="5" t="inlineStr">
        <is>
          <t>Regulatory</t>
        </is>
      </c>
      <c r="C32" s="6" t="inlineStr">
        <is>
          <t>Marcas</t>
        </is>
      </c>
      <c r="D32" s="6" t="inlineStr">
        <is>
          <t>Alcaplant Perú</t>
        </is>
      </c>
      <c r="E32" s="6" t="inlineStr">
        <is>
          <t>1400</t>
        </is>
      </c>
      <c r="F32" s="5" t="inlineStr">
        <is>
          <t>623200000</t>
        </is>
      </c>
      <c r="G32" s="6" t="inlineStr">
        <is>
          <t>Gastos marcas y patentes</t>
        </is>
      </c>
      <c r="H32" s="6" t="inlineStr">
        <is>
          <t>Gasto Corriente</t>
        </is>
      </c>
      <c r="I32" s="6" t="inlineStr">
        <is>
          <t>-</t>
        </is>
      </c>
      <c r="J32" s="7" t="n">
        <v>0</v>
      </c>
      <c r="K32" s="7" t="n">
        <v>0</v>
      </c>
      <c r="L32" s="7" t="n">
        <v>0</v>
      </c>
      <c r="M32" s="7" t="n">
        <v>0</v>
      </c>
      <c r="N32" s="7" t="n">
        <v>1400</v>
      </c>
      <c r="O32" s="7" t="n">
        <v>0</v>
      </c>
      <c r="P32" s="7" t="n">
        <v>0</v>
      </c>
      <c r="Q32" s="7" t="n">
        <v>0</v>
      </c>
      <c r="R32" s="7" t="n">
        <v>0</v>
      </c>
      <c r="S32" s="7" t="n">
        <v>0</v>
      </c>
      <c r="T32" s="7" t="n">
        <v>0</v>
      </c>
      <c r="U32" s="7" t="n">
        <v>0</v>
      </c>
      <c r="V32" s="8">
        <f>SUM(J32:U32)</f>
        <v/>
      </c>
      <c r="W32" s="7" t="n">
        <v>0</v>
      </c>
      <c r="X32" s="8">
        <f>V32-W32</f>
        <v/>
      </c>
      <c r="Y32" s="10" t="inlineStr">
        <is>
          <t>Tasas oficiales de renovación decenal de marcas comerciales registradas en el país de destino.</t>
        </is>
      </c>
    </row>
    <row r="33">
      <c r="B33" s="11" t="inlineStr">
        <is>
          <t>Regulatory</t>
        </is>
      </c>
      <c r="C33" s="12" t="inlineStr">
        <is>
          <t>Marcas</t>
        </is>
      </c>
      <c r="D33" s="12" t="inlineStr">
        <is>
          <t>Alcaplant Costa Rica</t>
        </is>
      </c>
      <c r="E33" s="12" t="inlineStr">
        <is>
          <t>1400</t>
        </is>
      </c>
      <c r="F33" s="11" t="inlineStr">
        <is>
          <t>623200000</t>
        </is>
      </c>
      <c r="G33" s="12" t="inlineStr">
        <is>
          <t>Gastos marcas y patentes</t>
        </is>
      </c>
      <c r="H33" s="6" t="inlineStr">
        <is>
          <t>Gasto Corriente</t>
        </is>
      </c>
      <c r="I33" s="12" t="inlineStr">
        <is>
          <t>-</t>
        </is>
      </c>
      <c r="J33" s="13" t="n">
        <v>0</v>
      </c>
      <c r="K33" s="13" t="n">
        <v>0</v>
      </c>
      <c r="L33" s="13" t="n">
        <v>0</v>
      </c>
      <c r="M33" s="13" t="n">
        <v>0</v>
      </c>
      <c r="N33" s="13" t="n">
        <v>0</v>
      </c>
      <c r="O33" s="13" t="n">
        <v>0</v>
      </c>
      <c r="P33" s="13" t="n">
        <v>0</v>
      </c>
      <c r="Q33" s="13" t="n">
        <v>0</v>
      </c>
      <c r="R33" s="13" t="n">
        <v>1400</v>
      </c>
      <c r="S33" s="13" t="n">
        <v>0</v>
      </c>
      <c r="T33" s="13" t="n">
        <v>0</v>
      </c>
      <c r="U33" s="13" t="n">
        <v>0</v>
      </c>
      <c r="V33" s="14">
        <f>SUM(J33:U33)</f>
        <v/>
      </c>
      <c r="W33" s="13" t="n">
        <v>0</v>
      </c>
      <c r="X33" s="14">
        <f>V33-W33</f>
        <v/>
      </c>
      <c r="Y33" s="16" t="inlineStr">
        <is>
          <t>Tasas oficiales de renovación decenal de marcas comerciales registradas en el país de destino.</t>
        </is>
      </c>
    </row>
    <row r="34">
      <c r="B34" s="5" t="inlineStr">
        <is>
          <t>Regulatory</t>
        </is>
      </c>
      <c r="C34" s="6" t="inlineStr">
        <is>
          <t>Marcas</t>
        </is>
      </c>
      <c r="D34" s="6" t="inlineStr">
        <is>
          <t>Biorad Jordania</t>
        </is>
      </c>
      <c r="E34" s="6" t="inlineStr">
        <is>
          <t>3000</t>
        </is>
      </c>
      <c r="F34" s="5" t="inlineStr">
        <is>
          <t>623200000</t>
        </is>
      </c>
      <c r="G34" s="6" t="inlineStr">
        <is>
          <t>Gastos marcas y patentes</t>
        </is>
      </c>
      <c r="H34" s="6" t="inlineStr">
        <is>
          <t>Gasto Corriente</t>
        </is>
      </c>
      <c r="I34" s="6" t="inlineStr">
        <is>
          <t>-</t>
        </is>
      </c>
      <c r="J34" s="7" t="n">
        <v>0</v>
      </c>
      <c r="K34" s="7" t="n">
        <v>0</v>
      </c>
      <c r="L34" s="7" t="n">
        <v>3000</v>
      </c>
      <c r="M34" s="7" t="n">
        <v>0</v>
      </c>
      <c r="N34" s="7" t="n">
        <v>0</v>
      </c>
      <c r="O34" s="7" t="n">
        <v>0</v>
      </c>
      <c r="P34" s="7" t="n">
        <v>0</v>
      </c>
      <c r="Q34" s="7" t="n">
        <v>0</v>
      </c>
      <c r="R34" s="7" t="n">
        <v>0</v>
      </c>
      <c r="S34" s="7" t="n">
        <v>0</v>
      </c>
      <c r="T34" s="7" t="n">
        <v>0</v>
      </c>
      <c r="U34" s="7" t="n">
        <v>0</v>
      </c>
      <c r="V34" s="8">
        <f>SUM(J34:U34)</f>
        <v/>
      </c>
      <c r="W34" s="7" t="n">
        <v>0</v>
      </c>
      <c r="X34" s="8">
        <f>V34-W34</f>
        <v/>
      </c>
      <c r="Y34" s="10" t="inlineStr">
        <is>
          <t>Tasas oficiales de renovación decenal de marcas comerciales registradas en el país de destino.</t>
        </is>
      </c>
    </row>
    <row r="35">
      <c r="B35" s="11" t="inlineStr">
        <is>
          <t>Regulatory</t>
        </is>
      </c>
      <c r="C35" s="12" t="inlineStr">
        <is>
          <t>Marcas</t>
        </is>
      </c>
      <c r="D35" s="12" t="inlineStr">
        <is>
          <t>Borocal Int</t>
        </is>
      </c>
      <c r="E35" s="12" t="inlineStr">
        <is>
          <t>4000</t>
        </is>
      </c>
      <c r="F35" s="11" t="inlineStr">
        <is>
          <t>623200000</t>
        </is>
      </c>
      <c r="G35" s="12" t="inlineStr">
        <is>
          <t>Gastos marcas y patentes</t>
        </is>
      </c>
      <c r="H35" s="6" t="inlineStr">
        <is>
          <t>Gasto Corriente</t>
        </is>
      </c>
      <c r="I35" s="12" t="inlineStr">
        <is>
          <t>-</t>
        </is>
      </c>
      <c r="J35" s="13" t="n">
        <v>0</v>
      </c>
      <c r="K35" s="13" t="n">
        <v>4000</v>
      </c>
      <c r="L35" s="13" t="n">
        <v>0</v>
      </c>
      <c r="M35" s="13" t="n">
        <v>0</v>
      </c>
      <c r="N35" s="13" t="n">
        <v>0</v>
      </c>
      <c r="O35" s="13" t="n">
        <v>0</v>
      </c>
      <c r="P35" s="13" t="n">
        <v>0</v>
      </c>
      <c r="Q35" s="13" t="n">
        <v>0</v>
      </c>
      <c r="R35" s="13" t="n">
        <v>0</v>
      </c>
      <c r="S35" s="13" t="n">
        <v>0</v>
      </c>
      <c r="T35" s="13" t="n">
        <v>0</v>
      </c>
      <c r="U35" s="13" t="n">
        <v>0</v>
      </c>
      <c r="V35" s="14">
        <f>SUM(J35:U35)</f>
        <v/>
      </c>
      <c r="W35" s="13" t="n">
        <v>0</v>
      </c>
      <c r="X35" s="14">
        <f>V35-W35</f>
        <v/>
      </c>
      <c r="Y35" s="16" t="inlineStr">
        <is>
          <t>Tasas oficiales de renovación decenal de marcas comerciales registradas en el país de destino.</t>
        </is>
      </c>
    </row>
    <row r="36">
      <c r="B36" s="5" t="inlineStr">
        <is>
          <t>Regulatory</t>
        </is>
      </c>
      <c r="C36" s="6" t="inlineStr">
        <is>
          <t>Marcas</t>
        </is>
      </c>
      <c r="D36" s="6" t="inlineStr">
        <is>
          <t>Borocal Jordania</t>
        </is>
      </c>
      <c r="E36" s="6" t="inlineStr">
        <is>
          <t>3000</t>
        </is>
      </c>
      <c r="F36" s="5" t="inlineStr">
        <is>
          <t>623200000</t>
        </is>
      </c>
      <c r="G36" s="6" t="inlineStr">
        <is>
          <t>Gastos marcas y patentes</t>
        </is>
      </c>
      <c r="H36" s="6" t="inlineStr">
        <is>
          <t>Gasto Corriente</t>
        </is>
      </c>
      <c r="I36" s="6" t="inlineStr">
        <is>
          <t>-</t>
        </is>
      </c>
      <c r="J36" s="7" t="n">
        <v>0</v>
      </c>
      <c r="K36" s="7" t="n">
        <v>0</v>
      </c>
      <c r="L36" s="7" t="n">
        <v>0</v>
      </c>
      <c r="M36" s="7" t="n">
        <v>0</v>
      </c>
      <c r="N36" s="7" t="n">
        <v>0</v>
      </c>
      <c r="O36" s="7" t="n">
        <v>0</v>
      </c>
      <c r="P36" s="7" t="n">
        <v>0</v>
      </c>
      <c r="Q36" s="7" t="n">
        <v>0</v>
      </c>
      <c r="R36" s="7" t="n">
        <v>3000</v>
      </c>
      <c r="S36" s="7" t="n">
        <v>0</v>
      </c>
      <c r="T36" s="7" t="n">
        <v>0</v>
      </c>
      <c r="U36" s="7" t="n">
        <v>0</v>
      </c>
      <c r="V36" s="8">
        <f>SUM(J36:U36)</f>
        <v/>
      </c>
      <c r="W36" s="7" t="n">
        <v>0</v>
      </c>
      <c r="X36" s="8">
        <f>V36-W36</f>
        <v/>
      </c>
      <c r="Y36" s="10" t="inlineStr">
        <is>
          <t>Tasas oficiales de renovación decenal de marcas comerciales registradas en el país de destino.</t>
        </is>
      </c>
    </row>
    <row r="37">
      <c r="B37" s="11" t="inlineStr">
        <is>
          <t>Regulatory</t>
        </is>
      </c>
      <c r="C37" s="12" t="inlineStr">
        <is>
          <t>Marcas</t>
        </is>
      </c>
      <c r="D37" s="12" t="inlineStr">
        <is>
          <t>Agroxigreen Int</t>
        </is>
      </c>
      <c r="E37" s="12" t="inlineStr">
        <is>
          <t>4000</t>
        </is>
      </c>
      <c r="F37" s="11" t="inlineStr">
        <is>
          <t>623200000</t>
        </is>
      </c>
      <c r="G37" s="12" t="inlineStr">
        <is>
          <t>Gastos marcas y patentes</t>
        </is>
      </c>
      <c r="H37" s="6" t="inlineStr">
        <is>
          <t>Gasto Corriente</t>
        </is>
      </c>
      <c r="I37" s="12" t="inlineStr">
        <is>
          <t>-</t>
        </is>
      </c>
      <c r="J37" s="13" t="n">
        <v>0</v>
      </c>
      <c r="K37" s="13" t="n">
        <v>4000</v>
      </c>
      <c r="L37" s="13" t="n">
        <v>0</v>
      </c>
      <c r="M37" s="13" t="n">
        <v>0</v>
      </c>
      <c r="N37" s="13" t="n">
        <v>0</v>
      </c>
      <c r="O37" s="13" t="n">
        <v>0</v>
      </c>
      <c r="P37" s="13" t="n">
        <v>0</v>
      </c>
      <c r="Q37" s="13" t="n">
        <v>0</v>
      </c>
      <c r="R37" s="13" t="n">
        <v>0</v>
      </c>
      <c r="S37" s="13" t="n">
        <v>0</v>
      </c>
      <c r="T37" s="13" t="n">
        <v>0</v>
      </c>
      <c r="U37" s="13" t="n">
        <v>0</v>
      </c>
      <c r="V37" s="14">
        <f>SUM(J37:U37)</f>
        <v/>
      </c>
      <c r="W37" s="13" t="n">
        <v>0</v>
      </c>
      <c r="X37" s="14">
        <f>V37-W37</f>
        <v/>
      </c>
      <c r="Y37" s="16" t="inlineStr">
        <is>
          <t>Tasas oficiales de renovación decenal de marcas comerciales registradas en el país de destino.</t>
        </is>
      </c>
    </row>
    <row r="38">
      <c r="B38" s="5" t="inlineStr">
        <is>
          <t>Regulatory</t>
        </is>
      </c>
      <c r="C38" s="6" t="inlineStr">
        <is>
          <t>Marcas</t>
        </is>
      </c>
      <c r="D38" s="6" t="inlineStr">
        <is>
          <t>Calciamec Perú</t>
        </is>
      </c>
      <c r="E38" s="6" t="inlineStr">
        <is>
          <t>1400</t>
        </is>
      </c>
      <c r="F38" s="5" t="inlineStr">
        <is>
          <t>623200000</t>
        </is>
      </c>
      <c r="G38" s="6" t="inlineStr">
        <is>
          <t>Gastos marcas y patentes</t>
        </is>
      </c>
      <c r="H38" s="6" t="inlineStr">
        <is>
          <t>Gasto Corriente</t>
        </is>
      </c>
      <c r="I38" s="6" t="inlineStr">
        <is>
          <t>-</t>
        </is>
      </c>
      <c r="J38" s="7" t="n">
        <v>0</v>
      </c>
      <c r="K38" s="7" t="n">
        <v>0</v>
      </c>
      <c r="L38" s="7" t="n">
        <v>0</v>
      </c>
      <c r="M38" s="7" t="n">
        <v>0</v>
      </c>
      <c r="N38" s="7" t="n">
        <v>0</v>
      </c>
      <c r="O38" s="7" t="n">
        <v>0</v>
      </c>
      <c r="P38" s="7" t="n">
        <v>1400</v>
      </c>
      <c r="Q38" s="7" t="n">
        <v>0</v>
      </c>
      <c r="R38" s="7" t="n">
        <v>0</v>
      </c>
      <c r="S38" s="7" t="n">
        <v>0</v>
      </c>
      <c r="T38" s="7" t="n">
        <v>0</v>
      </c>
      <c r="U38" s="7" t="n">
        <v>0</v>
      </c>
      <c r="V38" s="8">
        <f>SUM(J38:U38)</f>
        <v/>
      </c>
      <c r="W38" s="7" t="n">
        <v>0</v>
      </c>
      <c r="X38" s="8">
        <f>V38-W38</f>
        <v/>
      </c>
      <c r="Y38" s="10" t="inlineStr">
        <is>
          <t>Tasas oficiales de renovación decenal de marcas comerciales registradas en el país de destino.</t>
        </is>
      </c>
    </row>
    <row r="39">
      <c r="B39" s="11" t="inlineStr">
        <is>
          <t>Regulatory</t>
        </is>
      </c>
      <c r="C39" s="12" t="inlineStr">
        <is>
          <t>Marcas</t>
        </is>
      </c>
      <c r="D39" s="12" t="inlineStr">
        <is>
          <t>Fitokontrol Perú</t>
        </is>
      </c>
      <c r="E39" s="12" t="inlineStr">
        <is>
          <t>1400</t>
        </is>
      </c>
      <c r="F39" s="11" t="inlineStr">
        <is>
          <t>623200000</t>
        </is>
      </c>
      <c r="G39" s="12" t="inlineStr">
        <is>
          <t>Gastos marcas y patentes</t>
        </is>
      </c>
      <c r="H39" s="6" t="inlineStr">
        <is>
          <t>Gasto Corriente</t>
        </is>
      </c>
      <c r="I39" s="12" t="inlineStr">
        <is>
          <t>-</t>
        </is>
      </c>
      <c r="J39" s="13" t="n">
        <v>0</v>
      </c>
      <c r="K39" s="13" t="n">
        <v>0</v>
      </c>
      <c r="L39" s="13" t="n">
        <v>0</v>
      </c>
      <c r="M39" s="13" t="n">
        <v>0</v>
      </c>
      <c r="N39" s="13" t="n">
        <v>0</v>
      </c>
      <c r="O39" s="13" t="n">
        <v>0</v>
      </c>
      <c r="P39" s="13" t="n">
        <v>1400</v>
      </c>
      <c r="Q39" s="13" t="n">
        <v>0</v>
      </c>
      <c r="R39" s="13" t="n">
        <v>0</v>
      </c>
      <c r="S39" s="13" t="n">
        <v>0</v>
      </c>
      <c r="T39" s="13" t="n">
        <v>0</v>
      </c>
      <c r="U39" s="13" t="n">
        <v>0</v>
      </c>
      <c r="V39" s="14">
        <f>SUM(J39:U39)</f>
        <v/>
      </c>
      <c r="W39" s="13" t="n">
        <v>0</v>
      </c>
      <c r="X39" s="14">
        <f>V39-W39</f>
        <v/>
      </c>
      <c r="Y39" s="16" t="inlineStr">
        <is>
          <t>Tasas oficiales de renovación decenal de marcas comerciales registradas en el país de destino.</t>
        </is>
      </c>
    </row>
    <row r="40">
      <c r="B40" s="5" t="inlineStr">
        <is>
          <t>Regulatory</t>
        </is>
      </c>
      <c r="C40" s="6" t="inlineStr">
        <is>
          <t>Marcas</t>
        </is>
      </c>
      <c r="D40" s="6" t="inlineStr">
        <is>
          <t>Poligreen España</t>
        </is>
      </c>
      <c r="E40" s="6" t="inlineStr">
        <is>
          <t>400</t>
        </is>
      </c>
      <c r="F40" s="5" t="inlineStr">
        <is>
          <t>623200000</t>
        </is>
      </c>
      <c r="G40" s="6" t="inlineStr">
        <is>
          <t>Gastos marcas y patentes</t>
        </is>
      </c>
      <c r="H40" s="6" t="inlineStr">
        <is>
          <t>Gasto Corriente</t>
        </is>
      </c>
      <c r="I40" s="6" t="inlineStr">
        <is>
          <t>-</t>
        </is>
      </c>
      <c r="J40" s="7" t="n">
        <v>400</v>
      </c>
      <c r="K40" s="7" t="n">
        <v>0</v>
      </c>
      <c r="L40" s="7" t="n">
        <v>0</v>
      </c>
      <c r="M40" s="7" t="n">
        <v>0</v>
      </c>
      <c r="N40" s="7" t="n">
        <v>0</v>
      </c>
      <c r="O40" s="7" t="n">
        <v>0</v>
      </c>
      <c r="P40" s="7" t="n">
        <v>0</v>
      </c>
      <c r="Q40" s="7" t="n">
        <v>0</v>
      </c>
      <c r="R40" s="7" t="n">
        <v>0</v>
      </c>
      <c r="S40" s="7" t="n">
        <v>0</v>
      </c>
      <c r="T40" s="7" t="n">
        <v>0</v>
      </c>
      <c r="U40" s="7" t="n">
        <v>0</v>
      </c>
      <c r="V40" s="8">
        <f>SUM(J40:U40)</f>
        <v/>
      </c>
      <c r="W40" s="7" t="n">
        <v>0</v>
      </c>
      <c r="X40" s="8">
        <f>V40-W40</f>
        <v/>
      </c>
      <c r="Y40" s="10" t="inlineStr">
        <is>
          <t>Tasas oficiales de renovación decenal de marcas comerciales registradas en el país de destino.</t>
        </is>
      </c>
    </row>
    <row r="41">
      <c r="B41" s="11" t="inlineStr">
        <is>
          <t>Regulatory</t>
        </is>
      </c>
      <c r="C41" s="12" t="inlineStr">
        <is>
          <t>Marcas</t>
        </is>
      </c>
      <c r="D41" s="12" t="inlineStr">
        <is>
          <t>Polifruit España</t>
        </is>
      </c>
      <c r="E41" s="12" t="inlineStr">
        <is>
          <t>400</t>
        </is>
      </c>
      <c r="F41" s="11" t="inlineStr">
        <is>
          <t>623200000</t>
        </is>
      </c>
      <c r="G41" s="12" t="inlineStr">
        <is>
          <t>Gastos marcas y patentes</t>
        </is>
      </c>
      <c r="H41" s="6" t="inlineStr">
        <is>
          <t>Gasto Corriente</t>
        </is>
      </c>
      <c r="I41" s="12" t="inlineStr">
        <is>
          <t>-</t>
        </is>
      </c>
      <c r="J41" s="13" t="n">
        <v>400</v>
      </c>
      <c r="K41" s="13" t="n">
        <v>0</v>
      </c>
      <c r="L41" s="13" t="n">
        <v>0</v>
      </c>
      <c r="M41" s="13" t="n">
        <v>0</v>
      </c>
      <c r="N41" s="13" t="n">
        <v>0</v>
      </c>
      <c r="O41" s="13" t="n">
        <v>0</v>
      </c>
      <c r="P41" s="13" t="n">
        <v>0</v>
      </c>
      <c r="Q41" s="13" t="n">
        <v>0</v>
      </c>
      <c r="R41" s="13" t="n">
        <v>0</v>
      </c>
      <c r="S41" s="13" t="n">
        <v>0</v>
      </c>
      <c r="T41" s="13" t="n">
        <v>0</v>
      </c>
      <c r="U41" s="13" t="n">
        <v>0</v>
      </c>
      <c r="V41" s="14">
        <f>SUM(J41:U41)</f>
        <v/>
      </c>
      <c r="W41" s="13" t="n">
        <v>0</v>
      </c>
      <c r="X41" s="14">
        <f>V41-W41</f>
        <v/>
      </c>
      <c r="Y41" s="16" t="inlineStr">
        <is>
          <t>Tasas oficiales de renovación decenal de marcas comerciales registradas en el país de destino.</t>
        </is>
      </c>
    </row>
    <row r="42">
      <c r="B42" s="5" t="inlineStr">
        <is>
          <t>Regulatory</t>
        </is>
      </c>
      <c r="C42" s="6" t="inlineStr">
        <is>
          <t>Marcas</t>
        </is>
      </c>
      <c r="D42" s="6" t="inlineStr">
        <is>
          <t>Salwax Costa Rica</t>
        </is>
      </c>
      <c r="E42" s="6" t="inlineStr">
        <is>
          <t>1400</t>
        </is>
      </c>
      <c r="F42" s="5" t="inlineStr">
        <is>
          <t>623200000</t>
        </is>
      </c>
      <c r="G42" s="6" t="inlineStr">
        <is>
          <t>Gastos marcas y patentes</t>
        </is>
      </c>
      <c r="H42" s="6" t="inlineStr">
        <is>
          <t>Gasto Corriente</t>
        </is>
      </c>
      <c r="I42" s="6" t="inlineStr">
        <is>
          <t>-</t>
        </is>
      </c>
      <c r="J42" s="7" t="n">
        <v>0</v>
      </c>
      <c r="K42" s="7" t="n">
        <v>0</v>
      </c>
      <c r="L42" s="7" t="n">
        <v>0</v>
      </c>
      <c r="M42" s="7" t="n">
        <v>0</v>
      </c>
      <c r="N42" s="7" t="n">
        <v>0</v>
      </c>
      <c r="O42" s="7" t="n">
        <v>0</v>
      </c>
      <c r="P42" s="7" t="n">
        <v>0</v>
      </c>
      <c r="Q42" s="7" t="n">
        <v>0</v>
      </c>
      <c r="R42" s="7" t="n">
        <v>1400</v>
      </c>
      <c r="S42" s="7" t="n">
        <v>0</v>
      </c>
      <c r="T42" s="7" t="n">
        <v>0</v>
      </c>
      <c r="U42" s="7" t="n">
        <v>0</v>
      </c>
      <c r="V42" s="8">
        <f>SUM(J42:U42)</f>
        <v/>
      </c>
      <c r="W42" s="7" t="n">
        <v>0</v>
      </c>
      <c r="X42" s="8">
        <f>V42-W42</f>
        <v/>
      </c>
      <c r="Y42" s="10" t="inlineStr">
        <is>
          <t>Tasas oficiales de renovación decenal de marcas comerciales registradas en el país de destino.</t>
        </is>
      </c>
    </row>
    <row r="43">
      <c r="B43" s="11" t="inlineStr">
        <is>
          <t>Regulatory</t>
        </is>
      </c>
      <c r="C43" s="12" t="inlineStr">
        <is>
          <t>Marcas</t>
        </is>
      </c>
      <c r="D43" s="12" t="inlineStr">
        <is>
          <t>Xilato Ecuador</t>
        </is>
      </c>
      <c r="E43" s="12" t="inlineStr">
        <is>
          <t>2300</t>
        </is>
      </c>
      <c r="F43" s="11" t="inlineStr">
        <is>
          <t>623200000</t>
        </is>
      </c>
      <c r="G43" s="12" t="inlineStr">
        <is>
          <t>Gastos marcas y patentes</t>
        </is>
      </c>
      <c r="H43" s="6" t="inlineStr">
        <is>
          <t>Gasto Corriente</t>
        </is>
      </c>
      <c r="I43" s="12" t="inlineStr">
        <is>
          <t>-</t>
        </is>
      </c>
      <c r="J43" s="13" t="n">
        <v>0</v>
      </c>
      <c r="K43" s="13" t="n">
        <v>0</v>
      </c>
      <c r="L43" s="13" t="n">
        <v>0</v>
      </c>
      <c r="M43" s="13" t="n">
        <v>0</v>
      </c>
      <c r="N43" s="13" t="n">
        <v>2300</v>
      </c>
      <c r="O43" s="13" t="n">
        <v>0</v>
      </c>
      <c r="P43" s="13" t="n">
        <v>0</v>
      </c>
      <c r="Q43" s="13" t="n">
        <v>0</v>
      </c>
      <c r="R43" s="13" t="n">
        <v>0</v>
      </c>
      <c r="S43" s="13" t="n">
        <v>0</v>
      </c>
      <c r="T43" s="13" t="n">
        <v>0</v>
      </c>
      <c r="U43" s="13" t="n">
        <v>0</v>
      </c>
      <c r="V43" s="14">
        <f>SUM(J43:U43)</f>
        <v/>
      </c>
      <c r="W43" s="13" t="n">
        <v>0</v>
      </c>
      <c r="X43" s="14">
        <f>V43-W43</f>
        <v/>
      </c>
      <c r="Y43" s="16" t="inlineStr">
        <is>
          <t>Tasas oficiales de renovación decenal de marcas comerciales registradas en el país de destino.</t>
        </is>
      </c>
    </row>
    <row r="44">
      <c r="B44" s="5" t="inlineStr">
        <is>
          <t>Regulatory</t>
        </is>
      </c>
      <c r="C44" s="6" t="inlineStr">
        <is>
          <t>Marcas</t>
        </is>
      </c>
      <c r="D44" s="6" t="inlineStr">
        <is>
          <t>vigilancia mundial anual</t>
        </is>
      </c>
      <c r="E44" s="6" t="inlineStr">
        <is>
          <t>2550</t>
        </is>
      </c>
      <c r="F44" s="5" t="inlineStr">
        <is>
          <t>623200033</t>
        </is>
      </c>
      <c r="G44" s="6" t="inlineStr">
        <is>
          <t>Gastos marcas mundial</t>
        </is>
      </c>
      <c r="H44" s="6" t="inlineStr">
        <is>
          <t>Gasto Corriente</t>
        </is>
      </c>
      <c r="I44" s="6" t="inlineStr">
        <is>
          <t>-</t>
        </is>
      </c>
      <c r="J44" s="7" t="n">
        <v>0</v>
      </c>
      <c r="K44" s="7" t="n">
        <v>2550</v>
      </c>
      <c r="L44" s="7" t="n">
        <v>0</v>
      </c>
      <c r="M44" s="7" t="n">
        <v>0</v>
      </c>
      <c r="N44" s="7" t="n">
        <v>0</v>
      </c>
      <c r="O44" s="7" t="n">
        <v>0</v>
      </c>
      <c r="P44" s="7" t="n">
        <v>0</v>
      </c>
      <c r="Q44" s="7" t="n">
        <v>0</v>
      </c>
      <c r="R44" s="7" t="n">
        <v>0</v>
      </c>
      <c r="S44" s="7" t="n">
        <v>0</v>
      </c>
      <c r="T44" s="7" t="n">
        <v>0</v>
      </c>
      <c r="U44" s="7" t="n">
        <v>0</v>
      </c>
      <c r="V44" s="8">
        <f>SUM(J44:U44)</f>
        <v/>
      </c>
      <c r="W44" s="7" t="n">
        <v>0</v>
      </c>
      <c r="X44" s="8">
        <f>V44-W44</f>
        <v/>
      </c>
      <c r="Y44" s="10" t="inlineStr">
        <is>
          <t>Vigilancia de marca y marcas colindantes para prevención de infracciones de propiedad intelectual.</t>
        </is>
      </c>
    </row>
    <row r="45">
      <c r="B45" s="11" t="inlineStr">
        <is>
          <t>Regulatory</t>
        </is>
      </c>
      <c r="C45" s="12" t="inlineStr">
        <is>
          <t>Marcas</t>
        </is>
      </c>
      <c r="D45" s="11" t="inlineStr">
        <is>
          <t>Sprintium USA</t>
        </is>
      </c>
      <c r="E45" s="12" t="inlineStr">
        <is>
          <t>1300</t>
        </is>
      </c>
      <c r="F45" s="11" t="inlineStr">
        <is>
          <t>623200000</t>
        </is>
      </c>
      <c r="G45" s="12" t="inlineStr">
        <is>
          <t>Gastos marcas y patentes</t>
        </is>
      </c>
      <c r="H45" s="31" t="inlineStr">
        <is>
          <t>Inmovilizable (Activable)</t>
        </is>
      </c>
      <c r="I45" s="11" t="inlineStr">
        <is>
          <t>203000000 - Propiedad Industrial</t>
        </is>
      </c>
      <c r="J45" s="13" t="n">
        <v>900</v>
      </c>
      <c r="K45" s="13" t="n">
        <v>0</v>
      </c>
      <c r="L45" s="13" t="n">
        <v>400</v>
      </c>
      <c r="M45" s="13" t="n">
        <v>0</v>
      </c>
      <c r="N45" s="13" t="n">
        <v>0</v>
      </c>
      <c r="O45" s="13" t="n">
        <v>0</v>
      </c>
      <c r="P45" s="13" t="n">
        <v>0</v>
      </c>
      <c r="Q45" s="13" t="n">
        <v>0</v>
      </c>
      <c r="R45" s="13" t="n">
        <v>0</v>
      </c>
      <c r="S45" s="13" t="n">
        <v>0</v>
      </c>
      <c r="T45" s="13" t="n">
        <v>0</v>
      </c>
      <c r="U45" s="13" t="n">
        <v>0</v>
      </c>
      <c r="V45" s="14">
        <f>SUM(J45:U45)</f>
        <v/>
      </c>
      <c r="W45" s="13" t="n">
        <v>0</v>
      </c>
      <c r="X45" s="14">
        <f>V45-W45</f>
        <v/>
      </c>
      <c r="Y45" s="16" t="inlineStr">
        <is>
          <t>Registro de nueva marca con concesión de monopolio legal plurianual. Activable como Inmovilizado Intangible (203).</t>
        </is>
      </c>
    </row>
    <row r="46">
      <c r="B46" s="5" t="inlineStr">
        <is>
          <t>Regulatory</t>
        </is>
      </c>
      <c r="C46" s="6" t="inlineStr">
        <is>
          <t>Marcas</t>
        </is>
      </c>
      <c r="D46" s="5" t="inlineStr">
        <is>
          <t>Codiagro USA</t>
        </is>
      </c>
      <c r="E46" s="6" t="inlineStr">
        <is>
          <t>1300</t>
        </is>
      </c>
      <c r="F46" s="5" t="inlineStr">
        <is>
          <t>623200000</t>
        </is>
      </c>
      <c r="G46" s="6" t="inlineStr">
        <is>
          <t>Gastos marcas y patentes</t>
        </is>
      </c>
      <c r="H46" s="31" t="inlineStr">
        <is>
          <t>Inmovilizable (Activable)</t>
        </is>
      </c>
      <c r="I46" s="5" t="inlineStr">
        <is>
          <t>203000000 - Propiedad Industrial</t>
        </is>
      </c>
      <c r="J46" s="7" t="n">
        <v>900</v>
      </c>
      <c r="K46" s="7" t="n">
        <v>0</v>
      </c>
      <c r="L46" s="7" t="n">
        <v>400</v>
      </c>
      <c r="M46" s="7" t="n">
        <v>0</v>
      </c>
      <c r="N46" s="7" t="n">
        <v>0</v>
      </c>
      <c r="O46" s="7" t="n">
        <v>0</v>
      </c>
      <c r="P46" s="7" t="n">
        <v>0</v>
      </c>
      <c r="Q46" s="7" t="n">
        <v>0</v>
      </c>
      <c r="R46" s="7" t="n">
        <v>0</v>
      </c>
      <c r="S46" s="7" t="n">
        <v>0</v>
      </c>
      <c r="T46" s="7" t="n">
        <v>0</v>
      </c>
      <c r="U46" s="7" t="n">
        <v>0</v>
      </c>
      <c r="V46" s="8">
        <f>SUM(J46:U46)</f>
        <v/>
      </c>
      <c r="W46" s="7" t="n">
        <v>0</v>
      </c>
      <c r="X46" s="8">
        <f>V46-W46</f>
        <v/>
      </c>
      <c r="Y46" s="10" t="inlineStr">
        <is>
          <t>Registro de nueva marca con concesión de monopolio legal plurianual. Activable como Inmovilizado Intangible (203).</t>
        </is>
      </c>
    </row>
    <row r="47">
      <c r="B47" s="11" t="inlineStr">
        <is>
          <t>Regulatory</t>
        </is>
      </c>
      <c r="C47" s="12" t="inlineStr">
        <is>
          <t>Marcas</t>
        </is>
      </c>
      <c r="D47" s="11" t="inlineStr">
        <is>
          <t>Sprintium Omán</t>
        </is>
      </c>
      <c r="E47" s="12" t="inlineStr">
        <is>
          <t>1700</t>
        </is>
      </c>
      <c r="F47" s="11" t="inlineStr">
        <is>
          <t>623200000</t>
        </is>
      </c>
      <c r="G47" s="12" t="inlineStr">
        <is>
          <t>Gastos marcas y patentes</t>
        </is>
      </c>
      <c r="H47" s="31" t="inlineStr">
        <is>
          <t>Inmovilizable (Activable)</t>
        </is>
      </c>
      <c r="I47" s="11" t="inlineStr">
        <is>
          <t>203000000 - Propiedad Industrial</t>
        </is>
      </c>
      <c r="J47" s="13" t="n">
        <v>0</v>
      </c>
      <c r="K47" s="13" t="n">
        <v>1700</v>
      </c>
      <c r="L47" s="13" t="n">
        <v>0</v>
      </c>
      <c r="M47" s="13" t="n">
        <v>0</v>
      </c>
      <c r="N47" s="13" t="n">
        <v>0</v>
      </c>
      <c r="O47" s="13" t="n">
        <v>0</v>
      </c>
      <c r="P47" s="13" t="n">
        <v>0</v>
      </c>
      <c r="Q47" s="13" t="n">
        <v>0</v>
      </c>
      <c r="R47" s="13" t="n">
        <v>0</v>
      </c>
      <c r="S47" s="13" t="n">
        <v>0</v>
      </c>
      <c r="T47" s="13" t="n">
        <v>0</v>
      </c>
      <c r="U47" s="13" t="n">
        <v>0</v>
      </c>
      <c r="V47" s="14">
        <f>SUM(J47:U47)</f>
        <v/>
      </c>
      <c r="W47" s="13" t="n">
        <v>0</v>
      </c>
      <c r="X47" s="14">
        <f>V47-W47</f>
        <v/>
      </c>
      <c r="Y47" s="16" t="inlineStr">
        <is>
          <t>Registro de nueva marca con concesión de monopolio legal plurianual. Activable como Inmovilizado Intangible (203).</t>
        </is>
      </c>
    </row>
    <row r="48">
      <c r="B48" s="5" t="inlineStr">
        <is>
          <t>Regulatory</t>
        </is>
      </c>
      <c r="C48" s="6" t="inlineStr">
        <is>
          <t>Marcas</t>
        </is>
      </c>
      <c r="D48" s="5" t="inlineStr">
        <is>
          <t>Codiorgan-Guatemala</t>
        </is>
      </c>
      <c r="E48" s="6" t="inlineStr">
        <is>
          <t>1750</t>
        </is>
      </c>
      <c r="F48" s="5" t="inlineStr">
        <is>
          <t>623200000</t>
        </is>
      </c>
      <c r="G48" s="6" t="inlineStr">
        <is>
          <t>Gastos marcas y patentes</t>
        </is>
      </c>
      <c r="H48" s="31" t="inlineStr">
        <is>
          <t>Inmovilizable (Activable)</t>
        </is>
      </c>
      <c r="I48" s="5" t="inlineStr">
        <is>
          <t>203000000 - Propiedad Industrial</t>
        </is>
      </c>
      <c r="J48" s="7" t="n">
        <v>0</v>
      </c>
      <c r="K48" s="7" t="n">
        <v>1750</v>
      </c>
      <c r="L48" s="7" t="n">
        <v>0</v>
      </c>
      <c r="M48" s="7" t="n">
        <v>0</v>
      </c>
      <c r="N48" s="7" t="n">
        <v>0</v>
      </c>
      <c r="O48" s="7" t="n">
        <v>0</v>
      </c>
      <c r="P48" s="7" t="n">
        <v>0</v>
      </c>
      <c r="Q48" s="7" t="n">
        <v>0</v>
      </c>
      <c r="R48" s="7" t="n">
        <v>0</v>
      </c>
      <c r="S48" s="7" t="n">
        <v>0</v>
      </c>
      <c r="T48" s="7" t="n">
        <v>0</v>
      </c>
      <c r="U48" s="7" t="n">
        <v>0</v>
      </c>
      <c r="V48" s="8">
        <f>SUM(J48:U48)</f>
        <v/>
      </c>
      <c r="W48" s="7" t="n">
        <v>0</v>
      </c>
      <c r="X48" s="8">
        <f>V48-W48</f>
        <v/>
      </c>
      <c r="Y48" s="10" t="inlineStr">
        <is>
          <t>Registro de nueva marca con concesión de monopolio legal plurianual. Activable como Inmovilizado Intangible (203).</t>
        </is>
      </c>
    </row>
    <row r="49">
      <c r="B49" s="11" t="inlineStr">
        <is>
          <t>Regulatory</t>
        </is>
      </c>
      <c r="C49" s="12" t="inlineStr">
        <is>
          <t>Marcas</t>
        </is>
      </c>
      <c r="D49" s="11" t="inlineStr">
        <is>
          <t>Trifeno-94-Europea</t>
        </is>
      </c>
      <c r="E49" s="12" t="inlineStr">
        <is>
          <t>1500</t>
        </is>
      </c>
      <c r="F49" s="11" t="inlineStr">
        <is>
          <t>623200000</t>
        </is>
      </c>
      <c r="G49" s="12" t="inlineStr">
        <is>
          <t>Gastos marcas y patentes</t>
        </is>
      </c>
      <c r="H49" s="31" t="inlineStr">
        <is>
          <t>Inmovilizable (Activable)</t>
        </is>
      </c>
      <c r="I49" s="11" t="inlineStr">
        <is>
          <t>203000000 - Propiedad Industrial</t>
        </is>
      </c>
      <c r="J49" s="13" t="n">
        <v>1500</v>
      </c>
      <c r="K49" s="13" t="n">
        <v>0</v>
      </c>
      <c r="L49" s="13" t="n">
        <v>0</v>
      </c>
      <c r="M49" s="13" t="n">
        <v>0</v>
      </c>
      <c r="N49" s="13" t="n">
        <v>0</v>
      </c>
      <c r="O49" s="13" t="n">
        <v>0</v>
      </c>
      <c r="P49" s="13" t="n">
        <v>0</v>
      </c>
      <c r="Q49" s="13" t="n">
        <v>0</v>
      </c>
      <c r="R49" s="13" t="n">
        <v>0</v>
      </c>
      <c r="S49" s="13" t="n">
        <v>0</v>
      </c>
      <c r="T49" s="13" t="n">
        <v>0</v>
      </c>
      <c r="U49" s="13" t="n">
        <v>0</v>
      </c>
      <c r="V49" s="14">
        <f>SUM(J49:U49)</f>
        <v/>
      </c>
      <c r="W49" s="13" t="n">
        <v>0</v>
      </c>
      <c r="X49" s="14">
        <f>V49-W49</f>
        <v/>
      </c>
      <c r="Y49" s="16" t="inlineStr">
        <is>
          <t>Registro de nueva marca con concesión de monopolio legal plurianual. Activable como Inmovilizado Intangible (203).</t>
        </is>
      </c>
    </row>
    <row r="50">
      <c r="B50" s="5" t="inlineStr">
        <is>
          <t>Regulatory</t>
        </is>
      </c>
      <c r="C50" s="6" t="inlineStr">
        <is>
          <t>Marcas</t>
        </is>
      </c>
      <c r="D50" s="5" t="inlineStr">
        <is>
          <t>Trifeno-94-Guatemala</t>
        </is>
      </c>
      <c r="E50" s="6" t="inlineStr">
        <is>
          <t>1750</t>
        </is>
      </c>
      <c r="F50" s="5" t="inlineStr">
        <is>
          <t>623200000</t>
        </is>
      </c>
      <c r="G50" s="6" t="inlineStr">
        <is>
          <t>Gastos marcas y patentes</t>
        </is>
      </c>
      <c r="H50" s="31" t="inlineStr">
        <is>
          <t>Inmovilizable (Activable)</t>
        </is>
      </c>
      <c r="I50" s="5" t="inlineStr">
        <is>
          <t>203000000 - Propiedad Industrial</t>
        </is>
      </c>
      <c r="J50" s="7" t="n">
        <v>0</v>
      </c>
      <c r="K50" s="7" t="n">
        <v>0</v>
      </c>
      <c r="L50" s="7" t="n">
        <v>1750</v>
      </c>
      <c r="M50" s="7" t="n">
        <v>0</v>
      </c>
      <c r="N50" s="7" t="n">
        <v>0</v>
      </c>
      <c r="O50" s="7" t="n">
        <v>0</v>
      </c>
      <c r="P50" s="7" t="n">
        <v>0</v>
      </c>
      <c r="Q50" s="7" t="n">
        <v>0</v>
      </c>
      <c r="R50" s="7" t="n">
        <v>0</v>
      </c>
      <c r="S50" s="7" t="n">
        <v>0</v>
      </c>
      <c r="T50" s="7" t="n">
        <v>0</v>
      </c>
      <c r="U50" s="7" t="n">
        <v>0</v>
      </c>
      <c r="V50" s="8">
        <f>SUM(J50:U50)</f>
        <v/>
      </c>
      <c r="W50" s="7" t="n">
        <v>0</v>
      </c>
      <c r="X50" s="8">
        <f>V50-W50</f>
        <v/>
      </c>
      <c r="Y50" s="10" t="inlineStr">
        <is>
          <t>Registro de nueva marca con concesión de monopolio legal plurianual. Activable como Inmovilizado Intangible (203).</t>
        </is>
      </c>
    </row>
    <row r="51">
      <c r="B51" s="11" t="inlineStr">
        <is>
          <t>Regulatory</t>
        </is>
      </c>
      <c r="C51" s="12" t="inlineStr">
        <is>
          <t>Marcas</t>
        </is>
      </c>
      <c r="D51" s="11" t="inlineStr">
        <is>
          <t>Salwax-Arabia</t>
        </is>
      </c>
      <c r="E51" s="12" t="inlineStr">
        <is>
          <t>2000</t>
        </is>
      </c>
      <c r="F51" s="11" t="inlineStr">
        <is>
          <t>623200000</t>
        </is>
      </c>
      <c r="G51" s="12" t="inlineStr">
        <is>
          <t>Gastos marcas y patentes</t>
        </is>
      </c>
      <c r="H51" s="31" t="inlineStr">
        <is>
          <t>Inmovilizable (Activable)</t>
        </is>
      </c>
      <c r="I51" s="11" t="inlineStr">
        <is>
          <t>203000000 - Propiedad Industrial</t>
        </is>
      </c>
      <c r="J51" s="13" t="n">
        <v>500</v>
      </c>
      <c r="K51" s="13" t="n">
        <v>500</v>
      </c>
      <c r="L51" s="13" t="n">
        <v>500</v>
      </c>
      <c r="M51" s="13" t="n">
        <v>500</v>
      </c>
      <c r="N51" s="13" t="n">
        <v>0</v>
      </c>
      <c r="O51" s="13" t="n">
        <v>0</v>
      </c>
      <c r="P51" s="13" t="n">
        <v>0</v>
      </c>
      <c r="Q51" s="13" t="n">
        <v>0</v>
      </c>
      <c r="R51" s="13" t="n">
        <v>0</v>
      </c>
      <c r="S51" s="13" t="n">
        <v>0</v>
      </c>
      <c r="T51" s="13" t="n">
        <v>0</v>
      </c>
      <c r="U51" s="13" t="n">
        <v>0</v>
      </c>
      <c r="V51" s="14">
        <f>SUM(J51:U51)</f>
        <v/>
      </c>
      <c r="W51" s="13" t="n">
        <v>0</v>
      </c>
      <c r="X51" s="14">
        <f>V51-W51</f>
        <v/>
      </c>
      <c r="Y51" s="16" t="inlineStr">
        <is>
          <t>Registro de nueva marca con concesión de monopolio legal plurianual. Activable como Inmovilizado Intangible (203).</t>
        </is>
      </c>
    </row>
    <row r="52">
      <c r="B52" s="5" t="inlineStr">
        <is>
          <t>Regulatory</t>
        </is>
      </c>
      <c r="C52" s="6" t="inlineStr">
        <is>
          <t>Marcas</t>
        </is>
      </c>
      <c r="D52" s="5" t="inlineStr">
        <is>
          <t>Biorad- Arabia</t>
        </is>
      </c>
      <c r="E52" s="6" t="inlineStr">
        <is>
          <t>2000</t>
        </is>
      </c>
      <c r="F52" s="5" t="inlineStr">
        <is>
          <t>623200000</t>
        </is>
      </c>
      <c r="G52" s="6" t="inlineStr">
        <is>
          <t>Gastos marcas y patentes</t>
        </is>
      </c>
      <c r="H52" s="31" t="inlineStr">
        <is>
          <t>Inmovilizable (Activable)</t>
        </is>
      </c>
      <c r="I52" s="5" t="inlineStr">
        <is>
          <t>203000000 - Propiedad Industrial</t>
        </is>
      </c>
      <c r="J52" s="7" t="n">
        <v>0</v>
      </c>
      <c r="K52" s="7" t="n">
        <v>500</v>
      </c>
      <c r="L52" s="7" t="n">
        <v>500</v>
      </c>
      <c r="M52" s="7" t="n">
        <v>500</v>
      </c>
      <c r="N52" s="7" t="n">
        <v>500</v>
      </c>
      <c r="O52" s="7" t="n">
        <v>0</v>
      </c>
      <c r="P52" s="7" t="n">
        <v>0</v>
      </c>
      <c r="Q52" s="7" t="n">
        <v>0</v>
      </c>
      <c r="R52" s="7" t="n">
        <v>0</v>
      </c>
      <c r="S52" s="7" t="n">
        <v>0</v>
      </c>
      <c r="T52" s="7" t="n">
        <v>0</v>
      </c>
      <c r="U52" s="7" t="n">
        <v>0</v>
      </c>
      <c r="V52" s="8">
        <f>SUM(J52:U52)</f>
        <v/>
      </c>
      <c r="W52" s="7" t="n">
        <v>0</v>
      </c>
      <c r="X52" s="8">
        <f>V52-W52</f>
        <v/>
      </c>
      <c r="Y52" s="10" t="inlineStr">
        <is>
          <t>Registro de nueva marca con concesión de monopolio legal plurianual. Activable como Inmovilizado Intangible (203).</t>
        </is>
      </c>
    </row>
    <row r="53">
      <c r="B53" s="11" t="inlineStr">
        <is>
          <t>Regulatory</t>
        </is>
      </c>
      <c r="C53" s="12" t="inlineStr">
        <is>
          <t>Marcas</t>
        </is>
      </c>
      <c r="D53" s="11" t="inlineStr">
        <is>
          <t>Floramec Avance Arabia</t>
        </is>
      </c>
      <c r="E53" s="12" t="inlineStr">
        <is>
          <t>2000</t>
        </is>
      </c>
      <c r="F53" s="11" t="inlineStr">
        <is>
          <t>623200000</t>
        </is>
      </c>
      <c r="G53" s="12" t="inlineStr">
        <is>
          <t>Gastos marcas y patentes</t>
        </is>
      </c>
      <c r="H53" s="31" t="inlineStr">
        <is>
          <t>Inmovilizable (Activable)</t>
        </is>
      </c>
      <c r="I53" s="11" t="inlineStr">
        <is>
          <t>203000000 - Propiedad Industrial</t>
        </is>
      </c>
      <c r="J53" s="13" t="n">
        <v>0</v>
      </c>
      <c r="K53" s="13" t="n">
        <v>0</v>
      </c>
      <c r="L53" s="13" t="n">
        <v>500</v>
      </c>
      <c r="M53" s="13" t="n">
        <v>500</v>
      </c>
      <c r="N53" s="13" t="n">
        <v>500</v>
      </c>
      <c r="O53" s="13" t="n">
        <v>500</v>
      </c>
      <c r="P53" s="13" t="n">
        <v>0</v>
      </c>
      <c r="Q53" s="13" t="n">
        <v>0</v>
      </c>
      <c r="R53" s="13" t="n">
        <v>0</v>
      </c>
      <c r="S53" s="13" t="n">
        <v>0</v>
      </c>
      <c r="T53" s="13" t="n">
        <v>0</v>
      </c>
      <c r="U53" s="13" t="n">
        <v>0</v>
      </c>
      <c r="V53" s="14">
        <f>SUM(J53:U53)</f>
        <v/>
      </c>
      <c r="W53" s="13" t="n">
        <v>0</v>
      </c>
      <c r="X53" s="14">
        <f>V53-W53</f>
        <v/>
      </c>
      <c r="Y53" s="16" t="inlineStr">
        <is>
          <t>Registro de nueva marca con concesión de monopolio legal plurianual. Activable como Inmovilizado Intangible (203).</t>
        </is>
      </c>
    </row>
    <row r="54">
      <c r="B54" s="5" t="inlineStr">
        <is>
          <t>Regulatory</t>
        </is>
      </c>
      <c r="C54" s="6" t="inlineStr">
        <is>
          <t>Marcas</t>
        </is>
      </c>
      <c r="D54" s="6" t="inlineStr">
        <is>
          <t>cambio titular Guatemala</t>
        </is>
      </c>
      <c r="E54" s="6" t="inlineStr">
        <is>
          <t>6840</t>
        </is>
      </c>
      <c r="F54" s="5" t="inlineStr">
        <is>
          <t>623200000</t>
        </is>
      </c>
      <c r="G54" s="6" t="inlineStr">
        <is>
          <t>Gastos marcas y patentes</t>
        </is>
      </c>
      <c r="H54" s="6" t="inlineStr">
        <is>
          <t>Gasto Corriente</t>
        </is>
      </c>
      <c r="I54" s="6" t="inlineStr">
        <is>
          <t>-</t>
        </is>
      </c>
      <c r="J54" s="7" t="n">
        <v>570</v>
      </c>
      <c r="K54" s="7" t="n">
        <v>570</v>
      </c>
      <c r="L54" s="7" t="n">
        <v>570</v>
      </c>
      <c r="M54" s="7" t="n">
        <v>570</v>
      </c>
      <c r="N54" s="7" t="n">
        <v>570</v>
      </c>
      <c r="O54" s="7" t="n">
        <v>570</v>
      </c>
      <c r="P54" s="7" t="n">
        <v>570</v>
      </c>
      <c r="Q54" s="7" t="n">
        <v>570</v>
      </c>
      <c r="R54" s="7" t="n">
        <v>570</v>
      </c>
      <c r="S54" s="7" t="n">
        <v>570</v>
      </c>
      <c r="T54" s="7" t="n">
        <v>570</v>
      </c>
      <c r="U54" s="7" t="n">
        <v>570</v>
      </c>
      <c r="V54" s="8">
        <f>SUM(J54:U54)</f>
        <v/>
      </c>
      <c r="W54" s="7" t="n">
        <v>0</v>
      </c>
      <c r="X54" s="8">
        <f>V54-W54</f>
        <v/>
      </c>
      <c r="Y54" s="10" t="inlineStr">
        <is>
          <t>Trámites notariales y registrales de cambio de titularidad de expedientes por reestructuración.</t>
        </is>
      </c>
    </row>
    <row r="55">
      <c r="B55" s="11" t="inlineStr">
        <is>
          <t>Regulatory</t>
        </is>
      </c>
      <c r="C55" s="12" t="inlineStr">
        <is>
          <t>Marcas</t>
        </is>
      </c>
      <c r="D55" s="12" t="inlineStr">
        <is>
          <t>cambio titular Jordania</t>
        </is>
      </c>
      <c r="E55" s="12" t="inlineStr">
        <is>
          <t>4800</t>
        </is>
      </c>
      <c r="F55" s="11" t="inlineStr">
        <is>
          <t>623200000</t>
        </is>
      </c>
      <c r="G55" s="12" t="inlineStr">
        <is>
          <t>Gastos marcas y patentes</t>
        </is>
      </c>
      <c r="H55" s="6" t="inlineStr">
        <is>
          <t>Gasto Corriente</t>
        </is>
      </c>
      <c r="I55" s="12" t="inlineStr">
        <is>
          <t>-</t>
        </is>
      </c>
      <c r="J55" s="13" t="n">
        <v>400</v>
      </c>
      <c r="K55" s="13" t="n">
        <v>400</v>
      </c>
      <c r="L55" s="13" t="n">
        <v>400</v>
      </c>
      <c r="M55" s="13" t="n">
        <v>400</v>
      </c>
      <c r="N55" s="13" t="n">
        <v>400</v>
      </c>
      <c r="O55" s="13" t="n">
        <v>400</v>
      </c>
      <c r="P55" s="13" t="n">
        <v>400</v>
      </c>
      <c r="Q55" s="13" t="n">
        <v>400</v>
      </c>
      <c r="R55" s="13" t="n">
        <v>400</v>
      </c>
      <c r="S55" s="13" t="n">
        <v>400</v>
      </c>
      <c r="T55" s="13" t="n">
        <v>400</v>
      </c>
      <c r="U55" s="13" t="n">
        <v>400</v>
      </c>
      <c r="V55" s="14">
        <f>SUM(J55:U55)</f>
        <v/>
      </c>
      <c r="W55" s="13" t="n">
        <v>0</v>
      </c>
      <c r="X55" s="14">
        <f>V55-W55</f>
        <v/>
      </c>
      <c r="Y55" s="16" t="inlineStr">
        <is>
          <t>Trámites notariales y registrales de cambio de titularidad de expedientes por reestructuración.</t>
        </is>
      </c>
    </row>
    <row r="56">
      <c r="B56" s="5" t="inlineStr">
        <is>
          <t>Regulatory</t>
        </is>
      </c>
      <c r="C56" s="6" t="inlineStr">
        <is>
          <t>Marcas</t>
        </is>
      </c>
      <c r="D56" s="6" t="inlineStr">
        <is>
          <t>cambio titular Túnez</t>
        </is>
      </c>
      <c r="E56" s="6" t="inlineStr">
        <is>
          <t>2400</t>
        </is>
      </c>
      <c r="F56" s="5" t="inlineStr">
        <is>
          <t>623200000</t>
        </is>
      </c>
      <c r="G56" s="6" t="inlineStr">
        <is>
          <t>Gastos marcas y patentes</t>
        </is>
      </c>
      <c r="H56" s="6" t="inlineStr">
        <is>
          <t>Gasto Corriente</t>
        </is>
      </c>
      <c r="I56" s="6" t="inlineStr">
        <is>
          <t>-</t>
        </is>
      </c>
      <c r="J56" s="7" t="n">
        <v>200</v>
      </c>
      <c r="K56" s="7" t="n">
        <v>200</v>
      </c>
      <c r="L56" s="7" t="n">
        <v>200</v>
      </c>
      <c r="M56" s="7" t="n">
        <v>200</v>
      </c>
      <c r="N56" s="7" t="n">
        <v>200</v>
      </c>
      <c r="O56" s="7" t="n">
        <v>200</v>
      </c>
      <c r="P56" s="7" t="n">
        <v>200</v>
      </c>
      <c r="Q56" s="7" t="n">
        <v>200</v>
      </c>
      <c r="R56" s="7" t="n">
        <v>200</v>
      </c>
      <c r="S56" s="7" t="n">
        <v>200</v>
      </c>
      <c r="T56" s="7" t="n">
        <v>200</v>
      </c>
      <c r="U56" s="7" t="n">
        <v>200</v>
      </c>
      <c r="V56" s="8">
        <f>SUM(J56:U56)</f>
        <v/>
      </c>
      <c r="W56" s="7" t="n">
        <v>0</v>
      </c>
      <c r="X56" s="8">
        <f>V56-W56</f>
        <v/>
      </c>
      <c r="Y56" s="10" t="inlineStr">
        <is>
          <t>Trámites notariales y registrales de cambio de titularidad de expedientes por reestructuración.</t>
        </is>
      </c>
    </row>
    <row r="57">
      <c r="B57" s="11" t="inlineStr">
        <is>
          <t>Regulatory</t>
        </is>
      </c>
      <c r="C57" s="12" t="inlineStr">
        <is>
          <t>Marcas</t>
        </is>
      </c>
      <c r="D57" s="12" t="inlineStr">
        <is>
          <t>cambio titular Emiratos</t>
        </is>
      </c>
      <c r="E57" s="12" t="inlineStr">
        <is>
          <t>4200</t>
        </is>
      </c>
      <c r="F57" s="11" t="inlineStr">
        <is>
          <t>623200000</t>
        </is>
      </c>
      <c r="G57" s="12" t="inlineStr">
        <is>
          <t>Gastos marcas y patentes</t>
        </is>
      </c>
      <c r="H57" s="6" t="inlineStr">
        <is>
          <t>Gasto Corriente</t>
        </is>
      </c>
      <c r="I57" s="12" t="inlineStr">
        <is>
          <t>-</t>
        </is>
      </c>
      <c r="J57" s="13" t="n">
        <v>350</v>
      </c>
      <c r="K57" s="13" t="n">
        <v>350</v>
      </c>
      <c r="L57" s="13" t="n">
        <v>350</v>
      </c>
      <c r="M57" s="13" t="n">
        <v>350</v>
      </c>
      <c r="N57" s="13" t="n">
        <v>350</v>
      </c>
      <c r="O57" s="13" t="n">
        <v>350</v>
      </c>
      <c r="P57" s="13" t="n">
        <v>350</v>
      </c>
      <c r="Q57" s="13" t="n">
        <v>350</v>
      </c>
      <c r="R57" s="13" t="n">
        <v>350</v>
      </c>
      <c r="S57" s="13" t="n">
        <v>350</v>
      </c>
      <c r="T57" s="13" t="n">
        <v>350</v>
      </c>
      <c r="U57" s="13" t="n">
        <v>350</v>
      </c>
      <c r="V57" s="14">
        <f>SUM(J57:U57)</f>
        <v/>
      </c>
      <c r="W57" s="13" t="n">
        <v>0</v>
      </c>
      <c r="X57" s="14">
        <f>V57-W57</f>
        <v/>
      </c>
      <c r="Y57" s="16" t="inlineStr">
        <is>
          <t>Trámites notariales y registrales de cambio de titularidad de expedientes por reestructuración.</t>
        </is>
      </c>
    </row>
    <row r="58">
      <c r="B58" s="5" t="inlineStr">
        <is>
          <t>Regulatory</t>
        </is>
      </c>
      <c r="C58" s="6" t="inlineStr">
        <is>
          <t>Marcas</t>
        </is>
      </c>
      <c r="D58" s="6" t="inlineStr">
        <is>
          <t>cambio titualr Nicaragua</t>
        </is>
      </c>
      <c r="E58" s="6" t="inlineStr">
        <is>
          <t>2400</t>
        </is>
      </c>
      <c r="F58" s="5" t="inlineStr">
        <is>
          <t>623200000</t>
        </is>
      </c>
      <c r="G58" s="6" t="inlineStr">
        <is>
          <t>Gastos marcas y patentes</t>
        </is>
      </c>
      <c r="H58" s="6" t="inlineStr">
        <is>
          <t>Gasto Corriente</t>
        </is>
      </c>
      <c r="I58" s="6" t="inlineStr">
        <is>
          <t>-</t>
        </is>
      </c>
      <c r="J58" s="7" t="n">
        <v>200</v>
      </c>
      <c r="K58" s="7" t="n">
        <v>200</v>
      </c>
      <c r="L58" s="7" t="n">
        <v>200</v>
      </c>
      <c r="M58" s="7" t="n">
        <v>200</v>
      </c>
      <c r="N58" s="7" t="n">
        <v>200</v>
      </c>
      <c r="O58" s="7" t="n">
        <v>200</v>
      </c>
      <c r="P58" s="7" t="n">
        <v>200</v>
      </c>
      <c r="Q58" s="7" t="n">
        <v>200</v>
      </c>
      <c r="R58" s="7" t="n">
        <v>200</v>
      </c>
      <c r="S58" s="7" t="n">
        <v>200</v>
      </c>
      <c r="T58" s="7" t="n">
        <v>200</v>
      </c>
      <c r="U58" s="7" t="n">
        <v>200</v>
      </c>
      <c r="V58" s="8">
        <f>SUM(J58:U58)</f>
        <v/>
      </c>
      <c r="W58" s="7" t="n">
        <v>0</v>
      </c>
      <c r="X58" s="8">
        <f>V58-W58</f>
        <v/>
      </c>
      <c r="Y58" s="10" t="inlineStr">
        <is>
          <t>Tasas oficiales de renovación decenal de marcas comerciales registradas en el país de destino.</t>
        </is>
      </c>
    </row>
    <row r="59">
      <c r="B59" s="11" t="inlineStr">
        <is>
          <t>Regulatory</t>
        </is>
      </c>
      <c r="C59" s="12" t="inlineStr">
        <is>
          <t>Consejero seguridad</t>
        </is>
      </c>
      <c r="D59" s="12" t="inlineStr">
        <is>
          <t>Ecosmep</t>
        </is>
      </c>
      <c r="E59" s="12" t="inlineStr">
        <is>
          <t>650</t>
        </is>
      </c>
      <c r="F59" s="11" t="inlineStr">
        <is>
          <t>623000001</t>
        </is>
      </c>
      <c r="G59" s="12" t="inlineStr">
        <is>
          <t>Servicios profesionales independientes</t>
        </is>
      </c>
      <c r="H59" s="6" t="inlineStr">
        <is>
          <t>Gasto Corriente</t>
        </is>
      </c>
      <c r="I59" s="12" t="inlineStr">
        <is>
          <t>-</t>
        </is>
      </c>
      <c r="J59" s="13" t="n">
        <v>0</v>
      </c>
      <c r="K59" s="13" t="n">
        <v>0</v>
      </c>
      <c r="L59" s="13" t="n">
        <v>650</v>
      </c>
      <c r="M59" s="13" t="n">
        <v>0</v>
      </c>
      <c r="N59" s="13" t="n">
        <v>0</v>
      </c>
      <c r="O59" s="13" t="n">
        <v>0</v>
      </c>
      <c r="P59" s="13" t="n">
        <v>0</v>
      </c>
      <c r="Q59" s="13" t="n">
        <v>0</v>
      </c>
      <c r="R59" s="13" t="n">
        <v>0</v>
      </c>
      <c r="S59" s="13" t="n">
        <v>0</v>
      </c>
      <c r="T59" s="13" t="n">
        <v>0</v>
      </c>
      <c r="U59" s="13" t="n">
        <v>0</v>
      </c>
      <c r="V59" s="14">
        <f>SUM(J59:U59)</f>
        <v/>
      </c>
      <c r="W59" s="13" t="n">
        <v>74000</v>
      </c>
      <c r="X59" s="14">
        <f>V59-W59</f>
        <v/>
      </c>
      <c r="Y59" s="16" t="inlineStr">
        <is>
          <t>Servicios técnicos externos de seguridad química, auditoría ISO y fichas de seguridad.</t>
        </is>
      </c>
    </row>
    <row r="60">
      <c r="B60" s="5" t="inlineStr">
        <is>
          <t>Regulatory</t>
        </is>
      </c>
      <c r="C60" s="6" t="inlineStr">
        <is>
          <t>Fds</t>
        </is>
      </c>
      <c r="D60" s="6" t="inlineStr">
        <is>
          <t>EQGEST</t>
        </is>
      </c>
      <c r="E60" s="6" t="inlineStr">
        <is>
          <t>1220</t>
        </is>
      </c>
      <c r="F60" s="5" t="inlineStr">
        <is>
          <t>623000001</t>
        </is>
      </c>
      <c r="G60" s="6" t="inlineStr">
        <is>
          <t>Servicios profesionales independientes</t>
        </is>
      </c>
      <c r="H60" s="6" t="inlineStr">
        <is>
          <t>Gasto Corriente</t>
        </is>
      </c>
      <c r="I60" s="6" t="inlineStr">
        <is>
          <t>-</t>
        </is>
      </c>
      <c r="J60" s="7" t="n">
        <v>1220</v>
      </c>
      <c r="K60" s="7" t="n">
        <v>0</v>
      </c>
      <c r="L60" s="7" t="n">
        <v>0</v>
      </c>
      <c r="M60" s="7" t="n">
        <v>0</v>
      </c>
      <c r="N60" s="7" t="n">
        <v>0</v>
      </c>
      <c r="O60" s="7" t="n">
        <v>0</v>
      </c>
      <c r="P60" s="7" t="n">
        <v>0</v>
      </c>
      <c r="Q60" s="7" t="n">
        <v>0</v>
      </c>
      <c r="R60" s="7" t="n">
        <v>0</v>
      </c>
      <c r="S60" s="7" t="n">
        <v>0</v>
      </c>
      <c r="T60" s="7" t="n">
        <v>0</v>
      </c>
      <c r="U60" s="7" t="n">
        <v>0</v>
      </c>
      <c r="V60" s="8">
        <f>SUM(J60:U60)</f>
        <v/>
      </c>
      <c r="W60" s="7" t="n">
        <v>74000</v>
      </c>
      <c r="X60" s="8">
        <f>V60-W60</f>
        <v/>
      </c>
      <c r="Y60" s="10" t="inlineStr">
        <is>
          <t>Servicios técnicos externos de seguridad química, auditoría ISO y fichas de seguridad.</t>
        </is>
      </c>
    </row>
    <row r="61">
      <c r="B61" s="11" t="inlineStr">
        <is>
          <t>Regulatory</t>
        </is>
      </c>
      <c r="C61" s="12" t="inlineStr">
        <is>
          <t>Calidad</t>
        </is>
      </c>
      <c r="D61" s="12" t="inlineStr">
        <is>
          <t>ISO-BUREAU VERITAS</t>
        </is>
      </c>
      <c r="E61" s="12" t="inlineStr">
        <is>
          <t>1000</t>
        </is>
      </c>
      <c r="F61" s="11" t="inlineStr">
        <is>
          <t>623000001</t>
        </is>
      </c>
      <c r="G61" s="12" t="inlineStr">
        <is>
          <t>Servicios profesionales independientes</t>
        </is>
      </c>
      <c r="H61" s="6" t="inlineStr">
        <is>
          <t>Gasto Corriente</t>
        </is>
      </c>
      <c r="I61" s="12" t="inlineStr">
        <is>
          <t>-</t>
        </is>
      </c>
      <c r="J61" s="13" t="n">
        <v>0</v>
      </c>
      <c r="K61" s="13" t="n">
        <v>0</v>
      </c>
      <c r="L61" s="13" t="n">
        <v>0</v>
      </c>
      <c r="M61" s="13" t="n">
        <v>1000</v>
      </c>
      <c r="N61" s="13" t="n">
        <v>0</v>
      </c>
      <c r="O61" s="13" t="n">
        <v>0</v>
      </c>
      <c r="P61" s="13" t="n">
        <v>0</v>
      </c>
      <c r="Q61" s="13" t="n">
        <v>0</v>
      </c>
      <c r="R61" s="13" t="n">
        <v>0</v>
      </c>
      <c r="S61" s="13" t="n">
        <v>0</v>
      </c>
      <c r="T61" s="13" t="n">
        <v>0</v>
      </c>
      <c r="U61" s="13" t="n">
        <v>0</v>
      </c>
      <c r="V61" s="14">
        <f>SUM(J61:U61)</f>
        <v/>
      </c>
      <c r="W61" s="13" t="n">
        <v>74000</v>
      </c>
      <c r="X61" s="14">
        <f>V61-W61</f>
        <v/>
      </c>
      <c r="Y61" s="16" t="inlineStr">
        <is>
          <t>Servicios técnicos externos de seguridad química, auditoría ISO y fichas de seguridad.</t>
        </is>
      </c>
    </row>
    <row r="62">
      <c r="B62" s="5" t="inlineStr">
        <is>
          <t>Regulatory</t>
        </is>
      </c>
      <c r="C62" s="6" t="inlineStr">
        <is>
          <t>General</t>
        </is>
      </c>
      <c r="D62" s="6" t="inlineStr">
        <is>
          <t>Quimacova</t>
        </is>
      </c>
      <c r="E62" s="6" t="inlineStr">
        <is>
          <t>2400</t>
        </is>
      </c>
      <c r="F62" s="5" t="inlineStr">
        <is>
          <t>629000008</t>
        </is>
      </c>
      <c r="G62" s="6" t="inlineStr">
        <is>
          <t>Cuotas asociaciones</t>
        </is>
      </c>
      <c r="H62" s="6" t="inlineStr">
        <is>
          <t>Gasto Corriente</t>
        </is>
      </c>
      <c r="I62" s="6" t="inlineStr">
        <is>
          <t>-</t>
        </is>
      </c>
      <c r="J62" s="7" t="n">
        <v>600</v>
      </c>
      <c r="K62" s="7" t="n">
        <v>0</v>
      </c>
      <c r="L62" s="7" t="n">
        <v>0</v>
      </c>
      <c r="M62" s="7" t="n">
        <v>600</v>
      </c>
      <c r="N62" s="7" t="n">
        <v>0</v>
      </c>
      <c r="O62" s="7" t="n">
        <v>0</v>
      </c>
      <c r="P62" s="7" t="n">
        <v>600</v>
      </c>
      <c r="Q62" s="7" t="n">
        <v>0</v>
      </c>
      <c r="R62" s="7" t="n">
        <v>0</v>
      </c>
      <c r="S62" s="7" t="n">
        <v>0</v>
      </c>
      <c r="T62" s="7" t="n">
        <v>600</v>
      </c>
      <c r="U62" s="7" t="n">
        <v>0</v>
      </c>
      <c r="V62" s="8">
        <f>SUM(J62:U62)</f>
        <v/>
      </c>
      <c r="W62" s="7" t="n">
        <v>9621.84</v>
      </c>
      <c r="X62" s="8">
        <f>V62-W62</f>
        <v/>
      </c>
      <c r="Y62" s="10" t="inlineStr">
        <is>
          <t>Cuota gremial y patronal del sector químico (Quimacova).</t>
        </is>
      </c>
    </row>
    <row r="63">
      <c r="B63" s="11" t="inlineStr">
        <is>
          <t>Regulatory</t>
        </is>
      </c>
      <c r="C63" s="12" t="inlineStr">
        <is>
          <t>Seguridad industrial</t>
        </is>
      </c>
      <c r="D63" s="12" t="inlineStr">
        <is>
          <t>Inspección reglamentaria BT</t>
        </is>
      </c>
      <c r="E63" s="12" t="inlineStr">
        <is>
          <t>700</t>
        </is>
      </c>
      <c r="F63" s="11" t="inlineStr">
        <is>
          <t>623000001</t>
        </is>
      </c>
      <c r="G63" s="12" t="inlineStr">
        <is>
          <t>Servicios profesionales independientes</t>
        </is>
      </c>
      <c r="H63" s="6" t="inlineStr">
        <is>
          <t>Gasto Corriente</t>
        </is>
      </c>
      <c r="I63" s="12" t="inlineStr">
        <is>
          <t>-</t>
        </is>
      </c>
      <c r="J63" s="13" t="n">
        <v>0</v>
      </c>
      <c r="K63" s="13" t="n">
        <v>0</v>
      </c>
      <c r="L63" s="13" t="n">
        <v>0</v>
      </c>
      <c r="M63" s="13" t="n">
        <v>700</v>
      </c>
      <c r="N63" s="13" t="n">
        <v>0</v>
      </c>
      <c r="O63" s="13" t="n">
        <v>0</v>
      </c>
      <c r="P63" s="13" t="n">
        <v>0</v>
      </c>
      <c r="Q63" s="13" t="n">
        <v>0</v>
      </c>
      <c r="R63" s="13" t="n">
        <v>0</v>
      </c>
      <c r="S63" s="13" t="n">
        <v>0</v>
      </c>
      <c r="T63" s="13" t="n">
        <v>0</v>
      </c>
      <c r="U63" s="13" t="n">
        <v>0</v>
      </c>
      <c r="V63" s="14">
        <f>SUM(J63:U63)</f>
        <v/>
      </c>
      <c r="W63" s="13" t="n">
        <v>74000</v>
      </c>
      <c r="X63" s="14">
        <f>V63-W63</f>
        <v/>
      </c>
      <c r="Y63" s="16" t="inlineStr">
        <is>
          <t>Servicios técnicos externos de seguridad química, auditoría ISO y fichas de seguridad.</t>
        </is>
      </c>
    </row>
    <row r="64">
      <c r="B64" s="5" t="inlineStr">
        <is>
          <t>Regulatory</t>
        </is>
      </c>
      <c r="C64" s="6" t="inlineStr">
        <is>
          <t>Ecológicos</t>
        </is>
      </c>
      <c r="D64" s="6" t="inlineStr">
        <is>
          <t>Ecocert</t>
        </is>
      </c>
      <c r="E64" s="6" t="inlineStr">
        <is>
          <t>970</t>
        </is>
      </c>
      <c r="F64" s="5" t="inlineStr">
        <is>
          <t>623000004</t>
        </is>
      </c>
      <c r="G64" s="6" t="inlineStr">
        <is>
          <t>Gastos certificaciones ecológicas</t>
        </is>
      </c>
      <c r="H64" s="6" t="inlineStr">
        <is>
          <t>Gasto Corriente</t>
        </is>
      </c>
      <c r="I64" s="6" t="inlineStr">
        <is>
          <t>-</t>
        </is>
      </c>
      <c r="J64" s="7" t="n">
        <v>0</v>
      </c>
      <c r="K64" s="7" t="n">
        <v>970</v>
      </c>
      <c r="L64" s="7" t="n">
        <v>0</v>
      </c>
      <c r="M64" s="7" t="n">
        <v>0</v>
      </c>
      <c r="N64" s="7" t="n">
        <v>0</v>
      </c>
      <c r="O64" s="7" t="n">
        <v>0</v>
      </c>
      <c r="P64" s="7" t="n">
        <v>0</v>
      </c>
      <c r="Q64" s="7" t="n">
        <v>0</v>
      </c>
      <c r="R64" s="7" t="n">
        <v>0</v>
      </c>
      <c r="S64" s="7" t="n">
        <v>0</v>
      </c>
      <c r="T64" s="7" t="n">
        <v>0</v>
      </c>
      <c r="U64" s="7" t="n">
        <v>0</v>
      </c>
      <c r="V64" s="8">
        <f>SUM(J64:U64)</f>
        <v/>
      </c>
      <c r="W64" s="7" t="n">
        <v>15253.68</v>
      </c>
      <c r="X64" s="8">
        <f>V64-W64</f>
        <v/>
      </c>
      <c r="Y64" s="10" t="inlineStr">
        <is>
          <t>Auditorías de certificación anual para etiquetado ecológico oficial (BCS-Kiwa, OMRI, FIBL, Ecocert).</t>
        </is>
      </c>
    </row>
    <row r="65">
      <c r="B65" s="11" t="inlineStr">
        <is>
          <t>Regulatory</t>
        </is>
      </c>
      <c r="C65" s="12" t="inlineStr">
        <is>
          <t>Ecológicos</t>
        </is>
      </c>
      <c r="D65" s="12" t="inlineStr">
        <is>
          <t>FIBL</t>
        </is>
      </c>
      <c r="E65" s="12" t="inlineStr">
        <is>
          <t>1100</t>
        </is>
      </c>
      <c r="F65" s="11" t="inlineStr">
        <is>
          <t>623000004</t>
        </is>
      </c>
      <c r="G65" s="12" t="inlineStr">
        <is>
          <t>Gastos certificaciones ecológicas</t>
        </is>
      </c>
      <c r="H65" s="6" t="inlineStr">
        <is>
          <t>Gasto Corriente</t>
        </is>
      </c>
      <c r="I65" s="12" t="inlineStr">
        <is>
          <t>-</t>
        </is>
      </c>
      <c r="J65" s="13" t="n">
        <v>0</v>
      </c>
      <c r="K65" s="13" t="n">
        <v>0</v>
      </c>
      <c r="L65" s="13" t="n">
        <v>0</v>
      </c>
      <c r="M65" s="13" t="n">
        <v>0</v>
      </c>
      <c r="N65" s="13" t="n">
        <v>0</v>
      </c>
      <c r="O65" s="13" t="n">
        <v>0</v>
      </c>
      <c r="P65" s="13" t="n">
        <v>0</v>
      </c>
      <c r="Q65" s="13" t="n">
        <v>0</v>
      </c>
      <c r="R65" s="13" t="n">
        <v>0</v>
      </c>
      <c r="S65" s="13" t="n">
        <v>0</v>
      </c>
      <c r="T65" s="13" t="n">
        <v>1100</v>
      </c>
      <c r="U65" s="13" t="n">
        <v>0</v>
      </c>
      <c r="V65" s="14">
        <f>SUM(J65:U65)</f>
        <v/>
      </c>
      <c r="W65" s="13" t="n">
        <v>15253.68</v>
      </c>
      <c r="X65" s="14">
        <f>V65-W65</f>
        <v/>
      </c>
      <c r="Y65" s="16" t="inlineStr">
        <is>
          <t>Auditorías de certificación anual para etiquetado ecológico oficial (BCS-Kiwa, OMRI, FIBL, Ecocert).</t>
        </is>
      </c>
    </row>
    <row r="66">
      <c r="B66" s="5" t="inlineStr">
        <is>
          <t>Regulatory</t>
        </is>
      </c>
      <c r="C66" s="6" t="inlineStr">
        <is>
          <t>Ecológicos</t>
        </is>
      </c>
      <c r="D66" s="6" t="inlineStr">
        <is>
          <t>BCS-Kiwa</t>
        </is>
      </c>
      <c r="E66" s="6" t="inlineStr">
        <is>
          <t>5423</t>
        </is>
      </c>
      <c r="F66" s="5" t="inlineStr">
        <is>
          <t>623000004</t>
        </is>
      </c>
      <c r="G66" s="6" t="inlineStr">
        <is>
          <t>Gastos certificaciones ecológicas</t>
        </is>
      </c>
      <c r="H66" s="6" t="inlineStr">
        <is>
          <t>Gasto Corriente</t>
        </is>
      </c>
      <c r="I66" s="6" t="inlineStr">
        <is>
          <t>-</t>
        </is>
      </c>
      <c r="J66" s="7" t="n">
        <v>980</v>
      </c>
      <c r="K66" s="7" t="n">
        <v>0</v>
      </c>
      <c r="L66" s="7" t="n">
        <v>0</v>
      </c>
      <c r="M66" s="7" t="n">
        <v>0</v>
      </c>
      <c r="N66" s="7" t="n">
        <v>1610</v>
      </c>
      <c r="O66" s="7" t="n">
        <v>1268</v>
      </c>
      <c r="P66" s="7" t="n">
        <v>0</v>
      </c>
      <c r="Q66" s="7" t="n">
        <v>0</v>
      </c>
      <c r="R66" s="7" t="n">
        <v>0</v>
      </c>
      <c r="S66" s="7" t="n">
        <v>180</v>
      </c>
      <c r="T66" s="7" t="n">
        <v>0</v>
      </c>
      <c r="U66" s="7" t="n">
        <v>1385</v>
      </c>
      <c r="V66" s="8">
        <f>SUM(J66:U66)</f>
        <v/>
      </c>
      <c r="W66" s="7" t="n">
        <v>15253.68</v>
      </c>
      <c r="X66" s="8">
        <f>V66-W66</f>
        <v/>
      </c>
      <c r="Y66" s="10" t="inlineStr">
        <is>
          <t>Auditorías de certificación anual para etiquetado ecológico oficial (BCS-Kiwa, OMRI, FIBL, Ecocert).</t>
        </is>
      </c>
    </row>
    <row r="67">
      <c r="B67" s="11" t="inlineStr">
        <is>
          <t>Regulatory</t>
        </is>
      </c>
      <c r="C67" s="12" t="inlineStr">
        <is>
          <t>Ecológicos</t>
        </is>
      </c>
      <c r="D67" s="12" t="inlineStr">
        <is>
          <t>OMRI</t>
        </is>
      </c>
      <c r="E67" s="12" t="inlineStr">
        <is>
          <t>2700</t>
        </is>
      </c>
      <c r="F67" s="11" t="inlineStr">
        <is>
          <t>623000004</t>
        </is>
      </c>
      <c r="G67" s="12" t="inlineStr">
        <is>
          <t>Gastos certificaciones ecológicas</t>
        </is>
      </c>
      <c r="H67" s="6" t="inlineStr">
        <is>
          <t>Gasto Corriente</t>
        </is>
      </c>
      <c r="I67" s="12" t="inlineStr">
        <is>
          <t>-</t>
        </is>
      </c>
      <c r="J67" s="13" t="n">
        <v>0</v>
      </c>
      <c r="K67" s="13" t="n">
        <v>0</v>
      </c>
      <c r="L67" s="13" t="n">
        <v>2700</v>
      </c>
      <c r="M67" s="13" t="n">
        <v>0</v>
      </c>
      <c r="N67" s="13" t="n">
        <v>0</v>
      </c>
      <c r="O67" s="13" t="n">
        <v>0</v>
      </c>
      <c r="P67" s="13" t="n">
        <v>0</v>
      </c>
      <c r="Q67" s="13" t="n">
        <v>0</v>
      </c>
      <c r="R67" s="13" t="n">
        <v>0</v>
      </c>
      <c r="S67" s="13" t="n">
        <v>0</v>
      </c>
      <c r="T67" s="13" t="n">
        <v>0</v>
      </c>
      <c r="U67" s="13" t="n">
        <v>0</v>
      </c>
      <c r="V67" s="14">
        <f>SUM(J67:U67)</f>
        <v/>
      </c>
      <c r="W67" s="13" t="n">
        <v>15253.68</v>
      </c>
      <c r="X67" s="14">
        <f>V67-W67</f>
        <v/>
      </c>
      <c r="Y67" s="16" t="inlineStr">
        <is>
          <t>Auditorías de certificación anual para etiquetado ecológico oficial (BCS-Kiwa, OMRI, FIBL, Ecocert).</t>
        </is>
      </c>
    </row>
    <row r="68">
      <c r="B68" s="5" t="inlineStr">
        <is>
          <t>Regulatory</t>
        </is>
      </c>
      <c r="C68" s="6" t="inlineStr">
        <is>
          <t>Envases</t>
        </is>
      </c>
      <c r="D68" s="6" t="inlineStr">
        <is>
          <t>AEVAE-PEPE</t>
        </is>
      </c>
      <c r="E68" s="6" t="inlineStr">
        <is>
          <t>515</t>
        </is>
      </c>
      <c r="F68" s="5" t="inlineStr">
        <is>
          <t>629000002</t>
        </is>
      </c>
      <c r="G68" s="6" t="inlineStr">
        <is>
          <t>Otros gastos de gestión / Envases</t>
        </is>
      </c>
      <c r="H68" s="6" t="inlineStr">
        <is>
          <t>Gasto Corriente</t>
        </is>
      </c>
      <c r="I68" s="6" t="inlineStr">
        <is>
          <t>-</t>
        </is>
      </c>
      <c r="J68" s="7" t="n">
        <v>0</v>
      </c>
      <c r="K68" s="7" t="n">
        <v>0</v>
      </c>
      <c r="L68" s="7" t="n">
        <v>0</v>
      </c>
      <c r="M68" s="7" t="n">
        <v>0</v>
      </c>
      <c r="N68" s="7" t="n">
        <v>0</v>
      </c>
      <c r="O68" s="7" t="n">
        <v>0</v>
      </c>
      <c r="P68" s="7" t="n">
        <v>515</v>
      </c>
      <c r="Q68" s="7" t="n">
        <v>0</v>
      </c>
      <c r="R68" s="7" t="n">
        <v>0</v>
      </c>
      <c r="S68" s="7" t="n">
        <v>0</v>
      </c>
      <c r="T68" s="7" t="n">
        <v>0</v>
      </c>
      <c r="U68" s="7" t="n">
        <v>0</v>
      </c>
      <c r="V68" s="8">
        <f>SUM(J68:U68)</f>
        <v/>
      </c>
      <c r="W68" s="7" t="n">
        <v>11379.82</v>
      </c>
      <c r="X68" s="8">
        <f>V68-W68</f>
        <v/>
      </c>
      <c r="Y68" s="10" t="inlineStr">
        <is>
          <t>Declaración anual y cuotas SCRAP AEVAE por adhesión a sistema de recogida de envases agrícolas.</t>
        </is>
      </c>
    </row>
    <row r="69">
      <c r="B69" s="11" t="inlineStr">
        <is>
          <t>Regulatory</t>
        </is>
      </c>
      <c r="C69" s="12" t="inlineStr">
        <is>
          <t>Envases</t>
        </is>
      </c>
      <c r="D69" s="12" t="inlineStr">
        <is>
          <t>AEVAE-declaración</t>
        </is>
      </c>
      <c r="E69" s="12" t="inlineStr">
        <is>
          <t>22050</t>
        </is>
      </c>
      <c r="F69" s="11" t="inlineStr">
        <is>
          <t>629000002</t>
        </is>
      </c>
      <c r="G69" s="12" t="inlineStr">
        <is>
          <t>Otros gastos de gestión / Envases</t>
        </is>
      </c>
      <c r="H69" s="6" t="inlineStr">
        <is>
          <t>Gasto Corriente</t>
        </is>
      </c>
      <c r="I69" s="12" t="inlineStr">
        <is>
          <t>-</t>
        </is>
      </c>
      <c r="J69" s="13" t="n">
        <v>7350</v>
      </c>
      <c r="K69" s="13" t="n">
        <v>0</v>
      </c>
      <c r="L69" s="13" t="n">
        <v>0</v>
      </c>
      <c r="M69" s="13" t="n">
        <v>0</v>
      </c>
      <c r="N69" s="13" t="n">
        <v>0</v>
      </c>
      <c r="O69" s="13" t="n">
        <v>0</v>
      </c>
      <c r="P69" s="13" t="n">
        <v>0</v>
      </c>
      <c r="Q69" s="13" t="n">
        <v>0</v>
      </c>
      <c r="R69" s="13" t="n">
        <v>7350</v>
      </c>
      <c r="S69" s="13" t="n">
        <v>0</v>
      </c>
      <c r="T69" s="13" t="n">
        <v>0</v>
      </c>
      <c r="U69" s="13" t="n">
        <v>7350</v>
      </c>
      <c r="V69" s="14">
        <f>SUM(J69:U69)</f>
        <v/>
      </c>
      <c r="W69" s="13" t="n">
        <v>11379.82</v>
      </c>
      <c r="X69" s="14">
        <f>V69-W69</f>
        <v/>
      </c>
      <c r="Y69" s="16" t="inlineStr">
        <is>
          <t>Declaración anual y cuotas SCRAP AEVAE por adhesión a sistema de recogida de envases agrícolas.</t>
        </is>
      </c>
    </row>
    <row r="70">
      <c r="B70" s="5" t="inlineStr">
        <is>
          <t>Regulatory</t>
        </is>
      </c>
      <c r="C70" s="6" t="inlineStr">
        <is>
          <t>Envases</t>
        </is>
      </c>
      <c r="D70" s="6" t="inlineStr">
        <is>
          <t>AEVAE-regularización</t>
        </is>
      </c>
      <c r="E70" s="6" t="inlineStr">
        <is>
          <t>2550</t>
        </is>
      </c>
      <c r="F70" s="5" t="inlineStr">
        <is>
          <t>629000002</t>
        </is>
      </c>
      <c r="G70" s="6" t="inlineStr">
        <is>
          <t>Otros gastos de gestión / Envases</t>
        </is>
      </c>
      <c r="H70" s="6" t="inlineStr">
        <is>
          <t>Gasto Corriente</t>
        </is>
      </c>
      <c r="I70" s="6" t="inlineStr">
        <is>
          <t>-</t>
        </is>
      </c>
      <c r="J70" s="7" t="n">
        <v>0</v>
      </c>
      <c r="K70" s="7" t="n">
        <v>0</v>
      </c>
      <c r="L70" s="7" t="n">
        <v>0</v>
      </c>
      <c r="M70" s="7" t="n">
        <v>0</v>
      </c>
      <c r="N70" s="7" t="n">
        <v>0</v>
      </c>
      <c r="O70" s="7" t="n">
        <v>0</v>
      </c>
      <c r="P70" s="7" t="n">
        <v>0</v>
      </c>
      <c r="Q70" s="7" t="n">
        <v>0</v>
      </c>
      <c r="R70" s="7" t="n">
        <v>1275</v>
      </c>
      <c r="S70" s="7" t="n">
        <v>0</v>
      </c>
      <c r="T70" s="7" t="n">
        <v>0</v>
      </c>
      <c r="U70" s="7" t="n">
        <v>1275</v>
      </c>
      <c r="V70" s="8">
        <f>SUM(J70:U70)</f>
        <v/>
      </c>
      <c r="W70" s="7" t="n">
        <v>11379.82</v>
      </c>
      <c r="X70" s="8">
        <f>V70-W70</f>
        <v/>
      </c>
      <c r="Y70" s="10" t="inlineStr">
        <is>
          <t>Declaración anual y cuotas SCRAP AEVAE por adhesión a sistema de recogida de envases agrícolas.</t>
        </is>
      </c>
    </row>
    <row r="71">
      <c r="B71" s="11" t="inlineStr">
        <is>
          <t>Regulatory</t>
        </is>
      </c>
      <c r="C71" s="12" t="inlineStr">
        <is>
          <t>Medioambiente</t>
        </is>
      </c>
      <c r="D71" s="12" t="inlineStr">
        <is>
          <t>Residuos P y NP</t>
        </is>
      </c>
      <c r="E71" s="12" t="inlineStr">
        <is>
          <t>74400</t>
        </is>
      </c>
      <c r="F71" s="11" t="inlineStr">
        <is>
          <t>629000007</t>
        </is>
      </c>
      <c r="G71" s="12" t="inlineStr">
        <is>
          <t>Gastos retirada de residuos</t>
        </is>
      </c>
      <c r="H71" s="6" t="inlineStr">
        <is>
          <t>Gasto Corriente</t>
        </is>
      </c>
      <c r="I71" s="12" t="inlineStr">
        <is>
          <t>-</t>
        </is>
      </c>
      <c r="J71" s="13" t="n">
        <v>6200</v>
      </c>
      <c r="K71" s="13" t="n">
        <v>6200</v>
      </c>
      <c r="L71" s="13" t="n">
        <v>6200</v>
      </c>
      <c r="M71" s="13" t="n">
        <v>6200</v>
      </c>
      <c r="N71" s="13" t="n">
        <v>6200</v>
      </c>
      <c r="O71" s="13" t="n">
        <v>6200</v>
      </c>
      <c r="P71" s="13" t="n">
        <v>6200</v>
      </c>
      <c r="Q71" s="13" t="n">
        <v>6200</v>
      </c>
      <c r="R71" s="13" t="n">
        <v>6200</v>
      </c>
      <c r="S71" s="13" t="n">
        <v>6200</v>
      </c>
      <c r="T71" s="13" t="n">
        <v>6200</v>
      </c>
      <c r="U71" s="13" t="n">
        <v>6200</v>
      </c>
      <c r="V71" s="14">
        <f>SUM(J71:U71)</f>
        <v/>
      </c>
      <c r="W71" s="13" t="n">
        <v>34000</v>
      </c>
      <c r="X71" s="14">
        <f>V71-W71</f>
        <v/>
      </c>
      <c r="Y71" s="16" t="inlineStr">
        <is>
          <t>Retirada y tratamiento legal obligatorio de residuos tóxicos, peligrosos y no peligrosos.</t>
        </is>
      </c>
    </row>
    <row r="72">
      <c r="B72" s="5" t="inlineStr">
        <is>
          <t>Regulatory</t>
        </is>
      </c>
      <c r="C72" s="6" t="inlineStr">
        <is>
          <t>Medioambiente</t>
        </is>
      </c>
      <c r="D72" s="5" t="inlineStr">
        <is>
          <t>Regularización nave enfrente</t>
        </is>
      </c>
      <c r="E72" s="6" t="inlineStr">
        <is>
          <t>9600</t>
        </is>
      </c>
      <c r="F72" s="5" t="inlineStr">
        <is>
          <t>622000000</t>
        </is>
      </c>
      <c r="G72" s="6" t="inlineStr">
        <is>
          <t>Reparaciones y conservación</t>
        </is>
      </c>
      <c r="H72" s="31" t="inlineStr">
        <is>
          <t>Inmovilizable (Activable)</t>
        </is>
      </c>
      <c r="I72" s="5" t="inlineStr">
        <is>
          <t>211000000 - Construcciones</t>
        </is>
      </c>
      <c r="J72" s="7" t="n">
        <v>800</v>
      </c>
      <c r="K72" s="7" t="n">
        <v>800</v>
      </c>
      <c r="L72" s="7" t="n">
        <v>800</v>
      </c>
      <c r="M72" s="7" t="n">
        <v>800</v>
      </c>
      <c r="N72" s="7" t="n">
        <v>800</v>
      </c>
      <c r="O72" s="7" t="n">
        <v>800</v>
      </c>
      <c r="P72" s="7" t="n">
        <v>800</v>
      </c>
      <c r="Q72" s="7" t="n">
        <v>800</v>
      </c>
      <c r="R72" s="7" t="n">
        <v>800</v>
      </c>
      <c r="S72" s="7" t="n">
        <v>800</v>
      </c>
      <c r="T72" s="7" t="n">
        <v>800</v>
      </c>
      <c r="U72" s="7" t="n">
        <v>800</v>
      </c>
      <c r="V72" s="8">
        <f>SUM(J72:U72)</f>
        <v/>
      </c>
      <c r="W72" s="7" t="n">
        <v>0</v>
      </c>
      <c r="X72" s="8">
        <f>V72-W72</f>
        <v/>
      </c>
      <c r="Y72" s="10" t="inlineStr">
        <is>
          <t>Obra finalizada de acondicionamiento de nave enfrente. Activable como Inmovilizado Material (211).</t>
        </is>
      </c>
    </row>
    <row r="73">
      <c r="B73" s="11" t="inlineStr">
        <is>
          <t>Regulatory</t>
        </is>
      </c>
      <c r="C73" s="12" t="inlineStr">
        <is>
          <t>Registros</t>
        </is>
      </c>
      <c r="D73" s="11" t="inlineStr">
        <is>
          <t>Registro-Azerbaiyán</t>
        </is>
      </c>
      <c r="E73" s="12" t="inlineStr">
        <is>
          <t>13200</t>
        </is>
      </c>
      <c r="F73" s="11" t="inlineStr">
        <is>
          <t>623000003</t>
        </is>
      </c>
      <c r="G73" s="12" t="inlineStr">
        <is>
          <t>Servicios registros y notarios</t>
        </is>
      </c>
      <c r="H73" s="31" t="inlineStr">
        <is>
          <t>Inmovilizable (Activable)</t>
        </is>
      </c>
      <c r="I73" s="11" t="inlineStr">
        <is>
          <t>203000000 - Licencias y Registros</t>
        </is>
      </c>
      <c r="J73" s="13" t="n">
        <v>3300</v>
      </c>
      <c r="K73" s="13" t="n">
        <v>3300</v>
      </c>
      <c r="L73" s="13" t="n">
        <v>3300</v>
      </c>
      <c r="M73" s="13" t="n">
        <v>3300</v>
      </c>
      <c r="N73" s="13" t="n">
        <v>0</v>
      </c>
      <c r="O73" s="13" t="n">
        <v>0</v>
      </c>
      <c r="P73" s="13" t="n">
        <v>0</v>
      </c>
      <c r="Q73" s="13" t="n">
        <v>0</v>
      </c>
      <c r="R73" s="13" t="n">
        <v>0</v>
      </c>
      <c r="S73" s="13" t="n">
        <v>0</v>
      </c>
      <c r="T73" s="13" t="n">
        <v>0</v>
      </c>
      <c r="U73" s="13" t="n">
        <v>0</v>
      </c>
      <c r="V73" s="14">
        <f>SUM(J73:U73)</f>
        <v/>
      </c>
      <c r="W73" s="13" t="n">
        <v>24000</v>
      </c>
      <c r="X73" s="14">
        <f>V73-W73</f>
        <v/>
      </c>
      <c r="Y73" s="16" t="inlineStr">
        <is>
          <t>Coste del expediente de registro fitosanitario/nutricional oficial con autorización plurianual en mercado exterior.</t>
        </is>
      </c>
    </row>
    <row r="74">
      <c r="B74" s="5" t="inlineStr">
        <is>
          <t>Regulatory</t>
        </is>
      </c>
      <c r="C74" s="6" t="inlineStr">
        <is>
          <t>Registros</t>
        </is>
      </c>
      <c r="D74" s="6" t="inlineStr">
        <is>
          <t>Análisis de labo externo para registros</t>
        </is>
      </c>
      <c r="E74" s="6" t="inlineStr">
        <is>
          <t>6600</t>
        </is>
      </c>
      <c r="F74" s="5" t="inlineStr">
        <is>
          <t>629000005</t>
        </is>
      </c>
      <c r="G74" s="6" t="inlineStr">
        <is>
          <t>Gastos análisis de laboratorios</t>
        </is>
      </c>
      <c r="H74" s="6" t="inlineStr">
        <is>
          <t>Gasto Corriente</t>
        </is>
      </c>
      <c r="I74" s="6" t="inlineStr">
        <is>
          <t>-</t>
        </is>
      </c>
      <c r="J74" s="7" t="n">
        <v>550</v>
      </c>
      <c r="K74" s="7" t="n">
        <v>550</v>
      </c>
      <c r="L74" s="7" t="n">
        <v>550</v>
      </c>
      <c r="M74" s="7" t="n">
        <v>550</v>
      </c>
      <c r="N74" s="7" t="n">
        <v>550</v>
      </c>
      <c r="O74" s="7" t="n">
        <v>550</v>
      </c>
      <c r="P74" s="7" t="n">
        <v>550</v>
      </c>
      <c r="Q74" s="7" t="n">
        <v>550</v>
      </c>
      <c r="R74" s="7" t="n">
        <v>550</v>
      </c>
      <c r="S74" s="7" t="n">
        <v>550</v>
      </c>
      <c r="T74" s="7" t="n">
        <v>550</v>
      </c>
      <c r="U74" s="7" t="n">
        <v>550</v>
      </c>
      <c r="V74" s="8">
        <f>SUM(J74:U74)</f>
        <v/>
      </c>
      <c r="W74" s="7" t="n">
        <v>11295.24</v>
      </c>
      <c r="X74" s="8">
        <f>V74-W74</f>
        <v/>
      </c>
      <c r="Y74" s="10" t="inlineStr">
        <is>
          <t>Ensayos analíticos y de eficacia en laboratorios externos acreditados para expedientes de registro.</t>
        </is>
      </c>
    </row>
    <row r="75">
      <c r="B75" s="11" t="inlineStr">
        <is>
          <t>Regulatory</t>
        </is>
      </c>
      <c r="C75" s="12" t="inlineStr">
        <is>
          <t>Registros</t>
        </is>
      </c>
      <c r="D75" s="11" t="inlineStr">
        <is>
          <t>Registro - Guatemala</t>
        </is>
      </c>
      <c r="E75" s="12" t="inlineStr">
        <is>
          <t>5740</t>
        </is>
      </c>
      <c r="F75" s="11" t="inlineStr">
        <is>
          <t>623000003</t>
        </is>
      </c>
      <c r="G75" s="12" t="inlineStr">
        <is>
          <t>Servicios registros y notarios</t>
        </is>
      </c>
      <c r="H75" s="31" t="inlineStr">
        <is>
          <t>Inmovilizable (Activable)</t>
        </is>
      </c>
      <c r="I75" s="11" t="inlineStr">
        <is>
          <t>203000000 - Licencias y Registros</t>
        </is>
      </c>
      <c r="J75" s="13" t="n">
        <v>1360</v>
      </c>
      <c r="K75" s="13" t="n">
        <v>600</v>
      </c>
      <c r="L75" s="13" t="n">
        <v>600</v>
      </c>
      <c r="M75" s="13" t="n">
        <v>1460</v>
      </c>
      <c r="N75" s="13" t="n">
        <v>0</v>
      </c>
      <c r="O75" s="13" t="n">
        <v>0</v>
      </c>
      <c r="P75" s="13" t="n">
        <v>0</v>
      </c>
      <c r="Q75" s="13" t="n">
        <v>860</v>
      </c>
      <c r="R75" s="13" t="n">
        <v>0</v>
      </c>
      <c r="S75" s="13" t="n">
        <v>0</v>
      </c>
      <c r="T75" s="13" t="n">
        <v>0</v>
      </c>
      <c r="U75" s="13" t="n">
        <v>860</v>
      </c>
      <c r="V75" s="14">
        <f>SUM(J75:U75)</f>
        <v/>
      </c>
      <c r="W75" s="13" t="n">
        <v>24000</v>
      </c>
      <c r="X75" s="14">
        <f>V75-W75</f>
        <v/>
      </c>
      <c r="Y75" s="16" t="inlineStr">
        <is>
          <t>Coste del expediente de registro fitosanitario/nutricional oficial con autorización plurianual en mercado exterior.</t>
        </is>
      </c>
    </row>
    <row r="76">
      <c r="B76" s="5" t="inlineStr">
        <is>
          <t>Regulatory</t>
        </is>
      </c>
      <c r="C76" s="6" t="inlineStr">
        <is>
          <t>Registros</t>
        </is>
      </c>
      <c r="D76" s="5" t="inlineStr">
        <is>
          <t>Registro-Sudáfrica</t>
        </is>
      </c>
      <c r="E76" s="6" t="inlineStr">
        <is>
          <t>6960</t>
        </is>
      </c>
      <c r="F76" s="5" t="inlineStr">
        <is>
          <t>623000003</t>
        </is>
      </c>
      <c r="G76" s="6" t="inlineStr">
        <is>
          <t>Servicios registros y notarios</t>
        </is>
      </c>
      <c r="H76" s="31" t="inlineStr">
        <is>
          <t>Inmovilizable (Activable)</t>
        </is>
      </c>
      <c r="I76" s="5" t="inlineStr">
        <is>
          <t>203000000 - Licencias y Registros</t>
        </is>
      </c>
      <c r="J76" s="7" t="n">
        <v>580</v>
      </c>
      <c r="K76" s="7" t="n">
        <v>580</v>
      </c>
      <c r="L76" s="7" t="n">
        <v>580</v>
      </c>
      <c r="M76" s="7" t="n">
        <v>580</v>
      </c>
      <c r="N76" s="7" t="n">
        <v>580</v>
      </c>
      <c r="O76" s="7" t="n">
        <v>580</v>
      </c>
      <c r="P76" s="7" t="n">
        <v>580</v>
      </c>
      <c r="Q76" s="7" t="n">
        <v>580</v>
      </c>
      <c r="R76" s="7" t="n">
        <v>580</v>
      </c>
      <c r="S76" s="7" t="n">
        <v>580</v>
      </c>
      <c r="T76" s="7" t="n">
        <v>580</v>
      </c>
      <c r="U76" s="7" t="n">
        <v>580</v>
      </c>
      <c r="V76" s="8">
        <f>SUM(J76:U76)</f>
        <v/>
      </c>
      <c r="W76" s="7" t="n">
        <v>24000</v>
      </c>
      <c r="X76" s="8">
        <f>V76-W76</f>
        <v/>
      </c>
      <c r="Y76" s="10" t="inlineStr">
        <is>
          <t>Coste del expediente de registro fitosanitario/nutricional oficial con autorización plurianual en mercado exterior.</t>
        </is>
      </c>
    </row>
    <row r="77">
      <c r="B77" s="11" t="inlineStr">
        <is>
          <t>Regulatory</t>
        </is>
      </c>
      <c r="C77" s="12" t="inlineStr">
        <is>
          <t>Registros</t>
        </is>
      </c>
      <c r="D77" s="12" t="inlineStr">
        <is>
          <t>Registro-Omán</t>
        </is>
      </c>
      <c r="E77" s="12" t="inlineStr">
        <is>
          <t>550</t>
        </is>
      </c>
      <c r="F77" s="11" t="inlineStr">
        <is>
          <t>623000003</t>
        </is>
      </c>
      <c r="G77" s="12" t="inlineStr">
        <is>
          <t>Servicios registros y notarios</t>
        </is>
      </c>
      <c r="H77" s="6" t="inlineStr">
        <is>
          <t>Gasto Corriente</t>
        </is>
      </c>
      <c r="I77" s="12" t="inlineStr">
        <is>
          <t>-</t>
        </is>
      </c>
      <c r="J77" s="13" t="n">
        <v>550</v>
      </c>
      <c r="K77" s="13" t="n">
        <v>0</v>
      </c>
      <c r="L77" s="13" t="n">
        <v>0</v>
      </c>
      <c r="M77" s="13" t="n">
        <v>0</v>
      </c>
      <c r="N77" s="13" t="n">
        <v>0</v>
      </c>
      <c r="O77" s="13" t="n">
        <v>0</v>
      </c>
      <c r="P77" s="13" t="n">
        <v>0</v>
      </c>
      <c r="Q77" s="13" t="n">
        <v>0</v>
      </c>
      <c r="R77" s="13" t="n">
        <v>0</v>
      </c>
      <c r="S77" s="13" t="n">
        <v>0</v>
      </c>
      <c r="T77" s="13" t="n">
        <v>0</v>
      </c>
      <c r="U77" s="13" t="n">
        <v>0</v>
      </c>
      <c r="V77" s="14">
        <f>SUM(J77:U77)</f>
        <v/>
      </c>
      <c r="W77" s="13" t="n">
        <v>24000</v>
      </c>
      <c r="X77" s="14">
        <f>V77-W77</f>
        <v/>
      </c>
      <c r="Y77" s="16" t="inlineStr">
        <is>
          <t>Trámites de registro y tasas administrativas de autorización fitonutricional.</t>
        </is>
      </c>
    </row>
    <row r="78">
      <c r="B78" s="5" t="inlineStr">
        <is>
          <t>Regulatory</t>
        </is>
      </c>
      <c r="C78" s="6" t="inlineStr">
        <is>
          <t>Imprevistos</t>
        </is>
      </c>
      <c r="D78" s="6" t="inlineStr">
        <is>
          <t>Registro-Arabia</t>
        </is>
      </c>
      <c r="E78" s="6" t="inlineStr">
        <is>
          <t>200</t>
        </is>
      </c>
      <c r="F78" s="5" t="inlineStr">
        <is>
          <t>629000002</t>
        </is>
      </c>
      <c r="G78" s="6" t="inlineStr">
        <is>
          <t>Otros gastos</t>
        </is>
      </c>
      <c r="H78" s="6" t="inlineStr">
        <is>
          <t>Gasto Corriente</t>
        </is>
      </c>
      <c r="I78" s="6" t="inlineStr">
        <is>
          <t>-</t>
        </is>
      </c>
      <c r="J78" s="7" t="n">
        <v>200</v>
      </c>
      <c r="K78" s="7" t="n">
        <v>0</v>
      </c>
      <c r="L78" s="7" t="n">
        <v>0</v>
      </c>
      <c r="M78" s="7" t="n">
        <v>0</v>
      </c>
      <c r="N78" s="7" t="n">
        <v>0</v>
      </c>
      <c r="O78" s="7" t="n">
        <v>0</v>
      </c>
      <c r="P78" s="7" t="n">
        <v>0</v>
      </c>
      <c r="Q78" s="7" t="n">
        <v>0</v>
      </c>
      <c r="R78" s="7" t="n">
        <v>0</v>
      </c>
      <c r="S78" s="7" t="n">
        <v>0</v>
      </c>
      <c r="T78" s="7" t="n">
        <v>0</v>
      </c>
      <c r="U78" s="7" t="n">
        <v>0</v>
      </c>
      <c r="V78" s="8">
        <f>SUM(J78:U78)</f>
        <v/>
      </c>
      <c r="W78" s="7" t="n">
        <v>11379.82</v>
      </c>
      <c r="X78" s="8">
        <f>V78-W78</f>
        <v/>
      </c>
      <c r="Y78" s="10" t="inlineStr">
        <is>
          <t>Partida menor de gestión regulatoria.</t>
        </is>
      </c>
    </row>
    <row r="79">
      <c r="B79" s="18" t="inlineStr">
        <is>
          <t>TOTAL GASTOS COMPUTABLES CODIAGRO</t>
        </is>
      </c>
      <c r="C79" s="18" t="inlineStr"/>
      <c r="D79" s="18" t="inlineStr"/>
      <c r="E79" s="18" t="inlineStr"/>
      <c r="F79" s="18" t="inlineStr"/>
      <c r="G79" s="18" t="inlineStr"/>
      <c r="H79" s="18" t="inlineStr"/>
      <c r="I79" s="18" t="inlineStr"/>
      <c r="J79" s="19">
        <f>SUM(J6:J78)</f>
        <v/>
      </c>
      <c r="K79" s="19">
        <f>SUM(K6:K78)</f>
        <v/>
      </c>
      <c r="L79" s="19">
        <f>SUM(L6:L78)</f>
        <v/>
      </c>
      <c r="M79" s="19">
        <f>SUM(M6:M78)</f>
        <v/>
      </c>
      <c r="N79" s="19">
        <f>SUM(N6:N78)</f>
        <v/>
      </c>
      <c r="O79" s="19">
        <f>SUM(O6:O78)</f>
        <v/>
      </c>
      <c r="P79" s="19">
        <f>SUM(P6:P78)</f>
        <v/>
      </c>
      <c r="Q79" s="19">
        <f>SUM(Q6:Q78)</f>
        <v/>
      </c>
      <c r="R79" s="19">
        <f>SUM(R6:R78)</f>
        <v/>
      </c>
      <c r="S79" s="19">
        <f>SUM(S6:S78)</f>
        <v/>
      </c>
      <c r="T79" s="19">
        <f>SUM(T6:T78)</f>
        <v/>
      </c>
      <c r="U79" s="19">
        <f>SUM(U6:U78)</f>
        <v/>
      </c>
      <c r="V79" s="19">
        <f>SUM(V6:V78)</f>
        <v/>
      </c>
      <c r="W79" s="19">
        <f>SUM(W6:W78)</f>
        <v/>
      </c>
      <c r="X79" s="19">
        <f>V79-W79</f>
        <v/>
      </c>
      <c r="Y79" s="21" t="inlineStr">
        <is>
          <t>Control consolidado de detalle (excluye partidas repercutidas)</t>
        </is>
      </c>
    </row>
  </sheetData>
  <mergeCells count="2">
    <mergeCell ref="B3:Y3"/>
    <mergeCell ref="B2:Y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27"/>
  <sheetViews>
    <sheetView showGridLines="1" workbookViewId="0">
      <selection activeCell="A1" sqref="A1"/>
    </sheetView>
  </sheetViews>
  <sheetFormatPr baseColWidth="8" defaultRowHeight="15"/>
  <cols>
    <col width="3" customWidth="1" min="1" max="1"/>
    <col width="24" customWidth="1" min="2" max="2"/>
    <col width="38" customWidth="1" min="3" max="3"/>
    <col width="16" customWidth="1" min="4" max="4"/>
    <col width="16" customWidth="1" min="5" max="5"/>
    <col width="26" customWidth="1" min="6" max="6"/>
    <col width="22" customWidth="1" min="7" max="7"/>
    <col width="26" customWidth="1" min="8" max="8"/>
    <col width="45" customWidth="1" min="9" max="9"/>
    <col width="14" customWidth="1" min="10" max="10"/>
    <col width="18" customWidth="1" min="11" max="11"/>
    <col width="18" customWidth="1" min="12" max="12"/>
  </cols>
  <sheetData>
    <row r="2">
      <c r="B2" s="1" t="inlineStr">
        <is>
          <t>ANÁLISIS DE PARTIDAS SUSCEPTIBLES DE INMOVILIZACIÓN / ACTIVACIÓN</t>
        </is>
      </c>
    </row>
    <row r="3">
      <c r="B3" s="2" t="inlineStr">
        <is>
          <t>Criterios PGC para activar gastos como Inmovilizado Material e Intangible y su impacto directo en EBITDA y Balance</t>
        </is>
      </c>
    </row>
    <row r="5">
      <c r="B5" s="3" t="inlineStr">
        <is>
          <t>1. DETALLE DE PARTIDAS ACTIVABLES SEGÚN EL PLAN GENERAL CONTABLE (PGC)</t>
        </is>
      </c>
    </row>
    <row r="6" ht="28" customHeight="1">
      <c r="B6" s="4" t="inlineStr">
        <is>
          <t>Área / Origen</t>
        </is>
      </c>
      <c r="C6" s="4" t="inlineStr">
        <is>
          <t>Concepto / Partida</t>
        </is>
      </c>
      <c r="D6" s="4" t="inlineStr">
        <is>
          <t>Importe (€)</t>
        </is>
      </c>
      <c r="E6" s="4" t="inlineStr">
        <is>
          <t>Cta Gasto Inicial</t>
        </is>
      </c>
      <c r="F6" s="4" t="inlineStr">
        <is>
          <t>Cta Inmovilizado Destino</t>
        </is>
      </c>
      <c r="G6" s="4" t="inlineStr">
        <is>
          <t>Subgrupo Balance</t>
        </is>
      </c>
      <c r="H6" s="4" t="inlineStr">
        <is>
          <t>Norma PGC Aplicable</t>
        </is>
      </c>
      <c r="I6" s="4" t="inlineStr">
        <is>
          <t>Justificación de Activación</t>
        </is>
      </c>
      <c r="J6" s="4" t="inlineStr">
        <is>
          <t>Años Amortiz.</t>
        </is>
      </c>
      <c r="K6" s="4" t="inlineStr">
        <is>
          <t>Cuota Anual Amortiz. (€)</t>
        </is>
      </c>
      <c r="L6" s="4" t="inlineStr">
        <is>
          <t>Mejora EBITDA (€)</t>
        </is>
      </c>
    </row>
    <row r="7">
      <c r="B7" s="5" t="inlineStr">
        <is>
          <t>Regulatory - Marcas</t>
        </is>
      </c>
      <c r="C7" s="6" t="inlineStr">
        <is>
          <t>Codiorgan - Guatemala (Registro nueva marca)</t>
        </is>
      </c>
      <c r="D7" s="8" t="n">
        <v>1750</v>
      </c>
      <c r="E7" s="6" t="inlineStr">
        <is>
          <t>623200021</t>
        </is>
      </c>
      <c r="F7" s="5" t="inlineStr">
        <is>
          <t>203000000 - Propiedad Industrial</t>
        </is>
      </c>
      <c r="G7" s="6" t="inlineStr">
        <is>
          <t>Inmovilizado Intangible</t>
        </is>
      </c>
      <c r="H7" s="6" t="inlineStr">
        <is>
          <t>NRV 5ª y 6ª PGC (Propiedad Industrial)</t>
        </is>
      </c>
      <c r="I7" s="6" t="inlineStr">
        <is>
          <t>Otorga derecho de exclusividad comercial plurianual en Guatemala; generador directo de flujos de caja futuros.</t>
        </is>
      </c>
      <c r="J7" s="32" t="n">
        <v>10</v>
      </c>
      <c r="K7" s="7" t="n">
        <v>175</v>
      </c>
      <c r="L7" s="17">
        <f>D7-K7</f>
        <v/>
      </c>
    </row>
    <row r="8">
      <c r="B8" s="11" t="inlineStr">
        <is>
          <t>Regulatory - Marcas</t>
        </is>
      </c>
      <c r="C8" s="12" t="inlineStr">
        <is>
          <t>Trifeno-94 - Registro Marca Europea (UE)</t>
        </is>
      </c>
      <c r="D8" s="14" t="n">
        <v>1500</v>
      </c>
      <c r="E8" s="12" t="inlineStr">
        <is>
          <t>623200006</t>
        </is>
      </c>
      <c r="F8" s="11" t="inlineStr">
        <is>
          <t>203000000 - Propiedad Industrial</t>
        </is>
      </c>
      <c r="G8" s="12" t="inlineStr">
        <is>
          <t>Inmovilizado Intangible</t>
        </is>
      </c>
      <c r="H8" s="12" t="inlineStr">
        <is>
          <t>NRV 5ª y 6ª PGC (Propiedad Industrial)</t>
        </is>
      </c>
      <c r="I8" s="12" t="inlineStr">
        <is>
          <t>Registro de activo intangible comunitario en EUIPO con protección legal y comercial por 10 años.</t>
        </is>
      </c>
      <c r="J8" s="33" t="n">
        <v>10</v>
      </c>
      <c r="K8" s="13" t="n">
        <v>150</v>
      </c>
      <c r="L8" s="17">
        <f>D8-K8</f>
        <v/>
      </c>
    </row>
    <row r="9">
      <c r="B9" s="5" t="inlineStr">
        <is>
          <t>Regulatory - Marcas</t>
        </is>
      </c>
      <c r="C9" s="6" t="inlineStr">
        <is>
          <t>Trifeno-94 - Registro Marca Guatemala</t>
        </is>
      </c>
      <c r="D9" s="8" t="n">
        <v>1750</v>
      </c>
      <c r="E9" s="6" t="inlineStr">
        <is>
          <t>623200021</t>
        </is>
      </c>
      <c r="F9" s="5" t="inlineStr">
        <is>
          <t>203000000 - Propiedad Industrial</t>
        </is>
      </c>
      <c r="G9" s="6" t="inlineStr">
        <is>
          <t>Inmovilizado Intangible</t>
        </is>
      </c>
      <c r="H9" s="6" t="inlineStr">
        <is>
          <t>NRV 5ª y 6ª PGC (Propiedad Industrial)</t>
        </is>
      </c>
      <c r="I9" s="6" t="inlineStr">
        <is>
          <t>Activo intangible protegido en mercado centroamericano en expansión.</t>
        </is>
      </c>
      <c r="J9" s="32" t="n">
        <v>10</v>
      </c>
      <c r="K9" s="7" t="n">
        <v>175</v>
      </c>
      <c r="L9" s="17">
        <f>D9-K9</f>
        <v/>
      </c>
    </row>
    <row r="10">
      <c r="B10" s="11" t="inlineStr">
        <is>
          <t>Regulatory - Marcas</t>
        </is>
      </c>
      <c r="C10" s="12" t="inlineStr">
        <is>
          <t>Salwax, Biorad y Floramec Avance - Arabia Saudí (3 marcas)</t>
        </is>
      </c>
      <c r="D10" s="14" t="n">
        <v>6000</v>
      </c>
      <c r="E10" s="12" t="inlineStr">
        <is>
          <t>623200000</t>
        </is>
      </c>
      <c r="F10" s="11" t="inlineStr">
        <is>
          <t>203000000 - Propiedad Industrial</t>
        </is>
      </c>
      <c r="G10" s="12" t="inlineStr">
        <is>
          <t>Inmovilizado Intangible</t>
        </is>
      </c>
      <c r="H10" s="12" t="inlineStr">
        <is>
          <t>NRV 5ª y 6ª PGC (Propiedad Industrial)</t>
        </is>
      </c>
      <c r="I10" s="12" t="inlineStr">
        <is>
          <t>Registro de 3 marcas nuevas en Oriente Medio como requisito previo para la distribución exclusiva en Arabia.</t>
        </is>
      </c>
      <c r="J10" s="33" t="n">
        <v>10</v>
      </c>
      <c r="K10" s="13" t="n">
        <v>600</v>
      </c>
      <c r="L10" s="17">
        <f>D10-K10</f>
        <v/>
      </c>
    </row>
    <row r="11">
      <c r="B11" s="5" t="inlineStr">
        <is>
          <t>Regulatory - Marcas</t>
        </is>
      </c>
      <c r="C11" s="6" t="inlineStr">
        <is>
          <t>Sprintium Omán (Extensión territorial de marca)</t>
        </is>
      </c>
      <c r="D11" s="8" t="n">
        <v>1700</v>
      </c>
      <c r="E11" s="6" t="inlineStr">
        <is>
          <t>623200000</t>
        </is>
      </c>
      <c r="F11" s="5" t="inlineStr">
        <is>
          <t>203000000 - Propiedad Industrial</t>
        </is>
      </c>
      <c r="G11" s="6" t="inlineStr">
        <is>
          <t>Inmovilizado Intangible</t>
        </is>
      </c>
      <c r="H11" s="6" t="inlineStr">
        <is>
          <t>NRV 5ª y 6ª PGC (Propiedad Industrial)</t>
        </is>
      </c>
      <c r="I11" s="6" t="inlineStr">
        <is>
          <t>Extensión de derechos de marca con vigencia legal plurianual en mercado de Omán.</t>
        </is>
      </c>
      <c r="J11" s="32" t="n">
        <v>10</v>
      </c>
      <c r="K11" s="7" t="n">
        <v>170</v>
      </c>
      <c r="L11" s="17">
        <f>D11-K11</f>
        <v/>
      </c>
    </row>
    <row r="12">
      <c r="B12" s="11" t="inlineStr">
        <is>
          <t>Regulatory - Marcas</t>
        </is>
      </c>
      <c r="C12" s="12" t="inlineStr">
        <is>
          <t>Sprintium y Codiagro - Estados Unidos (Trámites concesión)</t>
        </is>
      </c>
      <c r="D12" s="14" t="n">
        <v>2600</v>
      </c>
      <c r="E12" s="12" t="inlineStr">
        <is>
          <t>623200037</t>
        </is>
      </c>
      <c r="F12" s="11" t="inlineStr">
        <is>
          <t>203000000 - Propiedad Industrial</t>
        </is>
      </c>
      <c r="G12" s="12" t="inlineStr">
        <is>
          <t>Inmovilizado Intangible</t>
        </is>
      </c>
      <c r="H12" s="12" t="inlineStr">
        <is>
          <t>NRV 5ª y 6ª PGC (Propiedad Industrial)</t>
        </is>
      </c>
      <c r="I12" s="12" t="inlineStr">
        <is>
          <t>Costes incurridos para el registro oficial de marcas ante la USPTO.</t>
        </is>
      </c>
      <c r="J12" s="33" t="n">
        <v>10</v>
      </c>
      <c r="K12" s="13" t="n">
        <v>260</v>
      </c>
      <c r="L12" s="17">
        <f>D12-K12</f>
        <v/>
      </c>
    </row>
    <row r="13">
      <c r="B13" s="5" t="inlineStr">
        <is>
          <t>Regulatory - Registros</t>
        </is>
      </c>
      <c r="C13" s="6" t="inlineStr">
        <is>
          <t>Registro Azerbaiyán (6 formulaciones agronómicas)</t>
        </is>
      </c>
      <c r="D13" s="8" t="n">
        <v>13200</v>
      </c>
      <c r="E13" s="6" t="inlineStr">
        <is>
          <t>623000003</t>
        </is>
      </c>
      <c r="F13" s="5" t="inlineStr">
        <is>
          <t>203000000 - Concesiones y Registros</t>
        </is>
      </c>
      <c r="G13" s="6" t="inlineStr">
        <is>
          <t>Inmovilizado Intangible</t>
        </is>
      </c>
      <c r="H13" s="6" t="inlineStr">
        <is>
          <t>NRV 5ª PGC / Res. ICAC 28-05-2013</t>
        </is>
      </c>
      <c r="I13" s="6" t="inlineStr">
        <is>
          <t>Autorización administrativa oficial imprescindible para vender legalmente en Azerbaiyán por periodo plurianual.</t>
        </is>
      </c>
      <c r="J13" s="32" t="n">
        <v>5</v>
      </c>
      <c r="K13" s="7" t="n">
        <v>2640</v>
      </c>
      <c r="L13" s="17">
        <f>D13-K13</f>
        <v/>
      </c>
    </row>
    <row r="14">
      <c r="B14" s="11" t="inlineStr">
        <is>
          <t>Regulatory - Registros</t>
        </is>
      </c>
      <c r="C14" s="12" t="inlineStr">
        <is>
          <t>Registro Sudáfrica (8 formulaciones agronómicas)</t>
        </is>
      </c>
      <c r="D14" s="14" t="n">
        <v>6960</v>
      </c>
      <c r="E14" s="12" t="inlineStr">
        <is>
          <t>623000003</t>
        </is>
      </c>
      <c r="F14" s="11" t="inlineStr">
        <is>
          <t>203000000 - Concesiones y Registros</t>
        </is>
      </c>
      <c r="G14" s="12" t="inlineStr">
        <is>
          <t>Inmovilizado Intangible</t>
        </is>
      </c>
      <c r="H14" s="12" t="inlineStr">
        <is>
          <t>NRV 5ª PGC / Res. ICAC 28-05-2013</t>
        </is>
      </c>
      <c r="I14" s="12" t="inlineStr">
        <is>
          <t>Autorizaciones oficiales de fertilizantes en el Departamento de Agricultura sudafricano con validez plurianual.</t>
        </is>
      </c>
      <c r="J14" s="33" t="n">
        <v>5</v>
      </c>
      <c r="K14" s="13" t="n">
        <v>1392</v>
      </c>
      <c r="L14" s="17">
        <f>D14-K14</f>
        <v/>
      </c>
    </row>
    <row r="15">
      <c r="B15" s="5" t="inlineStr">
        <is>
          <t>Regulatory - Registros</t>
        </is>
      </c>
      <c r="C15" s="6" t="inlineStr">
        <is>
          <t>Registro Guatemala (Teneduría y registro de catálogo)</t>
        </is>
      </c>
      <c r="D15" s="8" t="n">
        <v>5740</v>
      </c>
      <c r="E15" s="6" t="inlineStr">
        <is>
          <t>623000003</t>
        </is>
      </c>
      <c r="F15" s="5" t="inlineStr">
        <is>
          <t>203000000 - Concesiones y Registros</t>
        </is>
      </c>
      <c r="G15" s="6" t="inlineStr">
        <is>
          <t>Inmovilizado Intangible</t>
        </is>
      </c>
      <c r="H15" s="6" t="inlineStr">
        <is>
          <t>NRV 5ª PGC / Res. ICAC 28-05-2013</t>
        </is>
      </c>
      <c r="I15" s="6" t="inlineStr">
        <is>
          <t>Teneduría de registros y homologación ministerial de productos.</t>
        </is>
      </c>
      <c r="J15" s="32" t="n">
        <v>5</v>
      </c>
      <c r="K15" s="7" t="n">
        <v>1148</v>
      </c>
      <c r="L15" s="17">
        <f>D15-K15</f>
        <v/>
      </c>
    </row>
    <row r="16">
      <c r="B16" s="11" t="inlineStr">
        <is>
          <t>Regulatory - Medioambiente</t>
        </is>
      </c>
      <c r="C16" s="12" t="inlineStr">
        <is>
          <t>Regularización y adecuación nave enfrente (Obra finalizada)</t>
        </is>
      </c>
      <c r="D16" s="14" t="n">
        <v>9600</v>
      </c>
      <c r="E16" s="12" t="inlineStr">
        <is>
          <t>622000000</t>
        </is>
      </c>
      <c r="F16" s="11" t="inlineStr">
        <is>
          <t>211000000 - Construcciones / Instalaciones</t>
        </is>
      </c>
      <c r="G16" s="12" t="inlineStr">
        <is>
          <t>Inmovilizado Material</t>
        </is>
      </c>
      <c r="H16" s="12" t="inlineStr">
        <is>
          <t>NRV 2ª y 3ª PGC (Inmovilizado Material)</t>
        </is>
      </c>
      <c r="I16" s="12" t="inlineStr">
        <is>
          <t>Inversión en obra de nave que genera una infraestructura operativa duradera y prolonga la capacidad productiva/almacén.</t>
        </is>
      </c>
      <c r="J16" s="33" t="n">
        <v>20</v>
      </c>
      <c r="K16" s="13" t="n">
        <v>480</v>
      </c>
      <c r="L16" s="17">
        <f>D16-K16</f>
        <v/>
      </c>
    </row>
    <row r="17">
      <c r="B17" s="5" t="inlineStr">
        <is>
          <t>Mantenimiento - Fábrica</t>
        </is>
      </c>
      <c r="C17" s="6" t="inlineStr">
        <is>
          <t>Reparación y sustitución de cubierta tejado nave (Cuvierbal)</t>
        </is>
      </c>
      <c r="D17" s="8" t="n">
        <v>2110</v>
      </c>
      <c r="E17" s="6" t="inlineStr">
        <is>
          <t>622000000</t>
        </is>
      </c>
      <c r="F17" s="5" t="inlineStr">
        <is>
          <t>211000000 - Construcciones</t>
        </is>
      </c>
      <c r="G17" s="6" t="inlineStr">
        <is>
          <t>Inmovilizado Material</t>
        </is>
      </c>
      <c r="H17" s="6" t="inlineStr">
        <is>
          <t>Res. ICAC 01-03-2019 (Grandes reparaciones)</t>
        </is>
      </c>
      <c r="I17" s="6" t="inlineStr">
        <is>
          <t>Sustitución estructural de elementos de cubierta que amplía la vida útil del edificio fabril frente a simple parcheo.</t>
        </is>
      </c>
      <c r="J17" s="32" t="n">
        <v>20</v>
      </c>
      <c r="K17" s="7" t="n">
        <v>105.5</v>
      </c>
      <c r="L17" s="17">
        <f>D17-K17</f>
        <v/>
      </c>
    </row>
    <row r="18">
      <c r="B18" s="11" t="inlineStr">
        <is>
          <t>Mantenimiento - Fábrica</t>
        </is>
      </c>
      <c r="C18" s="12" t="inlineStr">
        <is>
          <t>Revisión y reconstrucción mayor Molinos Oliver &amp; Batlle (Maquisel)</t>
        </is>
      </c>
      <c r="D18" s="14" t="n">
        <v>3000</v>
      </c>
      <c r="E18" s="12" t="inlineStr">
        <is>
          <t>622010200</t>
        </is>
      </c>
      <c r="F18" s="11" t="inlineStr">
        <is>
          <t>213000000 - Maquinaria</t>
        </is>
      </c>
      <c r="G18" s="12" t="inlineStr">
        <is>
          <t>Inmovilizado Material</t>
        </is>
      </c>
      <c r="H18" s="12" t="inlineStr">
        <is>
          <t>Res. ICAC 01-03-2019 (Mejora y overhaul)</t>
        </is>
      </c>
      <c r="I18" s="12" t="inlineStr">
        <is>
          <t>Overhaul integral de 3 molinos EHP50 que restablece y prolonga la capacidad fabril y vida útil del activo clave.</t>
        </is>
      </c>
      <c r="J18" s="33" t="n">
        <v>8</v>
      </c>
      <c r="K18" s="13" t="n">
        <v>375</v>
      </c>
      <c r="L18" s="17">
        <f>D18-K18</f>
        <v/>
      </c>
    </row>
    <row r="19">
      <c r="B19" s="5" t="inlineStr">
        <is>
          <t>Mantenimiento - Fábrica</t>
        </is>
      </c>
      <c r="C19" s="6" t="inlineStr">
        <is>
          <t>Sustitución y montaje válvulas propulsores (Proymec)</t>
        </is>
      </c>
      <c r="D19" s="8" t="n">
        <v>2300</v>
      </c>
      <c r="E19" s="6" t="inlineStr">
        <is>
          <t>622010400</t>
        </is>
      </c>
      <c r="F19" s="5" t="inlineStr">
        <is>
          <t>213000000 - Maquinaria</t>
        </is>
      </c>
      <c r="G19" s="6" t="inlineStr">
        <is>
          <t>Inmovilizado Material</t>
        </is>
      </c>
      <c r="H19" s="6" t="inlineStr">
        <is>
          <t>NRV 2ª PGC (Sustitución de componentes)</t>
        </is>
      </c>
      <c r="I19" s="6" t="inlineStr">
        <is>
          <t>Sustitución de componentes motrices con vida superior al ejercicio contable.</t>
        </is>
      </c>
      <c r="J19" s="32" t="n">
        <v>5</v>
      </c>
      <c r="K19" s="7" t="n">
        <v>460</v>
      </c>
      <c r="L19" s="17">
        <f>D19-K19</f>
        <v/>
      </c>
    </row>
    <row r="20">
      <c r="B20" s="11" t="inlineStr">
        <is>
          <t>Mantenimiento - Taller</t>
        </is>
      </c>
      <c r="C20" s="12" t="inlineStr">
        <is>
          <t>Herramientas eléctricas y utillaje de taller (Recambios Alcora)</t>
        </is>
      </c>
      <c r="D20" s="14" t="n">
        <v>2000</v>
      </c>
      <c r="E20" s="12" t="inlineStr">
        <is>
          <t>629000016</t>
        </is>
      </c>
      <c r="F20" s="11" t="inlineStr">
        <is>
          <t>214000000 - Utillaje</t>
        </is>
      </c>
      <c r="G20" s="12" t="inlineStr">
        <is>
          <t>Inmovilizado Material</t>
        </is>
      </c>
      <c r="H20" s="12" t="inlineStr">
        <is>
          <t>NRV 2ª y 3ª PGC (Utillaje y herramientas)</t>
        </is>
      </c>
      <c r="I20" s="12" t="inlineStr">
        <is>
          <t>Equipamiento de taller de uso continuado y vida útil superior a un año.</t>
        </is>
      </c>
      <c r="J20" s="33" t="n">
        <v>4</v>
      </c>
      <c r="K20" s="13" t="n">
        <v>500</v>
      </c>
      <c r="L20" s="17">
        <f>D20-K20</f>
        <v/>
      </c>
    </row>
    <row r="21">
      <c r="B21" s="18" t="inlineStr">
        <is>
          <t>TOTAL ACTIVABLE</t>
        </is>
      </c>
      <c r="C21" s="18" t="inlineStr"/>
      <c r="D21" s="19">
        <f>SUM(D7:D20)</f>
        <v/>
      </c>
      <c r="E21" s="18" t="inlineStr"/>
      <c r="F21" s="18" t="inlineStr"/>
      <c r="G21" s="18" t="inlineStr"/>
      <c r="H21" s="18" t="inlineStr"/>
      <c r="I21" s="18" t="inlineStr"/>
      <c r="J21" s="18" t="inlineStr"/>
      <c r="K21" s="19">
        <f>SUM(K7:K20)</f>
        <v/>
      </c>
      <c r="L21" s="34">
        <f>SUM(L7:L20)</f>
        <v/>
      </c>
    </row>
    <row r="24">
      <c r="B24" s="3" t="inlineStr">
        <is>
          <t>2. IMPACTO COMPARATIVO EN EL RESULTADO (P&amp;L): GASTO DIRECTO VS ACTIVACIÓN</t>
        </is>
      </c>
    </row>
    <row r="25" ht="24" customHeight="1">
      <c r="B25" s="4" t="inlineStr">
        <is>
          <t>Escenario Contable</t>
        </is>
      </c>
      <c r="C25" s="4" t="inlineStr">
        <is>
          <t>Importe Incurrido (€)</t>
        </is>
      </c>
      <c r="D25" s="4" t="inlineStr">
        <is>
          <t>Gasto en EBITDA (€)</t>
        </is>
      </c>
      <c r="E25" s="4" t="inlineStr">
        <is>
          <t>Amortización PGC (€)</t>
        </is>
      </c>
      <c r="F25" s="4" t="inlineStr">
        <is>
          <t>Impacto Neto en EBIT (€)</t>
        </is>
      </c>
      <c r="G25" s="4" t="inlineStr">
        <is>
          <t>Impacto en Balance (€)</t>
        </is>
      </c>
      <c r="H25" s="4" t="inlineStr">
        <is>
          <t>Ventaja Financiera y Dictamen</t>
        </is>
      </c>
    </row>
    <row r="26">
      <c r="B26" s="5" t="inlineStr">
        <is>
          <t>Escenario A: Imputación a Gasto Directo (Cuentas 622, 623, 629)</t>
        </is>
      </c>
      <c r="C26" s="35">
        <f>D21</f>
        <v/>
      </c>
      <c r="D26" s="36">
        <f>-D21</f>
        <v/>
      </c>
      <c r="E26" s="35" t="n">
        <v>0</v>
      </c>
      <c r="F26" s="36">
        <f>-D21</f>
        <v/>
      </c>
      <c r="G26" s="35" t="n">
        <v>0</v>
      </c>
      <c r="H26" s="6" t="inlineStr">
        <is>
          <t>Castiga el EBITDA del ejercicio 2027 en -61.210 € sin reflejar el valor patrimonial creado.</t>
        </is>
      </c>
    </row>
    <row r="27">
      <c r="B27" s="37" t="inlineStr">
        <is>
          <t>Escenario B: Activación como Inmovilizado (Cuentas 203, 211, 213, 214)</t>
        </is>
      </c>
      <c r="C27" s="38">
        <f>D21</f>
        <v/>
      </c>
      <c r="D27" s="39" t="n">
        <v>0</v>
      </c>
      <c r="E27" s="38">
        <f>-K21</f>
        <v/>
      </c>
      <c r="F27" s="38">
        <f>-K21</f>
        <v/>
      </c>
      <c r="G27" s="39">
        <f>D21-K21</f>
        <v/>
      </c>
      <c r="H27" s="37" t="inlineStr">
        <is>
          <t>Mejora el EBITDA en +61.210 € y el EBIT en +52.360 €. Refleja activos reales en el balance.</t>
        </is>
      </c>
    </row>
  </sheetData>
  <mergeCells count="4">
    <mergeCell ref="B24:L24"/>
    <mergeCell ref="B3:K3"/>
    <mergeCell ref="B5:K5"/>
    <mergeCell ref="B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8"/>
  <sheetViews>
    <sheetView showGridLines="1" workbookViewId="0">
      <selection activeCell="A1" sqref="A1"/>
    </sheetView>
  </sheetViews>
  <sheetFormatPr baseColWidth="8" defaultRowHeight="15"/>
  <cols>
    <col width="3" customWidth="1" min="1" max="1"/>
    <col width="16" customWidth="1" min="2" max="2"/>
    <col width="36" customWidth="1" min="3" max="3"/>
    <col width="20" customWidth="1" min="4" max="4"/>
    <col width="20" customWidth="1" min="5" max="5"/>
    <col width="22" customWidth="1" min="6" max="6"/>
    <col width="20" customWidth="1" min="7" max="7"/>
    <col width="16" customWidth="1" min="8" max="8"/>
    <col width="55" customWidth="1" min="9" max="9"/>
  </cols>
  <sheetData>
    <row r="2">
      <c r="B2" s="1" t="inlineStr">
        <is>
          <t>COMPARATIVA CONSOLIDADA POR CUENTA CONTABLE PGC (2027)</t>
        </is>
      </c>
    </row>
    <row r="3">
      <c r="B3" s="2" t="inlineStr">
        <is>
          <t>Alineación entre el Presupuesto P&amp;L actual y las partidas asumidas por Codiagro (excluyendo fletes repercutidos)</t>
        </is>
      </c>
    </row>
    <row r="5" ht="28" customHeight="1">
      <c r="B5" s="4" t="inlineStr">
        <is>
          <t>Cuenta PGC</t>
        </is>
      </c>
      <c r="C5" s="4" t="inlineStr">
        <is>
          <t>Nombre Cuenta Contable</t>
        </is>
      </c>
      <c r="D5" s="4" t="inlineStr">
        <is>
          <t>Área / Departamento</t>
        </is>
      </c>
      <c r="E5" s="4" t="inlineStr">
        <is>
          <t>P&amp;L Actual 2027 (€)</t>
        </is>
      </c>
      <c r="F5" s="4" t="inlineStr">
        <is>
          <t>Presupuesto Depto 2027 (€)</t>
        </is>
      </c>
      <c r="G5" s="4" t="inlineStr">
        <is>
          <t>Desviación (€)</t>
        </is>
      </c>
      <c r="H5" s="4" t="inlineStr">
        <is>
          <t>Desviación (%)</t>
        </is>
      </c>
      <c r="I5" s="4" t="inlineStr">
        <is>
          <t>Explicación del Ajuste</t>
        </is>
      </c>
    </row>
    <row r="6">
      <c r="B6" s="5" t="inlineStr">
        <is>
          <t>601000000</t>
        </is>
      </c>
      <c r="C6" s="6" t="inlineStr">
        <is>
          <t>Compras de materias primas</t>
        </is>
      </c>
      <c r="D6" s="6" t="inlineStr">
        <is>
          <t>Compras</t>
        </is>
      </c>
      <c r="E6" s="7" t="n">
        <v>4791964</v>
      </c>
      <c r="F6" s="8" t="n">
        <v>4850076.71</v>
      </c>
      <c r="G6" s="8">
        <f>F6-E6</f>
        <v/>
      </c>
      <c r="H6" s="9">
        <f>IF(E6=0, 0, G6/E6)</f>
        <v/>
      </c>
      <c r="I6" s="6" t="inlineStr">
        <is>
          <t>Ajuste fino de necesidades netas de producción (+1,2%)</t>
        </is>
      </c>
    </row>
    <row r="7">
      <c r="B7" s="11" t="inlineStr">
        <is>
          <t>602000001</t>
        </is>
      </c>
      <c r="C7" s="12" t="inlineStr">
        <is>
          <t>Compra de envases y embalajes</t>
        </is>
      </c>
      <c r="D7" s="12" t="inlineStr">
        <is>
          <t>Compras</t>
        </is>
      </c>
      <c r="E7" s="13" t="n">
        <v>998826.14</v>
      </c>
      <c r="F7" s="14" t="n">
        <v>1001286</v>
      </c>
      <c r="G7" s="14">
        <f>F7-E7</f>
        <v/>
      </c>
      <c r="H7" s="15">
        <f>IF(E7=0, 0, G7/E7)</f>
        <v/>
      </c>
      <c r="I7" s="12" t="inlineStr">
        <is>
          <t>Consistente con volumen de envasado</t>
        </is>
      </c>
    </row>
    <row r="8">
      <c r="B8" s="5" t="inlineStr">
        <is>
          <t>602000002</t>
        </is>
      </c>
      <c r="C8" s="6" t="inlineStr">
        <is>
          <t>Compra de etiquetas</t>
        </is>
      </c>
      <c r="D8" s="6" t="inlineStr">
        <is>
          <t>Compras</t>
        </is>
      </c>
      <c r="E8" s="7" t="n">
        <v>101284.89</v>
      </c>
      <c r="F8" s="8" t="n">
        <v>156353.22</v>
      </c>
      <c r="G8" s="8">
        <f>F8-E8</f>
        <v/>
      </c>
      <c r="H8" s="9">
        <f>IF(E8=0, 0, G8/E8)</f>
        <v/>
      </c>
      <c r="I8" s="6" t="inlineStr">
        <is>
          <t>Ajuste por tarifas actualizadas de imprenta</t>
        </is>
      </c>
    </row>
    <row r="9">
      <c r="B9" s="11" t="inlineStr">
        <is>
          <t>602000003</t>
        </is>
      </c>
      <c r="C9" s="12" t="inlineStr">
        <is>
          <t>Compra de palets</t>
        </is>
      </c>
      <c r="D9" s="12" t="inlineStr">
        <is>
          <t>Compras</t>
        </is>
      </c>
      <c r="E9" s="13" t="n">
        <v>105364.66</v>
      </c>
      <c r="F9" s="14" t="n">
        <v>162607.34</v>
      </c>
      <c r="G9" s="14">
        <f>F9-E9</f>
        <v/>
      </c>
      <c r="H9" s="15">
        <f>IF(E9=0, 0, G9/E9)</f>
        <v/>
      </c>
      <c r="I9" s="12" t="inlineStr">
        <is>
          <t>Incremento acorde a rotación y paletización</t>
        </is>
      </c>
    </row>
    <row r="10">
      <c r="B10" s="5" t="inlineStr">
        <is>
          <t>602000006</t>
        </is>
      </c>
      <c r="C10" s="6" t="inlineStr">
        <is>
          <t>Compra tapones de envases</t>
        </is>
      </c>
      <c r="D10" s="6" t="inlineStr">
        <is>
          <t>Compras</t>
        </is>
      </c>
      <c r="E10" s="7" t="n">
        <v>39556.1</v>
      </c>
      <c r="F10" s="8" t="n">
        <v>83805.31</v>
      </c>
      <c r="G10" s="8">
        <f>F10-E10</f>
        <v/>
      </c>
      <c r="H10" s="9">
        <f>IF(E10=0, 0, G10/E10)</f>
        <v/>
      </c>
      <c r="I10" s="6" t="inlineStr">
        <is>
          <t>Proporcional a unidades envasadas</t>
        </is>
      </c>
    </row>
    <row r="11">
      <c r="B11" s="11" t="inlineStr">
        <is>
          <t>624000001</t>
        </is>
      </c>
      <c r="C11" s="12" t="inlineStr">
        <is>
          <t>Transportes nacional</t>
        </is>
      </c>
      <c r="D11" s="12" t="inlineStr">
        <is>
          <t>Transporte</t>
        </is>
      </c>
      <c r="E11" s="13" t="n">
        <v>212857.93</v>
      </c>
      <c r="F11" s="14" t="n">
        <v>166472.1500338983</v>
      </c>
      <c r="G11" s="14">
        <f>F11-E11</f>
        <v/>
      </c>
      <c r="H11" s="15">
        <f>IF(E11=0, 0, G11/E11)</f>
        <v/>
      </c>
      <c r="I11" s="12" t="inlineStr">
        <is>
          <t>Ahorro logístico nacional (-46.4k €) por optimización de rutas</t>
        </is>
      </c>
    </row>
    <row r="12">
      <c r="B12" s="5" t="inlineStr">
        <is>
          <t>624000003</t>
        </is>
      </c>
      <c r="C12" s="6" t="inlineStr">
        <is>
          <t>Transportes Canarias</t>
        </is>
      </c>
      <c r="D12" s="6" t="inlineStr">
        <is>
          <t>Transporte</t>
        </is>
      </c>
      <c r="E12" s="7" t="n">
        <v>88690.8</v>
      </c>
      <c r="F12" s="8" t="n">
        <v>79198.29134717604</v>
      </c>
      <c r="G12" s="8">
        <f>F12-E12</f>
        <v/>
      </c>
      <c r="H12" s="9">
        <f>IF(E12=0, 0, G12/E12)</f>
        <v/>
      </c>
      <c r="I12" s="6" t="inlineStr">
        <is>
          <t>Reducción de tarifas insulares negociadas (-9.5k €)</t>
        </is>
      </c>
    </row>
    <row r="13">
      <c r="B13" s="11" t="inlineStr">
        <is>
          <t>624000002</t>
        </is>
      </c>
      <c r="C13" s="12" t="inlineStr">
        <is>
          <t>Transporte internacional (Exportación)</t>
        </is>
      </c>
      <c r="D13" s="12" t="inlineStr">
        <is>
          <t>Transporte</t>
        </is>
      </c>
      <c r="E13" s="13" t="n">
        <v>0</v>
      </c>
      <c r="F13" s="14" t="n">
        <v>0</v>
      </c>
      <c r="G13" s="14">
        <f>F13-E13</f>
        <v/>
      </c>
      <c r="H13" s="15">
        <f>IF(E13=0, 0, G13/E13)</f>
        <v/>
      </c>
      <c r="I13" s="12" t="inlineStr">
        <is>
          <t>Repercutido 100% al cliente en factura (305k € facturados; 0 € coste neto Codiagro)</t>
        </is>
      </c>
    </row>
    <row r="14">
      <c r="B14" s="5" t="inlineStr">
        <is>
          <t>622010000</t>
        </is>
      </c>
      <c r="C14" s="6" t="inlineStr">
        <is>
          <t>Mantenimiento fábrica (preventivo/correctivo)</t>
        </is>
      </c>
      <c r="D14" s="6" t="inlineStr">
        <is>
          <t>Mantenimiento</t>
        </is>
      </c>
      <c r="E14" s="7" t="n">
        <v>191422.08</v>
      </c>
      <c r="F14" s="8" t="n">
        <v>91234.2375</v>
      </c>
      <c r="G14" s="8">
        <f>F14-E14</f>
        <v/>
      </c>
      <c r="H14" s="9">
        <f>IF(E14=0, 0, G14/E14)</f>
        <v/>
      </c>
      <c r="I14" s="6" t="inlineStr">
        <is>
          <t>Ahorro masivo (-100.2k €): la fábrica presupuestó 91k € vs histórico de 191k €</t>
        </is>
      </c>
    </row>
    <row r="15">
      <c r="B15" s="11" t="inlineStr">
        <is>
          <t>629000016</t>
        </is>
      </c>
      <c r="C15" s="12" t="inlineStr">
        <is>
          <t>Herramientas taller</t>
        </is>
      </c>
      <c r="D15" s="12" t="inlineStr">
        <is>
          <t>Mantenimiento</t>
        </is>
      </c>
      <c r="E15" s="13" t="n">
        <v>6000.36</v>
      </c>
      <c r="F15" s="14" t="n">
        <v>2100</v>
      </c>
      <c r="G15" s="14">
        <f>F15-E15</f>
        <v/>
      </c>
      <c r="H15" s="15">
        <f>IF(E15=0, 0, G15/E15)</f>
        <v/>
      </c>
      <c r="I15" s="12" t="inlineStr">
        <is>
          <t>Revisión a la baja del gasto de ferretería</t>
        </is>
      </c>
    </row>
    <row r="16">
      <c r="B16" s="5" t="inlineStr">
        <is>
          <t>627000007</t>
        </is>
      </c>
      <c r="C16" s="6" t="inlineStr">
        <is>
          <t>Ferias y congresos</t>
        </is>
      </c>
      <c r="D16" s="6" t="inlineStr">
        <is>
          <t>Marketing</t>
        </is>
      </c>
      <c r="E16" s="7" t="n">
        <v>3855.75</v>
      </c>
      <c r="F16" s="8" t="n">
        <v>33770</v>
      </c>
      <c r="G16" s="8">
        <f>F16-E16</f>
        <v/>
      </c>
      <c r="H16" s="9">
        <f>IF(E16=0, 0, G16/E16)</f>
        <v/>
      </c>
      <c r="I16" s="6" t="inlineStr">
        <is>
          <t>Incorporación del calendario ferial internacional formalizado (+29.9k €)</t>
        </is>
      </c>
    </row>
    <row r="17">
      <c r="B17" s="11" t="inlineStr">
        <is>
          <t>627000008</t>
        </is>
      </c>
      <c r="C17" s="12" t="inlineStr">
        <is>
          <t>Marketing y campañas comerciales</t>
        </is>
      </c>
      <c r="D17" s="12" t="inlineStr">
        <is>
          <t>Marketing</t>
        </is>
      </c>
      <c r="E17" s="13" t="n">
        <v>0</v>
      </c>
      <c r="F17" s="14" t="n">
        <v>196300</v>
      </c>
      <c r="G17" s="14">
        <f>F17-E17</f>
        <v/>
      </c>
      <c r="H17" s="15">
        <f>IF(E17=0, 0, G17/E17)</f>
        <v/>
      </c>
      <c r="I17" s="12" t="inlineStr">
        <is>
          <t>Plan integral de activación comercial por cliente-producto (+196.3k €)</t>
        </is>
      </c>
    </row>
    <row r="18">
      <c r="B18" s="5" t="inlineStr">
        <is>
          <t>627000006</t>
        </is>
      </c>
      <c r="C18" s="6" t="inlineStr">
        <is>
          <t>Publicidad, catálogos y folletos</t>
        </is>
      </c>
      <c r="D18" s="6" t="inlineStr">
        <is>
          <t>Marketing</t>
        </is>
      </c>
      <c r="E18" s="7" t="n">
        <v>1236.75</v>
      </c>
      <c r="F18" s="8" t="n">
        <v>25630</v>
      </c>
      <c r="G18" s="8">
        <f>F18-E18</f>
        <v/>
      </c>
      <c r="H18" s="9">
        <f>IF(E18=0, 0, G18/E18)</f>
        <v/>
      </c>
      <c r="I18" s="6" t="inlineStr">
        <is>
          <t>Actualización corporativa transversal y diseño institucional (+24.4k €)</t>
        </is>
      </c>
    </row>
    <row r="19">
      <c r="B19" s="11" t="inlineStr">
        <is>
          <t>627000009</t>
        </is>
      </c>
      <c r="C19" s="12" t="inlineStr">
        <is>
          <t>Artículos publicidad / Promociones</t>
        </is>
      </c>
      <c r="D19" s="12" t="inlineStr">
        <is>
          <t>Marketing</t>
        </is>
      </c>
      <c r="E19" s="13" t="n">
        <v>26500</v>
      </c>
      <c r="F19" s="14" t="n">
        <v>10372.4</v>
      </c>
      <c r="G19" s="14">
        <f>F19-E19</f>
        <v/>
      </c>
      <c r="H19" s="15">
        <f>IF(E19=0, 0, G19/E19)</f>
        <v/>
      </c>
      <c r="I19" s="12" t="inlineStr">
        <is>
          <t>Reasignación de reserva táctica (-16.1k €)</t>
        </is>
      </c>
    </row>
    <row r="20">
      <c r="B20" s="5" t="inlineStr">
        <is>
          <t>627000004</t>
        </is>
      </c>
      <c r="C20" s="6" t="inlineStr">
        <is>
          <t>Relaciones públicas y comerciales</t>
        </is>
      </c>
      <c r="D20" s="6" t="inlineStr">
        <is>
          <t>Marketing</t>
        </is>
      </c>
      <c r="E20" s="7" t="n">
        <v>18104.5</v>
      </c>
      <c r="F20" s="8" t="n">
        <v>0</v>
      </c>
      <c r="G20" s="8">
        <f>F20-E20</f>
        <v/>
      </c>
      <c r="H20" s="9">
        <f>IF(E20=0, 0, G20/E20)</f>
        <v/>
      </c>
      <c r="I20" s="6" t="inlineStr">
        <is>
          <t>Integrado dentro de los programas de cliente-producto</t>
        </is>
      </c>
    </row>
    <row r="21">
      <c r="B21" s="11" t="inlineStr">
        <is>
          <t>629000007</t>
        </is>
      </c>
      <c r="C21" s="12" t="inlineStr">
        <is>
          <t>Gastos retirada de residuos</t>
        </is>
      </c>
      <c r="D21" s="12" t="inlineStr">
        <is>
          <t>Regulatory</t>
        </is>
      </c>
      <c r="E21" s="13" t="n">
        <v>34000</v>
      </c>
      <c r="F21" s="14" t="n">
        <v>74400</v>
      </c>
      <c r="G21" s="14">
        <f>F21-E21</f>
        <v/>
      </c>
      <c r="H21" s="15">
        <f>IF(E21=0, 0, G21/E21)</f>
        <v/>
      </c>
      <c r="I21" s="12" t="inlineStr">
        <is>
          <t>Gasto medioambiental real de 6.200 €/mes por aumento de producción (+40.4k €)</t>
        </is>
      </c>
    </row>
    <row r="22">
      <c r="B22" s="5" t="inlineStr">
        <is>
          <t>629000002</t>
        </is>
      </c>
      <c r="C22" s="6" t="inlineStr">
        <is>
          <t>Otros gastos / Envases AEVAE</t>
        </is>
      </c>
      <c r="D22" s="6" t="inlineStr">
        <is>
          <t>Regulatory</t>
        </is>
      </c>
      <c r="E22" s="7" t="n">
        <v>11379.82</v>
      </c>
      <c r="F22" s="8" t="n">
        <v>25115</v>
      </c>
      <c r="G22" s="8">
        <f>F22-E22</f>
        <v/>
      </c>
      <c r="H22" s="9">
        <f>IF(E22=0, 0, G22/E22)</f>
        <v/>
      </c>
      <c r="I22" s="6" t="inlineStr">
        <is>
          <t>Declaración anual y cuotas obligatorias de envases agrícolas SCRAP AEVAE</t>
        </is>
      </c>
    </row>
    <row r="23">
      <c r="B23" s="11" t="inlineStr">
        <is>
          <t>623200000</t>
        </is>
      </c>
      <c r="C23" s="12" t="inlineStr">
        <is>
          <t>Gastos marcas y patentes</t>
        </is>
      </c>
      <c r="D23" s="12" t="inlineStr">
        <is>
          <t>Regulatory</t>
        </is>
      </c>
      <c r="E23" s="13" t="n">
        <v>0</v>
      </c>
      <c r="F23" s="14" t="n">
        <v>75390</v>
      </c>
      <c r="G23" s="14">
        <f>F23-E23</f>
        <v/>
      </c>
      <c r="H23" s="15">
        <f>IF(E23=0, 0, G23/E23)</f>
        <v/>
      </c>
      <c r="I23" s="12" t="inlineStr">
        <is>
          <t>Presupuesto de marcas: 16.3k € son inmovilizables (marcas nuevas) y 59k € gasto corriente</t>
        </is>
      </c>
    </row>
    <row r="24">
      <c r="B24" s="5" t="inlineStr">
        <is>
          <t>623000003</t>
        </is>
      </c>
      <c r="C24" s="6" t="inlineStr">
        <is>
          <t>Servicios registros y notarios</t>
        </is>
      </c>
      <c r="D24" s="6" t="inlineStr">
        <is>
          <t>Regulatory</t>
        </is>
      </c>
      <c r="E24" s="7" t="n">
        <v>24000</v>
      </c>
      <c r="F24" s="8" t="n">
        <v>33050</v>
      </c>
      <c r="G24" s="8">
        <f>F24-E24</f>
        <v/>
      </c>
      <c r="H24" s="9">
        <f>IF(E24=0, 0, G24/E24)</f>
        <v/>
      </c>
      <c r="I24" s="6" t="inlineStr">
        <is>
          <t>Registros de producto: 25.9k € son inmovilizables (Azerbaiyán, Sudáfrica, Guatemala)</t>
        </is>
      </c>
    </row>
    <row r="25">
      <c r="B25" s="11" t="inlineStr">
        <is>
          <t>623000004</t>
        </is>
      </c>
      <c r="C25" s="12" t="inlineStr">
        <is>
          <t>Gastos certificaciones ecológicas</t>
        </is>
      </c>
      <c r="D25" s="12" t="inlineStr">
        <is>
          <t>Regulatory</t>
        </is>
      </c>
      <c r="E25" s="13" t="n">
        <v>15253.68</v>
      </c>
      <c r="F25" s="14" t="n">
        <v>10193</v>
      </c>
      <c r="G25" s="14">
        <f>F25-E25</f>
        <v/>
      </c>
      <c r="H25" s="15">
        <f>IF(E25=0, 0, G25/E25)</f>
        <v/>
      </c>
      <c r="I25" s="12" t="inlineStr">
        <is>
          <t>Certificaciones BCS-Kiwa, OMRI, FIBL, Ecocert (-5.1k € vs previsión inicial)</t>
        </is>
      </c>
    </row>
    <row r="26">
      <c r="B26" s="5" t="inlineStr">
        <is>
          <t>629000008</t>
        </is>
      </c>
      <c r="C26" s="6" t="inlineStr">
        <is>
          <t>Cuotas asociaciones (Quimacova)</t>
        </is>
      </c>
      <c r="D26" s="6" t="inlineStr">
        <is>
          <t>Regulatory</t>
        </is>
      </c>
      <c r="E26" s="7" t="n">
        <v>9621.84</v>
      </c>
      <c r="F26" s="8" t="n">
        <v>2400</v>
      </c>
      <c r="G26" s="8">
        <f>F26-E26</f>
        <v/>
      </c>
      <c r="H26" s="9">
        <f>IF(E26=0, 0, G26/E26)</f>
        <v/>
      </c>
      <c r="I26" s="6" t="inlineStr">
        <is>
          <t>Alineado con la cuota real de Quimacova (-7.2k €)</t>
        </is>
      </c>
    </row>
    <row r="27">
      <c r="B27" s="11" t="inlineStr">
        <is>
          <t>629000005</t>
        </is>
      </c>
      <c r="C27" s="12" t="inlineStr">
        <is>
          <t>Gastos análisis de laboratorios</t>
        </is>
      </c>
      <c r="D27" s="12" t="inlineStr">
        <is>
          <t>Regulatory</t>
        </is>
      </c>
      <c r="E27" s="13" t="n">
        <v>11295.24</v>
      </c>
      <c r="F27" s="14" t="n">
        <v>6600</v>
      </c>
      <c r="G27" s="14">
        <f>F27-E27</f>
        <v/>
      </c>
      <c r="H27" s="15">
        <f>IF(E27=0, 0, G27/E27)</f>
        <v/>
      </c>
      <c r="I27" s="12" t="inlineStr">
        <is>
          <t>Análisis de laboratorio externo para expedientes regulatorios</t>
        </is>
      </c>
    </row>
    <row r="28">
      <c r="B28" s="18" t="inlineStr">
        <is>
          <t>TOTAL CUENTAS COMPARADAS</t>
        </is>
      </c>
      <c r="C28" s="18" t="inlineStr"/>
      <c r="D28" s="18" t="inlineStr"/>
      <c r="E28" s="19">
        <f>SUM(E6:E27)</f>
        <v/>
      </c>
      <c r="F28" s="19">
        <f>SUM(F6:F27)</f>
        <v/>
      </c>
      <c r="G28" s="19">
        <f>SUM(G6:G27)</f>
        <v/>
      </c>
      <c r="H28" s="20">
        <f>G28/E28</f>
        <v/>
      </c>
      <c r="I28" s="21" t="inlineStr">
        <is>
          <t>Variación global antes de inmovilizaciones</t>
        </is>
      </c>
    </row>
  </sheetData>
  <mergeCells count="2">
    <mergeCell ref="B3:H3"/>
    <mergeCell ref="B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30"/>
  <sheetViews>
    <sheetView showGridLines="1" workbookViewId="0">
      <selection activeCell="A1" sqref="A1"/>
    </sheetView>
  </sheetViews>
  <sheetFormatPr baseColWidth="8" defaultRowHeight="15"/>
  <cols>
    <col width="3" customWidth="1" min="1" max="1"/>
    <col width="38" customWidth="1" min="2" max="2"/>
    <col width="16" customWidth="1" min="3" max="3"/>
    <col width="16" customWidth="1" min="4" max="4"/>
    <col width="16" customWidth="1" min="5" max="5"/>
    <col width="16" customWidth="1" min="6" max="6"/>
    <col width="16" customWidth="1" min="7" max="7"/>
    <col width="32" customWidth="1" min="8" max="8"/>
  </cols>
  <sheetData>
    <row r="2">
      <c r="B2" s="1" t="inlineStr">
        <is>
          <t>MEMORIA DE CRITERIOS CONTABLES Y REGLAS DE ASIGNACIÓN (PGC RD 1514/2007)</t>
        </is>
      </c>
    </row>
    <row r="3">
      <c r="B3" s="2" t="inlineStr">
        <is>
          <t>Fundamentos técnicos, normas de valoración aplicadas y directrices para la contabilización y auditoría</t>
        </is>
      </c>
    </row>
    <row r="5" ht="24" customHeight="1">
      <c r="B5" s="3" t="inlineStr">
        <is>
          <t>1. APROVISIONAMIENTOS Y COMPRAS (GRUPO 60)</t>
        </is>
      </c>
    </row>
    <row r="6" ht="55" customHeight="1">
      <c r="B6" s="40" t="inlineStr">
        <is>
          <t>Norma de Registro y Valoración 10ª (Existencias):</t>
        </is>
      </c>
      <c r="C6" s="41" t="inlineStr">
        <is>
          <t>Las materias primas y otros aprovisionamientos se valoran al precio de adquisición, que incluye el importe facturado por el vendedor deducido cualquier descuento comercial y añadiendo todos los gastos adicionales que se produzcan hasta que los bienes se hallen en almacén (fletes, seguros, aranceles).</t>
        </is>
      </c>
      <c r="D6" s="42" t="n"/>
      <c r="E6" s="42" t="n"/>
      <c r="F6" s="42" t="n"/>
      <c r="G6" s="42" t="n"/>
      <c r="H6" s="42" t="n"/>
    </row>
    <row r="7" ht="55" customHeight="1">
      <c r="B7" s="40" t="inlineStr">
        <is>
          <t>Tratamiento de la Reserva por Mínimos de Pedido (3%):</t>
        </is>
      </c>
      <c r="C7" s="41" t="inlineStr">
        <is>
          <t>La reserva monetaria de 182.159,08 € contemplada en el presupuesto de compras obedece a exigencias comerciales de los proveedores (lotes mínimos de compra / MOQ). Contablemente, esta compra adicional generará existencias en almacén (activo corriente) a cierre de ejercicio, neutralizando el impacto en la cuenta de resultados a través de la cuenta 610/611 (Variación de existencias).</t>
        </is>
      </c>
      <c r="D7" s="42" t="n"/>
      <c r="E7" s="42" t="n"/>
      <c r="F7" s="42" t="n"/>
      <c r="G7" s="42" t="n"/>
      <c r="H7" s="42" t="n"/>
    </row>
    <row r="8" ht="55" customHeight="1">
      <c r="B8" s="40" t="inlineStr">
        <is>
          <t>Fusión de Cuentas de Envases:</t>
        </is>
      </c>
      <c r="C8" s="41" t="inlineStr">
        <is>
          <t>Se mantiene la unificación de la cuenta 602000000 en la 602000001 (Envases y embalajes), centralizando todas las adquisiciones de bidones, garrafas y botellas bajo una única métrica de consumo.</t>
        </is>
      </c>
      <c r="D8" s="42" t="n"/>
      <c r="E8" s="42" t="n"/>
      <c r="F8" s="42" t="n"/>
      <c r="G8" s="42" t="n"/>
      <c r="H8" s="42" t="n"/>
    </row>
    <row r="10" ht="24" customHeight="1">
      <c r="B10" s="3" t="inlineStr">
        <is>
          <t>2. TRANSPORTES Y LOGÍSTICA: REPERCUSIÓN DE FLETES (CUENTAS 624 Y 700001624)</t>
        </is>
      </c>
    </row>
    <row r="11" ht="55" customHeight="1">
      <c r="B11" s="40" t="inlineStr">
        <is>
          <t>Tratamiento del Transporte de Exportación Repercutido:</t>
        </is>
      </c>
      <c r="C11" s="41" t="inlineStr">
        <is>
          <t>El transporte internacional de exportación (305.223,30 € en 2027 y 97.236,00 € en Q4 2026) se factura y repercute íntegramente al cliente según las condiciones contractuales de venta (Incoterms CIF/CFR). En aplicación del principio contable de correlación de ingresos y gastos y la neutralidad del flete suplido, dicho coste se compensa 100% con la facturación emitida al cliente (cuenta 700001624 Venta por transporte repercutido), por lo que NO DEBE COMPUTAR COMO GASTO OPERATIVO de Codiagro ni absorber margen de la cuenta de explotación.</t>
        </is>
      </c>
      <c r="D11" s="42" t="n"/>
      <c r="E11" s="42" t="n"/>
      <c r="F11" s="42" t="n"/>
      <c r="G11" s="42" t="n"/>
      <c r="H11" s="42" t="n"/>
    </row>
    <row r="12" ht="55" customHeight="1">
      <c r="B12" s="40" t="inlineStr">
        <is>
          <t>Gasto Logístico Real Asumido por Codiagro (245.670,44 €):</t>
        </is>
      </c>
      <c r="C12" s="41" t="inlineStr">
        <is>
          <t>El presupuesto operativo real que asume la empresa corresponde exclusivamente al Transporte Nacional peninsular (166.472,15 € en Campillo) y Transporte a Canarias (79.198,29 € en Sealine). Al comparar este importe con los 301.548,73 € que figuraban en el P&amp;L actual para estas dos líneas, Codiagro obtiene un AHORRO LOGÍSTICO NETO DE -55.878,29 € (-18,5%).</t>
        </is>
      </c>
      <c r="D12" s="42" t="n"/>
      <c r="E12" s="42" t="n"/>
      <c r="F12" s="42" t="n"/>
      <c r="G12" s="42" t="n"/>
      <c r="H12" s="42" t="n"/>
    </row>
    <row r="13" ht="55" customHeight="1">
      <c r="B13" s="40" t="inlineStr">
        <is>
          <t>Transporte de Importación de Materias Primas:</t>
        </is>
      </c>
      <c r="C13" s="41" t="inlineStr">
        <is>
          <t>El transporte de aprovisionamientos importados debe incorporarse contablemente como mayor valor de adquisición de las existencias (Grupo 601), salvo que por materialidad y practicidad se registre en la cuenta 624000006.</t>
        </is>
      </c>
      <c r="D13" s="42" t="n"/>
      <c r="E13" s="42" t="n"/>
      <c r="F13" s="42" t="n"/>
      <c r="G13" s="42" t="n"/>
      <c r="H13" s="42" t="n"/>
    </row>
    <row r="15" ht="24" customHeight="1">
      <c r="B15" s="3" t="inlineStr">
        <is>
          <t>3. MANTENIMIENTO: REPARACIÓN ORDINARIA VS ACTIVACIÓN (CUENTAS 622 VS 21X)</t>
        </is>
      </c>
    </row>
    <row r="16" ht="55" customHeight="1">
      <c r="B16" s="40" t="inlineStr">
        <is>
          <t>Principio General (Resolución ICAC de 5 de marzo de 2019):</t>
        </is>
      </c>
      <c r="C16" s="41" t="inlineStr">
        <is>
          <t>Los costes de mantenimiento, entretenimiento y reparación corriente que tengan por objeto conservar el inmovilizado en condiciones normales de funcionamiento se imputan directamente a la cuenta de pérdidas y ganancias (cuenta 622).</t>
        </is>
      </c>
      <c r="D16" s="42" t="n"/>
      <c r="E16" s="42" t="n"/>
      <c r="F16" s="42" t="n"/>
      <c r="G16" s="42" t="n"/>
      <c r="H16" s="42" t="n"/>
    </row>
    <row r="17" ht="55" customHeight="1">
      <c r="B17" s="40" t="inlineStr">
        <is>
          <t>Criterio de Inmovilización (Ampliación, Mejora y Gran Reparación):</t>
        </is>
      </c>
      <c r="C17" s="41" t="inlineStr">
        <is>
          <t>Para poder activar un gasto de mantenimiento como Inmovilizado Material (Grupo 21) deben cumplirse simultáneamente tres requisitos:
1. Aumento de la capacidad de producción o del rendimiento operativo.
2. Alargamiento sustancial de la vida útil estimada del bien.
3. Posibilidad de identificar y valorar de forma fiable el coste incurrido.</t>
        </is>
      </c>
      <c r="D17" s="42" t="n"/>
      <c r="E17" s="42" t="n"/>
      <c r="F17" s="42" t="n"/>
      <c r="G17" s="42" t="n"/>
      <c r="H17" s="42" t="n"/>
    </row>
    <row r="18" ht="55" customHeight="1">
      <c r="B18" s="40" t="inlineStr">
        <is>
          <t>Aplicación a las Partidas de Codiagro:</t>
        </is>
      </c>
      <c r="C18" s="41" t="inlineStr">
        <is>
          <t>• Cubierta tejado fábrica (2.110 €): Si sustituye placas dañadas de forma permanente, es activable en 211000000 (Construcciones).
• Molinos Oliver &amp; Batlle (3.000 €): La reconstrucción mayor (overhaul) de los tres molinos es activable en 213000000 (Maquinaria) amortizable a 8 años.
• Herramientas de taller (2.000 €): Activable en 214000000 (Utillaje) al superar el umbral de fungibilidad.
• Resto de partidas (correctivo mensual de 3.000 €, válvulas ordinarias, consumibles): Gasto directo del ejercicio en subcuentas 622.</t>
        </is>
      </c>
      <c r="D18" s="42" t="n"/>
      <c r="E18" s="42" t="n"/>
      <c r="F18" s="42" t="n"/>
      <c r="G18" s="42" t="n"/>
      <c r="H18" s="42" t="n"/>
    </row>
    <row r="20" ht="24" customHeight="1">
      <c r="B20" s="3" t="inlineStr">
        <is>
          <t>4. REGULATORY: MARCAS Y REGISTROS (CUENTAS 623/629 VS 203)</t>
        </is>
      </c>
    </row>
    <row r="21" ht="55" customHeight="1">
      <c r="B21" s="40" t="inlineStr">
        <is>
          <t>Resolución del ICAC de 28 de mayo de 2013 (Inmovilizado Intangible):</t>
        </is>
      </c>
      <c r="C21" s="41" t="inlineStr">
        <is>
          <t>Los costes asociados a la obtención de propiedad industrial y registros oficiales se activan en la cuenta 203000000 si confieren derechos exclusivos de explotación protegidos jurídicamente y son capaces de generar rendimientos económicos futuros.</t>
        </is>
      </c>
      <c r="D21" s="42" t="n"/>
      <c r="E21" s="42" t="n"/>
      <c r="F21" s="42" t="n"/>
      <c r="G21" s="42" t="n"/>
      <c r="H21" s="42" t="n"/>
    </row>
    <row r="22" ht="55" customHeight="1">
      <c r="B22" s="40" t="inlineStr">
        <is>
          <t>Marcas Nuevas (16.300 €) -&gt; ACTIVABLES EN 203000000:</t>
        </is>
      </c>
      <c r="C22" s="41" t="inlineStr">
        <is>
          <t>El registro inicial de marcas (Codiorgan Guatemala, Trifeno-94 Europa/Guatemala, Salwax Arabia, Biorad Arabia, Sprintium Omán/USA) confiere el monopolio de explotación durante 10 años. Se activan como Inmovilizado Intangible y se amortizan al 10% anual.</t>
        </is>
      </c>
      <c r="D22" s="42" t="n"/>
      <c r="E22" s="42" t="n"/>
      <c r="F22" s="42" t="n"/>
      <c r="G22" s="42" t="n"/>
      <c r="H22" s="42" t="n"/>
    </row>
    <row r="23" ht="55" customHeight="1">
      <c r="B23" s="40" t="inlineStr">
        <is>
          <t>Mantenimiento y Vigilancia de Marcas (59.090 €) -&gt; GASTO CORRIENTE (6232):</t>
        </is>
      </c>
      <c r="C23" s="41" t="inlineStr">
        <is>
          <t>Las tasas de renovación periódica, la vigilancia mundial anual (2.550 €) y los cambios de titularidad por mero trámite administrativo no incrementan el valor del activo y se consideran gasto corriente del ejercicio.</t>
        </is>
      </c>
      <c r="D23" s="42" t="n"/>
      <c r="E23" s="42" t="n"/>
      <c r="F23" s="42" t="n"/>
      <c r="G23" s="42" t="n"/>
      <c r="H23" s="42" t="n"/>
    </row>
    <row r="24" ht="55" customHeight="1">
      <c r="B24" s="40" t="inlineStr">
        <is>
          <t>Registros Oficiales de Producto (25.900 €) -&gt; ACTIVABLES EN 203000000:</t>
        </is>
      </c>
      <c r="C24" s="41" t="inlineStr">
        <is>
          <t>Los expedientes de registro de formulaciones en Azerbaiyán (13.200 €), Sudáfrica (6.960 €) y Guatemala (5.740 €) constituyen licencias comerciales habilitantes obligatorias sin las cuales la empresa no puede operar. Amortización recomendada en 5 años (periodo estándar de vigencia ministerial).</t>
        </is>
      </c>
      <c r="D24" s="42" t="n"/>
      <c r="E24" s="42" t="n"/>
      <c r="F24" s="42" t="n"/>
      <c r="G24" s="42" t="n"/>
      <c r="H24" s="42" t="n"/>
    </row>
    <row r="25" ht="55" customHeight="1">
      <c r="B25" s="40" t="inlineStr">
        <is>
          <t>Residuos y Medioambiente (629000007):</t>
        </is>
      </c>
      <c r="C25" s="41" t="inlineStr">
        <is>
          <t>El servicio continuado de retirada y tratamiento de residuos industriales peligrosos y no peligrosos (74.400 €) es un gasto de explotación ordinario insoslayable.</t>
        </is>
      </c>
      <c r="D25" s="42" t="n"/>
      <c r="E25" s="42" t="n"/>
      <c r="F25" s="42" t="n"/>
      <c r="G25" s="42" t="n"/>
      <c r="H25" s="42" t="n"/>
    </row>
    <row r="26" ht="55" customHeight="1">
      <c r="B26" s="40" t="inlineStr">
        <is>
          <t>Obra Nave Enfrente (9.600 €):</t>
        </is>
      </c>
      <c r="C26" s="41" t="inlineStr">
        <is>
          <t>Gasto de regularización y obra finalizada que incrementa la infraestructura patrimonial de la empresa, susceptible de activación en la cuenta 211000000.</t>
        </is>
      </c>
      <c r="D26" s="42" t="n"/>
      <c r="E26" s="42" t="n"/>
      <c r="F26" s="42" t="n"/>
      <c r="G26" s="42" t="n"/>
      <c r="H26" s="42" t="n"/>
    </row>
    <row r="28" ht="24" customHeight="1">
      <c r="B28" s="3" t="inlineStr">
        <is>
          <t>5. MARKETING Y PROMOCIÓN (CUENTA 627)</t>
        </is>
      </c>
    </row>
    <row r="29" ht="55" customHeight="1">
      <c r="B29" s="40" t="inlineStr">
        <is>
          <t>Imputación Temporal de Ferias y Campañas:</t>
        </is>
      </c>
      <c r="C29" s="41" t="inlineStr">
        <is>
          <t>Según el principio de devengo, los gastos de stands, derechos de inscripción y diseño de ferias se devengan en el mes de celebración del evento (octubre para Fruit Attraction, febrero para Fruit Logistica).</t>
        </is>
      </c>
      <c r="D29" s="42" t="n"/>
      <c r="E29" s="42" t="n"/>
      <c r="F29" s="42" t="n"/>
      <c r="G29" s="42" t="n"/>
      <c r="H29" s="42" t="n"/>
    </row>
    <row r="30" ht="55" customHeight="1">
      <c r="B30" s="40" t="inlineStr">
        <is>
          <t>Prohibición de Activación de Gastos Publicitarios:</t>
        </is>
      </c>
      <c r="C30" s="41" t="inlineStr">
        <is>
          <t>El PGC prohíbe taxativamente la activación de gastos de publicidad y promoción como activos intangibles (marcas generadas internamente o campañas comerciales), debiendo imputarse íntegramente a pérdidas y ganancias en el ejercicio en que se reciben los servicios.</t>
        </is>
      </c>
      <c r="D30" s="42" t="n"/>
      <c r="E30" s="42" t="n"/>
      <c r="F30" s="42" t="n"/>
      <c r="G30" s="42" t="n"/>
      <c r="H30" s="42" t="n"/>
    </row>
  </sheetData>
  <mergeCells count="24">
    <mergeCell ref="C25:H25"/>
    <mergeCell ref="C16:H16"/>
    <mergeCell ref="C22:H22"/>
    <mergeCell ref="B15:H15"/>
    <mergeCell ref="C12:H12"/>
    <mergeCell ref="B5:H5"/>
    <mergeCell ref="B20:H20"/>
    <mergeCell ref="C21:H21"/>
    <mergeCell ref="C11:H11"/>
    <mergeCell ref="C23:H23"/>
    <mergeCell ref="C8:H8"/>
    <mergeCell ref="C17:H17"/>
    <mergeCell ref="B3:H3"/>
    <mergeCell ref="C7:H7"/>
    <mergeCell ref="C13:H13"/>
    <mergeCell ref="B2:H2"/>
    <mergeCell ref="C18:H18"/>
    <mergeCell ref="C30:H30"/>
    <mergeCell ref="C6:H6"/>
    <mergeCell ref="C24:H24"/>
    <mergeCell ref="B10:H10"/>
    <mergeCell ref="C26:H26"/>
    <mergeCell ref="C29:H29"/>
    <mergeCell ref="B28:H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2026-09-29T09:48:43Z</dcterms:created>
  <dcterms:modified xmlns:dcterms="http://purl.org/dc/terms/" xmlns:xsi="http://www.w3.org/2001/XMLSchema-instance" xsi:type="dcterms:W3CDTF">2026-09-29T09:48:43Z</dcterms:modified>
</cp:coreProperties>
</file>