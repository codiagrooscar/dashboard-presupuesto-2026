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6" customWidth="1" min="10" max="10"/>
    <col width="15" customWidth="1" min="11" max="11"/>
    <col width="16" customWidth="1" min="12" max="12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01/10/2026 | Generado: 01/10/2026 10:47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236,105 u</t>
        </is>
      </c>
      <c r="E6" s="4" t="n"/>
      <c r="F6" s="8" t="inlineStr">
        <is>
          <t>129.8%</t>
        </is>
      </c>
      <c r="G6" s="4" t="n"/>
      <c r="H6" s="9" t="inlineStr">
        <is>
          <t>15,512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Error Abs. (u)</t>
        </is>
      </c>
      <c r="K9" s="11" t="inlineStr">
        <is>
          <t>% Consecución</t>
        </is>
      </c>
      <c r="L9" s="11" t="inlineStr">
        <is>
          <t>Forecast Accuracy</t>
        </is>
      </c>
    </row>
    <row r="10">
      <c r="B10" s="12" t="inlineStr">
        <is>
          <t>Alfonso</t>
        </is>
      </c>
      <c r="C10" s="13" t="n">
        <v>12</v>
      </c>
      <c r="D10" s="14" t="n">
        <v>2320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E10-D10</f>
        <v/>
      </c>
      <c r="J10" s="14">
        <f>'Alfonso'!K41</f>
        <v/>
      </c>
      <c r="K10" s="15">
        <f>IF(D10&gt;0, E10/D10, IF(E10&gt;0, 1, 0))</f>
        <v/>
      </c>
      <c r="L10" s="15">
        <f>IF(D10&gt;0, 1.0 - (J10/D10), 0)</f>
        <v/>
      </c>
    </row>
    <row r="11">
      <c r="B11" s="16" t="inlineStr">
        <is>
          <t>García</t>
        </is>
      </c>
      <c r="C11" s="17" t="n">
        <v>9</v>
      </c>
      <c r="D11" s="18" t="n">
        <v>37832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E11-D11</f>
        <v/>
      </c>
      <c r="J11" s="18">
        <f>'García'!K56</f>
        <v/>
      </c>
      <c r="K11" s="19">
        <f>IF(D11&gt;0, E11/D11, IF(E11&gt;0, 1, 0))</f>
        <v/>
      </c>
      <c r="L11" s="19">
        <f>IF(D11&gt;0, 1.0 - (J11/D11), 0)</f>
        <v/>
      </c>
    </row>
    <row r="12">
      <c r="B12" s="12" t="inlineStr">
        <is>
          <t>Irene</t>
        </is>
      </c>
      <c r="C12" s="13" t="n">
        <v>3</v>
      </c>
      <c r="D12" s="14" t="n">
        <v>21914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E12-D12</f>
        <v/>
      </c>
      <c r="J12" s="14">
        <f>'Irene'!K46</f>
        <v/>
      </c>
      <c r="K12" s="15">
        <f>IF(D12&gt;0, E12/D12, IF(E12&gt;0, 1, 0))</f>
        <v/>
      </c>
      <c r="L12" s="15">
        <f>IF(D12&gt;0, 1.0 - (J12/D12), 0)</f>
        <v/>
      </c>
    </row>
    <row r="13">
      <c r="B13" s="16" t="inlineStr">
        <is>
          <t>Javier</t>
        </is>
      </c>
      <c r="C13" s="17" t="n">
        <v>8</v>
      </c>
      <c r="D13" s="18" t="n">
        <v>17100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E13-D13</f>
        <v/>
      </c>
      <c r="J13" s="18">
        <f>'Javier'!K56</f>
        <v/>
      </c>
      <c r="K13" s="19">
        <f>IF(D13&gt;0, E13/D13, IF(E13&gt;0, 1, 0))</f>
        <v/>
      </c>
      <c r="L13" s="19">
        <f>IF(D13&gt;0, 1.0 - (J13/D13), 0)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E14-D14</f>
        <v/>
      </c>
      <c r="J14" s="14">
        <f>'Mehmet'!K17</f>
        <v/>
      </c>
      <c r="K14" s="15">
        <f>IF(D14&gt;0, E14/D14, IF(E14&gt;0, 1, 0))</f>
        <v/>
      </c>
      <c r="L14" s="15">
        <f>IF(D14&gt;0, 1.0 - (J14/D14), 0)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E15-D15</f>
        <v/>
      </c>
      <c r="J15" s="18">
        <f>'Pedro'!K33</f>
        <v/>
      </c>
      <c r="K15" s="19">
        <f>IF(D15&gt;0, E15/D15, IF(E15&gt;0, 1, 0))</f>
        <v/>
      </c>
      <c r="L15" s="19">
        <f>IF(D15&gt;0, 1.0 - (J15/D15), 0)</f>
        <v/>
      </c>
    </row>
    <row r="16">
      <c r="B16" s="12" t="inlineStr">
        <is>
          <t>Ricardo</t>
        </is>
      </c>
      <c r="C16" s="13" t="n">
        <v>6</v>
      </c>
      <c r="D16" s="14" t="n">
        <v>46000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E16-D16</f>
        <v/>
      </c>
      <c r="J16" s="14">
        <f>'Ricardo'!K44</f>
        <v/>
      </c>
      <c r="K16" s="15">
        <f>IF(D16&gt;0, E16/D16, IF(E16&gt;0, 1, 0))</f>
        <v/>
      </c>
      <c r="L16" s="15">
        <f>IF(D16&gt;0, 1.0 - (J16/D16), 0)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IF(D17&gt;0, E17/D17, 0)</f>
        <v/>
      </c>
      <c r="L17" s="23">
        <f>IF(D17&gt;0, 1.0 - (J17/D17),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11,874 u</t>
        </is>
      </c>
      <c r="E6" s="4" t="n"/>
      <c r="F6" s="25" t="inlineStr">
        <is>
          <t>511.8%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Error Abs. (u)</t>
        </is>
      </c>
      <c r="L9" s="11" t="inlineStr">
        <is>
          <t>% Consec.</t>
        </is>
      </c>
      <c r="M9" s="11" t="inlineStr">
        <is>
          <t>Forecast Accuracy</t>
        </is>
      </c>
      <c r="N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F10-E10</f>
        <v/>
      </c>
      <c r="K10" s="14">
        <f>ABS(F10-E10)</f>
        <v/>
      </c>
      <c r="L10" s="15">
        <f>IF(E10&gt;0, F10/E10, IF(F10&gt;0, 1, 0))</f>
        <v/>
      </c>
      <c r="M10" s="15">
        <f>IF(E10&gt;0, 1.0 - (K10/E10), IF(F10=0, 1, 0))</f>
        <v/>
      </c>
      <c r="N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F11-E11</f>
        <v/>
      </c>
      <c r="K11" s="18">
        <f>ABS(F11-E11)</f>
        <v/>
      </c>
      <c r="L11" s="19">
        <f>IF(E11&gt;0, F11/E11, IF(F11&gt;0, 1, 0))</f>
        <v/>
      </c>
      <c r="M11" s="19">
        <f>IF(E11&gt;0, 1.0 - (K11/E11), IF(F11=0, 1, 0))</f>
        <v/>
      </c>
      <c r="N11" s="29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F12-E12</f>
        <v/>
      </c>
      <c r="K12" s="14">
        <f>ABS(F12-E12)</f>
        <v/>
      </c>
      <c r="L12" s="15">
        <f>IF(E12&gt;0, F12/E12, IF(F12&gt;0, 1, 0))</f>
        <v/>
      </c>
      <c r="M12" s="15">
        <f>IF(E12&gt;0, 1.0 - (K12/E12), IF(F12=0, 1, 0))</f>
        <v/>
      </c>
      <c r="N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F13-E13</f>
        <v/>
      </c>
      <c r="K13" s="18">
        <f>ABS(F13-E13)</f>
        <v/>
      </c>
      <c r="L13" s="19">
        <f>IF(E13&gt;0, F13/E13, IF(F13&gt;0, 1, 0))</f>
        <v/>
      </c>
      <c r="M13" s="19">
        <f>IF(E13&gt;0, 1.0 - (K13/E13), IF(F13=0, 1, 0))</f>
        <v/>
      </c>
      <c r="N13" s="29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F14-E14</f>
        <v/>
      </c>
      <c r="K14" s="14">
        <f>ABS(F14-E14)</f>
        <v/>
      </c>
      <c r="L14" s="15">
        <f>IF(E14&gt;0, F14/E14, IF(F14&gt;0, 1, 0))</f>
        <v/>
      </c>
      <c r="M14" s="15">
        <f>IF(E14&gt;0, 1.0 - (K14/E14), IF(F14=0, 1, 0))</f>
        <v/>
      </c>
      <c r="N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F15-E15</f>
        <v/>
      </c>
      <c r="K15" s="18">
        <f>ABS(F15-E15)</f>
        <v/>
      </c>
      <c r="L15" s="19">
        <f>IF(E15&gt;0, F15/E15, IF(F15&gt;0, 1, 0))</f>
        <v/>
      </c>
      <c r="M15" s="19">
        <f>IF(E15&gt;0, 1.0 - (K15/E15), IF(F15=0, 1, 0))</f>
        <v/>
      </c>
      <c r="N15" s="29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F16-E16</f>
        <v/>
      </c>
      <c r="K16" s="14">
        <f>ABS(F16-E16)</f>
        <v/>
      </c>
      <c r="L16" s="15">
        <f>IF(E16&gt;0, F16/E16, IF(F16&gt;0, 1, 0))</f>
        <v/>
      </c>
      <c r="M16" s="15">
        <f>IF(E16&gt;0, 1.0 - (K16/E16), IF(F16=0, 1, 0))</f>
        <v/>
      </c>
      <c r="N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F17-E17</f>
        <v/>
      </c>
      <c r="K17" s="18">
        <f>ABS(F17-E17)</f>
        <v/>
      </c>
      <c r="L17" s="19">
        <f>IF(E17&gt;0, F17/E17, IF(F17&gt;0, 1, 0))</f>
        <v/>
      </c>
      <c r="M17" s="19">
        <f>IF(E17&gt;0, 1.0 - (K17/E17), IF(F17=0, 1, 0))</f>
        <v/>
      </c>
      <c r="N17" s="29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400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F18-E18</f>
        <v/>
      </c>
      <c r="K18" s="14">
        <f>ABS(F18-E18)</f>
        <v/>
      </c>
      <c r="L18" s="15">
        <f>IF(E18&gt;0, F18/E18, IF(F18&gt;0, 1, 0))</f>
        <v/>
      </c>
      <c r="M18" s="15">
        <f>IF(E18&gt;0, 1.0 - (K18/E18), IF(F18=0, 1, 0))</f>
        <v/>
      </c>
      <c r="N18" s="32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F19-E19</f>
        <v/>
      </c>
      <c r="K19" s="18">
        <f>ABS(F19-E19)</f>
        <v/>
      </c>
      <c r="L19" s="19">
        <f>IF(E19&gt;0, F19/E19, IF(F19&gt;0, 1, 0))</f>
        <v/>
      </c>
      <c r="M19" s="19">
        <f>IF(E19&gt;0, 1.0 - (K19/E19), IF(F19=0, 1, 0))</f>
        <v/>
      </c>
      <c r="N19" s="29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F20-E20</f>
        <v/>
      </c>
      <c r="K20" s="14">
        <f>ABS(F20-E20)</f>
        <v/>
      </c>
      <c r="L20" s="15">
        <f>IF(E20&gt;0, F20/E20, IF(F20&gt;0, 1, 0))</f>
        <v/>
      </c>
      <c r="M20" s="15">
        <f>IF(E20&gt;0, 1.0 - (K20/E20), IF(F20=0, 1, 0))</f>
        <v/>
      </c>
      <c r="N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F21-E21</f>
        <v/>
      </c>
      <c r="K21" s="18">
        <f>ABS(F21-E21)</f>
        <v/>
      </c>
      <c r="L21" s="19">
        <f>IF(E21&gt;0, F21/E21, IF(F21&gt;0, 1, 0))</f>
        <v/>
      </c>
      <c r="M21" s="19">
        <f>IF(E21&gt;0, 1.0 - (K21/E21), IF(F21=0, 1, 0))</f>
        <v/>
      </c>
      <c r="N21" s="29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F22-E22</f>
        <v/>
      </c>
      <c r="K22" s="14">
        <f>ABS(F22-E22)</f>
        <v/>
      </c>
      <c r="L22" s="15">
        <f>IF(E22&gt;0, F22/E22, IF(F22&gt;0, 1, 0))</f>
        <v/>
      </c>
      <c r="M22" s="15">
        <f>IF(E22&gt;0, 1.0 - (K22/E22), IF(F22=0, 1, 0))</f>
        <v/>
      </c>
      <c r="N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F23-E23</f>
        <v/>
      </c>
      <c r="K23" s="18">
        <f>ABS(F23-E23)</f>
        <v/>
      </c>
      <c r="L23" s="19">
        <f>IF(E23&gt;0, F23/E23, IF(F23&gt;0, 1, 0))</f>
        <v/>
      </c>
      <c r="M23" s="19">
        <f>IF(E23&gt;0, 1.0 - (K23/E23), IF(F23=0, 1, 0))</f>
        <v/>
      </c>
      <c r="N23" s="29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F24-E24</f>
        <v/>
      </c>
      <c r="K24" s="14">
        <f>ABS(F24-E24)</f>
        <v/>
      </c>
      <c r="L24" s="15">
        <f>IF(E24&gt;0, F24/E24, IF(F24&gt;0, 1, 0))</f>
        <v/>
      </c>
      <c r="M24" s="15">
        <f>IF(E24&gt;0, 1.0 - (K24/E24), IF(F24=0, 1, 0))</f>
        <v/>
      </c>
      <c r="N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F25-E25</f>
        <v/>
      </c>
      <c r="K25" s="18">
        <f>ABS(F25-E25)</f>
        <v/>
      </c>
      <c r="L25" s="19">
        <f>IF(E25&gt;0, F25/E25, IF(F25&gt;0, 1, 0))</f>
        <v/>
      </c>
      <c r="M25" s="19">
        <f>IF(E25&gt;0, 1.0 - (K25/E25), IF(F25=0, 1, 0))</f>
        <v/>
      </c>
      <c r="N25" s="29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F26-E26</f>
        <v/>
      </c>
      <c r="K26" s="14">
        <f>ABS(F26-E26)</f>
        <v/>
      </c>
      <c r="L26" s="15">
        <f>IF(E26&gt;0, F26/E26, IF(F26&gt;0, 1, 0))</f>
        <v/>
      </c>
      <c r="M26" s="15">
        <f>IF(E26&gt;0, 1.0 - (K26/E26), IF(F26=0, 1, 0))</f>
        <v/>
      </c>
      <c r="N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F27-E27</f>
        <v/>
      </c>
      <c r="K27" s="18">
        <f>ABS(F27-E27)</f>
        <v/>
      </c>
      <c r="L27" s="19">
        <f>IF(E27&gt;0, F27/E27, IF(F27&gt;0, 1, 0))</f>
        <v/>
      </c>
      <c r="M27" s="19">
        <f>IF(E27&gt;0, 1.0 - (K27/E27), IF(F27=0, 1, 0))</f>
        <v/>
      </c>
      <c r="N27" s="29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F28-E28</f>
        <v/>
      </c>
      <c r="K28" s="14">
        <f>ABS(F28-E28)</f>
        <v/>
      </c>
      <c r="L28" s="15">
        <f>IF(E28&gt;0, F28/E28, IF(F28&gt;0, 1, 0))</f>
        <v/>
      </c>
      <c r="M28" s="15">
        <f>IF(E28&gt;0, 1.0 - (K28/E28), IF(F28=0, 1, 0))</f>
        <v/>
      </c>
      <c r="N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F29-E29</f>
        <v/>
      </c>
      <c r="K29" s="18">
        <f>ABS(F29-E29)</f>
        <v/>
      </c>
      <c r="L29" s="19">
        <f>IF(E29&gt;0, F29/E29, IF(F29&gt;0, 1, 0))</f>
        <v/>
      </c>
      <c r="M29" s="19">
        <f>IF(E29&gt;0, 1.0 - (K29/E29), IF(F29=0, 1, 0))</f>
        <v/>
      </c>
      <c r="N29" s="29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F30-E30</f>
        <v/>
      </c>
      <c r="K30" s="14">
        <f>ABS(F30-E30)</f>
        <v/>
      </c>
      <c r="L30" s="15">
        <f>IF(E30&gt;0, F30/E30, IF(F30&gt;0, 1, 0))</f>
        <v/>
      </c>
      <c r="M30" s="15">
        <f>IF(E30&gt;0, 1.0 - (K30/E30), IF(F30=0, 1, 0))</f>
        <v/>
      </c>
      <c r="N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F31-E31</f>
        <v/>
      </c>
      <c r="K31" s="18">
        <f>ABS(F31-E31)</f>
        <v/>
      </c>
      <c r="L31" s="19">
        <f>IF(E31&gt;0, F31/E31, IF(F31&gt;0, 1, 0))</f>
        <v/>
      </c>
      <c r="M31" s="19">
        <f>IF(E31&gt;0, 1.0 - (K31/E31), IF(F31=0, 1, 0))</f>
        <v/>
      </c>
      <c r="N31" s="29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F32-E32</f>
        <v/>
      </c>
      <c r="K32" s="14">
        <f>ABS(F32-E32)</f>
        <v/>
      </c>
      <c r="L32" s="15">
        <f>IF(E32&gt;0, F32/E32, IF(F32&gt;0, 1, 0))</f>
        <v/>
      </c>
      <c r="M32" s="15">
        <f>IF(E32&gt;0, 1.0 - (K32/E32), IF(F32=0, 1, 0))</f>
        <v/>
      </c>
      <c r="N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F33-E33</f>
        <v/>
      </c>
      <c r="K33" s="18">
        <f>ABS(F33-E33)</f>
        <v/>
      </c>
      <c r="L33" s="19">
        <f>IF(E33&gt;0, F33/E33, IF(F33&gt;0, 1, 0))</f>
        <v/>
      </c>
      <c r="M33" s="19">
        <f>IF(E33&gt;0, 1.0 - (K33/E33), IF(F33=0, 1, 0))</f>
        <v/>
      </c>
      <c r="N33" s="29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F34-E34</f>
        <v/>
      </c>
      <c r="K34" s="14">
        <f>ABS(F34-E34)</f>
        <v/>
      </c>
      <c r="L34" s="15">
        <f>IF(E34&gt;0, F34/E34, IF(F34&gt;0, 1, 0))</f>
        <v/>
      </c>
      <c r="M34" s="15">
        <f>IF(E34&gt;0, 1.0 - (K34/E34), IF(F34=0, 1, 0))</f>
        <v/>
      </c>
      <c r="N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F35-E35</f>
        <v/>
      </c>
      <c r="K35" s="18">
        <f>ABS(F35-E35)</f>
        <v/>
      </c>
      <c r="L35" s="19">
        <f>IF(E35&gt;0, F35/E35, IF(F35&gt;0, 1, 0))</f>
        <v/>
      </c>
      <c r="M35" s="19">
        <f>IF(E35&gt;0, 1.0 - (K35/E35), IF(F35=0, 1, 0))</f>
        <v/>
      </c>
      <c r="N35" s="29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F36-E36</f>
        <v/>
      </c>
      <c r="K36" s="14">
        <f>ABS(F36-E36)</f>
        <v/>
      </c>
      <c r="L36" s="15">
        <f>IF(E36&gt;0, F36/E36, IF(F36&gt;0, 1, 0))</f>
        <v/>
      </c>
      <c r="M36" s="15">
        <f>IF(E36&gt;0, 1.0 - (K36/E36), IF(F36=0, 1, 0))</f>
        <v/>
      </c>
      <c r="N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F37-E37</f>
        <v/>
      </c>
      <c r="K37" s="18">
        <f>ABS(F37-E37)</f>
        <v/>
      </c>
      <c r="L37" s="19">
        <f>IF(E37&gt;0, F37/E37, IF(F37&gt;0, 1, 0))</f>
        <v/>
      </c>
      <c r="M37" s="19">
        <f>IF(E37&gt;0, 1.0 - (K37/E37), IF(F37=0, 1, 0))</f>
        <v/>
      </c>
      <c r="N37" s="29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F38-E38</f>
        <v/>
      </c>
      <c r="K38" s="14">
        <f>ABS(F38-E38)</f>
        <v/>
      </c>
      <c r="L38" s="15">
        <f>IF(E38&gt;0, F38/E38, IF(F38&gt;0, 1, 0))</f>
        <v/>
      </c>
      <c r="M38" s="15">
        <f>IF(E38&gt;0, 1.0 - (K38/E38), IF(F38=0, 1, 0))</f>
        <v/>
      </c>
      <c r="N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F39-E39</f>
        <v/>
      </c>
      <c r="K39" s="18">
        <f>ABS(F39-E39)</f>
        <v/>
      </c>
      <c r="L39" s="19">
        <f>IF(E39&gt;0, F39/E39, IF(F39&gt;0, 1, 0))</f>
        <v/>
      </c>
      <c r="M39" s="19">
        <f>IF(E39&gt;0, 1.0 - (K39/E39), IF(F39=0, 1, 0))</f>
        <v/>
      </c>
      <c r="N39" s="29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F40-E40</f>
        <v/>
      </c>
      <c r="K40" s="14">
        <f>ABS(F40-E40)</f>
        <v/>
      </c>
      <c r="L40" s="15">
        <f>IF(E40&gt;0, F40/E40, IF(F40&gt;0, 1, 0))</f>
        <v/>
      </c>
      <c r="M40" s="15">
        <f>IF(E40&gt;0, 1.0 - (K40/E40), IF(F40=0, 1, 0))</f>
        <v/>
      </c>
      <c r="N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3" t="inlineStr">
        <is>
          <t>282 líneas</t>
        </is>
      </c>
      <c r="D41" s="34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2">
        <f>SUM(K10:K40)</f>
        <v/>
      </c>
      <c r="L41" s="23">
        <f>IF(E41&gt;0, F41/E41, 0)</f>
        <v/>
      </c>
      <c r="M41" s="23">
        <f>IF(E41&gt;0, 1.0 - (K41/E41), 0)</f>
        <v/>
      </c>
      <c r="N41" s="21">
        <f>IF(L41&gt;=1,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N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57,312 u</t>
        </is>
      </c>
      <c r="E6" s="4" t="n"/>
      <c r="F6" s="25" t="inlineStr">
        <is>
          <t>151.5%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Error Abs. (u)</t>
        </is>
      </c>
      <c r="L9" s="11" t="inlineStr">
        <is>
          <t>% Consec.</t>
        </is>
      </c>
      <c r="M9" s="11" t="inlineStr">
        <is>
          <t>Forecast Accuracy</t>
        </is>
      </c>
      <c r="N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4">
        <f>ABS(F10-E10)</f>
        <v/>
      </c>
      <c r="L10" s="15">
        <f>IF(E10&gt;0, F10/E10, IF(F10&gt;0, 1, 0))</f>
        <v/>
      </c>
      <c r="M10" s="15">
        <f>IF(E10&gt;0, 1.0 - (K10/E10), IF(F10=0, 1, 0))</f>
        <v/>
      </c>
      <c r="N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8">
        <f>ABS(F11-E11)</f>
        <v/>
      </c>
      <c r="L11" s="19">
        <f>IF(E11&gt;0, F11/E11, IF(F11&gt;0, 1, 0))</f>
        <v/>
      </c>
      <c r="M11" s="19">
        <f>IF(E11&gt;0, 1.0 - (K11/E11), IF(F11=0, 1, 0))</f>
        <v/>
      </c>
      <c r="N11" s="35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4">
        <f>ABS(F12-E12)</f>
        <v/>
      </c>
      <c r="L12" s="15">
        <f>IF(E12&gt;0, F12/E12, IF(F12&gt;0, 1, 0))</f>
        <v/>
      </c>
      <c r="M12" s="15">
        <f>IF(E12&gt;0, 1.0 - (K12/E12), IF(F12=0, 1, 0))</f>
        <v/>
      </c>
      <c r="N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F13-E13</f>
        <v/>
      </c>
      <c r="K13" s="18">
        <f>ABS(F13-E13)</f>
        <v/>
      </c>
      <c r="L13" s="19">
        <f>IF(E13&gt;0, F13/E13, IF(F13&gt;0, 1, 0))</f>
        <v/>
      </c>
      <c r="M13" s="19">
        <f>IF(E13&gt;0, 1.0 - (K13/E13), IF(F13=0, 1, 0))</f>
        <v/>
      </c>
      <c r="N13" s="29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2200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F14-E14</f>
        <v/>
      </c>
      <c r="K14" s="14">
        <f>ABS(F14-E14)</f>
        <v/>
      </c>
      <c r="L14" s="15">
        <f>IF(E14&gt;0, F14/E14, IF(F14&gt;0, 1, 0))</f>
        <v/>
      </c>
      <c r="M14" s="15">
        <f>IF(E14&gt;0, 1.0 - (K14/E14), IF(F14=0, 1, 0))</f>
        <v/>
      </c>
      <c r="N14" s="32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1920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F15-E15</f>
        <v/>
      </c>
      <c r="K15" s="18">
        <f>ABS(F15-E15)</f>
        <v/>
      </c>
      <c r="L15" s="19">
        <f>IF(E15&gt;0, F15/E15, IF(F15&gt;0, 1, 0))</f>
        <v/>
      </c>
      <c r="M15" s="19">
        <f>IF(E15&gt;0, 1.0 - (K15/E15), IF(F15=0, 1, 0))</f>
        <v/>
      </c>
      <c r="N15" s="32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5000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F16-E16</f>
        <v/>
      </c>
      <c r="K16" s="14">
        <f>ABS(F16-E16)</f>
        <v/>
      </c>
      <c r="L16" s="15">
        <f>IF(E16&gt;0, F16/E16, IF(F16&gt;0, 1, 0))</f>
        <v/>
      </c>
      <c r="M16" s="15">
        <f>IF(E16&gt;0, 1.0 - (K16/E16), IF(F16=0, 1, 0))</f>
        <v/>
      </c>
      <c r="N16" s="36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8">
        <f>ABS(F17-E17)</f>
        <v/>
      </c>
      <c r="L17" s="19">
        <f>IF(E17&gt;0, F17/E17, IF(F17&gt;0, 1, 0))</f>
        <v/>
      </c>
      <c r="M17" s="19">
        <f>IF(E17&gt;0, 1.0 - (K17/E17), IF(F17=0, 1, 0))</f>
        <v/>
      </c>
      <c r="N17" s="35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1100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F18-E18</f>
        <v/>
      </c>
      <c r="K18" s="14">
        <f>ABS(F18-E18)</f>
        <v/>
      </c>
      <c r="L18" s="15">
        <f>IF(E18&gt;0, F18/E18, IF(F18&gt;0, 1, 0))</f>
        <v/>
      </c>
      <c r="M18" s="15">
        <f>IF(E18&gt;0, 1.0 - (K18/E18), IF(F18=0, 1, 0))</f>
        <v/>
      </c>
      <c r="N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200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F19-E19</f>
        <v/>
      </c>
      <c r="K19" s="18">
        <f>ABS(F19-E19)</f>
        <v/>
      </c>
      <c r="L19" s="19">
        <f>IF(E19&gt;0, F19/E19, IF(F19&gt;0, 1, 0))</f>
        <v/>
      </c>
      <c r="M19" s="19">
        <f>IF(E19&gt;0, 1.0 - (K19/E19), IF(F19=0, 1, 0))</f>
        <v/>
      </c>
      <c r="N19" s="35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300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4">
        <f>ABS(F20-E20)</f>
        <v/>
      </c>
      <c r="L20" s="15">
        <f>IF(E20&gt;0, F20/E20, IF(F20&gt;0, 1, 0))</f>
        <v/>
      </c>
      <c r="M20" s="15">
        <f>IF(E20&gt;0, 1.0 - (K20/E20), IF(F20=0, 1, 0))</f>
        <v/>
      </c>
      <c r="N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100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F21-E21</f>
        <v/>
      </c>
      <c r="K21" s="18">
        <f>ABS(F21-E21)</f>
        <v/>
      </c>
      <c r="L21" s="19">
        <f>IF(E21&gt;0, F21/E21, IF(F21&gt;0, 1, 0))</f>
        <v/>
      </c>
      <c r="M21" s="19">
        <f>IF(E21&gt;0, 1.0 - (K21/E21), IF(F21=0, 1, 0))</f>
        <v/>
      </c>
      <c r="N21" s="29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300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F22-E22</f>
        <v/>
      </c>
      <c r="K22" s="14">
        <f>ABS(F22-E22)</f>
        <v/>
      </c>
      <c r="L22" s="15">
        <f>IF(E22&gt;0, F22/E22, IF(F22&gt;0, 1, 0))</f>
        <v/>
      </c>
      <c r="M22" s="15">
        <f>IF(E22&gt;0, 1.0 - (K22/E22), IF(F22=0, 1, 0))</f>
        <v/>
      </c>
      <c r="N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200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F23-E23</f>
        <v/>
      </c>
      <c r="K23" s="18">
        <f>ABS(F23-E23)</f>
        <v/>
      </c>
      <c r="L23" s="19">
        <f>IF(E23&gt;0, F23/E23, IF(F23&gt;0, 1, 0))</f>
        <v/>
      </c>
      <c r="M23" s="19">
        <f>IF(E23&gt;0, 1.0 - (K23/E23), IF(F23=0, 1, 0))</f>
        <v/>
      </c>
      <c r="N23" s="29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200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4">
        <f>ABS(F24-E24)</f>
        <v/>
      </c>
      <c r="L24" s="15">
        <f>IF(E24&gt;0, F24/E24, IF(F24&gt;0, 1, 0))</f>
        <v/>
      </c>
      <c r="M24" s="15">
        <f>IF(E24&gt;0, 1.0 - (K24/E24), IF(F24=0, 1, 0))</f>
        <v/>
      </c>
      <c r="N24" s="35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20000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F25-E25</f>
        <v/>
      </c>
      <c r="K25" s="18">
        <f>ABS(F25-E25)</f>
        <v/>
      </c>
      <c r="L25" s="19">
        <f>IF(E25&gt;0, F25/E25, IF(F25&gt;0, 1, 0))</f>
        <v/>
      </c>
      <c r="M25" s="19">
        <f>IF(E25&gt;0, 1.0 - (K25/E25), IF(F25=0, 1, 0))</f>
        <v/>
      </c>
      <c r="N25" s="29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F26-E26</f>
        <v/>
      </c>
      <c r="K26" s="14">
        <f>ABS(F26-E26)</f>
        <v/>
      </c>
      <c r="L26" s="15">
        <f>IF(E26&gt;0, F26/E26, IF(F26&gt;0, 1, 0))</f>
        <v/>
      </c>
      <c r="M26" s="15">
        <f>IF(E26&gt;0, 1.0 - (K26/E26), IF(F26=0, 1, 0))</f>
        <v/>
      </c>
      <c r="N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F27-E27</f>
        <v/>
      </c>
      <c r="K27" s="18">
        <f>ABS(F27-E27)</f>
        <v/>
      </c>
      <c r="L27" s="19">
        <f>IF(E27&gt;0, F27/E27, IF(F27&gt;0, 1, 0))</f>
        <v/>
      </c>
      <c r="M27" s="19">
        <f>IF(E27&gt;0, 1.0 - (K27/E27), IF(F27=0, 1, 0))</f>
        <v/>
      </c>
      <c r="N27" s="29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F28-E28</f>
        <v/>
      </c>
      <c r="K28" s="14">
        <f>ABS(F28-E28)</f>
        <v/>
      </c>
      <c r="L28" s="15">
        <f>IF(E28&gt;0, F28/E28, IF(F28&gt;0, 1, 0))</f>
        <v/>
      </c>
      <c r="M28" s="15">
        <f>IF(E28&gt;0, 1.0 - (K28/E28), IF(F28=0, 1, 0))</f>
        <v/>
      </c>
      <c r="N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F29-E29</f>
        <v/>
      </c>
      <c r="K29" s="18">
        <f>ABS(F29-E29)</f>
        <v/>
      </c>
      <c r="L29" s="19">
        <f>IF(E29&gt;0, F29/E29, IF(F29&gt;0, 1, 0))</f>
        <v/>
      </c>
      <c r="M29" s="19">
        <f>IF(E29&gt;0, 1.0 - (K29/E29), IF(F29=0, 1, 0))</f>
        <v/>
      </c>
      <c r="N29" s="29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F30-E30</f>
        <v/>
      </c>
      <c r="K30" s="14">
        <f>ABS(F30-E30)</f>
        <v/>
      </c>
      <c r="L30" s="15">
        <f>IF(E30&gt;0, F30/E30, IF(F30&gt;0, 1, 0))</f>
        <v/>
      </c>
      <c r="M30" s="15">
        <f>IF(E30&gt;0, 1.0 - (K30/E30), IF(F30=0, 1, 0))</f>
        <v/>
      </c>
      <c r="N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F31-E31</f>
        <v/>
      </c>
      <c r="K31" s="18">
        <f>ABS(F31-E31)</f>
        <v/>
      </c>
      <c r="L31" s="19">
        <f>IF(E31&gt;0, F31/E31, IF(F31&gt;0, 1, 0))</f>
        <v/>
      </c>
      <c r="M31" s="19">
        <f>IF(E31&gt;0, 1.0 - (K31/E31), IF(F31=0, 1, 0))</f>
        <v/>
      </c>
      <c r="N31" s="29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4">
        <f>ABS(F32-E32)</f>
        <v/>
      </c>
      <c r="L32" s="15">
        <f>IF(E32&gt;0, F32/E32, IF(F32&gt;0, 1, 0))</f>
        <v/>
      </c>
      <c r="M32" s="15">
        <f>IF(E32&gt;0, 1.0 - (K32/E32), IF(F32=0, 1, 0))</f>
        <v/>
      </c>
      <c r="N32" s="35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60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8">
        <f>ABS(F33-E33)</f>
        <v/>
      </c>
      <c r="L33" s="19">
        <f>IF(E33&gt;0, F33/E33, IF(F33&gt;0, 1, 0))</f>
        <v/>
      </c>
      <c r="M33" s="19">
        <f>IF(E33&gt;0, 1.0 - (K33/E33), IF(F33=0, 1, 0))</f>
        <v/>
      </c>
      <c r="N33" s="35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F34-E34</f>
        <v/>
      </c>
      <c r="K34" s="14">
        <f>ABS(F34-E34)</f>
        <v/>
      </c>
      <c r="L34" s="15">
        <f>IF(E34&gt;0, F34/E34, IF(F34&gt;0, 1, 0))</f>
        <v/>
      </c>
      <c r="M34" s="15">
        <f>IF(E34&gt;0, 1.0 - (K34/E34), IF(F34=0, 1, 0))</f>
        <v/>
      </c>
      <c r="N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F35-E35</f>
        <v/>
      </c>
      <c r="K35" s="18">
        <f>ABS(F35-E35)</f>
        <v/>
      </c>
      <c r="L35" s="19">
        <f>IF(E35&gt;0, F35/E35, IF(F35&gt;0, 1, 0))</f>
        <v/>
      </c>
      <c r="M35" s="19">
        <f>IF(E35&gt;0, 1.0 - (K35/E35), IF(F35=0, 1, 0))</f>
        <v/>
      </c>
      <c r="N35" s="29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F36-E36</f>
        <v/>
      </c>
      <c r="K36" s="14">
        <f>ABS(F36-E36)</f>
        <v/>
      </c>
      <c r="L36" s="15">
        <f>IF(E36&gt;0, F36/E36, IF(F36&gt;0, 1, 0))</f>
        <v/>
      </c>
      <c r="M36" s="15">
        <f>IF(E36&gt;0, 1.0 - (K36/E36), IF(F36=0, 1, 0))</f>
        <v/>
      </c>
      <c r="N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F37-E37</f>
        <v/>
      </c>
      <c r="K37" s="18">
        <f>ABS(F37-E37)</f>
        <v/>
      </c>
      <c r="L37" s="19">
        <f>IF(E37&gt;0, F37/E37, IF(F37&gt;0, 1, 0))</f>
        <v/>
      </c>
      <c r="M37" s="19">
        <f>IF(E37&gt;0, 1.0 - (K37/E37), IF(F37=0, 1, 0))</f>
        <v/>
      </c>
      <c r="N37" s="29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F38-E38</f>
        <v/>
      </c>
      <c r="K38" s="14">
        <f>ABS(F38-E38)</f>
        <v/>
      </c>
      <c r="L38" s="15">
        <f>IF(E38&gt;0, F38/E38, IF(F38&gt;0, 1, 0))</f>
        <v/>
      </c>
      <c r="M38" s="15">
        <f>IF(E38&gt;0, 1.0 - (K38/E38), IF(F38=0, 1, 0))</f>
        <v/>
      </c>
      <c r="N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F39-E39</f>
        <v/>
      </c>
      <c r="K39" s="18">
        <f>ABS(F39-E39)</f>
        <v/>
      </c>
      <c r="L39" s="19">
        <f>IF(E39&gt;0, F39/E39, IF(F39&gt;0, 1, 0))</f>
        <v/>
      </c>
      <c r="M39" s="19">
        <f>IF(E39&gt;0, 1.0 - (K39/E39), IF(F39=0, 1, 0))</f>
        <v/>
      </c>
      <c r="N39" s="29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F40-E40</f>
        <v/>
      </c>
      <c r="K40" s="14">
        <f>ABS(F40-E40)</f>
        <v/>
      </c>
      <c r="L40" s="15">
        <f>IF(E40&gt;0, F40/E40, IF(F40&gt;0, 1, 0))</f>
        <v/>
      </c>
      <c r="M40" s="15">
        <f>IF(E40&gt;0, 1.0 - (K40/E40), IF(F40=0, 1, 0))</f>
        <v/>
      </c>
      <c r="N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F41-E41</f>
        <v/>
      </c>
      <c r="K41" s="18">
        <f>ABS(F41-E41)</f>
        <v/>
      </c>
      <c r="L41" s="19">
        <f>IF(E41&gt;0, F41/E41, IF(F41&gt;0, 1, 0))</f>
        <v/>
      </c>
      <c r="M41" s="19">
        <f>IF(E41&gt;0, 1.0 - (K41/E41), IF(F41=0, 1, 0))</f>
        <v/>
      </c>
      <c r="N41" s="29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F42-E42</f>
        <v/>
      </c>
      <c r="K42" s="14">
        <f>ABS(F42-E42)</f>
        <v/>
      </c>
      <c r="L42" s="15">
        <f>IF(E42&gt;0, F42/E42, IF(F42&gt;0, 1, 0))</f>
        <v/>
      </c>
      <c r="M42" s="15">
        <f>IF(E42&gt;0, 1.0 - (K42/E42), IF(F42=0, 1, 0))</f>
        <v/>
      </c>
      <c r="N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F43-E43</f>
        <v/>
      </c>
      <c r="K43" s="18">
        <f>ABS(F43-E43)</f>
        <v/>
      </c>
      <c r="L43" s="19">
        <f>IF(E43&gt;0, F43/E43, IF(F43&gt;0, 1, 0))</f>
        <v/>
      </c>
      <c r="M43" s="19">
        <f>IF(E43&gt;0, 1.0 - (K43/E43), IF(F43=0, 1, 0))</f>
        <v/>
      </c>
      <c r="N43" s="29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F44-E44</f>
        <v/>
      </c>
      <c r="K44" s="14">
        <f>ABS(F44-E44)</f>
        <v/>
      </c>
      <c r="L44" s="15">
        <f>IF(E44&gt;0, F44/E44, IF(F44&gt;0, 1, 0))</f>
        <v/>
      </c>
      <c r="M44" s="15">
        <f>IF(E44&gt;0, 1.0 - (K44/E44), IF(F44=0, 1, 0))</f>
        <v/>
      </c>
      <c r="N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200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F45-E45</f>
        <v/>
      </c>
      <c r="K45" s="18">
        <f>ABS(F45-E45)</f>
        <v/>
      </c>
      <c r="L45" s="19">
        <f>IF(E45&gt;0, F45/E45, IF(F45&gt;0, 1, 0))</f>
        <v/>
      </c>
      <c r="M45" s="19">
        <f>IF(E45&gt;0, 1.0 - (K45/E45), IF(F45=0, 1, 0))</f>
        <v/>
      </c>
      <c r="N45" s="35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F46-E46</f>
        <v/>
      </c>
      <c r="K46" s="14">
        <f>ABS(F46-E46)</f>
        <v/>
      </c>
      <c r="L46" s="15">
        <f>IF(E46&gt;0, F46/E46, IF(F46&gt;0, 1, 0))</f>
        <v/>
      </c>
      <c r="M46" s="15">
        <f>IF(E46&gt;0, 1.0 - (K46/E46), IF(F46=0, 1, 0))</f>
        <v/>
      </c>
      <c r="N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100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F47-E47</f>
        <v/>
      </c>
      <c r="K47" s="18">
        <f>ABS(F47-E47)</f>
        <v/>
      </c>
      <c r="L47" s="19">
        <f>IF(E47&gt;0, F47/E47, IF(F47&gt;0, 1, 0))</f>
        <v/>
      </c>
      <c r="M47" s="19">
        <f>IF(E47&gt;0, 1.0 - (K47/E47), IF(F47=0, 1, 0))</f>
        <v/>
      </c>
      <c r="N47" s="29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12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F48-E48</f>
        <v/>
      </c>
      <c r="K48" s="14">
        <f>ABS(F48-E48)</f>
        <v/>
      </c>
      <c r="L48" s="15">
        <f>IF(E48&gt;0, F48/E48, IF(F48&gt;0, 1, 0))</f>
        <v/>
      </c>
      <c r="M48" s="15">
        <f>IF(E48&gt;0, 1.0 - (K48/E48), IF(F48=0, 1, 0))</f>
        <v/>
      </c>
      <c r="N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300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F49-E49</f>
        <v/>
      </c>
      <c r="K49" s="18">
        <f>ABS(F49-E49)</f>
        <v/>
      </c>
      <c r="L49" s="19">
        <f>IF(E49&gt;0, F49/E49, IF(F49&gt;0, 1, 0))</f>
        <v/>
      </c>
      <c r="M49" s="19">
        <f>IF(E49&gt;0, 1.0 - (K49/E49), IF(F49=0, 1, 0))</f>
        <v/>
      </c>
      <c r="N49" s="35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F50-E50</f>
        <v/>
      </c>
      <c r="K50" s="14">
        <f>ABS(F50-E50)</f>
        <v/>
      </c>
      <c r="L50" s="15">
        <f>IF(E50&gt;0, F50/E50, IF(F50&gt;0, 1, 0))</f>
        <v/>
      </c>
      <c r="M50" s="15">
        <f>IF(E50&gt;0, 1.0 - (K50/E50), IF(F50=0, 1, 0))</f>
        <v/>
      </c>
      <c r="N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F51-E51</f>
        <v/>
      </c>
      <c r="K51" s="18">
        <f>ABS(F51-E51)</f>
        <v/>
      </c>
      <c r="L51" s="19">
        <f>IF(E51&gt;0, F51/E51, IF(F51&gt;0, 1, 0))</f>
        <v/>
      </c>
      <c r="M51" s="19">
        <f>IF(E51&gt;0, 1.0 - (K51/E51), IF(F51=0, 1, 0))</f>
        <v/>
      </c>
      <c r="N51" s="29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300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F52-E52</f>
        <v/>
      </c>
      <c r="K52" s="14">
        <f>ABS(F52-E52)</f>
        <v/>
      </c>
      <c r="L52" s="15">
        <f>IF(E52&gt;0, F52/E52, IF(F52&gt;0, 1, 0))</f>
        <v/>
      </c>
      <c r="M52" s="15">
        <f>IF(E52&gt;0, 1.0 - (K52/E52), IF(F52=0, 1, 0))</f>
        <v/>
      </c>
      <c r="N52" s="32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100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F53-E53</f>
        <v/>
      </c>
      <c r="K53" s="18">
        <f>ABS(F53-E53)</f>
        <v/>
      </c>
      <c r="L53" s="19">
        <f>IF(E53&gt;0, F53/E53, IF(F53&gt;0, 1, 0))</f>
        <v/>
      </c>
      <c r="M53" s="19">
        <f>IF(E53&gt;0, 1.0 - (K53/E53), IF(F53=0, 1, 0))</f>
        <v/>
      </c>
      <c r="N53" s="29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F54-E54</f>
        <v/>
      </c>
      <c r="K54" s="14">
        <f>ABS(F54-E54)</f>
        <v/>
      </c>
      <c r="L54" s="15">
        <f>IF(E54&gt;0, F54/E54, IF(F54&gt;0, 1, 0))</f>
        <v/>
      </c>
      <c r="M54" s="15">
        <f>IF(E54&gt;0, 1.0 - (K54/E54), IF(F54=0, 1, 0))</f>
        <v/>
      </c>
      <c r="N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1100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F55-E55</f>
        <v/>
      </c>
      <c r="K55" s="18">
        <f>ABS(F55-E55)</f>
        <v/>
      </c>
      <c r="L55" s="19">
        <f>IF(E55&gt;0, F55/E55, IF(F55&gt;0, 1, 0))</f>
        <v/>
      </c>
      <c r="M55" s="19">
        <f>IF(E55&gt;0, 1.0 - (K55/E55), IF(F55=0, 1, 0))</f>
        <v/>
      </c>
      <c r="N55" s="29" t="inlineStr">
        <is>
          <t>Superado</t>
        </is>
      </c>
    </row>
    <row r="56" ht="24" customHeight="1">
      <c r="B56" s="20" t="inlineStr">
        <is>
          <t>TOTAL GARCÍA</t>
        </is>
      </c>
      <c r="C56" s="33" t="inlineStr">
        <is>
          <t>235 líneas</t>
        </is>
      </c>
      <c r="D56" s="34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2">
        <f>SUM(K10:K55)</f>
        <v/>
      </c>
      <c r="L56" s="23">
        <f>IF(E56&gt;0, F56/E56, 0)</f>
        <v/>
      </c>
      <c r="M56" s="23">
        <f>IF(E56&gt;0, 1.0 - (K56/E56), 0)</f>
        <v/>
      </c>
      <c r="N56" s="21">
        <f>IF(L56&gt;=1,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5" t="inlineStr">
        <is>
          <t>23,674 u</t>
        </is>
      </c>
      <c r="E6" s="4" t="n"/>
      <c r="F6" s="25" t="inlineStr">
        <is>
          <t>108.0%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Error Abs. (u)</t>
        </is>
      </c>
      <c r="L9" s="11" t="inlineStr">
        <is>
          <t>% Consec.</t>
        </is>
      </c>
      <c r="M9" s="11" t="inlineStr">
        <is>
          <t>Forecast Accuracy</t>
        </is>
      </c>
      <c r="N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F10-E10</f>
        <v/>
      </c>
      <c r="K10" s="14">
        <f>ABS(F10-E10)</f>
        <v/>
      </c>
      <c r="L10" s="15">
        <f>IF(E10&gt;0, F10/E10, IF(F10&gt;0, 1, 0))</f>
        <v/>
      </c>
      <c r="M10" s="15">
        <f>IF(E10&gt;0, 1.0 - (K10/E10), IF(F10=0, 1, 0))</f>
        <v/>
      </c>
      <c r="N10" s="32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F11-E11</f>
        <v/>
      </c>
      <c r="K11" s="18">
        <f>ABS(F11-E11)</f>
        <v/>
      </c>
      <c r="L11" s="19">
        <f>IF(E11&gt;0, F11/E11, IF(F11&gt;0, 1, 0))</f>
        <v/>
      </c>
      <c r="M11" s="19">
        <f>IF(E11&gt;0, 1.0 - (K11/E11), IF(F11=0, 1, 0))</f>
        <v/>
      </c>
      <c r="N11" s="29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1920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F12-E12</f>
        <v/>
      </c>
      <c r="K12" s="14">
        <f>ABS(F12-E12)</f>
        <v/>
      </c>
      <c r="L12" s="15">
        <f>IF(E12&gt;0, F12/E12, IF(F12&gt;0, 1, 0))</f>
        <v/>
      </c>
      <c r="M12" s="15">
        <f>IF(E12&gt;0, 1.0 - (K12/E12), IF(F12=0, 1, 0))</f>
        <v/>
      </c>
      <c r="N12" s="36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300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8">
        <f>ABS(F13-E13)</f>
        <v/>
      </c>
      <c r="L13" s="19">
        <f>IF(E13&gt;0, F13/E13, IF(F13&gt;0, 1, 0))</f>
        <v/>
      </c>
      <c r="M13" s="19">
        <f>IF(E13&gt;0, 1.0 - (K13/E13), IF(F13=0, 1, 0))</f>
        <v/>
      </c>
      <c r="N13" s="35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960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F14-E14</f>
        <v/>
      </c>
      <c r="K14" s="14">
        <f>ABS(F14-E14)</f>
        <v/>
      </c>
      <c r="L14" s="15">
        <f>IF(E14&gt;0, F14/E14, IF(F14&gt;0, 1, 0))</f>
        <v/>
      </c>
      <c r="M14" s="15">
        <f>IF(E14&gt;0, 1.0 - (K14/E14), IF(F14=0, 1, 0))</f>
        <v/>
      </c>
      <c r="N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F15-E15</f>
        <v/>
      </c>
      <c r="K15" s="18">
        <f>ABS(F15-E15)</f>
        <v/>
      </c>
      <c r="L15" s="19">
        <f>IF(E15&gt;0, F15/E15, IF(F15&gt;0, 1, 0))</f>
        <v/>
      </c>
      <c r="M15" s="19">
        <f>IF(E15&gt;0, 1.0 - (K15/E15), IF(F15=0, 1, 0))</f>
        <v/>
      </c>
      <c r="N15" s="29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4">
        <f>ABS(F16-E16)</f>
        <v/>
      </c>
      <c r="L16" s="15">
        <f>IF(E16&gt;0, F16/E16, IF(F16&gt;0, 1, 0))</f>
        <v/>
      </c>
      <c r="M16" s="15">
        <f>IF(E16&gt;0, 1.0 - (K16/E16), IF(F16=0, 1, 0))</f>
        <v/>
      </c>
      <c r="N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8">
        <f>ABS(F17-E17)</f>
        <v/>
      </c>
      <c r="L17" s="19">
        <f>IF(E17&gt;0, F17/E17, IF(F17&gt;0, 1, 0))</f>
        <v/>
      </c>
      <c r="M17" s="19">
        <f>IF(E17&gt;0, 1.0 - (K17/E17), IF(F17=0, 1, 0))</f>
        <v/>
      </c>
      <c r="N17" s="35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F18-E18</f>
        <v/>
      </c>
      <c r="K18" s="14">
        <f>ABS(F18-E18)</f>
        <v/>
      </c>
      <c r="L18" s="15">
        <f>IF(E18&gt;0, F18/E18, IF(F18&gt;0, 1, 0))</f>
        <v/>
      </c>
      <c r="M18" s="15">
        <f>IF(E18&gt;0, 1.0 - (K18/E18), IF(F18=0, 1, 0))</f>
        <v/>
      </c>
      <c r="N18" s="32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F19-E19</f>
        <v/>
      </c>
      <c r="K19" s="18">
        <f>ABS(F19-E19)</f>
        <v/>
      </c>
      <c r="L19" s="19">
        <f>IF(E19&gt;0, F19/E19, IF(F19&gt;0, 1, 0))</f>
        <v/>
      </c>
      <c r="M19" s="19">
        <f>IF(E19&gt;0, 1.0 - (K19/E19), IF(F19=0, 1, 0))</f>
        <v/>
      </c>
      <c r="N19" s="29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F20-E20</f>
        <v/>
      </c>
      <c r="K20" s="14">
        <f>ABS(F20-E20)</f>
        <v/>
      </c>
      <c r="L20" s="15">
        <f>IF(E20&gt;0, F20/E20, IF(F20&gt;0, 1, 0))</f>
        <v/>
      </c>
      <c r="M20" s="15">
        <f>IF(E20&gt;0, 1.0 - (K20/E20), IF(F20=0, 1, 0))</f>
        <v/>
      </c>
      <c r="N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F21-E21</f>
        <v/>
      </c>
      <c r="K21" s="18">
        <f>ABS(F21-E21)</f>
        <v/>
      </c>
      <c r="L21" s="19">
        <f>IF(E21&gt;0, F21/E21, IF(F21&gt;0, 1, 0))</f>
        <v/>
      </c>
      <c r="M21" s="19">
        <f>IF(E21&gt;0, 1.0 - (K21/E21), IF(F21=0, 1, 0))</f>
        <v/>
      </c>
      <c r="N21" s="29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F22-E22</f>
        <v/>
      </c>
      <c r="K22" s="14">
        <f>ABS(F22-E22)</f>
        <v/>
      </c>
      <c r="L22" s="15">
        <f>IF(E22&gt;0, F22/E22, IF(F22&gt;0, 1, 0))</f>
        <v/>
      </c>
      <c r="M22" s="15">
        <f>IF(E22&gt;0, 1.0 - (K22/E22), IF(F22=0, 1, 0))</f>
        <v/>
      </c>
      <c r="N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F23-E23</f>
        <v/>
      </c>
      <c r="K23" s="18">
        <f>ABS(F23-E23)</f>
        <v/>
      </c>
      <c r="L23" s="19">
        <f>IF(E23&gt;0, F23/E23, IF(F23&gt;0, 1, 0))</f>
        <v/>
      </c>
      <c r="M23" s="19">
        <f>IF(E23&gt;0, 1.0 - (K23/E23), IF(F23=0, 1, 0))</f>
        <v/>
      </c>
      <c r="N23" s="29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F24-E24</f>
        <v/>
      </c>
      <c r="K24" s="14">
        <f>ABS(F24-E24)</f>
        <v/>
      </c>
      <c r="L24" s="15">
        <f>IF(E24&gt;0, F24/E24, IF(F24&gt;0, 1, 0))</f>
        <v/>
      </c>
      <c r="M24" s="15">
        <f>IF(E24&gt;0, 1.0 - (K24/E24), IF(F24=0, 1, 0))</f>
        <v/>
      </c>
      <c r="N24" s="36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8">
        <f>ABS(F25-E25)</f>
        <v/>
      </c>
      <c r="L25" s="19">
        <f>IF(E25&gt;0, F25/E25, IF(F25&gt;0, 1, 0))</f>
        <v/>
      </c>
      <c r="M25" s="19">
        <f>IF(E25&gt;0, 1.0 - (K25/E25), IF(F25=0, 1, 0))</f>
        <v/>
      </c>
      <c r="N25" s="35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F26-E26</f>
        <v/>
      </c>
      <c r="K26" s="14">
        <f>ABS(F26-E26)</f>
        <v/>
      </c>
      <c r="L26" s="15">
        <f>IF(E26&gt;0, F26/E26, IF(F26&gt;0, 1, 0))</f>
        <v/>
      </c>
      <c r="M26" s="15">
        <f>IF(E26&gt;0, 1.0 - (K26/E26), IF(F26=0, 1, 0))</f>
        <v/>
      </c>
      <c r="N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F27-E27</f>
        <v/>
      </c>
      <c r="K27" s="18">
        <f>ABS(F27-E27)</f>
        <v/>
      </c>
      <c r="L27" s="19">
        <f>IF(E27&gt;0, F27/E27, IF(F27&gt;0, 1, 0))</f>
        <v/>
      </c>
      <c r="M27" s="19">
        <f>IF(E27&gt;0, 1.0 - (K27/E27), IF(F27=0, 1, 0))</f>
        <v/>
      </c>
      <c r="N27" s="35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F28-E28</f>
        <v/>
      </c>
      <c r="K28" s="14">
        <f>ABS(F28-E28)</f>
        <v/>
      </c>
      <c r="L28" s="15">
        <f>IF(E28&gt;0, F28/E28, IF(F28&gt;0, 1, 0))</f>
        <v/>
      </c>
      <c r="M28" s="15">
        <f>IF(E28&gt;0, 1.0 - (K28/E28), IF(F28=0, 1, 0))</f>
        <v/>
      </c>
      <c r="N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1200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F29-E29</f>
        <v/>
      </c>
      <c r="K29" s="18">
        <f>ABS(F29-E29)</f>
        <v/>
      </c>
      <c r="L29" s="19">
        <f>IF(E29&gt;0, F29/E29, IF(F29&gt;0, 1, 0))</f>
        <v/>
      </c>
      <c r="M29" s="19">
        <f>IF(E29&gt;0, 1.0 - (K29/E29), IF(F29=0, 1, 0))</f>
        <v/>
      </c>
      <c r="N29" s="35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200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F30-E30</f>
        <v/>
      </c>
      <c r="K30" s="14">
        <f>ABS(F30-E30)</f>
        <v/>
      </c>
      <c r="L30" s="15">
        <f>IF(E30&gt;0, F30/E30, IF(F30&gt;0, 1, 0))</f>
        <v/>
      </c>
      <c r="M30" s="15">
        <f>IF(E30&gt;0, 1.0 - (K30/E30), IF(F30=0, 1, 0))</f>
        <v/>
      </c>
      <c r="N30" s="35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300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F31-E31</f>
        <v/>
      </c>
      <c r="K31" s="18">
        <f>ABS(F31-E31)</f>
        <v/>
      </c>
      <c r="L31" s="19">
        <f>IF(E31&gt;0, F31/E31, IF(F31&gt;0, 1, 0))</f>
        <v/>
      </c>
      <c r="M31" s="19">
        <f>IF(E31&gt;0, 1.0 - (K31/E31), IF(F31=0, 1, 0))</f>
        <v/>
      </c>
      <c r="N31" s="35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640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4">
        <f>ABS(F32-E32)</f>
        <v/>
      </c>
      <c r="L32" s="15">
        <f>IF(E32&gt;0, F32/E32, IF(F32&gt;0, 1, 0))</f>
        <v/>
      </c>
      <c r="M32" s="15">
        <f>IF(E32&gt;0, 1.0 - (K32/E32), IF(F32=0, 1, 0))</f>
        <v/>
      </c>
      <c r="N32" s="35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1280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8">
        <f>ABS(F33-E33)</f>
        <v/>
      </c>
      <c r="L33" s="19">
        <f>IF(E33&gt;0, F33/E33, IF(F33&gt;0, 1, 0))</f>
        <v/>
      </c>
      <c r="M33" s="19">
        <f>IF(E33&gt;0, 1.0 - (K33/E33), IF(F33=0, 1, 0))</f>
        <v/>
      </c>
      <c r="N33" s="35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100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F34-E34</f>
        <v/>
      </c>
      <c r="K34" s="14">
        <f>ABS(F34-E34)</f>
        <v/>
      </c>
      <c r="L34" s="15">
        <f>IF(E34&gt;0, F34/E34, IF(F34&gt;0, 1, 0))</f>
        <v/>
      </c>
      <c r="M34" s="15">
        <f>IF(E34&gt;0, 1.0 - (K34/E34), IF(F34=0, 1, 0))</f>
        <v/>
      </c>
      <c r="N34" s="35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1240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F35-E35</f>
        <v/>
      </c>
      <c r="K35" s="18">
        <f>ABS(F35-E35)</f>
        <v/>
      </c>
      <c r="L35" s="19">
        <f>IF(E35&gt;0, F35/E35, IF(F35&gt;0, 1, 0))</f>
        <v/>
      </c>
      <c r="M35" s="19">
        <f>IF(E35&gt;0, 1.0 - (K35/E35), IF(F35=0, 1, 0))</f>
        <v/>
      </c>
      <c r="N35" s="35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F36-E36</f>
        <v/>
      </c>
      <c r="K36" s="14">
        <f>ABS(F36-E36)</f>
        <v/>
      </c>
      <c r="L36" s="15">
        <f>IF(E36&gt;0, F36/E36, IF(F36&gt;0, 1, 0))</f>
        <v/>
      </c>
      <c r="M36" s="15">
        <f>IF(E36&gt;0, 1.0 - (K36/E36), IF(F36=0, 1, 0))</f>
        <v/>
      </c>
      <c r="N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50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F37-E37</f>
        <v/>
      </c>
      <c r="K37" s="18">
        <f>ABS(F37-E37)</f>
        <v/>
      </c>
      <c r="L37" s="19">
        <f>IF(E37&gt;0, F37/E37, IF(F37&gt;0, 1, 0))</f>
        <v/>
      </c>
      <c r="M37" s="19">
        <f>IF(E37&gt;0, 1.0 - (K37/E37), IF(F37=0, 1, 0))</f>
        <v/>
      </c>
      <c r="N37" s="29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200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F38-E38</f>
        <v/>
      </c>
      <c r="K38" s="14">
        <f>ABS(F38-E38)</f>
        <v/>
      </c>
      <c r="L38" s="15">
        <f>IF(E38&gt;0, F38/E38, IF(F38&gt;0, 1, 0))</f>
        <v/>
      </c>
      <c r="M38" s="15">
        <f>IF(E38&gt;0, 1.0 - (K38/E38), IF(F38=0, 1, 0))</f>
        <v/>
      </c>
      <c r="N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640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F39-E39</f>
        <v/>
      </c>
      <c r="K39" s="18">
        <f>ABS(F39-E39)</f>
        <v/>
      </c>
      <c r="L39" s="19">
        <f>IF(E39&gt;0, F39/E39, IF(F39&gt;0, 1, 0))</f>
        <v/>
      </c>
      <c r="M39" s="19">
        <f>IF(E39&gt;0, 1.0 - (K39/E39), IF(F39=0, 1, 0))</f>
        <v/>
      </c>
      <c r="N39" s="29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80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F40-E40</f>
        <v/>
      </c>
      <c r="K40" s="14">
        <f>ABS(F40-E40)</f>
        <v/>
      </c>
      <c r="L40" s="15">
        <f>IF(E40&gt;0, F40/E40, IF(F40&gt;0, 1, 0))</f>
        <v/>
      </c>
      <c r="M40" s="15">
        <f>IF(E40&gt;0, 1.0 - (K40/E40), IF(F40=0, 1, 0))</f>
        <v/>
      </c>
      <c r="N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600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F41-E41</f>
        <v/>
      </c>
      <c r="K41" s="18">
        <f>ABS(F41-E41)</f>
        <v/>
      </c>
      <c r="L41" s="19">
        <f>IF(E41&gt;0, F41/E41, IF(F41&gt;0, 1, 0))</f>
        <v/>
      </c>
      <c r="M41" s="19">
        <f>IF(E41&gt;0, 1.0 - (K41/E41), IF(F41=0, 1, 0))</f>
        <v/>
      </c>
      <c r="N41" s="29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36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F42-E42</f>
        <v/>
      </c>
      <c r="K42" s="14">
        <f>ABS(F42-E42)</f>
        <v/>
      </c>
      <c r="L42" s="15">
        <f>IF(E42&gt;0, F42/E42, IF(F42&gt;0, 1, 0))</f>
        <v/>
      </c>
      <c r="M42" s="15">
        <f>IF(E42&gt;0, 1.0 - (K42/E42), IF(F42=0, 1, 0))</f>
        <v/>
      </c>
      <c r="N42" s="35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800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F43-E43</f>
        <v/>
      </c>
      <c r="K43" s="18">
        <f>ABS(F43-E43)</f>
        <v/>
      </c>
      <c r="L43" s="19">
        <f>IF(E43&gt;0, F43/E43, IF(F43&gt;0, 1, 0))</f>
        <v/>
      </c>
      <c r="M43" s="19">
        <f>IF(E43&gt;0, 1.0 - (K43/E43), IF(F43=0, 1, 0))</f>
        <v/>
      </c>
      <c r="N43" s="29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F44-E44</f>
        <v/>
      </c>
      <c r="K44" s="14">
        <f>ABS(F44-E44)</f>
        <v/>
      </c>
      <c r="L44" s="15">
        <f>IF(E44&gt;0, F44/E44, IF(F44&gt;0, 1, 0))</f>
        <v/>
      </c>
      <c r="M44" s="15">
        <f>IF(E44&gt;0, 1.0 - (K44/E44), IF(F44=0, 1, 0))</f>
        <v/>
      </c>
      <c r="N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F45-E45</f>
        <v/>
      </c>
      <c r="K45" s="18">
        <f>ABS(F45-E45)</f>
        <v/>
      </c>
      <c r="L45" s="19">
        <f>IF(E45&gt;0, F45/E45, IF(F45&gt;0, 1, 0))</f>
        <v/>
      </c>
      <c r="M45" s="19">
        <f>IF(E45&gt;0, 1.0 - (K45/E45), IF(F45=0, 1, 0))</f>
        <v/>
      </c>
      <c r="N45" s="29" t="inlineStr">
        <is>
          <t>Extra Estimación</t>
        </is>
      </c>
    </row>
    <row r="46" ht="24" customHeight="1">
      <c r="B46" s="20" t="inlineStr">
        <is>
          <t>TOTAL IRENE</t>
        </is>
      </c>
      <c r="C46" s="33" t="inlineStr">
        <is>
          <t>89 líneas</t>
        </is>
      </c>
      <c r="D46" s="34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2">
        <f>SUM(K10:K45)</f>
        <v/>
      </c>
      <c r="L46" s="23">
        <f>IF(E46&gt;0, F46/E46, 0)</f>
        <v/>
      </c>
      <c r="M46" s="23">
        <f>IF(E46&gt;0, 1.0 - (K46/E46), 0)</f>
        <v/>
      </c>
      <c r="N46" s="21">
        <f>IF(L46&gt;=1,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5" t="inlineStr">
        <is>
          <t>47,049 u</t>
        </is>
      </c>
      <c r="E6" s="4" t="n"/>
      <c r="F6" s="25" t="inlineStr">
        <is>
          <t>275.1%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Error Abs. (u)</t>
        </is>
      </c>
      <c r="L9" s="11" t="inlineStr">
        <is>
          <t>% Consec.</t>
        </is>
      </c>
      <c r="M9" s="11" t="inlineStr">
        <is>
          <t>Forecast Accuracy</t>
        </is>
      </c>
      <c r="N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1600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F10-E10</f>
        <v/>
      </c>
      <c r="K10" s="14">
        <f>ABS(F10-E10)</f>
        <v/>
      </c>
      <c r="L10" s="15">
        <f>IF(E10&gt;0, F10/E10, IF(F10&gt;0, 1, 0))</f>
        <v/>
      </c>
      <c r="M10" s="15">
        <f>IF(E10&gt;0, 1.0 - (K10/E10), IF(F10=0, 1, 0))</f>
        <v/>
      </c>
      <c r="N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F11-E11</f>
        <v/>
      </c>
      <c r="K11" s="18">
        <f>ABS(F11-E11)</f>
        <v/>
      </c>
      <c r="L11" s="19">
        <f>IF(E11&gt;0, F11/E11, IF(F11&gt;0, 1, 0))</f>
        <v/>
      </c>
      <c r="M11" s="19">
        <f>IF(E11&gt;0, 1.0 - (K11/E11), IF(F11=0, 1, 0))</f>
        <v/>
      </c>
      <c r="N11" s="29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1100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F12-E12</f>
        <v/>
      </c>
      <c r="K12" s="14">
        <f>ABS(F12-E12)</f>
        <v/>
      </c>
      <c r="L12" s="15">
        <f>IF(E12&gt;0, F12/E12, IF(F12&gt;0, 1, 0))</f>
        <v/>
      </c>
      <c r="M12" s="15">
        <f>IF(E12&gt;0, 1.0 - (K12/E12), IF(F12=0, 1, 0))</f>
        <v/>
      </c>
      <c r="N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F13-E13</f>
        <v/>
      </c>
      <c r="K13" s="18">
        <f>ABS(F13-E13)</f>
        <v/>
      </c>
      <c r="L13" s="19">
        <f>IF(E13&gt;0, F13/E13, IF(F13&gt;0, 1, 0))</f>
        <v/>
      </c>
      <c r="M13" s="19">
        <f>IF(E13&gt;0, 1.0 - (K13/E13), IF(F13=0, 1, 0))</f>
        <v/>
      </c>
      <c r="N13" s="29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F14-E14</f>
        <v/>
      </c>
      <c r="K14" s="14">
        <f>ABS(F14-E14)</f>
        <v/>
      </c>
      <c r="L14" s="15">
        <f>IF(E14&gt;0, F14/E14, IF(F14&gt;0, 1, 0))</f>
        <v/>
      </c>
      <c r="M14" s="15">
        <f>IF(E14&gt;0, 1.0 - (K14/E14), IF(F14=0, 1, 0))</f>
        <v/>
      </c>
      <c r="N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F15-E15</f>
        <v/>
      </c>
      <c r="K15" s="18">
        <f>ABS(F15-E15)</f>
        <v/>
      </c>
      <c r="L15" s="19">
        <f>IF(E15&gt;0, F15/E15, IF(F15&gt;0, 1, 0))</f>
        <v/>
      </c>
      <c r="M15" s="19">
        <f>IF(E15&gt;0, 1.0 - (K15/E15), IF(F15=0, 1, 0))</f>
        <v/>
      </c>
      <c r="N15" s="29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F16-E16</f>
        <v/>
      </c>
      <c r="K16" s="14">
        <f>ABS(F16-E16)</f>
        <v/>
      </c>
      <c r="L16" s="15">
        <f>IF(E16&gt;0, F16/E16, IF(F16&gt;0, 1, 0))</f>
        <v/>
      </c>
      <c r="M16" s="15">
        <f>IF(E16&gt;0, 1.0 - (K16/E16), IF(F16=0, 1, 0))</f>
        <v/>
      </c>
      <c r="N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F17-E17</f>
        <v/>
      </c>
      <c r="K17" s="18">
        <f>ABS(F17-E17)</f>
        <v/>
      </c>
      <c r="L17" s="19">
        <f>IF(E17&gt;0, F17/E17, IF(F17&gt;0, 1, 0))</f>
        <v/>
      </c>
      <c r="M17" s="19">
        <f>IF(E17&gt;0, 1.0 - (K17/E17), IF(F17=0, 1, 0))</f>
        <v/>
      </c>
      <c r="N17" s="29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F18-E18</f>
        <v/>
      </c>
      <c r="K18" s="14">
        <f>ABS(F18-E18)</f>
        <v/>
      </c>
      <c r="L18" s="15">
        <f>IF(E18&gt;0, F18/E18, IF(F18&gt;0, 1, 0))</f>
        <v/>
      </c>
      <c r="M18" s="15">
        <f>IF(E18&gt;0, 1.0 - (K18/E18), IF(F18=0, 1, 0))</f>
        <v/>
      </c>
      <c r="N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F19-E19</f>
        <v/>
      </c>
      <c r="K19" s="18">
        <f>ABS(F19-E19)</f>
        <v/>
      </c>
      <c r="L19" s="19">
        <f>IF(E19&gt;0, F19/E19, IF(F19&gt;0, 1, 0))</f>
        <v/>
      </c>
      <c r="M19" s="19">
        <f>IF(E19&gt;0, 1.0 - (K19/E19), IF(F19=0, 1, 0))</f>
        <v/>
      </c>
      <c r="N19" s="29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F20-E20</f>
        <v/>
      </c>
      <c r="K20" s="14">
        <f>ABS(F20-E20)</f>
        <v/>
      </c>
      <c r="L20" s="15">
        <f>IF(E20&gt;0, F20/E20, IF(F20&gt;0, 1, 0))</f>
        <v/>
      </c>
      <c r="M20" s="15">
        <f>IF(E20&gt;0, 1.0 - (K20/E20), IF(F20=0, 1, 0))</f>
        <v/>
      </c>
      <c r="N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F21-E21</f>
        <v/>
      </c>
      <c r="K21" s="18">
        <f>ABS(F21-E21)</f>
        <v/>
      </c>
      <c r="L21" s="19">
        <f>IF(E21&gt;0, F21/E21, IF(F21&gt;0, 1, 0))</f>
        <v/>
      </c>
      <c r="M21" s="19">
        <f>IF(E21&gt;0, 1.0 - (K21/E21), IF(F21=0, 1, 0))</f>
        <v/>
      </c>
      <c r="N21" s="29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F22-E22</f>
        <v/>
      </c>
      <c r="K22" s="14">
        <f>ABS(F22-E22)</f>
        <v/>
      </c>
      <c r="L22" s="15">
        <f>IF(E22&gt;0, F22/E22, IF(F22&gt;0, 1, 0))</f>
        <v/>
      </c>
      <c r="M22" s="15">
        <f>IF(E22&gt;0, 1.0 - (K22/E22), IF(F22=0, 1, 0))</f>
        <v/>
      </c>
      <c r="N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F23-E23</f>
        <v/>
      </c>
      <c r="K23" s="18">
        <f>ABS(F23-E23)</f>
        <v/>
      </c>
      <c r="L23" s="19">
        <f>IF(E23&gt;0, F23/E23, IF(F23&gt;0, 1, 0))</f>
        <v/>
      </c>
      <c r="M23" s="19">
        <f>IF(E23&gt;0, 1.0 - (K23/E23), IF(F23=0, 1, 0))</f>
        <v/>
      </c>
      <c r="N23" s="29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F24-E24</f>
        <v/>
      </c>
      <c r="K24" s="14">
        <f>ABS(F24-E24)</f>
        <v/>
      </c>
      <c r="L24" s="15">
        <f>IF(E24&gt;0, F24/E24, IF(F24&gt;0, 1, 0))</f>
        <v/>
      </c>
      <c r="M24" s="15">
        <f>IF(E24&gt;0, 1.0 - (K24/E24), IF(F24=0, 1, 0))</f>
        <v/>
      </c>
      <c r="N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6600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F25-E25</f>
        <v/>
      </c>
      <c r="K25" s="18">
        <f>ABS(F25-E25)</f>
        <v/>
      </c>
      <c r="L25" s="19">
        <f>IF(E25&gt;0, F25/E25, IF(F25&gt;0, 1, 0))</f>
        <v/>
      </c>
      <c r="M25" s="19">
        <f>IF(E25&gt;0, 1.0 - (K25/E25), IF(F25=0, 1, 0))</f>
        <v/>
      </c>
      <c r="N25" s="29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F26-E26</f>
        <v/>
      </c>
      <c r="K26" s="14">
        <f>ABS(F26-E26)</f>
        <v/>
      </c>
      <c r="L26" s="15">
        <f>IF(E26&gt;0, F26/E26, IF(F26&gt;0, 1, 0))</f>
        <v/>
      </c>
      <c r="M26" s="15">
        <f>IF(E26&gt;0, 1.0 - (K26/E26), IF(F26=0, 1, 0))</f>
        <v/>
      </c>
      <c r="N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F27-E27</f>
        <v/>
      </c>
      <c r="K27" s="18">
        <f>ABS(F27-E27)</f>
        <v/>
      </c>
      <c r="L27" s="19">
        <f>IF(E27&gt;0, F27/E27, IF(F27&gt;0, 1, 0))</f>
        <v/>
      </c>
      <c r="M27" s="19">
        <f>IF(E27&gt;0, 1.0 - (K27/E27), IF(F27=0, 1, 0))</f>
        <v/>
      </c>
      <c r="N27" s="29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F28-E28</f>
        <v/>
      </c>
      <c r="K28" s="14">
        <f>ABS(F28-E28)</f>
        <v/>
      </c>
      <c r="L28" s="15">
        <f>IF(E28&gt;0, F28/E28, IF(F28&gt;0, 1, 0))</f>
        <v/>
      </c>
      <c r="M28" s="15">
        <f>IF(E28&gt;0, 1.0 - (K28/E28), IF(F28=0, 1, 0))</f>
        <v/>
      </c>
      <c r="N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F29-E29</f>
        <v/>
      </c>
      <c r="K29" s="18">
        <f>ABS(F29-E29)</f>
        <v/>
      </c>
      <c r="L29" s="19">
        <f>IF(E29&gt;0, F29/E29, IF(F29&gt;0, 1, 0))</f>
        <v/>
      </c>
      <c r="M29" s="19">
        <f>IF(E29&gt;0, 1.0 - (K29/E29), IF(F29=0, 1, 0))</f>
        <v/>
      </c>
      <c r="N29" s="29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F30-E30</f>
        <v/>
      </c>
      <c r="K30" s="14">
        <f>ABS(F30-E30)</f>
        <v/>
      </c>
      <c r="L30" s="15">
        <f>IF(E30&gt;0, F30/E30, IF(F30&gt;0, 1, 0))</f>
        <v/>
      </c>
      <c r="M30" s="15">
        <f>IF(E30&gt;0, 1.0 - (K30/E30), IF(F30=0, 1, 0))</f>
        <v/>
      </c>
      <c r="N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F31-E31</f>
        <v/>
      </c>
      <c r="K31" s="18">
        <f>ABS(F31-E31)</f>
        <v/>
      </c>
      <c r="L31" s="19">
        <f>IF(E31&gt;0, F31/E31, IF(F31&gt;0, 1, 0))</f>
        <v/>
      </c>
      <c r="M31" s="19">
        <f>IF(E31&gt;0, 1.0 - (K31/E31), IF(F31=0, 1, 0))</f>
        <v/>
      </c>
      <c r="N31" s="29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F32-E32</f>
        <v/>
      </c>
      <c r="K32" s="14">
        <f>ABS(F32-E32)</f>
        <v/>
      </c>
      <c r="L32" s="15">
        <f>IF(E32&gt;0, F32/E32, IF(F32&gt;0, 1, 0))</f>
        <v/>
      </c>
      <c r="M32" s="15">
        <f>IF(E32&gt;0, 1.0 - (K32/E32), IF(F32=0, 1, 0))</f>
        <v/>
      </c>
      <c r="N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200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F33-E33</f>
        <v/>
      </c>
      <c r="K33" s="18">
        <f>ABS(F33-E33)</f>
        <v/>
      </c>
      <c r="L33" s="19">
        <f>IF(E33&gt;0, F33/E33, IF(F33&gt;0, 1, 0))</f>
        <v/>
      </c>
      <c r="M33" s="19">
        <f>IF(E33&gt;0, 1.0 - (K33/E33), IF(F33=0, 1, 0))</f>
        <v/>
      </c>
      <c r="N33" s="29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640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F34-E34</f>
        <v/>
      </c>
      <c r="K34" s="14">
        <f>ABS(F34-E34)</f>
        <v/>
      </c>
      <c r="L34" s="15">
        <f>IF(E34&gt;0, F34/E34, IF(F34&gt;0, 1, 0))</f>
        <v/>
      </c>
      <c r="M34" s="15">
        <f>IF(E34&gt;0, 1.0 - (K34/E34), IF(F34=0, 1, 0))</f>
        <v/>
      </c>
      <c r="N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F35-E35</f>
        <v/>
      </c>
      <c r="K35" s="18">
        <f>ABS(F35-E35)</f>
        <v/>
      </c>
      <c r="L35" s="19">
        <f>IF(E35&gt;0, F35/E35, IF(F35&gt;0, 1, 0))</f>
        <v/>
      </c>
      <c r="M35" s="19">
        <f>IF(E35&gt;0, 1.0 - (K35/E35), IF(F35=0, 1, 0))</f>
        <v/>
      </c>
      <c r="N35" s="29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F36-E36</f>
        <v/>
      </c>
      <c r="K36" s="14">
        <f>ABS(F36-E36)</f>
        <v/>
      </c>
      <c r="L36" s="15">
        <f>IF(E36&gt;0, F36/E36, IF(F36&gt;0, 1, 0))</f>
        <v/>
      </c>
      <c r="M36" s="15">
        <f>IF(E36&gt;0, 1.0 - (K36/E36), IF(F36=0, 1, 0))</f>
        <v/>
      </c>
      <c r="N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F37-E37</f>
        <v/>
      </c>
      <c r="K37" s="18">
        <f>ABS(F37-E37)</f>
        <v/>
      </c>
      <c r="L37" s="19">
        <f>IF(E37&gt;0, F37/E37, IF(F37&gt;0, 1, 0))</f>
        <v/>
      </c>
      <c r="M37" s="19">
        <f>IF(E37&gt;0, 1.0 - (K37/E37), IF(F37=0, 1, 0))</f>
        <v/>
      </c>
      <c r="N37" s="29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F38-E38</f>
        <v/>
      </c>
      <c r="K38" s="14">
        <f>ABS(F38-E38)</f>
        <v/>
      </c>
      <c r="L38" s="15">
        <f>IF(E38&gt;0, F38/E38, IF(F38&gt;0, 1, 0))</f>
        <v/>
      </c>
      <c r="M38" s="15">
        <f>IF(E38&gt;0, 1.0 - (K38/E38), IF(F38=0, 1, 0))</f>
        <v/>
      </c>
      <c r="N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F39-E39</f>
        <v/>
      </c>
      <c r="K39" s="18">
        <f>ABS(F39-E39)</f>
        <v/>
      </c>
      <c r="L39" s="19">
        <f>IF(E39&gt;0, F39/E39, IF(F39&gt;0, 1, 0))</f>
        <v/>
      </c>
      <c r="M39" s="19">
        <f>IF(E39&gt;0, 1.0 - (K39/E39), IF(F39=0, 1, 0))</f>
        <v/>
      </c>
      <c r="N39" s="29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F40-E40</f>
        <v/>
      </c>
      <c r="K40" s="14">
        <f>ABS(F40-E40)</f>
        <v/>
      </c>
      <c r="L40" s="15">
        <f>IF(E40&gt;0, F40/E40, IF(F40&gt;0, 1, 0))</f>
        <v/>
      </c>
      <c r="M40" s="15">
        <f>IF(E40&gt;0, 1.0 - (K40/E40), IF(F40=0, 1, 0))</f>
        <v/>
      </c>
      <c r="N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F41-E41</f>
        <v/>
      </c>
      <c r="K41" s="18">
        <f>ABS(F41-E41)</f>
        <v/>
      </c>
      <c r="L41" s="19">
        <f>IF(E41&gt;0, F41/E41, IF(F41&gt;0, 1, 0))</f>
        <v/>
      </c>
      <c r="M41" s="19">
        <f>IF(E41&gt;0, 1.0 - (K41/E41), IF(F41=0, 1, 0))</f>
        <v/>
      </c>
      <c r="N41" s="29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F42-E42</f>
        <v/>
      </c>
      <c r="K42" s="14">
        <f>ABS(F42-E42)</f>
        <v/>
      </c>
      <c r="L42" s="15">
        <f>IF(E42&gt;0, F42/E42, IF(F42&gt;0, 1, 0))</f>
        <v/>
      </c>
      <c r="M42" s="15">
        <f>IF(E42&gt;0, 1.0 - (K42/E42), IF(F42=0, 1, 0))</f>
        <v/>
      </c>
      <c r="N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F43-E43</f>
        <v/>
      </c>
      <c r="K43" s="18">
        <f>ABS(F43-E43)</f>
        <v/>
      </c>
      <c r="L43" s="19">
        <f>IF(E43&gt;0, F43/E43, IF(F43&gt;0, 1, 0))</f>
        <v/>
      </c>
      <c r="M43" s="19">
        <f>IF(E43&gt;0, 1.0 - (K43/E43), IF(F43=0, 1, 0))</f>
        <v/>
      </c>
      <c r="N43" s="29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F44-E44</f>
        <v/>
      </c>
      <c r="K44" s="14">
        <f>ABS(F44-E44)</f>
        <v/>
      </c>
      <c r="L44" s="15">
        <f>IF(E44&gt;0, F44/E44, IF(F44&gt;0, 1, 0))</f>
        <v/>
      </c>
      <c r="M44" s="15">
        <f>IF(E44&gt;0, 1.0 - (K44/E44), IF(F44=0, 1, 0))</f>
        <v/>
      </c>
      <c r="N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F45-E45</f>
        <v/>
      </c>
      <c r="K45" s="18">
        <f>ABS(F45-E45)</f>
        <v/>
      </c>
      <c r="L45" s="19">
        <f>IF(E45&gt;0, F45/E45, IF(F45&gt;0, 1, 0))</f>
        <v/>
      </c>
      <c r="M45" s="19">
        <f>IF(E45&gt;0, 1.0 - (K45/E45), IF(F45=0, 1, 0))</f>
        <v/>
      </c>
      <c r="N45" s="29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F46-E46</f>
        <v/>
      </c>
      <c r="K46" s="14">
        <f>ABS(F46-E46)</f>
        <v/>
      </c>
      <c r="L46" s="15">
        <f>IF(E46&gt;0, F46/E46, IF(F46&gt;0, 1, 0))</f>
        <v/>
      </c>
      <c r="M46" s="15">
        <f>IF(E46&gt;0, 1.0 - (K46/E46), IF(F46=0, 1, 0))</f>
        <v/>
      </c>
      <c r="N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F47-E47</f>
        <v/>
      </c>
      <c r="K47" s="18">
        <f>ABS(F47-E47)</f>
        <v/>
      </c>
      <c r="L47" s="19">
        <f>IF(E47&gt;0, F47/E47, IF(F47&gt;0, 1, 0))</f>
        <v/>
      </c>
      <c r="M47" s="19">
        <f>IF(E47&gt;0, 1.0 - (K47/E47), IF(F47=0, 1, 0))</f>
        <v/>
      </c>
      <c r="N47" s="29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F48-E48</f>
        <v/>
      </c>
      <c r="K48" s="14">
        <f>ABS(F48-E48)</f>
        <v/>
      </c>
      <c r="L48" s="15">
        <f>IF(E48&gt;0, F48/E48, IF(F48&gt;0, 1, 0))</f>
        <v/>
      </c>
      <c r="M48" s="15">
        <f>IF(E48&gt;0, 1.0 - (K48/E48), IF(F48=0, 1, 0))</f>
        <v/>
      </c>
      <c r="N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F49-E49</f>
        <v/>
      </c>
      <c r="K49" s="18">
        <f>ABS(F49-E49)</f>
        <v/>
      </c>
      <c r="L49" s="19">
        <f>IF(E49&gt;0, F49/E49, IF(F49&gt;0, 1, 0))</f>
        <v/>
      </c>
      <c r="M49" s="19">
        <f>IF(E49&gt;0, 1.0 - (K49/E49), IF(F49=0, 1, 0))</f>
        <v/>
      </c>
      <c r="N49" s="29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F50-E50</f>
        <v/>
      </c>
      <c r="K50" s="14">
        <f>ABS(F50-E50)</f>
        <v/>
      </c>
      <c r="L50" s="15">
        <f>IF(E50&gt;0, F50/E50, IF(F50&gt;0, 1, 0))</f>
        <v/>
      </c>
      <c r="M50" s="15">
        <f>IF(E50&gt;0, 1.0 - (K50/E50), IF(F50=0, 1, 0))</f>
        <v/>
      </c>
      <c r="N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F51-E51</f>
        <v/>
      </c>
      <c r="K51" s="18">
        <f>ABS(F51-E51)</f>
        <v/>
      </c>
      <c r="L51" s="19">
        <f>IF(E51&gt;0, F51/E51, IF(F51&gt;0, 1, 0))</f>
        <v/>
      </c>
      <c r="M51" s="19">
        <f>IF(E51&gt;0, 1.0 - (K51/E51), IF(F51=0, 1, 0))</f>
        <v/>
      </c>
      <c r="N51" s="29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F52-E52</f>
        <v/>
      </c>
      <c r="K52" s="14">
        <f>ABS(F52-E52)</f>
        <v/>
      </c>
      <c r="L52" s="15">
        <f>IF(E52&gt;0, F52/E52, IF(F52&gt;0, 1, 0))</f>
        <v/>
      </c>
      <c r="M52" s="15">
        <f>IF(E52&gt;0, 1.0 - (K52/E52), IF(F52=0, 1, 0))</f>
        <v/>
      </c>
      <c r="N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4400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F53-E53</f>
        <v/>
      </c>
      <c r="K53" s="18">
        <f>ABS(F53-E53)</f>
        <v/>
      </c>
      <c r="L53" s="19">
        <f>IF(E53&gt;0, F53/E53, IF(F53&gt;0, 1, 0))</f>
        <v/>
      </c>
      <c r="M53" s="19">
        <f>IF(E53&gt;0, 1.0 - (K53/E53), IF(F53=0, 1, 0))</f>
        <v/>
      </c>
      <c r="N53" s="29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2560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F54-E54</f>
        <v/>
      </c>
      <c r="K54" s="14">
        <f>ABS(F54-E54)</f>
        <v/>
      </c>
      <c r="L54" s="15">
        <f>IF(E54&gt;0, F54/E54, IF(F54&gt;0, 1, 0))</f>
        <v/>
      </c>
      <c r="M54" s="15">
        <f>IF(E54&gt;0, 1.0 - (K54/E54), IF(F54=0, 1, 0))</f>
        <v/>
      </c>
      <c r="N54" s="32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F55-E55</f>
        <v/>
      </c>
      <c r="K55" s="18">
        <f>ABS(F55-E55)</f>
        <v/>
      </c>
      <c r="L55" s="19">
        <f>IF(E55&gt;0, F55/E55, IF(F55&gt;0, 1, 0))</f>
        <v/>
      </c>
      <c r="M55" s="19">
        <f>IF(E55&gt;0, 1.0 - (K55/E55), IF(F55=0, 1, 0))</f>
        <v/>
      </c>
      <c r="N55" s="29" t="inlineStr">
        <is>
          <t>Extra Estimación</t>
        </is>
      </c>
    </row>
    <row r="56" ht="24" customHeight="1">
      <c r="B56" s="20" t="inlineStr">
        <is>
          <t>TOTAL JAVIER</t>
        </is>
      </c>
      <c r="C56" s="33" t="inlineStr">
        <is>
          <t>186 líneas</t>
        </is>
      </c>
      <c r="D56" s="34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2">
        <f>SUM(K10:K55)</f>
        <v/>
      </c>
      <c r="L56" s="23">
        <f>IF(E56&gt;0, F56/E56, 0)</f>
        <v/>
      </c>
      <c r="M56" s="23">
        <f>IF(E56&gt;0, 1.0 - (K56/E56), 0)</f>
        <v/>
      </c>
      <c r="N56" s="21">
        <f>IF(L56&gt;=1,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32,728 u</t>
        </is>
      </c>
      <c r="E6" s="4" t="n"/>
      <c r="F6" s="37" t="inlineStr">
        <is>
          <t>82.9%</t>
        </is>
      </c>
      <c r="G6" s="4" t="n"/>
      <c r="H6" s="37" t="inlineStr">
        <is>
          <t>6,732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Error Abs. (u)</t>
        </is>
      </c>
      <c r="L9" s="11" t="inlineStr">
        <is>
          <t>% Consec.</t>
        </is>
      </c>
      <c r="M9" s="11" t="inlineStr">
        <is>
          <t>Forecast Accuracy</t>
        </is>
      </c>
      <c r="N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F10-E10</f>
        <v/>
      </c>
      <c r="K10" s="14">
        <f>ABS(F10-E10)</f>
        <v/>
      </c>
      <c r="L10" s="15">
        <f>IF(E10&gt;0, F10/E10, IF(F10&gt;0, 1, 0))</f>
        <v/>
      </c>
      <c r="M10" s="15">
        <f>IF(E10&gt;0, 1.0 - (K10/E10), IF(F10=0, 1, 0))</f>
        <v/>
      </c>
      <c r="N10" s="36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F11-E11</f>
        <v/>
      </c>
      <c r="K11" s="18">
        <f>ABS(F11-E11)</f>
        <v/>
      </c>
      <c r="L11" s="19">
        <f>IF(E11&gt;0, F11/E11, IF(F11&gt;0, 1, 0))</f>
        <v/>
      </c>
      <c r="M11" s="19">
        <f>IF(E11&gt;0, 1.0 - (K11/E11), IF(F11=0, 1, 0))</f>
        <v/>
      </c>
      <c r="N11" s="29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F12-E12</f>
        <v/>
      </c>
      <c r="K12" s="14">
        <f>ABS(F12-E12)</f>
        <v/>
      </c>
      <c r="L12" s="15">
        <f>IF(E12&gt;0, F12/E12, IF(F12&gt;0, 1, 0))</f>
        <v/>
      </c>
      <c r="M12" s="15">
        <f>IF(E12&gt;0, 1.0 - (K12/E12), IF(F12=0, 1, 0))</f>
        <v/>
      </c>
      <c r="N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F13-E13</f>
        <v/>
      </c>
      <c r="K13" s="18">
        <f>ABS(F13-E13)</f>
        <v/>
      </c>
      <c r="L13" s="19">
        <f>IF(E13&gt;0, F13/E13, IF(F13&gt;0, 1, 0))</f>
        <v/>
      </c>
      <c r="M13" s="19">
        <f>IF(E13&gt;0, 1.0 - (K13/E13), IF(F13=0, 1, 0))</f>
        <v/>
      </c>
      <c r="N13" s="32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F14-E14</f>
        <v/>
      </c>
      <c r="K14" s="14">
        <f>ABS(F14-E14)</f>
        <v/>
      </c>
      <c r="L14" s="15">
        <f>IF(E14&gt;0, F14/E14, IF(F14&gt;0, 1, 0))</f>
        <v/>
      </c>
      <c r="M14" s="15">
        <f>IF(E14&gt;0, 1.0 - (K14/E14), IF(F14=0, 1, 0))</f>
        <v/>
      </c>
      <c r="N14" s="32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F15-E15</f>
        <v/>
      </c>
      <c r="K15" s="18">
        <f>ABS(F15-E15)</f>
        <v/>
      </c>
      <c r="L15" s="19">
        <f>IF(E15&gt;0, F15/E15, IF(F15&gt;0, 1, 0))</f>
        <v/>
      </c>
      <c r="M15" s="19">
        <f>IF(E15&gt;0, 1.0 - (K15/E15), IF(F15=0, 1, 0))</f>
        <v/>
      </c>
      <c r="N15" s="29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1960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F16-E16</f>
        <v/>
      </c>
      <c r="K16" s="14">
        <f>ABS(F16-E16)</f>
        <v/>
      </c>
      <c r="L16" s="15">
        <f>IF(E16&gt;0, F16/E16, IF(F16&gt;0, 1, 0))</f>
        <v/>
      </c>
      <c r="M16" s="15">
        <f>IF(E16&gt;0, 1.0 - (K16/E16), IF(F16=0, 1, 0))</f>
        <v/>
      </c>
      <c r="N16" s="29" t="inlineStr">
        <is>
          <t>Superado</t>
        </is>
      </c>
    </row>
    <row r="17" ht="24" customHeight="1">
      <c r="B17" s="20" t="inlineStr">
        <is>
          <t>TOTAL MEHMET</t>
        </is>
      </c>
      <c r="C17" s="33" t="inlineStr">
        <is>
          <t>61 líneas</t>
        </is>
      </c>
      <c r="D17" s="34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2">
        <f>SUM(K10:K16)</f>
        <v/>
      </c>
      <c r="L17" s="23">
        <f>IF(E17&gt;0, F17/E17, 0)</f>
        <v/>
      </c>
      <c r="M17" s="23">
        <f>IF(E17&gt;0, 1.0 - (K17/E17), 0)</f>
        <v/>
      </c>
      <c r="N17" s="21">
        <f>IF(L17&gt;=1,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N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4" t="inlineStr">
        <is>
          <t>8,560 u</t>
        </is>
      </c>
      <c r="E6" s="4" t="n"/>
      <c r="F6" s="37" t="inlineStr">
        <is>
          <t>49.4%</t>
        </is>
      </c>
      <c r="G6" s="4" t="n"/>
      <c r="H6" s="37" t="inlineStr">
        <is>
          <t>8,780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Error Abs. (u)</t>
        </is>
      </c>
      <c r="L9" s="11" t="inlineStr">
        <is>
          <t>% Consec.</t>
        </is>
      </c>
      <c r="M9" s="11" t="inlineStr">
        <is>
          <t>Forecast Accuracy</t>
        </is>
      </c>
      <c r="N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4">
        <f>ABS(F10-E10)</f>
        <v/>
      </c>
      <c r="L10" s="15">
        <f>IF(E10&gt;0, F10/E10, IF(F10&gt;0, 1, 0))</f>
        <v/>
      </c>
      <c r="M10" s="15">
        <f>IF(E10&gt;0, 1.0 - (K10/E10), IF(F10=0, 1, 0))</f>
        <v/>
      </c>
      <c r="N10" s="35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8">
        <f>ABS(F11-E11)</f>
        <v/>
      </c>
      <c r="L11" s="19">
        <f>IF(E11&gt;0, F11/E11, IF(F11&gt;0, 1, 0))</f>
        <v/>
      </c>
      <c r="M11" s="19">
        <f>IF(E11&gt;0, 1.0 - (K11/E11), IF(F11=0, 1, 0))</f>
        <v/>
      </c>
      <c r="N11" s="35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4">
        <f>ABS(F12-E12)</f>
        <v/>
      </c>
      <c r="L12" s="15">
        <f>IF(E12&gt;0, F12/E12, IF(F12&gt;0, 1, 0))</f>
        <v/>
      </c>
      <c r="M12" s="15">
        <f>IF(E12&gt;0, 1.0 - (K12/E12), IF(F12=0, 1, 0))</f>
        <v/>
      </c>
      <c r="N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8">
        <f>ABS(F13-E13)</f>
        <v/>
      </c>
      <c r="L13" s="19">
        <f>IF(E13&gt;0, F13/E13, IF(F13&gt;0, 1, 0))</f>
        <v/>
      </c>
      <c r="M13" s="19">
        <f>IF(E13&gt;0, 1.0 - (K13/E13), IF(F13=0, 1, 0))</f>
        <v/>
      </c>
      <c r="N13" s="35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2560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F14-E14</f>
        <v/>
      </c>
      <c r="K14" s="14">
        <f>ABS(F14-E14)</f>
        <v/>
      </c>
      <c r="L14" s="15">
        <f>IF(E14&gt;0, F14/E14, IF(F14&gt;0, 1, 0))</f>
        <v/>
      </c>
      <c r="M14" s="15">
        <f>IF(E14&gt;0, 1.0 - (K14/E14), IF(F14=0, 1, 0))</f>
        <v/>
      </c>
      <c r="N14" s="32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400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8">
        <f>ABS(F15-E15)</f>
        <v/>
      </c>
      <c r="L15" s="19">
        <f>IF(E15&gt;0, F15/E15, IF(F15&gt;0, 1, 0))</f>
        <v/>
      </c>
      <c r="M15" s="19">
        <f>IF(E15&gt;0, 1.0 - (K15/E15), IF(F15=0, 1, 0))</f>
        <v/>
      </c>
      <c r="N15" s="35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2000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4">
        <f>ABS(F16-E16)</f>
        <v/>
      </c>
      <c r="L16" s="15">
        <f>IF(E16&gt;0, F16/E16, IF(F16&gt;0, 1, 0))</f>
        <v/>
      </c>
      <c r="M16" s="15">
        <f>IF(E16&gt;0, 1.0 - (K16/E16), IF(F16=0, 1, 0))</f>
        <v/>
      </c>
      <c r="N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2200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F17-E17</f>
        <v/>
      </c>
      <c r="K17" s="18">
        <f>ABS(F17-E17)</f>
        <v/>
      </c>
      <c r="L17" s="19">
        <f>IF(E17&gt;0, F17/E17, IF(F17&gt;0, 1, 0))</f>
        <v/>
      </c>
      <c r="M17" s="19">
        <f>IF(E17&gt;0, 1.0 - (K17/E17), IF(F17=0, 1, 0))</f>
        <v/>
      </c>
      <c r="N17" s="29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F18-E18</f>
        <v/>
      </c>
      <c r="K18" s="14">
        <f>ABS(F18-E18)</f>
        <v/>
      </c>
      <c r="L18" s="15">
        <f>IF(E18&gt;0, F18/E18, IF(F18&gt;0, 1, 0))</f>
        <v/>
      </c>
      <c r="M18" s="15">
        <f>IF(E18&gt;0, 1.0 - (K18/E18), IF(F18=0, 1, 0))</f>
        <v/>
      </c>
      <c r="N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F19-E19</f>
        <v/>
      </c>
      <c r="K19" s="18">
        <f>ABS(F19-E19)</f>
        <v/>
      </c>
      <c r="L19" s="19">
        <f>IF(E19&gt;0, F19/E19, IF(F19&gt;0, 1, 0))</f>
        <v/>
      </c>
      <c r="M19" s="19">
        <f>IF(E19&gt;0, 1.0 - (K19/E19), IF(F19=0, 1, 0))</f>
        <v/>
      </c>
      <c r="N19" s="29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F20-E20</f>
        <v/>
      </c>
      <c r="K20" s="14">
        <f>ABS(F20-E20)</f>
        <v/>
      </c>
      <c r="L20" s="15">
        <f>IF(E20&gt;0, F20/E20, IF(F20&gt;0, 1, 0))</f>
        <v/>
      </c>
      <c r="M20" s="15">
        <f>IF(E20&gt;0, 1.0 - (K20/E20), IF(F20=0, 1, 0))</f>
        <v/>
      </c>
      <c r="N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8">
        <f>ABS(F21-E21)</f>
        <v/>
      </c>
      <c r="L21" s="19">
        <f>IF(E21&gt;0, F21/E21, IF(F21&gt;0, 1, 0))</f>
        <v/>
      </c>
      <c r="M21" s="19">
        <f>IF(E21&gt;0, 1.0 - (K21/E21), IF(F21=0, 1, 0))</f>
        <v/>
      </c>
      <c r="N21" s="29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640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F22-E22</f>
        <v/>
      </c>
      <c r="K22" s="14">
        <f>ABS(F22-E22)</f>
        <v/>
      </c>
      <c r="L22" s="15">
        <f>IF(E22&gt;0, F22/E22, IF(F22&gt;0, 1, 0))</f>
        <v/>
      </c>
      <c r="M22" s="15">
        <f>IF(E22&gt;0, 1.0 - (K22/E22), IF(F22=0, 1, 0))</f>
        <v/>
      </c>
      <c r="N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400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8">
        <f>ABS(F23-E23)</f>
        <v/>
      </c>
      <c r="L23" s="19">
        <f>IF(E23&gt;0, F23/E23, IF(F23&gt;0, 1, 0))</f>
        <v/>
      </c>
      <c r="M23" s="19">
        <f>IF(E23&gt;0, 1.0 - (K23/E23), IF(F23=0, 1, 0))</f>
        <v/>
      </c>
      <c r="N23" s="35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5000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4">
        <f>ABS(F24-E24)</f>
        <v/>
      </c>
      <c r="L24" s="15">
        <f>IF(E24&gt;0, F24/E24, IF(F24&gt;0, 1, 0))</f>
        <v/>
      </c>
      <c r="M24" s="15">
        <f>IF(E24&gt;0, 1.0 - (K24/E24), IF(F24=0, 1, 0))</f>
        <v/>
      </c>
      <c r="N24" s="35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8">
        <f>ABS(F25-E25)</f>
        <v/>
      </c>
      <c r="L25" s="19">
        <f>IF(E25&gt;0, F25/E25, IF(F25&gt;0, 1, 0))</f>
        <v/>
      </c>
      <c r="M25" s="19">
        <f>IF(E25&gt;0, 1.0 - (K25/E25), IF(F25=0, 1, 0))</f>
        <v/>
      </c>
      <c r="N25" s="35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F26-E26</f>
        <v/>
      </c>
      <c r="K26" s="14">
        <f>ABS(F26-E26)</f>
        <v/>
      </c>
      <c r="L26" s="15">
        <f>IF(E26&gt;0, F26/E26, IF(F26&gt;0, 1, 0))</f>
        <v/>
      </c>
      <c r="M26" s="15">
        <f>IF(E26&gt;0, 1.0 - (K26/E26), IF(F26=0, 1, 0))</f>
        <v/>
      </c>
      <c r="N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F27-E27</f>
        <v/>
      </c>
      <c r="K27" s="18">
        <f>ABS(F27-E27)</f>
        <v/>
      </c>
      <c r="L27" s="19">
        <f>IF(E27&gt;0, F27/E27, IF(F27&gt;0, 1, 0))</f>
        <v/>
      </c>
      <c r="M27" s="19">
        <f>IF(E27&gt;0, 1.0 - (K27/E27), IF(F27=0, 1, 0))</f>
        <v/>
      </c>
      <c r="N27" s="29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F28-E28</f>
        <v/>
      </c>
      <c r="K28" s="14">
        <f>ABS(F28-E28)</f>
        <v/>
      </c>
      <c r="L28" s="15">
        <f>IF(E28&gt;0, F28/E28, IF(F28&gt;0, 1, 0))</f>
        <v/>
      </c>
      <c r="M28" s="15">
        <f>IF(E28&gt;0, 1.0 - (K28/E28), IF(F28=0, 1, 0))</f>
        <v/>
      </c>
      <c r="N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F29-E29</f>
        <v/>
      </c>
      <c r="K29" s="18">
        <f>ABS(F29-E29)</f>
        <v/>
      </c>
      <c r="L29" s="19">
        <f>IF(E29&gt;0, F29/E29, IF(F29&gt;0, 1, 0))</f>
        <v/>
      </c>
      <c r="M29" s="19">
        <f>IF(E29&gt;0, 1.0 - (K29/E29), IF(F29=0, 1, 0))</f>
        <v/>
      </c>
      <c r="N29" s="29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F30-E30</f>
        <v/>
      </c>
      <c r="K30" s="14">
        <f>ABS(F30-E30)</f>
        <v/>
      </c>
      <c r="L30" s="15">
        <f>IF(E30&gt;0, F30/E30, IF(F30&gt;0, 1, 0))</f>
        <v/>
      </c>
      <c r="M30" s="15">
        <f>IF(E30&gt;0, 1.0 - (K30/E30), IF(F30=0, 1, 0))</f>
        <v/>
      </c>
      <c r="N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F31-E31</f>
        <v/>
      </c>
      <c r="K31" s="18">
        <f>ABS(F31-E31)</f>
        <v/>
      </c>
      <c r="L31" s="19">
        <f>IF(E31&gt;0, F31/E31, IF(F31&gt;0, 1, 0))</f>
        <v/>
      </c>
      <c r="M31" s="19">
        <f>IF(E31&gt;0, 1.0 - (K31/E31), IF(F31=0, 1, 0))</f>
        <v/>
      </c>
      <c r="N31" s="29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F32-E32</f>
        <v/>
      </c>
      <c r="K32" s="14">
        <f>ABS(F32-E32)</f>
        <v/>
      </c>
      <c r="L32" s="15">
        <f>IF(E32&gt;0, F32/E32, IF(F32&gt;0, 1, 0))</f>
        <v/>
      </c>
      <c r="M32" s="15">
        <f>IF(E32&gt;0, 1.0 - (K32/E32), IF(F32=0, 1, 0))</f>
        <v/>
      </c>
      <c r="N32" s="29" t="inlineStr">
        <is>
          <t>Extra Estimación</t>
        </is>
      </c>
    </row>
    <row r="33" ht="24" customHeight="1">
      <c r="B33" s="20" t="inlineStr">
        <is>
          <t>TOTAL PEDRO</t>
        </is>
      </c>
      <c r="C33" s="33" t="inlineStr">
        <is>
          <t>106 líneas</t>
        </is>
      </c>
      <c r="D33" s="34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2">
        <f>SUM(K10:K32)</f>
        <v/>
      </c>
      <c r="L33" s="23">
        <f>IF(E33&gt;0, F33/E33, 0)</f>
        <v/>
      </c>
      <c r="M33" s="23">
        <f>IF(E33&gt;0, 1.0 - (K33/E33), 0)</f>
        <v/>
      </c>
      <c r="N33" s="21">
        <f>IF(L33&gt;=1,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N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1" customWidth="1" min="12" max="12"/>
    <col width="16" customWidth="1" min="13" max="13"/>
    <col width="13" customWidth="1" min="14" max="14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01/10/2026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54,908 u</t>
        </is>
      </c>
      <c r="E6" s="4" t="n"/>
      <c r="F6" s="25" t="inlineStr">
        <is>
          <t>119.4%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Error Abs. (u)</t>
        </is>
      </c>
      <c r="L9" s="11" t="inlineStr">
        <is>
          <t>% Consec.</t>
        </is>
      </c>
      <c r="M9" s="11" t="inlineStr">
        <is>
          <t>Forecast Accuracy</t>
        </is>
      </c>
      <c r="N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F10-E10</f>
        <v/>
      </c>
      <c r="K10" s="14">
        <f>ABS(F10-E10)</f>
        <v/>
      </c>
      <c r="L10" s="15">
        <f>IF(E10&gt;0, F10/E10, IF(F10&gt;0, 1, 0))</f>
        <v/>
      </c>
      <c r="M10" s="15">
        <f>IF(E10&gt;0, 1.0 - (K10/E10), IF(F10=0, 1, 0))</f>
        <v/>
      </c>
      <c r="N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F11-E11</f>
        <v/>
      </c>
      <c r="K11" s="18">
        <f>ABS(F11-E11)</f>
        <v/>
      </c>
      <c r="L11" s="19">
        <f>IF(E11&gt;0, F11/E11, IF(F11&gt;0, 1, 0))</f>
        <v/>
      </c>
      <c r="M11" s="19">
        <f>IF(E11&gt;0, 1.0 - (K11/E11), IF(F11=0, 1, 0))</f>
        <v/>
      </c>
      <c r="N11" s="29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F12-E12</f>
        <v/>
      </c>
      <c r="K12" s="14">
        <f>ABS(F12-E12)</f>
        <v/>
      </c>
      <c r="L12" s="15">
        <f>IF(E12&gt;0, F12/E12, IF(F12&gt;0, 1, 0))</f>
        <v/>
      </c>
      <c r="M12" s="15">
        <f>IF(E12&gt;0, 1.0 - (K12/E12), IF(F12=0, 1, 0))</f>
        <v/>
      </c>
      <c r="N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F13-E13</f>
        <v/>
      </c>
      <c r="K13" s="18">
        <f>ABS(F13-E13)</f>
        <v/>
      </c>
      <c r="L13" s="19">
        <f>IF(E13&gt;0, F13/E13, IF(F13&gt;0, 1, 0))</f>
        <v/>
      </c>
      <c r="M13" s="19">
        <f>IF(E13&gt;0, 1.0 - (K13/E13), IF(F13=0, 1, 0))</f>
        <v/>
      </c>
      <c r="N13" s="29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F14-E14</f>
        <v/>
      </c>
      <c r="K14" s="14">
        <f>ABS(F14-E14)</f>
        <v/>
      </c>
      <c r="L14" s="15">
        <f>IF(E14&gt;0, F14/E14, IF(F14&gt;0, 1, 0))</f>
        <v/>
      </c>
      <c r="M14" s="15">
        <f>IF(E14&gt;0, 1.0 - (K14/E14), IF(F14=0, 1, 0))</f>
        <v/>
      </c>
      <c r="N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F15-E15</f>
        <v/>
      </c>
      <c r="K15" s="18">
        <f>ABS(F15-E15)</f>
        <v/>
      </c>
      <c r="L15" s="19">
        <f>IF(E15&gt;0, F15/E15, IF(F15&gt;0, 1, 0))</f>
        <v/>
      </c>
      <c r="M15" s="19">
        <f>IF(E15&gt;0, 1.0 - (K15/E15), IF(F15=0, 1, 0))</f>
        <v/>
      </c>
      <c r="N15" s="29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F16-E16</f>
        <v/>
      </c>
      <c r="K16" s="14">
        <f>ABS(F16-E16)</f>
        <v/>
      </c>
      <c r="L16" s="15">
        <f>IF(E16&gt;0, F16/E16, IF(F16&gt;0, 1, 0))</f>
        <v/>
      </c>
      <c r="M16" s="15">
        <f>IF(E16&gt;0, 1.0 - (K16/E16), IF(F16=0, 1, 0))</f>
        <v/>
      </c>
      <c r="N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F17-E17</f>
        <v/>
      </c>
      <c r="K17" s="18">
        <f>ABS(F17-E17)</f>
        <v/>
      </c>
      <c r="L17" s="19">
        <f>IF(E17&gt;0, F17/E17, IF(F17&gt;0, 1, 0))</f>
        <v/>
      </c>
      <c r="M17" s="19">
        <f>IF(E17&gt;0, 1.0 - (K17/E17), IF(F17=0, 1, 0))</f>
        <v/>
      </c>
      <c r="N17" s="29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F18-E18</f>
        <v/>
      </c>
      <c r="K18" s="14">
        <f>ABS(F18-E18)</f>
        <v/>
      </c>
      <c r="L18" s="15">
        <f>IF(E18&gt;0, F18/E18, IF(F18&gt;0, 1, 0))</f>
        <v/>
      </c>
      <c r="M18" s="15">
        <f>IF(E18&gt;0, 1.0 - (K18/E18), IF(F18=0, 1, 0))</f>
        <v/>
      </c>
      <c r="N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F19-E19</f>
        <v/>
      </c>
      <c r="K19" s="18">
        <f>ABS(F19-E19)</f>
        <v/>
      </c>
      <c r="L19" s="19">
        <f>IF(E19&gt;0, F19/E19, IF(F19&gt;0, 1, 0))</f>
        <v/>
      </c>
      <c r="M19" s="19">
        <f>IF(E19&gt;0, 1.0 - (K19/E19), IF(F19=0, 1, 0))</f>
        <v/>
      </c>
      <c r="N19" s="29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2000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4">
        <f>ABS(F20-E20)</f>
        <v/>
      </c>
      <c r="L20" s="15">
        <f>IF(E20&gt;0, F20/E20, IF(F20&gt;0, 1, 0))</f>
        <v/>
      </c>
      <c r="M20" s="15">
        <f>IF(E20&gt;0, 1.0 - (K20/E20), IF(F20=0, 1, 0))</f>
        <v/>
      </c>
      <c r="N20" s="35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F21-E21</f>
        <v/>
      </c>
      <c r="K21" s="18">
        <f>ABS(F21-E21)</f>
        <v/>
      </c>
      <c r="L21" s="19">
        <f>IF(E21&gt;0, F21/E21, IF(F21&gt;0, 1, 0))</f>
        <v/>
      </c>
      <c r="M21" s="19">
        <f>IF(E21&gt;0, 1.0 - (K21/E21), IF(F21=0, 1, 0))</f>
        <v/>
      </c>
      <c r="N21" s="29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F22-E22</f>
        <v/>
      </c>
      <c r="K22" s="14">
        <f>ABS(F22-E22)</f>
        <v/>
      </c>
      <c r="L22" s="15">
        <f>IF(E22&gt;0, F22/E22, IF(F22&gt;0, 1, 0))</f>
        <v/>
      </c>
      <c r="M22" s="15">
        <f>IF(E22&gt;0, 1.0 - (K22/E22), IF(F22=0, 1, 0))</f>
        <v/>
      </c>
      <c r="N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F23-E23</f>
        <v/>
      </c>
      <c r="K23" s="18">
        <f>ABS(F23-E23)</f>
        <v/>
      </c>
      <c r="L23" s="19">
        <f>IF(E23&gt;0, F23/E23, IF(F23&gt;0, 1, 0))</f>
        <v/>
      </c>
      <c r="M23" s="19">
        <f>IF(E23&gt;0, 1.0 - (K23/E23), IF(F23=0, 1, 0))</f>
        <v/>
      </c>
      <c r="N23" s="29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F24-E24</f>
        <v/>
      </c>
      <c r="K24" s="14">
        <f>ABS(F24-E24)</f>
        <v/>
      </c>
      <c r="L24" s="15">
        <f>IF(E24&gt;0, F24/E24, IF(F24&gt;0, 1, 0))</f>
        <v/>
      </c>
      <c r="M24" s="15">
        <f>IF(E24&gt;0, 1.0 - (K24/E24), IF(F24=0, 1, 0))</f>
        <v/>
      </c>
      <c r="N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F25-E25</f>
        <v/>
      </c>
      <c r="K25" s="18">
        <f>ABS(F25-E25)</f>
        <v/>
      </c>
      <c r="L25" s="19">
        <f>IF(E25&gt;0, F25/E25, IF(F25&gt;0, 1, 0))</f>
        <v/>
      </c>
      <c r="M25" s="19">
        <f>IF(E25&gt;0, 1.0 - (K25/E25), IF(F25=0, 1, 0))</f>
        <v/>
      </c>
      <c r="N25" s="29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F26-E26</f>
        <v/>
      </c>
      <c r="K26" s="14">
        <f>ABS(F26-E26)</f>
        <v/>
      </c>
      <c r="L26" s="15">
        <f>IF(E26&gt;0, F26/E26, IF(F26&gt;0, 1, 0))</f>
        <v/>
      </c>
      <c r="M26" s="15">
        <f>IF(E26&gt;0, 1.0 - (K26/E26), IF(F26=0, 1, 0))</f>
        <v/>
      </c>
      <c r="N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F27-E27</f>
        <v/>
      </c>
      <c r="K27" s="18">
        <f>ABS(F27-E27)</f>
        <v/>
      </c>
      <c r="L27" s="19">
        <f>IF(E27&gt;0, F27/E27, IF(F27&gt;0, 1, 0))</f>
        <v/>
      </c>
      <c r="M27" s="19">
        <f>IF(E27&gt;0, 1.0 - (K27/E27), IF(F27=0, 1, 0))</f>
        <v/>
      </c>
      <c r="N27" s="29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F28-E28</f>
        <v/>
      </c>
      <c r="K28" s="14">
        <f>ABS(F28-E28)</f>
        <v/>
      </c>
      <c r="L28" s="15">
        <f>IF(E28&gt;0, F28/E28, IF(F28&gt;0, 1, 0))</f>
        <v/>
      </c>
      <c r="M28" s="15">
        <f>IF(E28&gt;0, 1.0 - (K28/E28), IF(F28=0, 1, 0))</f>
        <v/>
      </c>
      <c r="N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F29-E29</f>
        <v/>
      </c>
      <c r="K29" s="18">
        <f>ABS(F29-E29)</f>
        <v/>
      </c>
      <c r="L29" s="19">
        <f>IF(E29&gt;0, F29/E29, IF(F29&gt;0, 1, 0))</f>
        <v/>
      </c>
      <c r="M29" s="19">
        <f>IF(E29&gt;0, 1.0 - (K29/E29), IF(F29=0, 1, 0))</f>
        <v/>
      </c>
      <c r="N29" s="29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F30-E30</f>
        <v/>
      </c>
      <c r="K30" s="14">
        <f>ABS(F30-E30)</f>
        <v/>
      </c>
      <c r="L30" s="15">
        <f>IF(E30&gt;0, F30/E30, IF(F30&gt;0, 1, 0))</f>
        <v/>
      </c>
      <c r="M30" s="15">
        <f>IF(E30&gt;0, 1.0 - (K30/E30), IF(F30=0, 1, 0))</f>
        <v/>
      </c>
      <c r="N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F31-E31</f>
        <v/>
      </c>
      <c r="K31" s="18">
        <f>ABS(F31-E31)</f>
        <v/>
      </c>
      <c r="L31" s="19">
        <f>IF(E31&gt;0, F31/E31, IF(F31&gt;0, 1, 0))</f>
        <v/>
      </c>
      <c r="M31" s="19">
        <f>IF(E31&gt;0, 1.0 - (K31/E31), IF(F31=0, 1, 0))</f>
        <v/>
      </c>
      <c r="N31" s="29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44000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4">
        <f>ABS(F32-E32)</f>
        <v/>
      </c>
      <c r="L32" s="15">
        <f>IF(E32&gt;0, F32/E32, IF(F32&gt;0, 1, 0))</f>
        <v/>
      </c>
      <c r="M32" s="15">
        <f>IF(E32&gt;0, 1.0 - (K32/E32), IF(F32=0, 1, 0))</f>
        <v/>
      </c>
      <c r="N32" s="35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F33-E33</f>
        <v/>
      </c>
      <c r="K33" s="18">
        <f>ABS(F33-E33)</f>
        <v/>
      </c>
      <c r="L33" s="19">
        <f>IF(E33&gt;0, F33/E33, IF(F33&gt;0, 1, 0))</f>
        <v/>
      </c>
      <c r="M33" s="19">
        <f>IF(E33&gt;0, 1.0 - (K33/E33), IF(F33=0, 1, 0))</f>
        <v/>
      </c>
      <c r="N33" s="29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F34-E34</f>
        <v/>
      </c>
      <c r="K34" s="14">
        <f>ABS(F34-E34)</f>
        <v/>
      </c>
      <c r="L34" s="15">
        <f>IF(E34&gt;0, F34/E34, IF(F34&gt;0, 1, 0))</f>
        <v/>
      </c>
      <c r="M34" s="15">
        <f>IF(E34&gt;0, 1.0 - (K34/E34), IF(F34=0, 1, 0))</f>
        <v/>
      </c>
      <c r="N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F35-E35</f>
        <v/>
      </c>
      <c r="K35" s="18">
        <f>ABS(F35-E35)</f>
        <v/>
      </c>
      <c r="L35" s="19">
        <f>IF(E35&gt;0, F35/E35, IF(F35&gt;0, 1, 0))</f>
        <v/>
      </c>
      <c r="M35" s="19">
        <f>IF(E35&gt;0, 1.0 - (K35/E35), IF(F35=0, 1, 0))</f>
        <v/>
      </c>
      <c r="N35" s="29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F36-E36</f>
        <v/>
      </c>
      <c r="K36" s="14">
        <f>ABS(F36-E36)</f>
        <v/>
      </c>
      <c r="L36" s="15">
        <f>IF(E36&gt;0, F36/E36, IF(F36&gt;0, 1, 0))</f>
        <v/>
      </c>
      <c r="M36" s="15">
        <f>IF(E36&gt;0, 1.0 - (K36/E36), IF(F36=0, 1, 0))</f>
        <v/>
      </c>
      <c r="N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F37-E37</f>
        <v/>
      </c>
      <c r="K37" s="18">
        <f>ABS(F37-E37)</f>
        <v/>
      </c>
      <c r="L37" s="19">
        <f>IF(E37&gt;0, F37/E37, IF(F37&gt;0, 1, 0))</f>
        <v/>
      </c>
      <c r="M37" s="19">
        <f>IF(E37&gt;0, 1.0 - (K37/E37), IF(F37=0, 1, 0))</f>
        <v/>
      </c>
      <c r="N37" s="29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F38-E38</f>
        <v/>
      </c>
      <c r="K38" s="14">
        <f>ABS(F38-E38)</f>
        <v/>
      </c>
      <c r="L38" s="15">
        <f>IF(E38&gt;0, F38/E38, IF(F38&gt;0, 1, 0))</f>
        <v/>
      </c>
      <c r="M38" s="15">
        <f>IF(E38&gt;0, 1.0 - (K38/E38), IF(F38=0, 1, 0))</f>
        <v/>
      </c>
      <c r="N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F39-E39</f>
        <v/>
      </c>
      <c r="K39" s="18">
        <f>ABS(F39-E39)</f>
        <v/>
      </c>
      <c r="L39" s="19">
        <f>IF(E39&gt;0, F39/E39, IF(F39&gt;0, 1, 0))</f>
        <v/>
      </c>
      <c r="M39" s="19">
        <f>IF(E39&gt;0, 1.0 - (K39/E39), IF(F39=0, 1, 0))</f>
        <v/>
      </c>
      <c r="N39" s="29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F40-E40</f>
        <v/>
      </c>
      <c r="K40" s="14">
        <f>ABS(F40-E40)</f>
        <v/>
      </c>
      <c r="L40" s="15">
        <f>IF(E40&gt;0, F40/E40, IF(F40&gt;0, 1, 0))</f>
        <v/>
      </c>
      <c r="M40" s="15">
        <f>IF(E40&gt;0, 1.0 - (K40/E40), IF(F40=0, 1, 0))</f>
        <v/>
      </c>
      <c r="N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F41-E41</f>
        <v/>
      </c>
      <c r="K41" s="18">
        <f>ABS(F41-E41)</f>
        <v/>
      </c>
      <c r="L41" s="19">
        <f>IF(E41&gt;0, F41/E41, IF(F41&gt;0, 1, 0))</f>
        <v/>
      </c>
      <c r="M41" s="19">
        <f>IF(E41&gt;0, 1.0 - (K41/E41), IF(F41=0, 1, 0))</f>
        <v/>
      </c>
      <c r="N41" s="29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F42-E42</f>
        <v/>
      </c>
      <c r="K42" s="14">
        <f>ABS(F42-E42)</f>
        <v/>
      </c>
      <c r="L42" s="15">
        <f>IF(E42&gt;0, F42/E42, IF(F42&gt;0, 1, 0))</f>
        <v/>
      </c>
      <c r="M42" s="15">
        <f>IF(E42&gt;0, 1.0 - (K42/E42), IF(F42=0, 1, 0))</f>
        <v/>
      </c>
      <c r="N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F43-E43</f>
        <v/>
      </c>
      <c r="K43" s="18">
        <f>ABS(F43-E43)</f>
        <v/>
      </c>
      <c r="L43" s="19">
        <f>IF(E43&gt;0, F43/E43, IF(F43&gt;0, 1, 0))</f>
        <v/>
      </c>
      <c r="M43" s="19">
        <f>IF(E43&gt;0, 1.0 - (K43/E43), IF(F43=0, 1, 0))</f>
        <v/>
      </c>
      <c r="N43" s="29" t="inlineStr">
        <is>
          <t>Extra Estimación</t>
        </is>
      </c>
    </row>
    <row r="44" ht="24" customHeight="1">
      <c r="B44" s="20" t="inlineStr">
        <is>
          <t>TOTAL RICARDO</t>
        </is>
      </c>
      <c r="C44" s="33" t="inlineStr">
        <is>
          <t>137 líneas</t>
        </is>
      </c>
      <c r="D44" s="34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2">
        <f>SUM(K10:K43)</f>
        <v/>
      </c>
      <c r="L44" s="23">
        <f>IF(E44&gt;0, F44/E44, 0)</f>
        <v/>
      </c>
      <c r="M44" s="23">
        <f>IF(E44&gt;0, 1.0 - (K44/E44), 0)</f>
        <v/>
      </c>
      <c r="N44" s="21">
        <f>IF(L44&gt;=1,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2026-10-01T08:47:42Z</dcterms:created>
  <dcterms:modified xmlns:dcterms="http://purl.org/dc/terms/" xmlns:xsi="http://www.w3.org/2001/XMLSchema-instance" xsi:type="dcterms:W3CDTF">2026-10-01T08:47:45Z</dcterms:modified>
</cp:coreProperties>
</file>