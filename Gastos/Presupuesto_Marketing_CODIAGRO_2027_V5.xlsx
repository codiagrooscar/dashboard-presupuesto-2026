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02E793A3-E334-4DC3-9CE7-A7D334FB8725}" xr6:coauthVersionLast="47" xr6:coauthVersionMax="47" xr10:uidLastSave="{00000000-0000-0000-0000-000000000000}"/>
  <bookViews>
    <workbookView xWindow="-25710" yWindow="-110" windowWidth="25820" windowHeight="13900" activeTab="1" xr2:uid="{00000000-000D-0000-FFFF-FFFF00000000}"/>
  </bookViews>
  <sheets>
    <sheet name="Resumen" sheetId="1" r:id="rId1"/>
    <sheet name="Plan acciones" sheetId="2" r:id="rId2"/>
    <sheet name="Diseño A-B" sheetId="3" r:id="rId3"/>
    <sheet name="Priorización" sheetId="4" r:id="rId4"/>
    <sheet name="Supuestos" sheetId="5" r:id="rId5"/>
    <sheet name="Mapa familias" sheetId="6" r:id="rId6"/>
  </sheets>
  <definedNames>
    <definedName name="_xlnm._FilterDatabase" localSheetId="2" hidden="1">'Diseño A-B'!$A$4:$S$491</definedName>
    <definedName name="_xlnm._FilterDatabase" localSheetId="5" hidden="1">'Mapa familias'!$A$4:$F$624</definedName>
    <definedName name="_xlnm._FilterDatabase" localSheetId="1" hidden="1">'Plan acciones'!$A$4:$R$110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N733" i="4"/>
  <c r="O733" i="4" s="1"/>
  <c r="N732" i="4"/>
  <c r="O732" i="4" s="1"/>
  <c r="N731" i="4"/>
  <c r="O731" i="4" s="1"/>
  <c r="N730" i="4"/>
  <c r="O730" i="4" s="1"/>
  <c r="N729" i="4"/>
  <c r="O729" i="4" s="1"/>
  <c r="N728" i="4"/>
  <c r="O728" i="4" s="1"/>
  <c r="O727" i="4"/>
  <c r="N727" i="4"/>
  <c r="N726" i="4"/>
  <c r="O726" i="4" s="1"/>
  <c r="N725" i="4"/>
  <c r="O725" i="4" s="1"/>
  <c r="N724" i="4"/>
  <c r="O724" i="4" s="1"/>
  <c r="N723" i="4"/>
  <c r="O723" i="4" s="1"/>
  <c r="N722" i="4"/>
  <c r="O722" i="4" s="1"/>
  <c r="N721" i="4"/>
  <c r="O721" i="4" s="1"/>
  <c r="O720" i="4"/>
  <c r="N720" i="4"/>
  <c r="N719" i="4"/>
  <c r="O719" i="4" s="1"/>
  <c r="N718" i="4"/>
  <c r="O718" i="4" s="1"/>
  <c r="N717" i="4"/>
  <c r="O717" i="4" s="1"/>
  <c r="N716" i="4"/>
  <c r="O716" i="4" s="1"/>
  <c r="N715" i="4"/>
  <c r="O715" i="4" s="1"/>
  <c r="O714" i="4"/>
  <c r="N714" i="4"/>
  <c r="O713" i="4"/>
  <c r="N713" i="4"/>
  <c r="N712" i="4"/>
  <c r="O712" i="4" s="1"/>
  <c r="N711" i="4"/>
  <c r="O711" i="4" s="1"/>
  <c r="N710" i="4"/>
  <c r="O710" i="4" s="1"/>
  <c r="N709" i="4"/>
  <c r="O709" i="4" s="1"/>
  <c r="N708" i="4"/>
  <c r="O708" i="4" s="1"/>
  <c r="N707" i="4"/>
  <c r="O707" i="4" s="1"/>
  <c r="O706" i="4"/>
  <c r="N706" i="4"/>
  <c r="N705" i="4"/>
  <c r="O705" i="4" s="1"/>
  <c r="N704" i="4"/>
  <c r="O704" i="4" s="1"/>
  <c r="N703" i="4"/>
  <c r="O703" i="4" s="1"/>
  <c r="N702" i="4"/>
  <c r="O702" i="4" s="1"/>
  <c r="N701" i="4"/>
  <c r="O701" i="4" s="1"/>
  <c r="N700" i="4"/>
  <c r="O700" i="4" s="1"/>
  <c r="O699" i="4"/>
  <c r="N699" i="4"/>
  <c r="N698" i="4"/>
  <c r="O698" i="4" s="1"/>
  <c r="N697" i="4"/>
  <c r="O697" i="4" s="1"/>
  <c r="N696" i="4"/>
  <c r="O696" i="4" s="1"/>
  <c r="N695" i="4"/>
  <c r="O695" i="4" s="1"/>
  <c r="N694" i="4"/>
  <c r="O694" i="4" s="1"/>
  <c r="N693" i="4"/>
  <c r="O693" i="4" s="1"/>
  <c r="O692" i="4"/>
  <c r="N692" i="4"/>
  <c r="N691" i="4"/>
  <c r="O691" i="4" s="1"/>
  <c r="N690" i="4"/>
  <c r="O690" i="4" s="1"/>
  <c r="N689" i="4"/>
  <c r="O689" i="4" s="1"/>
  <c r="N688" i="4"/>
  <c r="O688" i="4" s="1"/>
  <c r="N687" i="4"/>
  <c r="O687" i="4" s="1"/>
  <c r="O686" i="4"/>
  <c r="N686" i="4"/>
  <c r="O685" i="4"/>
  <c r="N685" i="4"/>
  <c r="N684" i="4"/>
  <c r="O684" i="4" s="1"/>
  <c r="N683" i="4"/>
  <c r="O683" i="4" s="1"/>
  <c r="N682" i="4"/>
  <c r="O682" i="4" s="1"/>
  <c r="N681" i="4"/>
  <c r="O681" i="4" s="1"/>
  <c r="N680" i="4"/>
  <c r="O680" i="4" s="1"/>
  <c r="O679" i="4"/>
  <c r="N679" i="4"/>
  <c r="O678" i="4"/>
  <c r="N678" i="4"/>
  <c r="N677" i="4"/>
  <c r="O677" i="4" s="1"/>
  <c r="N676" i="4"/>
  <c r="O676" i="4" s="1"/>
  <c r="N675" i="4"/>
  <c r="O675" i="4" s="1"/>
  <c r="N674" i="4"/>
  <c r="O674" i="4" s="1"/>
  <c r="N673" i="4"/>
  <c r="O673" i="4" s="1"/>
  <c r="N672" i="4"/>
  <c r="O672" i="4" s="1"/>
  <c r="O671" i="4"/>
  <c r="N671" i="4"/>
  <c r="N670" i="4"/>
  <c r="O670" i="4" s="1"/>
  <c r="N669" i="4"/>
  <c r="O669" i="4" s="1"/>
  <c r="N668" i="4"/>
  <c r="O668" i="4" s="1"/>
  <c r="N667" i="4"/>
  <c r="O667" i="4" s="1"/>
  <c r="N666" i="4"/>
  <c r="O666" i="4" s="1"/>
  <c r="N665" i="4"/>
  <c r="O665" i="4" s="1"/>
  <c r="O664" i="4"/>
  <c r="N664" i="4"/>
  <c r="N663" i="4"/>
  <c r="O663" i="4" s="1"/>
  <c r="N662" i="4"/>
  <c r="O662" i="4" s="1"/>
  <c r="N661" i="4"/>
  <c r="O661" i="4" s="1"/>
  <c r="N660" i="4"/>
  <c r="O660" i="4" s="1"/>
  <c r="N659" i="4"/>
  <c r="O659" i="4" s="1"/>
  <c r="N658" i="4"/>
  <c r="O658" i="4" s="1"/>
  <c r="O657" i="4"/>
  <c r="N657" i="4"/>
  <c r="N656" i="4"/>
  <c r="O656" i="4" s="1"/>
  <c r="N655" i="4"/>
  <c r="O655" i="4" s="1"/>
  <c r="N654" i="4"/>
  <c r="O654" i="4" s="1"/>
  <c r="N653" i="4"/>
  <c r="O653" i="4" s="1"/>
  <c r="N652" i="4"/>
  <c r="O652" i="4" s="1"/>
  <c r="N651" i="4"/>
  <c r="O651" i="4" s="1"/>
  <c r="O650" i="4"/>
  <c r="N650" i="4"/>
  <c r="N649" i="4"/>
  <c r="O649" i="4" s="1"/>
  <c r="N648" i="4"/>
  <c r="O648" i="4" s="1"/>
  <c r="N647" i="4"/>
  <c r="O647" i="4" s="1"/>
  <c r="N646" i="4"/>
  <c r="O646" i="4" s="1"/>
  <c r="N645" i="4"/>
  <c r="O645" i="4" s="1"/>
  <c r="N644" i="4"/>
  <c r="O644" i="4" s="1"/>
  <c r="O643" i="4"/>
  <c r="N643" i="4"/>
  <c r="N642" i="4"/>
  <c r="O642" i="4" s="1"/>
  <c r="N641" i="4"/>
  <c r="O641" i="4" s="1"/>
  <c r="N640" i="4"/>
  <c r="O640" i="4" s="1"/>
  <c r="N639" i="4"/>
  <c r="O639" i="4" s="1"/>
  <c r="N638" i="4"/>
  <c r="O638" i="4" s="1"/>
  <c r="N637" i="4"/>
  <c r="O637" i="4" s="1"/>
  <c r="O636" i="4"/>
  <c r="N636" i="4"/>
  <c r="N635" i="4"/>
  <c r="O635" i="4" s="1"/>
  <c r="N634" i="4"/>
  <c r="O634" i="4" s="1"/>
  <c r="N633" i="4"/>
  <c r="O633" i="4" s="1"/>
  <c r="N632" i="4"/>
  <c r="O632" i="4" s="1"/>
  <c r="N631" i="4"/>
  <c r="O631" i="4" s="1"/>
  <c r="N630" i="4"/>
  <c r="O630" i="4" s="1"/>
  <c r="O629" i="4"/>
  <c r="N629" i="4"/>
  <c r="N628" i="4"/>
  <c r="O628" i="4" s="1"/>
  <c r="N627" i="4"/>
  <c r="O627" i="4" s="1"/>
  <c r="N626" i="4"/>
  <c r="O626" i="4" s="1"/>
  <c r="N625" i="4"/>
  <c r="O625" i="4" s="1"/>
  <c r="N624" i="4"/>
  <c r="O624" i="4" s="1"/>
  <c r="O623" i="4"/>
  <c r="N623" i="4"/>
  <c r="O622" i="4"/>
  <c r="N622" i="4"/>
  <c r="N621" i="4"/>
  <c r="O621" i="4" s="1"/>
  <c r="N620" i="4"/>
  <c r="O620" i="4" s="1"/>
  <c r="N619" i="4"/>
  <c r="O619" i="4" s="1"/>
  <c r="N618" i="4"/>
  <c r="O618" i="4" s="1"/>
  <c r="N617" i="4"/>
  <c r="O617" i="4" s="1"/>
  <c r="O616" i="4"/>
  <c r="N616" i="4"/>
  <c r="O615" i="4"/>
  <c r="N615" i="4"/>
  <c r="N614" i="4"/>
  <c r="O614" i="4" s="1"/>
  <c r="N613" i="4"/>
  <c r="O613" i="4" s="1"/>
  <c r="N612" i="4"/>
  <c r="O612" i="4" s="1"/>
  <c r="N611" i="4"/>
  <c r="O611" i="4" s="1"/>
  <c r="N610" i="4"/>
  <c r="O610" i="4" s="1"/>
  <c r="N609" i="4"/>
  <c r="O609" i="4" s="1"/>
  <c r="N608" i="4"/>
  <c r="O608" i="4" s="1"/>
  <c r="N607" i="4"/>
  <c r="O607" i="4" s="1"/>
  <c r="N606" i="4"/>
  <c r="O606" i="4" s="1"/>
  <c r="N605" i="4"/>
  <c r="O605" i="4" s="1"/>
  <c r="N604" i="4"/>
  <c r="O604" i="4" s="1"/>
  <c r="N603" i="4"/>
  <c r="O603" i="4" s="1"/>
  <c r="N602" i="4"/>
  <c r="O602" i="4" s="1"/>
  <c r="N601" i="4"/>
  <c r="O601" i="4" s="1"/>
  <c r="N600" i="4"/>
  <c r="O600" i="4" s="1"/>
  <c r="N599" i="4"/>
  <c r="O599" i="4" s="1"/>
  <c r="N598" i="4"/>
  <c r="O598" i="4" s="1"/>
  <c r="N597" i="4"/>
  <c r="O597" i="4" s="1"/>
  <c r="N596" i="4"/>
  <c r="O596" i="4" s="1"/>
  <c r="N595" i="4"/>
  <c r="O595" i="4" s="1"/>
  <c r="N594" i="4"/>
  <c r="O594" i="4" s="1"/>
  <c r="N593" i="4"/>
  <c r="O593" i="4" s="1"/>
  <c r="N592" i="4"/>
  <c r="O592" i="4" s="1"/>
  <c r="N591" i="4"/>
  <c r="O591" i="4" s="1"/>
  <c r="N590" i="4"/>
  <c r="O590" i="4" s="1"/>
  <c r="N589" i="4"/>
  <c r="O589" i="4" s="1"/>
  <c r="O588" i="4"/>
  <c r="N588" i="4"/>
  <c r="N587" i="4"/>
  <c r="O587" i="4" s="1"/>
  <c r="N586" i="4"/>
  <c r="O586" i="4" s="1"/>
  <c r="N585" i="4"/>
  <c r="O585" i="4" s="1"/>
  <c r="N584" i="4"/>
  <c r="O584" i="4" s="1"/>
  <c r="N583" i="4"/>
  <c r="O583" i="4" s="1"/>
  <c r="N582" i="4"/>
  <c r="O582" i="4" s="1"/>
  <c r="O581" i="4"/>
  <c r="N581" i="4"/>
  <c r="O580" i="4"/>
  <c r="N580" i="4"/>
  <c r="N579" i="4"/>
  <c r="O579" i="4" s="1"/>
  <c r="N578" i="4"/>
  <c r="O578" i="4" s="1"/>
  <c r="N577" i="4"/>
  <c r="O577" i="4" s="1"/>
  <c r="N576" i="4"/>
  <c r="O576" i="4" s="1"/>
  <c r="N575" i="4"/>
  <c r="O575" i="4" s="1"/>
  <c r="N574" i="4"/>
  <c r="O574" i="4" s="1"/>
  <c r="O573" i="4"/>
  <c r="N573" i="4"/>
  <c r="N572" i="4"/>
  <c r="O572" i="4" s="1"/>
  <c r="N571" i="4"/>
  <c r="O571" i="4" s="1"/>
  <c r="N570" i="4"/>
  <c r="O570" i="4" s="1"/>
  <c r="N569" i="4"/>
  <c r="O569" i="4" s="1"/>
  <c r="N568" i="4"/>
  <c r="O568" i="4" s="1"/>
  <c r="N567" i="4"/>
  <c r="O567" i="4" s="1"/>
  <c r="N566" i="4"/>
  <c r="O566" i="4" s="1"/>
  <c r="N565" i="4"/>
  <c r="O565" i="4" s="1"/>
  <c r="N564" i="4"/>
  <c r="O564" i="4" s="1"/>
  <c r="N563" i="4"/>
  <c r="O563" i="4" s="1"/>
  <c r="N562" i="4"/>
  <c r="O562" i="4" s="1"/>
  <c r="N561" i="4"/>
  <c r="O561" i="4" s="1"/>
  <c r="N560" i="4"/>
  <c r="O560" i="4" s="1"/>
  <c r="N559" i="4"/>
  <c r="O559" i="4" s="1"/>
  <c r="N558" i="4"/>
  <c r="O558" i="4" s="1"/>
  <c r="N557" i="4"/>
  <c r="O557" i="4" s="1"/>
  <c r="N556" i="4"/>
  <c r="O556" i="4" s="1"/>
  <c r="N555" i="4"/>
  <c r="O555" i="4" s="1"/>
  <c r="N554" i="4"/>
  <c r="O554" i="4" s="1"/>
  <c r="N553" i="4"/>
  <c r="O553" i="4" s="1"/>
  <c r="N552" i="4"/>
  <c r="O552" i="4" s="1"/>
  <c r="N551" i="4"/>
  <c r="O551" i="4" s="1"/>
  <c r="N550" i="4"/>
  <c r="O550" i="4" s="1"/>
  <c r="N549" i="4"/>
  <c r="O549" i="4" s="1"/>
  <c r="N548" i="4"/>
  <c r="O548" i="4" s="1"/>
  <c r="N547" i="4"/>
  <c r="O547" i="4" s="1"/>
  <c r="N546" i="4"/>
  <c r="O546" i="4" s="1"/>
  <c r="O545" i="4"/>
  <c r="N545" i="4"/>
  <c r="N544" i="4"/>
  <c r="O544" i="4" s="1"/>
  <c r="N543" i="4"/>
  <c r="O543" i="4" s="1"/>
  <c r="N542" i="4"/>
  <c r="O542" i="4" s="1"/>
  <c r="N541" i="4"/>
  <c r="O541" i="4" s="1"/>
  <c r="N540" i="4"/>
  <c r="O540" i="4" s="1"/>
  <c r="N539" i="4"/>
  <c r="O539" i="4" s="1"/>
  <c r="O538" i="4"/>
  <c r="N538" i="4"/>
  <c r="N537" i="4"/>
  <c r="O537" i="4" s="1"/>
  <c r="N536" i="4"/>
  <c r="O536" i="4" s="1"/>
  <c r="N535" i="4"/>
  <c r="O535" i="4" s="1"/>
  <c r="N534" i="4"/>
  <c r="O534" i="4" s="1"/>
  <c r="N533" i="4"/>
  <c r="O533" i="4" s="1"/>
  <c r="N532" i="4"/>
  <c r="O532" i="4" s="1"/>
  <c r="N531" i="4"/>
  <c r="O531" i="4" s="1"/>
  <c r="N530" i="4"/>
  <c r="O530" i="4" s="1"/>
  <c r="N529" i="4"/>
  <c r="O529" i="4" s="1"/>
  <c r="N528" i="4"/>
  <c r="O528" i="4" s="1"/>
  <c r="N527" i="4"/>
  <c r="O527" i="4" s="1"/>
  <c r="N526" i="4"/>
  <c r="O526" i="4" s="1"/>
  <c r="O525" i="4"/>
  <c r="N525" i="4"/>
  <c r="N524" i="4"/>
  <c r="O524" i="4" s="1"/>
  <c r="N523" i="4"/>
  <c r="O523" i="4" s="1"/>
  <c r="N522" i="4"/>
  <c r="O522" i="4" s="1"/>
  <c r="N521" i="4"/>
  <c r="O521" i="4" s="1"/>
  <c r="N520" i="4"/>
  <c r="O520" i="4" s="1"/>
  <c r="N519" i="4"/>
  <c r="O519" i="4" s="1"/>
  <c r="O518" i="4"/>
  <c r="N518" i="4"/>
  <c r="N517" i="4"/>
  <c r="O517" i="4" s="1"/>
  <c r="N516" i="4"/>
  <c r="O516" i="4" s="1"/>
  <c r="N515" i="4"/>
  <c r="O515" i="4" s="1"/>
  <c r="N514" i="4"/>
  <c r="O514" i="4" s="1"/>
  <c r="N513" i="4"/>
  <c r="O513" i="4" s="1"/>
  <c r="N512" i="4"/>
  <c r="O512" i="4" s="1"/>
  <c r="N511" i="4"/>
  <c r="O511" i="4" s="1"/>
  <c r="N510" i="4"/>
  <c r="O510" i="4" s="1"/>
  <c r="N509" i="4"/>
  <c r="O509" i="4" s="1"/>
  <c r="N508" i="4"/>
  <c r="O508" i="4" s="1"/>
  <c r="N507" i="4"/>
  <c r="O507" i="4" s="1"/>
  <c r="N506" i="4"/>
  <c r="O506" i="4" s="1"/>
  <c r="N505" i="4"/>
  <c r="O505" i="4" s="1"/>
  <c r="N504" i="4"/>
  <c r="O504" i="4" s="1"/>
  <c r="N503" i="4"/>
  <c r="O503" i="4" s="1"/>
  <c r="N502" i="4"/>
  <c r="O502" i="4" s="1"/>
  <c r="N501" i="4"/>
  <c r="O501" i="4" s="1"/>
  <c r="N500" i="4"/>
  <c r="O500" i="4" s="1"/>
  <c r="N499" i="4"/>
  <c r="O499" i="4" s="1"/>
  <c r="N498" i="4"/>
  <c r="O498" i="4" s="1"/>
  <c r="N497" i="4"/>
  <c r="O497" i="4" s="1"/>
  <c r="N496" i="4"/>
  <c r="O496" i="4" s="1"/>
  <c r="N495" i="4"/>
  <c r="O495" i="4" s="1"/>
  <c r="N494" i="4"/>
  <c r="O494" i="4" s="1"/>
  <c r="N493" i="4"/>
  <c r="O493" i="4" s="1"/>
  <c r="N492" i="4"/>
  <c r="O492" i="4" s="1"/>
  <c r="N491" i="4"/>
  <c r="O491" i="4" s="1"/>
  <c r="O490" i="4"/>
  <c r="N490" i="4"/>
  <c r="N489" i="4"/>
  <c r="O489" i="4" s="1"/>
  <c r="N488" i="4"/>
  <c r="O488" i="4" s="1"/>
  <c r="N487" i="4"/>
  <c r="O487" i="4" s="1"/>
  <c r="N486" i="4"/>
  <c r="O486" i="4" s="1"/>
  <c r="N485" i="4"/>
  <c r="O485" i="4" s="1"/>
  <c r="N484" i="4"/>
  <c r="O484" i="4" s="1"/>
  <c r="O483" i="4"/>
  <c r="N483" i="4"/>
  <c r="O482" i="4"/>
  <c r="N482" i="4"/>
  <c r="N481" i="4"/>
  <c r="O481" i="4" s="1"/>
  <c r="N480" i="4"/>
  <c r="O480" i="4" s="1"/>
  <c r="N479" i="4"/>
  <c r="O479" i="4" s="1"/>
  <c r="N478" i="4"/>
  <c r="O478" i="4" s="1"/>
  <c r="N477" i="4"/>
  <c r="O477" i="4" s="1"/>
  <c r="N476" i="4"/>
  <c r="O476" i="4" s="1"/>
  <c r="O475" i="4"/>
  <c r="N475" i="4"/>
  <c r="N474" i="4"/>
  <c r="O474" i="4" s="1"/>
  <c r="N473" i="4"/>
  <c r="O473" i="4" s="1"/>
  <c r="N472" i="4"/>
  <c r="O472" i="4" s="1"/>
  <c r="N471" i="4"/>
  <c r="O471" i="4" s="1"/>
  <c r="N470" i="4"/>
  <c r="O470" i="4" s="1"/>
  <c r="N469" i="4"/>
  <c r="O469" i="4" s="1"/>
  <c r="N468" i="4"/>
  <c r="O468" i="4" s="1"/>
  <c r="N467" i="4"/>
  <c r="O467" i="4" s="1"/>
  <c r="N466" i="4"/>
  <c r="O466" i="4" s="1"/>
  <c r="N465" i="4"/>
  <c r="O465" i="4" s="1"/>
  <c r="N464" i="4"/>
  <c r="O464" i="4" s="1"/>
  <c r="N463" i="4"/>
  <c r="O463" i="4" s="1"/>
  <c r="N462" i="4"/>
  <c r="O462" i="4" s="1"/>
  <c r="N461" i="4"/>
  <c r="O461" i="4" s="1"/>
  <c r="N460" i="4"/>
  <c r="O460" i="4" s="1"/>
  <c r="N459" i="4"/>
  <c r="O459" i="4" s="1"/>
  <c r="N458" i="4"/>
  <c r="O458" i="4" s="1"/>
  <c r="N457" i="4"/>
  <c r="O457" i="4" s="1"/>
  <c r="N456" i="4"/>
  <c r="O456" i="4" s="1"/>
  <c r="N455" i="4"/>
  <c r="O455" i="4" s="1"/>
  <c r="N454" i="4"/>
  <c r="O454" i="4" s="1"/>
  <c r="N453" i="4"/>
  <c r="O453" i="4" s="1"/>
  <c r="N452" i="4"/>
  <c r="O452" i="4" s="1"/>
  <c r="N451" i="4"/>
  <c r="O451" i="4" s="1"/>
  <c r="N450" i="4"/>
  <c r="O450" i="4" s="1"/>
  <c r="N449" i="4"/>
  <c r="O449" i="4" s="1"/>
  <c r="N448" i="4"/>
  <c r="O448" i="4" s="1"/>
  <c r="O447" i="4"/>
  <c r="N447" i="4"/>
  <c r="N446" i="4"/>
  <c r="O446" i="4" s="1"/>
  <c r="N445" i="4"/>
  <c r="O445" i="4" s="1"/>
  <c r="N444" i="4"/>
  <c r="O444" i="4" s="1"/>
  <c r="N443" i="4"/>
  <c r="O443" i="4" s="1"/>
  <c r="N442" i="4"/>
  <c r="O442" i="4" s="1"/>
  <c r="N441" i="4"/>
  <c r="O441" i="4" s="1"/>
  <c r="O440" i="4"/>
  <c r="N440" i="4"/>
  <c r="N439" i="4"/>
  <c r="O439" i="4" s="1"/>
  <c r="N438" i="4"/>
  <c r="O438" i="4" s="1"/>
  <c r="N437" i="4"/>
  <c r="O437" i="4" s="1"/>
  <c r="N436" i="4"/>
  <c r="O436" i="4" s="1"/>
  <c r="N435" i="4"/>
  <c r="O435" i="4" s="1"/>
  <c r="N434" i="4"/>
  <c r="O434" i="4" s="1"/>
  <c r="N433" i="4"/>
  <c r="O433" i="4" s="1"/>
  <c r="N432" i="4"/>
  <c r="O432" i="4" s="1"/>
  <c r="N431" i="4"/>
  <c r="O431" i="4" s="1"/>
  <c r="N430" i="4"/>
  <c r="O430" i="4" s="1"/>
  <c r="N429" i="4"/>
  <c r="O429" i="4" s="1"/>
  <c r="N428" i="4"/>
  <c r="O428" i="4" s="1"/>
  <c r="O427" i="4"/>
  <c r="N427" i="4"/>
  <c r="N426" i="4"/>
  <c r="O426" i="4" s="1"/>
  <c r="N425" i="4"/>
  <c r="O425" i="4" s="1"/>
  <c r="N424" i="4"/>
  <c r="O424" i="4" s="1"/>
  <c r="N423" i="4"/>
  <c r="O423" i="4" s="1"/>
  <c r="N422" i="4"/>
  <c r="O422" i="4" s="1"/>
  <c r="N421" i="4"/>
  <c r="O421" i="4" s="1"/>
  <c r="O420" i="4"/>
  <c r="N420" i="4"/>
  <c r="N419" i="4"/>
  <c r="O419" i="4" s="1"/>
  <c r="N418" i="4"/>
  <c r="O418" i="4" s="1"/>
  <c r="N417" i="4"/>
  <c r="O417" i="4" s="1"/>
  <c r="N416" i="4"/>
  <c r="O416" i="4" s="1"/>
  <c r="N415" i="4"/>
  <c r="O415" i="4" s="1"/>
  <c r="N414" i="4"/>
  <c r="O414" i="4" s="1"/>
  <c r="N413" i="4"/>
  <c r="O413" i="4" s="1"/>
  <c r="N412" i="4"/>
  <c r="O412" i="4" s="1"/>
  <c r="N411" i="4"/>
  <c r="O411" i="4" s="1"/>
  <c r="N410" i="4"/>
  <c r="O410" i="4" s="1"/>
  <c r="N409" i="4"/>
  <c r="O409" i="4" s="1"/>
  <c r="N408" i="4"/>
  <c r="O408" i="4" s="1"/>
  <c r="N407" i="4"/>
  <c r="O407" i="4" s="1"/>
  <c r="O406" i="4"/>
  <c r="N406" i="4"/>
  <c r="N405" i="4"/>
  <c r="O405" i="4" s="1"/>
  <c r="N404" i="4"/>
  <c r="O404" i="4" s="1"/>
  <c r="N403" i="4"/>
  <c r="O403" i="4" s="1"/>
  <c r="N402" i="4"/>
  <c r="O402" i="4" s="1"/>
  <c r="N401" i="4"/>
  <c r="O401" i="4" s="1"/>
  <c r="N400" i="4"/>
  <c r="O400" i="4" s="1"/>
  <c r="N399" i="4"/>
  <c r="O399" i="4" s="1"/>
  <c r="N398" i="4"/>
  <c r="O398" i="4" s="1"/>
  <c r="N397" i="4"/>
  <c r="O397" i="4" s="1"/>
  <c r="N396" i="4"/>
  <c r="O396" i="4" s="1"/>
  <c r="N395" i="4"/>
  <c r="O395" i="4" s="1"/>
  <c r="N394" i="4"/>
  <c r="O394" i="4" s="1"/>
  <c r="N393" i="4"/>
  <c r="O393" i="4" s="1"/>
  <c r="O392" i="4"/>
  <c r="N392" i="4"/>
  <c r="N391" i="4"/>
  <c r="O391" i="4" s="1"/>
  <c r="N390" i="4"/>
  <c r="O390" i="4" s="1"/>
  <c r="N389" i="4"/>
  <c r="O389" i="4" s="1"/>
  <c r="N388" i="4"/>
  <c r="O388" i="4" s="1"/>
  <c r="N387" i="4"/>
  <c r="O387" i="4" s="1"/>
  <c r="N386" i="4"/>
  <c r="O386" i="4" s="1"/>
  <c r="O385" i="4"/>
  <c r="N385" i="4"/>
  <c r="O384" i="4"/>
  <c r="N384" i="4"/>
  <c r="N383" i="4"/>
  <c r="O383" i="4" s="1"/>
  <c r="N382" i="4"/>
  <c r="O382" i="4" s="1"/>
  <c r="N381" i="4"/>
  <c r="O381" i="4" s="1"/>
  <c r="N380" i="4"/>
  <c r="O380" i="4" s="1"/>
  <c r="N379" i="4"/>
  <c r="O379" i="4" s="1"/>
  <c r="N378" i="4"/>
  <c r="O378" i="4" s="1"/>
  <c r="O377" i="4"/>
  <c r="N377" i="4"/>
  <c r="N376" i="4"/>
  <c r="O376" i="4" s="1"/>
  <c r="N375" i="4"/>
  <c r="O375" i="4" s="1"/>
  <c r="N374" i="4"/>
  <c r="O374" i="4" s="1"/>
  <c r="N373" i="4"/>
  <c r="O373" i="4" s="1"/>
  <c r="N372" i="4"/>
  <c r="O372" i="4" s="1"/>
  <c r="N371" i="4"/>
  <c r="O371" i="4" s="1"/>
  <c r="N370" i="4"/>
  <c r="O370" i="4" s="1"/>
  <c r="N369" i="4"/>
  <c r="O369" i="4" s="1"/>
  <c r="N368" i="4"/>
  <c r="O368" i="4" s="1"/>
  <c r="N367" i="4"/>
  <c r="O367" i="4" s="1"/>
  <c r="N366" i="4"/>
  <c r="O366" i="4" s="1"/>
  <c r="N365" i="4"/>
  <c r="O365" i="4" s="1"/>
  <c r="N364" i="4"/>
  <c r="O364" i="4" s="1"/>
  <c r="O363" i="4"/>
  <c r="N363" i="4"/>
  <c r="N362" i="4"/>
  <c r="O362" i="4" s="1"/>
  <c r="N361" i="4"/>
  <c r="O361" i="4" s="1"/>
  <c r="N360" i="4"/>
  <c r="O360" i="4" s="1"/>
  <c r="N359" i="4"/>
  <c r="O359" i="4" s="1"/>
  <c r="N358" i="4"/>
  <c r="O358" i="4" s="1"/>
  <c r="N357" i="4"/>
  <c r="O357" i="4" s="1"/>
  <c r="N356" i="4"/>
  <c r="O356" i="4" s="1"/>
  <c r="N355" i="4"/>
  <c r="O355" i="4" s="1"/>
  <c r="N354" i="4"/>
  <c r="O354" i="4" s="1"/>
  <c r="N353" i="4"/>
  <c r="O353" i="4" s="1"/>
  <c r="N352" i="4"/>
  <c r="O352" i="4" s="1"/>
  <c r="N351" i="4"/>
  <c r="O351" i="4" s="1"/>
  <c r="N350" i="4"/>
  <c r="O350" i="4" s="1"/>
  <c r="O349" i="4"/>
  <c r="N349" i="4"/>
  <c r="N348" i="4"/>
  <c r="O348" i="4" s="1"/>
  <c r="N347" i="4"/>
  <c r="O347" i="4" s="1"/>
  <c r="N346" i="4"/>
  <c r="O346" i="4" s="1"/>
  <c r="N345" i="4"/>
  <c r="O345" i="4" s="1"/>
  <c r="N344" i="4"/>
  <c r="O344" i="4" s="1"/>
  <c r="N343" i="4"/>
  <c r="O343" i="4" s="1"/>
  <c r="O342" i="4"/>
  <c r="N342" i="4"/>
  <c r="N341" i="4"/>
  <c r="O341" i="4" s="1"/>
  <c r="N340" i="4"/>
  <c r="O340" i="4" s="1"/>
  <c r="N339" i="4"/>
  <c r="O339" i="4" s="1"/>
  <c r="N338" i="4"/>
  <c r="O338" i="4" s="1"/>
  <c r="N337" i="4"/>
  <c r="O337" i="4" s="1"/>
  <c r="N336" i="4"/>
  <c r="O336" i="4" s="1"/>
  <c r="N335" i="4"/>
  <c r="O335" i="4" s="1"/>
  <c r="N334" i="4"/>
  <c r="O334" i="4" s="1"/>
  <c r="N333" i="4"/>
  <c r="O333" i="4" s="1"/>
  <c r="N332" i="4"/>
  <c r="O332" i="4" s="1"/>
  <c r="N331" i="4"/>
  <c r="O331" i="4" s="1"/>
  <c r="N330" i="4"/>
  <c r="O330" i="4" s="1"/>
  <c r="O329" i="4"/>
  <c r="N329" i="4"/>
  <c r="N328" i="4"/>
  <c r="O328" i="4" s="1"/>
  <c r="N327" i="4"/>
  <c r="O327" i="4" s="1"/>
  <c r="N326" i="4"/>
  <c r="O326" i="4" s="1"/>
  <c r="N325" i="4"/>
  <c r="O325" i="4" s="1"/>
  <c r="N324" i="4"/>
  <c r="O324" i="4" s="1"/>
  <c r="N323" i="4"/>
  <c r="O323" i="4" s="1"/>
  <c r="O322" i="4"/>
  <c r="N322" i="4"/>
  <c r="N321" i="4"/>
  <c r="O321" i="4" s="1"/>
  <c r="N320" i="4"/>
  <c r="O320" i="4" s="1"/>
  <c r="N319" i="4"/>
  <c r="O319" i="4" s="1"/>
  <c r="N318" i="4"/>
  <c r="O318" i="4" s="1"/>
  <c r="N317" i="4"/>
  <c r="O317" i="4" s="1"/>
  <c r="N316" i="4"/>
  <c r="O316" i="4" s="1"/>
  <c r="N315" i="4"/>
  <c r="O315" i="4" s="1"/>
  <c r="N314" i="4"/>
  <c r="O314" i="4" s="1"/>
  <c r="N313" i="4"/>
  <c r="O313" i="4" s="1"/>
  <c r="N312" i="4"/>
  <c r="O312" i="4" s="1"/>
  <c r="N311" i="4"/>
  <c r="O311" i="4" s="1"/>
  <c r="N310" i="4"/>
  <c r="O310" i="4" s="1"/>
  <c r="N309" i="4"/>
  <c r="O309" i="4" s="1"/>
  <c r="O308" i="4"/>
  <c r="N308" i="4"/>
  <c r="N307" i="4"/>
  <c r="O307" i="4" s="1"/>
  <c r="N306" i="4"/>
  <c r="O306" i="4" s="1"/>
  <c r="N305" i="4"/>
  <c r="O305" i="4" s="1"/>
  <c r="N304" i="4"/>
  <c r="O304" i="4" s="1"/>
  <c r="N303" i="4"/>
  <c r="O303" i="4" s="1"/>
  <c r="N302" i="4"/>
  <c r="O302" i="4" s="1"/>
  <c r="N301" i="4"/>
  <c r="O301" i="4" s="1"/>
  <c r="N300" i="4"/>
  <c r="O300" i="4" s="1"/>
  <c r="N299" i="4"/>
  <c r="O299" i="4" s="1"/>
  <c r="N298" i="4"/>
  <c r="O298" i="4" s="1"/>
  <c r="N297" i="4"/>
  <c r="O297" i="4" s="1"/>
  <c r="N296" i="4"/>
  <c r="O296" i="4" s="1"/>
  <c r="N295" i="4"/>
  <c r="O295" i="4" s="1"/>
  <c r="O294" i="4"/>
  <c r="N294" i="4"/>
  <c r="N293" i="4"/>
  <c r="O293" i="4" s="1"/>
  <c r="N292" i="4"/>
  <c r="O292" i="4" s="1"/>
  <c r="N291" i="4"/>
  <c r="O291" i="4" s="1"/>
  <c r="N290" i="4"/>
  <c r="O290" i="4" s="1"/>
  <c r="N289" i="4"/>
  <c r="O289" i="4" s="1"/>
  <c r="N288" i="4"/>
  <c r="O288" i="4" s="1"/>
  <c r="O287" i="4"/>
  <c r="N287" i="4"/>
  <c r="O286" i="4"/>
  <c r="N286" i="4"/>
  <c r="N285" i="4"/>
  <c r="O285" i="4" s="1"/>
  <c r="N284" i="4"/>
  <c r="O284" i="4" s="1"/>
  <c r="N283" i="4"/>
  <c r="O283" i="4" s="1"/>
  <c r="N282" i="4"/>
  <c r="O282" i="4" s="1"/>
  <c r="N281" i="4"/>
  <c r="O281" i="4" s="1"/>
  <c r="N280" i="4"/>
  <c r="O280" i="4" s="1"/>
  <c r="O279" i="4"/>
  <c r="N279" i="4"/>
  <c r="N278" i="4"/>
  <c r="O278" i="4" s="1"/>
  <c r="N277" i="4"/>
  <c r="O277" i="4" s="1"/>
  <c r="N276" i="4"/>
  <c r="O276" i="4" s="1"/>
  <c r="N275" i="4"/>
  <c r="O275" i="4" s="1"/>
  <c r="N274" i="4"/>
  <c r="O274" i="4" s="1"/>
  <c r="N273" i="4"/>
  <c r="O273" i="4" s="1"/>
  <c r="N272" i="4"/>
  <c r="O272" i="4" s="1"/>
  <c r="N271" i="4"/>
  <c r="O271" i="4" s="1"/>
  <c r="N270" i="4"/>
  <c r="O270" i="4" s="1"/>
  <c r="N269" i="4"/>
  <c r="O269" i="4" s="1"/>
  <c r="N268" i="4"/>
  <c r="O268" i="4" s="1"/>
  <c r="N267" i="4"/>
  <c r="O267" i="4" s="1"/>
  <c r="N266" i="4"/>
  <c r="O266" i="4" s="1"/>
  <c r="N265" i="4"/>
  <c r="O265" i="4" s="1"/>
  <c r="N264" i="4"/>
  <c r="O264" i="4" s="1"/>
  <c r="N263" i="4"/>
  <c r="O263" i="4" s="1"/>
  <c r="N262" i="4"/>
  <c r="O262" i="4" s="1"/>
  <c r="N261" i="4"/>
  <c r="O261" i="4" s="1"/>
  <c r="N260" i="4"/>
  <c r="O260" i="4" s="1"/>
  <c r="N259" i="4"/>
  <c r="O259" i="4" s="1"/>
  <c r="N258" i="4"/>
  <c r="O258" i="4" s="1"/>
  <c r="N257" i="4"/>
  <c r="O257" i="4" s="1"/>
  <c r="N256" i="4"/>
  <c r="O256" i="4" s="1"/>
  <c r="N255" i="4"/>
  <c r="O255" i="4" s="1"/>
  <c r="N254" i="4"/>
  <c r="O254" i="4" s="1"/>
  <c r="N253" i="4"/>
  <c r="O253" i="4" s="1"/>
  <c r="N252" i="4"/>
  <c r="O252" i="4" s="1"/>
  <c r="O251" i="4"/>
  <c r="N251" i="4"/>
  <c r="N250" i="4"/>
  <c r="O250" i="4" s="1"/>
  <c r="N249" i="4"/>
  <c r="O249" i="4" s="1"/>
  <c r="N248" i="4"/>
  <c r="O248" i="4" s="1"/>
  <c r="N247" i="4"/>
  <c r="O247" i="4" s="1"/>
  <c r="N246" i="4"/>
  <c r="O246" i="4" s="1"/>
  <c r="N245" i="4"/>
  <c r="O245" i="4" s="1"/>
  <c r="O244" i="4"/>
  <c r="N244" i="4"/>
  <c r="N243" i="4"/>
  <c r="O243" i="4" s="1"/>
  <c r="N242" i="4"/>
  <c r="O242" i="4" s="1"/>
  <c r="N241" i="4"/>
  <c r="O241" i="4" s="1"/>
  <c r="N240" i="4"/>
  <c r="O240" i="4" s="1"/>
  <c r="N239" i="4"/>
  <c r="O239" i="4" s="1"/>
  <c r="N238" i="4"/>
  <c r="O238" i="4" s="1"/>
  <c r="N237" i="4"/>
  <c r="O237" i="4" s="1"/>
  <c r="N236" i="4"/>
  <c r="O236" i="4" s="1"/>
  <c r="N235" i="4"/>
  <c r="O235" i="4" s="1"/>
  <c r="N234" i="4"/>
  <c r="O234" i="4" s="1"/>
  <c r="N233" i="4"/>
  <c r="O233" i="4" s="1"/>
  <c r="N232" i="4"/>
  <c r="O232" i="4" s="1"/>
  <c r="O231" i="4"/>
  <c r="N231" i="4"/>
  <c r="N230" i="4"/>
  <c r="O230" i="4" s="1"/>
  <c r="N229" i="4"/>
  <c r="O229" i="4" s="1"/>
  <c r="N228" i="4"/>
  <c r="O228" i="4" s="1"/>
  <c r="N227" i="4"/>
  <c r="O227" i="4" s="1"/>
  <c r="N226" i="4"/>
  <c r="O226" i="4" s="1"/>
  <c r="N225" i="4"/>
  <c r="O225" i="4" s="1"/>
  <c r="O224" i="4"/>
  <c r="N224" i="4"/>
  <c r="N223" i="4"/>
  <c r="O223" i="4" s="1"/>
  <c r="N222" i="4"/>
  <c r="O222" i="4" s="1"/>
  <c r="N221" i="4"/>
  <c r="O221" i="4" s="1"/>
  <c r="N220" i="4"/>
  <c r="O220" i="4" s="1"/>
  <c r="N219" i="4"/>
  <c r="O219" i="4" s="1"/>
  <c r="N218" i="4"/>
  <c r="O218" i="4" s="1"/>
  <c r="N217" i="4"/>
  <c r="O217" i="4" s="1"/>
  <c r="N216" i="4"/>
  <c r="O216" i="4" s="1"/>
  <c r="N215" i="4"/>
  <c r="O215" i="4" s="1"/>
  <c r="N214" i="4"/>
  <c r="O214" i="4" s="1"/>
  <c r="N213" i="4"/>
  <c r="O213" i="4" s="1"/>
  <c r="N212" i="4"/>
  <c r="O212" i="4" s="1"/>
  <c r="N211" i="4"/>
  <c r="O211" i="4" s="1"/>
  <c r="N210" i="4"/>
  <c r="O210" i="4" s="1"/>
  <c r="N209" i="4"/>
  <c r="O209" i="4" s="1"/>
  <c r="N208" i="4"/>
  <c r="O208" i="4" s="1"/>
  <c r="N207" i="4"/>
  <c r="O207" i="4" s="1"/>
  <c r="N206" i="4"/>
  <c r="O206" i="4" s="1"/>
  <c r="N205" i="4"/>
  <c r="O205" i="4" s="1"/>
  <c r="N204" i="4"/>
  <c r="O204" i="4" s="1"/>
  <c r="N203" i="4"/>
  <c r="O203" i="4" s="1"/>
  <c r="N202" i="4"/>
  <c r="O202" i="4" s="1"/>
  <c r="O201" i="4"/>
  <c r="N201" i="4"/>
  <c r="O200" i="4"/>
  <c r="N200" i="4"/>
  <c r="N199" i="4"/>
  <c r="O199" i="4" s="1"/>
  <c r="N198" i="4"/>
  <c r="O198" i="4" s="1"/>
  <c r="N197" i="4"/>
  <c r="O197" i="4" s="1"/>
  <c r="N196" i="4"/>
  <c r="O196" i="4" s="1"/>
  <c r="O195" i="4"/>
  <c r="N195" i="4"/>
  <c r="N194" i="4"/>
  <c r="O194" i="4" s="1"/>
  <c r="N193" i="4"/>
  <c r="O193" i="4" s="1"/>
  <c r="N192" i="4"/>
  <c r="O192" i="4" s="1"/>
  <c r="O191" i="4"/>
  <c r="N191" i="4"/>
  <c r="N190" i="4"/>
  <c r="O190" i="4" s="1"/>
  <c r="N189" i="4"/>
  <c r="O189" i="4" s="1"/>
  <c r="N188" i="4"/>
  <c r="O188" i="4" s="1"/>
  <c r="N187" i="4"/>
  <c r="O187" i="4" s="1"/>
  <c r="O186" i="4"/>
  <c r="N186" i="4"/>
  <c r="O185" i="4"/>
  <c r="N185" i="4"/>
  <c r="N184" i="4"/>
  <c r="O184" i="4" s="1"/>
  <c r="N183" i="4"/>
  <c r="O183" i="4" s="1"/>
  <c r="N182" i="4"/>
  <c r="O182" i="4" s="1"/>
  <c r="N181" i="4"/>
  <c r="O181" i="4" s="1"/>
  <c r="O180" i="4"/>
  <c r="N180" i="4"/>
  <c r="N179" i="4"/>
  <c r="O179" i="4" s="1"/>
  <c r="N178" i="4"/>
  <c r="O178" i="4" s="1"/>
  <c r="N177" i="4"/>
  <c r="O177" i="4" s="1"/>
  <c r="N176" i="4"/>
  <c r="O176" i="4" s="1"/>
  <c r="N175" i="4"/>
  <c r="O175" i="4" s="1"/>
  <c r="N174" i="4"/>
  <c r="O174" i="4" s="1"/>
  <c r="N173" i="4"/>
  <c r="O173" i="4" s="1"/>
  <c r="N172" i="4"/>
  <c r="O172" i="4" s="1"/>
  <c r="O171" i="4"/>
  <c r="N171" i="4"/>
  <c r="O170" i="4"/>
  <c r="N170" i="4"/>
  <c r="N169" i="4"/>
  <c r="O169" i="4" s="1"/>
  <c r="O168" i="4"/>
  <c r="N168" i="4"/>
  <c r="N167" i="4"/>
  <c r="O167" i="4" s="1"/>
  <c r="N166" i="4"/>
  <c r="O166" i="4" s="1"/>
  <c r="O165" i="4"/>
  <c r="N165" i="4"/>
  <c r="N164" i="4"/>
  <c r="O164" i="4" s="1"/>
  <c r="N163" i="4"/>
  <c r="O163" i="4" s="1"/>
  <c r="N162" i="4"/>
  <c r="O162" i="4" s="1"/>
  <c r="N161" i="4"/>
  <c r="O161" i="4" s="1"/>
  <c r="N160" i="4"/>
  <c r="O160" i="4" s="1"/>
  <c r="N159" i="4"/>
  <c r="O159" i="4" s="1"/>
  <c r="N158" i="4"/>
  <c r="O158" i="4" s="1"/>
  <c r="N157" i="4"/>
  <c r="O157" i="4" s="1"/>
  <c r="O156" i="4"/>
  <c r="N156" i="4"/>
  <c r="N155" i="4"/>
  <c r="O155" i="4" s="1"/>
  <c r="N154" i="4"/>
  <c r="O154" i="4" s="1"/>
  <c r="O153" i="4"/>
  <c r="N153" i="4"/>
  <c r="N152" i="4"/>
  <c r="O152" i="4" s="1"/>
  <c r="N151" i="4"/>
  <c r="O151" i="4" s="1"/>
  <c r="O150" i="4"/>
  <c r="N150" i="4"/>
  <c r="N149" i="4"/>
  <c r="O149" i="4" s="1"/>
  <c r="N148" i="4"/>
  <c r="O148" i="4" s="1"/>
  <c r="O147" i="4"/>
  <c r="N147" i="4"/>
  <c r="N146" i="4"/>
  <c r="O146" i="4" s="1"/>
  <c r="N145" i="4"/>
  <c r="O145" i="4" s="1"/>
  <c r="N144" i="4"/>
  <c r="O144" i="4" s="1"/>
  <c r="N143" i="4"/>
  <c r="O143" i="4" s="1"/>
  <c r="N142" i="4"/>
  <c r="O142" i="4" s="1"/>
  <c r="N141" i="4"/>
  <c r="O141" i="4" s="1"/>
  <c r="N140" i="4"/>
  <c r="O140" i="4" s="1"/>
  <c r="N139" i="4"/>
  <c r="O139" i="4" s="1"/>
  <c r="O138" i="4"/>
  <c r="N138" i="4"/>
  <c r="N137" i="4"/>
  <c r="O137" i="4" s="1"/>
  <c r="N136" i="4"/>
  <c r="O136" i="4" s="1"/>
  <c r="O135" i="4"/>
  <c r="N135" i="4"/>
  <c r="N134" i="4"/>
  <c r="O134" i="4" s="1"/>
  <c r="N133" i="4"/>
  <c r="O133" i="4" s="1"/>
  <c r="N132" i="4"/>
  <c r="O132" i="4" s="1"/>
  <c r="O131" i="4"/>
  <c r="N131" i="4"/>
  <c r="N130" i="4"/>
  <c r="O130" i="4" s="1"/>
  <c r="N129" i="4"/>
  <c r="O129" i="4" s="1"/>
  <c r="O128" i="4"/>
  <c r="N128" i="4"/>
  <c r="N127" i="4"/>
  <c r="O127" i="4" s="1"/>
  <c r="N126" i="4"/>
  <c r="O126" i="4" s="1"/>
  <c r="N125" i="4"/>
  <c r="O125" i="4" s="1"/>
  <c r="O124" i="4"/>
  <c r="N124" i="4"/>
  <c r="N123" i="4"/>
  <c r="O123" i="4" s="1"/>
  <c r="N122" i="4"/>
  <c r="O122" i="4" s="1"/>
  <c r="O121" i="4"/>
  <c r="N121" i="4"/>
  <c r="N120" i="4"/>
  <c r="O120" i="4" s="1"/>
  <c r="N119" i="4"/>
  <c r="O119" i="4" s="1"/>
  <c r="N118" i="4"/>
  <c r="O118" i="4" s="1"/>
  <c r="O117" i="4"/>
  <c r="N117" i="4"/>
  <c r="N116" i="4"/>
  <c r="O116" i="4" s="1"/>
  <c r="N115" i="4"/>
  <c r="O115" i="4" s="1"/>
  <c r="O114" i="4"/>
  <c r="N114" i="4"/>
  <c r="N113" i="4"/>
  <c r="O113" i="4" s="1"/>
  <c r="N112" i="4"/>
  <c r="O112" i="4" s="1"/>
  <c r="N111" i="4"/>
  <c r="O111" i="4" s="1"/>
  <c r="O110" i="4"/>
  <c r="N110" i="4"/>
  <c r="N109" i="4"/>
  <c r="O109" i="4" s="1"/>
  <c r="N108" i="4"/>
  <c r="O108" i="4" s="1"/>
  <c r="O107" i="4"/>
  <c r="N107" i="4"/>
  <c r="N106" i="4"/>
  <c r="O106" i="4" s="1"/>
  <c r="N105" i="4"/>
  <c r="O105" i="4" s="1"/>
  <c r="N104" i="4"/>
  <c r="O104" i="4" s="1"/>
  <c r="O103" i="4"/>
  <c r="N103" i="4"/>
  <c r="N102" i="4"/>
  <c r="O102" i="4" s="1"/>
  <c r="N101" i="4"/>
  <c r="O101" i="4" s="1"/>
  <c r="O100" i="4"/>
  <c r="N100" i="4"/>
  <c r="N99" i="4"/>
  <c r="O99" i="4" s="1"/>
  <c r="N98" i="4"/>
  <c r="O98" i="4" s="1"/>
  <c r="N97" i="4"/>
  <c r="O97" i="4" s="1"/>
  <c r="O96" i="4"/>
  <c r="N96" i="4"/>
  <c r="N95" i="4"/>
  <c r="O95" i="4" s="1"/>
  <c r="N94" i="4"/>
  <c r="O94" i="4" s="1"/>
  <c r="O93" i="4"/>
  <c r="N93" i="4"/>
  <c r="N92" i="4"/>
  <c r="O92" i="4" s="1"/>
  <c r="N91" i="4"/>
  <c r="O91" i="4" s="1"/>
  <c r="N90" i="4"/>
  <c r="O90" i="4" s="1"/>
  <c r="O89" i="4"/>
  <c r="N89" i="4"/>
  <c r="N88" i="4"/>
  <c r="O88" i="4" s="1"/>
  <c r="N87" i="4"/>
  <c r="O87" i="4" s="1"/>
  <c r="O86" i="4"/>
  <c r="N86" i="4"/>
  <c r="N85" i="4"/>
  <c r="O85" i="4" s="1"/>
  <c r="N84" i="4"/>
  <c r="O84" i="4" s="1"/>
  <c r="N83" i="4"/>
  <c r="O83" i="4" s="1"/>
  <c r="O82" i="4"/>
  <c r="N82" i="4"/>
  <c r="N81" i="4"/>
  <c r="O81" i="4" s="1"/>
  <c r="N80" i="4"/>
  <c r="O80" i="4" s="1"/>
  <c r="O79" i="4"/>
  <c r="N79" i="4"/>
  <c r="N78" i="4"/>
  <c r="O78" i="4" s="1"/>
  <c r="N77" i="4"/>
  <c r="O77" i="4" s="1"/>
  <c r="N76" i="4"/>
  <c r="O76" i="4" s="1"/>
  <c r="O75" i="4"/>
  <c r="N75" i="4"/>
  <c r="N74" i="4"/>
  <c r="O74" i="4" s="1"/>
  <c r="N73" i="4"/>
  <c r="O73" i="4" s="1"/>
  <c r="O72" i="4"/>
  <c r="N72" i="4"/>
  <c r="N71" i="4"/>
  <c r="O71" i="4" s="1"/>
  <c r="N70" i="4"/>
  <c r="O70" i="4" s="1"/>
  <c r="N69" i="4"/>
  <c r="O69" i="4" s="1"/>
  <c r="O68" i="4"/>
  <c r="N68" i="4"/>
  <c r="N67" i="4"/>
  <c r="O67" i="4" s="1"/>
  <c r="N66" i="4"/>
  <c r="O66" i="4" s="1"/>
  <c r="O65" i="4"/>
  <c r="N65" i="4"/>
  <c r="N64" i="4"/>
  <c r="O64" i="4" s="1"/>
  <c r="N63" i="4"/>
  <c r="O63" i="4" s="1"/>
  <c r="N62" i="4"/>
  <c r="O62" i="4" s="1"/>
  <c r="O61" i="4"/>
  <c r="N61" i="4"/>
  <c r="N60" i="4"/>
  <c r="O60" i="4" s="1"/>
  <c r="N59" i="4"/>
  <c r="O59" i="4" s="1"/>
  <c r="O58" i="4"/>
  <c r="N58" i="4"/>
  <c r="N57" i="4"/>
  <c r="O57" i="4" s="1"/>
  <c r="N56" i="4"/>
  <c r="O56" i="4" s="1"/>
  <c r="N55" i="4"/>
  <c r="O55" i="4" s="1"/>
  <c r="O54" i="4"/>
  <c r="N54" i="4"/>
  <c r="N53" i="4"/>
  <c r="O53" i="4" s="1"/>
  <c r="N52" i="4"/>
  <c r="O52" i="4" s="1"/>
  <c r="O51" i="4"/>
  <c r="N51" i="4"/>
  <c r="N50" i="4"/>
  <c r="O50" i="4" s="1"/>
  <c r="N49" i="4"/>
  <c r="O49" i="4" s="1"/>
  <c r="N48" i="4"/>
  <c r="O48" i="4" s="1"/>
  <c r="O47" i="4"/>
  <c r="N47" i="4"/>
  <c r="N46" i="4"/>
  <c r="O46" i="4" s="1"/>
  <c r="N45" i="4"/>
  <c r="O45" i="4" s="1"/>
  <c r="O44" i="4"/>
  <c r="N44" i="4"/>
  <c r="N43" i="4"/>
  <c r="O43" i="4" s="1"/>
  <c r="N42" i="4"/>
  <c r="O42" i="4" s="1"/>
  <c r="N41" i="4"/>
  <c r="O41" i="4" s="1"/>
  <c r="O40" i="4"/>
  <c r="N40" i="4"/>
  <c r="N39" i="4"/>
  <c r="O39" i="4" s="1"/>
  <c r="N38" i="4"/>
  <c r="O38" i="4" s="1"/>
  <c r="O37" i="4"/>
  <c r="N37" i="4"/>
  <c r="N36" i="4"/>
  <c r="O36" i="4" s="1"/>
  <c r="N35" i="4"/>
  <c r="O35" i="4" s="1"/>
  <c r="N34" i="4"/>
  <c r="O34" i="4" s="1"/>
  <c r="O33" i="4"/>
  <c r="N33" i="4"/>
  <c r="N32" i="4"/>
  <c r="O32" i="4" s="1"/>
  <c r="N31" i="4"/>
  <c r="O31" i="4" s="1"/>
  <c r="O30" i="4"/>
  <c r="N30" i="4"/>
  <c r="N29" i="4"/>
  <c r="O29" i="4" s="1"/>
  <c r="N28" i="4"/>
  <c r="O28" i="4" s="1"/>
  <c r="N27" i="4"/>
  <c r="O27" i="4" s="1"/>
  <c r="O26" i="4"/>
  <c r="N26" i="4"/>
  <c r="N25" i="4"/>
  <c r="O25" i="4" s="1"/>
  <c r="N24" i="4"/>
  <c r="O24" i="4" s="1"/>
  <c r="O23" i="4"/>
  <c r="N23" i="4"/>
  <c r="N22" i="4"/>
  <c r="O22" i="4" s="1"/>
  <c r="N21" i="4"/>
  <c r="O21" i="4" s="1"/>
  <c r="N20" i="4"/>
  <c r="O20" i="4" s="1"/>
  <c r="O19" i="4"/>
  <c r="N19" i="4"/>
  <c r="N18" i="4"/>
  <c r="O18" i="4" s="1"/>
  <c r="N17" i="4"/>
  <c r="O17" i="4" s="1"/>
  <c r="O16" i="4"/>
  <c r="N16" i="4"/>
  <c r="N15" i="4"/>
  <c r="O15" i="4" s="1"/>
  <c r="N14" i="4"/>
  <c r="O14" i="4" s="1"/>
  <c r="N13" i="4"/>
  <c r="O13" i="4" s="1"/>
  <c r="O12" i="4"/>
  <c r="N12" i="4"/>
  <c r="N11" i="4"/>
  <c r="O11" i="4" s="1"/>
  <c r="N10" i="4"/>
  <c r="O10" i="4" s="1"/>
  <c r="O9" i="4"/>
  <c r="N9" i="4"/>
  <c r="N8" i="4"/>
  <c r="O8" i="4" s="1"/>
  <c r="N7" i="4"/>
  <c r="O7" i="4" s="1"/>
  <c r="N6" i="4"/>
  <c r="O6" i="4" s="1"/>
  <c r="O5" i="4"/>
  <c r="N5" i="4"/>
  <c r="H22" i="1"/>
  <c r="F22" i="1"/>
  <c r="G22" i="1" s="1"/>
  <c r="H21" i="1"/>
  <c r="F21" i="1"/>
  <c r="G21" i="1" s="1"/>
  <c r="H20" i="1"/>
  <c r="F20" i="1"/>
  <c r="G20" i="1" s="1"/>
  <c r="H19" i="1"/>
  <c r="F19" i="1"/>
  <c r="G19" i="1" s="1"/>
  <c r="H18" i="1"/>
  <c r="F18" i="1"/>
  <c r="G18" i="1" s="1"/>
  <c r="H17" i="1"/>
  <c r="F17" i="1"/>
  <c r="G17" i="1" s="1"/>
  <c r="H16" i="1"/>
  <c r="F16" i="1"/>
  <c r="G16" i="1" s="1"/>
  <c r="F15" i="1"/>
  <c r="G15" i="1" s="1"/>
  <c r="H14" i="1"/>
  <c r="F14" i="1"/>
  <c r="G14" i="1" s="1"/>
  <c r="B14" i="1"/>
  <c r="K14" i="1" s="1"/>
  <c r="H13" i="1"/>
  <c r="F13" i="1"/>
  <c r="G13" i="1" s="1"/>
  <c r="B13" i="1"/>
  <c r="C13" i="1" s="1"/>
  <c r="H12" i="1"/>
  <c r="F12" i="1"/>
  <c r="G12" i="1" s="1"/>
  <c r="B12" i="1"/>
  <c r="K12" i="1" s="1"/>
  <c r="H11" i="1"/>
  <c r="F11" i="1"/>
  <c r="G11" i="1" s="1"/>
  <c r="B11" i="1"/>
  <c r="B7" i="1"/>
  <c r="H6" i="1"/>
  <c r="E6" i="1"/>
  <c r="H7" i="1" s="1"/>
  <c r="B6" i="1"/>
  <c r="E7" i="1" l="1"/>
  <c r="B15" i="1"/>
  <c r="K13" i="1"/>
  <c r="C11" i="1"/>
  <c r="K11" i="1"/>
  <c r="C14" i="1"/>
  <c r="C12" i="1"/>
  <c r="C15" i="1" l="1"/>
</calcChain>
</file>

<file path=xl/sharedStrings.xml><?xml version="1.0" encoding="utf-8"?>
<sst xmlns="http://schemas.openxmlformats.org/spreadsheetml/2006/main" count="16463" uniqueCount="1403">
  <si>
    <t>CODIAGRO – PRESUPUESTO DE MARKETING 2027</t>
  </si>
  <si>
    <t>Programas integrados por cliente construidos desde las familias A/B, su ciclo de vida y su rol estratégico</t>
  </si>
  <si>
    <t>Ventas presupuestadas 2027</t>
  </si>
  <si>
    <t>Plan asignado</t>
  </si>
  <si>
    <t>Reserva táctica</t>
  </si>
  <si>
    <t>Presupuesto MKT</t>
  </si>
  <si>
    <t>Inversión / ventas</t>
  </si>
  <si>
    <t>Diferencia vs límite</t>
  </si>
  <si>
    <t>Bloque presupuestario</t>
  </si>
  <si>
    <t>Presupuesto (€)</t>
  </si>
  <si>
    <t>% total</t>
  </si>
  <si>
    <t>Mes</t>
  </si>
  <si>
    <t>% anual</t>
  </si>
  <si>
    <t>Acciones / líneas</t>
  </si>
  <si>
    <t>Datos gráfico</t>
  </si>
  <si>
    <t>Presupuesto</t>
  </si>
  <si>
    <t>Ferias y encuentros</t>
  </si>
  <si>
    <t>Enero</t>
  </si>
  <si>
    <t>Corporativo y transversal</t>
  </si>
  <si>
    <t>Febrero</t>
  </si>
  <si>
    <t>Cliente-producto</t>
  </si>
  <si>
    <t>Marzo</t>
  </si>
  <si>
    <t>Abril</t>
  </si>
  <si>
    <t>TOTAL</t>
  </si>
  <si>
    <t>Mayo</t>
  </si>
  <si>
    <t>Junio</t>
  </si>
  <si>
    <t>Julio</t>
  </si>
  <si>
    <t>Prioridad cliente–familia</t>
  </si>
  <si>
    <t>Combinaciones</t>
  </si>
  <si>
    <t>Ventas 2027 (€)</t>
  </si>
  <si>
    <t>Agosto</t>
  </si>
  <si>
    <t>A</t>
  </si>
  <si>
    <t>Septiembre</t>
  </si>
  <si>
    <t>B</t>
  </si>
  <si>
    <t>Octubre</t>
  </si>
  <si>
    <t>C</t>
  </si>
  <si>
    <t>Noviembre</t>
  </si>
  <si>
    <t>D</t>
  </si>
  <si>
    <t>Diciembre</t>
  </si>
  <si>
    <t>Criterio temporal: el plan del cliente comienza dos meses antes de su pico conjunto; la ejecución y el presupuesto de cada familia se sitúan un mes antes de su propio pico de ventas.</t>
  </si>
  <si>
    <t>Plan integrado de acciones y presupuesto</t>
  </si>
  <si>
    <t>ID</t>
  </si>
  <si>
    <t>Bloque</t>
  </si>
  <si>
    <t>Categoría</t>
  </si>
  <si>
    <t>Mes inicio plan acciones</t>
  </si>
  <si>
    <t>Comercial</t>
  </si>
  <si>
    <t>País</t>
  </si>
  <si>
    <t>Cliente</t>
  </si>
  <si>
    <t>Clasificación cliente</t>
  </si>
  <si>
    <t>Nº familias A/B</t>
  </si>
  <si>
    <t>Mix prioridad</t>
  </si>
  <si>
    <t>Familias foco</t>
  </si>
  <si>
    <t>Programa integrado</t>
  </si>
  <si>
    <t>Componentes 2027</t>
  </si>
  <si>
    <t>Público objetivo</t>
  </si>
  <si>
    <t>Intensidad</t>
  </si>
  <si>
    <t>Score máximo</t>
  </si>
  <si>
    <t>Presupuesto total programa (€)</t>
  </si>
  <si>
    <t>Estado / nota</t>
  </si>
  <si>
    <t>Ferias</t>
  </si>
  <si>
    <t>ESPAÑA</t>
  </si>
  <si>
    <t>Fruit Attraction</t>
  </si>
  <si>
    <t>Estimación inicial</t>
  </si>
  <si>
    <t>ALEMANIA</t>
  </si>
  <si>
    <t>Fruit Logistica</t>
  </si>
  <si>
    <t>EGIPTO</t>
  </si>
  <si>
    <t>Sahara Expo</t>
  </si>
  <si>
    <t>TURQUÍA</t>
  </si>
  <si>
    <t>Growtech</t>
  </si>
  <si>
    <t>RUMANÍA</t>
  </si>
  <si>
    <t>INDAGRA</t>
  </si>
  <si>
    <t>AZERBAIYÁN</t>
  </si>
  <si>
    <t>Caspian Agro</t>
  </si>
  <si>
    <t>MARRUECOS</t>
  </si>
  <si>
    <t>SIAM</t>
  </si>
  <si>
    <t>MÉXICO</t>
  </si>
  <si>
    <t>Expo AgroAlimentaria Guanajuato</t>
  </si>
  <si>
    <t>Contingencia ferias</t>
  </si>
  <si>
    <t>MULTIPAÍS</t>
  </si>
  <si>
    <t>Contingencia 10% ferias</t>
  </si>
  <si>
    <t>Corporativo</t>
  </si>
  <si>
    <t>GLOBAL</t>
  </si>
  <si>
    <t>Actualización catálogo y adaptación digital</t>
  </si>
  <si>
    <t>Versión inglesa del catálogo</t>
  </si>
  <si>
    <t>Materiales técnicos bilingües</t>
  </si>
  <si>
    <t>Organización base de datos</t>
  </si>
  <si>
    <t>Plataforma email marketing</t>
  </si>
  <si>
    <t>Plantillas y configuración email</t>
  </si>
  <si>
    <t>Apoyo a campañas y lanzamientos</t>
  </si>
  <si>
    <t>Merchandising</t>
  </si>
  <si>
    <t>Gorras personalizadas (100)</t>
  </si>
  <si>
    <t>Polos o camisetas (100)</t>
  </si>
  <si>
    <t>Agendas o libretas (100)</t>
  </si>
  <si>
    <t>Bolígrafos personalizados (100)</t>
  </si>
  <si>
    <t>Packs premium clientes estratégicos (30)</t>
  </si>
  <si>
    <t>Preparación y logística</t>
  </si>
  <si>
    <t>Contingencia corporativa</t>
  </si>
  <si>
    <t>Contingencia 10% corporativo</t>
  </si>
  <si>
    <t>Reserva</t>
  </si>
  <si>
    <t>Reserva táctica y ajustes</t>
  </si>
  <si>
    <t>Programa integrado cliente-producto</t>
  </si>
  <si>
    <t>Alfonso</t>
  </si>
  <si>
    <t>ACTIV. PRODUC. Y COMERC. LA VEGUILLA, SL</t>
  </si>
  <si>
    <t>Consolidado/estratégico</t>
  </si>
  <si>
    <t>3 A / 1 B</t>
  </si>
  <si>
    <t>BIORAD-20, CODIORGAN A-50, AGROPOTASION</t>
  </si>
  <si>
    <t>Generación de demanda y adopción</t>
  </si>
  <si>
    <t>Campo demostrativo: BIORAD-20 | Formación técnica al distribuidor: BIORAD-20, CODIORGAN A-50, AGROPOTASION | Bolsa de muestras: BIORAD-20, CODIORGAN A-50</t>
  </si>
  <si>
    <t>Agricultores y técnicos; Equipo comercial y técnico del distribuidor; Distribuidor y agricultores seleccionados</t>
  </si>
  <si>
    <t>Media</t>
  </si>
  <si>
    <t>Programa integrado; validar con Comercial/Técnico</t>
  </si>
  <si>
    <t>García</t>
  </si>
  <si>
    <t>AGROREBOLLO, S.L.</t>
  </si>
  <si>
    <t>En desarrollo/nuevo</t>
  </si>
  <si>
    <t>1 A / 1 B</t>
  </si>
  <si>
    <t>AQUOM</t>
  </si>
  <si>
    <t>Desarrollo de producto</t>
  </si>
  <si>
    <t>Campo demostrativo: AQUOM</t>
  </si>
  <si>
    <t>Agricultores y técnicos</t>
  </si>
  <si>
    <t>Ricardo</t>
  </si>
  <si>
    <t>CHILE</t>
  </si>
  <si>
    <t>BAYER, S.A.</t>
  </si>
  <si>
    <t>2 A / 2 B</t>
  </si>
  <si>
    <t>BAYFOLAN CALCIO, ALCAPLANT</t>
  </si>
  <si>
    <t>Campo demostrativo: BAYFOLAN CALCIO | Jornada técnica con agricultores: ALCAPLANT</t>
  </si>
  <si>
    <t>Alta</t>
  </si>
  <si>
    <t>BOSCO ABASCAL, S.L.</t>
  </si>
  <si>
    <t>Con potencial</t>
  </si>
  <si>
    <t>2 A / 4 B</t>
  </si>
  <si>
    <t>AGROXIGREEN-MG, AGROXILATO ZN PLUS</t>
  </si>
  <si>
    <t>Campo demostrativo: AGROXIGREEN-MG | Bolsa de muestras: AGROXIGREEN-MG | Campaña de sell-out / consumo: AGROXILATO ZN PLUS</t>
  </si>
  <si>
    <t>Agricultores y técnicos; Distribuidor y agricultores seleccionados; Distribuidor y compradores</t>
  </si>
  <si>
    <t>COMERCIAL NANCLARES, S.L.</t>
  </si>
  <si>
    <t>1 A / 2 B</t>
  </si>
  <si>
    <t>CODICOBRE, CODIBOR-L</t>
  </si>
  <si>
    <t>Fidelización y desarrollo de cartera</t>
  </si>
  <si>
    <t>Campaña de sell-out / consumo: CODICOBRE, CODIBOR-L</t>
  </si>
  <si>
    <t>Distribuidor y compradores</t>
  </si>
  <si>
    <t>DIPLOMATS ORCHARDS FOR TRADE AGENCIES</t>
  </si>
  <si>
    <t>4 A / 2 B</t>
  </si>
  <si>
    <t>FLORAMEC AVANCE, CODIORGAN A-50, SAL-WAX Ca, AGROXILATO-K, SPRINTENE</t>
  </si>
  <si>
    <t>Lanzamiento técnico</t>
  </si>
  <si>
    <t>Formación técnica al distribuidor: FLORAMEC AVANCE, CODIORGAN A-50, SAL-WAX Ca, AGROXILATO-K, SPRINTENE | Jornada técnica con agricultores: SAL-WAX Ca, AGROXILATO-K, SPRINTENE, FLORAMEC AVANCE | Campo demostrativo: FLORAMEC AVANCE | Bolsa de muestras: FLORAMEC AVANCE, CODIORGAN A-50</t>
  </si>
  <si>
    <t>Equipo comercial y técnico del distribuidor; Agricultores y técnicos; Distribuidor y agricultores seleccionados</t>
  </si>
  <si>
    <t>DOTRA CHEMICALS</t>
  </si>
  <si>
    <t>4 A / 3 B</t>
  </si>
  <si>
    <t>FLORAMEC AVANCE, CODIORGAN A-50, SAL-WAX Ca, ALCAPLANT, SPRINTENE, AGROXILATO-K</t>
  </si>
  <si>
    <t>Formación técnica al distribuidor: FLORAMEC AVANCE, CODIORGAN A-50, SAL-WAX Ca, ALCAPLANT, SPRINTENE +1 | Jornada técnica con agricultores: SAL-WAX Ca, ALCAPLANT, SPRINTENE, FLORAMEC AVANCE | Campo demostrativo: FLORAMEC AVANCE | Bolsa de muestras: FLORAMEC AVANCE, CODIORGAN A-50</t>
  </si>
  <si>
    <t>ECO-PONIENTE, S.L.U.</t>
  </si>
  <si>
    <t>Baja aportación</t>
  </si>
  <si>
    <t>0 A / 1 B</t>
  </si>
  <si>
    <t>AGROXILATO-K</t>
  </si>
  <si>
    <t>Refuerzo técnico y cross-selling</t>
  </si>
  <si>
    <t>Seguimiento comercial sin inversión específica: AGROXILATO-K</t>
  </si>
  <si>
    <t>Distribuidor</t>
  </si>
  <si>
    <t>Seguimiento</t>
  </si>
  <si>
    <t>ECUADOR (incluidas las Islas Galápagos)</t>
  </si>
  <si>
    <t>ECUAQUIMICA</t>
  </si>
  <si>
    <t>ALCAPLANT, CODICOBRE</t>
  </si>
  <si>
    <t>Formación técnica al distribuidor: ALCAPLANT | Campaña de sell-out / consumo: CODICOBRE</t>
  </si>
  <si>
    <t>Equipo comercial y técnico del distribuidor; Distribuidor y compradores</t>
  </si>
  <si>
    <t>GRECIA</t>
  </si>
  <si>
    <t>EMPHYTON POULTSIDIS GEORGIOS</t>
  </si>
  <si>
    <t>VITA-S, TONAZ</t>
  </si>
  <si>
    <t>Formación técnica al distribuidor: VITA-S | Campaña de sell-out / consumo: TONAZ</t>
  </si>
  <si>
    <t>Pedro</t>
  </si>
  <si>
    <t>FITOMURCIA S.L.</t>
  </si>
  <si>
    <t>7 A / 14 B</t>
  </si>
  <si>
    <t>HIDROSTRESS, ALCAPLANT, AGROPOTASION, AGROXILATO-COMPLET, BIORAD-20, CODIORGAN A-50, RUN STRESS, FITOKONTROL CA FLOW +2</t>
  </si>
  <si>
    <t>Campo demostrativo: HIDROSTRESS | Jornada técnica con agricultores: HIDROSTRESS, ALCAPLANT, AGROPOTASION, AGROXILATO-COMPLET, BIORAD-20 +1 | Bolsa de muestras: HIDROSTRESS, AGROXILATO-COMPLET, BIORAD-20, CODIORGAN A-50, RUN STRESS +3</t>
  </si>
  <si>
    <t>Agricultores y técnicos; Distribuidor y agricultores seleccionados</t>
  </si>
  <si>
    <t>PERÚ</t>
  </si>
  <si>
    <t>HORTIFRUT PERU, S.A.C.</t>
  </si>
  <si>
    <t>FITOKONTROL-K</t>
  </si>
  <si>
    <t>Campaña de consumo y volumen</t>
  </si>
  <si>
    <t>Campaña de sell-out / consumo: FITOKONTROL-K</t>
  </si>
  <si>
    <t>HORTOFRUTICOLA COSTA DE ALMERÍA, S.L.</t>
  </si>
  <si>
    <t>0 A / 2 B</t>
  </si>
  <si>
    <t>AGROXILATO-K, FLORAMEC AVANCE</t>
  </si>
  <si>
    <t>Seguimiento comercial sin inversión específica: AGROXILATO-K, FLORAMEC AVANCE</t>
  </si>
  <si>
    <t>INIESTA DEL PINO DISTRIBUCIONES S.L.U</t>
  </si>
  <si>
    <t>TRIFENO-94</t>
  </si>
  <si>
    <t>Campo demostrativo: TRIFENO-94</t>
  </si>
  <si>
    <t>MAJ AGROQUIMICOS S.L.</t>
  </si>
  <si>
    <t>AGROPOTASION, ALCAPLANT</t>
  </si>
  <si>
    <t>Seguimiento comercial sin inversión específica: AGROPOTASION, ALCAPLANT</t>
  </si>
  <si>
    <t>PANAMÁ</t>
  </si>
  <si>
    <t>SERVICIOS AGROPECUARIOS EL LLANO, S. A.</t>
  </si>
  <si>
    <t>4 A / 5 B</t>
  </si>
  <si>
    <t>BIORAD-20, CODIRESIST</t>
  </si>
  <si>
    <t>Campo demostrativo: BIORAD-20 | Bolsa de muestras: BIORAD-20, CODIRESIST</t>
  </si>
  <si>
    <t>TRANSPORTES CAMPILLO, S.A.</t>
  </si>
  <si>
    <t>1 A / 0 B</t>
  </si>
  <si>
    <t>CODIORGAN A-50</t>
  </si>
  <si>
    <t>Kit de activación y seguimiento digital: CODIORGAN A-50</t>
  </si>
  <si>
    <t>Selectiva</t>
  </si>
  <si>
    <t>TRATAMIENTOS AGRICOLAS BRENES, S.L.</t>
  </si>
  <si>
    <t>AGROXILATO-K, AGROPOTASION, AGROWHITE, AGROXILATO ZN PLUS</t>
  </si>
  <si>
    <t>Formación técnica al distribuidor: AGROXILATO-K, AGROPOTASION | Campaña de sell-out / consumo: AGROWHITE, AGROXILATO ZN PLUS</t>
  </si>
  <si>
    <t>UNICOM SERVICIOS Y GESTION S.L.</t>
  </si>
  <si>
    <t>AGRICOLA DEL JUCAR DE CUENCA, S.L.</t>
  </si>
  <si>
    <t>AGROXILATO-K, ALCAPLANT, BR-59</t>
  </si>
  <si>
    <t>Formación técnica al distribuidor: AGROXILATO-K, ALCAPLANT, BR-59</t>
  </si>
  <si>
    <t>Equipo comercial y técnico del distribuidor</t>
  </si>
  <si>
    <t>AGRITEC MEDINA, S.L.U.</t>
  </si>
  <si>
    <t>3 A / 8 B</t>
  </si>
  <si>
    <t>HIDROSTRESS, BIORAD-20, CODIORGAN A-50, AGROXIGREEN-MG, AQUOM</t>
  </si>
  <si>
    <t>Campo demostrativo: HIDROSTRESS | Bolsa de muestras: HIDROSTRESS, BIORAD-20, CODIORGAN A-50, AGROXIGREEN-MG, AQUOM</t>
  </si>
  <si>
    <t>AGRONEW FITO, S.L.</t>
  </si>
  <si>
    <t>5 A / 3 B</t>
  </si>
  <si>
    <t>AGROXIGREEN-MG, RUN STRESS, ALCAPLANT, AGROXILATO-K, AGROPOTASION, GREEN-UP</t>
  </si>
  <si>
    <t>Formación técnica al distribuidor: AGROXIGREEN-MG, RUN STRESS, ALCAPLANT, AGROXILATO-K, AGROPOTASION +1 | Campo demostrativo: AGROXIGREEN-MG | Bolsa de muestras: AGROXIGREEN-MG, RUN STRESS</t>
  </si>
  <si>
    <t>ANGEL FERRER, S.L.</t>
  </si>
  <si>
    <t>ALCAPLANT</t>
  </si>
  <si>
    <t>Seguimiento comercial sin inversión específica: ALCAPLANT</t>
  </si>
  <si>
    <t>Irene</t>
  </si>
  <si>
    <t>CAMPOEJIDO S.C.A.</t>
  </si>
  <si>
    <t>5 A / 12 B</t>
  </si>
  <si>
    <t>TRIFENO-94, BIORAD-20, CODIORGAN A-50, HIDROSTRESS, FITOKONTROL CA FLOW, CODICOBRE, AQUOM, CODIORGAN GLB +4</t>
  </si>
  <si>
    <t>Formación técnica al distribuidor: TRIFENO-94, BIORAD-20, CODIORGAN A-50, HIDROSTRESS, FITOKONTROL CA FLOW +7 | Jornada técnica con agricultores: AGROXILATO-K, FLORAMEC AVANCE, BIORAD-20, CODIORGAN A-50 | Campo demostrativo: TRIFENO-94 | Bolsa de muestras: TRIFENO-94, BIORAD-20, CODIORGAN A-50, HIDROSTRESS, FITOKONTROL CA FLOW +3</t>
  </si>
  <si>
    <t>CARDONA Y CELMA, S.L.</t>
  </si>
  <si>
    <t>2 A / 0 B</t>
  </si>
  <si>
    <t>CODIORGAN A-50, AGROXIGREEN-MG</t>
  </si>
  <si>
    <t>Campo demostrativo: CODIORGAN A-50 | Formación técnica al distribuidor: CODIORGAN A-50, AGROXIGREEN-MG | Bolsa de muestras: CODIORGAN A-50, AGROXIGREEN-MG</t>
  </si>
  <si>
    <t>CITAL, S.L.</t>
  </si>
  <si>
    <t>AGROXIGREEN-MG</t>
  </si>
  <si>
    <t>Campo demostrativo: AGROXIGREEN-MG</t>
  </si>
  <si>
    <t>ARABIA SAUDÍ</t>
  </si>
  <si>
    <t>DOTRA GULF TRADING COMPANY</t>
  </si>
  <si>
    <t>SPRINTENE, AQUOM, BIORAD-20</t>
  </si>
  <si>
    <t>Campo demostrativo: SPRINTENE | Bolsa de muestras: SPRINTENE, AQUOM, BIORAD-20</t>
  </si>
  <si>
    <t>HORTIFRUT - PERU, S.A.C.</t>
  </si>
  <si>
    <t>ALCAPLANT, FITOKONTROL-K</t>
  </si>
  <si>
    <t>Formación técnica al distribuidor: ALCAPLANT | Campaña de sell-out / consumo: FITOKONTROL-K</t>
  </si>
  <si>
    <t>HORTOCAMPO, S.A.</t>
  </si>
  <si>
    <t>AQUOM, CODICOBRE</t>
  </si>
  <si>
    <t>Seguimiento comercial sin inversión específica: AQUOM, CODICOBRE</t>
  </si>
  <si>
    <t>T.J AGRICULTURA S.L.</t>
  </si>
  <si>
    <t>3 A / 3 B</t>
  </si>
  <si>
    <t>AGROTÉCNICA DEL NORTE, S.L</t>
  </si>
  <si>
    <t>3 A / 6 B</t>
  </si>
  <si>
    <t>CODIORGAN A-50, AGROXIGREEN-MG, FITOKONTROL CA FLOW, CODIORGAN GLB, ALCAPLANT, AGROPOTASION, AGROXILATO-K</t>
  </si>
  <si>
    <t>Campo demostrativo: CODIORGAN A-50 | Formación técnica al distribuidor: CODIORGAN A-50, AGROXIGREEN-MG, FITOKONTROL CA FLOW, CODIORGAN GLB, ALCAPLANT +2 | Bolsa de muestras: CODIORGAN A-50, AGROXIGREEN-MG, FITOKONTROL CA FLOW, CODIORGAN GLB</t>
  </si>
  <si>
    <t>AGROVEYCA,S.L</t>
  </si>
  <si>
    <t>7 A / 8 B</t>
  </si>
  <si>
    <t>CODIORGAN A-50, BIORAD-20, AGROXIGREEN-MG, AQUOM, FITOKONTROL CA FLOW, RUN STRESS, ALCAPLANT, AGROXILATO-K +3</t>
  </si>
  <si>
    <t>Campo demostrativo: CODIORGAN A-50 | Formación técnica al distribuidor: CODIORGAN A-50, BIORAD-20, AGROXIGREEN-MG, AQUOM, FITOKONTROL CA FLOW +6 | Bolsa de muestras: CODIORGAN A-50, BIORAD-20, AGROXIGREEN-MG, AQUOM, FITOKONTROL CA FLOW +1</t>
  </si>
  <si>
    <t>ASESORAMIENTO TECNICO DE CULTIVOS, S.L.</t>
  </si>
  <si>
    <t>3 A / 5 B</t>
  </si>
  <si>
    <t>AGROXILATO-COMPLET, AGROPOTASION, FLORAMEC AVANCE, AGROXILATO-K</t>
  </si>
  <si>
    <t>Formación técnica al distribuidor: AGROXILATO-COMPLET, AGROPOTASION, FLORAMEC AVANCE, AGROXILATO-K | Bolsa de muestras: AGROXILATO-COMPLET</t>
  </si>
  <si>
    <t>Equipo comercial y técnico del distribuidor; Distribuidor y agricultores seleccionados</t>
  </si>
  <si>
    <t>BARRIOS LÓPEZ, JUSTO</t>
  </si>
  <si>
    <t>AGROXIGREEN-MG, CODICOBRE</t>
  </si>
  <si>
    <t>Seguimiento comercial sin inversión específica: AGROXIGREEN-MG, CODICOBRE</t>
  </si>
  <si>
    <t>Javier</t>
  </si>
  <si>
    <t>CODIMED EXPORT, S.L.</t>
  </si>
  <si>
    <t>5 A / 14 B</t>
  </si>
  <si>
    <t>BIORAD-20, CODIORGAN A-50, RUN STRESS, FITOKONTROL CA FLOW, TRIFENO-94, AGROXIGREEN-MG, CODIORGAN GLB</t>
  </si>
  <si>
    <t>Campo demostrativo: BIORAD-20 | Bolsa de muestras: BIORAD-20, CODIORGAN A-50, RUN STRESS, FITOKONTROL CA FLOW, TRIFENO-94 +2</t>
  </si>
  <si>
    <t>FITOSANITARIOS DRAGO S.L.U</t>
  </si>
  <si>
    <t>2 A / 5 B</t>
  </si>
  <si>
    <t>AGROXILATO-K, FLORAMEC AVANCE, AGROPOTASION</t>
  </si>
  <si>
    <t>Formación técnica al distribuidor: AGROXILATO-K, FLORAMEC AVANCE, AGROPOTASION</t>
  </si>
  <si>
    <t>FRUITURE ADVISORS, S.L.</t>
  </si>
  <si>
    <t>0 A / 3 B</t>
  </si>
  <si>
    <t>AGROPOTASION, AGROXILATO-K, GREEN-UP</t>
  </si>
  <si>
    <t>Seguimiento comercial sin inversión específica: AGROPOTASION, AGROXILATO-K, GREEN-UP</t>
  </si>
  <si>
    <t>GEORGIOS POULTSIDIS</t>
  </si>
  <si>
    <t>VITA-S</t>
  </si>
  <si>
    <t>Formación técnica al distribuidor: VITA-S</t>
  </si>
  <si>
    <t>HORTICOLAS Y PATATAS HNOS. MORAN, S.A.T.</t>
  </si>
  <si>
    <t>0 A / 4 B</t>
  </si>
  <si>
    <t>CODIORGAN A-50, ALCAPLANT, AGROPOTASION, CODICOBRE</t>
  </si>
  <si>
    <t>Seguimiento comercial sin inversión específica: CODIORGAN A-50, ALCAPLANT, AGROPOTASION, CODICOBRE</t>
  </si>
  <si>
    <t>Mehmet</t>
  </si>
  <si>
    <t>SERBIA</t>
  </si>
  <si>
    <t>PLANTA SANA, D.O.O.</t>
  </si>
  <si>
    <t>4 A / 1 B</t>
  </si>
  <si>
    <t>CODIORGAN A-50, FLORAMEC AVANCE, FITOKONTROL CA FLOW, RUN STRESS, ALCAPLANT</t>
  </si>
  <si>
    <t>Campo demostrativo: CODIORGAN A-50 | Formación técnica al distribuidor: CODIORGAN A-50, FLORAMEC AVANCE, FITOKONTROL CA FLOW, RUN STRESS, ALCAPLANT | Bolsa de muestras: CODIORGAN A-50, FLORAMEC AVANCE, FITOKONTROL CA FLOW, RUN STRESS</t>
  </si>
  <si>
    <t>PLANTALDIA SLU</t>
  </si>
  <si>
    <t>SAFIAGRO, S.A.</t>
  </si>
  <si>
    <t>AGROXIGREEN-MG, AGROPOTASION, AGROXILATO-K, SAL-WAX STAR</t>
  </si>
  <si>
    <t>Seguimiento comercial sin inversión específica: AGROXIGREEN-MG, AGROPOTASION, AGROXILATO-K, SAL-WAX STAR</t>
  </si>
  <si>
    <t>ÇITAR ÇIÇEK TARIM TIC. LTD. STI</t>
  </si>
  <si>
    <t>5 A / 0 B</t>
  </si>
  <si>
    <t>FITOKONTROL CA FLOW, ALCAPLANT, RUN STRESS, CODIORGAN A-50</t>
  </si>
  <si>
    <t>Campo demostrativo: FITOKONTROL CA FLOW | Jornada técnica con agricultores: FITOKONTROL CA FLOW, ALCAPLANT, RUN STRESS, CODIORGAN A-50 | Bolsa de muestras: FITOKONTROL CA FLOW, RUN STRESS, CODIORGAN A-50</t>
  </si>
  <si>
    <t>AGROCAMP CANET S.L.</t>
  </si>
  <si>
    <t>CODIORGAN A-50, CODICOBRE, AGROXIGREEN-MG, FLORAMEC AVANCE</t>
  </si>
  <si>
    <t>Seguimiento comercial sin inversión específica: CODIORGAN A-50, CODICOBRE, AGROXIGREEN-MG, FLORAMEC AVANCE</t>
  </si>
  <si>
    <t>AGRÍCOLA DE GOZÓN S.L</t>
  </si>
  <si>
    <t>AGROXILATO-K, AGROPOTASION</t>
  </si>
  <si>
    <t>Seguimiento comercial sin inversión específica: AGROXILATO-K, AGROPOTASION</t>
  </si>
  <si>
    <t>BARAHONA HERNAEZ, DAVID</t>
  </si>
  <si>
    <t>0 A / 5 B</t>
  </si>
  <si>
    <t>CODIORGAN A-50, CODICOBRE, AGROXIGREEN-MG, FLORAMEC AVANCE, SAL-WAX STAR</t>
  </si>
  <si>
    <t>Seguimiento comercial sin inversión específica: CODIORGAN A-50, CODICOBRE, AGROXIGREEN-MG, FLORAMEC AVANCE, SAL-WAX STAR</t>
  </si>
  <si>
    <t>BELLO ALIAGA ERNESTO</t>
  </si>
  <si>
    <t>HIDROSTRESS, CODIORGAN A-50, CODICOBRE</t>
  </si>
  <si>
    <t>Campo demostrativo: HIDROSTRESS | Bolsa de muestras: HIDROSTRESS, CODIORGAN A-50, CODICOBRE</t>
  </si>
  <si>
    <t>COMERCIAL TÉCNICA FITOCARTHAGO, S.L.</t>
  </si>
  <si>
    <t>3 A / 13 B</t>
  </si>
  <si>
    <t>AGROXILATO-COMPLET, TRIFENO-94, AGROXIGREEN-MG, AQUOM, ALCAPLANT, AGROXILATO-K, AGROPOTASION, FLORAMEC AVANCE +2</t>
  </si>
  <si>
    <t>Formación técnica al distribuidor: AGROXILATO-COMPLET, TRIFENO-94, AGROXIGREEN-MG, AQUOM, ALCAPLANT +5</t>
  </si>
  <si>
    <t>FRUCTUL, SRL</t>
  </si>
  <si>
    <t>AGROXILATO-K, CODIORGAN A-50, SAL-WAX Ca</t>
  </si>
  <si>
    <t>Seguimiento comercial sin inversión específica: AGROXILATO-K, CODIORGAN A-50, SAL-WAX Ca</t>
  </si>
  <si>
    <t>SC MARCOSER S.R.L.</t>
  </si>
  <si>
    <t>4 A / 10 B</t>
  </si>
  <si>
    <t>BIORAD-20, FLORAMEC AVANCE, CODIORGAN GLB, CODIFROST PLUS, SPRINTENE, AGROXILATO-K, SAL-WAX Ca, GREEN-UP +2</t>
  </si>
  <si>
    <t>Formación técnica al distribuidor: BIORAD-20, FLORAMEC AVANCE, CODIORGAN GLB, CODIFROST PLUS, SPRINTENE +5 | Jornada técnica con agricultores: SPRINTENE, AGROXILATO-K, SAL-WAX Ca, BIORAD-20 | Campo demostrativo: BIORAD-20 | Bolsa de muestras: BIORAD-20, FLORAMEC AVANCE, CODIORGAN GLB, CODIFROST PLUS</t>
  </si>
  <si>
    <t>SERVICIOS AGRÍCOLAS CAMPO RIO, S.L.</t>
  </si>
  <si>
    <t>P.M.S. 5X</t>
  </si>
  <si>
    <t>Seguimiento comercial sin inversión específica: P.M.S. 5X</t>
  </si>
  <si>
    <t>ZTB AQRO MMC</t>
  </si>
  <si>
    <t>4 A / 8 B</t>
  </si>
  <si>
    <t>BIORAD-20, AGROXILATO-K, ALCAPLANT, CODIORGAN A-50, HIDROSTRESS, RUN STRESS, FITOKONTROL CA FLOW</t>
  </si>
  <si>
    <t>Campo demostrativo: BIORAD-20 | Jornada técnica con agricultores: BIORAD-20, AGROXILATO-K, ALCAPLANT, CODIORGAN A-50 | Bolsa de muestras: BIORAD-20, HIDROSTRESS, RUN STRESS, FITOKONTROL CA FLOW</t>
  </si>
  <si>
    <t>ASOC. HORTICULTORES DE VILLA DEL PRADO</t>
  </si>
  <si>
    <t>3 A / 11 B</t>
  </si>
  <si>
    <t>RUN STRESS, CODIORGAN A-50, HIDROSTRESS, BIORAD-20, TRIFENO-94, AGROXIGREEN-MG, AQUOM, CODIORGAN GLB</t>
  </si>
  <si>
    <t>Campo demostrativo: RUN STRESS | Bolsa de muestras: RUN STRESS, CODIORGAN A-50, HIDROSTRESS, BIORAD-20, TRIFENO-94 +3</t>
  </si>
  <si>
    <t>BCOMERCE E.I.R.L.</t>
  </si>
  <si>
    <t>CAMP-ALT S.L.</t>
  </si>
  <si>
    <t>CODICOBRE, SPRINTENE, BR-59</t>
  </si>
  <si>
    <t>Seguimiento comercial sin inversión específica: CODICOBRE, SPRINTENE, BR-59</t>
  </si>
  <si>
    <t>FITOXENT S.C.L.V.</t>
  </si>
  <si>
    <t>3 A / 9 B</t>
  </si>
  <si>
    <t>BIORAD-20, FITOKONTROL CA FLOW, HIDROSTRESS, AGROXIGREEN-MG, AGROPOTASION, AGROXILATO-K, ALCAPLANT, GREEN-UP</t>
  </si>
  <si>
    <t>Campo demostrativo: BIORAD-20 | Formación técnica al distribuidor: BIORAD-20, FITOKONTROL CA FLOW, HIDROSTRESS, AGROXIGREEN-MG, AGROPOTASION +3 | Bolsa de muestras: BIORAD-20, FITOKONTROL CA FLOW, HIDROSTRESS, AGROXIGREEN-MG</t>
  </si>
  <si>
    <t>GUIVARTO AGRICOLA, S.L.</t>
  </si>
  <si>
    <t>5 A / 9 B</t>
  </si>
  <si>
    <t>TRIFENO-94, AQUOM, CODIORGAN A-50, FITOKONTROL CA FLOW, HIDROSTRESS, CODICOBRE, CODIORGAN GLB, AGROXILATO-K +3</t>
  </si>
  <si>
    <t>Formación técnica al distribuidor: TRIFENO-94, AQUOM, CODIORGAN A-50, FITOKONTROL CA FLOW, HIDROSTRESS +6 | Campo demostrativo: TRIFENO-94 | Bolsa de muestras: TRIFENO-94, AQUOM, CODIORGAN A-50, FITOKONTROL CA FLOW, HIDROSTRESS +2</t>
  </si>
  <si>
    <t>MUNDOHUERTO-CARMEN SOLAZ BLANCO</t>
  </si>
  <si>
    <t>HIDROSTRESS, AGROPOTASION, FLORAMEC AVANCE</t>
  </si>
  <si>
    <t>Seguimiento comercial sin inversión específica: HIDROSTRESS, AGROPOTASION, FLORAMEC AVANCE</t>
  </si>
  <si>
    <t>SERVIAGRI´ 97, S.L.</t>
  </si>
  <si>
    <t>BIORAD-20, FITOKONTROL CA FLOW, HIDROSTRESS, SAL-WAX Ca, AQUOM, AGROXILATO-K, BR-59, FLORAMEC AVANCE +1</t>
  </si>
  <si>
    <t>Campo demostrativo: BIORAD-20 | Formación técnica al distribuidor: BIORAD-20, FITOKONTROL CA FLOW, HIDROSTRESS, SAL-WAX Ca, AQUOM +4 | Bolsa de muestras: BIORAD-20, FITOKONTROL CA FLOW, HIDROSTRESS, SAL-WAX Ca, AQUOM</t>
  </si>
  <si>
    <t>VILLALTA SATIVUM, S.L.</t>
  </si>
  <si>
    <t>5 A / 7 B</t>
  </si>
  <si>
    <t>BIORAD-20, CODIORGAN A-50, FITOKONTROL CA FLOW, TRIFENO-94, AQUOM</t>
  </si>
  <si>
    <t>Campo demostrativo: BIORAD-20 | Bolsa de muestras: BIORAD-20, CODIORGAN A-50, FITOKONTROL CA FLOW, TRIFENO-94, AQUOM</t>
  </si>
  <si>
    <t>BARDENAS COMERCIAL, S.L.</t>
  </si>
  <si>
    <t>3 A / 4 B</t>
  </si>
  <si>
    <t>CODIORGAN A-50, RUN STRESS, CODIORGAN GLB</t>
  </si>
  <si>
    <t>Campo demostrativo: CODIORGAN A-50 | Bolsa de muestras: CODIORGAN A-50, RUN STRESS, CODIORGAN GLB</t>
  </si>
  <si>
    <t>CABRERA MORALES FRANCISCO</t>
  </si>
  <si>
    <t>5 A / 2 B</t>
  </si>
  <si>
    <t>BIORAD-20, CODIORGAN A-50, ALCAPLANT, AGROXILATO-K, AGROPOTASION</t>
  </si>
  <si>
    <t>Campo demostrativo: BIORAD-20 | Formación técnica al distribuidor: BIORAD-20, CODIORGAN A-50, ALCAPLANT, AGROXILATO-K, AGROPOTASION | Bolsa de muestras: BIORAD-20, CODIORGAN A-50</t>
  </si>
  <si>
    <t>COMERCIAL NORTE AGROCAMPO, S.L.</t>
  </si>
  <si>
    <t>SAL-WAX STAR, ALCAPLANT, AGROPOTASION, CODIORGAN A-50, CODICOBRE</t>
  </si>
  <si>
    <t>Seguimiento comercial sin inversión específica: SAL-WAX STAR, ALCAPLANT, AGROPOTASION, CODIORGAN A-50, CODICOBRE</t>
  </si>
  <si>
    <t>EL PINAR BERRIES, S.L.</t>
  </si>
  <si>
    <t>3 A / 0 B</t>
  </si>
  <si>
    <t>Formación técnica al distribuidor: AGROXILATO-K, FLORAMEC AVANCE</t>
  </si>
  <si>
    <t>DOMINICANA, REPÚBLICA</t>
  </si>
  <si>
    <t>JUAN JIMENEZ, SRL</t>
  </si>
  <si>
    <t>BIORAD-20, CODIORGAN A-50, AGROPOTASION, RUN STRESS</t>
  </si>
  <si>
    <t>Campo demostrativo: BIORAD-20 | Jornada técnica con agricultores: BIORAD-20, CODIORGAN A-50, AGROPOTASION | Bolsa de muestras: BIORAD-20, CODIORGAN A-50, RUN STRESS</t>
  </si>
  <si>
    <t>MARTINEZ S.C.</t>
  </si>
  <si>
    <t>CODIORGAN A-50, AGROPOTASION, BIORAD-20, AGROXILATO-K</t>
  </si>
  <si>
    <t>Seguimiento comercial sin inversión específica: CODIORGAN A-50, AGROPOTASION, BIORAD-20, AGROXILATO-K</t>
  </si>
  <si>
    <t>AGROTRAPICHE, S.L.U</t>
  </si>
  <si>
    <t>CODIORGAN A-50, CODICOBRE, FLORAMEC AVANCE</t>
  </si>
  <si>
    <t>Seguimiento comercial sin inversión específica: CODIORGAN A-50, CODICOBRE, FLORAMEC AVANCE</t>
  </si>
  <si>
    <t>AGRUPACION DE LABRADORES DEL POZUELO, SA</t>
  </si>
  <si>
    <t>FLORAMEC AVANCE, AGROXILATO-K, CODICOBRE</t>
  </si>
  <si>
    <t>Seguimiento comercial sin inversión específica: FLORAMEC AVANCE, AGROXILATO-K, CODICOBRE</t>
  </si>
  <si>
    <t>DOGA TARIM TIC.SAN.VE TUR. LTD. STI</t>
  </si>
  <si>
    <t>2 A / 1 B</t>
  </si>
  <si>
    <t>BIORAD-20</t>
  </si>
  <si>
    <t>Campo demostrativo: BIORAD-20 | Bolsa de muestras: BIORAD-20</t>
  </si>
  <si>
    <t>AGROSER BERNARDINO, S.L.</t>
  </si>
  <si>
    <t>5 A / 4 B</t>
  </si>
  <si>
    <t>BIORAD-20, AGROXIGREEN-MG, FLORAMEC AVANCE, ALCAPLANT, AGROPOTASION, AGROXILATO-K, CODIFROST PLUS</t>
  </si>
  <si>
    <t>Campo demostrativo: BIORAD-20 | Formación técnica al distribuidor: BIORAD-20, AGROXIGREEN-MG, FLORAMEC AVANCE, ALCAPLANT, AGROPOTASION +2 | Bolsa de muestras: BIORAD-20, AGROXIGREEN-MG</t>
  </si>
  <si>
    <t>ITALIA</t>
  </si>
  <si>
    <t>AIFAR S.P.A</t>
  </si>
  <si>
    <t>COSTA RICA</t>
  </si>
  <si>
    <t>EUROFERTIL, S.A.</t>
  </si>
  <si>
    <t>3 A / 7 B</t>
  </si>
  <si>
    <t>CODIRESIST, ALCAPLANT, AGROXILATO-K, SPRINTENE, GREEN-UP</t>
  </si>
  <si>
    <t>Formación técnica al distribuidor: CODIRESIST, ALCAPLANT, AGROXILATO-K, SPRINTENE, GREEN-UP | Jornada técnica con agricultores: ALCAPLANT, AGROXILATO-K, SPRINTENE</t>
  </si>
  <si>
    <t>Equipo comercial y técnico del distribuidor; Agricultores y técnicos</t>
  </si>
  <si>
    <t>ROMAROC PONIENTE, S.L.</t>
  </si>
  <si>
    <t>Formación técnica al distribuidor: AGROXILATO-K</t>
  </si>
  <si>
    <t>SUCA, S.C.A.</t>
  </si>
  <si>
    <t>AGROQUIMICAS DRAGO S.L.</t>
  </si>
  <si>
    <t>4 A / 13 B</t>
  </si>
  <si>
    <t>BIORAD-20, FITOKONTROL CA FLOW, TRIFENO-94, AGROXIGREEN-MG</t>
  </si>
  <si>
    <t>Campo demostrativo: BIORAD-20 | Bolsa de muestras: BIORAD-20, FITOKONTROL CA FLOW, TRIFENO-94, AGROXIGREEN-MG</t>
  </si>
  <si>
    <t>COLOMBIA</t>
  </si>
  <si>
    <t>CAMPO ABIERTO, S.A.S.</t>
  </si>
  <si>
    <t>ALCAPLANT, AGROXILATO-K</t>
  </si>
  <si>
    <t>Formación técnica al distribuidor: ALCAPLANT, AGROXILATO-K</t>
  </si>
  <si>
    <t>LEKKERBIO B.V.</t>
  </si>
  <si>
    <t>Formación técnica al distribuidor: ALCAPLANT, AGROXILATO-K | Jornada técnica con agricultores: ALCAPLANT, AGROXILATO-K</t>
  </si>
  <si>
    <t>LÍBANO</t>
  </si>
  <si>
    <t>BELAGRI FOR AGRICULTURE-GEORGES BOU MON</t>
  </si>
  <si>
    <t>BITTER-CAL, AGROXILATO-K, ALCAPLANT, AGROXILATO-MG</t>
  </si>
  <si>
    <t>Formación técnica al distribuidor: BITTER-CAL, AGROXILATO-K, ALCAPLANT | Campaña de sell-out / consumo: AGROXILATO-MG</t>
  </si>
  <si>
    <t>GEORGIA</t>
  </si>
  <si>
    <t>BORN AGROCHEMISTRY, LLC</t>
  </si>
  <si>
    <t>BIORAD-20, RUN STRESS, ALCAPLANT</t>
  </si>
  <si>
    <t>Campo demostrativo: BIORAD-20 | Jornada técnica con agricultores: BIORAD-20, RUN STRESS, ALCAPLANT | Bolsa de muestras: BIORAD-20, RUN STRESS</t>
  </si>
  <si>
    <t>COOP.AGRIC. SAN ISIDRO S.C.A.</t>
  </si>
  <si>
    <t>3 A / 10 B</t>
  </si>
  <si>
    <t>CODIORGAN A-50, HIDROSTRESS, FITOKONTROL CA FLOW, CODICOBRE, TRIFENO-94, AQUOM, AGROXILATO-K, FLORAMEC AVANCE +1</t>
  </si>
  <si>
    <t>Formación técnica al distribuidor: CODIORGAN A-50, HIDROSTRESS, FITOKONTROL CA FLOW, CODICOBRE, TRIFENO-94 +4 | Campo demostrativo: CODIORGAN A-50 | Bolsa de muestras: CODIORGAN A-50, HIDROSTRESS, FITOKONTROL CA FLOW, CODICOBRE, TRIFENO-94 +1</t>
  </si>
  <si>
    <t>EMPHYTON SERVICE P.C.</t>
  </si>
  <si>
    <t>VITA-S, FLORAMEC AVANCE, TONAZ</t>
  </si>
  <si>
    <t>Formación técnica al distribuidor: VITA-S, FLORAMEC AVANCE | Jornada técnica con agricultores: VITA-S, FLORAMEC AVANCE | Campaña de sell-out / consumo: TONAZ</t>
  </si>
  <si>
    <t>Equipo comercial y técnico del distribuidor; Agricultores y técnicos; Distribuidor y compradores</t>
  </si>
  <si>
    <t>STE BBMAGRI, SARL</t>
  </si>
  <si>
    <t>BIORAD-20, AGROXILATO-K, FLORAMEC AVANCE, ALCAPLANT, CODIORGAN A-50, FITOKONTROL CA FLOW, RUN STRESS, AGROXIGREEN-MG</t>
  </si>
  <si>
    <t>Campo demostrativo: BIORAD-20 | Jornada técnica con agricultores: BIORAD-20, AGROXILATO-K, FLORAMEC AVANCE, ALCAPLANT | Bolsa de muestras: BIORAD-20, CODIORGAN A-50, FITOKONTROL CA FLOW, RUN STRESS, AGROXIGREEN-MG</t>
  </si>
  <si>
    <t>Diseño de Marketing para familias A y B</t>
  </si>
  <si>
    <t>Familia</t>
  </si>
  <si>
    <t>Score</t>
  </si>
  <si>
    <t>Prioridad</t>
  </si>
  <si>
    <t>Ciclo dominante</t>
  </si>
  <si>
    <t>Rol dominante</t>
  </si>
  <si>
    <t>Objetivo de Marketing</t>
  </si>
  <si>
    <t>Programa recomendado</t>
  </si>
  <si>
    <t>Acciones recomendadas</t>
  </si>
  <si>
    <t>Intensidad recomendada</t>
  </si>
  <si>
    <t>Mes pico ventas</t>
  </si>
  <si>
    <t>Mes ejecución (-1)</t>
  </si>
  <si>
    <t>Componentes presupuestados</t>
  </si>
  <si>
    <t>Presupuesto asignado (€)</t>
  </si>
  <si>
    <t>Ramp-Up/Crecimiento</t>
  </si>
  <si>
    <t>Innovador/Notorio</t>
  </si>
  <si>
    <t>Generar demanda, referencias y prescripción técnica</t>
  </si>
  <si>
    <t>Campo demostrativo; formación técnica; jornada con agricultores y desarrollo de casos</t>
  </si>
  <si>
    <t>Distribuidor, técnicos y agricultores</t>
  </si>
  <si>
    <t>Campo demostrativo; Bolsa de muestras; Formación técnica al distribuidor</t>
  </si>
  <si>
    <t>Esencial/Core</t>
  </si>
  <si>
    <t>Ampliar adopción y repetición de compra</t>
  </si>
  <si>
    <t>Demostración; formación de prescripción; muestras y venta cruzada</t>
  </si>
  <si>
    <t>Equipo del distribuidor y agricultores</t>
  </si>
  <si>
    <t>Bolsa de muestras; Formación técnica al distribuidor</t>
  </si>
  <si>
    <t>AGROPOTASION</t>
  </si>
  <si>
    <t>Maduro</t>
  </si>
  <si>
    <t>Defender la prescripción y ampliar venta cruzada</t>
  </si>
  <si>
    <t>Actualización técnica; casos de referencia y jornada selectiva con agricultores</t>
  </si>
  <si>
    <t>Técnicos del distribuidor y agricultores clave</t>
  </si>
  <si>
    <t>Formación técnica al distribuidor</t>
  </si>
  <si>
    <t>BROTAMEC</t>
  </si>
  <si>
    <t>Retener volumen y aumentar profundidad de catálogo</t>
  </si>
  <si>
    <t>Formación de refresco; venta cruzada dirigida y seguimiento de consumo</t>
  </si>
  <si>
    <t>Equipo comercial del distribuidor</t>
  </si>
  <si>
    <t>Sin componente presupuestado</t>
  </si>
  <si>
    <t>SAL-WAX STAR</t>
  </si>
  <si>
    <t>BR-59</t>
  </si>
  <si>
    <t>HIDROSTRESS</t>
  </si>
  <si>
    <t>Campo demostrativo; Bolsa de muestras</t>
  </si>
  <si>
    <t>Bolsa de muestras</t>
  </si>
  <si>
    <t>CODICOBRE</t>
  </si>
  <si>
    <t>Seguimiento comercial sin inversión específica</t>
  </si>
  <si>
    <t>FLORAMEC AVANCE</t>
  </si>
  <si>
    <t>RUN STRESS</t>
  </si>
  <si>
    <t>GREEN-UP</t>
  </si>
  <si>
    <t>AGROWHITE</t>
  </si>
  <si>
    <t>FITOKONTROL CA FLOW</t>
  </si>
  <si>
    <t>SAL-WAX Ca</t>
  </si>
  <si>
    <t>FOSFITOS</t>
  </si>
  <si>
    <t>Banalizado/Commodity</t>
  </si>
  <si>
    <t>Proteger volumen y acelerar sell-out</t>
  </si>
  <si>
    <t>Incentivo por volumen; packs promocionales; campaña de consumo o sell-out</t>
  </si>
  <si>
    <t>CALCIPLUS</t>
  </si>
  <si>
    <t>BOROCAL</t>
  </si>
  <si>
    <t>Campo demostrativo</t>
  </si>
  <si>
    <t>AGROXILATO ZN PLUS</t>
  </si>
  <si>
    <t>CODIFROST PLUS</t>
  </si>
  <si>
    <t>CODIORGAN GLB</t>
  </si>
  <si>
    <t>AGROXILATO-COMPLET</t>
  </si>
  <si>
    <t>Formación técnica al distribuidor; Bolsa de muestras</t>
  </si>
  <si>
    <t>SPRINTENE</t>
  </si>
  <si>
    <t>Jornada técnica con agricultores</t>
  </si>
  <si>
    <t>BAYFOLAN CALCIO</t>
  </si>
  <si>
    <t>BAYFOLAN-CALCIO</t>
  </si>
  <si>
    <t>BAYFOLAN SUN</t>
  </si>
  <si>
    <t>Incrementar consumo y rotación</t>
  </si>
  <si>
    <t>Activación de consumo</t>
  </si>
  <si>
    <t>Campaña de volumen; packs promocionales y demostración práctica de uso</t>
  </si>
  <si>
    <t>BITTER-CAL</t>
  </si>
  <si>
    <t>AGROXILATO-MG</t>
  </si>
  <si>
    <t>Campaña de sell-out / consumo</t>
  </si>
  <si>
    <t>Campo demostrativo; Jornada técnica con agricultores; Bolsa de muestras</t>
  </si>
  <si>
    <t>Jornada técnica con agricultores; Bolsa de muestras</t>
  </si>
  <si>
    <t>Jornada técnica con agricultores; Formación técnica al distribuidor</t>
  </si>
  <si>
    <t>Jornada técnica con agricultores; Bolsa de muestras; Formación técnica al distribuidor</t>
  </si>
  <si>
    <t>PGR IV</t>
  </si>
  <si>
    <t>CALCIAMEC</t>
  </si>
  <si>
    <t>CODIBOR-L</t>
  </si>
  <si>
    <t>CODIFOL-MB</t>
  </si>
  <si>
    <t>Formación técnica al distribuidor; Jornada técnica con agricultores</t>
  </si>
  <si>
    <t>Nuevo/Introducción</t>
  </si>
  <si>
    <t>Construir conocimiento y acelerar la primera adopción</t>
  </si>
  <si>
    <t>Formación al distribuidor; demostración de uso; presentación a agricultores y muestras dirigidas</t>
  </si>
  <si>
    <t>Distribuidor, técnicos y agricultores líderes</t>
  </si>
  <si>
    <t>Campo demostrativo; Formación técnica al distribuidor; Jornada técnica con agricultores; Bolsa de muestras</t>
  </si>
  <si>
    <t>Facilitar la prueba y la incorporación al catálogo</t>
  </si>
  <si>
    <t>Introducción y prueba</t>
  </si>
  <si>
    <t>Formación de uso; prueba comparativa; muestras y argumentario comercial</t>
  </si>
  <si>
    <t>Equipo del distribuidor y agricultores seleccionados</t>
  </si>
  <si>
    <t>TONAZ</t>
  </si>
  <si>
    <t>CODIRESIST</t>
  </si>
  <si>
    <t>Campo demostrativo; Formación técnica al distribuidor; Bolsa de muestras</t>
  </si>
  <si>
    <t>Kit de activación y seguimiento digital</t>
  </si>
  <si>
    <t>FLORAMEC</t>
  </si>
  <si>
    <t>Priorización cliente–familia de producto</t>
  </si>
  <si>
    <t>Ventas cliente (€)</t>
  </si>
  <si>
    <t>% cliente</t>
  </si>
  <si>
    <t>Ranking familia</t>
  </si>
  <si>
    <t>Score cliente</t>
  </si>
  <si>
    <t>Score producto</t>
  </si>
  <si>
    <t>Score dentro cliente</t>
  </si>
  <si>
    <t>Score global</t>
  </si>
  <si>
    <t>Score total</t>
  </si>
  <si>
    <t>FITOLIN-AGRO</t>
  </si>
  <si>
    <t>EGERSIS</t>
  </si>
  <si>
    <t>DEFENS-CA-AE</t>
  </si>
  <si>
    <t>C-SET</t>
  </si>
  <si>
    <t>AMINOG AL</t>
  </si>
  <si>
    <t>NUTRICALE</t>
  </si>
  <si>
    <t>CODIBROT</t>
  </si>
  <si>
    <t>BERRY-FLOR / FLORAMEC PLUS</t>
  </si>
  <si>
    <t>FULVIGIN</t>
  </si>
  <si>
    <t>POLIFRUIT K50</t>
  </si>
  <si>
    <t>BOROCAL PLUS</t>
  </si>
  <si>
    <t>NITROBALANCE</t>
  </si>
  <si>
    <t>AMINOGAL</t>
  </si>
  <si>
    <t>CODIFOL ZN-MN</t>
  </si>
  <si>
    <t>AGROXILATO-FE</t>
  </si>
  <si>
    <t>Declive</t>
  </si>
  <si>
    <t>PREZINC</t>
  </si>
  <si>
    <t>AGROGIMEDEL, S.L.U.</t>
  </si>
  <si>
    <t>RADIFIORI</t>
  </si>
  <si>
    <t>ZN-MN</t>
  </si>
  <si>
    <t>CODIFOL MO PLUS</t>
  </si>
  <si>
    <t>PH-DOWNER</t>
  </si>
  <si>
    <t>BIOCULTURE BASI</t>
  </si>
  <si>
    <t>CODIGREEN</t>
  </si>
  <si>
    <t>AGROXILATO N</t>
  </si>
  <si>
    <t>FITOLIN-MIX</t>
  </si>
  <si>
    <t>LAVAPLANT GRANEL</t>
  </si>
  <si>
    <t>AGROXILATO-ZN 16%</t>
  </si>
  <si>
    <t>MOJALINE NL</t>
  </si>
  <si>
    <t>AGROXILATO ZN</t>
  </si>
  <si>
    <t>AGROXILATO-ZN 16 %</t>
  </si>
  <si>
    <t>POLIGREEN MIX L</t>
  </si>
  <si>
    <t>AGROXILATO MN PLUS</t>
  </si>
  <si>
    <t>MOJALINE</t>
  </si>
  <si>
    <t>LAVAPLANT</t>
  </si>
  <si>
    <t>AGROXILATO-N</t>
  </si>
  <si>
    <t>RADISOL STARTER</t>
  </si>
  <si>
    <t>RADISOL</t>
  </si>
  <si>
    <t>TENSOLINE-MAX</t>
  </si>
  <si>
    <t>AMINOSOIL MG</t>
  </si>
  <si>
    <t>AMINOSOIL-MG</t>
  </si>
  <si>
    <t>TENSOLINE</t>
  </si>
  <si>
    <t>Supuestos y metodología</t>
  </si>
  <si>
    <t>Presupuesto MKT 2027</t>
  </si>
  <si>
    <t>Supuesto general</t>
  </si>
  <si>
    <t>Valor</t>
  </si>
  <si>
    <t>Componente</t>
  </si>
  <si>
    <t>España (€)</t>
  </si>
  <si>
    <t>Exportación (€)</t>
  </si>
  <si>
    <t>Unidad</t>
  </si>
  <si>
    <t>Criterio</t>
  </si>
  <si>
    <t>Tasa de inversión MKT</t>
  </si>
  <si>
    <t>Por producto</t>
  </si>
  <si>
    <t>Familias A en introducción o Ramp-Up</t>
  </si>
  <si>
    <t>Peso clasificación cliente</t>
  </si>
  <si>
    <t>Por cliente</t>
  </si>
  <si>
    <t>Sesión conjunta para productos en lanzamiento, crecimiento o notorios</t>
  </si>
  <si>
    <t>Peso clasificación producto</t>
  </si>
  <si>
    <t>Mercados y clientes clave con productos innovadores/notorios A</t>
  </si>
  <si>
    <t>Peso importancia en cliente</t>
  </si>
  <si>
    <t>Variable</t>
  </si>
  <si>
    <t>0,15% de la venta de familias en introducción/Ramp-Up; límites aplicados</t>
  </si>
  <si>
    <t>Peso relevancia global</t>
  </si>
  <si>
    <t>Productos maduros core o commodity con peso relevante</t>
  </si>
  <si>
    <t>Kit activación / seguimiento digital</t>
  </si>
  <si>
    <t>Clientes de baja aportación con una oportunidad A concreta</t>
  </si>
  <si>
    <t>Metodología</t>
  </si>
  <si>
    <t>Detalle</t>
  </si>
  <si>
    <t>Escalas utilizadas</t>
  </si>
  <si>
    <t>Familia de producto</t>
  </si>
  <si>
    <t>Agrupa formatos, etiquetas de país y marcas privadas equivalentes.</t>
  </si>
  <si>
    <t>Umbral Score total</t>
  </si>
  <si>
    <t>Importancia en cliente</t>
  </si>
  <si>
    <t>100: primera familia o ≥25%; 80: top 3 o 10%-25%; 55: 5%-10%; 25: &lt;5%.</t>
  </si>
  <si>
    <t>≥ 80</t>
  </si>
  <si>
    <t>Relevancia global</t>
  </si>
  <si>
    <t>50% ranking de ventas, 25% presencia en clientes y 25% valor estratégico del producto.</t>
  </si>
  <si>
    <t>65 a 79,9</t>
  </si>
  <si>
    <t>Universo de diseño</t>
  </si>
  <si>
    <t>Se diseña una respuesta para todas las combinaciones cliente–familia con prioridad A o B.</t>
  </si>
  <si>
    <t>50 a 64,9</t>
  </si>
  <si>
    <t>Inicio del plan cliente</t>
  </si>
  <si>
    <t>El kick-off se sitúa dos meses antes del mes de mayor venta conjunta de las familias A/B del cliente.</t>
  </si>
  <si>
    <t>&lt; 50</t>
  </si>
  <si>
    <t>Ejecución por familia</t>
  </si>
  <si>
    <t>Cada línea cliente–familia se programa un mes antes de su propio pico de ventas para acercar la acción al momento de consumo.</t>
  </si>
  <si>
    <t>Mensualización</t>
  </si>
  <si>
    <t>El resumen mensual toma ferias y acciones corporativas del Plan de acciones y el presupuesto cliente–producto del detalle Diseño A-B, sin duplicar importes.</t>
  </si>
  <si>
    <t>Ciclo / rol</t>
  </si>
  <si>
    <t>Reparto de costes</t>
  </si>
  <si>
    <t>Los componentes directos se imputan a su familia. Los compartidos se distribuyen entre las familias vinculadas según ventas, Score y prioridad, con un mínimo operativo cuando es posible.</t>
  </si>
  <si>
    <t>Matriz estratégica</t>
  </si>
  <si>
    <t>El ciclo determina el objetivo de Marketing y el rol define si debe primar explicación técnica, demostración, adopción, fidelización o consumo.</t>
  </si>
  <si>
    <t>Introducción y Ramp-Up</t>
  </si>
  <si>
    <t>Se priorizan demostraciones, formación, jornadas y muestras para generar conocimiento, prueba y demanda.</t>
  </si>
  <si>
    <t>Requiere explicación técnica, evidencias, casos y contacto con agricultores o prescriptores.</t>
  </si>
  <si>
    <t>Maduro Commodity</t>
  </si>
  <si>
    <t>Se orienta a volumen, rotación y sell-out mediante campañas de consumo, packs o incentivos.</t>
  </si>
  <si>
    <t>Consolidación por cliente</t>
  </si>
  <si>
    <t>Las acciones compatibles se integran en un solo programa; no se repiten formaciones, muestras o jornadas como líneas independientes.</t>
  </si>
  <si>
    <t>Ajuste presupuestario</t>
  </si>
  <si>
    <t>Primero se preserva una acción central por cliente, los lanzamientos y las campañas de consumo materiales. Los componentes secundarios se priorizan después.</t>
  </si>
  <si>
    <t>Muestras</t>
  </si>
  <si>
    <t>Valoradas a precio de venta presupuestado, según criterio definido por Dirección.</t>
  </si>
  <si>
    <t>Fuente</t>
  </si>
  <si>
    <t>Presupuesto_Prevision_2026_2027_V6_DEFINITIVO.xlsx. LekkerBio se reclasifica comercialmente de Países Bajos a México.</t>
  </si>
  <si>
    <t>Guía breve para interpretar los parámetros</t>
  </si>
  <si>
    <t>Agrupa variantes, formatos, etiquetas y marcas privadas equivalentes para decidir Marketing a nivel de producto real. Ejemplo: los distintos formatos de BIORAD-20 se analizan como una sola familia.</t>
  </si>
  <si>
    <t>Indica la importancia comercial y el potencial del cliente. Se transforma en Score cliente: estratégico 100, potencial 85, desarrollo 75 y baja aportación 30. Ejemplo: Marcoser, como cliente estratégico, obtiene 100.</t>
  </si>
  <si>
    <t>Venta presupuestada de esa familia en ese cliente. No decide por sí sola la prioridad, pero determina su peso económico. Ejemplo: 31.056 € de BIORAD-20 en Marcoser.</t>
  </si>
  <si>
    <t>Venta presupuestada total del cliente, sumando todas sus familias. Sirve como base para calcular el peso de cada producto dentro de su cartera.</t>
  </si>
  <si>
    <t>Porcentaje de las ventas del cliente que corresponde a la familia. Ejemplo: 25.000 € sobre un cliente de 100.000 € representan el 25 %.</t>
  </si>
  <si>
    <t>Posición de la familia por ventas dentro del cliente: 1 es la familia de mayor venta. Ayuda a identificar qué productos sostienen la relación comercial.</t>
  </si>
  <si>
    <t>Puntuación de 0 a 100 derivada de la clasificación del cliente. Cuanto mayor es, más justificada está una inversión de Marketing en ese cliente.</t>
  </si>
  <si>
    <t>Mide la necesidad y el potencial de apoyo de Marketing según ciclo y rol. Un Ramp-Up innovador obtiene 100; un producto maduro commodity, 30. No mide ventas: mide el tipo de esfuerzo requerido.</t>
  </si>
  <si>
    <t>Mide la importancia de la familia en el cliente: 100 si es la primera o pesa ≥25 %; 80 si está en el top 3 o pesa 10-25 %; 55 si pesa 5-10 %; 25 si pesa &lt;5 %.</t>
  </si>
  <si>
    <t>Mide la relevancia de la familia para CODIAGRO: 50 % posición por ventas globales, 25 % presencia en clientes y 25 % valor estratégico del producto. Una familia importante en varios mercados obtiene un valor alto.</t>
  </si>
  <si>
    <t>Resultado ponderado: 25 % cliente + 30 % producto + 25 % importancia dentro del cliente + 20 % relevancia global. Ejemplo AQUOM–Agrorebollo: 75×25 % + 90×30 % + 80×25 % + 76,4×20 % = 81,0.</t>
  </si>
  <si>
    <t>Traduce el Score total en una categoría operativa: A ≥80; B 65-79,9; C 50-64,9; D &lt;50. El plan de acciones se construye con las familias A y B.</t>
  </si>
  <si>
    <t>Etapa de vida que concentra más ventas dentro de la familia en ese cliente: introducción, Ramp-Up, maduro o declive. Define el objetivo: lanzar, desarrollar, defender o racionalizar.</t>
  </si>
  <si>
    <t>Función estratégica con mayor peso de ventas: Innovador/Notorio, Esencial/Core o Banalizado/Commodity. Define si la acción debe priorizar explicación técnica, fidelización o consumo/rotación.</t>
  </si>
  <si>
    <t>Resultado buscado para cada familia A/B al combinar ciclo y rol. Ejemplo: BIORAD-20 Ramp-Up e innovador busca generar demanda, referencias y prescripción técnica.</t>
  </si>
  <si>
    <t>Marco de actuación asociado a la combinación ciclo–rol. Ejemplo: Ramp-Up + Innovador se convierte en un programa de generación de demanda y adopción.</t>
  </si>
  <si>
    <t>Mes de kick-off con el cliente. Se calcula dos meses antes del pico conjunto para organizar, preparar y explicar el programa anual.</t>
  </si>
  <si>
    <t>Mes de mayor venta presupuestada de cada familia dentro del cliente. Es la referencia para calendarizar su ejecución.</t>
  </si>
  <si>
    <t>Mes en que se prevé consumir el presupuesto de la línea. Se sitúa un mes antes del pico de ventas de la familia.</t>
  </si>
  <si>
    <t>Número de familias A y B incluidas en el programa del cliente. Ejemplo: 4 A / 10 B significa que el plan de Marcoser integra 14 familias prioritarias.</t>
  </si>
  <si>
    <t>Familias A/B a las que se vinculan los componentes finalmente presupuestados. Permite comprobar qué productos justifican cada formación, demostración, jornada, muestra o campaña.</t>
  </si>
  <si>
    <t>Acciones concretas seleccionadas y consolidadas en un solo programa por cliente. Se evita repetir varias formaciones o bolsas de muestras cuando pueden ejecutarse conjuntamente.</t>
  </si>
  <si>
    <t>Resume el esfuerzo previsto: Alta si el programa cuesta ≥5.000 € o contiene ≥4 componentes; Media si cuesta ≥2.000 € o contiene ≥2; Selectiva si tiene inversión menor; Seguimiento si no requiere presupuesto.</t>
  </si>
  <si>
    <t>Presupuesto total programa</t>
  </si>
  <si>
    <t>Coste total del programa integrado del cliente mostrado en Plan acciones. Es una cifra de control y no se suma de nuevo en la mensualización.</t>
  </si>
  <si>
    <t>Parte del presupuesto del cliente imputada a cada familia en Diseño A-B. La suma de todas las familias del cliente coincide exactamente con el presupuesto total de su programa.</t>
  </si>
  <si>
    <t>Mapa de SKU y etiquetas a familias</t>
  </si>
  <si>
    <t>Código artículo</t>
  </si>
  <si>
    <t>Descripción</t>
  </si>
  <si>
    <t>Familia asignada</t>
  </si>
  <si>
    <t>Ciclo</t>
  </si>
  <si>
    <t>Rol</t>
  </si>
  <si>
    <t>SSEG0005EG</t>
  </si>
  <si>
    <t>AN0020CL</t>
  </si>
  <si>
    <t>MAGNIFIC Ca FLOW, 20 KG</t>
  </si>
  <si>
    <t>AGXK0020</t>
  </si>
  <si>
    <t>AGROXILATO-K, 20 L</t>
  </si>
  <si>
    <t>SPCE2B0001EG</t>
  </si>
  <si>
    <t>NEW SPRINTENE</t>
  </si>
  <si>
    <t>AGXK0005EG</t>
  </si>
  <si>
    <t>AGROXILATO+K</t>
  </si>
  <si>
    <t>SALWAX CALCIO EGIPTO, 5 KG</t>
  </si>
  <si>
    <t>SAL-WAX Ca, 5 KG</t>
  </si>
  <si>
    <t>AGXK0020AZ</t>
  </si>
  <si>
    <t>W330020CL</t>
  </si>
  <si>
    <t>BAYFOLAN SUN, 20 KG</t>
  </si>
  <si>
    <t>PT0020</t>
  </si>
  <si>
    <t>AGROPOTASION, 20 L</t>
  </si>
  <si>
    <t>AN0020</t>
  </si>
  <si>
    <t>ALCAPLANT NEW, 20 KG</t>
  </si>
  <si>
    <t>MAGNIFIC Ca FLOW</t>
  </si>
  <si>
    <t>S1000</t>
  </si>
  <si>
    <t>SALWAX STAR, 1000 L</t>
  </si>
  <si>
    <t>BAYCAL0020CL</t>
  </si>
  <si>
    <t>AGXK1000</t>
  </si>
  <si>
    <t>AGROXILATO-K, 1000 L</t>
  </si>
  <si>
    <t>SPRINTENE CON BORO</t>
  </si>
  <si>
    <t>SSEG0020EG</t>
  </si>
  <si>
    <t>AN0005TR</t>
  </si>
  <si>
    <t>ALCAPLANT NEW, 5 KG</t>
  </si>
  <si>
    <t>AVAN0020</t>
  </si>
  <si>
    <t>FLORAMEC AVANCE, 20 L</t>
  </si>
  <si>
    <t>AO0020MX</t>
  </si>
  <si>
    <t>ALCAPLANT OMRI</t>
  </si>
  <si>
    <t>WHITE0020</t>
  </si>
  <si>
    <t>AGROWHITE, 20 KG</t>
  </si>
  <si>
    <t>WHITE0005TR</t>
  </si>
  <si>
    <t>CSIL1000PE</t>
  </si>
  <si>
    <t>FITOKONTROL -K</t>
  </si>
  <si>
    <t>BAYFOLAN-CALCIO, 20 L</t>
  </si>
  <si>
    <t>ALCAPLANT NEW</t>
  </si>
  <si>
    <t>NEW SPRINTENE, 1 L</t>
  </si>
  <si>
    <t>ALCAPLANT OMRI, 20 KG</t>
  </si>
  <si>
    <t>AN1000EG</t>
  </si>
  <si>
    <t>ALCAPLANT-NEW</t>
  </si>
  <si>
    <t>ANAE0005</t>
  </si>
  <si>
    <t>ALCAPLANT NEW AE, 5 KG</t>
  </si>
  <si>
    <t>BIO0020</t>
  </si>
  <si>
    <t>BIORAD-20, 20 L</t>
  </si>
  <si>
    <t>BIO0020GE</t>
  </si>
  <si>
    <t>BIO0020AZ</t>
  </si>
  <si>
    <t>SSEG0005SA</t>
  </si>
  <si>
    <t>S0020</t>
  </si>
  <si>
    <t>SALWAX STAR, 20 L</t>
  </si>
  <si>
    <t>C-MB0005</t>
  </si>
  <si>
    <t>CODIFOL-MB, 5 L</t>
  </si>
  <si>
    <t>SAL-WAX STAR, 1000 L</t>
  </si>
  <si>
    <t>AVAN0005</t>
  </si>
  <si>
    <t>FLORAMEC AVANCE, 5 L</t>
  </si>
  <si>
    <t>AGXK0200</t>
  </si>
  <si>
    <t>AGROXILATO-K, 200 L</t>
  </si>
  <si>
    <t>CPLUS0020</t>
  </si>
  <si>
    <t>CALCIPLUS, 20 L</t>
  </si>
  <si>
    <t>FTK0005TR</t>
  </si>
  <si>
    <t>FITOKONTROL CA FLOW, 5 KG</t>
  </si>
  <si>
    <t>A-50(2)0005</t>
  </si>
  <si>
    <t>CODIORGAN-A50, 5 KG</t>
  </si>
  <si>
    <t>SALWAX CALCIO EGIPTO, 20 KG</t>
  </si>
  <si>
    <t>BEY0020AZ</t>
  </si>
  <si>
    <t>BERRY-FLOR</t>
  </si>
  <si>
    <t>A-50EG0001EG</t>
  </si>
  <si>
    <t>CODIORGAN-A50</t>
  </si>
  <si>
    <t>ALCAPLANT NEW, 1000 KG</t>
  </si>
  <si>
    <t>AN0020AZ</t>
  </si>
  <si>
    <t>FIORI1000IT</t>
  </si>
  <si>
    <t>RADIFIORI, 1000 L</t>
  </si>
  <si>
    <t>C-CU20001EG</t>
  </si>
  <si>
    <t>HST0020</t>
  </si>
  <si>
    <t>HIDROSTRESS-40, 20 L</t>
  </si>
  <si>
    <t>TRI0005</t>
  </si>
  <si>
    <t>TRIFENO-94, 5L</t>
  </si>
  <si>
    <t>AQUOM0005</t>
  </si>
  <si>
    <t>AQUOM, 5 L</t>
  </si>
  <si>
    <t>VITA0001GR</t>
  </si>
  <si>
    <t>FTK0005</t>
  </si>
  <si>
    <t>C-CU0020</t>
  </si>
  <si>
    <t>CODICOBRE, 20 L</t>
  </si>
  <si>
    <t>G30020</t>
  </si>
  <si>
    <t>GREEN-UP, 20 L</t>
  </si>
  <si>
    <t>AGRMGN0020</t>
  </si>
  <si>
    <t>AGROXIGREEN-MG, 20 L</t>
  </si>
  <si>
    <t>GRE10001GR</t>
  </si>
  <si>
    <t>AGXK0200MA</t>
  </si>
  <si>
    <t>PIV0020</t>
  </si>
  <si>
    <t>PGR IV, 20 L</t>
  </si>
  <si>
    <t>B0020</t>
  </si>
  <si>
    <t>BOROCAL, 20 L</t>
  </si>
  <si>
    <t>PT0005</t>
  </si>
  <si>
    <t>AGROPOTASION, 5 L</t>
  </si>
  <si>
    <t>AGXK0020MX</t>
  </si>
  <si>
    <t>AN0005CO</t>
  </si>
  <si>
    <t>CODIORGAN-A50 EGIPTO, 1 KG</t>
  </si>
  <si>
    <t>AN0020CR</t>
  </si>
  <si>
    <t>SPCE2B0020</t>
  </si>
  <si>
    <t>SPRINTENE CON BORO, 20 L</t>
  </si>
  <si>
    <t>AN0020EC</t>
  </si>
  <si>
    <t>VITA0005GR</t>
  </si>
  <si>
    <t>VITA-S, 5 L</t>
  </si>
  <si>
    <t>AGZNP0005</t>
  </si>
  <si>
    <t>AGROXILATO ZN PLUS, 5 KG</t>
  </si>
  <si>
    <t>ANAE0020</t>
  </si>
  <si>
    <t>ALCAPLANT NEW AE, 20 KG</t>
  </si>
  <si>
    <t>SPCE0001RO</t>
  </si>
  <si>
    <t>FITOKONTROL-K, 1000 L</t>
  </si>
  <si>
    <t>SS0020</t>
  </si>
  <si>
    <t>SALWAX-CA, 20 KG</t>
  </si>
  <si>
    <t>AGXK0020MA</t>
  </si>
  <si>
    <t>C-L0005</t>
  </si>
  <si>
    <t>CODIBOR-L, 5 L</t>
  </si>
  <si>
    <t>CODIFLOW-Ca</t>
  </si>
  <si>
    <t>CODICOBRE (EGIPTO)</t>
  </si>
  <si>
    <t>AVAN0001EG</t>
  </si>
  <si>
    <t>CALCIO0005</t>
  </si>
  <si>
    <t>CALCIAMEC, 5 KG</t>
  </si>
  <si>
    <t>NAZ</t>
  </si>
  <si>
    <t>Aquom 5L</t>
  </si>
  <si>
    <t>C-CUAE0005</t>
  </si>
  <si>
    <t>CUPRAMEC, 5 L</t>
  </si>
  <si>
    <t>SAL-WAX-Ca sólido, 20 KG</t>
  </si>
  <si>
    <t>B0001RO</t>
  </si>
  <si>
    <t>AGMG0005LB</t>
  </si>
  <si>
    <t>AGROXILATO-MG, 5 KG (EXPORT)</t>
  </si>
  <si>
    <t>S0200</t>
  </si>
  <si>
    <t>SALWAX STAR, 200 L</t>
  </si>
  <si>
    <t>AGZNP0001EG</t>
  </si>
  <si>
    <t>AGROXILATO-ZN PLUS</t>
  </si>
  <si>
    <t>C-CU0001EC</t>
  </si>
  <si>
    <t>F-A0001DO</t>
  </si>
  <si>
    <t>PREZN0005</t>
  </si>
  <si>
    <t>PREZINC, 5 kg</t>
  </si>
  <si>
    <t>TRI0001</t>
  </si>
  <si>
    <t>TRIFENO-94, 1 L</t>
  </si>
  <si>
    <t>SOLUTION OF CALCIUM HIDROXIDE</t>
  </si>
  <si>
    <t>AN0020CO</t>
  </si>
  <si>
    <t>A-500005AZ</t>
  </si>
  <si>
    <t>AGXKC0020</t>
  </si>
  <si>
    <t>AGROXILATO-COMPLET, 20 L</t>
  </si>
  <si>
    <t>AGXCR1000CR</t>
  </si>
  <si>
    <t>AGROXILATO-K (0-5-20), 1000 Lts.</t>
  </si>
  <si>
    <t>SAL-WAX STAR, 20 L</t>
  </si>
  <si>
    <t>AN0005CR</t>
  </si>
  <si>
    <t>HST0005AZ</t>
  </si>
  <si>
    <t>HIDROSTRESS-40</t>
  </si>
  <si>
    <t>BROTA0005</t>
  </si>
  <si>
    <t>BROTAMEC, 5 L</t>
  </si>
  <si>
    <t>C-CU0020MX</t>
  </si>
  <si>
    <t>SPCE2B0020MA</t>
  </si>
  <si>
    <t>AGXKC1000</t>
  </si>
  <si>
    <t>AGROXILATO-COMPLET, 1000 L</t>
  </si>
  <si>
    <t>SPCE0001CR</t>
  </si>
  <si>
    <t>AGXCR0020LB</t>
  </si>
  <si>
    <t>AGROXILATO-K, (0-5-20), 20 LtS.</t>
  </si>
  <si>
    <t>SS0005</t>
  </si>
  <si>
    <t>SALWAX-CA, 5 KG</t>
  </si>
  <si>
    <t>AO1000MX</t>
  </si>
  <si>
    <t>ALCAPLANT OMRI, 1000 KG</t>
  </si>
  <si>
    <t>BC0005LB</t>
  </si>
  <si>
    <t>BITTER-CAL, 5 KG</t>
  </si>
  <si>
    <t>C-CU0005</t>
  </si>
  <si>
    <t>CODICOBRE, 5 L</t>
  </si>
  <si>
    <t>BIO0020TR</t>
  </si>
  <si>
    <t>C-GLB0001</t>
  </si>
  <si>
    <t>CODIORGAN GLB, 1 KG</t>
  </si>
  <si>
    <t>BIO1000</t>
  </si>
  <si>
    <t>BIORAD-20, 1000 L</t>
  </si>
  <si>
    <t>AGXK0005</t>
  </si>
  <si>
    <t>AGROXILATO-K, 5 L</t>
  </si>
  <si>
    <t>AN0005PA</t>
  </si>
  <si>
    <t>BROTA0020</t>
  </si>
  <si>
    <t>BROTAMEC, 20 L</t>
  </si>
  <si>
    <t>AN0020GE</t>
  </si>
  <si>
    <t>BIO1000TR</t>
  </si>
  <si>
    <t>AVAN0020MA</t>
  </si>
  <si>
    <t>CODI-FLOR AVANCE, 1 L</t>
  </si>
  <si>
    <t>AGXCR0020RO</t>
  </si>
  <si>
    <t>JF0020</t>
  </si>
  <si>
    <t>DRAGO-FOS, 20 L</t>
  </si>
  <si>
    <t>AGROXILATO-ZN PLUS, 5 KG</t>
  </si>
  <si>
    <t>PT0001DO</t>
  </si>
  <si>
    <t>AGROPOTASION, 1 L</t>
  </si>
  <si>
    <t>GRE20001GR</t>
  </si>
  <si>
    <t>B1000CR</t>
  </si>
  <si>
    <t>BOROCAL, 1000 L</t>
  </si>
  <si>
    <t>BIO0020MA</t>
  </si>
  <si>
    <t>RUN0001AZ</t>
  </si>
  <si>
    <t>PT1000CR</t>
  </si>
  <si>
    <t>AGROPOTASION, 1000 L</t>
  </si>
  <si>
    <t>F-A1000CR</t>
  </si>
  <si>
    <t>FITOLIN AGRO</t>
  </si>
  <si>
    <t>RADISOL-20, 20 L</t>
  </si>
  <si>
    <t>CODIORGAN  A-50</t>
  </si>
  <si>
    <t>FTK0005AZ</t>
  </si>
  <si>
    <t>RUN0001TR</t>
  </si>
  <si>
    <t>RUN STRESS, 1 L</t>
  </si>
  <si>
    <t>P-5X0020</t>
  </si>
  <si>
    <t>P.M.S. 5x, 20 L</t>
  </si>
  <si>
    <t>AVAN0001RO</t>
  </si>
  <si>
    <t>START20001DO</t>
  </si>
  <si>
    <t>SS0005MX</t>
  </si>
  <si>
    <t>SAL-WAX-Ca</t>
  </si>
  <si>
    <t>AN0005MA</t>
  </si>
  <si>
    <t>AN0005EC</t>
  </si>
  <si>
    <t>AGXCR0001RO</t>
  </si>
  <si>
    <t>AGXKAE0020</t>
  </si>
  <si>
    <t>BIOCULTURE POTASIO, 20 L</t>
  </si>
  <si>
    <t>SS0001RO</t>
  </si>
  <si>
    <t>SALWAX-CA, 1 KG</t>
  </si>
  <si>
    <t>RUN0005</t>
  </si>
  <si>
    <t>RUN STRESS, 5 L</t>
  </si>
  <si>
    <t>GRE10005GR</t>
  </si>
  <si>
    <t>C-CU0005AZ</t>
  </si>
  <si>
    <t>A-50TR</t>
  </si>
  <si>
    <t>CODIORGAN-A50, BB</t>
  </si>
  <si>
    <t>TONAZ, 5 L</t>
  </si>
  <si>
    <t>SPRINTENE ABONO CE, 1 L</t>
  </si>
  <si>
    <t>BIO0020RO</t>
  </si>
  <si>
    <t>AGRMG20005EG</t>
  </si>
  <si>
    <t>B0001DO</t>
  </si>
  <si>
    <t>BOROCAL,1 L</t>
  </si>
  <si>
    <t>SS0020AZ</t>
  </si>
  <si>
    <t>SALWAX-CA</t>
  </si>
  <si>
    <t>RADISOL-20</t>
  </si>
  <si>
    <t>FITOLIN AGRO, 1000 L</t>
  </si>
  <si>
    <t>A-50(2)0005MA</t>
  </si>
  <si>
    <t>CALCIO0001RO</t>
  </si>
  <si>
    <t>HIDROSTRESS, 20 L</t>
  </si>
  <si>
    <t>BR-59AE0005</t>
  </si>
  <si>
    <t>BR-59 AE, 5 KG</t>
  </si>
  <si>
    <t>AGXCR1000RO</t>
  </si>
  <si>
    <t>A-50(2)0001DO</t>
  </si>
  <si>
    <t>N0020</t>
  </si>
  <si>
    <t>NUTRICALE, 20 L</t>
  </si>
  <si>
    <t>FTK0005MA</t>
  </si>
  <si>
    <t>RUN0005MA</t>
  </si>
  <si>
    <t>A-50(2)0001RS</t>
  </si>
  <si>
    <t>C-MB0020</t>
  </si>
  <si>
    <t>CODIFOL-MB, 20 L</t>
  </si>
  <si>
    <t>AVAN0005AZ</t>
  </si>
  <si>
    <t>AGROXILATO-ZN PLUS, 1 KG</t>
  </si>
  <si>
    <t>RUN1000TR</t>
  </si>
  <si>
    <t>RUN STRESS, 1000 L</t>
  </si>
  <si>
    <t>CORDELIA</t>
  </si>
  <si>
    <t>CODIGIN-FOS, 20 L</t>
  </si>
  <si>
    <t>CODIORGAN-A50, 1 KG</t>
  </si>
  <si>
    <t>RUN0020</t>
  </si>
  <si>
    <t>RUN STRESS, 20 L</t>
  </si>
  <si>
    <t>FLOR0001RO</t>
  </si>
  <si>
    <t>CODIORGAN A-50, 5 KG</t>
  </si>
  <si>
    <t>AQUOM0020</t>
  </si>
  <si>
    <t>AQUOM, 20 L</t>
  </si>
  <si>
    <t>FLORCR1000CR</t>
  </si>
  <si>
    <t>FLORAMEC CR, 1000 L</t>
  </si>
  <si>
    <t>SS0020CR</t>
  </si>
  <si>
    <t>AN0020RO</t>
  </si>
  <si>
    <t>B0005</t>
  </si>
  <si>
    <t>BOROCAL, 5 L</t>
  </si>
  <si>
    <t>C-CU1000CR</t>
  </si>
  <si>
    <t>POTASION PLUS</t>
  </si>
  <si>
    <t>PT0200</t>
  </si>
  <si>
    <t>AGROPOTASION, 200 L</t>
  </si>
  <si>
    <t>BIO0005</t>
  </si>
  <si>
    <t>BIORAD-20, 5L</t>
  </si>
  <si>
    <t>PK500001RO</t>
  </si>
  <si>
    <t>AN0020MA</t>
  </si>
  <si>
    <t>AGXK0001DO</t>
  </si>
  <si>
    <t>AN0020LB</t>
  </si>
  <si>
    <t>SS0020RO</t>
  </si>
  <si>
    <t>SPCE2B0001MA</t>
  </si>
  <si>
    <t>PT0001RO</t>
  </si>
  <si>
    <t>CALCIO0020RO</t>
  </si>
  <si>
    <t>BIO0001PA</t>
  </si>
  <si>
    <t>C-L0005AZ</t>
  </si>
  <si>
    <t>A-500020CR</t>
  </si>
  <si>
    <t>FU0020AZ</t>
  </si>
  <si>
    <t>AMINOG AL , 1L</t>
  </si>
  <si>
    <t>CPLUS1000</t>
  </si>
  <si>
    <t>CALCIPLUS, 1000 L</t>
  </si>
  <si>
    <t>HST0005</t>
  </si>
  <si>
    <t>HIDROSTRESS-40, 5 L</t>
  </si>
  <si>
    <t>CODIR0001PA</t>
  </si>
  <si>
    <t>CODIRESIST, 1 L</t>
  </si>
  <si>
    <t>BIO0200MA</t>
  </si>
  <si>
    <t>RADISOL-20, 200 L</t>
  </si>
  <si>
    <t>A-500001GE</t>
  </si>
  <si>
    <t>CALCIAMEC, 1 KG</t>
  </si>
  <si>
    <t>C-CUAE0020</t>
  </si>
  <si>
    <t>CUPRAMEC, 20 L</t>
  </si>
  <si>
    <t>BIO0005DO</t>
  </si>
  <si>
    <t>FLORAMEC, 1 LTR.</t>
  </si>
  <si>
    <t>BIO0001DO</t>
  </si>
  <si>
    <t>FTK0005RS</t>
  </si>
  <si>
    <t>BIORAD-20, 200 L</t>
  </si>
  <si>
    <t>PT0005MA</t>
  </si>
  <si>
    <t>RUN0001GE</t>
  </si>
  <si>
    <t>F-A0005DO</t>
  </si>
  <si>
    <t>BIO-RAD 20</t>
  </si>
  <si>
    <t>A-500020RO</t>
  </si>
  <si>
    <t>F-MIX0020MA</t>
  </si>
  <si>
    <t>FITOLIN-MIX, 20 L</t>
  </si>
  <si>
    <t>PHD0020</t>
  </si>
  <si>
    <t>PH-DOWNER, 20 L</t>
  </si>
  <si>
    <t>C-M-P0005MA</t>
  </si>
  <si>
    <t>CODIFOL-MO-PLUS, 5 L</t>
  </si>
  <si>
    <t>SPRINTENE ABONO CE</t>
  </si>
  <si>
    <t>SPCE1000RO</t>
  </si>
  <si>
    <t>SPRINTENE ABONO CE, 1000 L</t>
  </si>
  <si>
    <t>A-500001RO</t>
  </si>
  <si>
    <t>A-50(2)0020MA</t>
  </si>
  <si>
    <t>AVAN0005MA</t>
  </si>
  <si>
    <t>PT0020MA</t>
  </si>
  <si>
    <t>CODIORGAN-A50, 20 KG</t>
  </si>
  <si>
    <t>CZNMNES0005GE</t>
  </si>
  <si>
    <t>CM3M0001AZ</t>
  </si>
  <si>
    <t>TENSOLINE-MAX, 1 L</t>
  </si>
  <si>
    <t>RUN0005GE</t>
  </si>
  <si>
    <t>RUN0001RS</t>
  </si>
  <si>
    <t>AGXCR0001PA</t>
  </si>
  <si>
    <t>AGROXILATO-K  (0-5-20), 1 L</t>
  </si>
  <si>
    <t>A-500005CR</t>
  </si>
  <si>
    <t>A-50(2)0020</t>
  </si>
  <si>
    <t>CODIORGAN A-50, 20 KG</t>
  </si>
  <si>
    <t>AGRMG0005</t>
  </si>
  <si>
    <t>AGROXIGREEN-Mg, 5 L</t>
  </si>
  <si>
    <t>G1000CR</t>
  </si>
  <si>
    <t>GREEN-UP EXPORTACION, 1000 L</t>
  </si>
  <si>
    <t>LP0001DO</t>
  </si>
  <si>
    <t>FROST-P0020</t>
  </si>
  <si>
    <t>CODIFROST PLUS, 20 L</t>
  </si>
  <si>
    <t>G0001RO</t>
  </si>
  <si>
    <t>DECA0005CR</t>
  </si>
  <si>
    <t>C-GLB0001RO</t>
  </si>
  <si>
    <t>SS0001PA</t>
  </si>
  <si>
    <t>SAL WAX MAX</t>
  </si>
  <si>
    <t>SAL-WAX-Ca sólido</t>
  </si>
  <si>
    <t>CODIR1000CR</t>
  </si>
  <si>
    <t>CODIRESIST, 1000 L</t>
  </si>
  <si>
    <t>DEFENS-CA-AE, 5 KG</t>
  </si>
  <si>
    <t>PT1000</t>
  </si>
  <si>
    <t>AGRO-POTASION</t>
  </si>
  <si>
    <t>GRE20005GR</t>
  </si>
  <si>
    <t>EGERSIS, 5 L</t>
  </si>
  <si>
    <t>RADISOL STARTER, 1 L</t>
  </si>
  <si>
    <t>AGZN0005CR</t>
  </si>
  <si>
    <t>AGROXILATO-ZN 16%,  5 KG (EXPORT)</t>
  </si>
  <si>
    <t>PHD0005</t>
  </si>
  <si>
    <t>PH-DOWNER, 5 L</t>
  </si>
  <si>
    <t>FLORCR0001PA</t>
  </si>
  <si>
    <t>FLORAMEC CR, 1 L</t>
  </si>
  <si>
    <t>G0001PA</t>
  </si>
  <si>
    <t>TRANSLOCADOR</t>
  </si>
  <si>
    <t>CBROT0020AZ</t>
  </si>
  <si>
    <t>CODIBROT, 20 L</t>
  </si>
  <si>
    <t>C-L0020AZ</t>
  </si>
  <si>
    <t>CODIBOR-L, 20 L</t>
  </si>
  <si>
    <t>CALCIO0020</t>
  </si>
  <si>
    <t>CALCIAMEC, 20 KG</t>
  </si>
  <si>
    <t>AVAN0001RS</t>
  </si>
  <si>
    <t>GREEN-UP EXPORTACION, 1 L</t>
  </si>
  <si>
    <t>A-501000TR</t>
  </si>
  <si>
    <t>CODIORGAN-A50, 1000 KG</t>
  </si>
  <si>
    <t>SS0005MA</t>
  </si>
  <si>
    <t>C-L0020</t>
  </si>
  <si>
    <t>JF0005</t>
  </si>
  <si>
    <t>CODIGIN-FOS, 5 L</t>
  </si>
  <si>
    <t>CZNMNES1000TR</t>
  </si>
  <si>
    <t>CODIFOL ZN-MN, 1000 KG</t>
  </si>
  <si>
    <t>CALCIO0005MA</t>
  </si>
  <si>
    <t>B0020RO</t>
  </si>
  <si>
    <t>WHITE0005GE</t>
  </si>
  <si>
    <t>AGZ-M0005</t>
  </si>
  <si>
    <t>AGROXILATO-ZN-MN, 5 KG</t>
  </si>
  <si>
    <t>CSIL0020</t>
  </si>
  <si>
    <t>FITOKONTROL-K, 20 L</t>
  </si>
  <si>
    <t>CBASI0005</t>
  </si>
  <si>
    <t>BIOCULTURE BASI, 5 KG</t>
  </si>
  <si>
    <t>AGROXIGREEN-MG, 5 L</t>
  </si>
  <si>
    <t>SS0020MA</t>
  </si>
  <si>
    <t>AGXK0005AZ</t>
  </si>
  <si>
    <t>SPCE0020RO</t>
  </si>
  <si>
    <t>C-MB0005MA</t>
  </si>
  <si>
    <t>BR-590005</t>
  </si>
  <si>
    <t>BR-59, 5 KG</t>
  </si>
  <si>
    <t>FTK0020RS</t>
  </si>
  <si>
    <t>FITOKONTROL CA FLOW, 20 KG</t>
  </si>
  <si>
    <t>SAL-WAX STAR, 200 L</t>
  </si>
  <si>
    <t>PK500020RO</t>
  </si>
  <si>
    <t>BIO0020DO</t>
  </si>
  <si>
    <t>PHD0001RO</t>
  </si>
  <si>
    <t>G0005PA</t>
  </si>
  <si>
    <t>BIO0001RO</t>
  </si>
  <si>
    <t>G0020RO</t>
  </si>
  <si>
    <t>SPAR0001SA</t>
  </si>
  <si>
    <t>SPRINTENE ARABIA, 1 L</t>
  </si>
  <si>
    <t>SS0001CR</t>
  </si>
  <si>
    <t>A-500001</t>
  </si>
  <si>
    <t>BPLUS20005</t>
  </si>
  <si>
    <t>BOROCAL PLUS, 5 KG</t>
  </si>
  <si>
    <t>FU0020</t>
  </si>
  <si>
    <t>FULVIGIN, 20 L</t>
  </si>
  <si>
    <t>CODICOBRE, 1000 L</t>
  </si>
  <si>
    <t>PT0020RO</t>
  </si>
  <si>
    <t>AN0005DO</t>
  </si>
  <si>
    <t>AGXCR0020CO</t>
  </si>
  <si>
    <t>C-CU1000TR</t>
  </si>
  <si>
    <t>SPCE20001CR</t>
  </si>
  <si>
    <t>SPRINTENE ZNMN 1L</t>
  </si>
  <si>
    <t>FLOR0001DO</t>
  </si>
  <si>
    <t>NB1000CR</t>
  </si>
  <si>
    <t>NITROBALANCe</t>
  </si>
  <si>
    <t>WHITE0020RO</t>
  </si>
  <si>
    <t>AGZN0001CR</t>
  </si>
  <si>
    <t>AGROXILATO Zn</t>
  </si>
  <si>
    <t>C-CU0001CO</t>
  </si>
  <si>
    <t>FLORAMEC AVANCE, 1 L</t>
  </si>
  <si>
    <t>G30200</t>
  </si>
  <si>
    <t>GREEN-UP, 200 L</t>
  </si>
  <si>
    <t>JF0005MA</t>
  </si>
  <si>
    <t>CODIGIN-FOS</t>
  </si>
  <si>
    <t>F-MIX0005MA</t>
  </si>
  <si>
    <t>FITOLIN-MIX, 5 L</t>
  </si>
  <si>
    <t>C-L0001RO</t>
  </si>
  <si>
    <t>AGROXILATO-ZN 16 %, 1 KG (EXPORT)</t>
  </si>
  <si>
    <t>P-5X0005</t>
  </si>
  <si>
    <t>P.M.S. 5x, 5 L</t>
  </si>
  <si>
    <t>GREEN-UP EXPORTACION</t>
  </si>
  <si>
    <t>AGXK0001GE</t>
  </si>
  <si>
    <t>C-GLB0005RO</t>
  </si>
  <si>
    <t>CODIORGAN GLB, 5 KG</t>
  </si>
  <si>
    <t>AMGF0001AZ</t>
  </si>
  <si>
    <t>AMINOGAL , 1 L  (Tap.Válv)</t>
  </si>
  <si>
    <t>BIO0005RO</t>
  </si>
  <si>
    <t>AQUOMAR0005SA</t>
  </si>
  <si>
    <t>AQUOM ARABIA, 5 L</t>
  </si>
  <si>
    <t>AGMG0005CR</t>
  </si>
  <si>
    <t>AGXCR0020</t>
  </si>
  <si>
    <t>SS0005CR</t>
  </si>
  <si>
    <t>AGXCR0020MA</t>
  </si>
  <si>
    <t>GREEN MAX</t>
  </si>
  <si>
    <t>FU0005AZ</t>
  </si>
  <si>
    <t>FLOR0020RO</t>
  </si>
  <si>
    <t>C-CU0001RO</t>
  </si>
  <si>
    <t>CODICOBRE, 1 L</t>
  </si>
  <si>
    <t>A-500005GE</t>
  </si>
  <si>
    <t>AGRMG0001AZ</t>
  </si>
  <si>
    <t>AGROXIGREEN-Mg</t>
  </si>
  <si>
    <t>SPCE0005CR</t>
  </si>
  <si>
    <t>SPCE20005CR</t>
  </si>
  <si>
    <t>SPRINTENE ZNMN 5L</t>
  </si>
  <si>
    <t>AGFE0001RO</t>
  </si>
  <si>
    <t>AGROXILATO Fe</t>
  </si>
  <si>
    <t>WHITE0020GE</t>
  </si>
  <si>
    <t>SPCE2B0001DO</t>
  </si>
  <si>
    <t>C-CU0001GE</t>
  </si>
  <si>
    <t>AO0005RO</t>
  </si>
  <si>
    <t>ALCAPLANT OMRI, 5 KG</t>
  </si>
  <si>
    <t>C-L0001DO</t>
  </si>
  <si>
    <t>CODIBOR-L, 1 L</t>
  </si>
  <si>
    <t>CZNMNES0001GE</t>
  </si>
  <si>
    <t>CODIFOL ZN-MN, 1 KG</t>
  </si>
  <si>
    <t>G30005</t>
  </si>
  <si>
    <t>GREEN-UP, 5 L</t>
  </si>
  <si>
    <t>CZNMNES0001AZ</t>
  </si>
  <si>
    <t>HIDROSTRESS, 5 L</t>
  </si>
  <si>
    <t>POLIFRUIT K50, 20 L</t>
  </si>
  <si>
    <t>BEY0005</t>
  </si>
  <si>
    <t>FLORAMEC PLUS, 5 L</t>
  </si>
  <si>
    <t>CBROT0005</t>
  </si>
  <si>
    <t>CODIBROT, 5 L</t>
  </si>
  <si>
    <t>FU0001AZ</t>
  </si>
  <si>
    <t>CODIFOL ZN-MN, 5 KG</t>
  </si>
  <si>
    <t>B1000RO</t>
  </si>
  <si>
    <t>AVAN1000</t>
  </si>
  <si>
    <t>FLORAMEC AVANCE, 1000 L</t>
  </si>
  <si>
    <t>P-5X1000</t>
  </si>
  <si>
    <t>P.M.S. 5x, 1000 L</t>
  </si>
  <si>
    <t>N0200</t>
  </si>
  <si>
    <t>NUTRICALE, 200 L</t>
  </si>
  <si>
    <t>AGROXILATO-K, 1 L</t>
  </si>
  <si>
    <t>CZNMNES0005AZ</t>
  </si>
  <si>
    <t>AGMG0020CR</t>
  </si>
  <si>
    <t>AGROXILATO MG, 20 KG (EXPORT)</t>
  </si>
  <si>
    <t>C-CU0005GE</t>
  </si>
  <si>
    <t>AGXKC0200</t>
  </si>
  <si>
    <t>AGROXILATO-COMPLET, 200 L</t>
  </si>
  <si>
    <t>PT0005DO</t>
  </si>
  <si>
    <t>C-CU0001DO</t>
  </si>
  <si>
    <t>CM30005GE</t>
  </si>
  <si>
    <t>TENSOLINE, 5 L</t>
  </si>
  <si>
    <t>SAL-WAX-Ca sólido, 5 KG</t>
  </si>
  <si>
    <t>P-ZM3.50020</t>
  </si>
  <si>
    <t>POLIGREEN-ZNMN, 20 L</t>
  </si>
  <si>
    <t>CODIR0005PA</t>
  </si>
  <si>
    <t>CODIRESIST, 5 L</t>
  </si>
  <si>
    <t>SPCE0200RO</t>
  </si>
  <si>
    <t>SPRINTENE ABONO CE, 200 L</t>
  </si>
  <si>
    <t>BERRY-FLOR, 20 L</t>
  </si>
  <si>
    <t>AGXCR0005CO</t>
  </si>
  <si>
    <t>AGXCR0005PA</t>
  </si>
  <si>
    <t>AGROXILATO-K (0-5-20), 5 Lts.</t>
  </si>
  <si>
    <t>AGXKAE0001RO</t>
  </si>
  <si>
    <t>BIOCULTURE POTASIO</t>
  </si>
  <si>
    <t>SAL WAX MAX, 20 KG</t>
  </si>
  <si>
    <t>C-CU0005MA</t>
  </si>
  <si>
    <t>SSAE0005</t>
  </si>
  <si>
    <t>MAGNIFIC-VIETS-AE, 5 KG</t>
  </si>
  <si>
    <t>SPCE0020CR</t>
  </si>
  <si>
    <t>A-500001PA</t>
  </si>
  <si>
    <t>RUN0001DO</t>
  </si>
  <si>
    <t>WHITE0020MA</t>
  </si>
  <si>
    <t>BPLUS0005LB</t>
  </si>
  <si>
    <t>AGFEL0005</t>
  </si>
  <si>
    <t>AGROXILATO-FE-L, 5 L</t>
  </si>
  <si>
    <t>AGXK0005GE</t>
  </si>
  <si>
    <t>AGXK0001AZ</t>
  </si>
  <si>
    <t>AN0020PE</t>
  </si>
  <si>
    <t>FU0001DO</t>
  </si>
  <si>
    <t>FULVIGIN, 1 L</t>
  </si>
  <si>
    <t>C-CU0020CO</t>
  </si>
  <si>
    <t>G30001DO</t>
  </si>
  <si>
    <t>GREEN-UP, 1 L</t>
  </si>
  <si>
    <t>BIO0020PA</t>
  </si>
  <si>
    <t>PT0001PA</t>
  </si>
  <si>
    <t>BIORAD-20, 1L</t>
  </si>
  <si>
    <t>GREEN-UP EXPORTACION, 20 L</t>
  </si>
  <si>
    <t>SPRINTENE ABONO CE, 20 L</t>
  </si>
  <si>
    <t>SPRINTENE CON BORO, 1 L</t>
  </si>
  <si>
    <t>BR-590005AZ</t>
  </si>
  <si>
    <t>GREEN-UP EXPORTACION, 5 L</t>
  </si>
  <si>
    <t>BM0005MA</t>
  </si>
  <si>
    <t>BOROCAL MAROC</t>
  </si>
  <si>
    <t>AGRMGN0020MA</t>
  </si>
  <si>
    <t>AMIMG0020</t>
  </si>
  <si>
    <t>AMINOSOIL MG, 20 L</t>
  </si>
  <si>
    <t>C-M-P0001</t>
  </si>
  <si>
    <t>CODIFOL-MO-PLUS, 1 L</t>
  </si>
  <si>
    <t>BIO0005PA</t>
  </si>
  <si>
    <t>AGXKAE1000</t>
  </si>
  <si>
    <t>BIOCULTURE POTASIO, 1000 l</t>
  </si>
  <si>
    <t>AGXCR0005RO</t>
  </si>
  <si>
    <t>AGNF0001RO</t>
  </si>
  <si>
    <t>FLOR0020</t>
  </si>
  <si>
    <t>FLORAMEC, 20 L</t>
  </si>
  <si>
    <t>C-CUAE0005MA</t>
  </si>
  <si>
    <t>AGXK0005MX</t>
  </si>
  <si>
    <t>C-CU1000</t>
  </si>
  <si>
    <t>SS0001DO</t>
  </si>
  <si>
    <t>FITOLIN-AGRO, 5 L</t>
  </si>
  <si>
    <t>AGXCR0001CO</t>
  </si>
  <si>
    <t>MPH0001DO</t>
  </si>
  <si>
    <t>MOJALINE NL, 1 L</t>
  </si>
  <si>
    <t>CZNMNES0005MA</t>
  </si>
  <si>
    <t>SSAE0005RO</t>
  </si>
  <si>
    <t>MAGNIFIC-VIETS-AE</t>
  </si>
  <si>
    <t>AGNF0020MA</t>
  </si>
  <si>
    <t>CODIGREEN, 20 L</t>
  </si>
  <si>
    <t>C-CU0001RS</t>
  </si>
  <si>
    <t>PML0001RO</t>
  </si>
  <si>
    <t>BR-590005CO</t>
  </si>
  <si>
    <t>POLIGREEN MIX L, 1 L</t>
  </si>
  <si>
    <t>B0001</t>
  </si>
  <si>
    <t>FULVIGIN, 5 L</t>
  </si>
  <si>
    <t>AGMG0001RO</t>
  </si>
  <si>
    <t>AGROXILATO Mg</t>
  </si>
  <si>
    <t>AGRMG1000</t>
  </si>
  <si>
    <t>AGROXIGREEN-Mg, 1000 L</t>
  </si>
  <si>
    <t>POLIGREEN Zn-Mn 3.5, 20 L</t>
  </si>
  <si>
    <t>AGROXILATO Zn-Mn, 5 KG</t>
  </si>
  <si>
    <t>BR-590005MA</t>
  </si>
  <si>
    <t>FLORCR0005PA</t>
  </si>
  <si>
    <t>B1000</t>
  </si>
  <si>
    <t>CODECROP COBRIUM, 5 L</t>
  </si>
  <si>
    <t>FU1000TR</t>
  </si>
  <si>
    <t>FULVIGIN, 1000 L</t>
  </si>
  <si>
    <t>FU0001RS</t>
  </si>
  <si>
    <t>AGFEL0001RO</t>
  </si>
  <si>
    <t>AGROXILATO-FE-L, 1 L</t>
  </si>
  <si>
    <t>PK500005</t>
  </si>
  <si>
    <t>POLIFRUIT K50, 5 L</t>
  </si>
  <si>
    <t>S0005</t>
  </si>
  <si>
    <t>SALWAX STAR, 5 L</t>
  </si>
  <si>
    <t>AN0005RS</t>
  </si>
  <si>
    <t>FROST-P0001RO</t>
  </si>
  <si>
    <t>CODIFROST PLUS, 1 L</t>
  </si>
  <si>
    <t>BERRY-FLOR, 5 L</t>
  </si>
  <si>
    <t>PT0005RO</t>
  </si>
  <si>
    <t>CPLUS0200</t>
  </si>
  <si>
    <t>CALCIPLUS, 200 L</t>
  </si>
  <si>
    <t>AGRMG0005MA</t>
  </si>
  <si>
    <t>CSIL0005MA</t>
  </si>
  <si>
    <t>FITOKONTROL-K, 5 L</t>
  </si>
  <si>
    <t>B0200</t>
  </si>
  <si>
    <t>BOROCAL, 200 L</t>
  </si>
  <si>
    <t>PHD0005MA</t>
  </si>
  <si>
    <t>C-MB0001</t>
  </si>
  <si>
    <t>CODIFOL-MB, 1 L</t>
  </si>
  <si>
    <t>AGROXILATO-K (0-5-20)</t>
  </si>
  <si>
    <t>AGROXILATO-K, (0-5-20)</t>
  </si>
  <si>
    <t>JF1000</t>
  </si>
  <si>
    <t>CODIGIN-FOS, 1000 L</t>
  </si>
  <si>
    <t>TERRASOIL PLUS, 20 L</t>
  </si>
  <si>
    <t>N0005</t>
  </si>
  <si>
    <t>NUTRICALE, 5 L</t>
  </si>
  <si>
    <t>BPLUS0001CO</t>
  </si>
  <si>
    <t>BOROCAL PLUS, 1 KG</t>
  </si>
  <si>
    <t>CODECROP BROTIUM, 5 L</t>
  </si>
  <si>
    <t>FU0005</t>
  </si>
  <si>
    <t>P-ZM3.50005</t>
  </si>
  <si>
    <t>POLIGREEN Zn-Mn 3.5, 5 L</t>
  </si>
  <si>
    <t>AGFEL0001</t>
  </si>
  <si>
    <t>LP0005DO</t>
  </si>
  <si>
    <t>C-CU0005CO</t>
  </si>
  <si>
    <t>PHD0020MA</t>
  </si>
  <si>
    <t>CODECROP FOS, 5 L</t>
  </si>
  <si>
    <t>AGROXILATO-K  (0-5-20)</t>
  </si>
  <si>
    <t>AVAN0200RO</t>
  </si>
  <si>
    <t>FLORAMEC AVANCE, 200 L</t>
  </si>
  <si>
    <t>AQUOM0001</t>
  </si>
  <si>
    <t>AQUOM, 1 L</t>
  </si>
  <si>
    <t>C-L0001</t>
  </si>
  <si>
    <t>BEY0020</t>
  </si>
  <si>
    <t>B0200RO</t>
  </si>
  <si>
    <t>P-ZM3.51000</t>
  </si>
  <si>
    <t>POLIGREEN ZNMN 3.5, 1000 L</t>
  </si>
  <si>
    <t>POLIGREEN-ZNMN, 1000 L</t>
  </si>
  <si>
    <t>CODIFOL Mo-PLUS, 1 L</t>
  </si>
  <si>
    <t>NI0005MA</t>
  </si>
  <si>
    <t>G30001CO</t>
  </si>
  <si>
    <t>G0200RO</t>
  </si>
  <si>
    <t>GREEN-UP EXPORTACION, 200 L</t>
  </si>
  <si>
    <t>BIO0005SA</t>
  </si>
  <si>
    <t>AGFE0001</t>
  </si>
  <si>
    <t>AGROXILATO-FE, 1 KG</t>
  </si>
  <si>
    <t>POLIFRUIT K50, 1 L</t>
  </si>
  <si>
    <t>F-A0001CO</t>
  </si>
  <si>
    <t>FITOLIN-AGRO, 1 L</t>
  </si>
  <si>
    <t>G30005CO</t>
  </si>
  <si>
    <t>PT0001</t>
  </si>
  <si>
    <t>FLORCR0005CO</t>
  </si>
  <si>
    <t>SSEG0001CO</t>
  </si>
  <si>
    <t>SALWAX CALCIO</t>
  </si>
  <si>
    <t>BIO0200</t>
  </si>
  <si>
    <t>AGXKAEP0020</t>
  </si>
  <si>
    <t>BIOCULTURE POTASIO PLUS, 20 L</t>
  </si>
  <si>
    <t>SALWAX CALCIO EGIPTO, 1 KG</t>
  </si>
  <si>
    <t>PT0200RO</t>
  </si>
  <si>
    <t>FLORAMEC CR, 5 L</t>
  </si>
  <si>
    <t>C-CU0020RO</t>
  </si>
  <si>
    <t>FLORCR0020CO</t>
  </si>
  <si>
    <t>WHITE0005RO</t>
  </si>
  <si>
    <t>AN0005</t>
  </si>
  <si>
    <t>C-M-P0005</t>
  </si>
  <si>
    <t>CODIFOL MO-PLUS, 5 L</t>
  </si>
  <si>
    <t>AGROXILATO-MG, 1 KG (EXPORT)</t>
  </si>
  <si>
    <t>CBROT0005RO</t>
  </si>
  <si>
    <t>AGMNP0005</t>
  </si>
  <si>
    <t>AGROXILATO MN PLUS, 5 KG</t>
  </si>
  <si>
    <t>CZNMNES0005</t>
  </si>
  <si>
    <t>SPCE2B0001</t>
  </si>
  <si>
    <t>FLOR0200</t>
  </si>
  <si>
    <t>FLORAMEC, 200 L</t>
  </si>
  <si>
    <t>F-A0005CO</t>
  </si>
  <si>
    <t>SAL-WAX</t>
  </si>
  <si>
    <t>AGNF0020RO</t>
  </si>
  <si>
    <t>AGXKAEP0005</t>
  </si>
  <si>
    <t>BIOCULTURE POTASIO PLUS, 5 L</t>
  </si>
  <si>
    <t>AVAN0200</t>
  </si>
  <si>
    <t>DRAGO-FOS, 5 L</t>
  </si>
  <si>
    <t>FLORAMEC PLUS 20 L</t>
  </si>
  <si>
    <t>MPH0005DO</t>
  </si>
  <si>
    <t>AMIMG0005</t>
  </si>
  <si>
    <t>AMINOSOIL-MG, 5L</t>
  </si>
  <si>
    <t>AGROXILATO Fe, 1 KG</t>
  </si>
  <si>
    <t>MOJALINE NL, 5 L</t>
  </si>
  <si>
    <t>SSEG0005CO</t>
  </si>
  <si>
    <t>AVAN0001</t>
  </si>
  <si>
    <t>FLORCR0001CO</t>
  </si>
  <si>
    <t>AGZ-M0001</t>
  </si>
  <si>
    <t>AGROXILATO-ZN-MN, 1 KG</t>
  </si>
  <si>
    <t>C-CU0001</t>
  </si>
  <si>
    <t>C-GLB0005</t>
  </si>
  <si>
    <t>START20005</t>
  </si>
  <si>
    <t>RADISOL STARTER, 5 L</t>
  </si>
  <si>
    <t>PHD0001</t>
  </si>
  <si>
    <t>PH-DOWNER, 1 L</t>
  </si>
  <si>
    <t>HST0001</t>
  </si>
  <si>
    <t>HIDROSTRESS, 1 L</t>
  </si>
  <si>
    <t>AGXCR0200RO</t>
  </si>
  <si>
    <t>BC0020</t>
  </si>
  <si>
    <t>BITTER-CAL, 20 KG</t>
  </si>
  <si>
    <t>HIDROSTRESS-40, 1 L</t>
  </si>
  <si>
    <t>SPCE2B0005</t>
  </si>
  <si>
    <t>SPRINTENE CON BORO, 5 L</t>
  </si>
  <si>
    <t>PIV0200</t>
  </si>
  <si>
    <t>PGR IV, 200 Lts.</t>
  </si>
  <si>
    <t>JF0001DO</t>
  </si>
  <si>
    <t>AN0005IT</t>
  </si>
  <si>
    <t>CSIL0005</t>
  </si>
  <si>
    <t>BEY0001DO</t>
  </si>
  <si>
    <t>BERRY-FLOR, 1 L</t>
  </si>
  <si>
    <t>CM3M0005</t>
  </si>
  <si>
    <t>TENSOLINE-MAX, 5 L</t>
  </si>
  <si>
    <t>PIV0005</t>
  </si>
  <si>
    <t>PGR IV, 5 L</t>
  </si>
  <si>
    <t>JF0001</t>
  </si>
  <si>
    <t>DRAGO-FOS, 1 L</t>
  </si>
  <si>
    <t>AGN0020</t>
  </si>
  <si>
    <t>AGROXILATO N, 20 L</t>
  </si>
  <si>
    <t>CBROT0020</t>
  </si>
  <si>
    <t>AGN0005</t>
  </si>
  <si>
    <t>AGROXILATO N, 5 L</t>
  </si>
  <si>
    <t>C-M-P0020</t>
  </si>
  <si>
    <t>CODIFOL MO-PLUS, 20 L</t>
  </si>
  <si>
    <t>GREEN- UP, 5 L</t>
  </si>
  <si>
    <t>FROST-P0005</t>
  </si>
  <si>
    <t>CODIFROST PLUS, 5 L</t>
  </si>
  <si>
    <t>G30001</t>
  </si>
  <si>
    <t>LAVAPLANT, 5 L</t>
  </si>
  <si>
    <t>AGROXILATO-N, 5 L</t>
  </si>
  <si>
    <t>CSIL0001</t>
  </si>
  <si>
    <t>FITOKONTROL-K, 1 L</t>
  </si>
  <si>
    <t>BROTA0001</t>
  </si>
  <si>
    <t>BROTAMEC, 1 L</t>
  </si>
  <si>
    <t>AGMGL0005</t>
  </si>
  <si>
    <t>AGROXILATO-MG-L, 5 L</t>
  </si>
  <si>
    <t>CBROT0001</t>
  </si>
  <si>
    <t>CODIBROT, 1 L</t>
  </si>
  <si>
    <t>FU0001</t>
  </si>
  <si>
    <t>N0001</t>
  </si>
  <si>
    <t>NUTRICALE, 1 L</t>
  </si>
  <si>
    <t>SAL-WAX STAR, 5 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</si>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</sst>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C0A]"/>
    <numFmt numFmtId="165" formatCode="0.0%"/>
    <numFmt numFmtId="166" formatCode="#,##0\ [$€-C0A]"/>
    <numFmt numFmtId="167" formatCode="0.0"/>
  </numFmts>
  <fonts count="9">
    <font>
      <sz val="11"/>
      <name val="Carlito"/>
    </font>
    <font>
      <b/>
      <sz val="15"/>
      <color rgb="FF17365D"/>
      <name val="Arial"/>
    </font>
    <font>
      <i/>
      <sz val="10"/>
      <color rgb="FF666666"/>
      <name val="Arial"/>
    </font>
    <font>
      <sz val="10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10"/>
      <color rgb="FF1F1F1F"/>
      <name val="Arial"/>
    </font>
    <font>
      <i/>
      <sz val="10"/>
      <color rgb="FF7F6000"/>
      <name val="Arial"/>
    </font>
    <font>
      <b/>
      <sz val="10"/>
      <color rgb="FF1F1F1F"/>
      <name val="Arial"/>
    </font>
  </fonts>
  <fills count="8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BFD"/>
      </patternFill>
    </fill>
    <fill>
      <patternFill patternType="solid">
        <fgColor rgb="FFF3F3F3"/>
      </patternFill>
    </fill>
  </fills>
  <borders count="5">
    <border>
      <left/>
      <right/>
      <top/>
      <bottom/>
      <diagonal/>
    </border>
    <border>
      <left/>
      <right/>
      <top/>
      <bottom style="thin">
        <color rgb="FF2F75B5"/>
      </bottom>
      <diagonal/>
    </border>
    <border>
      <left/>
      <right/>
      <top/>
      <bottom style="thin">
        <color rgb="FFB4C6E7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17365D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3" fillId="2" borderId="0" xfId="0" applyFont="1" applyFill="1"/>
    <xf numFmtId="0" fontId="3" fillId="2" borderId="2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164" fontId="3" fillId="2" borderId="0" xfId="0" applyNumberFormat="1" applyFont="1" applyFill="1"/>
    <xf numFmtId="164" fontId="3" fillId="2" borderId="2" xfId="0" applyNumberFormat="1" applyFont="1" applyFill="1" applyBorder="1"/>
    <xf numFmtId="10" fontId="3" fillId="2" borderId="2" xfId="0" applyNumberFormat="1" applyFont="1" applyFill="1" applyBorder="1"/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166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1" xfId="0" applyFont="1" applyBorder="1"/>
    <xf numFmtId="167" fontId="6" fillId="0" borderId="0" xfId="0" applyNumberFormat="1" applyFont="1" applyAlignment="1">
      <alignment vertical="center"/>
    </xf>
    <xf numFmtId="0" fontId="6" fillId="6" borderId="0" xfId="0" applyFont="1" applyFill="1" applyAlignment="1">
      <alignment vertical="center"/>
    </xf>
    <xf numFmtId="1" fontId="6" fillId="6" borderId="0" xfId="0" applyNumberFormat="1" applyFont="1" applyFill="1" applyAlignment="1">
      <alignment vertical="center"/>
    </xf>
    <xf numFmtId="167" fontId="6" fillId="6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/>
    </xf>
    <xf numFmtId="1" fontId="6" fillId="7" borderId="0" xfId="0" applyNumberFormat="1" applyFont="1" applyFill="1" applyAlignment="1">
      <alignment vertical="center"/>
    </xf>
    <xf numFmtId="167" fontId="6" fillId="7" borderId="0" xfId="0" applyNumberFormat="1" applyFont="1" applyFill="1" applyAlignment="1">
      <alignment vertical="center"/>
    </xf>
    <xf numFmtId="164" fontId="6" fillId="7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1" fontId="6" fillId="7" borderId="0" xfId="0" applyNumberFormat="1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1" fontId="6" fillId="6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6" fillId="6" borderId="0" xfId="0" applyNumberFormat="1" applyFont="1" applyFill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/>
    </xf>
    <xf numFmtId="165" fontId="6" fillId="5" borderId="0" xfId="0" applyNumberFormat="1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7" fillId="5" borderId="0" xfId="0" applyFont="1" applyFill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 sz="900">
                <a:latin typeface="Arial"/>
                <a:ea typeface="Arial"/>
                <a:cs typeface="Arial"/>
              </a:rPr>
              <a:t>Distribución del presupuesto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Presupuesto</c:v>
          </c:tx>
          <c:cat>
            <c:strRef>
              <c:f>Resumen!$J$11:$J$14</c:f>
              <c:strCache>
                <c:ptCount val="4"/>
                <c:pt idx="0">
                  <c:v>Ferias y encuentros</c:v>
                </c:pt>
                <c:pt idx="1">
                  <c:v>Corporativo y transversal</c:v>
                </c:pt>
                <c:pt idx="2">
                  <c:v>Cliente-producto</c:v>
                </c:pt>
                <c:pt idx="3">
                  <c:v>Reserva táctica</c:v>
                </c:pt>
              </c:strCache>
            </c:strRef>
          </c:cat>
          <c:val>
            <c:numRef>
              <c:f>Resumen!$K$11:$K$14</c:f>
              <c:numCache>
                <c:formatCode>General</c:formatCode>
                <c:ptCount val="4"/>
                <c:pt idx="0">
                  <c:v>33770</c:v>
                </c:pt>
                <c:pt idx="1">
                  <c:v>25630</c:v>
                </c:pt>
                <c:pt idx="2">
                  <c:v>196300</c:v>
                </c:pt>
                <c:pt idx="3">
                  <c:v>10372.4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2-46E0-9C17-24CCC257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30"/>
  <sheetViews>
    <sheetView topLeftCell="A6" workbookViewId="0">
      <selection activeCell="F21" sqref="F21"/>
    </sheetView>
  </sheetViews>
  <sheetFormatPr baseColWidth="10" defaultColWidth="9" defaultRowHeight="14"/>
  <cols>
    <col min="1" max="1" width="29" customWidth="1"/>
    <col min="2" max="3" width="17" customWidth="1"/>
    <col min="4" max="4" width="23" customWidth="1"/>
    <col min="5" max="5" width="17" customWidth="1"/>
    <col min="6" max="6" width="15" customWidth="1"/>
    <col min="7" max="7" width="20" customWidth="1"/>
    <col min="8" max="8" width="17" customWidth="1"/>
    <col min="9" max="9" width="3" customWidth="1"/>
    <col min="10" max="14" width="14" customWidth="1"/>
  </cols>
  <sheetData>
    <row r="1" spans="1:14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" customHeight="1">
      <c r="A2" s="44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>
      <c r="A4" s="46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>
      <c r="A6" s="4" t="s">
        <v>2</v>
      </c>
      <c r="B6" s="6">
        <f>Supuestos!B3</f>
        <v>17738160.290000003</v>
      </c>
      <c r="C6" s="18"/>
      <c r="D6" s="2" t="s">
        <v>3</v>
      </c>
      <c r="E6" s="6">
        <f>SUM('Plan acciones'!Q5:Q500)</f>
        <v>266072.40000000002</v>
      </c>
      <c r="F6" s="18"/>
      <c r="G6" s="2" t="s">
        <v>4</v>
      </c>
      <c r="H6" s="6">
        <f>SUMIF('Plan acciones'!B5:B500,"Reserva táctica",'Plan acciones'!Q5:Q500)</f>
        <v>10372.4</v>
      </c>
      <c r="I6" s="18"/>
      <c r="J6" s="18"/>
      <c r="K6" s="18"/>
      <c r="L6" s="18"/>
      <c r="M6" s="18"/>
      <c r="N6" s="18"/>
    </row>
    <row r="7" spans="1:14">
      <c r="A7" s="5" t="s">
        <v>5</v>
      </c>
      <c r="B7" s="7">
        <f>Supuestos!B4</f>
        <v>266072.40000000002</v>
      </c>
      <c r="C7" s="18"/>
      <c r="D7" s="3" t="s">
        <v>6</v>
      </c>
      <c r="E7" s="8">
        <f>E6/B6</f>
        <v>1.4999999754766E-2</v>
      </c>
      <c r="F7" s="18"/>
      <c r="G7" s="3" t="s">
        <v>7</v>
      </c>
      <c r="H7" s="7">
        <f>B7-E6</f>
        <v>0</v>
      </c>
      <c r="I7" s="18"/>
      <c r="J7" s="18"/>
      <c r="K7" s="18"/>
      <c r="L7" s="18"/>
      <c r="M7" s="18"/>
      <c r="N7" s="18"/>
    </row>
    <row r="8" spans="1:1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9" t="s">
        <v>8</v>
      </c>
      <c r="B10" s="9" t="s">
        <v>9</v>
      </c>
      <c r="C10" s="9" t="s">
        <v>10</v>
      </c>
      <c r="D10" s="18"/>
      <c r="E10" s="9" t="s">
        <v>11</v>
      </c>
      <c r="F10" s="9" t="s">
        <v>9</v>
      </c>
      <c r="G10" s="9" t="s">
        <v>12</v>
      </c>
      <c r="H10" s="9" t="s">
        <v>13</v>
      </c>
      <c r="I10" s="18"/>
      <c r="J10" s="18" t="s">
        <v>14</v>
      </c>
      <c r="K10" s="18" t="s">
        <v>15</v>
      </c>
      <c r="L10" s="18"/>
      <c r="M10" s="18"/>
      <c r="N10" s="18"/>
    </row>
    <row r="11" spans="1:14">
      <c r="A11" s="10" t="s">
        <v>16</v>
      </c>
      <c r="B11" s="11">
        <f>SUMIF('Plan acciones'!B5:B500,A11,'Plan acciones'!Q5:Q500)</f>
        <v>33770</v>
      </c>
      <c r="C11" s="12">
        <f>B11/$B$7</f>
        <v>0.12692034198210711</v>
      </c>
      <c r="D11" s="18"/>
      <c r="E11" s="10" t="s">
        <v>17</v>
      </c>
      <c r="F11" s="16">
        <f>SUMIFS('Plan acciones'!Q5:Q500,'Plan acciones'!D5:D500,1,'Plan acciones'!B5:B500,"&lt;&gt;Cliente-producto")+SUMIF('Diseño A-B'!Q5:Q600,1,'Diseño A-B'!S5:S600)</f>
        <v>25641</v>
      </c>
      <c r="G11" s="12">
        <f t="shared" ref="G11:G22" si="0">F11/$B$7</f>
        <v>9.636850721833605E-2</v>
      </c>
      <c r="H11" s="17">
        <f>COUNTIFS('Plan acciones'!D5:D500,1,'Plan acciones'!B5:B500,"&lt;&gt;Cliente-producto")+COUNTIFS('Diseño A-B'!Q5:Q600,1,'Diseño A-B'!S5:S600,"&gt;0")</f>
        <v>37</v>
      </c>
      <c r="I11" s="18"/>
      <c r="J11" s="18" t="s">
        <v>16</v>
      </c>
      <c r="K11" s="18">
        <f>B11</f>
        <v>33770</v>
      </c>
      <c r="L11" s="18"/>
      <c r="M11" s="18"/>
      <c r="N11" s="18"/>
    </row>
    <row r="12" spans="1:14">
      <c r="A12" s="10" t="s">
        <v>18</v>
      </c>
      <c r="B12" s="11">
        <f>SUMIF('Plan acciones'!B5:B500,A12,'Plan acciones'!Q5:Q500)</f>
        <v>25630</v>
      </c>
      <c r="C12" s="12">
        <f>B12/$B$7</f>
        <v>9.6327165087397262E-2</v>
      </c>
      <c r="D12" s="18"/>
      <c r="E12" s="10" t="s">
        <v>19</v>
      </c>
      <c r="F12" s="16">
        <f>SUMIFS('Plan acciones'!Q5:Q500,'Plan acciones'!D5:D500,2,'Plan acciones'!B5:B500,"&lt;&gt;Cliente-producto")+SUMIF('Diseño A-B'!Q5:Q600,2,'Diseño A-B'!S5:S600)</f>
        <v>31207</v>
      </c>
      <c r="G12" s="12">
        <f t="shared" si="0"/>
        <v>0.11728762547336739</v>
      </c>
      <c r="H12" s="17">
        <f>COUNTIFS('Plan acciones'!D5:D500,2,'Plan acciones'!B5:B500,"&lt;&gt;Cliente-producto")+COUNTIFS('Diseño A-B'!Q5:Q600,2,'Diseño A-B'!S5:S600,"&gt;0")</f>
        <v>25</v>
      </c>
      <c r="I12" s="18"/>
      <c r="J12" s="18" t="s">
        <v>18</v>
      </c>
      <c r="K12" s="18">
        <f>B12</f>
        <v>25630</v>
      </c>
      <c r="L12" s="18"/>
      <c r="M12" s="18"/>
      <c r="N12" s="18"/>
    </row>
    <row r="13" spans="1:14">
      <c r="A13" s="10" t="s">
        <v>20</v>
      </c>
      <c r="B13" s="11">
        <f>SUMIF('Plan acciones'!B5:B500,A13,'Plan acciones'!Q5:Q500)</f>
        <v>196300</v>
      </c>
      <c r="C13" s="12">
        <f>B13/$B$7</f>
        <v>0.73776911848053384</v>
      </c>
      <c r="D13" s="18"/>
      <c r="E13" s="10" t="s">
        <v>21</v>
      </c>
      <c r="F13" s="16">
        <f>SUMIFS('Plan acciones'!Q5:Q500,'Plan acciones'!D5:D500,3,'Plan acciones'!B5:B500,"&lt;&gt;Cliente-producto")+SUMIF('Diseño A-B'!Q5:Q600,3,'Diseño A-B'!S5:S600)</f>
        <v>29843</v>
      </c>
      <c r="G13" s="12">
        <f t="shared" si="0"/>
        <v>0.11216120123695655</v>
      </c>
      <c r="H13" s="17">
        <f>COUNTIFS('Plan acciones'!D5:D500,3,'Plan acciones'!B5:B500,"&lt;&gt;Cliente-producto")+COUNTIFS('Diseño A-B'!Q5:Q600,3,'Diseño A-B'!S5:S600,"&gt;0")</f>
        <v>42</v>
      </c>
      <c r="I13" s="18"/>
      <c r="J13" s="18" t="s">
        <v>20</v>
      </c>
      <c r="K13" s="18">
        <f>B13</f>
        <v>196300</v>
      </c>
      <c r="L13" s="18"/>
      <c r="M13" s="18"/>
      <c r="N13" s="18"/>
    </row>
    <row r="14" spans="1:14">
      <c r="A14" s="10" t="s">
        <v>4</v>
      </c>
      <c r="B14" s="11">
        <f>SUMIF('Plan acciones'!B5:B500,A14,'Plan acciones'!Q5:Q500)</f>
        <v>10372.4</v>
      </c>
      <c r="C14" s="12">
        <f>B14/$B$7</f>
        <v>3.8983374449961736E-2</v>
      </c>
      <c r="D14" s="18"/>
      <c r="E14" s="10" t="s">
        <v>22</v>
      </c>
      <c r="F14" s="16">
        <f>SUMIFS('Plan acciones'!Q5:Q500,'Plan acciones'!D5:D500,4,'Plan acciones'!B5:B500,"&lt;&gt;Cliente-producto")+SUMIF('Diseño A-B'!Q5:Q600,4,'Diseño A-B'!S5:S600)</f>
        <v>33565</v>
      </c>
      <c r="G14" s="12">
        <f t="shared" si="0"/>
        <v>0.12614987499642955</v>
      </c>
      <c r="H14" s="17">
        <f>COUNTIFS('Plan acciones'!D5:D500,4,'Plan acciones'!B5:B500,"&lt;&gt;Cliente-producto")+COUNTIFS('Diseño A-B'!Q5:Q600,4,'Diseño A-B'!S5:S600,"&gt;0")</f>
        <v>40</v>
      </c>
      <c r="I14" s="18"/>
      <c r="J14" s="18" t="s">
        <v>4</v>
      </c>
      <c r="K14" s="18">
        <f>B14</f>
        <v>10372.4</v>
      </c>
      <c r="L14" s="18"/>
      <c r="M14" s="18"/>
      <c r="N14" s="18"/>
    </row>
    <row r="15" spans="1:14">
      <c r="A15" s="13" t="s">
        <v>23</v>
      </c>
      <c r="B15" s="14">
        <f>SUM(B11:B14)</f>
        <v>266072.40000000002</v>
      </c>
      <c r="C15" s="15">
        <f>SUM(C11:C14)</f>
        <v>0.99999999999999989</v>
      </c>
      <c r="D15" s="18"/>
      <c r="E15" s="10" t="s">
        <v>24</v>
      </c>
      <c r="F15" s="16">
        <f>SUMIFS('Plan acciones'!Q5:Q500,'Plan acciones'!D5:D500,5,'Plan acciones'!B5:B500,"&lt;&gt;Cliente-producto")+SUMIF('Diseño A-B'!Q5:Q600,5,'Diseño A-B'!S5:S600)</f>
        <v>26406</v>
      </c>
      <c r="G15" s="12">
        <f t="shared" si="0"/>
        <v>9.92436645063524E-2</v>
      </c>
      <c r="H15" s="17" t="s">
        <v>1402</v>
      </c>
      <c r="I15" s="18"/>
      <c r="J15" s="18"/>
      <c r="K15" s="18"/>
      <c r="L15" s="18"/>
      <c r="M15" s="18"/>
      <c r="N15" s="18"/>
    </row>
    <row r="16" spans="1:14">
      <c r="A16" s="18"/>
      <c r="B16" s="18"/>
      <c r="C16" s="18"/>
      <c r="D16" s="18"/>
      <c r="E16" s="10" t="s">
        <v>25</v>
      </c>
      <c r="F16" s="16">
        <f>SUMIFS('Plan acciones'!Q5:Q500,'Plan acciones'!D5:D500,6,'Plan acciones'!B5:B500,"&lt;&gt;Cliente-producto")+SUMIF('Diseño A-B'!Q5:Q600,6,'Diseño A-B'!S5:S600)</f>
        <v>18861</v>
      </c>
      <c r="G16" s="12">
        <f t="shared" si="0"/>
        <v>7.088672105787748E-2</v>
      </c>
      <c r="H16" s="17">
        <f>COUNTIFS('Plan acciones'!D5:D500,6,'Plan acciones'!B5:B500,"&lt;&gt;Cliente-producto")+COUNTIFS('Diseño A-B'!Q5:Q600,6,'Diseño A-B'!S5:S600,"&gt;0")</f>
        <v>30</v>
      </c>
      <c r="I16" s="18"/>
      <c r="J16" s="18"/>
      <c r="K16" s="18"/>
      <c r="L16" s="18"/>
      <c r="M16" s="18"/>
      <c r="N16" s="18"/>
    </row>
    <row r="17" spans="1:14">
      <c r="A17" s="18"/>
      <c r="B17" s="18"/>
      <c r="C17" s="18"/>
      <c r="D17" s="18"/>
      <c r="E17" s="10" t="s">
        <v>26</v>
      </c>
      <c r="F17" s="16">
        <f>SUMIFS('Plan acciones'!Q5:Q500,'Plan acciones'!D5:D500,7,'Plan acciones'!B5:B500,"&lt;&gt;Cliente-producto")+SUMIF('Diseño A-B'!Q5:Q600,7,'Diseño A-B'!S5:S600)</f>
        <v>16163</v>
      </c>
      <c r="G17" s="12">
        <f t="shared" si="0"/>
        <v>6.0746623851252513E-2</v>
      </c>
      <c r="H17" s="17">
        <f>COUNTIFS('Plan acciones'!D5:D500,7,'Plan acciones'!B5:B500,"&lt;&gt;Cliente-producto")+COUNTIFS('Diseño A-B'!Q5:Q600,7,'Diseño A-B'!S5:S600,"&gt;0")</f>
        <v>23</v>
      </c>
      <c r="I17" s="18"/>
      <c r="J17" s="18"/>
      <c r="K17" s="18"/>
      <c r="L17" s="18"/>
      <c r="M17" s="18"/>
      <c r="N17" s="18"/>
    </row>
    <row r="18" spans="1:14">
      <c r="A18" s="9" t="s">
        <v>27</v>
      </c>
      <c r="B18" s="9" t="s">
        <v>28</v>
      </c>
      <c r="C18" s="9" t="s">
        <v>29</v>
      </c>
      <c r="D18" s="18"/>
      <c r="E18" s="10" t="s">
        <v>30</v>
      </c>
      <c r="F18" s="16">
        <f>SUMIFS('Plan acciones'!Q5:Q500,'Plan acciones'!D5:D500,8,'Plan acciones'!B5:B500,"&lt;&gt;Cliente-producto")+SUMIF('Diseño A-B'!Q5:Q600,8,'Diseño A-B'!S5:S600)</f>
        <v>6831</v>
      </c>
      <c r="G18" s="12">
        <f t="shared" si="0"/>
        <v>2.5673463312993004E-2</v>
      </c>
      <c r="H18" s="17">
        <f>COUNTIFS('Plan acciones'!D5:D500,8,'Plan acciones'!B5:B500,"&lt;&gt;Cliente-producto")+COUNTIFS('Diseño A-B'!Q5:Q600,8,'Diseño A-B'!S5:S600,"&gt;0")</f>
        <v>5</v>
      </c>
      <c r="I18" s="18"/>
      <c r="J18" s="18"/>
      <c r="K18" s="18"/>
      <c r="L18" s="18"/>
      <c r="M18" s="18"/>
      <c r="N18" s="18"/>
    </row>
    <row r="19" spans="1:14">
      <c r="A19" s="10" t="s">
        <v>31</v>
      </c>
      <c r="B19" s="10">
        <v>176</v>
      </c>
      <c r="C19" s="16">
        <v>12564756.269999992</v>
      </c>
      <c r="D19" s="18"/>
      <c r="E19" s="10" t="s">
        <v>32</v>
      </c>
      <c r="F19" s="16">
        <f>SUMIFS('Plan acciones'!Q5:Q500,'Plan acciones'!D5:D500,9,'Plan acciones'!B5:B500,"&lt;&gt;Cliente-producto")+SUMIF('Diseño A-B'!Q5:Q600,9,'Diseño A-B'!S5:S600)</f>
        <v>19390</v>
      </c>
      <c r="G19" s="12">
        <f t="shared" si="0"/>
        <v>7.2874901718479629E-2</v>
      </c>
      <c r="H19" s="17">
        <f>COUNTIFS('Plan acciones'!D5:D500,9,'Plan acciones'!B5:B500,"&lt;&gt;Cliente-producto")+COUNTIFS('Diseño A-B'!Q5:Q600,9,'Diseño A-B'!S5:S600,"&gt;0")</f>
        <v>11</v>
      </c>
      <c r="I19" s="18"/>
      <c r="J19" s="18"/>
      <c r="K19" s="18"/>
      <c r="L19" s="18"/>
      <c r="M19" s="18"/>
      <c r="N19" s="18"/>
    </row>
    <row r="20" spans="1:14">
      <c r="A20" s="10" t="s">
        <v>33</v>
      </c>
      <c r="B20" s="10">
        <v>311</v>
      </c>
      <c r="C20" s="16">
        <v>3774932.6199999978</v>
      </c>
      <c r="D20" s="18"/>
      <c r="E20" s="10" t="s">
        <v>34</v>
      </c>
      <c r="F20" s="16">
        <f>SUMIFS('Plan acciones'!Q5:Q500,'Plan acciones'!D5:D500,10,'Plan acciones'!B5:B500,"&lt;&gt;Cliente-producto")+SUMIF('Diseño A-B'!Q5:Q600,10,'Diseño A-B'!S5:S600)</f>
        <v>13399</v>
      </c>
      <c r="G20" s="12">
        <f t="shared" si="0"/>
        <v>5.0358473858994765E-2</v>
      </c>
      <c r="H20" s="17">
        <f>COUNTIFS('Plan acciones'!D5:D500,10,'Plan acciones'!B5:B500,"&lt;&gt;Cliente-producto")+COUNTIFS('Diseño A-B'!Q5:Q600,10,'Diseño A-B'!S5:S600,"&gt;0")</f>
        <v>15</v>
      </c>
      <c r="I20" s="18"/>
      <c r="J20" s="18"/>
      <c r="K20" s="18"/>
      <c r="L20" s="18"/>
      <c r="M20" s="18"/>
      <c r="N20" s="18"/>
    </row>
    <row r="21" spans="1:14">
      <c r="A21" s="10" t="s">
        <v>35</v>
      </c>
      <c r="B21" s="10">
        <v>161</v>
      </c>
      <c r="C21" s="16">
        <v>1044695.6699999999</v>
      </c>
      <c r="D21" s="18"/>
      <c r="E21" s="10" t="s">
        <v>36</v>
      </c>
      <c r="F21" s="16">
        <f>SUMIFS('Plan acciones'!Q5:Q500,'Plan acciones'!D5:D500,11,'Plan acciones'!B5:B500,"&lt;&gt;Cliente-producto")+SUMIF('Diseño A-B'!Q5:Q600,11,'Diseño A-B'!S5:S600)</f>
        <v>28994</v>
      </c>
      <c r="G21" s="12">
        <f t="shared" si="0"/>
        <v>0.10897034040358938</v>
      </c>
      <c r="H21" s="17">
        <f>COUNTIFS('Plan acciones'!D5:D500,11,'Plan acciones'!B5:B500,"&lt;&gt;Cliente-producto")+COUNTIFS('Diseño A-B'!Q5:Q600,11,'Diseño A-B'!S5:S600,"&gt;0")</f>
        <v>17</v>
      </c>
      <c r="I21" s="18"/>
      <c r="J21" s="18"/>
      <c r="K21" s="18"/>
      <c r="L21" s="18"/>
      <c r="M21" s="18"/>
      <c r="N21" s="18"/>
    </row>
    <row r="22" spans="1:14">
      <c r="A22" s="10" t="s">
        <v>37</v>
      </c>
      <c r="B22" s="10">
        <v>81</v>
      </c>
      <c r="C22" s="16">
        <v>353775.73999999982</v>
      </c>
      <c r="D22" s="18"/>
      <c r="E22" s="10" t="s">
        <v>38</v>
      </c>
      <c r="F22" s="16">
        <f>SUMIFS('Plan acciones'!Q5:Q500,'Plan acciones'!D5:D500,12,'Plan acciones'!B5:B500,"&lt;&gt;Cliente-producto")+SUMIF('Diseño A-B'!Q5:Q600,12,'Diseño A-B'!S5:S600)</f>
        <v>15772.4</v>
      </c>
      <c r="G22" s="12">
        <f t="shared" si="0"/>
        <v>5.9278602365371226E-2</v>
      </c>
      <c r="H22" s="17">
        <f>COUNTIFS('Plan acciones'!D5:D500,12,'Plan acciones'!B5:B500,"&lt;&gt;Cliente-producto")+COUNTIFS('Diseño A-B'!Q5:Q600,12,'Diseño A-B'!S5:S600,"&gt;0")</f>
        <v>3</v>
      </c>
      <c r="I22" s="18"/>
      <c r="J22" s="18"/>
      <c r="K22" s="18"/>
      <c r="L22" s="18"/>
      <c r="M22" s="18"/>
      <c r="N22" s="18"/>
    </row>
    <row r="23" spans="1:14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34" customHeight="1">
      <c r="A25" s="47" t="s">
        <v>39</v>
      </c>
      <c r="B25" s="45"/>
      <c r="C25" s="45"/>
      <c r="D25" s="45"/>
      <c r="E25" s="45"/>
      <c r="F25" s="45"/>
      <c r="G25" s="45"/>
      <c r="H25" s="45"/>
      <c r="I25" s="18"/>
      <c r="J25" s="18"/>
      <c r="K25" s="18"/>
      <c r="L25" s="18"/>
      <c r="M25" s="18"/>
      <c r="N25" s="18"/>
    </row>
    <row r="26" spans="1:14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</sheetData>
  <mergeCells count="3">
    <mergeCell ref="A2:N2"/>
    <mergeCell ref="A4:N4"/>
    <mergeCell ref="A25: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2:R110"/>
  <sheetViews>
    <sheetView tabSelected="1" workbookViewId="0">
      <pane xSplit="3" ySplit="4" topLeftCell="D76" activePane="bottomRight" state="frozen"/>
      <selection pane="topRight"/>
      <selection pane="bottomLeft"/>
      <selection pane="bottomRight" activeCell="D76" sqref="D76"/>
    </sheetView>
  </sheetViews>
  <sheetFormatPr baseColWidth="10" defaultColWidth="9" defaultRowHeight="14"/>
  <cols>
    <col min="1" max="1" width="7" customWidth="1"/>
    <col min="2" max="2" width="23" customWidth="1"/>
    <col min="3" max="3" width="30" customWidth="1"/>
    <col min="4" max="4" width="18" customWidth="1"/>
    <col min="5" max="5" width="12" customWidth="1"/>
    <col min="6" max="6" width="18" customWidth="1"/>
    <col min="7" max="7" width="38" customWidth="1"/>
    <col min="8" max="8" width="23" customWidth="1"/>
    <col min="9" max="9" width="12" customWidth="1"/>
    <col min="10" max="10" width="13" customWidth="1"/>
    <col min="11" max="11" width="42" customWidth="1"/>
    <col min="12" max="12" width="34" customWidth="1"/>
    <col min="13" max="13" width="78" customWidth="1"/>
    <col min="14" max="14" width="38" customWidth="1"/>
    <col min="15" max="16" width="12" customWidth="1"/>
    <col min="17" max="17" width="23" customWidth="1"/>
    <col min="18" max="18" width="42" customWidth="1"/>
  </cols>
  <sheetData>
    <row r="2" spans="1:18" ht="24" customHeight="1">
      <c r="A2" s="42" t="s">
        <v>40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4" customHeight="1">
      <c r="A4" s="9" t="s">
        <v>41</v>
      </c>
      <c r="B4" s="9" t="s">
        <v>42</v>
      </c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9" t="s">
        <v>48</v>
      </c>
      <c r="I4" s="9" t="s">
        <v>49</v>
      </c>
      <c r="J4" s="9" t="s">
        <v>50</v>
      </c>
      <c r="K4" s="9" t="s">
        <v>51</v>
      </c>
      <c r="L4" s="9" t="s">
        <v>52</v>
      </c>
      <c r="M4" s="9" t="s">
        <v>53</v>
      </c>
      <c r="N4" s="9" t="s">
        <v>54</v>
      </c>
      <c r="O4" s="9" t="s">
        <v>55</v>
      </c>
      <c r="P4" s="9" t="s">
        <v>56</v>
      </c>
      <c r="Q4" s="9" t="s">
        <v>57</v>
      </c>
      <c r="R4" s="9" t="s">
        <v>58</v>
      </c>
    </row>
    <row r="5" spans="1:18">
      <c r="A5" s="26">
        <v>1</v>
      </c>
      <c r="B5" s="26" t="s">
        <v>16</v>
      </c>
      <c r="C5" s="26" t="s">
        <v>59</v>
      </c>
      <c r="D5" s="27">
        <v>10</v>
      </c>
      <c r="E5" s="26"/>
      <c r="F5" s="26" t="s">
        <v>60</v>
      </c>
      <c r="G5" s="30"/>
      <c r="H5" s="30"/>
      <c r="I5" s="31"/>
      <c r="J5" s="30"/>
      <c r="K5" s="30"/>
      <c r="L5" s="30" t="s">
        <v>61</v>
      </c>
      <c r="M5" s="30"/>
      <c r="N5" s="30"/>
      <c r="O5" s="30"/>
      <c r="P5" s="28"/>
      <c r="Q5" s="29">
        <v>3420</v>
      </c>
      <c r="R5" s="30" t="s">
        <v>62</v>
      </c>
    </row>
    <row r="6" spans="1:18">
      <c r="A6" s="26">
        <v>2</v>
      </c>
      <c r="B6" s="26" t="s">
        <v>16</v>
      </c>
      <c r="C6" s="26" t="s">
        <v>59</v>
      </c>
      <c r="D6" s="27">
        <v>2</v>
      </c>
      <c r="E6" s="26"/>
      <c r="F6" s="26" t="s">
        <v>63</v>
      </c>
      <c r="G6" s="30"/>
      <c r="H6" s="30"/>
      <c r="I6" s="31"/>
      <c r="J6" s="30"/>
      <c r="K6" s="30"/>
      <c r="L6" s="30" t="s">
        <v>64</v>
      </c>
      <c r="M6" s="30"/>
      <c r="N6" s="30"/>
      <c r="O6" s="30"/>
      <c r="P6" s="28"/>
      <c r="Q6" s="29">
        <v>3710</v>
      </c>
      <c r="R6" s="30" t="s">
        <v>62</v>
      </c>
    </row>
    <row r="7" spans="1:18">
      <c r="A7" s="26">
        <v>3</v>
      </c>
      <c r="B7" s="26" t="s">
        <v>16</v>
      </c>
      <c r="C7" s="26" t="s">
        <v>59</v>
      </c>
      <c r="D7" s="27">
        <v>9</v>
      </c>
      <c r="E7" s="26"/>
      <c r="F7" s="26" t="s">
        <v>65</v>
      </c>
      <c r="G7" s="30"/>
      <c r="H7" s="30"/>
      <c r="I7" s="31"/>
      <c r="J7" s="30"/>
      <c r="K7" s="30"/>
      <c r="L7" s="30" t="s">
        <v>66</v>
      </c>
      <c r="M7" s="30"/>
      <c r="N7" s="30"/>
      <c r="O7" s="30"/>
      <c r="P7" s="28"/>
      <c r="Q7" s="29">
        <v>3990</v>
      </c>
      <c r="R7" s="30" t="s">
        <v>62</v>
      </c>
    </row>
    <row r="8" spans="1:18">
      <c r="A8" s="26">
        <v>4</v>
      </c>
      <c r="B8" s="26" t="s">
        <v>16</v>
      </c>
      <c r="C8" s="26" t="s">
        <v>59</v>
      </c>
      <c r="D8" s="27">
        <v>11</v>
      </c>
      <c r="E8" s="26"/>
      <c r="F8" s="26" t="s">
        <v>67</v>
      </c>
      <c r="G8" s="30"/>
      <c r="H8" s="30"/>
      <c r="I8" s="31"/>
      <c r="J8" s="30"/>
      <c r="K8" s="30"/>
      <c r="L8" s="30" t="s">
        <v>68</v>
      </c>
      <c r="M8" s="30"/>
      <c r="N8" s="30"/>
      <c r="O8" s="30"/>
      <c r="P8" s="28"/>
      <c r="Q8" s="29">
        <v>3430</v>
      </c>
      <c r="R8" s="30" t="s">
        <v>62</v>
      </c>
    </row>
    <row r="9" spans="1:18">
      <c r="A9" s="26">
        <v>5</v>
      </c>
      <c r="B9" s="26" t="s">
        <v>16</v>
      </c>
      <c r="C9" s="26" t="s">
        <v>59</v>
      </c>
      <c r="D9" s="27">
        <v>10</v>
      </c>
      <c r="E9" s="26"/>
      <c r="F9" s="26" t="s">
        <v>69</v>
      </c>
      <c r="G9" s="30"/>
      <c r="H9" s="30"/>
      <c r="I9" s="31"/>
      <c r="J9" s="30"/>
      <c r="K9" s="30"/>
      <c r="L9" s="30" t="s">
        <v>70</v>
      </c>
      <c r="M9" s="30"/>
      <c r="N9" s="30"/>
      <c r="O9" s="30"/>
      <c r="P9" s="28"/>
      <c r="Q9" s="29">
        <v>2540</v>
      </c>
      <c r="R9" s="30" t="s">
        <v>62</v>
      </c>
    </row>
    <row r="10" spans="1:18">
      <c r="A10" s="26">
        <v>6</v>
      </c>
      <c r="B10" s="26" t="s">
        <v>16</v>
      </c>
      <c r="C10" s="26" t="s">
        <v>59</v>
      </c>
      <c r="D10" s="27">
        <v>5</v>
      </c>
      <c r="E10" s="26"/>
      <c r="F10" s="26" t="s">
        <v>71</v>
      </c>
      <c r="G10" s="30"/>
      <c r="H10" s="30"/>
      <c r="I10" s="31"/>
      <c r="J10" s="30"/>
      <c r="K10" s="30"/>
      <c r="L10" s="30" t="s">
        <v>72</v>
      </c>
      <c r="M10" s="30"/>
      <c r="N10" s="30"/>
      <c r="O10" s="30"/>
      <c r="P10" s="28"/>
      <c r="Q10" s="29">
        <v>4240</v>
      </c>
      <c r="R10" s="30" t="s">
        <v>62</v>
      </c>
    </row>
    <row r="11" spans="1:18">
      <c r="A11" s="26">
        <v>7</v>
      </c>
      <c r="B11" s="26" t="s">
        <v>16</v>
      </c>
      <c r="C11" s="26" t="s">
        <v>59</v>
      </c>
      <c r="D11" s="27">
        <v>4</v>
      </c>
      <c r="E11" s="26"/>
      <c r="F11" s="26" t="s">
        <v>73</v>
      </c>
      <c r="G11" s="30"/>
      <c r="H11" s="30"/>
      <c r="I11" s="31"/>
      <c r="J11" s="30"/>
      <c r="K11" s="30"/>
      <c r="L11" s="30" t="s">
        <v>74</v>
      </c>
      <c r="M11" s="30"/>
      <c r="N11" s="30"/>
      <c r="O11" s="30"/>
      <c r="P11" s="28"/>
      <c r="Q11" s="29">
        <v>3330</v>
      </c>
      <c r="R11" s="30" t="s">
        <v>62</v>
      </c>
    </row>
    <row r="12" spans="1:18">
      <c r="A12" s="26">
        <v>8</v>
      </c>
      <c r="B12" s="26" t="s">
        <v>16</v>
      </c>
      <c r="C12" s="26" t="s">
        <v>59</v>
      </c>
      <c r="D12" s="27">
        <v>11</v>
      </c>
      <c r="E12" s="26"/>
      <c r="F12" s="26" t="s">
        <v>75</v>
      </c>
      <c r="G12" s="30"/>
      <c r="H12" s="30"/>
      <c r="I12" s="31"/>
      <c r="J12" s="30"/>
      <c r="K12" s="30"/>
      <c r="L12" s="30" t="s">
        <v>76</v>
      </c>
      <c r="M12" s="30"/>
      <c r="N12" s="30"/>
      <c r="O12" s="30"/>
      <c r="P12" s="28"/>
      <c r="Q12" s="29">
        <v>6040</v>
      </c>
      <c r="R12" s="30" t="s">
        <v>62</v>
      </c>
    </row>
    <row r="13" spans="1:18">
      <c r="A13" s="26">
        <v>9</v>
      </c>
      <c r="B13" s="26" t="s">
        <v>16</v>
      </c>
      <c r="C13" s="26" t="s">
        <v>77</v>
      </c>
      <c r="D13" s="27">
        <v>12</v>
      </c>
      <c r="E13" s="26"/>
      <c r="F13" s="26" t="s">
        <v>78</v>
      </c>
      <c r="G13" s="30"/>
      <c r="H13" s="30"/>
      <c r="I13" s="31"/>
      <c r="J13" s="30"/>
      <c r="K13" s="30"/>
      <c r="L13" s="30" t="s">
        <v>79</v>
      </c>
      <c r="M13" s="30"/>
      <c r="N13" s="30"/>
      <c r="O13" s="30"/>
      <c r="P13" s="28"/>
      <c r="Q13" s="29">
        <v>3070</v>
      </c>
      <c r="R13" s="30" t="s">
        <v>62</v>
      </c>
    </row>
    <row r="14" spans="1:18">
      <c r="A14" s="26">
        <v>10</v>
      </c>
      <c r="B14" s="26" t="s">
        <v>18</v>
      </c>
      <c r="C14" s="26" t="s">
        <v>80</v>
      </c>
      <c r="D14" s="27">
        <v>2</v>
      </c>
      <c r="E14" s="26"/>
      <c r="F14" s="26" t="s">
        <v>81</v>
      </c>
      <c r="G14" s="30"/>
      <c r="H14" s="30"/>
      <c r="I14" s="31"/>
      <c r="J14" s="30"/>
      <c r="K14" s="30"/>
      <c r="L14" s="30" t="s">
        <v>82</v>
      </c>
      <c r="M14" s="30"/>
      <c r="N14" s="30"/>
      <c r="O14" s="30"/>
      <c r="P14" s="28"/>
      <c r="Q14" s="29">
        <v>4300</v>
      </c>
      <c r="R14" s="30" t="s">
        <v>62</v>
      </c>
    </row>
    <row r="15" spans="1:18">
      <c r="A15" s="26">
        <v>11</v>
      </c>
      <c r="B15" s="26" t="s">
        <v>18</v>
      </c>
      <c r="C15" s="26" t="s">
        <v>80</v>
      </c>
      <c r="D15" s="27">
        <v>3</v>
      </c>
      <c r="E15" s="26"/>
      <c r="F15" s="26" t="s">
        <v>81</v>
      </c>
      <c r="G15" s="30"/>
      <c r="H15" s="30"/>
      <c r="I15" s="31"/>
      <c r="J15" s="30"/>
      <c r="K15" s="30"/>
      <c r="L15" s="30" t="s">
        <v>83</v>
      </c>
      <c r="M15" s="30"/>
      <c r="N15" s="30"/>
      <c r="O15" s="30"/>
      <c r="P15" s="28"/>
      <c r="Q15" s="29">
        <v>1500</v>
      </c>
      <c r="R15" s="30" t="s">
        <v>62</v>
      </c>
    </row>
    <row r="16" spans="1:18">
      <c r="A16" s="26">
        <v>12</v>
      </c>
      <c r="B16" s="26" t="s">
        <v>18</v>
      </c>
      <c r="C16" s="26" t="s">
        <v>80</v>
      </c>
      <c r="D16" s="27">
        <v>4</v>
      </c>
      <c r="E16" s="26"/>
      <c r="F16" s="26" t="s">
        <v>81</v>
      </c>
      <c r="G16" s="30"/>
      <c r="H16" s="30"/>
      <c r="I16" s="31"/>
      <c r="J16" s="30"/>
      <c r="K16" s="30"/>
      <c r="L16" s="30" t="s">
        <v>84</v>
      </c>
      <c r="M16" s="30"/>
      <c r="N16" s="30"/>
      <c r="O16" s="30"/>
      <c r="P16" s="28"/>
      <c r="Q16" s="29">
        <v>4000</v>
      </c>
      <c r="R16" s="30" t="s">
        <v>62</v>
      </c>
    </row>
    <row r="17" spans="1:18">
      <c r="A17" s="26">
        <v>13</v>
      </c>
      <c r="B17" s="26" t="s">
        <v>18</v>
      </c>
      <c r="C17" s="26" t="s">
        <v>80</v>
      </c>
      <c r="D17" s="27">
        <v>1</v>
      </c>
      <c r="E17" s="26"/>
      <c r="F17" s="26" t="s">
        <v>81</v>
      </c>
      <c r="G17" s="30"/>
      <c r="H17" s="30"/>
      <c r="I17" s="31"/>
      <c r="J17" s="30"/>
      <c r="K17" s="30"/>
      <c r="L17" s="30" t="s">
        <v>85</v>
      </c>
      <c r="M17" s="30"/>
      <c r="N17" s="30"/>
      <c r="O17" s="30"/>
      <c r="P17" s="28"/>
      <c r="Q17" s="29">
        <v>2500</v>
      </c>
      <c r="R17" s="30" t="s">
        <v>62</v>
      </c>
    </row>
    <row r="18" spans="1:18">
      <c r="A18" s="26">
        <v>14</v>
      </c>
      <c r="B18" s="26" t="s">
        <v>18</v>
      </c>
      <c r="C18" s="26" t="s">
        <v>80</v>
      </c>
      <c r="D18" s="27">
        <v>1</v>
      </c>
      <c r="E18" s="26"/>
      <c r="F18" s="26" t="s">
        <v>81</v>
      </c>
      <c r="G18" s="30"/>
      <c r="H18" s="30"/>
      <c r="I18" s="31"/>
      <c r="J18" s="30"/>
      <c r="K18" s="30"/>
      <c r="L18" s="30" t="s">
        <v>86</v>
      </c>
      <c r="M18" s="30"/>
      <c r="N18" s="30"/>
      <c r="O18" s="30"/>
      <c r="P18" s="28"/>
      <c r="Q18" s="29">
        <v>500</v>
      </c>
      <c r="R18" s="30" t="s">
        <v>62</v>
      </c>
    </row>
    <row r="19" spans="1:18">
      <c r="A19" s="26">
        <v>15</v>
      </c>
      <c r="B19" s="26" t="s">
        <v>18</v>
      </c>
      <c r="C19" s="26" t="s">
        <v>80</v>
      </c>
      <c r="D19" s="27">
        <v>2</v>
      </c>
      <c r="E19" s="26"/>
      <c r="F19" s="26" t="s">
        <v>81</v>
      </c>
      <c r="G19" s="30"/>
      <c r="H19" s="30"/>
      <c r="I19" s="31"/>
      <c r="J19" s="30"/>
      <c r="K19" s="30"/>
      <c r="L19" s="30" t="s">
        <v>87</v>
      </c>
      <c r="M19" s="30"/>
      <c r="N19" s="30"/>
      <c r="O19" s="30"/>
      <c r="P19" s="28"/>
      <c r="Q19" s="29">
        <v>1200</v>
      </c>
      <c r="R19" s="30" t="s">
        <v>62</v>
      </c>
    </row>
    <row r="20" spans="1:18">
      <c r="A20" s="26">
        <v>16</v>
      </c>
      <c r="B20" s="26" t="s">
        <v>18</v>
      </c>
      <c r="C20" s="26" t="s">
        <v>80</v>
      </c>
      <c r="D20" s="27">
        <v>6</v>
      </c>
      <c r="E20" s="26"/>
      <c r="F20" s="26" t="s">
        <v>81</v>
      </c>
      <c r="G20" s="30"/>
      <c r="H20" s="30"/>
      <c r="I20" s="31"/>
      <c r="J20" s="30"/>
      <c r="K20" s="30"/>
      <c r="L20" s="30" t="s">
        <v>88</v>
      </c>
      <c r="M20" s="30"/>
      <c r="N20" s="30"/>
      <c r="O20" s="30"/>
      <c r="P20" s="28"/>
      <c r="Q20" s="29">
        <v>1800</v>
      </c>
      <c r="R20" s="30" t="s">
        <v>62</v>
      </c>
    </row>
    <row r="21" spans="1:18">
      <c r="A21" s="26">
        <v>17</v>
      </c>
      <c r="B21" s="26" t="s">
        <v>18</v>
      </c>
      <c r="C21" s="26" t="s">
        <v>89</v>
      </c>
      <c r="D21" s="27">
        <v>3</v>
      </c>
      <c r="E21" s="26"/>
      <c r="F21" s="26" t="s">
        <v>81</v>
      </c>
      <c r="G21" s="30"/>
      <c r="H21" s="30"/>
      <c r="I21" s="31"/>
      <c r="J21" s="30"/>
      <c r="K21" s="30"/>
      <c r="L21" s="30" t="s">
        <v>90</v>
      </c>
      <c r="M21" s="30"/>
      <c r="N21" s="30"/>
      <c r="O21" s="30"/>
      <c r="P21" s="28"/>
      <c r="Q21" s="29">
        <v>1000</v>
      </c>
      <c r="R21" s="30" t="s">
        <v>62</v>
      </c>
    </row>
    <row r="22" spans="1:18">
      <c r="A22" s="26">
        <v>18</v>
      </c>
      <c r="B22" s="26" t="s">
        <v>18</v>
      </c>
      <c r="C22" s="26" t="s">
        <v>89</v>
      </c>
      <c r="D22" s="27">
        <v>3</v>
      </c>
      <c r="E22" s="26"/>
      <c r="F22" s="26" t="s">
        <v>81</v>
      </c>
      <c r="G22" s="30"/>
      <c r="H22" s="30"/>
      <c r="I22" s="31"/>
      <c r="J22" s="30"/>
      <c r="K22" s="30"/>
      <c r="L22" s="30" t="s">
        <v>91</v>
      </c>
      <c r="M22" s="30"/>
      <c r="N22" s="30"/>
      <c r="O22" s="30"/>
      <c r="P22" s="28"/>
      <c r="Q22" s="29">
        <v>2200</v>
      </c>
      <c r="R22" s="30" t="s">
        <v>62</v>
      </c>
    </row>
    <row r="23" spans="1:18">
      <c r="A23" s="26">
        <v>19</v>
      </c>
      <c r="B23" s="26" t="s">
        <v>18</v>
      </c>
      <c r="C23" s="26" t="s">
        <v>89</v>
      </c>
      <c r="D23" s="27">
        <v>9</v>
      </c>
      <c r="E23" s="26"/>
      <c r="F23" s="26" t="s">
        <v>81</v>
      </c>
      <c r="G23" s="30"/>
      <c r="H23" s="30"/>
      <c r="I23" s="31"/>
      <c r="J23" s="30"/>
      <c r="K23" s="30"/>
      <c r="L23" s="30" t="s">
        <v>92</v>
      </c>
      <c r="M23" s="30"/>
      <c r="N23" s="30"/>
      <c r="O23" s="30"/>
      <c r="P23" s="28"/>
      <c r="Q23" s="29">
        <v>1000</v>
      </c>
      <c r="R23" s="30" t="s">
        <v>62</v>
      </c>
    </row>
    <row r="24" spans="1:18">
      <c r="A24" s="26">
        <v>20</v>
      </c>
      <c r="B24" s="26" t="s">
        <v>18</v>
      </c>
      <c r="C24" s="26" t="s">
        <v>89</v>
      </c>
      <c r="D24" s="27">
        <v>3</v>
      </c>
      <c r="E24" s="26"/>
      <c r="F24" s="26" t="s">
        <v>81</v>
      </c>
      <c r="G24" s="30"/>
      <c r="H24" s="30"/>
      <c r="I24" s="31"/>
      <c r="J24" s="30"/>
      <c r="K24" s="30"/>
      <c r="L24" s="30" t="s">
        <v>93</v>
      </c>
      <c r="M24" s="30"/>
      <c r="N24" s="30"/>
      <c r="O24" s="30"/>
      <c r="P24" s="28"/>
      <c r="Q24" s="29">
        <v>200</v>
      </c>
      <c r="R24" s="30" t="s">
        <v>62</v>
      </c>
    </row>
    <row r="25" spans="1:18">
      <c r="A25" s="26">
        <v>21</v>
      </c>
      <c r="B25" s="26" t="s">
        <v>18</v>
      </c>
      <c r="C25" s="26" t="s">
        <v>89</v>
      </c>
      <c r="D25" s="27">
        <v>9</v>
      </c>
      <c r="E25" s="26"/>
      <c r="F25" s="26" t="s">
        <v>81</v>
      </c>
      <c r="G25" s="30"/>
      <c r="H25" s="30"/>
      <c r="I25" s="31"/>
      <c r="J25" s="30"/>
      <c r="K25" s="30"/>
      <c r="L25" s="30" t="s">
        <v>94</v>
      </c>
      <c r="M25" s="30"/>
      <c r="N25" s="30"/>
      <c r="O25" s="30"/>
      <c r="P25" s="28"/>
      <c r="Q25" s="29">
        <v>2250</v>
      </c>
      <c r="R25" s="30" t="s">
        <v>62</v>
      </c>
    </row>
    <row r="26" spans="1:18">
      <c r="A26" s="26">
        <v>22</v>
      </c>
      <c r="B26" s="26" t="s">
        <v>18</v>
      </c>
      <c r="C26" s="26" t="s">
        <v>89</v>
      </c>
      <c r="D26" s="27">
        <v>3</v>
      </c>
      <c r="E26" s="26"/>
      <c r="F26" s="26" t="s">
        <v>81</v>
      </c>
      <c r="G26" s="30"/>
      <c r="H26" s="30"/>
      <c r="I26" s="31"/>
      <c r="J26" s="30"/>
      <c r="K26" s="30"/>
      <c r="L26" s="30" t="s">
        <v>95</v>
      </c>
      <c r="M26" s="30"/>
      <c r="N26" s="30"/>
      <c r="O26" s="30"/>
      <c r="P26" s="28"/>
      <c r="Q26" s="29">
        <v>850</v>
      </c>
      <c r="R26" s="30" t="s">
        <v>62</v>
      </c>
    </row>
    <row r="27" spans="1:18">
      <c r="A27" s="26">
        <v>23</v>
      </c>
      <c r="B27" s="26" t="s">
        <v>18</v>
      </c>
      <c r="C27" s="26" t="s">
        <v>96</v>
      </c>
      <c r="D27" s="27">
        <v>12</v>
      </c>
      <c r="E27" s="26"/>
      <c r="F27" s="26" t="s">
        <v>81</v>
      </c>
      <c r="G27" s="30"/>
      <c r="H27" s="30"/>
      <c r="I27" s="31"/>
      <c r="J27" s="30"/>
      <c r="K27" s="30"/>
      <c r="L27" s="30" t="s">
        <v>97</v>
      </c>
      <c r="M27" s="30"/>
      <c r="N27" s="30"/>
      <c r="O27" s="30"/>
      <c r="P27" s="28"/>
      <c r="Q27" s="29">
        <v>2330</v>
      </c>
      <c r="R27" s="30" t="s">
        <v>62</v>
      </c>
    </row>
    <row r="28" spans="1:18">
      <c r="A28" s="26">
        <v>24</v>
      </c>
      <c r="B28" s="26" t="s">
        <v>4</v>
      </c>
      <c r="C28" s="26" t="s">
        <v>98</v>
      </c>
      <c r="D28" s="27">
        <v>12</v>
      </c>
      <c r="E28" s="26"/>
      <c r="F28" s="26" t="s">
        <v>81</v>
      </c>
      <c r="G28" s="30"/>
      <c r="H28" s="30"/>
      <c r="I28" s="31"/>
      <c r="J28" s="30"/>
      <c r="K28" s="30"/>
      <c r="L28" s="30" t="s">
        <v>99</v>
      </c>
      <c r="M28" s="30"/>
      <c r="N28" s="30"/>
      <c r="O28" s="30"/>
      <c r="P28" s="28"/>
      <c r="Q28" s="29">
        <v>10372.4</v>
      </c>
      <c r="R28" s="30" t="s">
        <v>62</v>
      </c>
    </row>
    <row r="29" spans="1:18" ht="46" customHeight="1">
      <c r="A29" s="22">
        <v>25</v>
      </c>
      <c r="B29" s="22" t="s">
        <v>20</v>
      </c>
      <c r="C29" s="22" t="s">
        <v>100</v>
      </c>
      <c r="D29" s="23">
        <v>1</v>
      </c>
      <c r="E29" s="22" t="s">
        <v>101</v>
      </c>
      <c r="F29" s="22" t="s">
        <v>60</v>
      </c>
      <c r="G29" s="32" t="s">
        <v>102</v>
      </c>
      <c r="H29" s="32" t="s">
        <v>103</v>
      </c>
      <c r="I29" s="33">
        <v>4</v>
      </c>
      <c r="J29" s="32" t="s">
        <v>104</v>
      </c>
      <c r="K29" s="32" t="s">
        <v>105</v>
      </c>
      <c r="L29" s="32" t="s">
        <v>106</v>
      </c>
      <c r="M29" s="32" t="s">
        <v>107</v>
      </c>
      <c r="N29" s="32" t="s">
        <v>108</v>
      </c>
      <c r="O29" s="32" t="s">
        <v>109</v>
      </c>
      <c r="P29" s="24">
        <v>95</v>
      </c>
      <c r="Q29" s="25">
        <v>3300</v>
      </c>
      <c r="R29" s="32" t="s">
        <v>110</v>
      </c>
    </row>
    <row r="30" spans="1:18" ht="46" customHeight="1">
      <c r="A30" s="22">
        <v>26</v>
      </c>
      <c r="B30" s="22" t="s">
        <v>20</v>
      </c>
      <c r="C30" s="22" t="s">
        <v>100</v>
      </c>
      <c r="D30" s="23">
        <v>1</v>
      </c>
      <c r="E30" s="22" t="s">
        <v>111</v>
      </c>
      <c r="F30" s="22" t="s">
        <v>60</v>
      </c>
      <c r="G30" s="32" t="s">
        <v>112</v>
      </c>
      <c r="H30" s="32" t="s">
        <v>113</v>
      </c>
      <c r="I30" s="33">
        <v>2</v>
      </c>
      <c r="J30" s="32" t="s">
        <v>114</v>
      </c>
      <c r="K30" s="32" t="s">
        <v>115</v>
      </c>
      <c r="L30" s="32" t="s">
        <v>116</v>
      </c>
      <c r="M30" s="32" t="s">
        <v>117</v>
      </c>
      <c r="N30" s="32" t="s">
        <v>118</v>
      </c>
      <c r="O30" s="32" t="s">
        <v>109</v>
      </c>
      <c r="P30" s="24">
        <v>81.029969712371766</v>
      </c>
      <c r="Q30" s="25">
        <v>2200</v>
      </c>
      <c r="R30" s="32" t="s">
        <v>110</v>
      </c>
    </row>
    <row r="31" spans="1:18" ht="46" customHeight="1">
      <c r="A31" s="22">
        <v>27</v>
      </c>
      <c r="B31" s="22" t="s">
        <v>20</v>
      </c>
      <c r="C31" s="22" t="s">
        <v>100</v>
      </c>
      <c r="D31" s="23">
        <v>1</v>
      </c>
      <c r="E31" s="22" t="s">
        <v>119</v>
      </c>
      <c r="F31" s="22" t="s">
        <v>120</v>
      </c>
      <c r="G31" s="32" t="s">
        <v>121</v>
      </c>
      <c r="H31" s="32" t="s">
        <v>103</v>
      </c>
      <c r="I31" s="33">
        <v>4</v>
      </c>
      <c r="J31" s="32" t="s">
        <v>122</v>
      </c>
      <c r="K31" s="32" t="s">
        <v>123</v>
      </c>
      <c r="L31" s="32" t="s">
        <v>116</v>
      </c>
      <c r="M31" s="32" t="s">
        <v>124</v>
      </c>
      <c r="N31" s="32" t="s">
        <v>118</v>
      </c>
      <c r="O31" s="32" t="s">
        <v>125</v>
      </c>
      <c r="P31" s="24">
        <v>91.250000000000028</v>
      </c>
      <c r="Q31" s="25">
        <v>5600</v>
      </c>
      <c r="R31" s="32" t="s">
        <v>110</v>
      </c>
    </row>
    <row r="32" spans="1:18" ht="46" customHeight="1">
      <c r="A32" s="22">
        <v>28</v>
      </c>
      <c r="B32" s="22" t="s">
        <v>20</v>
      </c>
      <c r="C32" s="22" t="s">
        <v>100</v>
      </c>
      <c r="D32" s="23">
        <v>1</v>
      </c>
      <c r="E32" s="22" t="s">
        <v>111</v>
      </c>
      <c r="F32" s="22" t="s">
        <v>60</v>
      </c>
      <c r="G32" s="32" t="s">
        <v>126</v>
      </c>
      <c r="H32" s="32" t="s">
        <v>127</v>
      </c>
      <c r="I32" s="33">
        <v>6</v>
      </c>
      <c r="J32" s="32" t="s">
        <v>128</v>
      </c>
      <c r="K32" s="32" t="s">
        <v>129</v>
      </c>
      <c r="L32" s="32" t="s">
        <v>116</v>
      </c>
      <c r="M32" s="32" t="s">
        <v>130</v>
      </c>
      <c r="N32" s="32" t="s">
        <v>131</v>
      </c>
      <c r="O32" s="32" t="s">
        <v>109</v>
      </c>
      <c r="P32" s="24">
        <v>88.6828293081916</v>
      </c>
      <c r="Q32" s="25">
        <v>4500</v>
      </c>
      <c r="R32" s="32" t="s">
        <v>110</v>
      </c>
    </row>
    <row r="33" spans="1:18" ht="46" customHeight="1">
      <c r="A33" s="22">
        <v>29</v>
      </c>
      <c r="B33" s="22" t="s">
        <v>20</v>
      </c>
      <c r="C33" s="22" t="s">
        <v>100</v>
      </c>
      <c r="D33" s="23">
        <v>1</v>
      </c>
      <c r="E33" s="22" t="s">
        <v>101</v>
      </c>
      <c r="F33" s="22" t="s">
        <v>60</v>
      </c>
      <c r="G33" s="32" t="s">
        <v>132</v>
      </c>
      <c r="H33" s="32" t="s">
        <v>127</v>
      </c>
      <c r="I33" s="33">
        <v>3</v>
      </c>
      <c r="J33" s="32" t="s">
        <v>133</v>
      </c>
      <c r="K33" s="32" t="s">
        <v>134</v>
      </c>
      <c r="L33" s="32" t="s">
        <v>135</v>
      </c>
      <c r="M33" s="32" t="s">
        <v>136</v>
      </c>
      <c r="N33" s="32" t="s">
        <v>137</v>
      </c>
      <c r="O33" s="32" t="s">
        <v>109</v>
      </c>
      <c r="P33" s="24">
        <v>86.51901047349898</v>
      </c>
      <c r="Q33" s="25">
        <v>2000</v>
      </c>
      <c r="R33" s="32" t="s">
        <v>110</v>
      </c>
    </row>
    <row r="34" spans="1:18" ht="46" customHeight="1">
      <c r="A34" s="22">
        <v>30</v>
      </c>
      <c r="B34" s="22" t="s">
        <v>20</v>
      </c>
      <c r="C34" s="22" t="s">
        <v>100</v>
      </c>
      <c r="D34" s="23">
        <v>1</v>
      </c>
      <c r="E34" s="22" t="s">
        <v>111</v>
      </c>
      <c r="F34" s="22" t="s">
        <v>65</v>
      </c>
      <c r="G34" s="32" t="s">
        <v>138</v>
      </c>
      <c r="H34" s="32" t="s">
        <v>103</v>
      </c>
      <c r="I34" s="33">
        <v>6</v>
      </c>
      <c r="J34" s="32" t="s">
        <v>139</v>
      </c>
      <c r="K34" s="32" t="s">
        <v>140</v>
      </c>
      <c r="L34" s="32" t="s">
        <v>141</v>
      </c>
      <c r="M34" s="32" t="s">
        <v>142</v>
      </c>
      <c r="N34" s="32" t="s">
        <v>143</v>
      </c>
      <c r="O34" s="32" t="s">
        <v>125</v>
      </c>
      <c r="P34" s="24">
        <v>91.200967292390857</v>
      </c>
      <c r="Q34" s="25">
        <v>7200</v>
      </c>
      <c r="R34" s="32" t="s">
        <v>110</v>
      </c>
    </row>
    <row r="35" spans="1:18" ht="46" customHeight="1">
      <c r="A35" s="22">
        <v>31</v>
      </c>
      <c r="B35" s="22" t="s">
        <v>20</v>
      </c>
      <c r="C35" s="22" t="s">
        <v>100</v>
      </c>
      <c r="D35" s="23">
        <v>1</v>
      </c>
      <c r="E35" s="22" t="s">
        <v>111</v>
      </c>
      <c r="F35" s="22" t="s">
        <v>65</v>
      </c>
      <c r="G35" s="32" t="s">
        <v>144</v>
      </c>
      <c r="H35" s="32" t="s">
        <v>103</v>
      </c>
      <c r="I35" s="33">
        <v>7</v>
      </c>
      <c r="J35" s="32" t="s">
        <v>145</v>
      </c>
      <c r="K35" s="32" t="s">
        <v>146</v>
      </c>
      <c r="L35" s="32" t="s">
        <v>141</v>
      </c>
      <c r="M35" s="32" t="s">
        <v>147</v>
      </c>
      <c r="N35" s="32" t="s">
        <v>143</v>
      </c>
      <c r="O35" s="32" t="s">
        <v>125</v>
      </c>
      <c r="P35" s="24">
        <v>91.200967292390857</v>
      </c>
      <c r="Q35" s="25">
        <v>7200</v>
      </c>
      <c r="R35" s="32" t="s">
        <v>110</v>
      </c>
    </row>
    <row r="36" spans="1:18" ht="46" customHeight="1">
      <c r="A36" s="22">
        <v>32</v>
      </c>
      <c r="B36" s="22" t="s">
        <v>20</v>
      </c>
      <c r="C36" s="22" t="s">
        <v>100</v>
      </c>
      <c r="D36" s="23">
        <v>1</v>
      </c>
      <c r="E36" s="22" t="s">
        <v>111</v>
      </c>
      <c r="F36" s="22" t="s">
        <v>60</v>
      </c>
      <c r="G36" s="32" t="s">
        <v>148</v>
      </c>
      <c r="H36" s="32" t="s">
        <v>149</v>
      </c>
      <c r="I36" s="33">
        <v>1</v>
      </c>
      <c r="J36" s="32" t="s">
        <v>150</v>
      </c>
      <c r="K36" s="32" t="s">
        <v>151</v>
      </c>
      <c r="L36" s="32" t="s">
        <v>152</v>
      </c>
      <c r="M36" s="32" t="s">
        <v>153</v>
      </c>
      <c r="N36" s="32" t="s">
        <v>154</v>
      </c>
      <c r="O36" s="32" t="s">
        <v>155</v>
      </c>
      <c r="P36" s="24">
        <v>73.716129184412011</v>
      </c>
      <c r="Q36" s="25">
        <v>0</v>
      </c>
      <c r="R36" s="32" t="s">
        <v>110</v>
      </c>
    </row>
    <row r="37" spans="1:18" ht="46" customHeight="1">
      <c r="A37" s="22">
        <v>33</v>
      </c>
      <c r="B37" s="22" t="s">
        <v>20</v>
      </c>
      <c r="C37" s="22" t="s">
        <v>100</v>
      </c>
      <c r="D37" s="23">
        <v>1</v>
      </c>
      <c r="E37" s="22" t="s">
        <v>119</v>
      </c>
      <c r="F37" s="22" t="s">
        <v>156</v>
      </c>
      <c r="G37" s="32" t="s">
        <v>157</v>
      </c>
      <c r="H37" s="32" t="s">
        <v>127</v>
      </c>
      <c r="I37" s="33">
        <v>2</v>
      </c>
      <c r="J37" s="32" t="s">
        <v>114</v>
      </c>
      <c r="K37" s="32" t="s">
        <v>158</v>
      </c>
      <c r="L37" s="32" t="s">
        <v>152</v>
      </c>
      <c r="M37" s="32" t="s">
        <v>159</v>
      </c>
      <c r="N37" s="32" t="s">
        <v>160</v>
      </c>
      <c r="O37" s="32" t="s">
        <v>109</v>
      </c>
      <c r="P37" s="24">
        <v>87.5</v>
      </c>
      <c r="Q37" s="25">
        <v>4300</v>
      </c>
      <c r="R37" s="32" t="s">
        <v>110</v>
      </c>
    </row>
    <row r="38" spans="1:18" ht="46" customHeight="1">
      <c r="A38" s="22">
        <v>34</v>
      </c>
      <c r="B38" s="22" t="s">
        <v>20</v>
      </c>
      <c r="C38" s="22" t="s">
        <v>100</v>
      </c>
      <c r="D38" s="23">
        <v>1</v>
      </c>
      <c r="E38" s="22" t="s">
        <v>111</v>
      </c>
      <c r="F38" s="22" t="s">
        <v>161</v>
      </c>
      <c r="G38" s="32" t="s">
        <v>162</v>
      </c>
      <c r="H38" s="32" t="s">
        <v>127</v>
      </c>
      <c r="I38" s="33">
        <v>2</v>
      </c>
      <c r="J38" s="32" t="s">
        <v>114</v>
      </c>
      <c r="K38" s="32" t="s">
        <v>163</v>
      </c>
      <c r="L38" s="32" t="s">
        <v>152</v>
      </c>
      <c r="M38" s="32" t="s">
        <v>164</v>
      </c>
      <c r="N38" s="32" t="s">
        <v>160</v>
      </c>
      <c r="O38" s="32" t="s">
        <v>109</v>
      </c>
      <c r="P38" s="24">
        <v>83.5</v>
      </c>
      <c r="Q38" s="25">
        <v>4300</v>
      </c>
      <c r="R38" s="32" t="s">
        <v>110</v>
      </c>
    </row>
    <row r="39" spans="1:18" ht="46" customHeight="1">
      <c r="A39" s="22">
        <v>35</v>
      </c>
      <c r="B39" s="22" t="s">
        <v>20</v>
      </c>
      <c r="C39" s="22" t="s">
        <v>100</v>
      </c>
      <c r="D39" s="23">
        <v>1</v>
      </c>
      <c r="E39" s="22" t="s">
        <v>165</v>
      </c>
      <c r="F39" s="22" t="s">
        <v>60</v>
      </c>
      <c r="G39" s="32" t="s">
        <v>166</v>
      </c>
      <c r="H39" s="32" t="s">
        <v>103</v>
      </c>
      <c r="I39" s="33">
        <v>21</v>
      </c>
      <c r="J39" s="32" t="s">
        <v>167</v>
      </c>
      <c r="K39" s="32" t="s">
        <v>168</v>
      </c>
      <c r="L39" s="32" t="s">
        <v>106</v>
      </c>
      <c r="M39" s="32" t="s">
        <v>169</v>
      </c>
      <c r="N39" s="32" t="s">
        <v>170</v>
      </c>
      <c r="O39" s="32" t="s">
        <v>109</v>
      </c>
      <c r="P39" s="24">
        <v>87.75</v>
      </c>
      <c r="Q39" s="25">
        <v>4100</v>
      </c>
      <c r="R39" s="32" t="s">
        <v>110</v>
      </c>
    </row>
    <row r="40" spans="1:18" ht="46" customHeight="1">
      <c r="A40" s="22">
        <v>36</v>
      </c>
      <c r="B40" s="22" t="s">
        <v>20</v>
      </c>
      <c r="C40" s="22" t="s">
        <v>100</v>
      </c>
      <c r="D40" s="23">
        <v>1</v>
      </c>
      <c r="E40" s="22" t="s">
        <v>119</v>
      </c>
      <c r="F40" s="22" t="s">
        <v>171</v>
      </c>
      <c r="G40" s="32" t="s">
        <v>172</v>
      </c>
      <c r="H40" s="32" t="s">
        <v>103</v>
      </c>
      <c r="I40" s="33">
        <v>1</v>
      </c>
      <c r="J40" s="32" t="s">
        <v>150</v>
      </c>
      <c r="K40" s="32" t="s">
        <v>173</v>
      </c>
      <c r="L40" s="32" t="s">
        <v>174</v>
      </c>
      <c r="M40" s="32" t="s">
        <v>175</v>
      </c>
      <c r="N40" s="32" t="s">
        <v>137</v>
      </c>
      <c r="O40" s="32" t="s">
        <v>109</v>
      </c>
      <c r="P40" s="24">
        <v>72.5</v>
      </c>
      <c r="Q40" s="25">
        <v>3000</v>
      </c>
      <c r="R40" s="32" t="s">
        <v>110</v>
      </c>
    </row>
    <row r="41" spans="1:18" ht="46" customHeight="1">
      <c r="A41" s="22">
        <v>37</v>
      </c>
      <c r="B41" s="22" t="s">
        <v>20</v>
      </c>
      <c r="C41" s="22" t="s">
        <v>100</v>
      </c>
      <c r="D41" s="23">
        <v>1</v>
      </c>
      <c r="E41" s="22" t="s">
        <v>111</v>
      </c>
      <c r="F41" s="22" t="s">
        <v>60</v>
      </c>
      <c r="G41" s="32" t="s">
        <v>176</v>
      </c>
      <c r="H41" s="32" t="s">
        <v>149</v>
      </c>
      <c r="I41" s="33">
        <v>2</v>
      </c>
      <c r="J41" s="32" t="s">
        <v>177</v>
      </c>
      <c r="K41" s="32" t="s">
        <v>178</v>
      </c>
      <c r="L41" s="32" t="s">
        <v>152</v>
      </c>
      <c r="M41" s="32" t="s">
        <v>179</v>
      </c>
      <c r="N41" s="32" t="s">
        <v>154</v>
      </c>
      <c r="O41" s="32" t="s">
        <v>155</v>
      </c>
      <c r="P41" s="24">
        <v>73.716129184412011</v>
      </c>
      <c r="Q41" s="25">
        <v>0</v>
      </c>
      <c r="R41" s="32" t="s">
        <v>110</v>
      </c>
    </row>
    <row r="42" spans="1:18" ht="46" customHeight="1">
      <c r="A42" s="22">
        <v>38</v>
      </c>
      <c r="B42" s="22" t="s">
        <v>20</v>
      </c>
      <c r="C42" s="22" t="s">
        <v>100</v>
      </c>
      <c r="D42" s="23">
        <v>1</v>
      </c>
      <c r="E42" s="22" t="s">
        <v>111</v>
      </c>
      <c r="F42" s="22" t="s">
        <v>60</v>
      </c>
      <c r="G42" s="32" t="s">
        <v>180</v>
      </c>
      <c r="H42" s="32" t="s">
        <v>113</v>
      </c>
      <c r="I42" s="33">
        <v>4</v>
      </c>
      <c r="J42" s="32" t="s">
        <v>104</v>
      </c>
      <c r="K42" s="32" t="s">
        <v>181</v>
      </c>
      <c r="L42" s="32" t="s">
        <v>116</v>
      </c>
      <c r="M42" s="32" t="s">
        <v>182</v>
      </c>
      <c r="N42" s="32" t="s">
        <v>118</v>
      </c>
      <c r="O42" s="32" t="s">
        <v>109</v>
      </c>
      <c r="P42" s="24">
        <v>85.248742920880659</v>
      </c>
      <c r="Q42" s="25">
        <v>2200</v>
      </c>
      <c r="R42" s="32" t="s">
        <v>110</v>
      </c>
    </row>
    <row r="43" spans="1:18" ht="46" customHeight="1">
      <c r="A43" s="22">
        <v>39</v>
      </c>
      <c r="B43" s="22" t="s">
        <v>20</v>
      </c>
      <c r="C43" s="22" t="s">
        <v>100</v>
      </c>
      <c r="D43" s="23">
        <v>1</v>
      </c>
      <c r="E43" s="22" t="s">
        <v>101</v>
      </c>
      <c r="F43" s="22" t="s">
        <v>60</v>
      </c>
      <c r="G43" s="32" t="s">
        <v>183</v>
      </c>
      <c r="H43" s="32" t="s">
        <v>149</v>
      </c>
      <c r="I43" s="33">
        <v>2</v>
      </c>
      <c r="J43" s="32" t="s">
        <v>177</v>
      </c>
      <c r="K43" s="32" t="s">
        <v>184</v>
      </c>
      <c r="L43" s="32" t="s">
        <v>152</v>
      </c>
      <c r="M43" s="32" t="s">
        <v>185</v>
      </c>
      <c r="N43" s="32" t="s">
        <v>154</v>
      </c>
      <c r="O43" s="32" t="s">
        <v>155</v>
      </c>
      <c r="P43" s="24">
        <v>73.712101858847163</v>
      </c>
      <c r="Q43" s="25">
        <v>0</v>
      </c>
      <c r="R43" s="32" t="s">
        <v>110</v>
      </c>
    </row>
    <row r="44" spans="1:18" ht="46" customHeight="1">
      <c r="A44" s="22">
        <v>40</v>
      </c>
      <c r="B44" s="22" t="s">
        <v>20</v>
      </c>
      <c r="C44" s="22" t="s">
        <v>100</v>
      </c>
      <c r="D44" s="23">
        <v>1</v>
      </c>
      <c r="E44" s="22" t="s">
        <v>119</v>
      </c>
      <c r="F44" s="22" t="s">
        <v>186</v>
      </c>
      <c r="G44" s="32" t="s">
        <v>187</v>
      </c>
      <c r="H44" s="32" t="s">
        <v>103</v>
      </c>
      <c r="I44" s="33">
        <v>9</v>
      </c>
      <c r="J44" s="32" t="s">
        <v>188</v>
      </c>
      <c r="K44" s="32" t="s">
        <v>189</v>
      </c>
      <c r="L44" s="32" t="s">
        <v>106</v>
      </c>
      <c r="M44" s="32" t="s">
        <v>190</v>
      </c>
      <c r="N44" s="32" t="s">
        <v>170</v>
      </c>
      <c r="O44" s="32" t="s">
        <v>109</v>
      </c>
      <c r="P44" s="24">
        <v>95</v>
      </c>
      <c r="Q44" s="25">
        <v>3500</v>
      </c>
      <c r="R44" s="32" t="s">
        <v>110</v>
      </c>
    </row>
    <row r="45" spans="1:18" ht="46" customHeight="1">
      <c r="A45" s="22">
        <v>41</v>
      </c>
      <c r="B45" s="22" t="s">
        <v>20</v>
      </c>
      <c r="C45" s="22" t="s">
        <v>100</v>
      </c>
      <c r="D45" s="23">
        <v>1</v>
      </c>
      <c r="E45" s="22" t="s">
        <v>101</v>
      </c>
      <c r="F45" s="22" t="s">
        <v>60</v>
      </c>
      <c r="G45" s="32" t="s">
        <v>191</v>
      </c>
      <c r="H45" s="32" t="s">
        <v>149</v>
      </c>
      <c r="I45" s="33">
        <v>1</v>
      </c>
      <c r="J45" s="32" t="s">
        <v>192</v>
      </c>
      <c r="K45" s="32" t="s">
        <v>193</v>
      </c>
      <c r="L45" s="32" t="s">
        <v>106</v>
      </c>
      <c r="M45" s="32" t="s">
        <v>194</v>
      </c>
      <c r="N45" s="32" t="s">
        <v>154</v>
      </c>
      <c r="O45" s="32" t="s">
        <v>195</v>
      </c>
      <c r="P45" s="24">
        <v>81.835273425396053</v>
      </c>
      <c r="Q45" s="25">
        <v>300</v>
      </c>
      <c r="R45" s="32" t="s">
        <v>110</v>
      </c>
    </row>
    <row r="46" spans="1:18" ht="46" customHeight="1">
      <c r="A46" s="22">
        <v>42</v>
      </c>
      <c r="B46" s="22" t="s">
        <v>20</v>
      </c>
      <c r="C46" s="22" t="s">
        <v>100</v>
      </c>
      <c r="D46" s="23">
        <v>1</v>
      </c>
      <c r="E46" s="22" t="s">
        <v>111</v>
      </c>
      <c r="F46" s="22" t="s">
        <v>60</v>
      </c>
      <c r="G46" s="32" t="s">
        <v>196</v>
      </c>
      <c r="H46" s="32" t="s">
        <v>127</v>
      </c>
      <c r="I46" s="33">
        <v>4</v>
      </c>
      <c r="J46" s="32" t="s">
        <v>122</v>
      </c>
      <c r="K46" s="32" t="s">
        <v>197</v>
      </c>
      <c r="L46" s="32" t="s">
        <v>152</v>
      </c>
      <c r="M46" s="32" t="s">
        <v>198</v>
      </c>
      <c r="N46" s="32" t="s">
        <v>160</v>
      </c>
      <c r="O46" s="32" t="s">
        <v>109</v>
      </c>
      <c r="P46" s="24">
        <v>82.466129184412011</v>
      </c>
      <c r="Q46" s="25">
        <v>2800</v>
      </c>
      <c r="R46" s="32" t="s">
        <v>110</v>
      </c>
    </row>
    <row r="47" spans="1:18" ht="46" customHeight="1">
      <c r="A47" s="22">
        <v>43</v>
      </c>
      <c r="B47" s="22" t="s">
        <v>20</v>
      </c>
      <c r="C47" s="22" t="s">
        <v>100</v>
      </c>
      <c r="D47" s="23">
        <v>1</v>
      </c>
      <c r="E47" s="22" t="s">
        <v>111</v>
      </c>
      <c r="F47" s="22" t="s">
        <v>60</v>
      </c>
      <c r="G47" s="32" t="s">
        <v>199</v>
      </c>
      <c r="H47" s="32" t="s">
        <v>149</v>
      </c>
      <c r="I47" s="33">
        <v>1</v>
      </c>
      <c r="J47" s="32" t="s">
        <v>150</v>
      </c>
      <c r="K47" s="32" t="s">
        <v>151</v>
      </c>
      <c r="L47" s="32" t="s">
        <v>152</v>
      </c>
      <c r="M47" s="32" t="s">
        <v>153</v>
      </c>
      <c r="N47" s="32" t="s">
        <v>154</v>
      </c>
      <c r="O47" s="32" t="s">
        <v>155</v>
      </c>
      <c r="P47" s="24">
        <v>73.716129184412011</v>
      </c>
      <c r="Q47" s="25">
        <v>0</v>
      </c>
      <c r="R47" s="32" t="s">
        <v>110</v>
      </c>
    </row>
    <row r="48" spans="1:18" ht="46" customHeight="1">
      <c r="A48" s="22">
        <v>44</v>
      </c>
      <c r="B48" s="22" t="s">
        <v>20</v>
      </c>
      <c r="C48" s="22" t="s">
        <v>100</v>
      </c>
      <c r="D48" s="23">
        <v>2</v>
      </c>
      <c r="E48" s="22" t="s">
        <v>101</v>
      </c>
      <c r="F48" s="22" t="s">
        <v>60</v>
      </c>
      <c r="G48" s="32" t="s">
        <v>200</v>
      </c>
      <c r="H48" s="32" t="s">
        <v>103</v>
      </c>
      <c r="I48" s="33">
        <v>4</v>
      </c>
      <c r="J48" s="32" t="s">
        <v>104</v>
      </c>
      <c r="K48" s="32" t="s">
        <v>201</v>
      </c>
      <c r="L48" s="32" t="s">
        <v>152</v>
      </c>
      <c r="M48" s="32" t="s">
        <v>202</v>
      </c>
      <c r="N48" s="32" t="s">
        <v>203</v>
      </c>
      <c r="O48" s="32" t="s">
        <v>195</v>
      </c>
      <c r="P48" s="24">
        <v>91.216129184412011</v>
      </c>
      <c r="Q48" s="25">
        <v>800</v>
      </c>
      <c r="R48" s="32" t="s">
        <v>110</v>
      </c>
    </row>
    <row r="49" spans="1:18" ht="46" customHeight="1">
      <c r="A49" s="22">
        <v>45</v>
      </c>
      <c r="B49" s="22" t="s">
        <v>20</v>
      </c>
      <c r="C49" s="22" t="s">
        <v>100</v>
      </c>
      <c r="D49" s="23">
        <v>2</v>
      </c>
      <c r="E49" s="22" t="s">
        <v>101</v>
      </c>
      <c r="F49" s="22" t="s">
        <v>60</v>
      </c>
      <c r="G49" s="32" t="s">
        <v>204</v>
      </c>
      <c r="H49" s="32" t="s">
        <v>127</v>
      </c>
      <c r="I49" s="33">
        <v>11</v>
      </c>
      <c r="J49" s="32" t="s">
        <v>205</v>
      </c>
      <c r="K49" s="32" t="s">
        <v>206</v>
      </c>
      <c r="L49" s="32" t="s">
        <v>106</v>
      </c>
      <c r="M49" s="32" t="s">
        <v>207</v>
      </c>
      <c r="N49" s="32" t="s">
        <v>170</v>
      </c>
      <c r="O49" s="32" t="s">
        <v>109</v>
      </c>
      <c r="P49" s="24">
        <v>94.25</v>
      </c>
      <c r="Q49" s="25">
        <v>2500</v>
      </c>
      <c r="R49" s="32" t="s">
        <v>110</v>
      </c>
    </row>
    <row r="50" spans="1:18" ht="46" customHeight="1">
      <c r="A50" s="22">
        <v>46</v>
      </c>
      <c r="B50" s="22" t="s">
        <v>20</v>
      </c>
      <c r="C50" s="22" t="s">
        <v>100</v>
      </c>
      <c r="D50" s="23">
        <v>2</v>
      </c>
      <c r="E50" s="22" t="s">
        <v>111</v>
      </c>
      <c r="F50" s="22" t="s">
        <v>60</v>
      </c>
      <c r="G50" s="32" t="s">
        <v>208</v>
      </c>
      <c r="H50" s="32" t="s">
        <v>103</v>
      </c>
      <c r="I50" s="33">
        <v>8</v>
      </c>
      <c r="J50" s="32" t="s">
        <v>209</v>
      </c>
      <c r="K50" s="32" t="s">
        <v>210</v>
      </c>
      <c r="L50" s="32" t="s">
        <v>116</v>
      </c>
      <c r="M50" s="32" t="s">
        <v>211</v>
      </c>
      <c r="N50" s="32" t="s">
        <v>143</v>
      </c>
      <c r="O50" s="32" t="s">
        <v>109</v>
      </c>
      <c r="P50" s="24">
        <v>91.25</v>
      </c>
      <c r="Q50" s="25">
        <v>3300</v>
      </c>
      <c r="R50" s="32" t="s">
        <v>110</v>
      </c>
    </row>
    <row r="51" spans="1:18" ht="46" customHeight="1">
      <c r="A51" s="22">
        <v>47</v>
      </c>
      <c r="B51" s="22" t="s">
        <v>20</v>
      </c>
      <c r="C51" s="22" t="s">
        <v>100</v>
      </c>
      <c r="D51" s="23">
        <v>2</v>
      </c>
      <c r="E51" s="22" t="s">
        <v>101</v>
      </c>
      <c r="F51" s="22" t="s">
        <v>60</v>
      </c>
      <c r="G51" s="32" t="s">
        <v>212</v>
      </c>
      <c r="H51" s="32" t="s">
        <v>149</v>
      </c>
      <c r="I51" s="33">
        <v>1</v>
      </c>
      <c r="J51" s="32" t="s">
        <v>150</v>
      </c>
      <c r="K51" s="32" t="s">
        <v>213</v>
      </c>
      <c r="L51" s="32" t="s">
        <v>152</v>
      </c>
      <c r="M51" s="32" t="s">
        <v>214</v>
      </c>
      <c r="N51" s="32" t="s">
        <v>154</v>
      </c>
      <c r="O51" s="32" t="s">
        <v>155</v>
      </c>
      <c r="P51" s="24">
        <v>73.75</v>
      </c>
      <c r="Q51" s="25">
        <v>0</v>
      </c>
      <c r="R51" s="32" t="s">
        <v>110</v>
      </c>
    </row>
    <row r="52" spans="1:18" ht="46" customHeight="1">
      <c r="A52" s="22">
        <v>48</v>
      </c>
      <c r="B52" s="22" t="s">
        <v>20</v>
      </c>
      <c r="C52" s="22" t="s">
        <v>100</v>
      </c>
      <c r="D52" s="23">
        <v>2</v>
      </c>
      <c r="E52" s="22" t="s">
        <v>215</v>
      </c>
      <c r="F52" s="22" t="s">
        <v>60</v>
      </c>
      <c r="G52" s="32" t="s">
        <v>216</v>
      </c>
      <c r="H52" s="32" t="s">
        <v>103</v>
      </c>
      <c r="I52" s="33">
        <v>17</v>
      </c>
      <c r="J52" s="32" t="s">
        <v>217</v>
      </c>
      <c r="K52" s="32" t="s">
        <v>218</v>
      </c>
      <c r="L52" s="32" t="s">
        <v>106</v>
      </c>
      <c r="M52" s="32" t="s">
        <v>219</v>
      </c>
      <c r="N52" s="32" t="s">
        <v>143</v>
      </c>
      <c r="O52" s="32" t="s">
        <v>125</v>
      </c>
      <c r="P52" s="24">
        <v>91.216129184412011</v>
      </c>
      <c r="Q52" s="25">
        <v>4900</v>
      </c>
      <c r="R52" s="32" t="s">
        <v>110</v>
      </c>
    </row>
    <row r="53" spans="1:18" ht="46" customHeight="1">
      <c r="A53" s="22">
        <v>49</v>
      </c>
      <c r="B53" s="22" t="s">
        <v>20</v>
      </c>
      <c r="C53" s="22" t="s">
        <v>100</v>
      </c>
      <c r="D53" s="23">
        <v>2</v>
      </c>
      <c r="E53" s="22" t="s">
        <v>101</v>
      </c>
      <c r="F53" s="22" t="s">
        <v>60</v>
      </c>
      <c r="G53" s="32" t="s">
        <v>220</v>
      </c>
      <c r="H53" s="32" t="s">
        <v>127</v>
      </c>
      <c r="I53" s="33">
        <v>2</v>
      </c>
      <c r="J53" s="32" t="s">
        <v>221</v>
      </c>
      <c r="K53" s="32" t="s">
        <v>222</v>
      </c>
      <c r="L53" s="32" t="s">
        <v>106</v>
      </c>
      <c r="M53" s="32" t="s">
        <v>223</v>
      </c>
      <c r="N53" s="32" t="s">
        <v>108</v>
      </c>
      <c r="O53" s="32" t="s">
        <v>109</v>
      </c>
      <c r="P53" s="24">
        <v>95.585273425396053</v>
      </c>
      <c r="Q53" s="25">
        <v>3300</v>
      </c>
      <c r="R53" s="32" t="s">
        <v>110</v>
      </c>
    </row>
    <row r="54" spans="1:18" ht="46" customHeight="1">
      <c r="A54" s="22">
        <v>50</v>
      </c>
      <c r="B54" s="22" t="s">
        <v>20</v>
      </c>
      <c r="C54" s="22" t="s">
        <v>100</v>
      </c>
      <c r="D54" s="23">
        <v>2</v>
      </c>
      <c r="E54" s="22" t="s">
        <v>101</v>
      </c>
      <c r="F54" s="22" t="s">
        <v>60</v>
      </c>
      <c r="G54" s="32" t="s">
        <v>224</v>
      </c>
      <c r="H54" s="32" t="s">
        <v>127</v>
      </c>
      <c r="I54" s="33">
        <v>6</v>
      </c>
      <c r="J54" s="32" t="s">
        <v>128</v>
      </c>
      <c r="K54" s="32" t="s">
        <v>225</v>
      </c>
      <c r="L54" s="32" t="s">
        <v>116</v>
      </c>
      <c r="M54" s="32" t="s">
        <v>226</v>
      </c>
      <c r="N54" s="32" t="s">
        <v>118</v>
      </c>
      <c r="O54" s="32" t="s">
        <v>109</v>
      </c>
      <c r="P54" s="24">
        <v>87.032633297764562</v>
      </c>
      <c r="Q54" s="25">
        <v>2200</v>
      </c>
      <c r="R54" s="32" t="s">
        <v>110</v>
      </c>
    </row>
    <row r="55" spans="1:18" ht="46" customHeight="1">
      <c r="A55" s="22">
        <v>51</v>
      </c>
      <c r="B55" s="22" t="s">
        <v>20</v>
      </c>
      <c r="C55" s="22" t="s">
        <v>100</v>
      </c>
      <c r="D55" s="23">
        <v>2</v>
      </c>
      <c r="E55" s="22" t="s">
        <v>111</v>
      </c>
      <c r="F55" s="22" t="s">
        <v>227</v>
      </c>
      <c r="G55" s="32" t="s">
        <v>228</v>
      </c>
      <c r="H55" s="32" t="s">
        <v>113</v>
      </c>
      <c r="I55" s="33">
        <v>4</v>
      </c>
      <c r="J55" s="32" t="s">
        <v>104</v>
      </c>
      <c r="K55" s="32" t="s">
        <v>229</v>
      </c>
      <c r="L55" s="32" t="s">
        <v>141</v>
      </c>
      <c r="M55" s="32" t="s">
        <v>230</v>
      </c>
      <c r="N55" s="32" t="s">
        <v>170</v>
      </c>
      <c r="O55" s="32" t="s">
        <v>109</v>
      </c>
      <c r="P55" s="24">
        <v>84.950967292390857</v>
      </c>
      <c r="Q55" s="25">
        <v>3500</v>
      </c>
      <c r="R55" s="32" t="s">
        <v>110</v>
      </c>
    </row>
    <row r="56" spans="1:18" ht="46" customHeight="1">
      <c r="A56" s="22">
        <v>52</v>
      </c>
      <c r="B56" s="22" t="s">
        <v>20</v>
      </c>
      <c r="C56" s="22" t="s">
        <v>100</v>
      </c>
      <c r="D56" s="23">
        <v>2</v>
      </c>
      <c r="E56" s="22" t="s">
        <v>119</v>
      </c>
      <c r="F56" s="22" t="s">
        <v>171</v>
      </c>
      <c r="G56" s="32" t="s">
        <v>231</v>
      </c>
      <c r="H56" s="32" t="s">
        <v>103</v>
      </c>
      <c r="I56" s="33">
        <v>2</v>
      </c>
      <c r="J56" s="32" t="s">
        <v>114</v>
      </c>
      <c r="K56" s="32" t="s">
        <v>232</v>
      </c>
      <c r="L56" s="32" t="s">
        <v>152</v>
      </c>
      <c r="M56" s="32" t="s">
        <v>233</v>
      </c>
      <c r="N56" s="32" t="s">
        <v>160</v>
      </c>
      <c r="O56" s="32" t="s">
        <v>109</v>
      </c>
      <c r="P56" s="24">
        <v>86.25</v>
      </c>
      <c r="Q56" s="25">
        <v>4300</v>
      </c>
      <c r="R56" s="32" t="s">
        <v>110</v>
      </c>
    </row>
    <row r="57" spans="1:18" ht="46" customHeight="1">
      <c r="A57" s="22">
        <v>53</v>
      </c>
      <c r="B57" s="22" t="s">
        <v>20</v>
      </c>
      <c r="C57" s="22" t="s">
        <v>100</v>
      </c>
      <c r="D57" s="23">
        <v>2</v>
      </c>
      <c r="E57" s="22" t="s">
        <v>215</v>
      </c>
      <c r="F57" s="22" t="s">
        <v>60</v>
      </c>
      <c r="G57" s="32" t="s">
        <v>234</v>
      </c>
      <c r="H57" s="32" t="s">
        <v>149</v>
      </c>
      <c r="I57" s="33">
        <v>2</v>
      </c>
      <c r="J57" s="32" t="s">
        <v>177</v>
      </c>
      <c r="K57" s="32" t="s">
        <v>235</v>
      </c>
      <c r="L57" s="32" t="s">
        <v>116</v>
      </c>
      <c r="M57" s="32" t="s">
        <v>236</v>
      </c>
      <c r="N57" s="32" t="s">
        <v>154</v>
      </c>
      <c r="O57" s="32" t="s">
        <v>155</v>
      </c>
      <c r="P57" s="24">
        <v>74.779969712371766</v>
      </c>
      <c r="Q57" s="25">
        <v>0</v>
      </c>
      <c r="R57" s="32" t="s">
        <v>110</v>
      </c>
    </row>
    <row r="58" spans="1:18" ht="46" customHeight="1">
      <c r="A58" s="22">
        <v>54</v>
      </c>
      <c r="B58" s="22" t="s">
        <v>20</v>
      </c>
      <c r="C58" s="22" t="s">
        <v>100</v>
      </c>
      <c r="D58" s="23">
        <v>2</v>
      </c>
      <c r="E58" s="22" t="s">
        <v>101</v>
      </c>
      <c r="F58" s="22" t="s">
        <v>60</v>
      </c>
      <c r="G58" s="32" t="s">
        <v>237</v>
      </c>
      <c r="H58" s="32" t="s">
        <v>127</v>
      </c>
      <c r="I58" s="33">
        <v>6</v>
      </c>
      <c r="J58" s="32" t="s">
        <v>238</v>
      </c>
      <c r="K58" s="32" t="s">
        <v>115</v>
      </c>
      <c r="L58" s="32" t="s">
        <v>116</v>
      </c>
      <c r="M58" s="32" t="s">
        <v>117</v>
      </c>
      <c r="N58" s="32" t="s">
        <v>118</v>
      </c>
      <c r="O58" s="32" t="s">
        <v>109</v>
      </c>
      <c r="P58" s="24">
        <v>87.5</v>
      </c>
      <c r="Q58" s="25">
        <v>2200</v>
      </c>
      <c r="R58" s="32" t="s">
        <v>110</v>
      </c>
    </row>
    <row r="59" spans="1:18" ht="46" customHeight="1">
      <c r="A59" s="22">
        <v>55</v>
      </c>
      <c r="B59" s="22" t="s">
        <v>20</v>
      </c>
      <c r="C59" s="22" t="s">
        <v>100</v>
      </c>
      <c r="D59" s="23">
        <v>3</v>
      </c>
      <c r="E59" s="22" t="s">
        <v>101</v>
      </c>
      <c r="F59" s="22" t="s">
        <v>60</v>
      </c>
      <c r="G59" s="32" t="s">
        <v>239</v>
      </c>
      <c r="H59" s="32" t="s">
        <v>127</v>
      </c>
      <c r="I59" s="33">
        <v>9</v>
      </c>
      <c r="J59" s="32" t="s">
        <v>240</v>
      </c>
      <c r="K59" s="32" t="s">
        <v>241</v>
      </c>
      <c r="L59" s="32" t="s">
        <v>106</v>
      </c>
      <c r="M59" s="32" t="s">
        <v>242</v>
      </c>
      <c r="N59" s="32" t="s">
        <v>108</v>
      </c>
      <c r="O59" s="32" t="s">
        <v>109</v>
      </c>
      <c r="P59" s="24">
        <v>95.585273425396053</v>
      </c>
      <c r="Q59" s="25">
        <v>3300</v>
      </c>
      <c r="R59" s="32" t="s">
        <v>110</v>
      </c>
    </row>
    <row r="60" spans="1:18" ht="46" customHeight="1">
      <c r="A60" s="22">
        <v>56</v>
      </c>
      <c r="B60" s="22" t="s">
        <v>20</v>
      </c>
      <c r="C60" s="22" t="s">
        <v>100</v>
      </c>
      <c r="D60" s="23">
        <v>3</v>
      </c>
      <c r="E60" s="22" t="s">
        <v>101</v>
      </c>
      <c r="F60" s="22" t="s">
        <v>60</v>
      </c>
      <c r="G60" s="32" t="s">
        <v>243</v>
      </c>
      <c r="H60" s="32" t="s">
        <v>103</v>
      </c>
      <c r="I60" s="33">
        <v>15</v>
      </c>
      <c r="J60" s="32" t="s">
        <v>244</v>
      </c>
      <c r="K60" s="32" t="s">
        <v>245</v>
      </c>
      <c r="L60" s="32" t="s">
        <v>106</v>
      </c>
      <c r="M60" s="32" t="s">
        <v>246</v>
      </c>
      <c r="N60" s="32" t="s">
        <v>108</v>
      </c>
      <c r="O60" s="32" t="s">
        <v>109</v>
      </c>
      <c r="P60" s="24">
        <v>94.335273425396053</v>
      </c>
      <c r="Q60" s="25">
        <v>3300</v>
      </c>
      <c r="R60" s="32" t="s">
        <v>110</v>
      </c>
    </row>
    <row r="61" spans="1:18" ht="46" customHeight="1">
      <c r="A61" s="22">
        <v>57</v>
      </c>
      <c r="B61" s="22" t="s">
        <v>20</v>
      </c>
      <c r="C61" s="22" t="s">
        <v>100</v>
      </c>
      <c r="D61" s="23">
        <v>3</v>
      </c>
      <c r="E61" s="22" t="s">
        <v>165</v>
      </c>
      <c r="F61" s="22" t="s">
        <v>60</v>
      </c>
      <c r="G61" s="32" t="s">
        <v>247</v>
      </c>
      <c r="H61" s="32" t="s">
        <v>103</v>
      </c>
      <c r="I61" s="33">
        <v>8</v>
      </c>
      <c r="J61" s="32" t="s">
        <v>248</v>
      </c>
      <c r="K61" s="32" t="s">
        <v>249</v>
      </c>
      <c r="L61" s="32" t="s">
        <v>106</v>
      </c>
      <c r="M61" s="32" t="s">
        <v>250</v>
      </c>
      <c r="N61" s="32" t="s">
        <v>251</v>
      </c>
      <c r="O61" s="32" t="s">
        <v>109</v>
      </c>
      <c r="P61" s="24">
        <v>90.911427989417973</v>
      </c>
      <c r="Q61" s="25">
        <v>1100</v>
      </c>
      <c r="R61" s="32" t="s">
        <v>110</v>
      </c>
    </row>
    <row r="62" spans="1:18" ht="46" customHeight="1">
      <c r="A62" s="22">
        <v>58</v>
      </c>
      <c r="B62" s="22" t="s">
        <v>20</v>
      </c>
      <c r="C62" s="22" t="s">
        <v>100</v>
      </c>
      <c r="D62" s="23">
        <v>3</v>
      </c>
      <c r="E62" s="22" t="s">
        <v>101</v>
      </c>
      <c r="F62" s="22" t="s">
        <v>60</v>
      </c>
      <c r="G62" s="32" t="s">
        <v>252</v>
      </c>
      <c r="H62" s="32" t="s">
        <v>149</v>
      </c>
      <c r="I62" s="33">
        <v>2</v>
      </c>
      <c r="J62" s="32" t="s">
        <v>177</v>
      </c>
      <c r="K62" s="32" t="s">
        <v>253</v>
      </c>
      <c r="L62" s="32" t="s">
        <v>116</v>
      </c>
      <c r="M62" s="32" t="s">
        <v>254</v>
      </c>
      <c r="N62" s="32" t="s">
        <v>154</v>
      </c>
      <c r="O62" s="32" t="s">
        <v>155</v>
      </c>
      <c r="P62" s="24">
        <v>74.9328293081916</v>
      </c>
      <c r="Q62" s="25">
        <v>0</v>
      </c>
      <c r="R62" s="32" t="s">
        <v>110</v>
      </c>
    </row>
    <row r="63" spans="1:18" ht="46" customHeight="1">
      <c r="A63" s="22">
        <v>59</v>
      </c>
      <c r="B63" s="22" t="s">
        <v>20</v>
      </c>
      <c r="C63" s="22" t="s">
        <v>100</v>
      </c>
      <c r="D63" s="23">
        <v>3</v>
      </c>
      <c r="E63" s="22" t="s">
        <v>255</v>
      </c>
      <c r="F63" s="22" t="s">
        <v>60</v>
      </c>
      <c r="G63" s="32" t="s">
        <v>256</v>
      </c>
      <c r="H63" s="32" t="s">
        <v>103</v>
      </c>
      <c r="I63" s="33">
        <v>19</v>
      </c>
      <c r="J63" s="32" t="s">
        <v>257</v>
      </c>
      <c r="K63" s="32" t="s">
        <v>258</v>
      </c>
      <c r="L63" s="32" t="s">
        <v>106</v>
      </c>
      <c r="M63" s="32" t="s">
        <v>259</v>
      </c>
      <c r="N63" s="32" t="s">
        <v>170</v>
      </c>
      <c r="O63" s="32" t="s">
        <v>109</v>
      </c>
      <c r="P63" s="24">
        <v>91.216129184412011</v>
      </c>
      <c r="Q63" s="25">
        <v>2500</v>
      </c>
      <c r="R63" s="32" t="s">
        <v>110</v>
      </c>
    </row>
    <row r="64" spans="1:18" ht="46" customHeight="1">
      <c r="A64" s="22">
        <v>60</v>
      </c>
      <c r="B64" s="22" t="s">
        <v>20</v>
      </c>
      <c r="C64" s="22" t="s">
        <v>100</v>
      </c>
      <c r="D64" s="23">
        <v>3</v>
      </c>
      <c r="E64" s="22" t="s">
        <v>255</v>
      </c>
      <c r="F64" s="22" t="s">
        <v>60</v>
      </c>
      <c r="G64" s="32" t="s">
        <v>260</v>
      </c>
      <c r="H64" s="32" t="s">
        <v>103</v>
      </c>
      <c r="I64" s="33">
        <v>7</v>
      </c>
      <c r="J64" s="32" t="s">
        <v>261</v>
      </c>
      <c r="K64" s="32" t="s">
        <v>262</v>
      </c>
      <c r="L64" s="32" t="s">
        <v>152</v>
      </c>
      <c r="M64" s="32" t="s">
        <v>263</v>
      </c>
      <c r="N64" s="32" t="s">
        <v>203</v>
      </c>
      <c r="O64" s="32" t="s">
        <v>195</v>
      </c>
      <c r="P64" s="24">
        <v>91.216129184412011</v>
      </c>
      <c r="Q64" s="25">
        <v>800</v>
      </c>
      <c r="R64" s="32" t="s">
        <v>110</v>
      </c>
    </row>
    <row r="65" spans="1:18" ht="46" customHeight="1">
      <c r="A65" s="22">
        <v>61</v>
      </c>
      <c r="B65" s="22" t="s">
        <v>20</v>
      </c>
      <c r="C65" s="22" t="s">
        <v>100</v>
      </c>
      <c r="D65" s="23">
        <v>3</v>
      </c>
      <c r="E65" s="22" t="s">
        <v>101</v>
      </c>
      <c r="F65" s="22" t="s">
        <v>60</v>
      </c>
      <c r="G65" s="32" t="s">
        <v>264</v>
      </c>
      <c r="H65" s="32" t="s">
        <v>149</v>
      </c>
      <c r="I65" s="33">
        <v>3</v>
      </c>
      <c r="J65" s="32" t="s">
        <v>265</v>
      </c>
      <c r="K65" s="32" t="s">
        <v>266</v>
      </c>
      <c r="L65" s="32" t="s">
        <v>152</v>
      </c>
      <c r="M65" s="32" t="s">
        <v>267</v>
      </c>
      <c r="N65" s="32" t="s">
        <v>154</v>
      </c>
      <c r="O65" s="32" t="s">
        <v>155</v>
      </c>
      <c r="P65" s="24">
        <v>72.255398324992285</v>
      </c>
      <c r="Q65" s="25">
        <v>0</v>
      </c>
      <c r="R65" s="32" t="s">
        <v>110</v>
      </c>
    </row>
    <row r="66" spans="1:18" ht="46" customHeight="1">
      <c r="A66" s="22">
        <v>62</v>
      </c>
      <c r="B66" s="22" t="s">
        <v>20</v>
      </c>
      <c r="C66" s="22" t="s">
        <v>100</v>
      </c>
      <c r="D66" s="23">
        <v>3</v>
      </c>
      <c r="E66" s="22" t="s">
        <v>111</v>
      </c>
      <c r="F66" s="22" t="s">
        <v>161</v>
      </c>
      <c r="G66" s="32" t="s">
        <v>268</v>
      </c>
      <c r="H66" s="32" t="s">
        <v>127</v>
      </c>
      <c r="I66" s="33">
        <v>1</v>
      </c>
      <c r="J66" s="32" t="s">
        <v>192</v>
      </c>
      <c r="K66" s="32" t="s">
        <v>269</v>
      </c>
      <c r="L66" s="32" t="s">
        <v>152</v>
      </c>
      <c r="M66" s="32" t="s">
        <v>270</v>
      </c>
      <c r="N66" s="32" t="s">
        <v>203</v>
      </c>
      <c r="O66" s="32" t="s">
        <v>195</v>
      </c>
      <c r="P66" s="24">
        <v>83.5</v>
      </c>
      <c r="Q66" s="25">
        <v>1300</v>
      </c>
      <c r="R66" s="32" t="s">
        <v>110</v>
      </c>
    </row>
    <row r="67" spans="1:18" ht="46" customHeight="1">
      <c r="A67" s="22">
        <v>63</v>
      </c>
      <c r="B67" s="22" t="s">
        <v>20</v>
      </c>
      <c r="C67" s="22" t="s">
        <v>100</v>
      </c>
      <c r="D67" s="23">
        <v>3</v>
      </c>
      <c r="E67" s="22" t="s">
        <v>101</v>
      </c>
      <c r="F67" s="22" t="s">
        <v>60</v>
      </c>
      <c r="G67" s="32" t="s">
        <v>271</v>
      </c>
      <c r="H67" s="32" t="s">
        <v>149</v>
      </c>
      <c r="I67" s="33">
        <v>4</v>
      </c>
      <c r="J67" s="32" t="s">
        <v>272</v>
      </c>
      <c r="K67" s="32" t="s">
        <v>273</v>
      </c>
      <c r="L67" s="32" t="s">
        <v>116</v>
      </c>
      <c r="M67" s="32" t="s">
        <v>274</v>
      </c>
      <c r="N67" s="32" t="s">
        <v>154</v>
      </c>
      <c r="O67" s="32" t="s">
        <v>155</v>
      </c>
      <c r="P67" s="24">
        <v>73.835273425396053</v>
      </c>
      <c r="Q67" s="25">
        <v>0</v>
      </c>
      <c r="R67" s="32" t="s">
        <v>110</v>
      </c>
    </row>
    <row r="68" spans="1:18" ht="46" customHeight="1">
      <c r="A68" s="22">
        <v>64</v>
      </c>
      <c r="B68" s="22" t="s">
        <v>20</v>
      </c>
      <c r="C68" s="22" t="s">
        <v>100</v>
      </c>
      <c r="D68" s="23">
        <v>3</v>
      </c>
      <c r="E68" s="22" t="s">
        <v>275</v>
      </c>
      <c r="F68" s="22" t="s">
        <v>276</v>
      </c>
      <c r="G68" s="32" t="s">
        <v>277</v>
      </c>
      <c r="H68" s="32" t="s">
        <v>127</v>
      </c>
      <c r="I68" s="33">
        <v>5</v>
      </c>
      <c r="J68" s="32" t="s">
        <v>278</v>
      </c>
      <c r="K68" s="32" t="s">
        <v>279</v>
      </c>
      <c r="L68" s="32" t="s">
        <v>106</v>
      </c>
      <c r="M68" s="32" t="s">
        <v>280</v>
      </c>
      <c r="N68" s="32" t="s">
        <v>108</v>
      </c>
      <c r="O68" s="32" t="s">
        <v>109</v>
      </c>
      <c r="P68" s="24">
        <v>95.585273425396053</v>
      </c>
      <c r="Q68" s="25">
        <v>4800</v>
      </c>
      <c r="R68" s="32" t="s">
        <v>110</v>
      </c>
    </row>
    <row r="69" spans="1:18" ht="46" customHeight="1">
      <c r="A69" s="22">
        <v>65</v>
      </c>
      <c r="B69" s="22" t="s">
        <v>20</v>
      </c>
      <c r="C69" s="22" t="s">
        <v>100</v>
      </c>
      <c r="D69" s="23">
        <v>3</v>
      </c>
      <c r="E69" s="22" t="s">
        <v>101</v>
      </c>
      <c r="F69" s="22" t="s">
        <v>60</v>
      </c>
      <c r="G69" s="32" t="s">
        <v>281</v>
      </c>
      <c r="H69" s="32" t="s">
        <v>149</v>
      </c>
      <c r="I69" s="33">
        <v>1</v>
      </c>
      <c r="J69" s="32" t="s">
        <v>192</v>
      </c>
      <c r="K69" s="32" t="s">
        <v>193</v>
      </c>
      <c r="L69" s="32" t="s">
        <v>106</v>
      </c>
      <c r="M69" s="32" t="s">
        <v>194</v>
      </c>
      <c r="N69" s="32" t="s">
        <v>154</v>
      </c>
      <c r="O69" s="32" t="s">
        <v>195</v>
      </c>
      <c r="P69" s="24">
        <v>81.835273425396053</v>
      </c>
      <c r="Q69" s="25">
        <v>300</v>
      </c>
      <c r="R69" s="32" t="s">
        <v>110</v>
      </c>
    </row>
    <row r="70" spans="1:18" ht="46" customHeight="1">
      <c r="A70" s="22">
        <v>66</v>
      </c>
      <c r="B70" s="22" t="s">
        <v>20</v>
      </c>
      <c r="C70" s="22" t="s">
        <v>100</v>
      </c>
      <c r="D70" s="23">
        <v>3</v>
      </c>
      <c r="E70" s="22" t="s">
        <v>101</v>
      </c>
      <c r="F70" s="22" t="s">
        <v>60</v>
      </c>
      <c r="G70" s="32" t="s">
        <v>282</v>
      </c>
      <c r="H70" s="32" t="s">
        <v>149</v>
      </c>
      <c r="I70" s="33">
        <v>4</v>
      </c>
      <c r="J70" s="32" t="s">
        <v>272</v>
      </c>
      <c r="K70" s="32" t="s">
        <v>283</v>
      </c>
      <c r="L70" s="32" t="s">
        <v>116</v>
      </c>
      <c r="M70" s="32" t="s">
        <v>284</v>
      </c>
      <c r="N70" s="32" t="s">
        <v>154</v>
      </c>
      <c r="O70" s="32" t="s">
        <v>155</v>
      </c>
      <c r="P70" s="24">
        <v>74.9328293081916</v>
      </c>
      <c r="Q70" s="25">
        <v>0</v>
      </c>
      <c r="R70" s="32" t="s">
        <v>110</v>
      </c>
    </row>
    <row r="71" spans="1:18" ht="46" customHeight="1">
      <c r="A71" s="22">
        <v>67</v>
      </c>
      <c r="B71" s="22" t="s">
        <v>20</v>
      </c>
      <c r="C71" s="22" t="s">
        <v>100</v>
      </c>
      <c r="D71" s="23">
        <v>3</v>
      </c>
      <c r="E71" s="22" t="s">
        <v>275</v>
      </c>
      <c r="F71" s="22" t="s">
        <v>67</v>
      </c>
      <c r="G71" s="32" t="s">
        <v>285</v>
      </c>
      <c r="H71" s="32" t="s">
        <v>103</v>
      </c>
      <c r="I71" s="33">
        <v>5</v>
      </c>
      <c r="J71" s="32" t="s">
        <v>286</v>
      </c>
      <c r="K71" s="32" t="s">
        <v>287</v>
      </c>
      <c r="L71" s="32" t="s">
        <v>106</v>
      </c>
      <c r="M71" s="32" t="s">
        <v>288</v>
      </c>
      <c r="N71" s="32" t="s">
        <v>170</v>
      </c>
      <c r="O71" s="32" t="s">
        <v>125</v>
      </c>
      <c r="P71" s="24">
        <v>93</v>
      </c>
      <c r="Q71" s="25">
        <v>5900</v>
      </c>
      <c r="R71" s="32" t="s">
        <v>110</v>
      </c>
    </row>
    <row r="72" spans="1:18" ht="46" customHeight="1">
      <c r="A72" s="22">
        <v>68</v>
      </c>
      <c r="B72" s="22" t="s">
        <v>20</v>
      </c>
      <c r="C72" s="22" t="s">
        <v>100</v>
      </c>
      <c r="D72" s="23">
        <v>4</v>
      </c>
      <c r="E72" s="22" t="s">
        <v>101</v>
      </c>
      <c r="F72" s="22" t="s">
        <v>60</v>
      </c>
      <c r="G72" s="32" t="s">
        <v>289</v>
      </c>
      <c r="H72" s="32" t="s">
        <v>149</v>
      </c>
      <c r="I72" s="33">
        <v>4</v>
      </c>
      <c r="J72" s="32" t="s">
        <v>272</v>
      </c>
      <c r="K72" s="32" t="s">
        <v>290</v>
      </c>
      <c r="L72" s="32" t="s">
        <v>106</v>
      </c>
      <c r="M72" s="32" t="s">
        <v>291</v>
      </c>
      <c r="N72" s="32" t="s">
        <v>154</v>
      </c>
      <c r="O72" s="32" t="s">
        <v>155</v>
      </c>
      <c r="P72" s="24">
        <v>76.835273425396053</v>
      </c>
      <c r="Q72" s="25">
        <v>0</v>
      </c>
      <c r="R72" s="32" t="s">
        <v>110</v>
      </c>
    </row>
    <row r="73" spans="1:18" ht="46" customHeight="1">
      <c r="A73" s="22">
        <v>69</v>
      </c>
      <c r="B73" s="22" t="s">
        <v>20</v>
      </c>
      <c r="C73" s="22" t="s">
        <v>100</v>
      </c>
      <c r="D73" s="23">
        <v>4</v>
      </c>
      <c r="E73" s="22" t="s">
        <v>101</v>
      </c>
      <c r="F73" s="22" t="s">
        <v>60</v>
      </c>
      <c r="G73" s="32" t="s">
        <v>292</v>
      </c>
      <c r="H73" s="32" t="s">
        <v>149</v>
      </c>
      <c r="I73" s="33">
        <v>2</v>
      </c>
      <c r="J73" s="32" t="s">
        <v>177</v>
      </c>
      <c r="K73" s="32" t="s">
        <v>293</v>
      </c>
      <c r="L73" s="32" t="s">
        <v>152</v>
      </c>
      <c r="M73" s="32" t="s">
        <v>294</v>
      </c>
      <c r="N73" s="32" t="s">
        <v>154</v>
      </c>
      <c r="O73" s="32" t="s">
        <v>155</v>
      </c>
      <c r="P73" s="24">
        <v>73.716129184412011</v>
      </c>
      <c r="Q73" s="25">
        <v>0</v>
      </c>
      <c r="R73" s="32" t="s">
        <v>110</v>
      </c>
    </row>
    <row r="74" spans="1:18" ht="46" customHeight="1">
      <c r="A74" s="22">
        <v>70</v>
      </c>
      <c r="B74" s="22" t="s">
        <v>20</v>
      </c>
      <c r="C74" s="22" t="s">
        <v>100</v>
      </c>
      <c r="D74" s="23">
        <v>4</v>
      </c>
      <c r="E74" s="22" t="s">
        <v>101</v>
      </c>
      <c r="F74" s="22" t="s">
        <v>60</v>
      </c>
      <c r="G74" s="32" t="s">
        <v>295</v>
      </c>
      <c r="H74" s="32" t="s">
        <v>149</v>
      </c>
      <c r="I74" s="33">
        <v>5</v>
      </c>
      <c r="J74" s="32" t="s">
        <v>296</v>
      </c>
      <c r="K74" s="32" t="s">
        <v>297</v>
      </c>
      <c r="L74" s="32" t="s">
        <v>116</v>
      </c>
      <c r="M74" s="32" t="s">
        <v>298</v>
      </c>
      <c r="N74" s="32" t="s">
        <v>154</v>
      </c>
      <c r="O74" s="32" t="s">
        <v>155</v>
      </c>
      <c r="P74" s="24">
        <v>73.835273425396053</v>
      </c>
      <c r="Q74" s="25">
        <v>0</v>
      </c>
      <c r="R74" s="32" t="s">
        <v>110</v>
      </c>
    </row>
    <row r="75" spans="1:18" ht="46" customHeight="1">
      <c r="A75" s="22">
        <v>71</v>
      </c>
      <c r="B75" s="22" t="s">
        <v>20</v>
      </c>
      <c r="C75" s="22" t="s">
        <v>100</v>
      </c>
      <c r="D75" s="23">
        <v>4</v>
      </c>
      <c r="E75" s="22" t="s">
        <v>101</v>
      </c>
      <c r="F75" s="22" t="s">
        <v>60</v>
      </c>
      <c r="G75" s="32" t="s">
        <v>299</v>
      </c>
      <c r="H75" s="32" t="s">
        <v>127</v>
      </c>
      <c r="I75" s="33">
        <v>4</v>
      </c>
      <c r="J75" s="32" t="s">
        <v>104</v>
      </c>
      <c r="K75" s="32" t="s">
        <v>300</v>
      </c>
      <c r="L75" s="32" t="s">
        <v>106</v>
      </c>
      <c r="M75" s="32" t="s">
        <v>301</v>
      </c>
      <c r="N75" s="32" t="s">
        <v>170</v>
      </c>
      <c r="O75" s="32" t="s">
        <v>109</v>
      </c>
      <c r="P75" s="24">
        <v>94.25</v>
      </c>
      <c r="Q75" s="25">
        <v>2500</v>
      </c>
      <c r="R75" s="32" t="s">
        <v>110</v>
      </c>
    </row>
    <row r="76" spans="1:18" ht="46" customHeight="1">
      <c r="A76" s="22">
        <v>72</v>
      </c>
      <c r="B76" s="22" t="s">
        <v>20</v>
      </c>
      <c r="C76" s="22" t="s">
        <v>100</v>
      </c>
      <c r="D76" s="23">
        <v>4</v>
      </c>
      <c r="E76" s="22" t="s">
        <v>165</v>
      </c>
      <c r="F76" s="22" t="s">
        <v>60</v>
      </c>
      <c r="G76" s="32" t="s">
        <v>302</v>
      </c>
      <c r="H76" s="32" t="s">
        <v>103</v>
      </c>
      <c r="I76" s="33">
        <v>16</v>
      </c>
      <c r="J76" s="32" t="s">
        <v>303</v>
      </c>
      <c r="K76" s="32" t="s">
        <v>304</v>
      </c>
      <c r="L76" s="32" t="s">
        <v>106</v>
      </c>
      <c r="M76" s="32" t="s">
        <v>305</v>
      </c>
      <c r="N76" s="32" t="s">
        <v>203</v>
      </c>
      <c r="O76" s="32" t="s">
        <v>195</v>
      </c>
      <c r="P76" s="24">
        <v>87.75</v>
      </c>
      <c r="Q76" s="25">
        <v>800</v>
      </c>
      <c r="R76" s="32" t="s">
        <v>110</v>
      </c>
    </row>
    <row r="77" spans="1:18" ht="46" customHeight="1">
      <c r="A77" s="22">
        <v>73</v>
      </c>
      <c r="B77" s="22" t="s">
        <v>20</v>
      </c>
      <c r="C77" s="22" t="s">
        <v>100</v>
      </c>
      <c r="D77" s="23">
        <v>4</v>
      </c>
      <c r="E77" s="22" t="s">
        <v>101</v>
      </c>
      <c r="F77" s="22" t="s">
        <v>60</v>
      </c>
      <c r="G77" s="32" t="s">
        <v>306</v>
      </c>
      <c r="H77" s="32" t="s">
        <v>149</v>
      </c>
      <c r="I77" s="33">
        <v>3</v>
      </c>
      <c r="J77" s="32" t="s">
        <v>265</v>
      </c>
      <c r="K77" s="32" t="s">
        <v>307</v>
      </c>
      <c r="L77" s="32" t="s">
        <v>152</v>
      </c>
      <c r="M77" s="32" t="s">
        <v>308</v>
      </c>
      <c r="N77" s="32" t="s">
        <v>154</v>
      </c>
      <c r="O77" s="32" t="s">
        <v>155</v>
      </c>
      <c r="P77" s="24">
        <v>73.716129184412011</v>
      </c>
      <c r="Q77" s="25">
        <v>0</v>
      </c>
      <c r="R77" s="32" t="s">
        <v>110</v>
      </c>
    </row>
    <row r="78" spans="1:18" ht="46" customHeight="1">
      <c r="A78" s="22">
        <v>74</v>
      </c>
      <c r="B78" s="22" t="s">
        <v>20</v>
      </c>
      <c r="C78" s="22" t="s">
        <v>100</v>
      </c>
      <c r="D78" s="23">
        <v>4</v>
      </c>
      <c r="E78" s="22" t="s">
        <v>111</v>
      </c>
      <c r="F78" s="22" t="s">
        <v>69</v>
      </c>
      <c r="G78" s="32" t="s">
        <v>309</v>
      </c>
      <c r="H78" s="32" t="s">
        <v>103</v>
      </c>
      <c r="I78" s="33">
        <v>14</v>
      </c>
      <c r="J78" s="32" t="s">
        <v>310</v>
      </c>
      <c r="K78" s="32" t="s">
        <v>311</v>
      </c>
      <c r="L78" s="32" t="s">
        <v>106</v>
      </c>
      <c r="M78" s="32" t="s">
        <v>312</v>
      </c>
      <c r="N78" s="32" t="s">
        <v>143</v>
      </c>
      <c r="O78" s="32" t="s">
        <v>125</v>
      </c>
      <c r="P78" s="24">
        <v>91.204499800427357</v>
      </c>
      <c r="Q78" s="25">
        <v>7200</v>
      </c>
      <c r="R78" s="32" t="s">
        <v>110</v>
      </c>
    </row>
    <row r="79" spans="1:18" ht="46" customHeight="1">
      <c r="A79" s="22">
        <v>75</v>
      </c>
      <c r="B79" s="22" t="s">
        <v>20</v>
      </c>
      <c r="C79" s="22" t="s">
        <v>100</v>
      </c>
      <c r="D79" s="23">
        <v>4</v>
      </c>
      <c r="E79" s="22" t="s">
        <v>215</v>
      </c>
      <c r="F79" s="22" t="s">
        <v>60</v>
      </c>
      <c r="G79" s="32" t="s">
        <v>313</v>
      </c>
      <c r="H79" s="32" t="s">
        <v>149</v>
      </c>
      <c r="I79" s="33">
        <v>1</v>
      </c>
      <c r="J79" s="32" t="s">
        <v>150</v>
      </c>
      <c r="K79" s="32" t="s">
        <v>314</v>
      </c>
      <c r="L79" s="32" t="s">
        <v>152</v>
      </c>
      <c r="M79" s="32" t="s">
        <v>315</v>
      </c>
      <c r="N79" s="32" t="s">
        <v>154</v>
      </c>
      <c r="O79" s="32" t="s">
        <v>155</v>
      </c>
      <c r="P79" s="24">
        <v>66.25</v>
      </c>
      <c r="Q79" s="25">
        <v>0</v>
      </c>
      <c r="R79" s="32" t="s">
        <v>110</v>
      </c>
    </row>
    <row r="80" spans="1:18" ht="46" customHeight="1">
      <c r="A80" s="22">
        <v>76</v>
      </c>
      <c r="B80" s="22" t="s">
        <v>20</v>
      </c>
      <c r="C80" s="22" t="s">
        <v>100</v>
      </c>
      <c r="D80" s="23">
        <v>4</v>
      </c>
      <c r="E80" s="22" t="s">
        <v>275</v>
      </c>
      <c r="F80" s="22" t="s">
        <v>71</v>
      </c>
      <c r="G80" s="32" t="s">
        <v>316</v>
      </c>
      <c r="H80" s="32" t="s">
        <v>103</v>
      </c>
      <c r="I80" s="33">
        <v>12</v>
      </c>
      <c r="J80" s="32" t="s">
        <v>317</v>
      </c>
      <c r="K80" s="32" t="s">
        <v>318</v>
      </c>
      <c r="L80" s="32" t="s">
        <v>106</v>
      </c>
      <c r="M80" s="32" t="s">
        <v>319</v>
      </c>
      <c r="N80" s="32" t="s">
        <v>170</v>
      </c>
      <c r="O80" s="32" t="s">
        <v>125</v>
      </c>
      <c r="P80" s="24">
        <v>95</v>
      </c>
      <c r="Q80" s="25">
        <v>5900</v>
      </c>
      <c r="R80" s="32" t="s">
        <v>110</v>
      </c>
    </row>
    <row r="81" spans="1:18" ht="46" customHeight="1">
      <c r="A81" s="22">
        <v>77</v>
      </c>
      <c r="B81" s="22" t="s">
        <v>20</v>
      </c>
      <c r="C81" s="22" t="s">
        <v>100</v>
      </c>
      <c r="D81" s="23">
        <v>5</v>
      </c>
      <c r="E81" s="22" t="s">
        <v>101</v>
      </c>
      <c r="F81" s="22" t="s">
        <v>60</v>
      </c>
      <c r="G81" s="32" t="s">
        <v>320</v>
      </c>
      <c r="H81" s="32" t="s">
        <v>127</v>
      </c>
      <c r="I81" s="33">
        <v>14</v>
      </c>
      <c r="J81" s="32" t="s">
        <v>321</v>
      </c>
      <c r="K81" s="32" t="s">
        <v>322</v>
      </c>
      <c r="L81" s="32" t="s">
        <v>106</v>
      </c>
      <c r="M81" s="32" t="s">
        <v>323</v>
      </c>
      <c r="N81" s="32" t="s">
        <v>170</v>
      </c>
      <c r="O81" s="32" t="s">
        <v>109</v>
      </c>
      <c r="P81" s="24">
        <v>94.25</v>
      </c>
      <c r="Q81" s="25">
        <v>2500</v>
      </c>
      <c r="R81" s="32" t="s">
        <v>110</v>
      </c>
    </row>
    <row r="82" spans="1:18" ht="46" customHeight="1">
      <c r="A82" s="22">
        <v>78</v>
      </c>
      <c r="B82" s="22" t="s">
        <v>20</v>
      </c>
      <c r="C82" s="22" t="s">
        <v>100</v>
      </c>
      <c r="D82" s="23">
        <v>5</v>
      </c>
      <c r="E82" s="22" t="s">
        <v>119</v>
      </c>
      <c r="F82" s="22" t="s">
        <v>171</v>
      </c>
      <c r="G82" s="32" t="s">
        <v>324</v>
      </c>
      <c r="H82" s="32" t="s">
        <v>149</v>
      </c>
      <c r="I82" s="33">
        <v>1</v>
      </c>
      <c r="J82" s="32" t="s">
        <v>150</v>
      </c>
      <c r="K82" s="32" t="s">
        <v>213</v>
      </c>
      <c r="L82" s="32" t="s">
        <v>152</v>
      </c>
      <c r="M82" s="32" t="s">
        <v>214</v>
      </c>
      <c r="N82" s="32" t="s">
        <v>154</v>
      </c>
      <c r="O82" s="32" t="s">
        <v>155</v>
      </c>
      <c r="P82" s="24">
        <v>73.75</v>
      </c>
      <c r="Q82" s="25">
        <v>0</v>
      </c>
      <c r="R82" s="32" t="s">
        <v>110</v>
      </c>
    </row>
    <row r="83" spans="1:18" ht="46" customHeight="1">
      <c r="A83" s="22">
        <v>79</v>
      </c>
      <c r="B83" s="22" t="s">
        <v>20</v>
      </c>
      <c r="C83" s="22" t="s">
        <v>100</v>
      </c>
      <c r="D83" s="23">
        <v>5</v>
      </c>
      <c r="E83" s="22" t="s">
        <v>101</v>
      </c>
      <c r="F83" s="22" t="s">
        <v>60</v>
      </c>
      <c r="G83" s="32" t="s">
        <v>325</v>
      </c>
      <c r="H83" s="32" t="s">
        <v>149</v>
      </c>
      <c r="I83" s="33">
        <v>3</v>
      </c>
      <c r="J83" s="32" t="s">
        <v>265</v>
      </c>
      <c r="K83" s="32" t="s">
        <v>326</v>
      </c>
      <c r="L83" s="32" t="s">
        <v>116</v>
      </c>
      <c r="M83" s="32" t="s">
        <v>327</v>
      </c>
      <c r="N83" s="32" t="s">
        <v>154</v>
      </c>
      <c r="O83" s="32" t="s">
        <v>155</v>
      </c>
      <c r="P83" s="24">
        <v>72.602031083007802</v>
      </c>
      <c r="Q83" s="25">
        <v>0</v>
      </c>
      <c r="R83" s="32" t="s">
        <v>110</v>
      </c>
    </row>
    <row r="84" spans="1:18" ht="46" customHeight="1">
      <c r="A84" s="22">
        <v>80</v>
      </c>
      <c r="B84" s="22" t="s">
        <v>20</v>
      </c>
      <c r="C84" s="22" t="s">
        <v>100</v>
      </c>
      <c r="D84" s="23">
        <v>5</v>
      </c>
      <c r="E84" s="22" t="s">
        <v>255</v>
      </c>
      <c r="F84" s="22" t="s">
        <v>60</v>
      </c>
      <c r="G84" s="32" t="s">
        <v>328</v>
      </c>
      <c r="H84" s="32" t="s">
        <v>103</v>
      </c>
      <c r="I84" s="33">
        <v>12</v>
      </c>
      <c r="J84" s="32" t="s">
        <v>329</v>
      </c>
      <c r="K84" s="32" t="s">
        <v>330</v>
      </c>
      <c r="L84" s="32" t="s">
        <v>106</v>
      </c>
      <c r="M84" s="32" t="s">
        <v>331</v>
      </c>
      <c r="N84" s="32" t="s">
        <v>108</v>
      </c>
      <c r="O84" s="32" t="s">
        <v>109</v>
      </c>
      <c r="P84" s="24">
        <v>95</v>
      </c>
      <c r="Q84" s="25">
        <v>3300</v>
      </c>
      <c r="R84" s="32" t="s">
        <v>110</v>
      </c>
    </row>
    <row r="85" spans="1:18" ht="46" customHeight="1">
      <c r="A85" s="22">
        <v>81</v>
      </c>
      <c r="B85" s="22" t="s">
        <v>20</v>
      </c>
      <c r="C85" s="22" t="s">
        <v>100</v>
      </c>
      <c r="D85" s="23">
        <v>5</v>
      </c>
      <c r="E85" s="22" t="s">
        <v>215</v>
      </c>
      <c r="F85" s="22" t="s">
        <v>60</v>
      </c>
      <c r="G85" s="32" t="s">
        <v>332</v>
      </c>
      <c r="H85" s="32" t="s">
        <v>103</v>
      </c>
      <c r="I85" s="33">
        <v>14</v>
      </c>
      <c r="J85" s="32" t="s">
        <v>333</v>
      </c>
      <c r="K85" s="32" t="s">
        <v>334</v>
      </c>
      <c r="L85" s="32" t="s">
        <v>106</v>
      </c>
      <c r="M85" s="32" t="s">
        <v>335</v>
      </c>
      <c r="N85" s="32" t="s">
        <v>143</v>
      </c>
      <c r="O85" s="32" t="s">
        <v>109</v>
      </c>
      <c r="P85" s="24">
        <v>91.216129184412011</v>
      </c>
      <c r="Q85" s="25">
        <v>3300</v>
      </c>
      <c r="R85" s="32" t="s">
        <v>110</v>
      </c>
    </row>
    <row r="86" spans="1:18" ht="46" customHeight="1">
      <c r="A86" s="22">
        <v>82</v>
      </c>
      <c r="B86" s="22" t="s">
        <v>20</v>
      </c>
      <c r="C86" s="22" t="s">
        <v>100</v>
      </c>
      <c r="D86" s="23">
        <v>5</v>
      </c>
      <c r="E86" s="22" t="s">
        <v>101</v>
      </c>
      <c r="F86" s="22" t="s">
        <v>60</v>
      </c>
      <c r="G86" s="32" t="s">
        <v>336</v>
      </c>
      <c r="H86" s="32" t="s">
        <v>149</v>
      </c>
      <c r="I86" s="33">
        <v>3</v>
      </c>
      <c r="J86" s="32" t="s">
        <v>265</v>
      </c>
      <c r="K86" s="32" t="s">
        <v>337</v>
      </c>
      <c r="L86" s="32" t="s">
        <v>106</v>
      </c>
      <c r="M86" s="32" t="s">
        <v>338</v>
      </c>
      <c r="N86" s="32" t="s">
        <v>154</v>
      </c>
      <c r="O86" s="32" t="s">
        <v>155</v>
      </c>
      <c r="P86" s="24">
        <v>75.5</v>
      </c>
      <c r="Q86" s="25">
        <v>0</v>
      </c>
      <c r="R86" s="32" t="s">
        <v>110</v>
      </c>
    </row>
    <row r="87" spans="1:18" ht="46" customHeight="1">
      <c r="A87" s="22">
        <v>83</v>
      </c>
      <c r="B87" s="22" t="s">
        <v>20</v>
      </c>
      <c r="C87" s="22" t="s">
        <v>100</v>
      </c>
      <c r="D87" s="23">
        <v>5</v>
      </c>
      <c r="E87" s="22" t="s">
        <v>111</v>
      </c>
      <c r="F87" s="22" t="s">
        <v>60</v>
      </c>
      <c r="G87" s="32" t="s">
        <v>339</v>
      </c>
      <c r="H87" s="32" t="s">
        <v>103</v>
      </c>
      <c r="I87" s="33">
        <v>11</v>
      </c>
      <c r="J87" s="32" t="s">
        <v>205</v>
      </c>
      <c r="K87" s="32" t="s">
        <v>340</v>
      </c>
      <c r="L87" s="32" t="s">
        <v>106</v>
      </c>
      <c r="M87" s="32" t="s">
        <v>341</v>
      </c>
      <c r="N87" s="32" t="s">
        <v>108</v>
      </c>
      <c r="O87" s="32" t="s">
        <v>109</v>
      </c>
      <c r="P87" s="24">
        <v>95</v>
      </c>
      <c r="Q87" s="25">
        <v>3300</v>
      </c>
      <c r="R87" s="32" t="s">
        <v>110</v>
      </c>
    </row>
    <row r="88" spans="1:18" ht="46" customHeight="1">
      <c r="A88" s="22">
        <v>84</v>
      </c>
      <c r="B88" s="22" t="s">
        <v>20</v>
      </c>
      <c r="C88" s="22" t="s">
        <v>100</v>
      </c>
      <c r="D88" s="23">
        <v>5</v>
      </c>
      <c r="E88" s="22" t="s">
        <v>101</v>
      </c>
      <c r="F88" s="22" t="s">
        <v>60</v>
      </c>
      <c r="G88" s="32" t="s">
        <v>342</v>
      </c>
      <c r="H88" s="32" t="s">
        <v>103</v>
      </c>
      <c r="I88" s="33">
        <v>12</v>
      </c>
      <c r="J88" s="32" t="s">
        <v>343</v>
      </c>
      <c r="K88" s="32" t="s">
        <v>344</v>
      </c>
      <c r="L88" s="32" t="s">
        <v>106</v>
      </c>
      <c r="M88" s="32" t="s">
        <v>345</v>
      </c>
      <c r="N88" s="32" t="s">
        <v>170</v>
      </c>
      <c r="O88" s="32" t="s">
        <v>109</v>
      </c>
      <c r="P88" s="24">
        <v>88.75</v>
      </c>
      <c r="Q88" s="25">
        <v>2500</v>
      </c>
      <c r="R88" s="32" t="s">
        <v>110</v>
      </c>
    </row>
    <row r="89" spans="1:18" ht="46" customHeight="1">
      <c r="A89" s="22">
        <v>85</v>
      </c>
      <c r="B89" s="22" t="s">
        <v>20</v>
      </c>
      <c r="C89" s="22" t="s">
        <v>100</v>
      </c>
      <c r="D89" s="23">
        <v>6</v>
      </c>
      <c r="E89" s="22" t="s">
        <v>101</v>
      </c>
      <c r="F89" s="22" t="s">
        <v>60</v>
      </c>
      <c r="G89" s="32" t="s">
        <v>346</v>
      </c>
      <c r="H89" s="32" t="s">
        <v>127</v>
      </c>
      <c r="I89" s="33">
        <v>7</v>
      </c>
      <c r="J89" s="32" t="s">
        <v>347</v>
      </c>
      <c r="K89" s="32" t="s">
        <v>348</v>
      </c>
      <c r="L89" s="32" t="s">
        <v>106</v>
      </c>
      <c r="M89" s="32" t="s">
        <v>349</v>
      </c>
      <c r="N89" s="32" t="s">
        <v>170</v>
      </c>
      <c r="O89" s="32" t="s">
        <v>109</v>
      </c>
      <c r="P89" s="24">
        <v>90.585273425396053</v>
      </c>
      <c r="Q89" s="25">
        <v>2500</v>
      </c>
      <c r="R89" s="32" t="s">
        <v>110</v>
      </c>
    </row>
    <row r="90" spans="1:18" ht="46" customHeight="1">
      <c r="A90" s="22">
        <v>86</v>
      </c>
      <c r="B90" s="22" t="s">
        <v>20</v>
      </c>
      <c r="C90" s="22" t="s">
        <v>100</v>
      </c>
      <c r="D90" s="23">
        <v>6</v>
      </c>
      <c r="E90" s="22" t="s">
        <v>255</v>
      </c>
      <c r="F90" s="22" t="s">
        <v>60</v>
      </c>
      <c r="G90" s="32" t="s">
        <v>350</v>
      </c>
      <c r="H90" s="32" t="s">
        <v>103</v>
      </c>
      <c r="I90" s="33">
        <v>7</v>
      </c>
      <c r="J90" s="32" t="s">
        <v>351</v>
      </c>
      <c r="K90" s="32" t="s">
        <v>352</v>
      </c>
      <c r="L90" s="32" t="s">
        <v>106</v>
      </c>
      <c r="M90" s="32" t="s">
        <v>353</v>
      </c>
      <c r="N90" s="32" t="s">
        <v>108</v>
      </c>
      <c r="O90" s="32" t="s">
        <v>109</v>
      </c>
      <c r="P90" s="24">
        <v>91.25</v>
      </c>
      <c r="Q90" s="25">
        <v>3300</v>
      </c>
      <c r="R90" s="32" t="s">
        <v>110</v>
      </c>
    </row>
    <row r="91" spans="1:18" ht="46" customHeight="1">
      <c r="A91" s="22">
        <v>87</v>
      </c>
      <c r="B91" s="22" t="s">
        <v>20</v>
      </c>
      <c r="C91" s="22" t="s">
        <v>100</v>
      </c>
      <c r="D91" s="23">
        <v>6</v>
      </c>
      <c r="E91" s="22" t="s">
        <v>101</v>
      </c>
      <c r="F91" s="22" t="s">
        <v>60</v>
      </c>
      <c r="G91" s="32" t="s">
        <v>354</v>
      </c>
      <c r="H91" s="32" t="s">
        <v>149</v>
      </c>
      <c r="I91" s="33">
        <v>5</v>
      </c>
      <c r="J91" s="32" t="s">
        <v>296</v>
      </c>
      <c r="K91" s="32" t="s">
        <v>355</v>
      </c>
      <c r="L91" s="32" t="s">
        <v>116</v>
      </c>
      <c r="M91" s="32" t="s">
        <v>356</v>
      </c>
      <c r="N91" s="32" t="s">
        <v>154</v>
      </c>
      <c r="O91" s="32" t="s">
        <v>155</v>
      </c>
      <c r="P91" s="24">
        <v>70.25</v>
      </c>
      <c r="Q91" s="25">
        <v>0</v>
      </c>
      <c r="R91" s="32" t="s">
        <v>110</v>
      </c>
    </row>
    <row r="92" spans="1:18" ht="46" customHeight="1">
      <c r="A92" s="22">
        <v>88</v>
      </c>
      <c r="B92" s="22" t="s">
        <v>20</v>
      </c>
      <c r="C92" s="22" t="s">
        <v>100</v>
      </c>
      <c r="D92" s="23">
        <v>6</v>
      </c>
      <c r="E92" s="22" t="s">
        <v>111</v>
      </c>
      <c r="F92" s="22" t="s">
        <v>60</v>
      </c>
      <c r="G92" s="32" t="s">
        <v>357</v>
      </c>
      <c r="H92" s="32" t="s">
        <v>113</v>
      </c>
      <c r="I92" s="33">
        <v>3</v>
      </c>
      <c r="J92" s="32" t="s">
        <v>358</v>
      </c>
      <c r="K92" s="32" t="s">
        <v>178</v>
      </c>
      <c r="L92" s="32" t="s">
        <v>152</v>
      </c>
      <c r="M92" s="32" t="s">
        <v>359</v>
      </c>
      <c r="N92" s="32" t="s">
        <v>203</v>
      </c>
      <c r="O92" s="32" t="s">
        <v>195</v>
      </c>
      <c r="P92" s="24">
        <v>84.966129184412011</v>
      </c>
      <c r="Q92" s="25">
        <v>800</v>
      </c>
      <c r="R92" s="32" t="s">
        <v>110</v>
      </c>
    </row>
    <row r="93" spans="1:18" ht="46" customHeight="1">
      <c r="A93" s="22">
        <v>89</v>
      </c>
      <c r="B93" s="22" t="s">
        <v>20</v>
      </c>
      <c r="C93" s="22" t="s">
        <v>100</v>
      </c>
      <c r="D93" s="23">
        <v>6</v>
      </c>
      <c r="E93" s="22" t="s">
        <v>119</v>
      </c>
      <c r="F93" s="22" t="s">
        <v>360</v>
      </c>
      <c r="G93" s="32" t="s">
        <v>361</v>
      </c>
      <c r="H93" s="32" t="s">
        <v>103</v>
      </c>
      <c r="I93" s="33">
        <v>8</v>
      </c>
      <c r="J93" s="32" t="s">
        <v>248</v>
      </c>
      <c r="K93" s="32" t="s">
        <v>362</v>
      </c>
      <c r="L93" s="32" t="s">
        <v>106</v>
      </c>
      <c r="M93" s="32" t="s">
        <v>363</v>
      </c>
      <c r="N93" s="32" t="s">
        <v>170</v>
      </c>
      <c r="O93" s="32" t="s">
        <v>125</v>
      </c>
      <c r="P93" s="24">
        <v>100</v>
      </c>
      <c r="Q93" s="25">
        <v>5900</v>
      </c>
      <c r="R93" s="32" t="s">
        <v>110</v>
      </c>
    </row>
    <row r="94" spans="1:18" ht="46" customHeight="1">
      <c r="A94" s="22">
        <v>90</v>
      </c>
      <c r="B94" s="22" t="s">
        <v>20</v>
      </c>
      <c r="C94" s="22" t="s">
        <v>100</v>
      </c>
      <c r="D94" s="23">
        <v>6</v>
      </c>
      <c r="E94" s="22" t="s">
        <v>101</v>
      </c>
      <c r="F94" s="22" t="s">
        <v>60</v>
      </c>
      <c r="G94" s="32" t="s">
        <v>364</v>
      </c>
      <c r="H94" s="32" t="s">
        <v>149</v>
      </c>
      <c r="I94" s="33">
        <v>4</v>
      </c>
      <c r="J94" s="32" t="s">
        <v>272</v>
      </c>
      <c r="K94" s="32" t="s">
        <v>365</v>
      </c>
      <c r="L94" s="32" t="s">
        <v>106</v>
      </c>
      <c r="M94" s="32" t="s">
        <v>366</v>
      </c>
      <c r="N94" s="32" t="s">
        <v>154</v>
      </c>
      <c r="O94" s="32" t="s">
        <v>155</v>
      </c>
      <c r="P94" s="24">
        <v>74.733323374078921</v>
      </c>
      <c r="Q94" s="25">
        <v>0</v>
      </c>
      <c r="R94" s="32" t="s">
        <v>110</v>
      </c>
    </row>
    <row r="95" spans="1:18" ht="46" customHeight="1">
      <c r="A95" s="22">
        <v>91</v>
      </c>
      <c r="B95" s="22" t="s">
        <v>20</v>
      </c>
      <c r="C95" s="22" t="s">
        <v>100</v>
      </c>
      <c r="D95" s="23">
        <v>7</v>
      </c>
      <c r="E95" s="22" t="s">
        <v>111</v>
      </c>
      <c r="F95" s="22" t="s">
        <v>60</v>
      </c>
      <c r="G95" s="32" t="s">
        <v>367</v>
      </c>
      <c r="H95" s="32" t="s">
        <v>149</v>
      </c>
      <c r="I95" s="33">
        <v>3</v>
      </c>
      <c r="J95" s="32" t="s">
        <v>265</v>
      </c>
      <c r="K95" s="32" t="s">
        <v>368</v>
      </c>
      <c r="L95" s="32" t="s">
        <v>116</v>
      </c>
      <c r="M95" s="32" t="s">
        <v>369</v>
      </c>
      <c r="N95" s="32" t="s">
        <v>154</v>
      </c>
      <c r="O95" s="32" t="s">
        <v>155</v>
      </c>
      <c r="P95" s="24">
        <v>73.835273425396053</v>
      </c>
      <c r="Q95" s="25">
        <v>0</v>
      </c>
      <c r="R95" s="32" t="s">
        <v>110</v>
      </c>
    </row>
    <row r="96" spans="1:18" ht="46" customHeight="1">
      <c r="A96" s="22">
        <v>92</v>
      </c>
      <c r="B96" s="22" t="s">
        <v>20</v>
      </c>
      <c r="C96" s="22" t="s">
        <v>100</v>
      </c>
      <c r="D96" s="23">
        <v>7</v>
      </c>
      <c r="E96" s="22" t="s">
        <v>111</v>
      </c>
      <c r="F96" s="22" t="s">
        <v>60</v>
      </c>
      <c r="G96" s="32" t="s">
        <v>370</v>
      </c>
      <c r="H96" s="32" t="s">
        <v>149</v>
      </c>
      <c r="I96" s="33">
        <v>3</v>
      </c>
      <c r="J96" s="32" t="s">
        <v>265</v>
      </c>
      <c r="K96" s="32" t="s">
        <v>371</v>
      </c>
      <c r="L96" s="32" t="s">
        <v>152</v>
      </c>
      <c r="M96" s="32" t="s">
        <v>372</v>
      </c>
      <c r="N96" s="32" t="s">
        <v>154</v>
      </c>
      <c r="O96" s="32" t="s">
        <v>155</v>
      </c>
      <c r="P96" s="24">
        <v>73.998742920880659</v>
      </c>
      <c r="Q96" s="25">
        <v>0</v>
      </c>
      <c r="R96" s="32" t="s">
        <v>110</v>
      </c>
    </row>
    <row r="97" spans="1:18" ht="46" customHeight="1">
      <c r="A97" s="22">
        <v>93</v>
      </c>
      <c r="B97" s="22" t="s">
        <v>20</v>
      </c>
      <c r="C97" s="22" t="s">
        <v>100</v>
      </c>
      <c r="D97" s="23">
        <v>7</v>
      </c>
      <c r="E97" s="22" t="s">
        <v>275</v>
      </c>
      <c r="F97" s="22" t="s">
        <v>67</v>
      </c>
      <c r="G97" s="32" t="s">
        <v>373</v>
      </c>
      <c r="H97" s="32" t="s">
        <v>127</v>
      </c>
      <c r="I97" s="33">
        <v>3</v>
      </c>
      <c r="J97" s="32" t="s">
        <v>374</v>
      </c>
      <c r="K97" s="32" t="s">
        <v>375</v>
      </c>
      <c r="L97" s="32" t="s">
        <v>106</v>
      </c>
      <c r="M97" s="32" t="s">
        <v>376</v>
      </c>
      <c r="N97" s="32" t="s">
        <v>170</v>
      </c>
      <c r="O97" s="32" t="s">
        <v>109</v>
      </c>
      <c r="P97" s="24">
        <v>96.25</v>
      </c>
      <c r="Q97" s="25">
        <v>3500</v>
      </c>
      <c r="R97" s="32" t="s">
        <v>110</v>
      </c>
    </row>
    <row r="98" spans="1:18" ht="46" customHeight="1">
      <c r="A98" s="22">
        <v>94</v>
      </c>
      <c r="B98" s="22" t="s">
        <v>20</v>
      </c>
      <c r="C98" s="22" t="s">
        <v>100</v>
      </c>
      <c r="D98" s="23">
        <v>8</v>
      </c>
      <c r="E98" s="22" t="s">
        <v>111</v>
      </c>
      <c r="F98" s="22" t="s">
        <v>60</v>
      </c>
      <c r="G98" s="32" t="s">
        <v>377</v>
      </c>
      <c r="H98" s="32" t="s">
        <v>103</v>
      </c>
      <c r="I98" s="33">
        <v>9</v>
      </c>
      <c r="J98" s="32" t="s">
        <v>378</v>
      </c>
      <c r="K98" s="32" t="s">
        <v>379</v>
      </c>
      <c r="L98" s="32" t="s">
        <v>106</v>
      </c>
      <c r="M98" s="32" t="s">
        <v>380</v>
      </c>
      <c r="N98" s="32" t="s">
        <v>108</v>
      </c>
      <c r="O98" s="32" t="s">
        <v>109</v>
      </c>
      <c r="P98" s="24">
        <v>100</v>
      </c>
      <c r="Q98" s="25">
        <v>3300</v>
      </c>
      <c r="R98" s="32" t="s">
        <v>110</v>
      </c>
    </row>
    <row r="99" spans="1:18" ht="46" customHeight="1">
      <c r="A99" s="22">
        <v>95</v>
      </c>
      <c r="B99" s="22" t="s">
        <v>20</v>
      </c>
      <c r="C99" s="22" t="s">
        <v>100</v>
      </c>
      <c r="D99" s="23">
        <v>8</v>
      </c>
      <c r="E99" s="22" t="s">
        <v>119</v>
      </c>
      <c r="F99" s="22" t="s">
        <v>381</v>
      </c>
      <c r="G99" s="32" t="s">
        <v>382</v>
      </c>
      <c r="H99" s="32" t="s">
        <v>149</v>
      </c>
      <c r="I99" s="33">
        <v>1</v>
      </c>
      <c r="J99" s="32" t="s">
        <v>150</v>
      </c>
      <c r="K99" s="32" t="s">
        <v>213</v>
      </c>
      <c r="L99" s="32" t="s">
        <v>152</v>
      </c>
      <c r="M99" s="32" t="s">
        <v>214</v>
      </c>
      <c r="N99" s="32" t="s">
        <v>154</v>
      </c>
      <c r="O99" s="32" t="s">
        <v>155</v>
      </c>
      <c r="P99" s="24">
        <v>68.75</v>
      </c>
      <c r="Q99" s="25">
        <v>0</v>
      </c>
      <c r="R99" s="32" t="s">
        <v>110</v>
      </c>
    </row>
    <row r="100" spans="1:18" ht="46" customHeight="1">
      <c r="A100" s="22">
        <v>96</v>
      </c>
      <c r="B100" s="22" t="s">
        <v>20</v>
      </c>
      <c r="C100" s="22" t="s">
        <v>100</v>
      </c>
      <c r="D100" s="23">
        <v>8</v>
      </c>
      <c r="E100" s="22" t="s">
        <v>119</v>
      </c>
      <c r="F100" s="22" t="s">
        <v>383</v>
      </c>
      <c r="G100" s="32" t="s">
        <v>384</v>
      </c>
      <c r="H100" s="32" t="s">
        <v>103</v>
      </c>
      <c r="I100" s="33">
        <v>10</v>
      </c>
      <c r="J100" s="32" t="s">
        <v>385</v>
      </c>
      <c r="K100" s="32" t="s">
        <v>386</v>
      </c>
      <c r="L100" s="32" t="s">
        <v>116</v>
      </c>
      <c r="M100" s="32" t="s">
        <v>387</v>
      </c>
      <c r="N100" s="32" t="s">
        <v>388</v>
      </c>
      <c r="O100" s="32" t="s">
        <v>109</v>
      </c>
      <c r="P100" s="24">
        <v>91.25</v>
      </c>
      <c r="Q100" s="25">
        <v>3700</v>
      </c>
      <c r="R100" s="32" t="s">
        <v>110</v>
      </c>
    </row>
    <row r="101" spans="1:18" ht="46" customHeight="1">
      <c r="A101" s="22">
        <v>97</v>
      </c>
      <c r="B101" s="22" t="s">
        <v>20</v>
      </c>
      <c r="C101" s="22" t="s">
        <v>100</v>
      </c>
      <c r="D101" s="23">
        <v>8</v>
      </c>
      <c r="E101" s="22" t="s">
        <v>111</v>
      </c>
      <c r="F101" s="22" t="s">
        <v>60</v>
      </c>
      <c r="G101" s="32" t="s">
        <v>389</v>
      </c>
      <c r="H101" s="32" t="s">
        <v>113</v>
      </c>
      <c r="I101" s="33">
        <v>1</v>
      </c>
      <c r="J101" s="32" t="s">
        <v>192</v>
      </c>
      <c r="K101" s="32" t="s">
        <v>151</v>
      </c>
      <c r="L101" s="32" t="s">
        <v>152</v>
      </c>
      <c r="M101" s="32" t="s">
        <v>390</v>
      </c>
      <c r="N101" s="32" t="s">
        <v>203</v>
      </c>
      <c r="O101" s="32" t="s">
        <v>195</v>
      </c>
      <c r="P101" s="24">
        <v>84.966129184412011</v>
      </c>
      <c r="Q101" s="25">
        <v>800</v>
      </c>
      <c r="R101" s="32" t="s">
        <v>110</v>
      </c>
    </row>
    <row r="102" spans="1:18" ht="46" customHeight="1">
      <c r="A102" s="22">
        <v>98</v>
      </c>
      <c r="B102" s="22" t="s">
        <v>20</v>
      </c>
      <c r="C102" s="22" t="s">
        <v>100</v>
      </c>
      <c r="D102" s="23">
        <v>8</v>
      </c>
      <c r="E102" s="22" t="s">
        <v>215</v>
      </c>
      <c r="F102" s="22" t="s">
        <v>60</v>
      </c>
      <c r="G102" s="32" t="s">
        <v>391</v>
      </c>
      <c r="H102" s="32" t="s">
        <v>127</v>
      </c>
      <c r="I102" s="33">
        <v>2</v>
      </c>
      <c r="J102" s="32" t="s">
        <v>221</v>
      </c>
      <c r="K102" s="32" t="s">
        <v>178</v>
      </c>
      <c r="L102" s="32" t="s">
        <v>152</v>
      </c>
      <c r="M102" s="32" t="s">
        <v>359</v>
      </c>
      <c r="N102" s="32" t="s">
        <v>203</v>
      </c>
      <c r="O102" s="32" t="s">
        <v>195</v>
      </c>
      <c r="P102" s="24">
        <v>87.466129184412011</v>
      </c>
      <c r="Q102" s="25">
        <v>800</v>
      </c>
      <c r="R102" s="32" t="s">
        <v>110</v>
      </c>
    </row>
    <row r="103" spans="1:18" ht="46" customHeight="1">
      <c r="A103" s="22">
        <v>99</v>
      </c>
      <c r="B103" s="22" t="s">
        <v>20</v>
      </c>
      <c r="C103" s="22" t="s">
        <v>100</v>
      </c>
      <c r="D103" s="23">
        <v>9</v>
      </c>
      <c r="E103" s="22" t="s">
        <v>255</v>
      </c>
      <c r="F103" s="22" t="s">
        <v>60</v>
      </c>
      <c r="G103" s="32" t="s">
        <v>392</v>
      </c>
      <c r="H103" s="32" t="s">
        <v>103</v>
      </c>
      <c r="I103" s="33">
        <v>17</v>
      </c>
      <c r="J103" s="32" t="s">
        <v>393</v>
      </c>
      <c r="K103" s="32" t="s">
        <v>394</v>
      </c>
      <c r="L103" s="32" t="s">
        <v>106</v>
      </c>
      <c r="M103" s="32" t="s">
        <v>395</v>
      </c>
      <c r="N103" s="32" t="s">
        <v>170</v>
      </c>
      <c r="O103" s="32" t="s">
        <v>109</v>
      </c>
      <c r="P103" s="24">
        <v>91.216129184412011</v>
      </c>
      <c r="Q103" s="25">
        <v>2500</v>
      </c>
      <c r="R103" s="32" t="s">
        <v>110</v>
      </c>
    </row>
    <row r="104" spans="1:18" ht="46" customHeight="1">
      <c r="A104" s="22">
        <v>100</v>
      </c>
      <c r="B104" s="22" t="s">
        <v>20</v>
      </c>
      <c r="C104" s="22" t="s">
        <v>100</v>
      </c>
      <c r="D104" s="23">
        <v>9</v>
      </c>
      <c r="E104" s="22" t="s">
        <v>119</v>
      </c>
      <c r="F104" s="22" t="s">
        <v>396</v>
      </c>
      <c r="G104" s="32" t="s">
        <v>397</v>
      </c>
      <c r="H104" s="32" t="s">
        <v>113</v>
      </c>
      <c r="I104" s="33">
        <v>3</v>
      </c>
      <c r="J104" s="32" t="s">
        <v>133</v>
      </c>
      <c r="K104" s="32" t="s">
        <v>398</v>
      </c>
      <c r="L104" s="32" t="s">
        <v>152</v>
      </c>
      <c r="M104" s="32" t="s">
        <v>399</v>
      </c>
      <c r="N104" s="32" t="s">
        <v>203</v>
      </c>
      <c r="O104" s="32" t="s">
        <v>195</v>
      </c>
      <c r="P104" s="24">
        <v>85</v>
      </c>
      <c r="Q104" s="25">
        <v>1300</v>
      </c>
      <c r="R104" s="32" t="s">
        <v>110</v>
      </c>
    </row>
    <row r="105" spans="1:18" ht="46" customHeight="1">
      <c r="A105" s="22">
        <v>101</v>
      </c>
      <c r="B105" s="22" t="s">
        <v>20</v>
      </c>
      <c r="C105" s="22" t="s">
        <v>100</v>
      </c>
      <c r="D105" s="23">
        <v>9</v>
      </c>
      <c r="E105" s="22" t="s">
        <v>119</v>
      </c>
      <c r="F105" s="22" t="s">
        <v>75</v>
      </c>
      <c r="G105" s="32" t="s">
        <v>400</v>
      </c>
      <c r="H105" s="32" t="s">
        <v>127</v>
      </c>
      <c r="I105" s="33">
        <v>4</v>
      </c>
      <c r="J105" s="32" t="s">
        <v>122</v>
      </c>
      <c r="K105" s="32" t="s">
        <v>398</v>
      </c>
      <c r="L105" s="32" t="s">
        <v>152</v>
      </c>
      <c r="M105" s="32" t="s">
        <v>401</v>
      </c>
      <c r="N105" s="32" t="s">
        <v>388</v>
      </c>
      <c r="O105" s="32" t="s">
        <v>109</v>
      </c>
      <c r="P105" s="24">
        <v>87.5</v>
      </c>
      <c r="Q105" s="25">
        <v>3700</v>
      </c>
      <c r="R105" s="32" t="s">
        <v>110</v>
      </c>
    </row>
    <row r="106" spans="1:18" ht="46" customHeight="1">
      <c r="A106" s="22">
        <v>102</v>
      </c>
      <c r="B106" s="22" t="s">
        <v>20</v>
      </c>
      <c r="C106" s="22" t="s">
        <v>100</v>
      </c>
      <c r="D106" s="23">
        <v>10</v>
      </c>
      <c r="E106" s="22" t="s">
        <v>111</v>
      </c>
      <c r="F106" s="22" t="s">
        <v>402</v>
      </c>
      <c r="G106" s="32" t="s">
        <v>403</v>
      </c>
      <c r="H106" s="32" t="s">
        <v>103</v>
      </c>
      <c r="I106" s="33">
        <v>4</v>
      </c>
      <c r="J106" s="32" t="s">
        <v>122</v>
      </c>
      <c r="K106" s="32" t="s">
        <v>404</v>
      </c>
      <c r="L106" s="32" t="s">
        <v>152</v>
      </c>
      <c r="M106" s="32" t="s">
        <v>405</v>
      </c>
      <c r="N106" s="32" t="s">
        <v>160</v>
      </c>
      <c r="O106" s="32" t="s">
        <v>109</v>
      </c>
      <c r="P106" s="24">
        <v>91.216129184412011</v>
      </c>
      <c r="Q106" s="25">
        <v>4300</v>
      </c>
      <c r="R106" s="32" t="s">
        <v>110</v>
      </c>
    </row>
    <row r="107" spans="1:18" ht="46" customHeight="1">
      <c r="A107" s="22">
        <v>103</v>
      </c>
      <c r="B107" s="22" t="s">
        <v>20</v>
      </c>
      <c r="C107" s="22" t="s">
        <v>100</v>
      </c>
      <c r="D107" s="23">
        <v>10</v>
      </c>
      <c r="E107" s="22" t="s">
        <v>275</v>
      </c>
      <c r="F107" s="22" t="s">
        <v>406</v>
      </c>
      <c r="G107" s="32" t="s">
        <v>407</v>
      </c>
      <c r="H107" s="32" t="s">
        <v>127</v>
      </c>
      <c r="I107" s="33">
        <v>4</v>
      </c>
      <c r="J107" s="32" t="s">
        <v>104</v>
      </c>
      <c r="K107" s="32" t="s">
        <v>408</v>
      </c>
      <c r="L107" s="32" t="s">
        <v>106</v>
      </c>
      <c r="M107" s="32" t="s">
        <v>409</v>
      </c>
      <c r="N107" s="32" t="s">
        <v>170</v>
      </c>
      <c r="O107" s="32" t="s">
        <v>125</v>
      </c>
      <c r="P107" s="24">
        <v>96.25</v>
      </c>
      <c r="Q107" s="25">
        <v>5900</v>
      </c>
      <c r="R107" s="32" t="s">
        <v>110</v>
      </c>
    </row>
    <row r="108" spans="1:18" ht="46" customHeight="1">
      <c r="A108" s="22">
        <v>104</v>
      </c>
      <c r="B108" s="22" t="s">
        <v>20</v>
      </c>
      <c r="C108" s="22" t="s">
        <v>100</v>
      </c>
      <c r="D108" s="23">
        <v>10</v>
      </c>
      <c r="E108" s="22" t="s">
        <v>215</v>
      </c>
      <c r="F108" s="22" t="s">
        <v>60</v>
      </c>
      <c r="G108" s="32" t="s">
        <v>410</v>
      </c>
      <c r="H108" s="32" t="s">
        <v>103</v>
      </c>
      <c r="I108" s="33">
        <v>13</v>
      </c>
      <c r="J108" s="32" t="s">
        <v>411</v>
      </c>
      <c r="K108" s="32" t="s">
        <v>412</v>
      </c>
      <c r="L108" s="32" t="s">
        <v>106</v>
      </c>
      <c r="M108" s="32" t="s">
        <v>413</v>
      </c>
      <c r="N108" s="32" t="s">
        <v>143</v>
      </c>
      <c r="O108" s="32" t="s">
        <v>109</v>
      </c>
      <c r="P108" s="24">
        <v>91.216129184412011</v>
      </c>
      <c r="Q108" s="25">
        <v>3300</v>
      </c>
      <c r="R108" s="32" t="s">
        <v>110</v>
      </c>
    </row>
    <row r="109" spans="1:18" ht="46" customHeight="1">
      <c r="A109" s="22">
        <v>105</v>
      </c>
      <c r="B109" s="22" t="s">
        <v>20</v>
      </c>
      <c r="C109" s="22" t="s">
        <v>100</v>
      </c>
      <c r="D109" s="23">
        <v>10</v>
      </c>
      <c r="E109" s="22" t="s">
        <v>111</v>
      </c>
      <c r="F109" s="22" t="s">
        <v>161</v>
      </c>
      <c r="G109" s="32" t="s">
        <v>414</v>
      </c>
      <c r="H109" s="32" t="s">
        <v>127</v>
      </c>
      <c r="I109" s="33">
        <v>3</v>
      </c>
      <c r="J109" s="32" t="s">
        <v>374</v>
      </c>
      <c r="K109" s="32" t="s">
        <v>415</v>
      </c>
      <c r="L109" s="32" t="s">
        <v>152</v>
      </c>
      <c r="M109" s="32" t="s">
        <v>416</v>
      </c>
      <c r="N109" s="32" t="s">
        <v>417</v>
      </c>
      <c r="O109" s="32" t="s">
        <v>125</v>
      </c>
      <c r="P109" s="24">
        <v>83.5</v>
      </c>
      <c r="Q109" s="25">
        <v>6700</v>
      </c>
      <c r="R109" s="32" t="s">
        <v>110</v>
      </c>
    </row>
    <row r="110" spans="1:18" ht="46" customHeight="1">
      <c r="A110" s="22">
        <v>106</v>
      </c>
      <c r="B110" s="22" t="s">
        <v>20</v>
      </c>
      <c r="C110" s="22" t="s">
        <v>100</v>
      </c>
      <c r="D110" s="23">
        <v>10</v>
      </c>
      <c r="E110" s="22" t="s">
        <v>111</v>
      </c>
      <c r="F110" s="22" t="s">
        <v>73</v>
      </c>
      <c r="G110" s="32" t="s">
        <v>418</v>
      </c>
      <c r="H110" s="32" t="s">
        <v>103</v>
      </c>
      <c r="I110" s="33">
        <v>14</v>
      </c>
      <c r="J110" s="32" t="s">
        <v>333</v>
      </c>
      <c r="K110" s="32" t="s">
        <v>419</v>
      </c>
      <c r="L110" s="32" t="s">
        <v>106</v>
      </c>
      <c r="M110" s="32" t="s">
        <v>420</v>
      </c>
      <c r="N110" s="32" t="s">
        <v>170</v>
      </c>
      <c r="O110" s="32" t="s">
        <v>125</v>
      </c>
      <c r="P110" s="24">
        <v>95</v>
      </c>
      <c r="Q110" s="25">
        <v>5900</v>
      </c>
      <c r="R110" s="32" t="s">
        <v>110</v>
      </c>
    </row>
  </sheetData>
  <autoFilter ref="A4:R110" xr:uid="{00000000-0001-0000-0100-000000000000}"/>
  <mergeCells count="1">
    <mergeCell ref="A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4472C4"/>
  </sheetPr>
  <dimension ref="A2:S491"/>
  <sheetViews>
    <sheetView workbookViewId="0">
      <pane xSplit="5" ySplit="4" topLeftCell="Q223" activePane="bottomRight" state="frozen"/>
      <selection pane="topRight"/>
      <selection pane="bottomLeft"/>
      <selection pane="bottomRight" activeCell="S170" sqref="S170:S450"/>
    </sheetView>
  </sheetViews>
  <sheetFormatPr baseColWidth="10" defaultColWidth="9" defaultRowHeight="14"/>
  <cols>
    <col min="1" max="1" width="12" customWidth="1"/>
    <col min="2" max="2" width="18" customWidth="1"/>
    <col min="3" max="3" width="38" customWidth="1"/>
    <col min="4" max="4" width="23" customWidth="1"/>
    <col min="5" max="5" width="28" customWidth="1"/>
    <col min="6" max="6" width="15" customWidth="1"/>
    <col min="7" max="8" width="10" customWidth="1"/>
    <col min="9" max="9" width="22" customWidth="1"/>
    <col min="10" max="10" width="24" customWidth="1"/>
    <col min="11" max="11" width="34" customWidth="1"/>
    <col min="12" max="12" width="30" customWidth="1"/>
    <col min="13" max="13" width="62" customWidth="1"/>
    <col min="14" max="14" width="38" customWidth="1"/>
    <col min="15" max="15" width="18" customWidth="1"/>
    <col min="16" max="16" width="13" customWidth="1"/>
    <col min="17" max="17" width="15" customWidth="1"/>
    <col min="18" max="18" width="42" customWidth="1"/>
    <col min="19" max="19" width="18" customWidth="1"/>
  </cols>
  <sheetData>
    <row r="2" spans="1:19" ht="24" customHeight="1">
      <c r="A2" s="42" t="s">
        <v>421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4" customHeight="1">
      <c r="A4" s="9" t="s">
        <v>45</v>
      </c>
      <c r="B4" s="9" t="s">
        <v>46</v>
      </c>
      <c r="C4" s="9" t="s">
        <v>47</v>
      </c>
      <c r="D4" s="9" t="s">
        <v>48</v>
      </c>
      <c r="E4" s="9" t="s">
        <v>422</v>
      </c>
      <c r="F4" s="9" t="s">
        <v>29</v>
      </c>
      <c r="G4" s="9" t="s">
        <v>423</v>
      </c>
      <c r="H4" s="9" t="s">
        <v>424</v>
      </c>
      <c r="I4" s="9" t="s">
        <v>425</v>
      </c>
      <c r="J4" s="9" t="s">
        <v>426</v>
      </c>
      <c r="K4" s="9" t="s">
        <v>427</v>
      </c>
      <c r="L4" s="9" t="s">
        <v>428</v>
      </c>
      <c r="M4" s="9" t="s">
        <v>429</v>
      </c>
      <c r="N4" s="9" t="s">
        <v>54</v>
      </c>
      <c r="O4" s="9" t="s">
        <v>430</v>
      </c>
      <c r="P4" s="9" t="s">
        <v>431</v>
      </c>
      <c r="Q4" s="9" t="s">
        <v>432</v>
      </c>
      <c r="R4" s="9" t="s">
        <v>433</v>
      </c>
      <c r="S4" s="9" t="s">
        <v>434</v>
      </c>
    </row>
    <row r="5" spans="1:19" ht="42" hidden="1" customHeight="1">
      <c r="A5" s="10" t="s">
        <v>101</v>
      </c>
      <c r="B5" s="10" t="s">
        <v>60</v>
      </c>
      <c r="C5" s="10" t="s">
        <v>102</v>
      </c>
      <c r="D5" s="10" t="s">
        <v>103</v>
      </c>
      <c r="E5" s="10" t="s">
        <v>375</v>
      </c>
      <c r="F5" s="11">
        <v>10761.87</v>
      </c>
      <c r="G5" s="21">
        <v>95</v>
      </c>
      <c r="H5" s="34" t="s">
        <v>31</v>
      </c>
      <c r="I5" s="10" t="s">
        <v>435</v>
      </c>
      <c r="J5" s="10" t="s">
        <v>436</v>
      </c>
      <c r="K5" s="35" t="s">
        <v>437</v>
      </c>
      <c r="L5" s="35" t="s">
        <v>106</v>
      </c>
      <c r="M5" s="35" t="s">
        <v>438</v>
      </c>
      <c r="N5" s="35" t="s">
        <v>439</v>
      </c>
      <c r="O5" s="35" t="s">
        <v>125</v>
      </c>
      <c r="P5" s="33">
        <v>9</v>
      </c>
      <c r="Q5" s="33">
        <v>8</v>
      </c>
      <c r="R5" s="32" t="s">
        <v>440</v>
      </c>
      <c r="S5" s="36">
        <v>2635</v>
      </c>
    </row>
    <row r="6" spans="1:19" ht="42" hidden="1" customHeight="1">
      <c r="A6" s="10" t="s">
        <v>101</v>
      </c>
      <c r="B6" s="10" t="s">
        <v>60</v>
      </c>
      <c r="C6" s="10" t="s">
        <v>102</v>
      </c>
      <c r="D6" s="10" t="s">
        <v>103</v>
      </c>
      <c r="E6" s="10" t="s">
        <v>193</v>
      </c>
      <c r="F6" s="11">
        <v>8004.21</v>
      </c>
      <c r="G6" s="21">
        <v>91.335273425396053</v>
      </c>
      <c r="H6" s="34" t="s">
        <v>31</v>
      </c>
      <c r="I6" s="10" t="s">
        <v>435</v>
      </c>
      <c r="J6" s="10" t="s">
        <v>441</v>
      </c>
      <c r="K6" s="35" t="s">
        <v>442</v>
      </c>
      <c r="L6" s="35" t="s">
        <v>116</v>
      </c>
      <c r="M6" s="35" t="s">
        <v>443</v>
      </c>
      <c r="N6" s="35" t="s">
        <v>444</v>
      </c>
      <c r="O6" s="35" t="s">
        <v>125</v>
      </c>
      <c r="P6" s="33">
        <v>3</v>
      </c>
      <c r="Q6" s="33">
        <v>2</v>
      </c>
      <c r="R6" s="32" t="s">
        <v>445</v>
      </c>
      <c r="S6" s="36">
        <v>322</v>
      </c>
    </row>
    <row r="7" spans="1:19" ht="42" hidden="1" customHeight="1">
      <c r="A7" s="10" t="s">
        <v>101</v>
      </c>
      <c r="B7" s="10" t="s">
        <v>60</v>
      </c>
      <c r="C7" s="10" t="s">
        <v>102</v>
      </c>
      <c r="D7" s="10" t="s">
        <v>103</v>
      </c>
      <c r="E7" s="10" t="s">
        <v>446</v>
      </c>
      <c r="F7" s="11">
        <v>14909.75</v>
      </c>
      <c r="G7" s="21">
        <v>91.212101858847163</v>
      </c>
      <c r="H7" s="34" t="s">
        <v>31</v>
      </c>
      <c r="I7" s="10" t="s">
        <v>447</v>
      </c>
      <c r="J7" s="10" t="s">
        <v>436</v>
      </c>
      <c r="K7" s="35" t="s">
        <v>448</v>
      </c>
      <c r="L7" s="35" t="s">
        <v>152</v>
      </c>
      <c r="M7" s="35" t="s">
        <v>449</v>
      </c>
      <c r="N7" s="35" t="s">
        <v>450</v>
      </c>
      <c r="O7" s="35" t="s">
        <v>125</v>
      </c>
      <c r="P7" s="33">
        <v>4</v>
      </c>
      <c r="Q7" s="33">
        <v>3</v>
      </c>
      <c r="R7" s="32" t="s">
        <v>451</v>
      </c>
      <c r="S7" s="36">
        <v>343</v>
      </c>
    </row>
    <row r="8" spans="1:19" ht="42" hidden="1" customHeight="1">
      <c r="A8" s="10" t="s">
        <v>101</v>
      </c>
      <c r="B8" s="10" t="s">
        <v>60</v>
      </c>
      <c r="C8" s="10" t="s">
        <v>102</v>
      </c>
      <c r="D8" s="10" t="s">
        <v>103</v>
      </c>
      <c r="E8" s="10" t="s">
        <v>452</v>
      </c>
      <c r="F8" s="11">
        <v>11596.75</v>
      </c>
      <c r="G8" s="21">
        <v>78.75</v>
      </c>
      <c r="H8" s="34" t="s">
        <v>33</v>
      </c>
      <c r="I8" s="10" t="s">
        <v>447</v>
      </c>
      <c r="J8" s="10" t="s">
        <v>441</v>
      </c>
      <c r="K8" s="35" t="s">
        <v>453</v>
      </c>
      <c r="L8" s="35" t="s">
        <v>135</v>
      </c>
      <c r="M8" s="35" t="s">
        <v>454</v>
      </c>
      <c r="N8" s="35" t="s">
        <v>455</v>
      </c>
      <c r="O8" s="35" t="s">
        <v>195</v>
      </c>
      <c r="P8" s="33">
        <v>9</v>
      </c>
      <c r="Q8" s="33">
        <v>8</v>
      </c>
      <c r="R8" s="32" t="s">
        <v>456</v>
      </c>
      <c r="S8" s="36">
        <v>0</v>
      </c>
    </row>
    <row r="9" spans="1:19" ht="42" hidden="1" customHeight="1">
      <c r="A9" s="10" t="s">
        <v>101</v>
      </c>
      <c r="B9" s="10" t="s">
        <v>60</v>
      </c>
      <c r="C9" s="10" t="s">
        <v>200</v>
      </c>
      <c r="D9" s="10" t="s">
        <v>103</v>
      </c>
      <c r="E9" s="10" t="s">
        <v>151</v>
      </c>
      <c r="F9" s="11">
        <v>2254.66</v>
      </c>
      <c r="G9" s="21">
        <v>91.216129184412011</v>
      </c>
      <c r="H9" s="34" t="s">
        <v>31</v>
      </c>
      <c r="I9" s="10" t="s">
        <v>447</v>
      </c>
      <c r="J9" s="10" t="s">
        <v>436</v>
      </c>
      <c r="K9" s="35" t="s">
        <v>448</v>
      </c>
      <c r="L9" s="35" t="s">
        <v>152</v>
      </c>
      <c r="M9" s="35" t="s">
        <v>449</v>
      </c>
      <c r="N9" s="35" t="s">
        <v>450</v>
      </c>
      <c r="O9" s="35" t="s">
        <v>125</v>
      </c>
      <c r="P9" s="33">
        <v>4</v>
      </c>
      <c r="Q9" s="33">
        <v>3</v>
      </c>
      <c r="R9" s="32" t="s">
        <v>451</v>
      </c>
      <c r="S9" s="36">
        <v>381</v>
      </c>
    </row>
    <row r="10" spans="1:19" ht="42" hidden="1" customHeight="1">
      <c r="A10" s="10" t="s">
        <v>101</v>
      </c>
      <c r="B10" s="10" t="s">
        <v>60</v>
      </c>
      <c r="C10" s="10" t="s">
        <v>200</v>
      </c>
      <c r="D10" s="10" t="s">
        <v>103</v>
      </c>
      <c r="E10" s="10" t="s">
        <v>457</v>
      </c>
      <c r="F10" s="11">
        <v>3350.62</v>
      </c>
      <c r="G10" s="21">
        <v>87.75</v>
      </c>
      <c r="H10" s="34" t="s">
        <v>31</v>
      </c>
      <c r="I10" s="10" t="s">
        <v>447</v>
      </c>
      <c r="J10" s="10" t="s">
        <v>441</v>
      </c>
      <c r="K10" s="35" t="s">
        <v>453</v>
      </c>
      <c r="L10" s="35" t="s">
        <v>135</v>
      </c>
      <c r="M10" s="35" t="s">
        <v>454</v>
      </c>
      <c r="N10" s="35" t="s">
        <v>455</v>
      </c>
      <c r="O10" s="35" t="s">
        <v>125</v>
      </c>
      <c r="P10" s="33">
        <v>3</v>
      </c>
      <c r="Q10" s="33">
        <v>2</v>
      </c>
      <c r="R10" s="32" t="s">
        <v>456</v>
      </c>
      <c r="S10" s="36">
        <v>0</v>
      </c>
    </row>
    <row r="11" spans="1:19" ht="42" hidden="1" customHeight="1">
      <c r="A11" s="10" t="s">
        <v>101</v>
      </c>
      <c r="B11" s="10" t="s">
        <v>60</v>
      </c>
      <c r="C11" s="10" t="s">
        <v>200</v>
      </c>
      <c r="D11" s="10" t="s">
        <v>103</v>
      </c>
      <c r="E11" s="10" t="s">
        <v>213</v>
      </c>
      <c r="F11" s="11">
        <v>2101.4299999999998</v>
      </c>
      <c r="G11" s="21">
        <v>86.25</v>
      </c>
      <c r="H11" s="34" t="s">
        <v>31</v>
      </c>
      <c r="I11" s="10" t="s">
        <v>447</v>
      </c>
      <c r="J11" s="10" t="s">
        <v>436</v>
      </c>
      <c r="K11" s="35" t="s">
        <v>448</v>
      </c>
      <c r="L11" s="35" t="s">
        <v>152</v>
      </c>
      <c r="M11" s="35" t="s">
        <v>449</v>
      </c>
      <c r="N11" s="35" t="s">
        <v>450</v>
      </c>
      <c r="O11" s="35" t="s">
        <v>125</v>
      </c>
      <c r="P11" s="33">
        <v>5</v>
      </c>
      <c r="Q11" s="33">
        <v>4</v>
      </c>
      <c r="R11" s="32" t="s">
        <v>451</v>
      </c>
      <c r="S11" s="36">
        <v>338</v>
      </c>
    </row>
    <row r="12" spans="1:19" ht="42" hidden="1" customHeight="1">
      <c r="A12" s="10" t="s">
        <v>101</v>
      </c>
      <c r="B12" s="10" t="s">
        <v>60</v>
      </c>
      <c r="C12" s="10" t="s">
        <v>200</v>
      </c>
      <c r="D12" s="10" t="s">
        <v>103</v>
      </c>
      <c r="E12" s="10" t="s">
        <v>458</v>
      </c>
      <c r="F12" s="11">
        <v>542.51</v>
      </c>
      <c r="G12" s="21">
        <v>73.5</v>
      </c>
      <c r="H12" s="34" t="s">
        <v>33</v>
      </c>
      <c r="I12" s="10" t="s">
        <v>447</v>
      </c>
      <c r="J12" s="10" t="s">
        <v>436</v>
      </c>
      <c r="K12" s="35" t="s">
        <v>448</v>
      </c>
      <c r="L12" s="35" t="s">
        <v>152</v>
      </c>
      <c r="M12" s="35" t="s">
        <v>449</v>
      </c>
      <c r="N12" s="35" t="s">
        <v>450</v>
      </c>
      <c r="O12" s="35" t="s">
        <v>195</v>
      </c>
      <c r="P12" s="33">
        <v>7</v>
      </c>
      <c r="Q12" s="33">
        <v>6</v>
      </c>
      <c r="R12" s="32" t="s">
        <v>451</v>
      </c>
      <c r="S12" s="36">
        <v>81</v>
      </c>
    </row>
    <row r="13" spans="1:19" ht="42" hidden="1" customHeight="1">
      <c r="A13" s="10" t="s">
        <v>101</v>
      </c>
      <c r="B13" s="10" t="s">
        <v>60</v>
      </c>
      <c r="C13" s="10" t="s">
        <v>204</v>
      </c>
      <c r="D13" s="10" t="s">
        <v>127</v>
      </c>
      <c r="E13" s="10" t="s">
        <v>459</v>
      </c>
      <c r="F13" s="11">
        <v>8732.83</v>
      </c>
      <c r="G13" s="21">
        <v>94.25</v>
      </c>
      <c r="H13" s="34" t="s">
        <v>31</v>
      </c>
      <c r="I13" s="10" t="s">
        <v>435</v>
      </c>
      <c r="J13" s="10" t="s">
        <v>436</v>
      </c>
      <c r="K13" s="35" t="s">
        <v>437</v>
      </c>
      <c r="L13" s="35" t="s">
        <v>106</v>
      </c>
      <c r="M13" s="35" t="s">
        <v>438</v>
      </c>
      <c r="N13" s="35" t="s">
        <v>439</v>
      </c>
      <c r="O13" s="35" t="s">
        <v>125</v>
      </c>
      <c r="P13" s="33">
        <v>4</v>
      </c>
      <c r="Q13" s="33">
        <v>3</v>
      </c>
      <c r="R13" s="32" t="s">
        <v>460</v>
      </c>
      <c r="S13" s="36">
        <v>2398</v>
      </c>
    </row>
    <row r="14" spans="1:19" ht="42" hidden="1" customHeight="1">
      <c r="A14" s="10" t="s">
        <v>101</v>
      </c>
      <c r="B14" s="10" t="s">
        <v>60</v>
      </c>
      <c r="C14" s="10" t="s">
        <v>204</v>
      </c>
      <c r="D14" s="10" t="s">
        <v>127</v>
      </c>
      <c r="E14" s="10" t="s">
        <v>213</v>
      </c>
      <c r="F14" s="11">
        <v>1874.54</v>
      </c>
      <c r="G14" s="21">
        <v>82.5</v>
      </c>
      <c r="H14" s="34" t="s">
        <v>31</v>
      </c>
      <c r="I14" s="10" t="s">
        <v>447</v>
      </c>
      <c r="J14" s="10" t="s">
        <v>436</v>
      </c>
      <c r="K14" s="35" t="s">
        <v>448</v>
      </c>
      <c r="L14" s="35" t="s">
        <v>152</v>
      </c>
      <c r="M14" s="35" t="s">
        <v>449</v>
      </c>
      <c r="N14" s="35" t="s">
        <v>450</v>
      </c>
      <c r="O14" s="35" t="s">
        <v>125</v>
      </c>
      <c r="P14" s="33">
        <v>4</v>
      </c>
      <c r="Q14" s="33">
        <v>3</v>
      </c>
      <c r="R14" s="32" t="s">
        <v>456</v>
      </c>
      <c r="S14" s="36">
        <v>0</v>
      </c>
    </row>
    <row r="15" spans="1:19" ht="42" hidden="1" customHeight="1">
      <c r="A15" s="10" t="s">
        <v>101</v>
      </c>
      <c r="B15" s="10" t="s">
        <v>60</v>
      </c>
      <c r="C15" s="10" t="s">
        <v>204</v>
      </c>
      <c r="D15" s="10" t="s">
        <v>127</v>
      </c>
      <c r="E15" s="10" t="s">
        <v>151</v>
      </c>
      <c r="F15" s="11">
        <v>1952.95</v>
      </c>
      <c r="G15" s="21">
        <v>82.466129184412011</v>
      </c>
      <c r="H15" s="34" t="s">
        <v>31</v>
      </c>
      <c r="I15" s="10" t="s">
        <v>447</v>
      </c>
      <c r="J15" s="10" t="s">
        <v>436</v>
      </c>
      <c r="K15" s="35" t="s">
        <v>448</v>
      </c>
      <c r="L15" s="35" t="s">
        <v>152</v>
      </c>
      <c r="M15" s="35" t="s">
        <v>449</v>
      </c>
      <c r="N15" s="35" t="s">
        <v>450</v>
      </c>
      <c r="O15" s="35" t="s">
        <v>125</v>
      </c>
      <c r="P15" s="33">
        <v>5</v>
      </c>
      <c r="Q15" s="33">
        <v>4</v>
      </c>
      <c r="R15" s="32" t="s">
        <v>456</v>
      </c>
      <c r="S15" s="36">
        <v>0</v>
      </c>
    </row>
    <row r="16" spans="1:19" ht="42" hidden="1" customHeight="1">
      <c r="A16" s="10" t="s">
        <v>101</v>
      </c>
      <c r="B16" s="10" t="s">
        <v>60</v>
      </c>
      <c r="C16" s="10" t="s">
        <v>204</v>
      </c>
      <c r="D16" s="10" t="s">
        <v>127</v>
      </c>
      <c r="E16" s="10" t="s">
        <v>375</v>
      </c>
      <c r="F16" s="11">
        <v>674.84</v>
      </c>
      <c r="G16" s="21">
        <v>77.5</v>
      </c>
      <c r="H16" s="34" t="s">
        <v>33</v>
      </c>
      <c r="I16" s="10" t="s">
        <v>435</v>
      </c>
      <c r="J16" s="10" t="s">
        <v>436</v>
      </c>
      <c r="K16" s="35" t="s">
        <v>437</v>
      </c>
      <c r="L16" s="35" t="s">
        <v>106</v>
      </c>
      <c r="M16" s="35" t="s">
        <v>438</v>
      </c>
      <c r="N16" s="35" t="s">
        <v>439</v>
      </c>
      <c r="O16" s="35" t="s">
        <v>195</v>
      </c>
      <c r="P16" s="33">
        <v>2</v>
      </c>
      <c r="Q16" s="33">
        <v>1</v>
      </c>
      <c r="R16" s="32" t="s">
        <v>461</v>
      </c>
      <c r="S16" s="36">
        <v>30</v>
      </c>
    </row>
    <row r="17" spans="1:19" ht="42" hidden="1" customHeight="1">
      <c r="A17" s="10" t="s">
        <v>101</v>
      </c>
      <c r="B17" s="10" t="s">
        <v>60</v>
      </c>
      <c r="C17" s="10" t="s">
        <v>204</v>
      </c>
      <c r="D17" s="10" t="s">
        <v>127</v>
      </c>
      <c r="E17" s="10" t="s">
        <v>193</v>
      </c>
      <c r="F17" s="11">
        <v>345.55</v>
      </c>
      <c r="G17" s="21">
        <v>76.835273425396053</v>
      </c>
      <c r="H17" s="34" t="s">
        <v>33</v>
      </c>
      <c r="I17" s="10" t="s">
        <v>435</v>
      </c>
      <c r="J17" s="10" t="s">
        <v>436</v>
      </c>
      <c r="K17" s="35" t="s">
        <v>437</v>
      </c>
      <c r="L17" s="35" t="s">
        <v>106</v>
      </c>
      <c r="M17" s="35" t="s">
        <v>438</v>
      </c>
      <c r="N17" s="35" t="s">
        <v>439</v>
      </c>
      <c r="O17" s="35" t="s">
        <v>195</v>
      </c>
      <c r="P17" s="33">
        <v>4</v>
      </c>
      <c r="Q17" s="33">
        <v>3</v>
      </c>
      <c r="R17" s="32" t="s">
        <v>461</v>
      </c>
      <c r="S17" s="36">
        <v>25</v>
      </c>
    </row>
    <row r="18" spans="1:19" ht="42" hidden="1" customHeight="1">
      <c r="A18" s="10" t="s">
        <v>101</v>
      </c>
      <c r="B18" s="10" t="s">
        <v>60</v>
      </c>
      <c r="C18" s="10" t="s">
        <v>204</v>
      </c>
      <c r="D18" s="10" t="s">
        <v>127</v>
      </c>
      <c r="E18" s="10" t="s">
        <v>446</v>
      </c>
      <c r="F18" s="11">
        <v>1304.95</v>
      </c>
      <c r="G18" s="21">
        <v>76.212101858847163</v>
      </c>
      <c r="H18" s="34" t="s">
        <v>33</v>
      </c>
      <c r="I18" s="10" t="s">
        <v>447</v>
      </c>
      <c r="J18" s="10" t="s">
        <v>436</v>
      </c>
      <c r="K18" s="35" t="s">
        <v>448</v>
      </c>
      <c r="L18" s="35" t="s">
        <v>152</v>
      </c>
      <c r="M18" s="35" t="s">
        <v>449</v>
      </c>
      <c r="N18" s="35" t="s">
        <v>450</v>
      </c>
      <c r="O18" s="35" t="s">
        <v>195</v>
      </c>
      <c r="P18" s="33">
        <v>5</v>
      </c>
      <c r="Q18" s="33">
        <v>4</v>
      </c>
      <c r="R18" s="32" t="s">
        <v>456</v>
      </c>
      <c r="S18" s="36">
        <v>0</v>
      </c>
    </row>
    <row r="19" spans="1:19" ht="42" hidden="1" customHeight="1">
      <c r="A19" s="10" t="s">
        <v>101</v>
      </c>
      <c r="B19" s="10" t="s">
        <v>60</v>
      </c>
      <c r="C19" s="10" t="s">
        <v>204</v>
      </c>
      <c r="D19" s="10" t="s">
        <v>127</v>
      </c>
      <c r="E19" s="10" t="s">
        <v>462</v>
      </c>
      <c r="F19" s="11">
        <v>1563.51</v>
      </c>
      <c r="G19" s="21">
        <v>75.975893545089875</v>
      </c>
      <c r="H19" s="34" t="s">
        <v>33</v>
      </c>
      <c r="I19" s="10" t="s">
        <v>447</v>
      </c>
      <c r="J19" s="10" t="s">
        <v>441</v>
      </c>
      <c r="K19" s="35" t="s">
        <v>453</v>
      </c>
      <c r="L19" s="35" t="s">
        <v>135</v>
      </c>
      <c r="M19" s="35" t="s">
        <v>454</v>
      </c>
      <c r="N19" s="35" t="s">
        <v>455</v>
      </c>
      <c r="O19" s="35" t="s">
        <v>195</v>
      </c>
      <c r="P19" s="33">
        <v>4</v>
      </c>
      <c r="Q19" s="33">
        <v>3</v>
      </c>
      <c r="R19" s="32" t="s">
        <v>456</v>
      </c>
      <c r="S19" s="36">
        <v>0</v>
      </c>
    </row>
    <row r="20" spans="1:19" ht="42" hidden="1" customHeight="1">
      <c r="A20" s="10" t="s">
        <v>101</v>
      </c>
      <c r="B20" s="10" t="s">
        <v>60</v>
      </c>
      <c r="C20" s="10" t="s">
        <v>204</v>
      </c>
      <c r="D20" s="10" t="s">
        <v>127</v>
      </c>
      <c r="E20" s="10" t="s">
        <v>457</v>
      </c>
      <c r="F20" s="11">
        <v>1552.33</v>
      </c>
      <c r="G20" s="21">
        <v>72.75</v>
      </c>
      <c r="H20" s="34" t="s">
        <v>33</v>
      </c>
      <c r="I20" s="10" t="s">
        <v>447</v>
      </c>
      <c r="J20" s="10" t="s">
        <v>441</v>
      </c>
      <c r="K20" s="35" t="s">
        <v>453</v>
      </c>
      <c r="L20" s="35" t="s">
        <v>135</v>
      </c>
      <c r="M20" s="35" t="s">
        <v>454</v>
      </c>
      <c r="N20" s="35" t="s">
        <v>455</v>
      </c>
      <c r="O20" s="35" t="s">
        <v>195</v>
      </c>
      <c r="P20" s="33">
        <v>4</v>
      </c>
      <c r="Q20" s="33">
        <v>3</v>
      </c>
      <c r="R20" s="32" t="s">
        <v>456</v>
      </c>
      <c r="S20" s="36">
        <v>0</v>
      </c>
    </row>
    <row r="21" spans="1:19" ht="42" hidden="1" customHeight="1">
      <c r="A21" s="10" t="s">
        <v>101</v>
      </c>
      <c r="B21" s="10" t="s">
        <v>60</v>
      </c>
      <c r="C21" s="10" t="s">
        <v>204</v>
      </c>
      <c r="D21" s="10" t="s">
        <v>127</v>
      </c>
      <c r="E21" s="10" t="s">
        <v>225</v>
      </c>
      <c r="F21" s="11">
        <v>185.02</v>
      </c>
      <c r="G21" s="21">
        <v>69.9328293081916</v>
      </c>
      <c r="H21" s="34" t="s">
        <v>33</v>
      </c>
      <c r="I21" s="10" t="s">
        <v>435</v>
      </c>
      <c r="J21" s="10" t="s">
        <v>441</v>
      </c>
      <c r="K21" s="35" t="s">
        <v>442</v>
      </c>
      <c r="L21" s="35" t="s">
        <v>116</v>
      </c>
      <c r="M21" s="35" t="s">
        <v>443</v>
      </c>
      <c r="N21" s="35" t="s">
        <v>444</v>
      </c>
      <c r="O21" s="35" t="s">
        <v>195</v>
      </c>
      <c r="P21" s="33">
        <v>4</v>
      </c>
      <c r="Q21" s="33">
        <v>3</v>
      </c>
      <c r="R21" s="32" t="s">
        <v>461</v>
      </c>
      <c r="S21" s="36">
        <v>22</v>
      </c>
    </row>
    <row r="22" spans="1:19" ht="42" hidden="1" customHeight="1">
      <c r="A22" s="10" t="s">
        <v>101</v>
      </c>
      <c r="B22" s="10" t="s">
        <v>60</v>
      </c>
      <c r="C22" s="10" t="s">
        <v>204</v>
      </c>
      <c r="D22" s="10" t="s">
        <v>127</v>
      </c>
      <c r="E22" s="10" t="s">
        <v>115</v>
      </c>
      <c r="F22" s="11">
        <v>350.5</v>
      </c>
      <c r="G22" s="21">
        <v>69.779969712371766</v>
      </c>
      <c r="H22" s="34" t="s">
        <v>33</v>
      </c>
      <c r="I22" s="10" t="s">
        <v>435</v>
      </c>
      <c r="J22" s="10" t="s">
        <v>441</v>
      </c>
      <c r="K22" s="35" t="s">
        <v>442</v>
      </c>
      <c r="L22" s="35" t="s">
        <v>116</v>
      </c>
      <c r="M22" s="35" t="s">
        <v>443</v>
      </c>
      <c r="N22" s="35" t="s">
        <v>444</v>
      </c>
      <c r="O22" s="35" t="s">
        <v>195</v>
      </c>
      <c r="P22" s="33">
        <v>4</v>
      </c>
      <c r="Q22" s="33">
        <v>3</v>
      </c>
      <c r="R22" s="32" t="s">
        <v>461</v>
      </c>
      <c r="S22" s="36">
        <v>25</v>
      </c>
    </row>
    <row r="23" spans="1:19" ht="42" hidden="1" customHeight="1">
      <c r="A23" s="10" t="s">
        <v>101</v>
      </c>
      <c r="B23" s="10" t="s">
        <v>60</v>
      </c>
      <c r="C23" s="10" t="s">
        <v>204</v>
      </c>
      <c r="D23" s="10" t="s">
        <v>127</v>
      </c>
      <c r="E23" s="10" t="s">
        <v>458</v>
      </c>
      <c r="F23" s="11">
        <v>1595.52</v>
      </c>
      <c r="G23" s="21">
        <v>69.75</v>
      </c>
      <c r="H23" s="34" t="s">
        <v>33</v>
      </c>
      <c r="I23" s="10" t="s">
        <v>447</v>
      </c>
      <c r="J23" s="10" t="s">
        <v>436</v>
      </c>
      <c r="K23" s="35" t="s">
        <v>448</v>
      </c>
      <c r="L23" s="35" t="s">
        <v>152</v>
      </c>
      <c r="M23" s="35" t="s">
        <v>449</v>
      </c>
      <c r="N23" s="35" t="s">
        <v>450</v>
      </c>
      <c r="O23" s="35" t="s">
        <v>195</v>
      </c>
      <c r="P23" s="33">
        <v>7</v>
      </c>
      <c r="Q23" s="33">
        <v>6</v>
      </c>
      <c r="R23" s="32" t="s">
        <v>456</v>
      </c>
      <c r="S23" s="36">
        <v>0</v>
      </c>
    </row>
    <row r="24" spans="1:19" ht="42" hidden="1" customHeight="1">
      <c r="A24" s="10" t="s">
        <v>101</v>
      </c>
      <c r="B24" s="10" t="s">
        <v>60</v>
      </c>
      <c r="C24" s="10" t="s">
        <v>289</v>
      </c>
      <c r="D24" s="10" t="s">
        <v>149</v>
      </c>
      <c r="E24" s="10" t="s">
        <v>193</v>
      </c>
      <c r="F24" s="11">
        <v>5097.43</v>
      </c>
      <c r="G24" s="21">
        <v>76.835273425396053</v>
      </c>
      <c r="H24" s="34" t="s">
        <v>33</v>
      </c>
      <c r="I24" s="10" t="s">
        <v>435</v>
      </c>
      <c r="J24" s="10" t="s">
        <v>436</v>
      </c>
      <c r="K24" s="35" t="s">
        <v>437</v>
      </c>
      <c r="L24" s="35" t="s">
        <v>106</v>
      </c>
      <c r="M24" s="35" t="s">
        <v>438</v>
      </c>
      <c r="N24" s="35" t="s">
        <v>439</v>
      </c>
      <c r="O24" s="35" t="s">
        <v>195</v>
      </c>
      <c r="P24" s="33">
        <v>6</v>
      </c>
      <c r="Q24" s="33">
        <v>5</v>
      </c>
      <c r="R24" s="32" t="s">
        <v>463</v>
      </c>
      <c r="S24" s="36">
        <v>0</v>
      </c>
    </row>
    <row r="25" spans="1:19" ht="42" hidden="1" customHeight="1">
      <c r="A25" s="10" t="s">
        <v>101</v>
      </c>
      <c r="B25" s="10" t="s">
        <v>60</v>
      </c>
      <c r="C25" s="10" t="s">
        <v>289</v>
      </c>
      <c r="D25" s="10" t="s">
        <v>149</v>
      </c>
      <c r="E25" s="10" t="s">
        <v>462</v>
      </c>
      <c r="F25" s="11">
        <v>5172.8</v>
      </c>
      <c r="G25" s="21">
        <v>72.3660109318743</v>
      </c>
      <c r="H25" s="34" t="s">
        <v>33</v>
      </c>
      <c r="I25" s="10" t="s">
        <v>447</v>
      </c>
      <c r="J25" s="10" t="s">
        <v>441</v>
      </c>
      <c r="K25" s="35" t="s">
        <v>453</v>
      </c>
      <c r="L25" s="35" t="s">
        <v>135</v>
      </c>
      <c r="M25" s="35" t="s">
        <v>454</v>
      </c>
      <c r="N25" s="35" t="s">
        <v>455</v>
      </c>
      <c r="O25" s="35" t="s">
        <v>195</v>
      </c>
      <c r="P25" s="33">
        <v>6</v>
      </c>
      <c r="Q25" s="33">
        <v>5</v>
      </c>
      <c r="R25" s="32" t="s">
        <v>463</v>
      </c>
      <c r="S25" s="36">
        <v>0</v>
      </c>
    </row>
    <row r="26" spans="1:19" ht="42" hidden="1" customHeight="1">
      <c r="A26" s="10" t="s">
        <v>101</v>
      </c>
      <c r="B26" s="10" t="s">
        <v>60</v>
      </c>
      <c r="C26" s="10" t="s">
        <v>289</v>
      </c>
      <c r="D26" s="10" t="s">
        <v>149</v>
      </c>
      <c r="E26" s="10" t="s">
        <v>225</v>
      </c>
      <c r="F26" s="11">
        <v>3381.94</v>
      </c>
      <c r="G26" s="21">
        <v>69.9328293081916</v>
      </c>
      <c r="H26" s="34" t="s">
        <v>33</v>
      </c>
      <c r="I26" s="10" t="s">
        <v>435</v>
      </c>
      <c r="J26" s="10" t="s">
        <v>441</v>
      </c>
      <c r="K26" s="35" t="s">
        <v>442</v>
      </c>
      <c r="L26" s="35" t="s">
        <v>116</v>
      </c>
      <c r="M26" s="35" t="s">
        <v>443</v>
      </c>
      <c r="N26" s="35" t="s">
        <v>444</v>
      </c>
      <c r="O26" s="35" t="s">
        <v>195</v>
      </c>
      <c r="P26" s="33">
        <v>6</v>
      </c>
      <c r="Q26" s="33">
        <v>5</v>
      </c>
      <c r="R26" s="32" t="s">
        <v>463</v>
      </c>
      <c r="S26" s="36">
        <v>0</v>
      </c>
    </row>
    <row r="27" spans="1:19" ht="42" hidden="1" customHeight="1">
      <c r="A27" s="10" t="s">
        <v>101</v>
      </c>
      <c r="B27" s="10" t="s">
        <v>60</v>
      </c>
      <c r="C27" s="10" t="s">
        <v>289</v>
      </c>
      <c r="D27" s="10" t="s">
        <v>149</v>
      </c>
      <c r="E27" s="10" t="s">
        <v>464</v>
      </c>
      <c r="F27" s="11">
        <v>3444.85</v>
      </c>
      <c r="G27" s="21">
        <v>68.998742920880659</v>
      </c>
      <c r="H27" s="34" t="s">
        <v>33</v>
      </c>
      <c r="I27" s="10" t="s">
        <v>447</v>
      </c>
      <c r="J27" s="10" t="s">
        <v>436</v>
      </c>
      <c r="K27" s="35" t="s">
        <v>448</v>
      </c>
      <c r="L27" s="35" t="s">
        <v>152</v>
      </c>
      <c r="M27" s="35" t="s">
        <v>449</v>
      </c>
      <c r="N27" s="35" t="s">
        <v>450</v>
      </c>
      <c r="O27" s="35" t="s">
        <v>195</v>
      </c>
      <c r="P27" s="33">
        <v>2</v>
      </c>
      <c r="Q27" s="33">
        <v>1</v>
      </c>
      <c r="R27" s="32" t="s">
        <v>463</v>
      </c>
      <c r="S27" s="36">
        <v>0</v>
      </c>
    </row>
    <row r="28" spans="1:19" ht="42" hidden="1" customHeight="1">
      <c r="A28" s="10" t="s">
        <v>111</v>
      </c>
      <c r="B28" s="10" t="s">
        <v>60</v>
      </c>
      <c r="C28" s="10" t="s">
        <v>208</v>
      </c>
      <c r="D28" s="10" t="s">
        <v>103</v>
      </c>
      <c r="E28" s="10" t="s">
        <v>213</v>
      </c>
      <c r="F28" s="11">
        <v>47760.75</v>
      </c>
      <c r="G28" s="21">
        <v>91.25</v>
      </c>
      <c r="H28" s="34" t="s">
        <v>31</v>
      </c>
      <c r="I28" s="10" t="s">
        <v>447</v>
      </c>
      <c r="J28" s="10" t="s">
        <v>436</v>
      </c>
      <c r="K28" s="35" t="s">
        <v>448</v>
      </c>
      <c r="L28" s="35" t="s">
        <v>152</v>
      </c>
      <c r="M28" s="35" t="s">
        <v>449</v>
      </c>
      <c r="N28" s="35" t="s">
        <v>450</v>
      </c>
      <c r="O28" s="35" t="s">
        <v>125</v>
      </c>
      <c r="P28" s="33">
        <v>5</v>
      </c>
      <c r="Q28" s="33">
        <v>4</v>
      </c>
      <c r="R28" s="32" t="s">
        <v>451</v>
      </c>
      <c r="S28" s="36">
        <v>259</v>
      </c>
    </row>
    <row r="29" spans="1:19" ht="42" hidden="1" customHeight="1">
      <c r="A29" s="10" t="s">
        <v>111</v>
      </c>
      <c r="B29" s="10" t="s">
        <v>60</v>
      </c>
      <c r="C29" s="10" t="s">
        <v>208</v>
      </c>
      <c r="D29" s="10" t="s">
        <v>103</v>
      </c>
      <c r="E29" s="10" t="s">
        <v>151</v>
      </c>
      <c r="F29" s="11">
        <v>42663.26</v>
      </c>
      <c r="G29" s="21">
        <v>86.216129184412011</v>
      </c>
      <c r="H29" s="34" t="s">
        <v>31</v>
      </c>
      <c r="I29" s="10" t="s">
        <v>447</v>
      </c>
      <c r="J29" s="10" t="s">
        <v>436</v>
      </c>
      <c r="K29" s="35" t="s">
        <v>448</v>
      </c>
      <c r="L29" s="35" t="s">
        <v>152</v>
      </c>
      <c r="M29" s="35" t="s">
        <v>449</v>
      </c>
      <c r="N29" s="35" t="s">
        <v>450</v>
      </c>
      <c r="O29" s="35" t="s">
        <v>125</v>
      </c>
      <c r="P29" s="33">
        <v>1</v>
      </c>
      <c r="Q29" s="33">
        <v>1</v>
      </c>
      <c r="R29" s="32" t="s">
        <v>451</v>
      </c>
      <c r="S29" s="36">
        <v>222</v>
      </c>
    </row>
    <row r="30" spans="1:19" ht="42" hidden="1" customHeight="1">
      <c r="A30" s="10" t="s">
        <v>111</v>
      </c>
      <c r="B30" s="10" t="s">
        <v>60</v>
      </c>
      <c r="C30" s="10" t="s">
        <v>208</v>
      </c>
      <c r="D30" s="10" t="s">
        <v>103</v>
      </c>
      <c r="E30" s="10" t="s">
        <v>446</v>
      </c>
      <c r="F30" s="11">
        <v>27583.81</v>
      </c>
      <c r="G30" s="21">
        <v>86.212101858847163</v>
      </c>
      <c r="H30" s="34" t="s">
        <v>31</v>
      </c>
      <c r="I30" s="10" t="s">
        <v>447</v>
      </c>
      <c r="J30" s="10" t="s">
        <v>436</v>
      </c>
      <c r="K30" s="35" t="s">
        <v>448</v>
      </c>
      <c r="L30" s="35" t="s">
        <v>152</v>
      </c>
      <c r="M30" s="35" t="s">
        <v>449</v>
      </c>
      <c r="N30" s="35" t="s">
        <v>450</v>
      </c>
      <c r="O30" s="35" t="s">
        <v>125</v>
      </c>
      <c r="P30" s="33">
        <v>4</v>
      </c>
      <c r="Q30" s="33">
        <v>3</v>
      </c>
      <c r="R30" s="32" t="s">
        <v>451</v>
      </c>
      <c r="S30" s="36">
        <v>151</v>
      </c>
    </row>
    <row r="31" spans="1:19" ht="42" hidden="1" customHeight="1">
      <c r="A31" s="10" t="s">
        <v>111</v>
      </c>
      <c r="B31" s="10" t="s">
        <v>60</v>
      </c>
      <c r="C31" s="10" t="s">
        <v>208</v>
      </c>
      <c r="D31" s="10" t="s">
        <v>103</v>
      </c>
      <c r="E31" s="10" t="s">
        <v>457</v>
      </c>
      <c r="F31" s="11">
        <v>33993.07</v>
      </c>
      <c r="G31" s="21">
        <v>82.75</v>
      </c>
      <c r="H31" s="34" t="s">
        <v>31</v>
      </c>
      <c r="I31" s="10" t="s">
        <v>447</v>
      </c>
      <c r="J31" s="10" t="s">
        <v>441</v>
      </c>
      <c r="K31" s="35" t="s">
        <v>453</v>
      </c>
      <c r="L31" s="35" t="s">
        <v>135</v>
      </c>
      <c r="M31" s="35" t="s">
        <v>454</v>
      </c>
      <c r="N31" s="35" t="s">
        <v>455</v>
      </c>
      <c r="O31" s="35" t="s">
        <v>125</v>
      </c>
      <c r="P31" s="33">
        <v>9</v>
      </c>
      <c r="Q31" s="33">
        <v>8</v>
      </c>
      <c r="R31" s="32" t="s">
        <v>456</v>
      </c>
      <c r="S31" s="36">
        <v>0</v>
      </c>
    </row>
    <row r="32" spans="1:19" ht="42" hidden="1" customHeight="1">
      <c r="A32" s="10" t="s">
        <v>111</v>
      </c>
      <c r="B32" s="10" t="s">
        <v>60</v>
      </c>
      <c r="C32" s="10" t="s">
        <v>208</v>
      </c>
      <c r="D32" s="10" t="s">
        <v>103</v>
      </c>
      <c r="E32" s="10" t="s">
        <v>225</v>
      </c>
      <c r="F32" s="11">
        <v>17867.39</v>
      </c>
      <c r="G32" s="21">
        <v>81.1828293081916</v>
      </c>
      <c r="H32" s="34" t="s">
        <v>31</v>
      </c>
      <c r="I32" s="10" t="s">
        <v>435</v>
      </c>
      <c r="J32" s="10" t="s">
        <v>441</v>
      </c>
      <c r="K32" s="35" t="s">
        <v>442</v>
      </c>
      <c r="L32" s="35" t="s">
        <v>116</v>
      </c>
      <c r="M32" s="35" t="s">
        <v>443</v>
      </c>
      <c r="N32" s="35" t="s">
        <v>444</v>
      </c>
      <c r="O32" s="35" t="s">
        <v>125</v>
      </c>
      <c r="P32" s="33">
        <v>3</v>
      </c>
      <c r="Q32" s="33">
        <v>2</v>
      </c>
      <c r="R32" s="32" t="s">
        <v>440</v>
      </c>
      <c r="S32" s="36">
        <v>2553</v>
      </c>
    </row>
    <row r="33" spans="1:19" ht="42" hidden="1" customHeight="1">
      <c r="A33" s="10" t="s">
        <v>111</v>
      </c>
      <c r="B33" s="10" t="s">
        <v>60</v>
      </c>
      <c r="C33" s="10" t="s">
        <v>208</v>
      </c>
      <c r="D33" s="10" t="s">
        <v>103</v>
      </c>
      <c r="E33" s="10" t="s">
        <v>465</v>
      </c>
      <c r="F33" s="11">
        <v>2391.63</v>
      </c>
      <c r="G33" s="21">
        <v>79.25</v>
      </c>
      <c r="H33" s="34" t="s">
        <v>33</v>
      </c>
      <c r="I33" s="10" t="s">
        <v>435</v>
      </c>
      <c r="J33" s="10" t="s">
        <v>436</v>
      </c>
      <c r="K33" s="35" t="s">
        <v>437</v>
      </c>
      <c r="L33" s="35" t="s">
        <v>106</v>
      </c>
      <c r="M33" s="35" t="s">
        <v>438</v>
      </c>
      <c r="N33" s="35" t="s">
        <v>439</v>
      </c>
      <c r="O33" s="35" t="s">
        <v>195</v>
      </c>
      <c r="P33" s="33">
        <v>3</v>
      </c>
      <c r="Q33" s="33">
        <v>2</v>
      </c>
      <c r="R33" s="32" t="s">
        <v>445</v>
      </c>
      <c r="S33" s="36">
        <v>76</v>
      </c>
    </row>
    <row r="34" spans="1:19" ht="42" hidden="1" customHeight="1">
      <c r="A34" s="10" t="s">
        <v>111</v>
      </c>
      <c r="B34" s="10" t="s">
        <v>60</v>
      </c>
      <c r="C34" s="10" t="s">
        <v>208</v>
      </c>
      <c r="D34" s="10" t="s">
        <v>103</v>
      </c>
      <c r="E34" s="10" t="s">
        <v>466</v>
      </c>
      <c r="F34" s="11">
        <v>5515.22</v>
      </c>
      <c r="G34" s="21">
        <v>70.5</v>
      </c>
      <c r="H34" s="34" t="s">
        <v>33</v>
      </c>
      <c r="I34" s="10" t="s">
        <v>447</v>
      </c>
      <c r="J34" s="10" t="s">
        <v>436</v>
      </c>
      <c r="K34" s="35" t="s">
        <v>448</v>
      </c>
      <c r="L34" s="35" t="s">
        <v>152</v>
      </c>
      <c r="M34" s="35" t="s">
        <v>449</v>
      </c>
      <c r="N34" s="35" t="s">
        <v>450</v>
      </c>
      <c r="O34" s="35" t="s">
        <v>195</v>
      </c>
      <c r="P34" s="33">
        <v>3</v>
      </c>
      <c r="Q34" s="33">
        <v>2</v>
      </c>
      <c r="R34" s="32" t="s">
        <v>451</v>
      </c>
      <c r="S34" s="36">
        <v>39</v>
      </c>
    </row>
    <row r="35" spans="1:19" ht="42" hidden="1" customHeight="1">
      <c r="A35" s="10" t="s">
        <v>111</v>
      </c>
      <c r="B35" s="10" t="s">
        <v>60</v>
      </c>
      <c r="C35" s="10" t="s">
        <v>208</v>
      </c>
      <c r="D35" s="10" t="s">
        <v>103</v>
      </c>
      <c r="E35" s="10" t="s">
        <v>467</v>
      </c>
      <c r="F35" s="11">
        <v>403.61</v>
      </c>
      <c r="G35" s="21">
        <v>67</v>
      </c>
      <c r="H35" s="34" t="s">
        <v>33</v>
      </c>
      <c r="I35" s="10" t="s">
        <v>447</v>
      </c>
      <c r="J35" s="10" t="s">
        <v>441</v>
      </c>
      <c r="K35" s="35" t="s">
        <v>453</v>
      </c>
      <c r="L35" s="35" t="s">
        <v>135</v>
      </c>
      <c r="M35" s="35" t="s">
        <v>454</v>
      </c>
      <c r="N35" s="35" t="s">
        <v>455</v>
      </c>
      <c r="O35" s="35" t="s">
        <v>195</v>
      </c>
      <c r="P35" s="33">
        <v>5</v>
      </c>
      <c r="Q35" s="33">
        <v>4</v>
      </c>
      <c r="R35" s="32" t="s">
        <v>456</v>
      </c>
      <c r="S35" s="36">
        <v>0</v>
      </c>
    </row>
    <row r="36" spans="1:19" ht="42" hidden="1" customHeight="1">
      <c r="A36" s="10" t="s">
        <v>255</v>
      </c>
      <c r="B36" s="10" t="s">
        <v>60</v>
      </c>
      <c r="C36" s="10" t="s">
        <v>392</v>
      </c>
      <c r="D36" s="10" t="s">
        <v>103</v>
      </c>
      <c r="E36" s="10" t="s">
        <v>151</v>
      </c>
      <c r="F36" s="11">
        <v>64439.16</v>
      </c>
      <c r="G36" s="21">
        <v>91.216129184412011</v>
      </c>
      <c r="H36" s="34" t="s">
        <v>31</v>
      </c>
      <c r="I36" s="10" t="s">
        <v>447</v>
      </c>
      <c r="J36" s="10" t="s">
        <v>436</v>
      </c>
      <c r="K36" s="35" t="s">
        <v>448</v>
      </c>
      <c r="L36" s="35" t="s">
        <v>152</v>
      </c>
      <c r="M36" s="35" t="s">
        <v>449</v>
      </c>
      <c r="N36" s="35" t="s">
        <v>450</v>
      </c>
      <c r="O36" s="35" t="s">
        <v>125</v>
      </c>
      <c r="P36" s="33">
        <v>3</v>
      </c>
      <c r="Q36" s="33">
        <v>2</v>
      </c>
      <c r="R36" s="32" t="s">
        <v>456</v>
      </c>
      <c r="S36" s="36">
        <v>0</v>
      </c>
    </row>
    <row r="37" spans="1:19" ht="42" hidden="1" customHeight="1">
      <c r="A37" s="10" t="s">
        <v>255</v>
      </c>
      <c r="B37" s="10" t="s">
        <v>60</v>
      </c>
      <c r="C37" s="10" t="s">
        <v>392</v>
      </c>
      <c r="D37" s="10" t="s">
        <v>103</v>
      </c>
      <c r="E37" s="10" t="s">
        <v>375</v>
      </c>
      <c r="F37" s="11">
        <v>6462.95</v>
      </c>
      <c r="G37" s="21">
        <v>81.25</v>
      </c>
      <c r="H37" s="34" t="s">
        <v>31</v>
      </c>
      <c r="I37" s="10" t="s">
        <v>435</v>
      </c>
      <c r="J37" s="10" t="s">
        <v>436</v>
      </c>
      <c r="K37" s="35" t="s">
        <v>437</v>
      </c>
      <c r="L37" s="35" t="s">
        <v>106</v>
      </c>
      <c r="M37" s="35" t="s">
        <v>438</v>
      </c>
      <c r="N37" s="35" t="s">
        <v>439</v>
      </c>
      <c r="O37" s="35" t="s">
        <v>125</v>
      </c>
      <c r="P37" s="33">
        <v>4</v>
      </c>
      <c r="Q37" s="33">
        <v>3</v>
      </c>
      <c r="R37" s="32" t="s">
        <v>460</v>
      </c>
      <c r="S37" s="36">
        <v>2391</v>
      </c>
    </row>
    <row r="38" spans="1:19" ht="42" hidden="1" customHeight="1">
      <c r="A38" s="10" t="s">
        <v>255</v>
      </c>
      <c r="B38" s="10" t="s">
        <v>60</v>
      </c>
      <c r="C38" s="10" t="s">
        <v>392</v>
      </c>
      <c r="D38" s="10" t="s">
        <v>103</v>
      </c>
      <c r="E38" s="10" t="s">
        <v>464</v>
      </c>
      <c r="F38" s="11">
        <v>10281.01</v>
      </c>
      <c r="G38" s="21">
        <v>80.248742920880659</v>
      </c>
      <c r="H38" s="34" t="s">
        <v>31</v>
      </c>
      <c r="I38" s="10" t="s">
        <v>447</v>
      </c>
      <c r="J38" s="10" t="s">
        <v>436</v>
      </c>
      <c r="K38" s="35" t="s">
        <v>448</v>
      </c>
      <c r="L38" s="35" t="s">
        <v>152</v>
      </c>
      <c r="M38" s="35" t="s">
        <v>449</v>
      </c>
      <c r="N38" s="35" t="s">
        <v>450</v>
      </c>
      <c r="O38" s="35" t="s">
        <v>125</v>
      </c>
      <c r="P38" s="33">
        <v>7</v>
      </c>
      <c r="Q38" s="33">
        <v>6</v>
      </c>
      <c r="R38" s="32" t="s">
        <v>456</v>
      </c>
      <c r="S38" s="36">
        <v>0</v>
      </c>
    </row>
    <row r="39" spans="1:19" ht="42" hidden="1" customHeight="1">
      <c r="A39" s="10" t="s">
        <v>255</v>
      </c>
      <c r="B39" s="10" t="s">
        <v>60</v>
      </c>
      <c r="C39" s="10" t="s">
        <v>392</v>
      </c>
      <c r="D39" s="10" t="s">
        <v>103</v>
      </c>
      <c r="E39" s="10" t="s">
        <v>213</v>
      </c>
      <c r="F39" s="11">
        <v>11384.24</v>
      </c>
      <c r="G39" s="21">
        <v>80</v>
      </c>
      <c r="H39" s="34" t="s">
        <v>31</v>
      </c>
      <c r="I39" s="10" t="s">
        <v>447</v>
      </c>
      <c r="J39" s="10" t="s">
        <v>436</v>
      </c>
      <c r="K39" s="35" t="s">
        <v>448</v>
      </c>
      <c r="L39" s="35" t="s">
        <v>152</v>
      </c>
      <c r="M39" s="35" t="s">
        <v>449</v>
      </c>
      <c r="N39" s="35" t="s">
        <v>450</v>
      </c>
      <c r="O39" s="35" t="s">
        <v>125</v>
      </c>
      <c r="P39" s="33">
        <v>7</v>
      </c>
      <c r="Q39" s="33">
        <v>6</v>
      </c>
      <c r="R39" s="32" t="s">
        <v>456</v>
      </c>
      <c r="S39" s="36">
        <v>0</v>
      </c>
    </row>
    <row r="40" spans="1:19" ht="42" hidden="1" customHeight="1">
      <c r="A40" s="10" t="s">
        <v>255</v>
      </c>
      <c r="B40" s="10" t="s">
        <v>60</v>
      </c>
      <c r="C40" s="10" t="s">
        <v>392</v>
      </c>
      <c r="D40" s="10" t="s">
        <v>103</v>
      </c>
      <c r="E40" s="10" t="s">
        <v>446</v>
      </c>
      <c r="F40" s="11">
        <v>13748.37</v>
      </c>
      <c r="G40" s="21">
        <v>79.962101858847163</v>
      </c>
      <c r="H40" s="34" t="s">
        <v>33</v>
      </c>
      <c r="I40" s="10" t="s">
        <v>447</v>
      </c>
      <c r="J40" s="10" t="s">
        <v>436</v>
      </c>
      <c r="K40" s="35" t="s">
        <v>448</v>
      </c>
      <c r="L40" s="35" t="s">
        <v>152</v>
      </c>
      <c r="M40" s="35" t="s">
        <v>449</v>
      </c>
      <c r="N40" s="35" t="s">
        <v>450</v>
      </c>
      <c r="O40" s="35" t="s">
        <v>195</v>
      </c>
      <c r="P40" s="33">
        <v>10</v>
      </c>
      <c r="Q40" s="33">
        <v>9</v>
      </c>
      <c r="R40" s="32" t="s">
        <v>456</v>
      </c>
      <c r="S40" s="36">
        <v>0</v>
      </c>
    </row>
    <row r="41" spans="1:19" ht="42" hidden="1" customHeight="1">
      <c r="A41" s="10" t="s">
        <v>255</v>
      </c>
      <c r="B41" s="10" t="s">
        <v>60</v>
      </c>
      <c r="C41" s="10" t="s">
        <v>392</v>
      </c>
      <c r="D41" s="10" t="s">
        <v>103</v>
      </c>
      <c r="E41" s="10" t="s">
        <v>468</v>
      </c>
      <c r="F41" s="11">
        <v>134.99</v>
      </c>
      <c r="G41" s="21">
        <v>79.25</v>
      </c>
      <c r="H41" s="34" t="s">
        <v>33</v>
      </c>
      <c r="I41" s="10" t="s">
        <v>435</v>
      </c>
      <c r="J41" s="10" t="s">
        <v>436</v>
      </c>
      <c r="K41" s="35" t="s">
        <v>437</v>
      </c>
      <c r="L41" s="35" t="s">
        <v>106</v>
      </c>
      <c r="M41" s="35" t="s">
        <v>438</v>
      </c>
      <c r="N41" s="35" t="s">
        <v>439</v>
      </c>
      <c r="O41" s="35" t="s">
        <v>195</v>
      </c>
      <c r="P41" s="33">
        <v>8</v>
      </c>
      <c r="Q41" s="33">
        <v>7</v>
      </c>
      <c r="R41" s="32" t="s">
        <v>461</v>
      </c>
      <c r="S41" s="36">
        <v>23</v>
      </c>
    </row>
    <row r="42" spans="1:19" ht="42" hidden="1" customHeight="1">
      <c r="A42" s="10" t="s">
        <v>255</v>
      </c>
      <c r="B42" s="10" t="s">
        <v>60</v>
      </c>
      <c r="C42" s="10" t="s">
        <v>392</v>
      </c>
      <c r="D42" s="10" t="s">
        <v>103</v>
      </c>
      <c r="E42" s="10" t="s">
        <v>457</v>
      </c>
      <c r="F42" s="11">
        <v>17880.509999999998</v>
      </c>
      <c r="G42" s="21">
        <v>76.5</v>
      </c>
      <c r="H42" s="34" t="s">
        <v>33</v>
      </c>
      <c r="I42" s="10" t="s">
        <v>447</v>
      </c>
      <c r="J42" s="10" t="s">
        <v>441</v>
      </c>
      <c r="K42" s="35" t="s">
        <v>453</v>
      </c>
      <c r="L42" s="35" t="s">
        <v>135</v>
      </c>
      <c r="M42" s="35" t="s">
        <v>454</v>
      </c>
      <c r="N42" s="35" t="s">
        <v>455</v>
      </c>
      <c r="O42" s="35" t="s">
        <v>195</v>
      </c>
      <c r="P42" s="33">
        <v>10</v>
      </c>
      <c r="Q42" s="33">
        <v>9</v>
      </c>
      <c r="R42" s="32" t="s">
        <v>456</v>
      </c>
      <c r="S42" s="36">
        <v>0</v>
      </c>
    </row>
    <row r="43" spans="1:19" ht="42" hidden="1" customHeight="1">
      <c r="A43" s="10" t="s">
        <v>255</v>
      </c>
      <c r="B43" s="10" t="s">
        <v>60</v>
      </c>
      <c r="C43" s="10" t="s">
        <v>392</v>
      </c>
      <c r="D43" s="10" t="s">
        <v>103</v>
      </c>
      <c r="E43" s="10" t="s">
        <v>181</v>
      </c>
      <c r="F43" s="11">
        <v>2024.3</v>
      </c>
      <c r="G43" s="21">
        <v>73.75</v>
      </c>
      <c r="H43" s="34" t="s">
        <v>33</v>
      </c>
      <c r="I43" s="10" t="s">
        <v>435</v>
      </c>
      <c r="J43" s="10" t="s">
        <v>441</v>
      </c>
      <c r="K43" s="35" t="s">
        <v>442</v>
      </c>
      <c r="L43" s="35" t="s">
        <v>116</v>
      </c>
      <c r="M43" s="35" t="s">
        <v>443</v>
      </c>
      <c r="N43" s="35" t="s">
        <v>444</v>
      </c>
      <c r="O43" s="35" t="s">
        <v>195</v>
      </c>
      <c r="P43" s="33">
        <v>1</v>
      </c>
      <c r="Q43" s="33">
        <v>1</v>
      </c>
      <c r="R43" s="32" t="s">
        <v>461</v>
      </c>
      <c r="S43" s="36">
        <v>62</v>
      </c>
    </row>
    <row r="44" spans="1:19" ht="42" hidden="1" customHeight="1">
      <c r="A44" s="10" t="s">
        <v>255</v>
      </c>
      <c r="B44" s="10" t="s">
        <v>60</v>
      </c>
      <c r="C44" s="10" t="s">
        <v>392</v>
      </c>
      <c r="D44" s="10" t="s">
        <v>103</v>
      </c>
      <c r="E44" s="10" t="s">
        <v>225</v>
      </c>
      <c r="F44" s="11">
        <v>205.14</v>
      </c>
      <c r="G44" s="21">
        <v>73.6828293081916</v>
      </c>
      <c r="H44" s="34" t="s">
        <v>33</v>
      </c>
      <c r="I44" s="10" t="s">
        <v>435</v>
      </c>
      <c r="J44" s="10" t="s">
        <v>441</v>
      </c>
      <c r="K44" s="35" t="s">
        <v>442</v>
      </c>
      <c r="L44" s="35" t="s">
        <v>116</v>
      </c>
      <c r="M44" s="35" t="s">
        <v>443</v>
      </c>
      <c r="N44" s="35" t="s">
        <v>444</v>
      </c>
      <c r="O44" s="35" t="s">
        <v>195</v>
      </c>
      <c r="P44" s="33">
        <v>4</v>
      </c>
      <c r="Q44" s="33">
        <v>3</v>
      </c>
      <c r="R44" s="32" t="s">
        <v>461</v>
      </c>
      <c r="S44" s="36">
        <v>24</v>
      </c>
    </row>
    <row r="45" spans="1:19" ht="42" hidden="1" customHeight="1">
      <c r="A45" s="10" t="s">
        <v>255</v>
      </c>
      <c r="B45" s="10" t="s">
        <v>60</v>
      </c>
      <c r="C45" s="10" t="s">
        <v>392</v>
      </c>
      <c r="D45" s="10" t="s">
        <v>103</v>
      </c>
      <c r="E45" s="10" t="s">
        <v>466</v>
      </c>
      <c r="F45" s="11">
        <v>305.41000000000003</v>
      </c>
      <c r="G45" s="21">
        <v>70.5</v>
      </c>
      <c r="H45" s="34" t="s">
        <v>33</v>
      </c>
      <c r="I45" s="10" t="s">
        <v>447</v>
      </c>
      <c r="J45" s="10" t="s">
        <v>436</v>
      </c>
      <c r="K45" s="35" t="s">
        <v>448</v>
      </c>
      <c r="L45" s="35" t="s">
        <v>152</v>
      </c>
      <c r="M45" s="35" t="s">
        <v>449</v>
      </c>
      <c r="N45" s="35" t="s">
        <v>450</v>
      </c>
      <c r="O45" s="35" t="s">
        <v>195</v>
      </c>
      <c r="P45" s="33">
        <v>1</v>
      </c>
      <c r="Q45" s="33">
        <v>1</v>
      </c>
      <c r="R45" s="32" t="s">
        <v>456</v>
      </c>
      <c r="S45" s="36">
        <v>0</v>
      </c>
    </row>
    <row r="46" spans="1:19" ht="42" hidden="1" customHeight="1">
      <c r="A46" s="10" t="s">
        <v>255</v>
      </c>
      <c r="B46" s="10" t="s">
        <v>60</v>
      </c>
      <c r="C46" s="10" t="s">
        <v>392</v>
      </c>
      <c r="D46" s="10" t="s">
        <v>103</v>
      </c>
      <c r="E46" s="10" t="s">
        <v>469</v>
      </c>
      <c r="F46" s="11">
        <v>930.63</v>
      </c>
      <c r="G46" s="21">
        <v>69.450967292390857</v>
      </c>
      <c r="H46" s="34" t="s">
        <v>33</v>
      </c>
      <c r="I46" s="10" t="s">
        <v>447</v>
      </c>
      <c r="J46" s="10" t="s">
        <v>441</v>
      </c>
      <c r="K46" s="35" t="s">
        <v>453</v>
      </c>
      <c r="L46" s="35" t="s">
        <v>135</v>
      </c>
      <c r="M46" s="35" t="s">
        <v>454</v>
      </c>
      <c r="N46" s="35" t="s">
        <v>455</v>
      </c>
      <c r="O46" s="35" t="s">
        <v>195</v>
      </c>
      <c r="P46" s="33">
        <v>7</v>
      </c>
      <c r="Q46" s="33">
        <v>6</v>
      </c>
      <c r="R46" s="32" t="s">
        <v>456</v>
      </c>
      <c r="S46" s="36">
        <v>0</v>
      </c>
    </row>
    <row r="47" spans="1:19" ht="42" hidden="1" customHeight="1">
      <c r="A47" s="10" t="s">
        <v>255</v>
      </c>
      <c r="B47" s="10" t="s">
        <v>60</v>
      </c>
      <c r="C47" s="10" t="s">
        <v>392</v>
      </c>
      <c r="D47" s="10" t="s">
        <v>103</v>
      </c>
      <c r="E47" s="10" t="s">
        <v>462</v>
      </c>
      <c r="F47" s="11">
        <v>6889.43</v>
      </c>
      <c r="G47" s="21">
        <v>68.551520253330381</v>
      </c>
      <c r="H47" s="34" t="s">
        <v>33</v>
      </c>
      <c r="I47" s="10" t="s">
        <v>447</v>
      </c>
      <c r="J47" s="10" t="s">
        <v>441</v>
      </c>
      <c r="K47" s="35" t="s">
        <v>453</v>
      </c>
      <c r="L47" s="35" t="s">
        <v>135</v>
      </c>
      <c r="M47" s="35" t="s">
        <v>454</v>
      </c>
      <c r="N47" s="35" t="s">
        <v>455</v>
      </c>
      <c r="O47" s="35" t="s">
        <v>195</v>
      </c>
      <c r="P47" s="33">
        <v>7</v>
      </c>
      <c r="Q47" s="33">
        <v>6</v>
      </c>
      <c r="R47" s="32" t="s">
        <v>456</v>
      </c>
      <c r="S47" s="36">
        <v>0</v>
      </c>
    </row>
    <row r="48" spans="1:19" ht="42" hidden="1" customHeight="1">
      <c r="A48" s="10" t="s">
        <v>255</v>
      </c>
      <c r="B48" s="10" t="s">
        <v>60</v>
      </c>
      <c r="C48" s="10" t="s">
        <v>392</v>
      </c>
      <c r="D48" s="10" t="s">
        <v>103</v>
      </c>
      <c r="E48" s="10" t="s">
        <v>467</v>
      </c>
      <c r="F48" s="11">
        <v>185.54</v>
      </c>
      <c r="G48" s="21">
        <v>67</v>
      </c>
      <c r="H48" s="34" t="s">
        <v>33</v>
      </c>
      <c r="I48" s="10" t="s">
        <v>447</v>
      </c>
      <c r="J48" s="10" t="s">
        <v>441</v>
      </c>
      <c r="K48" s="35" t="s">
        <v>453</v>
      </c>
      <c r="L48" s="35" t="s">
        <v>135</v>
      </c>
      <c r="M48" s="35" t="s">
        <v>454</v>
      </c>
      <c r="N48" s="35" t="s">
        <v>455</v>
      </c>
      <c r="O48" s="35" t="s">
        <v>195</v>
      </c>
      <c r="P48" s="33">
        <v>6</v>
      </c>
      <c r="Q48" s="33">
        <v>5</v>
      </c>
      <c r="R48" s="32" t="s">
        <v>456</v>
      </c>
      <c r="S48" s="36">
        <v>0</v>
      </c>
    </row>
    <row r="49" spans="1:19" ht="42" hidden="1" customHeight="1">
      <c r="A49" s="10" t="s">
        <v>255</v>
      </c>
      <c r="B49" s="10" t="s">
        <v>60</v>
      </c>
      <c r="C49" s="10" t="s">
        <v>392</v>
      </c>
      <c r="D49" s="10" t="s">
        <v>103</v>
      </c>
      <c r="E49" s="10" t="s">
        <v>470</v>
      </c>
      <c r="F49" s="11">
        <v>18479.38</v>
      </c>
      <c r="G49" s="21">
        <v>66.126270119076821</v>
      </c>
      <c r="H49" s="34" t="s">
        <v>33</v>
      </c>
      <c r="I49" s="10" t="s">
        <v>447</v>
      </c>
      <c r="J49" s="10" t="s">
        <v>471</v>
      </c>
      <c r="K49" s="35" t="s">
        <v>472</v>
      </c>
      <c r="L49" s="35" t="s">
        <v>174</v>
      </c>
      <c r="M49" s="35" t="s">
        <v>473</v>
      </c>
      <c r="N49" s="35" t="s">
        <v>137</v>
      </c>
      <c r="O49" s="35" t="s">
        <v>195</v>
      </c>
      <c r="P49" s="33">
        <v>1</v>
      </c>
      <c r="Q49" s="33">
        <v>1</v>
      </c>
      <c r="R49" s="32" t="s">
        <v>456</v>
      </c>
      <c r="S49" s="36">
        <v>0</v>
      </c>
    </row>
    <row r="50" spans="1:19" ht="42" hidden="1" customHeight="1">
      <c r="A50" s="10" t="s">
        <v>255</v>
      </c>
      <c r="B50" s="10" t="s">
        <v>60</v>
      </c>
      <c r="C50" s="10" t="s">
        <v>392</v>
      </c>
      <c r="D50" s="10" t="s">
        <v>103</v>
      </c>
      <c r="E50" s="10" t="s">
        <v>474</v>
      </c>
      <c r="F50" s="11">
        <v>18317.91</v>
      </c>
      <c r="G50" s="21">
        <v>65.5</v>
      </c>
      <c r="H50" s="34" t="s">
        <v>33</v>
      </c>
      <c r="I50" s="10" t="s">
        <v>447</v>
      </c>
      <c r="J50" s="10" t="s">
        <v>471</v>
      </c>
      <c r="K50" s="35" t="s">
        <v>472</v>
      </c>
      <c r="L50" s="35" t="s">
        <v>174</v>
      </c>
      <c r="M50" s="35" t="s">
        <v>473</v>
      </c>
      <c r="N50" s="35" t="s">
        <v>137</v>
      </c>
      <c r="O50" s="35" t="s">
        <v>195</v>
      </c>
      <c r="P50" s="33">
        <v>11</v>
      </c>
      <c r="Q50" s="33">
        <v>10</v>
      </c>
      <c r="R50" s="32" t="s">
        <v>456</v>
      </c>
      <c r="S50" s="36">
        <v>0</v>
      </c>
    </row>
    <row r="51" spans="1:19" ht="42" hidden="1" customHeight="1">
      <c r="A51" s="10" t="s">
        <v>255</v>
      </c>
      <c r="B51" s="10" t="s">
        <v>60</v>
      </c>
      <c r="C51" s="10" t="s">
        <v>392</v>
      </c>
      <c r="D51" s="10" t="s">
        <v>103</v>
      </c>
      <c r="E51" s="10" t="s">
        <v>475</v>
      </c>
      <c r="F51" s="11">
        <v>1832.64</v>
      </c>
      <c r="G51" s="21">
        <v>65.195076916659886</v>
      </c>
      <c r="H51" s="34" t="s">
        <v>33</v>
      </c>
      <c r="I51" s="10" t="s">
        <v>447</v>
      </c>
      <c r="J51" s="10" t="s">
        <v>441</v>
      </c>
      <c r="K51" s="35" t="s">
        <v>453</v>
      </c>
      <c r="L51" s="35" t="s">
        <v>135</v>
      </c>
      <c r="M51" s="35" t="s">
        <v>454</v>
      </c>
      <c r="N51" s="35" t="s">
        <v>455</v>
      </c>
      <c r="O51" s="35" t="s">
        <v>195</v>
      </c>
      <c r="P51" s="33">
        <v>1</v>
      </c>
      <c r="Q51" s="33">
        <v>1</v>
      </c>
      <c r="R51" s="32" t="s">
        <v>456</v>
      </c>
      <c r="S51" s="36">
        <v>0</v>
      </c>
    </row>
    <row r="52" spans="1:19" ht="42" hidden="1" customHeight="1">
      <c r="A52" s="10" t="s">
        <v>255</v>
      </c>
      <c r="B52" s="10" t="s">
        <v>60</v>
      </c>
      <c r="C52" s="10" t="s">
        <v>392</v>
      </c>
      <c r="D52" s="10" t="s">
        <v>103</v>
      </c>
      <c r="E52" s="10" t="s">
        <v>452</v>
      </c>
      <c r="F52" s="11">
        <v>330.85</v>
      </c>
      <c r="G52" s="21">
        <v>65</v>
      </c>
      <c r="H52" s="34" t="s">
        <v>33</v>
      </c>
      <c r="I52" s="10" t="s">
        <v>447</v>
      </c>
      <c r="J52" s="10" t="s">
        <v>441</v>
      </c>
      <c r="K52" s="35" t="s">
        <v>453</v>
      </c>
      <c r="L52" s="35" t="s">
        <v>135</v>
      </c>
      <c r="M52" s="35" t="s">
        <v>454</v>
      </c>
      <c r="N52" s="35" t="s">
        <v>455</v>
      </c>
      <c r="O52" s="35" t="s">
        <v>195</v>
      </c>
      <c r="P52" s="33">
        <v>8</v>
      </c>
      <c r="Q52" s="33">
        <v>7</v>
      </c>
      <c r="R52" s="32" t="s">
        <v>456</v>
      </c>
      <c r="S52" s="36">
        <v>0</v>
      </c>
    </row>
    <row r="53" spans="1:19" ht="42" hidden="1" customHeight="1">
      <c r="A53" s="10" t="s">
        <v>111</v>
      </c>
      <c r="B53" s="10" t="s">
        <v>60</v>
      </c>
      <c r="C53" s="10" t="s">
        <v>112</v>
      </c>
      <c r="D53" s="10" t="s">
        <v>113</v>
      </c>
      <c r="E53" s="10" t="s">
        <v>115</v>
      </c>
      <c r="F53" s="11">
        <v>1663.63</v>
      </c>
      <c r="G53" s="21">
        <v>81.029969712371766</v>
      </c>
      <c r="H53" s="34" t="s">
        <v>31</v>
      </c>
      <c r="I53" s="10" t="s">
        <v>435</v>
      </c>
      <c r="J53" s="10" t="s">
        <v>441</v>
      </c>
      <c r="K53" s="35" t="s">
        <v>442</v>
      </c>
      <c r="L53" s="35" t="s">
        <v>116</v>
      </c>
      <c r="M53" s="35" t="s">
        <v>443</v>
      </c>
      <c r="N53" s="35" t="s">
        <v>444</v>
      </c>
      <c r="O53" s="35" t="s">
        <v>125</v>
      </c>
      <c r="P53" s="33">
        <v>8</v>
      </c>
      <c r="Q53" s="33">
        <v>7</v>
      </c>
      <c r="R53" s="32" t="s">
        <v>476</v>
      </c>
      <c r="S53" s="36">
        <v>2200</v>
      </c>
    </row>
    <row r="54" spans="1:19" ht="42" hidden="1" customHeight="1">
      <c r="A54" s="10" t="s">
        <v>111</v>
      </c>
      <c r="B54" s="10" t="s">
        <v>60</v>
      </c>
      <c r="C54" s="10" t="s">
        <v>112</v>
      </c>
      <c r="D54" s="10" t="s">
        <v>113</v>
      </c>
      <c r="E54" s="10" t="s">
        <v>477</v>
      </c>
      <c r="F54" s="11">
        <v>22989.71</v>
      </c>
      <c r="G54" s="21">
        <v>65.672323946491119</v>
      </c>
      <c r="H54" s="34" t="s">
        <v>33</v>
      </c>
      <c r="I54" s="10" t="s">
        <v>447</v>
      </c>
      <c r="J54" s="10" t="s">
        <v>471</v>
      </c>
      <c r="K54" s="35" t="s">
        <v>472</v>
      </c>
      <c r="L54" s="35" t="s">
        <v>174</v>
      </c>
      <c r="M54" s="35" t="s">
        <v>473</v>
      </c>
      <c r="N54" s="35" t="s">
        <v>137</v>
      </c>
      <c r="O54" s="35" t="s">
        <v>195</v>
      </c>
      <c r="P54" s="33">
        <v>3</v>
      </c>
      <c r="Q54" s="33">
        <v>2</v>
      </c>
      <c r="R54" s="32" t="s">
        <v>456</v>
      </c>
      <c r="S54" s="36">
        <v>0</v>
      </c>
    </row>
    <row r="55" spans="1:19" ht="42" hidden="1" customHeight="1">
      <c r="A55" s="10" t="s">
        <v>111</v>
      </c>
      <c r="B55" s="10" t="s">
        <v>60</v>
      </c>
      <c r="C55" s="10" t="s">
        <v>377</v>
      </c>
      <c r="D55" s="10" t="s">
        <v>103</v>
      </c>
      <c r="E55" s="10" t="s">
        <v>375</v>
      </c>
      <c r="F55" s="11">
        <v>17487.759999999998</v>
      </c>
      <c r="G55" s="21">
        <v>100</v>
      </c>
      <c r="H55" s="34" t="s">
        <v>31</v>
      </c>
      <c r="I55" s="10" t="s">
        <v>435</v>
      </c>
      <c r="J55" s="10" t="s">
        <v>436</v>
      </c>
      <c r="K55" s="35" t="s">
        <v>437</v>
      </c>
      <c r="L55" s="35" t="s">
        <v>106</v>
      </c>
      <c r="M55" s="35" t="s">
        <v>438</v>
      </c>
      <c r="N55" s="35" t="s">
        <v>439</v>
      </c>
      <c r="O55" s="35" t="s">
        <v>125</v>
      </c>
      <c r="P55" s="33">
        <v>10</v>
      </c>
      <c r="Q55" s="33">
        <v>9</v>
      </c>
      <c r="R55" s="32" t="s">
        <v>440</v>
      </c>
      <c r="S55" s="36">
        <v>2724</v>
      </c>
    </row>
    <row r="56" spans="1:19" ht="42" hidden="1" customHeight="1">
      <c r="A56" s="10" t="s">
        <v>111</v>
      </c>
      <c r="B56" s="10" t="s">
        <v>60</v>
      </c>
      <c r="C56" s="10" t="s">
        <v>377</v>
      </c>
      <c r="D56" s="10" t="s">
        <v>103</v>
      </c>
      <c r="E56" s="10" t="s">
        <v>464</v>
      </c>
      <c r="F56" s="11">
        <v>7155.92</v>
      </c>
      <c r="G56" s="21">
        <v>86.498742920880659</v>
      </c>
      <c r="H56" s="34" t="s">
        <v>31</v>
      </c>
      <c r="I56" s="10" t="s">
        <v>447</v>
      </c>
      <c r="J56" s="10" t="s">
        <v>436</v>
      </c>
      <c r="K56" s="35" t="s">
        <v>448</v>
      </c>
      <c r="L56" s="35" t="s">
        <v>152</v>
      </c>
      <c r="M56" s="35" t="s">
        <v>449</v>
      </c>
      <c r="N56" s="35" t="s">
        <v>450</v>
      </c>
      <c r="O56" s="35" t="s">
        <v>125</v>
      </c>
      <c r="P56" s="33">
        <v>4</v>
      </c>
      <c r="Q56" s="33">
        <v>3</v>
      </c>
      <c r="R56" s="32" t="s">
        <v>451</v>
      </c>
      <c r="S56" s="36">
        <v>106</v>
      </c>
    </row>
    <row r="57" spans="1:19" ht="42" hidden="1" customHeight="1">
      <c r="A57" s="10" t="s">
        <v>111</v>
      </c>
      <c r="B57" s="10" t="s">
        <v>60</v>
      </c>
      <c r="C57" s="10" t="s">
        <v>377</v>
      </c>
      <c r="D57" s="10" t="s">
        <v>103</v>
      </c>
      <c r="E57" s="10" t="s">
        <v>213</v>
      </c>
      <c r="F57" s="11">
        <v>13626.58</v>
      </c>
      <c r="G57" s="21">
        <v>86.25</v>
      </c>
      <c r="H57" s="34" t="s">
        <v>31</v>
      </c>
      <c r="I57" s="10" t="s">
        <v>447</v>
      </c>
      <c r="J57" s="10" t="s">
        <v>436</v>
      </c>
      <c r="K57" s="35" t="s">
        <v>448</v>
      </c>
      <c r="L57" s="35" t="s">
        <v>152</v>
      </c>
      <c r="M57" s="35" t="s">
        <v>449</v>
      </c>
      <c r="N57" s="35" t="s">
        <v>450</v>
      </c>
      <c r="O57" s="35" t="s">
        <v>125</v>
      </c>
      <c r="P57" s="33">
        <v>11</v>
      </c>
      <c r="Q57" s="33">
        <v>10</v>
      </c>
      <c r="R57" s="32" t="s">
        <v>451</v>
      </c>
      <c r="S57" s="36">
        <v>183</v>
      </c>
    </row>
    <row r="58" spans="1:19" ht="42" hidden="1" customHeight="1">
      <c r="A58" s="10" t="s">
        <v>111</v>
      </c>
      <c r="B58" s="10" t="s">
        <v>60</v>
      </c>
      <c r="C58" s="10" t="s">
        <v>377</v>
      </c>
      <c r="D58" s="10" t="s">
        <v>103</v>
      </c>
      <c r="E58" s="10" t="s">
        <v>446</v>
      </c>
      <c r="F58" s="11">
        <v>9044.5</v>
      </c>
      <c r="G58" s="21">
        <v>86.212101858847163</v>
      </c>
      <c r="H58" s="34" t="s">
        <v>31</v>
      </c>
      <c r="I58" s="10" t="s">
        <v>447</v>
      </c>
      <c r="J58" s="10" t="s">
        <v>436</v>
      </c>
      <c r="K58" s="35" t="s">
        <v>448</v>
      </c>
      <c r="L58" s="35" t="s">
        <v>152</v>
      </c>
      <c r="M58" s="35" t="s">
        <v>449</v>
      </c>
      <c r="N58" s="35" t="s">
        <v>450</v>
      </c>
      <c r="O58" s="35" t="s">
        <v>125</v>
      </c>
      <c r="P58" s="33">
        <v>4</v>
      </c>
      <c r="Q58" s="33">
        <v>3</v>
      </c>
      <c r="R58" s="32" t="s">
        <v>451</v>
      </c>
      <c r="S58" s="36">
        <v>128</v>
      </c>
    </row>
    <row r="59" spans="1:19" ht="42" hidden="1" customHeight="1">
      <c r="A59" s="10" t="s">
        <v>111</v>
      </c>
      <c r="B59" s="10" t="s">
        <v>60</v>
      </c>
      <c r="C59" s="10" t="s">
        <v>377</v>
      </c>
      <c r="D59" s="10" t="s">
        <v>103</v>
      </c>
      <c r="E59" s="10" t="s">
        <v>467</v>
      </c>
      <c r="F59" s="11">
        <v>10339.76</v>
      </c>
      <c r="G59" s="21">
        <v>80.75</v>
      </c>
      <c r="H59" s="34" t="s">
        <v>31</v>
      </c>
      <c r="I59" s="10" t="s">
        <v>447</v>
      </c>
      <c r="J59" s="10" t="s">
        <v>441</v>
      </c>
      <c r="K59" s="35" t="s">
        <v>453</v>
      </c>
      <c r="L59" s="35" t="s">
        <v>135</v>
      </c>
      <c r="M59" s="35" t="s">
        <v>454</v>
      </c>
      <c r="N59" s="35" t="s">
        <v>455</v>
      </c>
      <c r="O59" s="35" t="s">
        <v>125</v>
      </c>
      <c r="P59" s="33">
        <v>6</v>
      </c>
      <c r="Q59" s="33">
        <v>5</v>
      </c>
      <c r="R59" s="32" t="s">
        <v>456</v>
      </c>
      <c r="S59" s="36">
        <v>0</v>
      </c>
    </row>
    <row r="60" spans="1:19" ht="42" hidden="1" customHeight="1">
      <c r="A60" s="10" t="s">
        <v>111</v>
      </c>
      <c r="B60" s="10" t="s">
        <v>60</v>
      </c>
      <c r="C60" s="10" t="s">
        <v>377</v>
      </c>
      <c r="D60" s="10" t="s">
        <v>103</v>
      </c>
      <c r="E60" s="10" t="s">
        <v>462</v>
      </c>
      <c r="F60" s="11">
        <v>3420.61</v>
      </c>
      <c r="G60" s="21">
        <v>76.352031083007802</v>
      </c>
      <c r="H60" s="34" t="s">
        <v>33</v>
      </c>
      <c r="I60" s="10" t="s">
        <v>447</v>
      </c>
      <c r="J60" s="10" t="s">
        <v>441</v>
      </c>
      <c r="K60" s="35" t="s">
        <v>453</v>
      </c>
      <c r="L60" s="35" t="s">
        <v>135</v>
      </c>
      <c r="M60" s="35" t="s">
        <v>454</v>
      </c>
      <c r="N60" s="35" t="s">
        <v>455</v>
      </c>
      <c r="O60" s="35" t="s">
        <v>195</v>
      </c>
      <c r="P60" s="33">
        <v>10</v>
      </c>
      <c r="Q60" s="33">
        <v>9</v>
      </c>
      <c r="R60" s="32" t="s">
        <v>456</v>
      </c>
      <c r="S60" s="36">
        <v>0</v>
      </c>
    </row>
    <row r="61" spans="1:19" ht="42" hidden="1" customHeight="1">
      <c r="A61" s="10" t="s">
        <v>111</v>
      </c>
      <c r="B61" s="10" t="s">
        <v>60</v>
      </c>
      <c r="C61" s="10" t="s">
        <v>377</v>
      </c>
      <c r="D61" s="10" t="s">
        <v>103</v>
      </c>
      <c r="E61" s="10" t="s">
        <v>225</v>
      </c>
      <c r="F61" s="11">
        <v>2400.39</v>
      </c>
      <c r="G61" s="21">
        <v>73.6828293081916</v>
      </c>
      <c r="H61" s="34" t="s">
        <v>33</v>
      </c>
      <c r="I61" s="10" t="s">
        <v>435</v>
      </c>
      <c r="J61" s="10" t="s">
        <v>441</v>
      </c>
      <c r="K61" s="35" t="s">
        <v>442</v>
      </c>
      <c r="L61" s="35" t="s">
        <v>116</v>
      </c>
      <c r="M61" s="35" t="s">
        <v>443</v>
      </c>
      <c r="N61" s="35" t="s">
        <v>444</v>
      </c>
      <c r="O61" s="35" t="s">
        <v>195</v>
      </c>
      <c r="P61" s="33">
        <v>4</v>
      </c>
      <c r="Q61" s="33">
        <v>3</v>
      </c>
      <c r="R61" s="32" t="s">
        <v>445</v>
      </c>
      <c r="S61" s="36">
        <v>82</v>
      </c>
    </row>
    <row r="62" spans="1:19" ht="42" hidden="1" customHeight="1">
      <c r="A62" s="10" t="s">
        <v>111</v>
      </c>
      <c r="B62" s="10" t="s">
        <v>60</v>
      </c>
      <c r="C62" s="10" t="s">
        <v>377</v>
      </c>
      <c r="D62" s="10" t="s">
        <v>103</v>
      </c>
      <c r="E62" s="10" t="s">
        <v>151</v>
      </c>
      <c r="F62" s="11">
        <v>2783.15</v>
      </c>
      <c r="G62" s="21">
        <v>72.466129184412011</v>
      </c>
      <c r="H62" s="34" t="s">
        <v>33</v>
      </c>
      <c r="I62" s="10" t="s">
        <v>447</v>
      </c>
      <c r="J62" s="10" t="s">
        <v>436</v>
      </c>
      <c r="K62" s="35" t="s">
        <v>448</v>
      </c>
      <c r="L62" s="35" t="s">
        <v>152</v>
      </c>
      <c r="M62" s="35" t="s">
        <v>449</v>
      </c>
      <c r="N62" s="35" t="s">
        <v>450</v>
      </c>
      <c r="O62" s="35" t="s">
        <v>195</v>
      </c>
      <c r="P62" s="33">
        <v>4</v>
      </c>
      <c r="Q62" s="33">
        <v>3</v>
      </c>
      <c r="R62" s="32" t="s">
        <v>451</v>
      </c>
      <c r="S62" s="36">
        <v>44</v>
      </c>
    </row>
    <row r="63" spans="1:19" ht="42" hidden="1" customHeight="1">
      <c r="A63" s="10" t="s">
        <v>111</v>
      </c>
      <c r="B63" s="10" t="s">
        <v>60</v>
      </c>
      <c r="C63" s="10" t="s">
        <v>377</v>
      </c>
      <c r="D63" s="10" t="s">
        <v>103</v>
      </c>
      <c r="E63" s="10" t="s">
        <v>478</v>
      </c>
      <c r="F63" s="11">
        <v>1709.5</v>
      </c>
      <c r="G63" s="21">
        <v>65.147936405491748</v>
      </c>
      <c r="H63" s="34" t="s">
        <v>33</v>
      </c>
      <c r="I63" s="10" t="s">
        <v>447</v>
      </c>
      <c r="J63" s="10" t="s">
        <v>436</v>
      </c>
      <c r="K63" s="35" t="s">
        <v>448</v>
      </c>
      <c r="L63" s="35" t="s">
        <v>152</v>
      </c>
      <c r="M63" s="35" t="s">
        <v>449</v>
      </c>
      <c r="N63" s="35" t="s">
        <v>450</v>
      </c>
      <c r="O63" s="35" t="s">
        <v>195</v>
      </c>
      <c r="P63" s="33">
        <v>11</v>
      </c>
      <c r="Q63" s="33">
        <v>10</v>
      </c>
      <c r="R63" s="32" t="s">
        <v>451</v>
      </c>
      <c r="S63" s="36">
        <v>33</v>
      </c>
    </row>
    <row r="64" spans="1:19" ht="42" hidden="1" customHeight="1">
      <c r="A64" s="10" t="s">
        <v>111</v>
      </c>
      <c r="B64" s="10" t="s">
        <v>60</v>
      </c>
      <c r="C64" s="10" t="s">
        <v>367</v>
      </c>
      <c r="D64" s="10" t="s">
        <v>149</v>
      </c>
      <c r="E64" s="10" t="s">
        <v>193</v>
      </c>
      <c r="F64" s="11">
        <v>1093.8699999999999</v>
      </c>
      <c r="G64" s="21">
        <v>73.835273425396053</v>
      </c>
      <c r="H64" s="34" t="s">
        <v>33</v>
      </c>
      <c r="I64" s="10" t="s">
        <v>435</v>
      </c>
      <c r="J64" s="10" t="s">
        <v>441</v>
      </c>
      <c r="K64" s="35" t="s">
        <v>442</v>
      </c>
      <c r="L64" s="35" t="s">
        <v>116</v>
      </c>
      <c r="M64" s="35" t="s">
        <v>443</v>
      </c>
      <c r="N64" s="35" t="s">
        <v>444</v>
      </c>
      <c r="O64" s="35" t="s">
        <v>195</v>
      </c>
      <c r="P64" s="33">
        <v>9</v>
      </c>
      <c r="Q64" s="33">
        <v>8</v>
      </c>
      <c r="R64" s="32" t="s">
        <v>463</v>
      </c>
      <c r="S64" s="36">
        <v>0</v>
      </c>
    </row>
    <row r="65" spans="1:19" ht="42" hidden="1" customHeight="1">
      <c r="A65" s="10" t="s">
        <v>111</v>
      </c>
      <c r="B65" s="10" t="s">
        <v>60</v>
      </c>
      <c r="C65" s="10" t="s">
        <v>367</v>
      </c>
      <c r="D65" s="10" t="s">
        <v>149</v>
      </c>
      <c r="E65" s="10" t="s">
        <v>462</v>
      </c>
      <c r="F65" s="11">
        <v>1984.81</v>
      </c>
      <c r="G65" s="21">
        <v>70.102031083007802</v>
      </c>
      <c r="H65" s="34" t="s">
        <v>33</v>
      </c>
      <c r="I65" s="10" t="s">
        <v>447</v>
      </c>
      <c r="J65" s="10" t="s">
        <v>441</v>
      </c>
      <c r="K65" s="35" t="s">
        <v>453</v>
      </c>
      <c r="L65" s="35" t="s">
        <v>135</v>
      </c>
      <c r="M65" s="35" t="s">
        <v>454</v>
      </c>
      <c r="N65" s="35" t="s">
        <v>455</v>
      </c>
      <c r="O65" s="35" t="s">
        <v>195</v>
      </c>
      <c r="P65" s="33">
        <v>3</v>
      </c>
      <c r="Q65" s="33">
        <v>2</v>
      </c>
      <c r="R65" s="32" t="s">
        <v>463</v>
      </c>
      <c r="S65" s="36">
        <v>0</v>
      </c>
    </row>
    <row r="66" spans="1:19" ht="42" hidden="1" customHeight="1">
      <c r="A66" s="10" t="s">
        <v>111</v>
      </c>
      <c r="B66" s="10" t="s">
        <v>60</v>
      </c>
      <c r="C66" s="10" t="s">
        <v>367</v>
      </c>
      <c r="D66" s="10" t="s">
        <v>149</v>
      </c>
      <c r="E66" s="10" t="s">
        <v>464</v>
      </c>
      <c r="F66" s="11">
        <v>1271.3399999999999</v>
      </c>
      <c r="G66" s="21">
        <v>68.998742920880659</v>
      </c>
      <c r="H66" s="34" t="s">
        <v>33</v>
      </c>
      <c r="I66" s="10" t="s">
        <v>447</v>
      </c>
      <c r="J66" s="10" t="s">
        <v>436</v>
      </c>
      <c r="K66" s="35" t="s">
        <v>448</v>
      </c>
      <c r="L66" s="35" t="s">
        <v>152</v>
      </c>
      <c r="M66" s="35" t="s">
        <v>449</v>
      </c>
      <c r="N66" s="35" t="s">
        <v>450</v>
      </c>
      <c r="O66" s="35" t="s">
        <v>195</v>
      </c>
      <c r="P66" s="33">
        <v>5</v>
      </c>
      <c r="Q66" s="33">
        <v>4</v>
      </c>
      <c r="R66" s="32" t="s">
        <v>463</v>
      </c>
      <c r="S66" s="36">
        <v>0</v>
      </c>
    </row>
    <row r="67" spans="1:19" ht="42" hidden="1" customHeight="1">
      <c r="A67" s="10" t="s">
        <v>101</v>
      </c>
      <c r="B67" s="10" t="s">
        <v>60</v>
      </c>
      <c r="C67" s="10" t="s">
        <v>239</v>
      </c>
      <c r="D67" s="10" t="s">
        <v>127</v>
      </c>
      <c r="E67" s="10" t="s">
        <v>193</v>
      </c>
      <c r="F67" s="11">
        <v>10309.219999999999</v>
      </c>
      <c r="G67" s="21">
        <v>95.585273425396053</v>
      </c>
      <c r="H67" s="34" t="s">
        <v>31</v>
      </c>
      <c r="I67" s="10" t="s">
        <v>435</v>
      </c>
      <c r="J67" s="10" t="s">
        <v>436</v>
      </c>
      <c r="K67" s="35" t="s">
        <v>437</v>
      </c>
      <c r="L67" s="35" t="s">
        <v>106</v>
      </c>
      <c r="M67" s="35" t="s">
        <v>438</v>
      </c>
      <c r="N67" s="35" t="s">
        <v>439</v>
      </c>
      <c r="O67" s="35" t="s">
        <v>125</v>
      </c>
      <c r="P67" s="33">
        <v>5</v>
      </c>
      <c r="Q67" s="33">
        <v>4</v>
      </c>
      <c r="R67" s="32" t="s">
        <v>440</v>
      </c>
      <c r="S67" s="36">
        <v>2625</v>
      </c>
    </row>
    <row r="68" spans="1:19" ht="42" hidden="1" customHeight="1">
      <c r="A68" s="10" t="s">
        <v>101</v>
      </c>
      <c r="B68" s="10" t="s">
        <v>60</v>
      </c>
      <c r="C68" s="10" t="s">
        <v>239</v>
      </c>
      <c r="D68" s="10" t="s">
        <v>127</v>
      </c>
      <c r="E68" s="10" t="s">
        <v>213</v>
      </c>
      <c r="F68" s="11">
        <v>6659.63</v>
      </c>
      <c r="G68" s="21">
        <v>82.5</v>
      </c>
      <c r="H68" s="34" t="s">
        <v>31</v>
      </c>
      <c r="I68" s="10" t="s">
        <v>447</v>
      </c>
      <c r="J68" s="10" t="s">
        <v>436</v>
      </c>
      <c r="K68" s="35" t="s">
        <v>448</v>
      </c>
      <c r="L68" s="35" t="s">
        <v>152</v>
      </c>
      <c r="M68" s="35" t="s">
        <v>449</v>
      </c>
      <c r="N68" s="35" t="s">
        <v>450</v>
      </c>
      <c r="O68" s="35" t="s">
        <v>125</v>
      </c>
      <c r="P68" s="33">
        <v>3</v>
      </c>
      <c r="Q68" s="33">
        <v>2</v>
      </c>
      <c r="R68" s="32" t="s">
        <v>451</v>
      </c>
      <c r="S68" s="36">
        <v>151</v>
      </c>
    </row>
    <row r="69" spans="1:19" ht="42" hidden="1" customHeight="1">
      <c r="A69" s="10" t="s">
        <v>101</v>
      </c>
      <c r="B69" s="10" t="s">
        <v>60</v>
      </c>
      <c r="C69" s="10" t="s">
        <v>239</v>
      </c>
      <c r="D69" s="10" t="s">
        <v>127</v>
      </c>
      <c r="E69" s="10" t="s">
        <v>446</v>
      </c>
      <c r="F69" s="11">
        <v>7960.64</v>
      </c>
      <c r="G69" s="21">
        <v>82.462101858847163</v>
      </c>
      <c r="H69" s="34" t="s">
        <v>31</v>
      </c>
      <c r="I69" s="10" t="s">
        <v>447</v>
      </c>
      <c r="J69" s="10" t="s">
        <v>436</v>
      </c>
      <c r="K69" s="35" t="s">
        <v>448</v>
      </c>
      <c r="L69" s="35" t="s">
        <v>152</v>
      </c>
      <c r="M69" s="35" t="s">
        <v>449</v>
      </c>
      <c r="N69" s="35" t="s">
        <v>450</v>
      </c>
      <c r="O69" s="35" t="s">
        <v>125</v>
      </c>
      <c r="P69" s="33">
        <v>6</v>
      </c>
      <c r="Q69" s="33">
        <v>5</v>
      </c>
      <c r="R69" s="32" t="s">
        <v>451</v>
      </c>
      <c r="S69" s="36">
        <v>177</v>
      </c>
    </row>
    <row r="70" spans="1:19" ht="42" hidden="1" customHeight="1">
      <c r="A70" s="10" t="s">
        <v>101</v>
      </c>
      <c r="B70" s="10" t="s">
        <v>60</v>
      </c>
      <c r="C70" s="10" t="s">
        <v>239</v>
      </c>
      <c r="D70" s="10" t="s">
        <v>127</v>
      </c>
      <c r="E70" s="10" t="s">
        <v>225</v>
      </c>
      <c r="F70" s="11">
        <v>4178.8900000000003</v>
      </c>
      <c r="G70" s="21">
        <v>77.4328293081916</v>
      </c>
      <c r="H70" s="34" t="s">
        <v>33</v>
      </c>
      <c r="I70" s="10" t="s">
        <v>435</v>
      </c>
      <c r="J70" s="10" t="s">
        <v>441</v>
      </c>
      <c r="K70" s="35" t="s">
        <v>442</v>
      </c>
      <c r="L70" s="35" t="s">
        <v>116</v>
      </c>
      <c r="M70" s="35" t="s">
        <v>443</v>
      </c>
      <c r="N70" s="35" t="s">
        <v>444</v>
      </c>
      <c r="O70" s="35" t="s">
        <v>195</v>
      </c>
      <c r="P70" s="33">
        <v>5</v>
      </c>
      <c r="Q70" s="33">
        <v>4</v>
      </c>
      <c r="R70" s="32" t="s">
        <v>445</v>
      </c>
      <c r="S70" s="36">
        <v>149</v>
      </c>
    </row>
    <row r="71" spans="1:19" ht="42" hidden="1" customHeight="1">
      <c r="A71" s="10" t="s">
        <v>101</v>
      </c>
      <c r="B71" s="10" t="s">
        <v>60</v>
      </c>
      <c r="C71" s="10" t="s">
        <v>239</v>
      </c>
      <c r="D71" s="10" t="s">
        <v>127</v>
      </c>
      <c r="E71" s="10" t="s">
        <v>468</v>
      </c>
      <c r="F71" s="11">
        <v>148.02000000000001</v>
      </c>
      <c r="G71" s="21">
        <v>75.5</v>
      </c>
      <c r="H71" s="34" t="s">
        <v>33</v>
      </c>
      <c r="I71" s="10" t="s">
        <v>435</v>
      </c>
      <c r="J71" s="10" t="s">
        <v>436</v>
      </c>
      <c r="K71" s="35" t="s">
        <v>437</v>
      </c>
      <c r="L71" s="35" t="s">
        <v>106</v>
      </c>
      <c r="M71" s="35" t="s">
        <v>438</v>
      </c>
      <c r="N71" s="35" t="s">
        <v>439</v>
      </c>
      <c r="O71" s="35" t="s">
        <v>195</v>
      </c>
      <c r="P71" s="33">
        <v>6</v>
      </c>
      <c r="Q71" s="33">
        <v>5</v>
      </c>
      <c r="R71" s="32" t="s">
        <v>445</v>
      </c>
      <c r="S71" s="36">
        <v>43</v>
      </c>
    </row>
    <row r="72" spans="1:19" ht="42" hidden="1" customHeight="1">
      <c r="A72" s="10" t="s">
        <v>101</v>
      </c>
      <c r="B72" s="10" t="s">
        <v>60</v>
      </c>
      <c r="C72" s="10" t="s">
        <v>239</v>
      </c>
      <c r="D72" s="10" t="s">
        <v>127</v>
      </c>
      <c r="E72" s="10" t="s">
        <v>479</v>
      </c>
      <c r="F72" s="11">
        <v>2903.23</v>
      </c>
      <c r="G72" s="21">
        <v>74</v>
      </c>
      <c r="H72" s="34" t="s">
        <v>33</v>
      </c>
      <c r="I72" s="10" t="s">
        <v>435</v>
      </c>
      <c r="J72" s="10" t="s">
        <v>441</v>
      </c>
      <c r="K72" s="35" t="s">
        <v>442</v>
      </c>
      <c r="L72" s="35" t="s">
        <v>116</v>
      </c>
      <c r="M72" s="35" t="s">
        <v>443</v>
      </c>
      <c r="N72" s="35" t="s">
        <v>444</v>
      </c>
      <c r="O72" s="35" t="s">
        <v>195</v>
      </c>
      <c r="P72" s="33">
        <v>7</v>
      </c>
      <c r="Q72" s="33">
        <v>6</v>
      </c>
      <c r="R72" s="32" t="s">
        <v>445</v>
      </c>
      <c r="S72" s="36">
        <v>113</v>
      </c>
    </row>
    <row r="73" spans="1:19" ht="42" hidden="1" customHeight="1">
      <c r="A73" s="10" t="s">
        <v>101</v>
      </c>
      <c r="B73" s="10" t="s">
        <v>60</v>
      </c>
      <c r="C73" s="10" t="s">
        <v>239</v>
      </c>
      <c r="D73" s="10" t="s">
        <v>127</v>
      </c>
      <c r="E73" s="10" t="s">
        <v>151</v>
      </c>
      <c r="F73" s="11">
        <v>1510.67</v>
      </c>
      <c r="G73" s="21">
        <v>68.716129184412011</v>
      </c>
      <c r="H73" s="34" t="s">
        <v>33</v>
      </c>
      <c r="I73" s="10" t="s">
        <v>447</v>
      </c>
      <c r="J73" s="10" t="s">
        <v>436</v>
      </c>
      <c r="K73" s="35" t="s">
        <v>448</v>
      </c>
      <c r="L73" s="35" t="s">
        <v>152</v>
      </c>
      <c r="M73" s="35" t="s">
        <v>449</v>
      </c>
      <c r="N73" s="35" t="s">
        <v>450</v>
      </c>
      <c r="O73" s="35" t="s">
        <v>195</v>
      </c>
      <c r="P73" s="33">
        <v>7</v>
      </c>
      <c r="Q73" s="33">
        <v>6</v>
      </c>
      <c r="R73" s="32" t="s">
        <v>451</v>
      </c>
      <c r="S73" s="36">
        <v>42</v>
      </c>
    </row>
    <row r="74" spans="1:19" ht="42" hidden="1" customHeight="1">
      <c r="A74" s="10" t="s">
        <v>101</v>
      </c>
      <c r="B74" s="10" t="s">
        <v>60</v>
      </c>
      <c r="C74" s="10" t="s">
        <v>239</v>
      </c>
      <c r="D74" s="10" t="s">
        <v>127</v>
      </c>
      <c r="E74" s="10" t="s">
        <v>457</v>
      </c>
      <c r="F74" s="11">
        <v>607.08000000000004</v>
      </c>
      <c r="G74" s="21">
        <v>65.25</v>
      </c>
      <c r="H74" s="34" t="s">
        <v>33</v>
      </c>
      <c r="I74" s="10" t="s">
        <v>447</v>
      </c>
      <c r="J74" s="10" t="s">
        <v>441</v>
      </c>
      <c r="K74" s="35" t="s">
        <v>453</v>
      </c>
      <c r="L74" s="35" t="s">
        <v>135</v>
      </c>
      <c r="M74" s="35" t="s">
        <v>454</v>
      </c>
      <c r="N74" s="35" t="s">
        <v>455</v>
      </c>
      <c r="O74" s="35" t="s">
        <v>195</v>
      </c>
      <c r="P74" s="33">
        <v>5</v>
      </c>
      <c r="Q74" s="33">
        <v>4</v>
      </c>
      <c r="R74" s="32" t="s">
        <v>456</v>
      </c>
      <c r="S74" s="36">
        <v>0</v>
      </c>
    </row>
    <row r="75" spans="1:19" ht="42" hidden="1" customHeight="1">
      <c r="A75" s="10" t="s">
        <v>101</v>
      </c>
      <c r="B75" s="10" t="s">
        <v>60</v>
      </c>
      <c r="C75" s="10" t="s">
        <v>239</v>
      </c>
      <c r="D75" s="10" t="s">
        <v>127</v>
      </c>
      <c r="E75" s="10" t="s">
        <v>462</v>
      </c>
      <c r="F75" s="11">
        <v>1417.63</v>
      </c>
      <c r="G75" s="21">
        <v>65.102031083007802</v>
      </c>
      <c r="H75" s="34" t="s">
        <v>33</v>
      </c>
      <c r="I75" s="10" t="s">
        <v>447</v>
      </c>
      <c r="J75" s="10" t="s">
        <v>441</v>
      </c>
      <c r="K75" s="35" t="s">
        <v>453</v>
      </c>
      <c r="L75" s="35" t="s">
        <v>135</v>
      </c>
      <c r="M75" s="35" t="s">
        <v>454</v>
      </c>
      <c r="N75" s="35" t="s">
        <v>455</v>
      </c>
      <c r="O75" s="35" t="s">
        <v>195</v>
      </c>
      <c r="P75" s="33">
        <v>5</v>
      </c>
      <c r="Q75" s="33">
        <v>4</v>
      </c>
      <c r="R75" s="32" t="s">
        <v>456</v>
      </c>
      <c r="S75" s="36">
        <v>0</v>
      </c>
    </row>
    <row r="76" spans="1:19" ht="42" hidden="1" customHeight="1">
      <c r="A76" s="10" t="s">
        <v>101</v>
      </c>
      <c r="B76" s="10" t="s">
        <v>60</v>
      </c>
      <c r="C76" s="10" t="s">
        <v>243</v>
      </c>
      <c r="D76" s="10" t="s">
        <v>103</v>
      </c>
      <c r="E76" s="10" t="s">
        <v>193</v>
      </c>
      <c r="F76" s="11">
        <v>10732.03</v>
      </c>
      <c r="G76" s="21">
        <v>94.335273425396053</v>
      </c>
      <c r="H76" s="34" t="s">
        <v>31</v>
      </c>
      <c r="I76" s="10" t="s">
        <v>435</v>
      </c>
      <c r="J76" s="10" t="s">
        <v>436</v>
      </c>
      <c r="K76" s="35" t="s">
        <v>437</v>
      </c>
      <c r="L76" s="35" t="s">
        <v>106</v>
      </c>
      <c r="M76" s="35" t="s">
        <v>438</v>
      </c>
      <c r="N76" s="35" t="s">
        <v>439</v>
      </c>
      <c r="O76" s="35" t="s">
        <v>125</v>
      </c>
      <c r="P76" s="33">
        <v>5</v>
      </c>
      <c r="Q76" s="33">
        <v>4</v>
      </c>
      <c r="R76" s="32" t="s">
        <v>440</v>
      </c>
      <c r="S76" s="36">
        <v>2393</v>
      </c>
    </row>
    <row r="77" spans="1:19" ht="42" hidden="1" customHeight="1">
      <c r="A77" s="10" t="s">
        <v>101</v>
      </c>
      <c r="B77" s="10" t="s">
        <v>60</v>
      </c>
      <c r="C77" s="10" t="s">
        <v>243</v>
      </c>
      <c r="D77" s="10" t="s">
        <v>103</v>
      </c>
      <c r="E77" s="10" t="s">
        <v>462</v>
      </c>
      <c r="F77" s="11">
        <v>20002.39</v>
      </c>
      <c r="G77" s="21">
        <v>88.937313429327602</v>
      </c>
      <c r="H77" s="34" t="s">
        <v>31</v>
      </c>
      <c r="I77" s="10" t="s">
        <v>447</v>
      </c>
      <c r="J77" s="10" t="s">
        <v>441</v>
      </c>
      <c r="K77" s="35" t="s">
        <v>453</v>
      </c>
      <c r="L77" s="35" t="s">
        <v>135</v>
      </c>
      <c r="M77" s="35" t="s">
        <v>454</v>
      </c>
      <c r="N77" s="35" t="s">
        <v>455</v>
      </c>
      <c r="O77" s="35" t="s">
        <v>125</v>
      </c>
      <c r="P77" s="33">
        <v>5</v>
      </c>
      <c r="Q77" s="33">
        <v>4</v>
      </c>
      <c r="R77" s="32" t="s">
        <v>456</v>
      </c>
      <c r="S77" s="36">
        <v>0</v>
      </c>
    </row>
    <row r="78" spans="1:19" ht="42" hidden="1" customHeight="1">
      <c r="A78" s="10" t="s">
        <v>101</v>
      </c>
      <c r="B78" s="10" t="s">
        <v>60</v>
      </c>
      <c r="C78" s="10" t="s">
        <v>243</v>
      </c>
      <c r="D78" s="10" t="s">
        <v>103</v>
      </c>
      <c r="E78" s="10" t="s">
        <v>375</v>
      </c>
      <c r="F78" s="11">
        <v>8781.52</v>
      </c>
      <c r="G78" s="21">
        <v>88.75</v>
      </c>
      <c r="H78" s="34" t="s">
        <v>31</v>
      </c>
      <c r="I78" s="10" t="s">
        <v>435</v>
      </c>
      <c r="J78" s="10" t="s">
        <v>436</v>
      </c>
      <c r="K78" s="35" t="s">
        <v>437</v>
      </c>
      <c r="L78" s="35" t="s">
        <v>106</v>
      </c>
      <c r="M78" s="35" t="s">
        <v>438</v>
      </c>
      <c r="N78" s="35" t="s">
        <v>439</v>
      </c>
      <c r="O78" s="35" t="s">
        <v>125</v>
      </c>
      <c r="P78" s="33">
        <v>3</v>
      </c>
      <c r="Q78" s="33">
        <v>2</v>
      </c>
      <c r="R78" s="32" t="s">
        <v>445</v>
      </c>
      <c r="S78" s="36">
        <v>157</v>
      </c>
    </row>
    <row r="79" spans="1:19" ht="42" hidden="1" customHeight="1">
      <c r="A79" s="10" t="s">
        <v>101</v>
      </c>
      <c r="B79" s="10" t="s">
        <v>60</v>
      </c>
      <c r="C79" s="10" t="s">
        <v>243</v>
      </c>
      <c r="D79" s="10" t="s">
        <v>103</v>
      </c>
      <c r="E79" s="10" t="s">
        <v>457</v>
      </c>
      <c r="F79" s="11">
        <v>10235.73</v>
      </c>
      <c r="G79" s="21">
        <v>82.75</v>
      </c>
      <c r="H79" s="34" t="s">
        <v>31</v>
      </c>
      <c r="I79" s="10" t="s">
        <v>447</v>
      </c>
      <c r="J79" s="10" t="s">
        <v>441</v>
      </c>
      <c r="K79" s="35" t="s">
        <v>453</v>
      </c>
      <c r="L79" s="35" t="s">
        <v>135</v>
      </c>
      <c r="M79" s="35" t="s">
        <v>454</v>
      </c>
      <c r="N79" s="35" t="s">
        <v>455</v>
      </c>
      <c r="O79" s="35" t="s">
        <v>125</v>
      </c>
      <c r="P79" s="33">
        <v>3</v>
      </c>
      <c r="Q79" s="33">
        <v>2</v>
      </c>
      <c r="R79" s="32" t="s">
        <v>456</v>
      </c>
      <c r="S79" s="36">
        <v>0</v>
      </c>
    </row>
    <row r="80" spans="1:19" ht="42" hidden="1" customHeight="1">
      <c r="A80" s="10" t="s">
        <v>101</v>
      </c>
      <c r="B80" s="10" t="s">
        <v>60</v>
      </c>
      <c r="C80" s="10" t="s">
        <v>243</v>
      </c>
      <c r="D80" s="10" t="s">
        <v>103</v>
      </c>
      <c r="E80" s="10" t="s">
        <v>225</v>
      </c>
      <c r="F80" s="11">
        <v>8165.57</v>
      </c>
      <c r="G80" s="21">
        <v>81.1828293081916</v>
      </c>
      <c r="H80" s="34" t="s">
        <v>31</v>
      </c>
      <c r="I80" s="10" t="s">
        <v>435</v>
      </c>
      <c r="J80" s="10" t="s">
        <v>441</v>
      </c>
      <c r="K80" s="35" t="s">
        <v>442</v>
      </c>
      <c r="L80" s="35" t="s">
        <v>116</v>
      </c>
      <c r="M80" s="35" t="s">
        <v>443</v>
      </c>
      <c r="N80" s="35" t="s">
        <v>444</v>
      </c>
      <c r="O80" s="35" t="s">
        <v>125</v>
      </c>
      <c r="P80" s="33">
        <v>3</v>
      </c>
      <c r="Q80" s="33">
        <v>2</v>
      </c>
      <c r="R80" s="32" t="s">
        <v>445</v>
      </c>
      <c r="S80" s="36">
        <v>139</v>
      </c>
    </row>
    <row r="81" spans="1:19" ht="42" hidden="1" customHeight="1">
      <c r="A81" s="10" t="s">
        <v>101</v>
      </c>
      <c r="B81" s="10" t="s">
        <v>60</v>
      </c>
      <c r="C81" s="10" t="s">
        <v>243</v>
      </c>
      <c r="D81" s="10" t="s">
        <v>103</v>
      </c>
      <c r="E81" s="10" t="s">
        <v>115</v>
      </c>
      <c r="F81" s="11">
        <v>9225.25</v>
      </c>
      <c r="G81" s="21">
        <v>81.029969712371766</v>
      </c>
      <c r="H81" s="34" t="s">
        <v>31</v>
      </c>
      <c r="I81" s="10" t="s">
        <v>435</v>
      </c>
      <c r="J81" s="10" t="s">
        <v>441</v>
      </c>
      <c r="K81" s="35" t="s">
        <v>442</v>
      </c>
      <c r="L81" s="35" t="s">
        <v>116</v>
      </c>
      <c r="M81" s="35" t="s">
        <v>443</v>
      </c>
      <c r="N81" s="35" t="s">
        <v>444</v>
      </c>
      <c r="O81" s="35" t="s">
        <v>125</v>
      </c>
      <c r="P81" s="33">
        <v>6</v>
      </c>
      <c r="Q81" s="33">
        <v>5</v>
      </c>
      <c r="R81" s="32" t="s">
        <v>445</v>
      </c>
      <c r="S81" s="36">
        <v>152</v>
      </c>
    </row>
    <row r="82" spans="1:19" ht="42" hidden="1" customHeight="1">
      <c r="A82" s="10" t="s">
        <v>101</v>
      </c>
      <c r="B82" s="10" t="s">
        <v>60</v>
      </c>
      <c r="C82" s="10" t="s">
        <v>243</v>
      </c>
      <c r="D82" s="10" t="s">
        <v>103</v>
      </c>
      <c r="E82" s="10" t="s">
        <v>213</v>
      </c>
      <c r="F82" s="11">
        <v>8777.98</v>
      </c>
      <c r="G82" s="21">
        <v>80</v>
      </c>
      <c r="H82" s="34" t="s">
        <v>31</v>
      </c>
      <c r="I82" s="10" t="s">
        <v>447</v>
      </c>
      <c r="J82" s="10" t="s">
        <v>436</v>
      </c>
      <c r="K82" s="35" t="s">
        <v>448</v>
      </c>
      <c r="L82" s="35" t="s">
        <v>152</v>
      </c>
      <c r="M82" s="35" t="s">
        <v>449</v>
      </c>
      <c r="N82" s="35" t="s">
        <v>450</v>
      </c>
      <c r="O82" s="35" t="s">
        <v>125</v>
      </c>
      <c r="P82" s="33">
        <v>5</v>
      </c>
      <c r="Q82" s="33">
        <v>4</v>
      </c>
      <c r="R82" s="32" t="s">
        <v>451</v>
      </c>
      <c r="S82" s="36">
        <v>91</v>
      </c>
    </row>
    <row r="83" spans="1:19" ht="42" hidden="1" customHeight="1">
      <c r="A83" s="10" t="s">
        <v>101</v>
      </c>
      <c r="B83" s="10" t="s">
        <v>60</v>
      </c>
      <c r="C83" s="10" t="s">
        <v>243</v>
      </c>
      <c r="D83" s="10" t="s">
        <v>103</v>
      </c>
      <c r="E83" s="10" t="s">
        <v>151</v>
      </c>
      <c r="F83" s="11">
        <v>9018.65</v>
      </c>
      <c r="G83" s="21">
        <v>79.966129184412011</v>
      </c>
      <c r="H83" s="34" t="s">
        <v>33</v>
      </c>
      <c r="I83" s="10" t="s">
        <v>447</v>
      </c>
      <c r="J83" s="10" t="s">
        <v>436</v>
      </c>
      <c r="K83" s="35" t="s">
        <v>448</v>
      </c>
      <c r="L83" s="35" t="s">
        <v>152</v>
      </c>
      <c r="M83" s="35" t="s">
        <v>449</v>
      </c>
      <c r="N83" s="35" t="s">
        <v>450</v>
      </c>
      <c r="O83" s="35" t="s">
        <v>195</v>
      </c>
      <c r="P83" s="33">
        <v>4</v>
      </c>
      <c r="Q83" s="33">
        <v>3</v>
      </c>
      <c r="R83" s="32" t="s">
        <v>451</v>
      </c>
      <c r="S83" s="36">
        <v>84</v>
      </c>
    </row>
    <row r="84" spans="1:19" ht="42" hidden="1" customHeight="1">
      <c r="A84" s="10" t="s">
        <v>101</v>
      </c>
      <c r="B84" s="10" t="s">
        <v>60</v>
      </c>
      <c r="C84" s="10" t="s">
        <v>243</v>
      </c>
      <c r="D84" s="10" t="s">
        <v>103</v>
      </c>
      <c r="E84" s="10" t="s">
        <v>446</v>
      </c>
      <c r="F84" s="11">
        <v>8514.2999999999993</v>
      </c>
      <c r="G84" s="21">
        <v>79.962101858847163</v>
      </c>
      <c r="H84" s="34" t="s">
        <v>33</v>
      </c>
      <c r="I84" s="10" t="s">
        <v>447</v>
      </c>
      <c r="J84" s="10" t="s">
        <v>436</v>
      </c>
      <c r="K84" s="35" t="s">
        <v>448</v>
      </c>
      <c r="L84" s="35" t="s">
        <v>152</v>
      </c>
      <c r="M84" s="35" t="s">
        <v>449</v>
      </c>
      <c r="N84" s="35" t="s">
        <v>450</v>
      </c>
      <c r="O84" s="35" t="s">
        <v>195</v>
      </c>
      <c r="P84" s="33">
        <v>4</v>
      </c>
      <c r="Q84" s="33">
        <v>3</v>
      </c>
      <c r="R84" s="32" t="s">
        <v>451</v>
      </c>
      <c r="S84" s="36">
        <v>80</v>
      </c>
    </row>
    <row r="85" spans="1:19" ht="42" hidden="1" customHeight="1">
      <c r="A85" s="10" t="s">
        <v>101</v>
      </c>
      <c r="B85" s="10" t="s">
        <v>60</v>
      </c>
      <c r="C85" s="10" t="s">
        <v>243</v>
      </c>
      <c r="D85" s="10" t="s">
        <v>103</v>
      </c>
      <c r="E85" s="10" t="s">
        <v>468</v>
      </c>
      <c r="F85" s="11">
        <v>4892.97</v>
      </c>
      <c r="G85" s="21">
        <v>79.25</v>
      </c>
      <c r="H85" s="34" t="s">
        <v>33</v>
      </c>
      <c r="I85" s="10" t="s">
        <v>435</v>
      </c>
      <c r="J85" s="10" t="s">
        <v>436</v>
      </c>
      <c r="K85" s="35" t="s">
        <v>437</v>
      </c>
      <c r="L85" s="35" t="s">
        <v>106</v>
      </c>
      <c r="M85" s="35" t="s">
        <v>438</v>
      </c>
      <c r="N85" s="35" t="s">
        <v>439</v>
      </c>
      <c r="O85" s="35" t="s">
        <v>195</v>
      </c>
      <c r="P85" s="33">
        <v>4</v>
      </c>
      <c r="Q85" s="33">
        <v>3</v>
      </c>
      <c r="R85" s="32" t="s">
        <v>445</v>
      </c>
      <c r="S85" s="36">
        <v>90</v>
      </c>
    </row>
    <row r="86" spans="1:19" ht="42" hidden="1" customHeight="1">
      <c r="A86" s="10" t="s">
        <v>101</v>
      </c>
      <c r="B86" s="10" t="s">
        <v>60</v>
      </c>
      <c r="C86" s="10" t="s">
        <v>243</v>
      </c>
      <c r="D86" s="10" t="s">
        <v>103</v>
      </c>
      <c r="E86" s="10" t="s">
        <v>465</v>
      </c>
      <c r="F86" s="11">
        <v>2756.93</v>
      </c>
      <c r="G86" s="21">
        <v>79.25</v>
      </c>
      <c r="H86" s="34" t="s">
        <v>33</v>
      </c>
      <c r="I86" s="10" t="s">
        <v>435</v>
      </c>
      <c r="J86" s="10" t="s">
        <v>436</v>
      </c>
      <c r="K86" s="35" t="s">
        <v>437</v>
      </c>
      <c r="L86" s="35" t="s">
        <v>106</v>
      </c>
      <c r="M86" s="35" t="s">
        <v>438</v>
      </c>
      <c r="N86" s="35" t="s">
        <v>439</v>
      </c>
      <c r="O86" s="35" t="s">
        <v>195</v>
      </c>
      <c r="P86" s="33">
        <v>1</v>
      </c>
      <c r="Q86" s="33">
        <v>1</v>
      </c>
      <c r="R86" s="32" t="s">
        <v>445</v>
      </c>
      <c r="S86" s="36">
        <v>68</v>
      </c>
    </row>
    <row r="87" spans="1:19" ht="42" hidden="1" customHeight="1">
      <c r="A87" s="10" t="s">
        <v>101</v>
      </c>
      <c r="B87" s="10" t="s">
        <v>60</v>
      </c>
      <c r="C87" s="10" t="s">
        <v>243</v>
      </c>
      <c r="D87" s="10" t="s">
        <v>103</v>
      </c>
      <c r="E87" s="10" t="s">
        <v>452</v>
      </c>
      <c r="F87" s="11">
        <v>6106.25</v>
      </c>
      <c r="G87" s="21">
        <v>72.5</v>
      </c>
      <c r="H87" s="34" t="s">
        <v>33</v>
      </c>
      <c r="I87" s="10" t="s">
        <v>447</v>
      </c>
      <c r="J87" s="10" t="s">
        <v>441</v>
      </c>
      <c r="K87" s="35" t="s">
        <v>453</v>
      </c>
      <c r="L87" s="35" t="s">
        <v>135</v>
      </c>
      <c r="M87" s="35" t="s">
        <v>454</v>
      </c>
      <c r="N87" s="35" t="s">
        <v>455</v>
      </c>
      <c r="O87" s="35" t="s">
        <v>195</v>
      </c>
      <c r="P87" s="33">
        <v>2</v>
      </c>
      <c r="Q87" s="33">
        <v>1</v>
      </c>
      <c r="R87" s="32" t="s">
        <v>456</v>
      </c>
      <c r="S87" s="36">
        <v>0</v>
      </c>
    </row>
    <row r="88" spans="1:19" ht="42" hidden="1" customHeight="1">
      <c r="A88" s="10" t="s">
        <v>101</v>
      </c>
      <c r="B88" s="10" t="s">
        <v>60</v>
      </c>
      <c r="C88" s="10" t="s">
        <v>243</v>
      </c>
      <c r="D88" s="10" t="s">
        <v>103</v>
      </c>
      <c r="E88" s="10" t="s">
        <v>467</v>
      </c>
      <c r="F88" s="11">
        <v>1194.1500000000001</v>
      </c>
      <c r="G88" s="21">
        <v>67</v>
      </c>
      <c r="H88" s="34" t="s">
        <v>33</v>
      </c>
      <c r="I88" s="10" t="s">
        <v>447</v>
      </c>
      <c r="J88" s="10" t="s">
        <v>441</v>
      </c>
      <c r="K88" s="35" t="s">
        <v>453</v>
      </c>
      <c r="L88" s="35" t="s">
        <v>135</v>
      </c>
      <c r="M88" s="35" t="s">
        <v>454</v>
      </c>
      <c r="N88" s="35" t="s">
        <v>455</v>
      </c>
      <c r="O88" s="35" t="s">
        <v>195</v>
      </c>
      <c r="P88" s="33">
        <v>6</v>
      </c>
      <c r="Q88" s="33">
        <v>5</v>
      </c>
      <c r="R88" s="32" t="s">
        <v>456</v>
      </c>
      <c r="S88" s="36">
        <v>0</v>
      </c>
    </row>
    <row r="89" spans="1:19" ht="42" hidden="1" customHeight="1">
      <c r="A89" s="10" t="s">
        <v>101</v>
      </c>
      <c r="B89" s="10" t="s">
        <v>60</v>
      </c>
      <c r="C89" s="10" t="s">
        <v>243</v>
      </c>
      <c r="D89" s="10" t="s">
        <v>103</v>
      </c>
      <c r="E89" s="10" t="s">
        <v>458</v>
      </c>
      <c r="F89" s="11">
        <v>591.65</v>
      </c>
      <c r="G89" s="21">
        <v>66</v>
      </c>
      <c r="H89" s="34" t="s">
        <v>33</v>
      </c>
      <c r="I89" s="10" t="s">
        <v>447</v>
      </c>
      <c r="J89" s="10" t="s">
        <v>436</v>
      </c>
      <c r="K89" s="35" t="s">
        <v>448</v>
      </c>
      <c r="L89" s="35" t="s">
        <v>152</v>
      </c>
      <c r="M89" s="35" t="s">
        <v>449</v>
      </c>
      <c r="N89" s="35" t="s">
        <v>450</v>
      </c>
      <c r="O89" s="35" t="s">
        <v>195</v>
      </c>
      <c r="P89" s="33">
        <v>5</v>
      </c>
      <c r="Q89" s="33">
        <v>4</v>
      </c>
      <c r="R89" s="32" t="s">
        <v>451</v>
      </c>
      <c r="S89" s="36">
        <v>23</v>
      </c>
    </row>
    <row r="90" spans="1:19" ht="42" hidden="1" customHeight="1">
      <c r="A90" s="10" t="s">
        <v>101</v>
      </c>
      <c r="B90" s="10" t="s">
        <v>60</v>
      </c>
      <c r="C90" s="10" t="s">
        <v>243</v>
      </c>
      <c r="D90" s="10" t="s">
        <v>103</v>
      </c>
      <c r="E90" s="10" t="s">
        <v>478</v>
      </c>
      <c r="F90" s="11">
        <v>605.62</v>
      </c>
      <c r="G90" s="21">
        <v>65.147936405491748</v>
      </c>
      <c r="H90" s="34" t="s">
        <v>33</v>
      </c>
      <c r="I90" s="10" t="s">
        <v>447</v>
      </c>
      <c r="J90" s="10" t="s">
        <v>436</v>
      </c>
      <c r="K90" s="35" t="s">
        <v>448</v>
      </c>
      <c r="L90" s="35" t="s">
        <v>152</v>
      </c>
      <c r="M90" s="35" t="s">
        <v>449</v>
      </c>
      <c r="N90" s="35" t="s">
        <v>450</v>
      </c>
      <c r="O90" s="35" t="s">
        <v>195</v>
      </c>
      <c r="P90" s="33">
        <v>4</v>
      </c>
      <c r="Q90" s="33">
        <v>3</v>
      </c>
      <c r="R90" s="32" t="s">
        <v>451</v>
      </c>
      <c r="S90" s="36">
        <v>23</v>
      </c>
    </row>
    <row r="91" spans="1:19" ht="42" hidden="1" customHeight="1">
      <c r="A91" s="10" t="s">
        <v>111</v>
      </c>
      <c r="B91" s="10" t="s">
        <v>60</v>
      </c>
      <c r="C91" s="10" t="s">
        <v>370</v>
      </c>
      <c r="D91" s="10" t="s">
        <v>149</v>
      </c>
      <c r="E91" s="10" t="s">
        <v>464</v>
      </c>
      <c r="F91" s="11">
        <v>11204.25</v>
      </c>
      <c r="G91" s="21">
        <v>73.998742920880659</v>
      </c>
      <c r="H91" s="34" t="s">
        <v>33</v>
      </c>
      <c r="I91" s="10" t="s">
        <v>447</v>
      </c>
      <c r="J91" s="10" t="s">
        <v>436</v>
      </c>
      <c r="K91" s="35" t="s">
        <v>448</v>
      </c>
      <c r="L91" s="35" t="s">
        <v>152</v>
      </c>
      <c r="M91" s="35" t="s">
        <v>449</v>
      </c>
      <c r="N91" s="35" t="s">
        <v>450</v>
      </c>
      <c r="O91" s="35" t="s">
        <v>195</v>
      </c>
      <c r="P91" s="33">
        <v>9</v>
      </c>
      <c r="Q91" s="33">
        <v>8</v>
      </c>
      <c r="R91" s="32" t="s">
        <v>463</v>
      </c>
      <c r="S91" s="36">
        <v>0</v>
      </c>
    </row>
    <row r="92" spans="1:19" ht="42" hidden="1" customHeight="1">
      <c r="A92" s="10" t="s">
        <v>111</v>
      </c>
      <c r="B92" s="10" t="s">
        <v>60</v>
      </c>
      <c r="C92" s="10" t="s">
        <v>370</v>
      </c>
      <c r="D92" s="10" t="s">
        <v>149</v>
      </c>
      <c r="E92" s="10" t="s">
        <v>151</v>
      </c>
      <c r="F92" s="11">
        <v>1380.11</v>
      </c>
      <c r="G92" s="21">
        <v>68.716129184412011</v>
      </c>
      <c r="H92" s="34" t="s">
        <v>33</v>
      </c>
      <c r="I92" s="10" t="s">
        <v>447</v>
      </c>
      <c r="J92" s="10" t="s">
        <v>436</v>
      </c>
      <c r="K92" s="35" t="s">
        <v>448</v>
      </c>
      <c r="L92" s="35" t="s">
        <v>152</v>
      </c>
      <c r="M92" s="35" t="s">
        <v>449</v>
      </c>
      <c r="N92" s="35" t="s">
        <v>450</v>
      </c>
      <c r="O92" s="35" t="s">
        <v>195</v>
      </c>
      <c r="P92" s="33">
        <v>9</v>
      </c>
      <c r="Q92" s="33">
        <v>8</v>
      </c>
      <c r="R92" s="32" t="s">
        <v>463</v>
      </c>
      <c r="S92" s="36">
        <v>0</v>
      </c>
    </row>
    <row r="93" spans="1:19" ht="42" hidden="1" customHeight="1">
      <c r="A93" s="10" t="s">
        <v>111</v>
      </c>
      <c r="B93" s="10" t="s">
        <v>60</v>
      </c>
      <c r="C93" s="10" t="s">
        <v>370</v>
      </c>
      <c r="D93" s="10" t="s">
        <v>149</v>
      </c>
      <c r="E93" s="10" t="s">
        <v>462</v>
      </c>
      <c r="F93" s="11">
        <v>3422.96</v>
      </c>
      <c r="G93" s="21">
        <v>65.102031083007802</v>
      </c>
      <c r="H93" s="34" t="s">
        <v>33</v>
      </c>
      <c r="I93" s="10" t="s">
        <v>447</v>
      </c>
      <c r="J93" s="10" t="s">
        <v>441</v>
      </c>
      <c r="K93" s="35" t="s">
        <v>453</v>
      </c>
      <c r="L93" s="35" t="s">
        <v>135</v>
      </c>
      <c r="M93" s="35" t="s">
        <v>454</v>
      </c>
      <c r="N93" s="35" t="s">
        <v>455</v>
      </c>
      <c r="O93" s="35" t="s">
        <v>195</v>
      </c>
      <c r="P93" s="33">
        <v>1</v>
      </c>
      <c r="Q93" s="33">
        <v>1</v>
      </c>
      <c r="R93" s="32" t="s">
        <v>463</v>
      </c>
      <c r="S93" s="36">
        <v>0</v>
      </c>
    </row>
    <row r="94" spans="1:19" ht="42" hidden="1" customHeight="1">
      <c r="A94" s="10" t="s">
        <v>101</v>
      </c>
      <c r="B94" s="10" t="s">
        <v>60</v>
      </c>
      <c r="C94" s="10" t="s">
        <v>292</v>
      </c>
      <c r="D94" s="10" t="s">
        <v>149</v>
      </c>
      <c r="E94" s="10" t="s">
        <v>151</v>
      </c>
      <c r="F94" s="11">
        <v>87.56</v>
      </c>
      <c r="G94" s="21">
        <v>73.716129184412011</v>
      </c>
      <c r="H94" s="34" t="s">
        <v>33</v>
      </c>
      <c r="I94" s="10" t="s">
        <v>447</v>
      </c>
      <c r="J94" s="10" t="s">
        <v>436</v>
      </c>
      <c r="K94" s="35" t="s">
        <v>448</v>
      </c>
      <c r="L94" s="35" t="s">
        <v>152</v>
      </c>
      <c r="M94" s="35" t="s">
        <v>449</v>
      </c>
      <c r="N94" s="35" t="s">
        <v>450</v>
      </c>
      <c r="O94" s="35" t="s">
        <v>195</v>
      </c>
      <c r="P94" s="33">
        <v>6</v>
      </c>
      <c r="Q94" s="33">
        <v>5</v>
      </c>
      <c r="R94" s="32" t="s">
        <v>463</v>
      </c>
      <c r="S94" s="36">
        <v>0</v>
      </c>
    </row>
    <row r="95" spans="1:19" ht="42" hidden="1" customHeight="1">
      <c r="A95" s="10" t="s">
        <v>101</v>
      </c>
      <c r="B95" s="10" t="s">
        <v>60</v>
      </c>
      <c r="C95" s="10" t="s">
        <v>292</v>
      </c>
      <c r="D95" s="10" t="s">
        <v>149</v>
      </c>
      <c r="E95" s="10" t="s">
        <v>446</v>
      </c>
      <c r="F95" s="11">
        <v>91.94</v>
      </c>
      <c r="G95" s="21">
        <v>73.712101858847163</v>
      </c>
      <c r="H95" s="34" t="s">
        <v>33</v>
      </c>
      <c r="I95" s="10" t="s">
        <v>447</v>
      </c>
      <c r="J95" s="10" t="s">
        <v>436</v>
      </c>
      <c r="K95" s="35" t="s">
        <v>448</v>
      </c>
      <c r="L95" s="35" t="s">
        <v>152</v>
      </c>
      <c r="M95" s="35" t="s">
        <v>449</v>
      </c>
      <c r="N95" s="35" t="s">
        <v>450</v>
      </c>
      <c r="O95" s="35" t="s">
        <v>195</v>
      </c>
      <c r="P95" s="33">
        <v>6</v>
      </c>
      <c r="Q95" s="33">
        <v>5</v>
      </c>
      <c r="R95" s="32" t="s">
        <v>463</v>
      </c>
      <c r="S95" s="36">
        <v>0</v>
      </c>
    </row>
    <row r="96" spans="1:19" ht="42" hidden="1" customHeight="1">
      <c r="A96" s="10" t="s">
        <v>119</v>
      </c>
      <c r="B96" s="10" t="s">
        <v>381</v>
      </c>
      <c r="C96" s="10" t="s">
        <v>382</v>
      </c>
      <c r="D96" s="10" t="s">
        <v>149</v>
      </c>
      <c r="E96" s="10" t="s">
        <v>213</v>
      </c>
      <c r="F96" s="11">
        <v>406.01</v>
      </c>
      <c r="G96" s="21">
        <v>68.75</v>
      </c>
      <c r="H96" s="34" t="s">
        <v>33</v>
      </c>
      <c r="I96" s="10" t="s">
        <v>447</v>
      </c>
      <c r="J96" s="10" t="s">
        <v>436</v>
      </c>
      <c r="K96" s="35" t="s">
        <v>448</v>
      </c>
      <c r="L96" s="35" t="s">
        <v>152</v>
      </c>
      <c r="M96" s="35" t="s">
        <v>449</v>
      </c>
      <c r="N96" s="35" t="s">
        <v>450</v>
      </c>
      <c r="O96" s="35" t="s">
        <v>195</v>
      </c>
      <c r="P96" s="33">
        <v>10</v>
      </c>
      <c r="Q96" s="33">
        <v>9</v>
      </c>
      <c r="R96" s="32" t="s">
        <v>463</v>
      </c>
      <c r="S96" s="36">
        <v>0</v>
      </c>
    </row>
    <row r="97" spans="1:19" ht="42" hidden="1" customHeight="1">
      <c r="A97" s="10" t="s">
        <v>101</v>
      </c>
      <c r="B97" s="10" t="s">
        <v>60</v>
      </c>
      <c r="C97" s="10" t="s">
        <v>212</v>
      </c>
      <c r="D97" s="10" t="s">
        <v>149</v>
      </c>
      <c r="E97" s="10" t="s">
        <v>213</v>
      </c>
      <c r="F97" s="11">
        <v>2583.0100000000002</v>
      </c>
      <c r="G97" s="21">
        <v>73.75</v>
      </c>
      <c r="H97" s="34" t="s">
        <v>33</v>
      </c>
      <c r="I97" s="10" t="s">
        <v>447</v>
      </c>
      <c r="J97" s="10" t="s">
        <v>436</v>
      </c>
      <c r="K97" s="35" t="s">
        <v>448</v>
      </c>
      <c r="L97" s="35" t="s">
        <v>152</v>
      </c>
      <c r="M97" s="35" t="s">
        <v>449</v>
      </c>
      <c r="N97" s="35" t="s">
        <v>450</v>
      </c>
      <c r="O97" s="35" t="s">
        <v>195</v>
      </c>
      <c r="P97" s="33">
        <v>4</v>
      </c>
      <c r="Q97" s="33">
        <v>3</v>
      </c>
      <c r="R97" s="32" t="s">
        <v>463</v>
      </c>
      <c r="S97" s="36">
        <v>0</v>
      </c>
    </row>
    <row r="98" spans="1:19" ht="42" customHeight="1">
      <c r="A98" s="10" t="s">
        <v>165</v>
      </c>
      <c r="B98" s="10" t="s">
        <v>60</v>
      </c>
      <c r="C98" s="10" t="s">
        <v>247</v>
      </c>
      <c r="D98" s="10" t="s">
        <v>103</v>
      </c>
      <c r="E98" s="10" t="s">
        <v>446</v>
      </c>
      <c r="F98" s="11">
        <v>59074.35</v>
      </c>
      <c r="G98" s="21">
        <v>90.911427989417973</v>
      </c>
      <c r="H98" s="34" t="s">
        <v>31</v>
      </c>
      <c r="I98" s="10" t="s">
        <v>447</v>
      </c>
      <c r="J98" s="10" t="s">
        <v>436</v>
      </c>
      <c r="K98" s="35" t="s">
        <v>448</v>
      </c>
      <c r="L98" s="35" t="s">
        <v>152</v>
      </c>
      <c r="M98" s="35" t="s">
        <v>449</v>
      </c>
      <c r="N98" s="35" t="s">
        <v>450</v>
      </c>
      <c r="O98" s="35" t="s">
        <v>125</v>
      </c>
      <c r="P98" s="33">
        <v>5</v>
      </c>
      <c r="Q98" s="33">
        <v>4</v>
      </c>
      <c r="R98" s="32" t="s">
        <v>451</v>
      </c>
      <c r="S98" s="36">
        <v>658</v>
      </c>
    </row>
    <row r="99" spans="1:19" ht="42" customHeight="1">
      <c r="A99" s="10" t="s">
        <v>165</v>
      </c>
      <c r="B99" s="10" t="s">
        <v>60</v>
      </c>
      <c r="C99" s="10" t="s">
        <v>247</v>
      </c>
      <c r="D99" s="10" t="s">
        <v>103</v>
      </c>
      <c r="E99" s="10" t="s">
        <v>462</v>
      </c>
      <c r="F99" s="11">
        <v>22508.58</v>
      </c>
      <c r="G99" s="21">
        <v>82.602031083007802</v>
      </c>
      <c r="H99" s="34" t="s">
        <v>31</v>
      </c>
      <c r="I99" s="10" t="s">
        <v>447</v>
      </c>
      <c r="J99" s="10" t="s">
        <v>441</v>
      </c>
      <c r="K99" s="35" t="s">
        <v>453</v>
      </c>
      <c r="L99" s="35" t="s">
        <v>135</v>
      </c>
      <c r="M99" s="35" t="s">
        <v>454</v>
      </c>
      <c r="N99" s="35" t="s">
        <v>455</v>
      </c>
      <c r="O99" s="35" t="s">
        <v>125</v>
      </c>
      <c r="P99" s="33">
        <v>5</v>
      </c>
      <c r="Q99" s="33">
        <v>4</v>
      </c>
      <c r="R99" s="32" t="s">
        <v>456</v>
      </c>
      <c r="S99" s="36">
        <v>0</v>
      </c>
    </row>
    <row r="100" spans="1:19" ht="42" customHeight="1">
      <c r="A100" s="10" t="s">
        <v>165</v>
      </c>
      <c r="B100" s="10" t="s">
        <v>60</v>
      </c>
      <c r="C100" s="10" t="s">
        <v>247</v>
      </c>
      <c r="D100" s="10" t="s">
        <v>103</v>
      </c>
      <c r="E100" s="10" t="s">
        <v>475</v>
      </c>
      <c r="F100" s="11">
        <v>23398.93</v>
      </c>
      <c r="G100" s="21">
        <v>80.027428619890031</v>
      </c>
      <c r="H100" s="34" t="s">
        <v>31</v>
      </c>
      <c r="I100" s="10" t="s">
        <v>447</v>
      </c>
      <c r="J100" s="10" t="s">
        <v>441</v>
      </c>
      <c r="K100" s="35" t="s">
        <v>453</v>
      </c>
      <c r="L100" s="35" t="s">
        <v>135</v>
      </c>
      <c r="M100" s="35" t="s">
        <v>454</v>
      </c>
      <c r="N100" s="35" t="s">
        <v>455</v>
      </c>
      <c r="O100" s="35" t="s">
        <v>125</v>
      </c>
      <c r="P100" s="33">
        <v>5</v>
      </c>
      <c r="Q100" s="33">
        <v>4</v>
      </c>
      <c r="R100" s="32" t="s">
        <v>456</v>
      </c>
      <c r="S100" s="36">
        <v>0</v>
      </c>
    </row>
    <row r="101" spans="1:19" ht="42" customHeight="1">
      <c r="A101" s="10" t="s">
        <v>165</v>
      </c>
      <c r="B101" s="10" t="s">
        <v>60</v>
      </c>
      <c r="C101" s="10" t="s">
        <v>247</v>
      </c>
      <c r="D101" s="10" t="s">
        <v>103</v>
      </c>
      <c r="E101" s="10" t="s">
        <v>480</v>
      </c>
      <c r="F101" s="11">
        <v>2923.24</v>
      </c>
      <c r="G101" s="21">
        <v>75.25</v>
      </c>
      <c r="H101" s="34" t="s">
        <v>33</v>
      </c>
      <c r="I101" s="10" t="s">
        <v>435</v>
      </c>
      <c r="J101" s="10" t="s">
        <v>436</v>
      </c>
      <c r="K101" s="35" t="s">
        <v>437</v>
      </c>
      <c r="L101" s="35" t="s">
        <v>106</v>
      </c>
      <c r="M101" s="35" t="s">
        <v>438</v>
      </c>
      <c r="N101" s="35" t="s">
        <v>439</v>
      </c>
      <c r="O101" s="35" t="s">
        <v>195</v>
      </c>
      <c r="P101" s="33">
        <v>7</v>
      </c>
      <c r="Q101" s="33">
        <v>6</v>
      </c>
      <c r="R101" s="32" t="s">
        <v>481</v>
      </c>
      <c r="S101" s="36">
        <v>343</v>
      </c>
    </row>
    <row r="102" spans="1:19" ht="42" customHeight="1">
      <c r="A102" s="10" t="s">
        <v>165</v>
      </c>
      <c r="B102" s="10" t="s">
        <v>60</v>
      </c>
      <c r="C102" s="10" t="s">
        <v>247</v>
      </c>
      <c r="D102" s="10" t="s">
        <v>103</v>
      </c>
      <c r="E102" s="10" t="s">
        <v>464</v>
      </c>
      <c r="F102" s="11">
        <v>2858.65</v>
      </c>
      <c r="G102" s="21">
        <v>72.748742920880659</v>
      </c>
      <c r="H102" s="34" t="s">
        <v>33</v>
      </c>
      <c r="I102" s="10" t="s">
        <v>447</v>
      </c>
      <c r="J102" s="10" t="s">
        <v>436</v>
      </c>
      <c r="K102" s="35" t="s">
        <v>448</v>
      </c>
      <c r="L102" s="35" t="s">
        <v>152</v>
      </c>
      <c r="M102" s="35" t="s">
        <v>449</v>
      </c>
      <c r="N102" s="35" t="s">
        <v>450</v>
      </c>
      <c r="O102" s="35" t="s">
        <v>195</v>
      </c>
      <c r="P102" s="33">
        <v>4</v>
      </c>
      <c r="Q102" s="33">
        <v>3</v>
      </c>
      <c r="R102" s="32" t="s">
        <v>451</v>
      </c>
      <c r="S102" s="36">
        <v>42</v>
      </c>
    </row>
    <row r="103" spans="1:19" ht="42" customHeight="1">
      <c r="A103" s="10" t="s">
        <v>165</v>
      </c>
      <c r="B103" s="10" t="s">
        <v>60</v>
      </c>
      <c r="C103" s="10" t="s">
        <v>247</v>
      </c>
      <c r="D103" s="10" t="s">
        <v>103</v>
      </c>
      <c r="E103" s="10" t="s">
        <v>151</v>
      </c>
      <c r="F103" s="11">
        <v>4879.99</v>
      </c>
      <c r="G103" s="21">
        <v>72.466129184412011</v>
      </c>
      <c r="H103" s="34" t="s">
        <v>33</v>
      </c>
      <c r="I103" s="10" t="s">
        <v>447</v>
      </c>
      <c r="J103" s="10" t="s">
        <v>436</v>
      </c>
      <c r="K103" s="35" t="s">
        <v>448</v>
      </c>
      <c r="L103" s="35" t="s">
        <v>152</v>
      </c>
      <c r="M103" s="35" t="s">
        <v>449</v>
      </c>
      <c r="N103" s="35" t="s">
        <v>450</v>
      </c>
      <c r="O103" s="35" t="s">
        <v>195</v>
      </c>
      <c r="P103" s="33">
        <v>9</v>
      </c>
      <c r="Q103" s="33">
        <v>8</v>
      </c>
      <c r="R103" s="32" t="s">
        <v>451</v>
      </c>
      <c r="S103" s="36">
        <v>57</v>
      </c>
    </row>
    <row r="104" spans="1:19" ht="42" customHeight="1">
      <c r="A104" s="10" t="s">
        <v>165</v>
      </c>
      <c r="B104" s="10" t="s">
        <v>60</v>
      </c>
      <c r="C104" s="10" t="s">
        <v>247</v>
      </c>
      <c r="D104" s="10" t="s">
        <v>103</v>
      </c>
      <c r="E104" s="10" t="s">
        <v>482</v>
      </c>
      <c r="F104" s="11">
        <v>231.82</v>
      </c>
      <c r="G104" s="21">
        <v>69.454499800427357</v>
      </c>
      <c r="H104" s="34" t="s">
        <v>33</v>
      </c>
      <c r="I104" s="10" t="s">
        <v>447</v>
      </c>
      <c r="J104" s="10" t="s">
        <v>441</v>
      </c>
      <c r="K104" s="35" t="s">
        <v>453</v>
      </c>
      <c r="L104" s="35" t="s">
        <v>135</v>
      </c>
      <c r="M104" s="35" t="s">
        <v>454</v>
      </c>
      <c r="N104" s="35" t="s">
        <v>455</v>
      </c>
      <c r="O104" s="35" t="s">
        <v>195</v>
      </c>
      <c r="P104" s="33">
        <v>8</v>
      </c>
      <c r="Q104" s="33">
        <v>7</v>
      </c>
      <c r="R104" s="32" t="s">
        <v>456</v>
      </c>
      <c r="S104" s="36">
        <v>0</v>
      </c>
    </row>
    <row r="105" spans="1:19" ht="42" customHeight="1">
      <c r="A105" s="10" t="s">
        <v>165</v>
      </c>
      <c r="B105" s="10" t="s">
        <v>60</v>
      </c>
      <c r="C105" s="10" t="s">
        <v>247</v>
      </c>
      <c r="D105" s="10" t="s">
        <v>103</v>
      </c>
      <c r="E105" s="10" t="s">
        <v>452</v>
      </c>
      <c r="F105" s="11">
        <v>2768.09</v>
      </c>
      <c r="G105" s="21">
        <v>65</v>
      </c>
      <c r="H105" s="34" t="s">
        <v>33</v>
      </c>
      <c r="I105" s="10" t="s">
        <v>447</v>
      </c>
      <c r="J105" s="10" t="s">
        <v>441</v>
      </c>
      <c r="K105" s="35" t="s">
        <v>453</v>
      </c>
      <c r="L105" s="35" t="s">
        <v>135</v>
      </c>
      <c r="M105" s="35" t="s">
        <v>454</v>
      </c>
      <c r="N105" s="35" t="s">
        <v>455</v>
      </c>
      <c r="O105" s="35" t="s">
        <v>195</v>
      </c>
      <c r="P105" s="33">
        <v>5</v>
      </c>
      <c r="Q105" s="33">
        <v>4</v>
      </c>
      <c r="R105" s="32" t="s">
        <v>456</v>
      </c>
      <c r="S105" s="36">
        <v>0</v>
      </c>
    </row>
    <row r="106" spans="1:19" ht="42" hidden="1" customHeight="1">
      <c r="A106" s="10" t="s">
        <v>101</v>
      </c>
      <c r="B106" s="10" t="s">
        <v>60</v>
      </c>
      <c r="C106" s="10" t="s">
        <v>320</v>
      </c>
      <c r="D106" s="10" t="s">
        <v>127</v>
      </c>
      <c r="E106" s="10" t="s">
        <v>465</v>
      </c>
      <c r="F106" s="11">
        <v>4652.6000000000004</v>
      </c>
      <c r="G106" s="21">
        <v>94.25</v>
      </c>
      <c r="H106" s="34" t="s">
        <v>31</v>
      </c>
      <c r="I106" s="10" t="s">
        <v>435</v>
      </c>
      <c r="J106" s="10" t="s">
        <v>436</v>
      </c>
      <c r="K106" s="35" t="s">
        <v>437</v>
      </c>
      <c r="L106" s="35" t="s">
        <v>106</v>
      </c>
      <c r="M106" s="35" t="s">
        <v>438</v>
      </c>
      <c r="N106" s="35" t="s">
        <v>439</v>
      </c>
      <c r="O106" s="35" t="s">
        <v>125</v>
      </c>
      <c r="P106" s="33">
        <v>8</v>
      </c>
      <c r="Q106" s="33">
        <v>7</v>
      </c>
      <c r="R106" s="32" t="s">
        <v>460</v>
      </c>
      <c r="S106" s="36">
        <v>2280</v>
      </c>
    </row>
    <row r="107" spans="1:19" ht="42" hidden="1" customHeight="1">
      <c r="A107" s="10" t="s">
        <v>101</v>
      </c>
      <c r="B107" s="10" t="s">
        <v>60</v>
      </c>
      <c r="C107" s="10" t="s">
        <v>320</v>
      </c>
      <c r="D107" s="10" t="s">
        <v>127</v>
      </c>
      <c r="E107" s="10" t="s">
        <v>193</v>
      </c>
      <c r="F107" s="11">
        <v>3451.57</v>
      </c>
      <c r="G107" s="21">
        <v>90.585273425396053</v>
      </c>
      <c r="H107" s="34" t="s">
        <v>31</v>
      </c>
      <c r="I107" s="10" t="s">
        <v>435</v>
      </c>
      <c r="J107" s="10" t="s">
        <v>436</v>
      </c>
      <c r="K107" s="35" t="s">
        <v>437</v>
      </c>
      <c r="L107" s="35" t="s">
        <v>106</v>
      </c>
      <c r="M107" s="35" t="s">
        <v>438</v>
      </c>
      <c r="N107" s="35" t="s">
        <v>439</v>
      </c>
      <c r="O107" s="35" t="s">
        <v>125</v>
      </c>
      <c r="P107" s="33">
        <v>4</v>
      </c>
      <c r="Q107" s="33">
        <v>3</v>
      </c>
      <c r="R107" s="32" t="s">
        <v>461</v>
      </c>
      <c r="S107" s="36">
        <v>62</v>
      </c>
    </row>
    <row r="108" spans="1:19" ht="42" hidden="1" customHeight="1">
      <c r="A108" s="10" t="s">
        <v>101</v>
      </c>
      <c r="B108" s="10" t="s">
        <v>60</v>
      </c>
      <c r="C108" s="10" t="s">
        <v>320</v>
      </c>
      <c r="D108" s="10" t="s">
        <v>127</v>
      </c>
      <c r="E108" s="10" t="s">
        <v>459</v>
      </c>
      <c r="F108" s="11">
        <v>1865.96</v>
      </c>
      <c r="G108" s="21">
        <v>89.249999999999986</v>
      </c>
      <c r="H108" s="34" t="s">
        <v>31</v>
      </c>
      <c r="I108" s="10" t="s">
        <v>435</v>
      </c>
      <c r="J108" s="10" t="s">
        <v>436</v>
      </c>
      <c r="K108" s="35" t="s">
        <v>437</v>
      </c>
      <c r="L108" s="35" t="s">
        <v>106</v>
      </c>
      <c r="M108" s="35" t="s">
        <v>438</v>
      </c>
      <c r="N108" s="35" t="s">
        <v>439</v>
      </c>
      <c r="O108" s="35" t="s">
        <v>125</v>
      </c>
      <c r="P108" s="33">
        <v>7</v>
      </c>
      <c r="Q108" s="33">
        <v>6</v>
      </c>
      <c r="R108" s="32" t="s">
        <v>461</v>
      </c>
      <c r="S108" s="36">
        <v>42</v>
      </c>
    </row>
    <row r="109" spans="1:19" ht="42" hidden="1" customHeight="1">
      <c r="A109" s="10" t="s">
        <v>101</v>
      </c>
      <c r="B109" s="10" t="s">
        <v>60</v>
      </c>
      <c r="C109" s="10" t="s">
        <v>320</v>
      </c>
      <c r="D109" s="10" t="s">
        <v>127</v>
      </c>
      <c r="E109" s="10" t="s">
        <v>375</v>
      </c>
      <c r="F109" s="11">
        <v>155.31</v>
      </c>
      <c r="G109" s="21">
        <v>77.5</v>
      </c>
      <c r="H109" s="34" t="s">
        <v>33</v>
      </c>
      <c r="I109" s="10" t="s">
        <v>435</v>
      </c>
      <c r="J109" s="10" t="s">
        <v>436</v>
      </c>
      <c r="K109" s="35" t="s">
        <v>437</v>
      </c>
      <c r="L109" s="35" t="s">
        <v>106</v>
      </c>
      <c r="M109" s="35" t="s">
        <v>438</v>
      </c>
      <c r="N109" s="35" t="s">
        <v>439</v>
      </c>
      <c r="O109" s="35" t="s">
        <v>195</v>
      </c>
      <c r="P109" s="33">
        <v>8</v>
      </c>
      <c r="Q109" s="33">
        <v>7</v>
      </c>
      <c r="R109" s="32" t="s">
        <v>461</v>
      </c>
      <c r="S109" s="36">
        <v>21</v>
      </c>
    </row>
    <row r="110" spans="1:19" ht="42" hidden="1" customHeight="1">
      <c r="A110" s="10" t="s">
        <v>101</v>
      </c>
      <c r="B110" s="10" t="s">
        <v>60</v>
      </c>
      <c r="C110" s="10" t="s">
        <v>320</v>
      </c>
      <c r="D110" s="10" t="s">
        <v>127</v>
      </c>
      <c r="E110" s="10" t="s">
        <v>464</v>
      </c>
      <c r="F110" s="11">
        <v>1802.17</v>
      </c>
      <c r="G110" s="21">
        <v>76.498742920880659</v>
      </c>
      <c r="H110" s="34" t="s">
        <v>33</v>
      </c>
      <c r="I110" s="10" t="s">
        <v>447</v>
      </c>
      <c r="J110" s="10" t="s">
        <v>436</v>
      </c>
      <c r="K110" s="35" t="s">
        <v>448</v>
      </c>
      <c r="L110" s="35" t="s">
        <v>152</v>
      </c>
      <c r="M110" s="35" t="s">
        <v>449</v>
      </c>
      <c r="N110" s="35" t="s">
        <v>450</v>
      </c>
      <c r="O110" s="35" t="s">
        <v>195</v>
      </c>
      <c r="P110" s="33">
        <v>6</v>
      </c>
      <c r="Q110" s="33">
        <v>5</v>
      </c>
      <c r="R110" s="32" t="s">
        <v>456</v>
      </c>
      <c r="S110" s="36">
        <v>0</v>
      </c>
    </row>
    <row r="111" spans="1:19" ht="42" hidden="1" customHeight="1">
      <c r="A111" s="10" t="s">
        <v>101</v>
      </c>
      <c r="B111" s="10" t="s">
        <v>60</v>
      </c>
      <c r="C111" s="10" t="s">
        <v>320</v>
      </c>
      <c r="D111" s="10" t="s">
        <v>127</v>
      </c>
      <c r="E111" s="10" t="s">
        <v>457</v>
      </c>
      <c r="F111" s="11">
        <v>1523.9</v>
      </c>
      <c r="G111" s="21">
        <v>72.75</v>
      </c>
      <c r="H111" s="34" t="s">
        <v>33</v>
      </c>
      <c r="I111" s="10" t="s">
        <v>447</v>
      </c>
      <c r="J111" s="10" t="s">
        <v>441</v>
      </c>
      <c r="K111" s="35" t="s">
        <v>453</v>
      </c>
      <c r="L111" s="35" t="s">
        <v>135</v>
      </c>
      <c r="M111" s="35" t="s">
        <v>454</v>
      </c>
      <c r="N111" s="35" t="s">
        <v>455</v>
      </c>
      <c r="O111" s="35" t="s">
        <v>195</v>
      </c>
      <c r="P111" s="33">
        <v>7</v>
      </c>
      <c r="Q111" s="33">
        <v>6</v>
      </c>
      <c r="R111" s="32" t="s">
        <v>456</v>
      </c>
      <c r="S111" s="36">
        <v>0</v>
      </c>
    </row>
    <row r="112" spans="1:19" ht="42" hidden="1" customHeight="1">
      <c r="A112" s="10" t="s">
        <v>101</v>
      </c>
      <c r="B112" s="10" t="s">
        <v>60</v>
      </c>
      <c r="C112" s="10" t="s">
        <v>320</v>
      </c>
      <c r="D112" s="10" t="s">
        <v>127</v>
      </c>
      <c r="E112" s="10" t="s">
        <v>462</v>
      </c>
      <c r="F112" s="11">
        <v>1158.26</v>
      </c>
      <c r="G112" s="21">
        <v>72.602031083007802</v>
      </c>
      <c r="H112" s="34" t="s">
        <v>33</v>
      </c>
      <c r="I112" s="10" t="s">
        <v>447</v>
      </c>
      <c r="J112" s="10" t="s">
        <v>441</v>
      </c>
      <c r="K112" s="35" t="s">
        <v>453</v>
      </c>
      <c r="L112" s="35" t="s">
        <v>135</v>
      </c>
      <c r="M112" s="35" t="s">
        <v>454</v>
      </c>
      <c r="N112" s="35" t="s">
        <v>455</v>
      </c>
      <c r="O112" s="35" t="s">
        <v>195</v>
      </c>
      <c r="P112" s="33">
        <v>8</v>
      </c>
      <c r="Q112" s="33">
        <v>7</v>
      </c>
      <c r="R112" s="32" t="s">
        <v>456</v>
      </c>
      <c r="S112" s="36">
        <v>0</v>
      </c>
    </row>
    <row r="113" spans="1:19" ht="42" hidden="1" customHeight="1">
      <c r="A113" s="10" t="s">
        <v>101</v>
      </c>
      <c r="B113" s="10" t="s">
        <v>60</v>
      </c>
      <c r="C113" s="10" t="s">
        <v>320</v>
      </c>
      <c r="D113" s="10" t="s">
        <v>127</v>
      </c>
      <c r="E113" s="10" t="s">
        <v>181</v>
      </c>
      <c r="F113" s="11">
        <v>279.62</v>
      </c>
      <c r="G113" s="21">
        <v>70</v>
      </c>
      <c r="H113" s="34" t="s">
        <v>33</v>
      </c>
      <c r="I113" s="10" t="s">
        <v>435</v>
      </c>
      <c r="J113" s="10" t="s">
        <v>441</v>
      </c>
      <c r="K113" s="35" t="s">
        <v>442</v>
      </c>
      <c r="L113" s="35" t="s">
        <v>116</v>
      </c>
      <c r="M113" s="35" t="s">
        <v>443</v>
      </c>
      <c r="N113" s="35" t="s">
        <v>444</v>
      </c>
      <c r="O113" s="35" t="s">
        <v>195</v>
      </c>
      <c r="P113" s="33">
        <v>8</v>
      </c>
      <c r="Q113" s="33">
        <v>7</v>
      </c>
      <c r="R113" s="32" t="s">
        <v>461</v>
      </c>
      <c r="S113" s="36">
        <v>22</v>
      </c>
    </row>
    <row r="114" spans="1:19" ht="42" hidden="1" customHeight="1">
      <c r="A114" s="10" t="s">
        <v>101</v>
      </c>
      <c r="B114" s="10" t="s">
        <v>60</v>
      </c>
      <c r="C114" s="10" t="s">
        <v>320</v>
      </c>
      <c r="D114" s="10" t="s">
        <v>127</v>
      </c>
      <c r="E114" s="10" t="s">
        <v>225</v>
      </c>
      <c r="F114" s="11">
        <v>454.89</v>
      </c>
      <c r="G114" s="21">
        <v>69.9328293081916</v>
      </c>
      <c r="H114" s="34" t="s">
        <v>33</v>
      </c>
      <c r="I114" s="10" t="s">
        <v>435</v>
      </c>
      <c r="J114" s="10" t="s">
        <v>441</v>
      </c>
      <c r="K114" s="35" t="s">
        <v>442</v>
      </c>
      <c r="L114" s="35" t="s">
        <v>116</v>
      </c>
      <c r="M114" s="35" t="s">
        <v>443</v>
      </c>
      <c r="N114" s="35" t="s">
        <v>444</v>
      </c>
      <c r="O114" s="35" t="s">
        <v>195</v>
      </c>
      <c r="P114" s="33">
        <v>6</v>
      </c>
      <c r="Q114" s="33">
        <v>5</v>
      </c>
      <c r="R114" s="32" t="s">
        <v>461</v>
      </c>
      <c r="S114" s="36">
        <v>24</v>
      </c>
    </row>
    <row r="115" spans="1:19" ht="42" hidden="1" customHeight="1">
      <c r="A115" s="10" t="s">
        <v>101</v>
      </c>
      <c r="B115" s="10" t="s">
        <v>60</v>
      </c>
      <c r="C115" s="10" t="s">
        <v>320</v>
      </c>
      <c r="D115" s="10" t="s">
        <v>127</v>
      </c>
      <c r="E115" s="10" t="s">
        <v>115</v>
      </c>
      <c r="F115" s="11">
        <v>820.4</v>
      </c>
      <c r="G115" s="21">
        <v>69.779969712371766</v>
      </c>
      <c r="H115" s="34" t="s">
        <v>33</v>
      </c>
      <c r="I115" s="10" t="s">
        <v>435</v>
      </c>
      <c r="J115" s="10" t="s">
        <v>441</v>
      </c>
      <c r="K115" s="35" t="s">
        <v>442</v>
      </c>
      <c r="L115" s="35" t="s">
        <v>116</v>
      </c>
      <c r="M115" s="35" t="s">
        <v>443</v>
      </c>
      <c r="N115" s="35" t="s">
        <v>444</v>
      </c>
      <c r="O115" s="35" t="s">
        <v>195</v>
      </c>
      <c r="P115" s="33">
        <v>4</v>
      </c>
      <c r="Q115" s="33">
        <v>3</v>
      </c>
      <c r="R115" s="32" t="s">
        <v>461</v>
      </c>
      <c r="S115" s="36">
        <v>27</v>
      </c>
    </row>
    <row r="116" spans="1:19" ht="42" hidden="1" customHeight="1">
      <c r="A116" s="10" t="s">
        <v>101</v>
      </c>
      <c r="B116" s="10" t="s">
        <v>60</v>
      </c>
      <c r="C116" s="10" t="s">
        <v>320</v>
      </c>
      <c r="D116" s="10" t="s">
        <v>127</v>
      </c>
      <c r="E116" s="10" t="s">
        <v>213</v>
      </c>
      <c r="F116" s="11">
        <v>109.19</v>
      </c>
      <c r="G116" s="21">
        <v>68.75</v>
      </c>
      <c r="H116" s="34" t="s">
        <v>33</v>
      </c>
      <c r="I116" s="10" t="s">
        <v>447</v>
      </c>
      <c r="J116" s="10" t="s">
        <v>436</v>
      </c>
      <c r="K116" s="35" t="s">
        <v>448</v>
      </c>
      <c r="L116" s="35" t="s">
        <v>152</v>
      </c>
      <c r="M116" s="35" t="s">
        <v>449</v>
      </c>
      <c r="N116" s="35" t="s">
        <v>450</v>
      </c>
      <c r="O116" s="35" t="s">
        <v>195</v>
      </c>
      <c r="P116" s="33">
        <v>8</v>
      </c>
      <c r="Q116" s="33">
        <v>7</v>
      </c>
      <c r="R116" s="32" t="s">
        <v>456</v>
      </c>
      <c r="S116" s="36">
        <v>0</v>
      </c>
    </row>
    <row r="117" spans="1:19" ht="42" hidden="1" customHeight="1">
      <c r="A117" s="10" t="s">
        <v>101</v>
      </c>
      <c r="B117" s="10" t="s">
        <v>60</v>
      </c>
      <c r="C117" s="10" t="s">
        <v>320</v>
      </c>
      <c r="D117" s="10" t="s">
        <v>127</v>
      </c>
      <c r="E117" s="10" t="s">
        <v>151</v>
      </c>
      <c r="F117" s="11">
        <v>719.97</v>
      </c>
      <c r="G117" s="21">
        <v>68.716129184412011</v>
      </c>
      <c r="H117" s="34" t="s">
        <v>33</v>
      </c>
      <c r="I117" s="10" t="s">
        <v>447</v>
      </c>
      <c r="J117" s="10" t="s">
        <v>436</v>
      </c>
      <c r="K117" s="35" t="s">
        <v>448</v>
      </c>
      <c r="L117" s="35" t="s">
        <v>152</v>
      </c>
      <c r="M117" s="35" t="s">
        <v>449</v>
      </c>
      <c r="N117" s="35" t="s">
        <v>450</v>
      </c>
      <c r="O117" s="35" t="s">
        <v>195</v>
      </c>
      <c r="P117" s="33">
        <v>8</v>
      </c>
      <c r="Q117" s="33">
        <v>7</v>
      </c>
      <c r="R117" s="32" t="s">
        <v>456</v>
      </c>
      <c r="S117" s="36">
        <v>0</v>
      </c>
    </row>
    <row r="118" spans="1:19" ht="42" hidden="1" customHeight="1">
      <c r="A118" s="10" t="s">
        <v>101</v>
      </c>
      <c r="B118" s="10" t="s">
        <v>60</v>
      </c>
      <c r="C118" s="10" t="s">
        <v>320</v>
      </c>
      <c r="D118" s="10" t="s">
        <v>127</v>
      </c>
      <c r="E118" s="10" t="s">
        <v>446</v>
      </c>
      <c r="F118" s="11">
        <v>631.58000000000004</v>
      </c>
      <c r="G118" s="21">
        <v>68.712101858847163</v>
      </c>
      <c r="H118" s="34" t="s">
        <v>33</v>
      </c>
      <c r="I118" s="10" t="s">
        <v>447</v>
      </c>
      <c r="J118" s="10" t="s">
        <v>436</v>
      </c>
      <c r="K118" s="35" t="s">
        <v>448</v>
      </c>
      <c r="L118" s="35" t="s">
        <v>152</v>
      </c>
      <c r="M118" s="35" t="s">
        <v>449</v>
      </c>
      <c r="N118" s="35" t="s">
        <v>450</v>
      </c>
      <c r="O118" s="35" t="s">
        <v>195</v>
      </c>
      <c r="P118" s="33">
        <v>7</v>
      </c>
      <c r="Q118" s="33">
        <v>6</v>
      </c>
      <c r="R118" s="32" t="s">
        <v>456</v>
      </c>
      <c r="S118" s="36">
        <v>0</v>
      </c>
    </row>
    <row r="119" spans="1:19" ht="42" hidden="1" customHeight="1">
      <c r="A119" s="10" t="s">
        <v>101</v>
      </c>
      <c r="B119" s="10" t="s">
        <v>60</v>
      </c>
      <c r="C119" s="10" t="s">
        <v>320</v>
      </c>
      <c r="D119" s="10" t="s">
        <v>127</v>
      </c>
      <c r="E119" s="10" t="s">
        <v>479</v>
      </c>
      <c r="F119" s="11">
        <v>284.57</v>
      </c>
      <c r="G119" s="21">
        <v>66.5</v>
      </c>
      <c r="H119" s="34" t="s">
        <v>33</v>
      </c>
      <c r="I119" s="10" t="s">
        <v>435</v>
      </c>
      <c r="J119" s="10" t="s">
        <v>441</v>
      </c>
      <c r="K119" s="35" t="s">
        <v>442</v>
      </c>
      <c r="L119" s="35" t="s">
        <v>116</v>
      </c>
      <c r="M119" s="35" t="s">
        <v>443</v>
      </c>
      <c r="N119" s="35" t="s">
        <v>444</v>
      </c>
      <c r="O119" s="35" t="s">
        <v>195</v>
      </c>
      <c r="P119" s="33">
        <v>8</v>
      </c>
      <c r="Q119" s="33">
        <v>7</v>
      </c>
      <c r="R119" s="32" t="s">
        <v>461</v>
      </c>
      <c r="S119" s="36">
        <v>22</v>
      </c>
    </row>
    <row r="120" spans="1:19" ht="42" hidden="1" customHeight="1">
      <c r="A120" s="10" t="s">
        <v>101</v>
      </c>
      <c r="B120" s="10" t="s">
        <v>60</v>
      </c>
      <c r="C120" s="10" t="s">
        <v>295</v>
      </c>
      <c r="D120" s="10" t="s">
        <v>149</v>
      </c>
      <c r="E120" s="10" t="s">
        <v>193</v>
      </c>
      <c r="F120" s="11">
        <v>592.9</v>
      </c>
      <c r="G120" s="21">
        <v>73.835273425396053</v>
      </c>
      <c r="H120" s="34" t="s">
        <v>33</v>
      </c>
      <c r="I120" s="10" t="s">
        <v>435</v>
      </c>
      <c r="J120" s="10" t="s">
        <v>441</v>
      </c>
      <c r="K120" s="35" t="s">
        <v>442</v>
      </c>
      <c r="L120" s="35" t="s">
        <v>116</v>
      </c>
      <c r="M120" s="35" t="s">
        <v>443</v>
      </c>
      <c r="N120" s="35" t="s">
        <v>444</v>
      </c>
      <c r="O120" s="35" t="s">
        <v>195</v>
      </c>
      <c r="P120" s="33">
        <v>6</v>
      </c>
      <c r="Q120" s="33">
        <v>5</v>
      </c>
      <c r="R120" s="32" t="s">
        <v>463</v>
      </c>
      <c r="S120" s="36">
        <v>0</v>
      </c>
    </row>
    <row r="121" spans="1:19" ht="42" hidden="1" customHeight="1">
      <c r="A121" s="10" t="s">
        <v>101</v>
      </c>
      <c r="B121" s="10" t="s">
        <v>60</v>
      </c>
      <c r="C121" s="10" t="s">
        <v>295</v>
      </c>
      <c r="D121" s="10" t="s">
        <v>149</v>
      </c>
      <c r="E121" s="10" t="s">
        <v>462</v>
      </c>
      <c r="F121" s="11">
        <v>615.41999999999996</v>
      </c>
      <c r="G121" s="21">
        <v>70.102031083007802</v>
      </c>
      <c r="H121" s="34" t="s">
        <v>33</v>
      </c>
      <c r="I121" s="10" t="s">
        <v>447</v>
      </c>
      <c r="J121" s="10" t="s">
        <v>441</v>
      </c>
      <c r="K121" s="35" t="s">
        <v>453</v>
      </c>
      <c r="L121" s="35" t="s">
        <v>135</v>
      </c>
      <c r="M121" s="35" t="s">
        <v>454</v>
      </c>
      <c r="N121" s="35" t="s">
        <v>455</v>
      </c>
      <c r="O121" s="35" t="s">
        <v>195</v>
      </c>
      <c r="P121" s="33">
        <v>6</v>
      </c>
      <c r="Q121" s="33">
        <v>5</v>
      </c>
      <c r="R121" s="32" t="s">
        <v>463</v>
      </c>
      <c r="S121" s="36">
        <v>0</v>
      </c>
    </row>
    <row r="122" spans="1:19" ht="42" hidden="1" customHeight="1">
      <c r="A122" s="10" t="s">
        <v>101</v>
      </c>
      <c r="B122" s="10" t="s">
        <v>60</v>
      </c>
      <c r="C122" s="10" t="s">
        <v>295</v>
      </c>
      <c r="D122" s="10" t="s">
        <v>149</v>
      </c>
      <c r="E122" s="10" t="s">
        <v>225</v>
      </c>
      <c r="F122" s="11">
        <v>435.3</v>
      </c>
      <c r="G122" s="21">
        <v>69.9328293081916</v>
      </c>
      <c r="H122" s="34" t="s">
        <v>33</v>
      </c>
      <c r="I122" s="10" t="s">
        <v>435</v>
      </c>
      <c r="J122" s="10" t="s">
        <v>441</v>
      </c>
      <c r="K122" s="35" t="s">
        <v>442</v>
      </c>
      <c r="L122" s="35" t="s">
        <v>116</v>
      </c>
      <c r="M122" s="35" t="s">
        <v>443</v>
      </c>
      <c r="N122" s="35" t="s">
        <v>444</v>
      </c>
      <c r="O122" s="35" t="s">
        <v>195</v>
      </c>
      <c r="P122" s="33">
        <v>6</v>
      </c>
      <c r="Q122" s="33">
        <v>5</v>
      </c>
      <c r="R122" s="32" t="s">
        <v>463</v>
      </c>
      <c r="S122" s="36">
        <v>0</v>
      </c>
    </row>
    <row r="123" spans="1:19" ht="42" hidden="1" customHeight="1">
      <c r="A123" s="10" t="s">
        <v>101</v>
      </c>
      <c r="B123" s="10" t="s">
        <v>60</v>
      </c>
      <c r="C123" s="10" t="s">
        <v>295</v>
      </c>
      <c r="D123" s="10" t="s">
        <v>149</v>
      </c>
      <c r="E123" s="10" t="s">
        <v>464</v>
      </c>
      <c r="F123" s="11">
        <v>382.76</v>
      </c>
      <c r="G123" s="21">
        <v>68.998742920880659</v>
      </c>
      <c r="H123" s="34" t="s">
        <v>33</v>
      </c>
      <c r="I123" s="10" t="s">
        <v>447</v>
      </c>
      <c r="J123" s="10" t="s">
        <v>436</v>
      </c>
      <c r="K123" s="35" t="s">
        <v>448</v>
      </c>
      <c r="L123" s="35" t="s">
        <v>152</v>
      </c>
      <c r="M123" s="35" t="s">
        <v>449</v>
      </c>
      <c r="N123" s="35" t="s">
        <v>450</v>
      </c>
      <c r="O123" s="35" t="s">
        <v>195</v>
      </c>
      <c r="P123" s="33">
        <v>7</v>
      </c>
      <c r="Q123" s="33">
        <v>6</v>
      </c>
      <c r="R123" s="32" t="s">
        <v>463</v>
      </c>
      <c r="S123" s="36">
        <v>0</v>
      </c>
    </row>
    <row r="124" spans="1:19" ht="42" hidden="1" customHeight="1">
      <c r="A124" s="10" t="s">
        <v>101</v>
      </c>
      <c r="B124" s="10" t="s">
        <v>60</v>
      </c>
      <c r="C124" s="10" t="s">
        <v>295</v>
      </c>
      <c r="D124" s="10" t="s">
        <v>149</v>
      </c>
      <c r="E124" s="10" t="s">
        <v>457</v>
      </c>
      <c r="F124" s="11">
        <v>476.99</v>
      </c>
      <c r="G124" s="21">
        <v>65.25</v>
      </c>
      <c r="H124" s="34" t="s">
        <v>33</v>
      </c>
      <c r="I124" s="10" t="s">
        <v>447</v>
      </c>
      <c r="J124" s="10" t="s">
        <v>441</v>
      </c>
      <c r="K124" s="35" t="s">
        <v>453</v>
      </c>
      <c r="L124" s="35" t="s">
        <v>135</v>
      </c>
      <c r="M124" s="35" t="s">
        <v>454</v>
      </c>
      <c r="N124" s="35" t="s">
        <v>455</v>
      </c>
      <c r="O124" s="35" t="s">
        <v>195</v>
      </c>
      <c r="P124" s="33">
        <v>6</v>
      </c>
      <c r="Q124" s="33">
        <v>5</v>
      </c>
      <c r="R124" s="32" t="s">
        <v>463</v>
      </c>
      <c r="S124" s="36">
        <v>0</v>
      </c>
    </row>
    <row r="125" spans="1:19" ht="42" hidden="1" customHeight="1">
      <c r="A125" s="10" t="s">
        <v>101</v>
      </c>
      <c r="B125" s="10" t="s">
        <v>60</v>
      </c>
      <c r="C125" s="10" t="s">
        <v>346</v>
      </c>
      <c r="D125" s="10" t="s">
        <v>127</v>
      </c>
      <c r="E125" s="10" t="s">
        <v>193</v>
      </c>
      <c r="F125" s="11">
        <v>8344.91</v>
      </c>
      <c r="G125" s="21">
        <v>90.585273425396053</v>
      </c>
      <c r="H125" s="34" t="s">
        <v>31</v>
      </c>
      <c r="I125" s="10" t="s">
        <v>435</v>
      </c>
      <c r="J125" s="10" t="s">
        <v>436</v>
      </c>
      <c r="K125" s="35" t="s">
        <v>437</v>
      </c>
      <c r="L125" s="35" t="s">
        <v>106</v>
      </c>
      <c r="M125" s="35" t="s">
        <v>438</v>
      </c>
      <c r="N125" s="35" t="s">
        <v>439</v>
      </c>
      <c r="O125" s="35" t="s">
        <v>125</v>
      </c>
      <c r="P125" s="33">
        <v>8</v>
      </c>
      <c r="Q125" s="33">
        <v>7</v>
      </c>
      <c r="R125" s="32" t="s">
        <v>460</v>
      </c>
      <c r="S125" s="36">
        <v>2364</v>
      </c>
    </row>
    <row r="126" spans="1:19" ht="42" hidden="1" customHeight="1">
      <c r="A126" s="10" t="s">
        <v>101</v>
      </c>
      <c r="B126" s="10" t="s">
        <v>60</v>
      </c>
      <c r="C126" s="10" t="s">
        <v>346</v>
      </c>
      <c r="D126" s="10" t="s">
        <v>127</v>
      </c>
      <c r="E126" s="10" t="s">
        <v>465</v>
      </c>
      <c r="F126" s="11">
        <v>3285.57</v>
      </c>
      <c r="G126" s="21">
        <v>89.25</v>
      </c>
      <c r="H126" s="34" t="s">
        <v>31</v>
      </c>
      <c r="I126" s="10" t="s">
        <v>435</v>
      </c>
      <c r="J126" s="10" t="s">
        <v>436</v>
      </c>
      <c r="K126" s="35" t="s">
        <v>437</v>
      </c>
      <c r="L126" s="35" t="s">
        <v>106</v>
      </c>
      <c r="M126" s="35" t="s">
        <v>438</v>
      </c>
      <c r="N126" s="35" t="s">
        <v>439</v>
      </c>
      <c r="O126" s="35" t="s">
        <v>125</v>
      </c>
      <c r="P126" s="33">
        <v>8</v>
      </c>
      <c r="Q126" s="33">
        <v>7</v>
      </c>
      <c r="R126" s="32" t="s">
        <v>461</v>
      </c>
      <c r="S126" s="36">
        <v>76</v>
      </c>
    </row>
    <row r="127" spans="1:19" ht="42" hidden="1" customHeight="1">
      <c r="A127" s="10" t="s">
        <v>101</v>
      </c>
      <c r="B127" s="10" t="s">
        <v>60</v>
      </c>
      <c r="C127" s="10" t="s">
        <v>346</v>
      </c>
      <c r="D127" s="10" t="s">
        <v>127</v>
      </c>
      <c r="E127" s="10" t="s">
        <v>446</v>
      </c>
      <c r="F127" s="11">
        <v>20105.86</v>
      </c>
      <c r="G127" s="21">
        <v>87.462101858847163</v>
      </c>
      <c r="H127" s="34" t="s">
        <v>31</v>
      </c>
      <c r="I127" s="10" t="s">
        <v>447</v>
      </c>
      <c r="J127" s="10" t="s">
        <v>436</v>
      </c>
      <c r="K127" s="35" t="s">
        <v>448</v>
      </c>
      <c r="L127" s="35" t="s">
        <v>152</v>
      </c>
      <c r="M127" s="35" t="s">
        <v>449</v>
      </c>
      <c r="N127" s="35" t="s">
        <v>450</v>
      </c>
      <c r="O127" s="35" t="s">
        <v>125</v>
      </c>
      <c r="P127" s="33">
        <v>8</v>
      </c>
      <c r="Q127" s="33">
        <v>7</v>
      </c>
      <c r="R127" s="32" t="s">
        <v>456</v>
      </c>
      <c r="S127" s="36">
        <v>0</v>
      </c>
    </row>
    <row r="128" spans="1:19" ht="42" hidden="1" customHeight="1">
      <c r="A128" s="10" t="s">
        <v>101</v>
      </c>
      <c r="B128" s="10" t="s">
        <v>60</v>
      </c>
      <c r="C128" s="10" t="s">
        <v>346</v>
      </c>
      <c r="D128" s="10" t="s">
        <v>127</v>
      </c>
      <c r="E128" s="10" t="s">
        <v>479</v>
      </c>
      <c r="F128" s="11">
        <v>3240.49</v>
      </c>
      <c r="G128" s="21">
        <v>74</v>
      </c>
      <c r="H128" s="34" t="s">
        <v>33</v>
      </c>
      <c r="I128" s="10" t="s">
        <v>435</v>
      </c>
      <c r="J128" s="10" t="s">
        <v>441</v>
      </c>
      <c r="K128" s="35" t="s">
        <v>442</v>
      </c>
      <c r="L128" s="35" t="s">
        <v>116</v>
      </c>
      <c r="M128" s="35" t="s">
        <v>443</v>
      </c>
      <c r="N128" s="35" t="s">
        <v>444</v>
      </c>
      <c r="O128" s="35" t="s">
        <v>195</v>
      </c>
      <c r="P128" s="33">
        <v>7</v>
      </c>
      <c r="Q128" s="33">
        <v>6</v>
      </c>
      <c r="R128" s="32" t="s">
        <v>461</v>
      </c>
      <c r="S128" s="36">
        <v>60</v>
      </c>
    </row>
    <row r="129" spans="1:19" ht="42" hidden="1" customHeight="1">
      <c r="A129" s="10" t="s">
        <v>101</v>
      </c>
      <c r="B129" s="10" t="s">
        <v>60</v>
      </c>
      <c r="C129" s="10" t="s">
        <v>346</v>
      </c>
      <c r="D129" s="10" t="s">
        <v>127</v>
      </c>
      <c r="E129" s="10" t="s">
        <v>213</v>
      </c>
      <c r="F129" s="11">
        <v>1296.25</v>
      </c>
      <c r="G129" s="21">
        <v>68.75</v>
      </c>
      <c r="H129" s="34" t="s">
        <v>33</v>
      </c>
      <c r="I129" s="10" t="s">
        <v>447</v>
      </c>
      <c r="J129" s="10" t="s">
        <v>436</v>
      </c>
      <c r="K129" s="35" t="s">
        <v>448</v>
      </c>
      <c r="L129" s="35" t="s">
        <v>152</v>
      </c>
      <c r="M129" s="35" t="s">
        <v>449</v>
      </c>
      <c r="N129" s="35" t="s">
        <v>450</v>
      </c>
      <c r="O129" s="35" t="s">
        <v>195</v>
      </c>
      <c r="P129" s="33">
        <v>8</v>
      </c>
      <c r="Q129" s="33">
        <v>7</v>
      </c>
      <c r="R129" s="32" t="s">
        <v>456</v>
      </c>
      <c r="S129" s="36">
        <v>0</v>
      </c>
    </row>
    <row r="130" spans="1:19" ht="42" hidden="1" customHeight="1">
      <c r="A130" s="10" t="s">
        <v>101</v>
      </c>
      <c r="B130" s="10" t="s">
        <v>60</v>
      </c>
      <c r="C130" s="10" t="s">
        <v>346</v>
      </c>
      <c r="D130" s="10" t="s">
        <v>127</v>
      </c>
      <c r="E130" s="10" t="s">
        <v>151</v>
      </c>
      <c r="F130" s="11">
        <v>843.91</v>
      </c>
      <c r="G130" s="21">
        <v>68.716129184412011</v>
      </c>
      <c r="H130" s="34" t="s">
        <v>33</v>
      </c>
      <c r="I130" s="10" t="s">
        <v>447</v>
      </c>
      <c r="J130" s="10" t="s">
        <v>436</v>
      </c>
      <c r="K130" s="35" t="s">
        <v>448</v>
      </c>
      <c r="L130" s="35" t="s">
        <v>152</v>
      </c>
      <c r="M130" s="35" t="s">
        <v>449</v>
      </c>
      <c r="N130" s="35" t="s">
        <v>450</v>
      </c>
      <c r="O130" s="35" t="s">
        <v>195</v>
      </c>
      <c r="P130" s="33">
        <v>6</v>
      </c>
      <c r="Q130" s="33">
        <v>5</v>
      </c>
      <c r="R130" s="32" t="s">
        <v>456</v>
      </c>
      <c r="S130" s="36">
        <v>0</v>
      </c>
    </row>
    <row r="131" spans="1:19" ht="42" hidden="1" customHeight="1">
      <c r="A131" s="10" t="s">
        <v>101</v>
      </c>
      <c r="B131" s="10" t="s">
        <v>60</v>
      </c>
      <c r="C131" s="10" t="s">
        <v>346</v>
      </c>
      <c r="D131" s="10" t="s">
        <v>127</v>
      </c>
      <c r="E131" s="10" t="s">
        <v>457</v>
      </c>
      <c r="F131" s="11">
        <v>1708.25</v>
      </c>
      <c r="G131" s="21">
        <v>65.25</v>
      </c>
      <c r="H131" s="34" t="s">
        <v>33</v>
      </c>
      <c r="I131" s="10" t="s">
        <v>447</v>
      </c>
      <c r="J131" s="10" t="s">
        <v>441</v>
      </c>
      <c r="K131" s="35" t="s">
        <v>453</v>
      </c>
      <c r="L131" s="35" t="s">
        <v>135</v>
      </c>
      <c r="M131" s="35" t="s">
        <v>454</v>
      </c>
      <c r="N131" s="35" t="s">
        <v>455</v>
      </c>
      <c r="O131" s="35" t="s">
        <v>195</v>
      </c>
      <c r="P131" s="33">
        <v>6</v>
      </c>
      <c r="Q131" s="33">
        <v>5</v>
      </c>
      <c r="R131" s="32" t="s">
        <v>456</v>
      </c>
      <c r="S131" s="36">
        <v>0</v>
      </c>
    </row>
    <row r="132" spans="1:19" ht="42" hidden="1" customHeight="1">
      <c r="A132" s="10" t="s">
        <v>101</v>
      </c>
      <c r="B132" s="10" t="s">
        <v>60</v>
      </c>
      <c r="C132" s="10" t="s">
        <v>252</v>
      </c>
      <c r="D132" s="10" t="s">
        <v>149</v>
      </c>
      <c r="E132" s="10" t="s">
        <v>225</v>
      </c>
      <c r="F132" s="11">
        <v>7173.61</v>
      </c>
      <c r="G132" s="21">
        <v>74.9328293081916</v>
      </c>
      <c r="H132" s="34" t="s">
        <v>33</v>
      </c>
      <c r="I132" s="10" t="s">
        <v>435</v>
      </c>
      <c r="J132" s="10" t="s">
        <v>441</v>
      </c>
      <c r="K132" s="35" t="s">
        <v>442</v>
      </c>
      <c r="L132" s="35" t="s">
        <v>116</v>
      </c>
      <c r="M132" s="35" t="s">
        <v>443</v>
      </c>
      <c r="N132" s="35" t="s">
        <v>444</v>
      </c>
      <c r="O132" s="35" t="s">
        <v>195</v>
      </c>
      <c r="P132" s="33">
        <v>5</v>
      </c>
      <c r="Q132" s="33">
        <v>4</v>
      </c>
      <c r="R132" s="32" t="s">
        <v>463</v>
      </c>
      <c r="S132" s="36">
        <v>0</v>
      </c>
    </row>
    <row r="133" spans="1:19" ht="42" hidden="1" customHeight="1">
      <c r="A133" s="10" t="s">
        <v>101</v>
      </c>
      <c r="B133" s="10" t="s">
        <v>60</v>
      </c>
      <c r="C133" s="10" t="s">
        <v>252</v>
      </c>
      <c r="D133" s="10" t="s">
        <v>149</v>
      </c>
      <c r="E133" s="10" t="s">
        <v>462</v>
      </c>
      <c r="F133" s="11">
        <v>3531.89</v>
      </c>
      <c r="G133" s="21">
        <v>74.784246353202292</v>
      </c>
      <c r="H133" s="34" t="s">
        <v>33</v>
      </c>
      <c r="I133" s="10" t="s">
        <v>435</v>
      </c>
      <c r="J133" s="10" t="s">
        <v>441</v>
      </c>
      <c r="K133" s="35" t="s">
        <v>442</v>
      </c>
      <c r="L133" s="35" t="s">
        <v>116</v>
      </c>
      <c r="M133" s="35" t="s">
        <v>443</v>
      </c>
      <c r="N133" s="35" t="s">
        <v>444</v>
      </c>
      <c r="O133" s="35" t="s">
        <v>195</v>
      </c>
      <c r="P133" s="33">
        <v>5</v>
      </c>
      <c r="Q133" s="33">
        <v>4</v>
      </c>
      <c r="R133" s="32" t="s">
        <v>463</v>
      </c>
      <c r="S133" s="36">
        <v>0</v>
      </c>
    </row>
    <row r="134" spans="1:19" ht="42" hidden="1" customHeight="1">
      <c r="A134" s="10" t="s">
        <v>119</v>
      </c>
      <c r="B134" s="10" t="s">
        <v>120</v>
      </c>
      <c r="C134" s="10" t="s">
        <v>121</v>
      </c>
      <c r="D134" s="10" t="s">
        <v>103</v>
      </c>
      <c r="E134" s="10" t="s">
        <v>213</v>
      </c>
      <c r="F134" s="11">
        <v>1223813.77</v>
      </c>
      <c r="G134" s="21">
        <v>91.250000000000028</v>
      </c>
      <c r="H134" s="34" t="s">
        <v>31</v>
      </c>
      <c r="I134" s="10" t="s">
        <v>447</v>
      </c>
      <c r="J134" s="10" t="s">
        <v>436</v>
      </c>
      <c r="K134" s="35" t="s">
        <v>448</v>
      </c>
      <c r="L134" s="35" t="s">
        <v>152</v>
      </c>
      <c r="M134" s="35" t="s">
        <v>449</v>
      </c>
      <c r="N134" s="35" t="s">
        <v>450</v>
      </c>
      <c r="O134" s="35" t="s">
        <v>125</v>
      </c>
      <c r="P134" s="33">
        <v>3</v>
      </c>
      <c r="Q134" s="33">
        <v>2</v>
      </c>
      <c r="R134" s="32" t="s">
        <v>483</v>
      </c>
      <c r="S134" s="36">
        <v>2400</v>
      </c>
    </row>
    <row r="135" spans="1:19" ht="42" hidden="1" customHeight="1">
      <c r="A135" s="10" t="s">
        <v>119</v>
      </c>
      <c r="B135" s="10" t="s">
        <v>120</v>
      </c>
      <c r="C135" s="10" t="s">
        <v>121</v>
      </c>
      <c r="D135" s="10" t="s">
        <v>103</v>
      </c>
      <c r="E135" s="10" t="s">
        <v>484</v>
      </c>
      <c r="F135" s="11">
        <v>240532.37</v>
      </c>
      <c r="G135" s="21">
        <v>86.5</v>
      </c>
      <c r="H135" s="34" t="s">
        <v>31</v>
      </c>
      <c r="I135" s="10" t="s">
        <v>435</v>
      </c>
      <c r="J135" s="10" t="s">
        <v>441</v>
      </c>
      <c r="K135" s="35" t="s">
        <v>442</v>
      </c>
      <c r="L135" s="35" t="s">
        <v>116</v>
      </c>
      <c r="M135" s="35" t="s">
        <v>443</v>
      </c>
      <c r="N135" s="35" t="s">
        <v>444</v>
      </c>
      <c r="O135" s="35" t="s">
        <v>125</v>
      </c>
      <c r="P135" s="33">
        <v>3</v>
      </c>
      <c r="Q135" s="33">
        <v>2</v>
      </c>
      <c r="R135" s="32" t="s">
        <v>476</v>
      </c>
      <c r="S135" s="36">
        <v>3200</v>
      </c>
    </row>
    <row r="136" spans="1:19" ht="42" hidden="1" customHeight="1">
      <c r="A136" s="10" t="s">
        <v>119</v>
      </c>
      <c r="B136" s="10" t="s">
        <v>120</v>
      </c>
      <c r="C136" s="10" t="s">
        <v>121</v>
      </c>
      <c r="D136" s="10" t="s">
        <v>103</v>
      </c>
      <c r="E136" s="10" t="s">
        <v>485</v>
      </c>
      <c r="F136" s="11">
        <v>137442.48000000001</v>
      </c>
      <c r="G136" s="21">
        <v>78.25</v>
      </c>
      <c r="H136" s="34" t="s">
        <v>33</v>
      </c>
      <c r="I136" s="10" t="s">
        <v>435</v>
      </c>
      <c r="J136" s="10" t="s">
        <v>441</v>
      </c>
      <c r="K136" s="35" t="s">
        <v>442</v>
      </c>
      <c r="L136" s="35" t="s">
        <v>116</v>
      </c>
      <c r="M136" s="35" t="s">
        <v>443</v>
      </c>
      <c r="N136" s="35" t="s">
        <v>444</v>
      </c>
      <c r="O136" s="35" t="s">
        <v>195</v>
      </c>
      <c r="P136" s="33">
        <v>4</v>
      </c>
      <c r="Q136" s="33">
        <v>3</v>
      </c>
      <c r="R136" s="32" t="s">
        <v>456</v>
      </c>
      <c r="S136" s="36">
        <v>0</v>
      </c>
    </row>
    <row r="137" spans="1:19" ht="42" hidden="1" customHeight="1">
      <c r="A137" s="10" t="s">
        <v>119</v>
      </c>
      <c r="B137" s="10" t="s">
        <v>120</v>
      </c>
      <c r="C137" s="10" t="s">
        <v>121</v>
      </c>
      <c r="D137" s="10" t="s">
        <v>103</v>
      </c>
      <c r="E137" s="10" t="s">
        <v>486</v>
      </c>
      <c r="F137" s="11">
        <v>343555.13</v>
      </c>
      <c r="G137" s="21">
        <v>76</v>
      </c>
      <c r="H137" s="34" t="s">
        <v>33</v>
      </c>
      <c r="I137" s="10" t="s">
        <v>435</v>
      </c>
      <c r="J137" s="10" t="s">
        <v>471</v>
      </c>
      <c r="K137" s="35" t="s">
        <v>487</v>
      </c>
      <c r="L137" s="35" t="s">
        <v>488</v>
      </c>
      <c r="M137" s="35" t="s">
        <v>489</v>
      </c>
      <c r="N137" s="35" t="s">
        <v>137</v>
      </c>
      <c r="O137" s="35" t="s">
        <v>195</v>
      </c>
      <c r="P137" s="33">
        <v>12</v>
      </c>
      <c r="Q137" s="33">
        <v>11</v>
      </c>
      <c r="R137" s="32" t="s">
        <v>456</v>
      </c>
      <c r="S137" s="36">
        <v>0</v>
      </c>
    </row>
    <row r="138" spans="1:19" ht="42" hidden="1" customHeight="1">
      <c r="A138" s="10" t="s">
        <v>119</v>
      </c>
      <c r="B138" s="10" t="s">
        <v>171</v>
      </c>
      <c r="C138" s="10" t="s">
        <v>324</v>
      </c>
      <c r="D138" s="10" t="s">
        <v>149</v>
      </c>
      <c r="E138" s="10" t="s">
        <v>213</v>
      </c>
      <c r="F138" s="11">
        <v>2398.5100000000002</v>
      </c>
      <c r="G138" s="21">
        <v>73.75</v>
      </c>
      <c r="H138" s="34" t="s">
        <v>33</v>
      </c>
      <c r="I138" s="10" t="s">
        <v>447</v>
      </c>
      <c r="J138" s="10" t="s">
        <v>436</v>
      </c>
      <c r="K138" s="35" t="s">
        <v>448</v>
      </c>
      <c r="L138" s="35" t="s">
        <v>152</v>
      </c>
      <c r="M138" s="35" t="s">
        <v>449</v>
      </c>
      <c r="N138" s="35" t="s">
        <v>450</v>
      </c>
      <c r="O138" s="35" t="s">
        <v>195</v>
      </c>
      <c r="P138" s="33">
        <v>7</v>
      </c>
      <c r="Q138" s="33">
        <v>6</v>
      </c>
      <c r="R138" s="32" t="s">
        <v>463</v>
      </c>
      <c r="S138" s="36">
        <v>0</v>
      </c>
    </row>
    <row r="139" spans="1:19" ht="42" hidden="1" customHeight="1">
      <c r="A139" s="10" t="s">
        <v>111</v>
      </c>
      <c r="B139" s="10" t="s">
        <v>402</v>
      </c>
      <c r="C139" s="10" t="s">
        <v>403</v>
      </c>
      <c r="D139" s="10" t="s">
        <v>103</v>
      </c>
      <c r="E139" s="10" t="s">
        <v>151</v>
      </c>
      <c r="F139" s="11">
        <v>33691.1</v>
      </c>
      <c r="G139" s="21">
        <v>91.216129184412011</v>
      </c>
      <c r="H139" s="34" t="s">
        <v>31</v>
      </c>
      <c r="I139" s="10" t="s">
        <v>447</v>
      </c>
      <c r="J139" s="10" t="s">
        <v>436</v>
      </c>
      <c r="K139" s="35" t="s">
        <v>448</v>
      </c>
      <c r="L139" s="35" t="s">
        <v>152</v>
      </c>
      <c r="M139" s="35" t="s">
        <v>449</v>
      </c>
      <c r="N139" s="35" t="s">
        <v>450</v>
      </c>
      <c r="O139" s="35" t="s">
        <v>125</v>
      </c>
      <c r="P139" s="33">
        <v>7</v>
      </c>
      <c r="Q139" s="33">
        <v>6</v>
      </c>
      <c r="R139" s="32" t="s">
        <v>451</v>
      </c>
      <c r="S139" s="36">
        <v>645</v>
      </c>
    </row>
    <row r="140" spans="1:19" ht="42" hidden="1" customHeight="1">
      <c r="A140" s="10" t="s">
        <v>111</v>
      </c>
      <c r="B140" s="10" t="s">
        <v>402</v>
      </c>
      <c r="C140" s="10" t="s">
        <v>403</v>
      </c>
      <c r="D140" s="10" t="s">
        <v>103</v>
      </c>
      <c r="E140" s="10" t="s">
        <v>213</v>
      </c>
      <c r="F140" s="11">
        <v>13551.62</v>
      </c>
      <c r="G140" s="21">
        <v>86.25</v>
      </c>
      <c r="H140" s="34" t="s">
        <v>31</v>
      </c>
      <c r="I140" s="10" t="s">
        <v>447</v>
      </c>
      <c r="J140" s="10" t="s">
        <v>436</v>
      </c>
      <c r="K140" s="35" t="s">
        <v>448</v>
      </c>
      <c r="L140" s="35" t="s">
        <v>152</v>
      </c>
      <c r="M140" s="35" t="s">
        <v>449</v>
      </c>
      <c r="N140" s="35" t="s">
        <v>450</v>
      </c>
      <c r="O140" s="35" t="s">
        <v>125</v>
      </c>
      <c r="P140" s="33">
        <v>12</v>
      </c>
      <c r="Q140" s="33">
        <v>11</v>
      </c>
      <c r="R140" s="32" t="s">
        <v>451</v>
      </c>
      <c r="S140" s="36">
        <v>258</v>
      </c>
    </row>
    <row r="141" spans="1:19" ht="42" hidden="1" customHeight="1">
      <c r="A141" s="10" t="s">
        <v>111</v>
      </c>
      <c r="B141" s="10" t="s">
        <v>402</v>
      </c>
      <c r="C141" s="10" t="s">
        <v>403</v>
      </c>
      <c r="D141" s="10" t="s">
        <v>103</v>
      </c>
      <c r="E141" s="10" t="s">
        <v>490</v>
      </c>
      <c r="F141" s="11">
        <v>29402.7</v>
      </c>
      <c r="G141" s="21">
        <v>72.444466365615909</v>
      </c>
      <c r="H141" s="34" t="s">
        <v>33</v>
      </c>
      <c r="I141" s="10" t="s">
        <v>435</v>
      </c>
      <c r="J141" s="10" t="s">
        <v>471</v>
      </c>
      <c r="K141" s="35" t="s">
        <v>487</v>
      </c>
      <c r="L141" s="35" t="s">
        <v>488</v>
      </c>
      <c r="M141" s="35" t="s">
        <v>489</v>
      </c>
      <c r="N141" s="35" t="s">
        <v>137</v>
      </c>
      <c r="O141" s="35" t="s">
        <v>195</v>
      </c>
      <c r="P141" s="33">
        <v>12</v>
      </c>
      <c r="Q141" s="33">
        <v>11</v>
      </c>
      <c r="R141" s="32" t="s">
        <v>451</v>
      </c>
      <c r="S141" s="36">
        <v>397</v>
      </c>
    </row>
    <row r="142" spans="1:19" ht="42" hidden="1" customHeight="1">
      <c r="A142" s="10" t="s">
        <v>111</v>
      </c>
      <c r="B142" s="10" t="s">
        <v>402</v>
      </c>
      <c r="C142" s="10" t="s">
        <v>403</v>
      </c>
      <c r="D142" s="10" t="s">
        <v>103</v>
      </c>
      <c r="E142" s="10" t="s">
        <v>491</v>
      </c>
      <c r="F142" s="11">
        <v>40967.83</v>
      </c>
      <c r="G142" s="21">
        <v>69.5</v>
      </c>
      <c r="H142" s="34" t="s">
        <v>33</v>
      </c>
      <c r="I142" s="10" t="s">
        <v>447</v>
      </c>
      <c r="J142" s="10" t="s">
        <v>471</v>
      </c>
      <c r="K142" s="35" t="s">
        <v>472</v>
      </c>
      <c r="L142" s="35" t="s">
        <v>174</v>
      </c>
      <c r="M142" s="35" t="s">
        <v>473</v>
      </c>
      <c r="N142" s="35" t="s">
        <v>137</v>
      </c>
      <c r="O142" s="35" t="s">
        <v>195</v>
      </c>
      <c r="P142" s="33">
        <v>7</v>
      </c>
      <c r="Q142" s="33">
        <v>6</v>
      </c>
      <c r="R142" s="32" t="s">
        <v>492</v>
      </c>
      <c r="S142" s="36">
        <v>3000</v>
      </c>
    </row>
    <row r="143" spans="1:19" ht="42" hidden="1" customHeight="1">
      <c r="A143" s="10" t="s">
        <v>101</v>
      </c>
      <c r="B143" s="10" t="s">
        <v>60</v>
      </c>
      <c r="C143" s="10" t="s">
        <v>299</v>
      </c>
      <c r="D143" s="10" t="s">
        <v>127</v>
      </c>
      <c r="E143" s="10" t="s">
        <v>459</v>
      </c>
      <c r="F143" s="11">
        <v>15865.82</v>
      </c>
      <c r="G143" s="21">
        <v>94.25</v>
      </c>
      <c r="H143" s="34" t="s">
        <v>31</v>
      </c>
      <c r="I143" s="10" t="s">
        <v>435</v>
      </c>
      <c r="J143" s="10" t="s">
        <v>436</v>
      </c>
      <c r="K143" s="35" t="s">
        <v>437</v>
      </c>
      <c r="L143" s="35" t="s">
        <v>106</v>
      </c>
      <c r="M143" s="35" t="s">
        <v>438</v>
      </c>
      <c r="N143" s="35" t="s">
        <v>439</v>
      </c>
      <c r="O143" s="35" t="s">
        <v>125</v>
      </c>
      <c r="P143" s="33">
        <v>7</v>
      </c>
      <c r="Q143" s="33">
        <v>6</v>
      </c>
      <c r="R143" s="32" t="s">
        <v>460</v>
      </c>
      <c r="S143" s="36">
        <v>2389</v>
      </c>
    </row>
    <row r="144" spans="1:19" ht="42" hidden="1" customHeight="1">
      <c r="A144" s="10" t="s">
        <v>101</v>
      </c>
      <c r="B144" s="10" t="s">
        <v>60</v>
      </c>
      <c r="C144" s="10" t="s">
        <v>299</v>
      </c>
      <c r="D144" s="10" t="s">
        <v>127</v>
      </c>
      <c r="E144" s="10" t="s">
        <v>193</v>
      </c>
      <c r="F144" s="11">
        <v>3755.06</v>
      </c>
      <c r="G144" s="21">
        <v>87.585273425396053</v>
      </c>
      <c r="H144" s="34" t="s">
        <v>31</v>
      </c>
      <c r="I144" s="10" t="s">
        <v>435</v>
      </c>
      <c r="J144" s="10" t="s">
        <v>441</v>
      </c>
      <c r="K144" s="35" t="s">
        <v>442</v>
      </c>
      <c r="L144" s="35" t="s">
        <v>116</v>
      </c>
      <c r="M144" s="35" t="s">
        <v>443</v>
      </c>
      <c r="N144" s="35" t="s">
        <v>444</v>
      </c>
      <c r="O144" s="35" t="s">
        <v>125</v>
      </c>
      <c r="P144" s="33">
        <v>5</v>
      </c>
      <c r="Q144" s="33">
        <v>4</v>
      </c>
      <c r="R144" s="32" t="s">
        <v>461</v>
      </c>
      <c r="S144" s="36">
        <v>57</v>
      </c>
    </row>
    <row r="145" spans="1:19" ht="42" hidden="1" customHeight="1">
      <c r="A145" s="10" t="s">
        <v>101</v>
      </c>
      <c r="B145" s="10" t="s">
        <v>60</v>
      </c>
      <c r="C145" s="10" t="s">
        <v>299</v>
      </c>
      <c r="D145" s="10" t="s">
        <v>127</v>
      </c>
      <c r="E145" s="10" t="s">
        <v>462</v>
      </c>
      <c r="F145" s="11">
        <v>3439.85</v>
      </c>
      <c r="G145" s="21">
        <v>86.352031083007802</v>
      </c>
      <c r="H145" s="34" t="s">
        <v>31</v>
      </c>
      <c r="I145" s="10" t="s">
        <v>435</v>
      </c>
      <c r="J145" s="10" t="s">
        <v>441</v>
      </c>
      <c r="K145" s="35" t="s">
        <v>442</v>
      </c>
      <c r="L145" s="35" t="s">
        <v>116</v>
      </c>
      <c r="M145" s="35" t="s">
        <v>443</v>
      </c>
      <c r="N145" s="35" t="s">
        <v>444</v>
      </c>
      <c r="O145" s="35" t="s">
        <v>125</v>
      </c>
      <c r="P145" s="33">
        <v>6</v>
      </c>
      <c r="Q145" s="33">
        <v>5</v>
      </c>
      <c r="R145" s="32" t="s">
        <v>461</v>
      </c>
      <c r="S145" s="36">
        <v>54</v>
      </c>
    </row>
    <row r="146" spans="1:19" ht="42" hidden="1" customHeight="1">
      <c r="A146" s="10" t="s">
        <v>101</v>
      </c>
      <c r="B146" s="10" t="s">
        <v>60</v>
      </c>
      <c r="C146" s="10" t="s">
        <v>299</v>
      </c>
      <c r="D146" s="10" t="s">
        <v>127</v>
      </c>
      <c r="E146" s="10" t="s">
        <v>458</v>
      </c>
      <c r="F146" s="11">
        <v>3375.11</v>
      </c>
      <c r="G146" s="21">
        <v>76</v>
      </c>
      <c r="H146" s="34" t="s">
        <v>33</v>
      </c>
      <c r="I146" s="10" t="s">
        <v>447</v>
      </c>
      <c r="J146" s="10" t="s">
        <v>436</v>
      </c>
      <c r="K146" s="35" t="s">
        <v>448</v>
      </c>
      <c r="L146" s="35" t="s">
        <v>152</v>
      </c>
      <c r="M146" s="35" t="s">
        <v>449</v>
      </c>
      <c r="N146" s="35" t="s">
        <v>450</v>
      </c>
      <c r="O146" s="35" t="s">
        <v>195</v>
      </c>
      <c r="P146" s="33">
        <v>6</v>
      </c>
      <c r="Q146" s="33">
        <v>5</v>
      </c>
      <c r="R146" s="32" t="s">
        <v>456</v>
      </c>
      <c r="S146" s="36">
        <v>0</v>
      </c>
    </row>
    <row r="147" spans="1:19" ht="42" hidden="1" customHeight="1">
      <c r="A147" s="10" t="s">
        <v>275</v>
      </c>
      <c r="B147" s="10" t="s">
        <v>406</v>
      </c>
      <c r="C147" s="10" t="s">
        <v>407</v>
      </c>
      <c r="D147" s="10" t="s">
        <v>127</v>
      </c>
      <c r="E147" s="10" t="s">
        <v>375</v>
      </c>
      <c r="F147" s="11">
        <v>154003.92000000001</v>
      </c>
      <c r="G147" s="21">
        <v>96.25</v>
      </c>
      <c r="H147" s="34" t="s">
        <v>31</v>
      </c>
      <c r="I147" s="10" t="s">
        <v>435</v>
      </c>
      <c r="J147" s="10" t="s">
        <v>436</v>
      </c>
      <c r="K147" s="35" t="s">
        <v>437</v>
      </c>
      <c r="L147" s="35" t="s">
        <v>106</v>
      </c>
      <c r="M147" s="35" t="s">
        <v>438</v>
      </c>
      <c r="N147" s="35" t="s">
        <v>439</v>
      </c>
      <c r="O147" s="35" t="s">
        <v>125</v>
      </c>
      <c r="P147" s="33">
        <v>12</v>
      </c>
      <c r="Q147" s="33">
        <v>11</v>
      </c>
      <c r="R147" s="32" t="s">
        <v>493</v>
      </c>
      <c r="S147" s="36">
        <v>5057</v>
      </c>
    </row>
    <row r="148" spans="1:19" ht="42" hidden="1" customHeight="1">
      <c r="A148" s="10" t="s">
        <v>275</v>
      </c>
      <c r="B148" s="10" t="s">
        <v>406</v>
      </c>
      <c r="C148" s="10" t="s">
        <v>407</v>
      </c>
      <c r="D148" s="10" t="s">
        <v>127</v>
      </c>
      <c r="E148" s="10" t="s">
        <v>465</v>
      </c>
      <c r="F148" s="11">
        <v>40392.089999999997</v>
      </c>
      <c r="G148" s="21">
        <v>89.25</v>
      </c>
      <c r="H148" s="34" t="s">
        <v>31</v>
      </c>
      <c r="I148" s="10" t="s">
        <v>435</v>
      </c>
      <c r="J148" s="10" t="s">
        <v>436</v>
      </c>
      <c r="K148" s="35" t="s">
        <v>437</v>
      </c>
      <c r="L148" s="35" t="s">
        <v>106</v>
      </c>
      <c r="M148" s="35" t="s">
        <v>438</v>
      </c>
      <c r="N148" s="35" t="s">
        <v>439</v>
      </c>
      <c r="O148" s="35" t="s">
        <v>125</v>
      </c>
      <c r="P148" s="33">
        <v>2</v>
      </c>
      <c r="Q148" s="33">
        <v>1</v>
      </c>
      <c r="R148" s="32" t="s">
        <v>494</v>
      </c>
      <c r="S148" s="36">
        <v>482</v>
      </c>
    </row>
    <row r="149" spans="1:19" ht="42" hidden="1" customHeight="1">
      <c r="A149" s="10" t="s">
        <v>275</v>
      </c>
      <c r="B149" s="10" t="s">
        <v>406</v>
      </c>
      <c r="C149" s="10" t="s">
        <v>407</v>
      </c>
      <c r="D149" s="10" t="s">
        <v>127</v>
      </c>
      <c r="E149" s="10" t="s">
        <v>213</v>
      </c>
      <c r="F149" s="11">
        <v>38063.96</v>
      </c>
      <c r="G149" s="21">
        <v>82.5</v>
      </c>
      <c r="H149" s="34" t="s">
        <v>31</v>
      </c>
      <c r="I149" s="10" t="s">
        <v>447</v>
      </c>
      <c r="J149" s="10" t="s">
        <v>436</v>
      </c>
      <c r="K149" s="35" t="s">
        <v>448</v>
      </c>
      <c r="L149" s="35" t="s">
        <v>152</v>
      </c>
      <c r="M149" s="35" t="s">
        <v>449</v>
      </c>
      <c r="N149" s="35" t="s">
        <v>450</v>
      </c>
      <c r="O149" s="35" t="s">
        <v>125</v>
      </c>
      <c r="P149" s="33">
        <v>2</v>
      </c>
      <c r="Q149" s="33">
        <v>1</v>
      </c>
      <c r="R149" s="32" t="s">
        <v>483</v>
      </c>
      <c r="S149" s="36">
        <v>361</v>
      </c>
    </row>
    <row r="150" spans="1:19" ht="42" hidden="1" customHeight="1">
      <c r="A150" s="10" t="s">
        <v>275</v>
      </c>
      <c r="B150" s="10" t="s">
        <v>406</v>
      </c>
      <c r="C150" s="10" t="s">
        <v>407</v>
      </c>
      <c r="D150" s="10" t="s">
        <v>127</v>
      </c>
      <c r="E150" s="10" t="s">
        <v>193</v>
      </c>
      <c r="F150" s="11">
        <v>32162.62</v>
      </c>
      <c r="G150" s="21">
        <v>74.765453492550193</v>
      </c>
      <c r="H150" s="34" t="s">
        <v>33</v>
      </c>
      <c r="I150" s="10" t="s">
        <v>447</v>
      </c>
      <c r="J150" s="10" t="s">
        <v>441</v>
      </c>
      <c r="K150" s="35" t="s">
        <v>453</v>
      </c>
      <c r="L150" s="35" t="s">
        <v>135</v>
      </c>
      <c r="M150" s="35" t="s">
        <v>454</v>
      </c>
      <c r="N150" s="35" t="s">
        <v>455</v>
      </c>
      <c r="O150" s="35" t="s">
        <v>195</v>
      </c>
      <c r="P150" s="33">
        <v>2</v>
      </c>
      <c r="Q150" s="33">
        <v>1</v>
      </c>
      <c r="R150" s="32" t="s">
        <v>456</v>
      </c>
      <c r="S150" s="36">
        <v>0</v>
      </c>
    </row>
    <row r="151" spans="1:19" ht="42" hidden="1" customHeight="1">
      <c r="A151" s="10" t="s">
        <v>111</v>
      </c>
      <c r="B151" s="10" t="s">
        <v>60</v>
      </c>
      <c r="C151" s="10" t="s">
        <v>126</v>
      </c>
      <c r="D151" s="10" t="s">
        <v>127</v>
      </c>
      <c r="E151" s="10" t="s">
        <v>225</v>
      </c>
      <c r="F151" s="11">
        <v>13175.65</v>
      </c>
      <c r="G151" s="21">
        <v>88.6828293081916</v>
      </c>
      <c r="H151" s="34" t="s">
        <v>31</v>
      </c>
      <c r="I151" s="10" t="s">
        <v>435</v>
      </c>
      <c r="J151" s="10" t="s">
        <v>441</v>
      </c>
      <c r="K151" s="35" t="s">
        <v>442</v>
      </c>
      <c r="L151" s="35" t="s">
        <v>116</v>
      </c>
      <c r="M151" s="35" t="s">
        <v>443</v>
      </c>
      <c r="N151" s="35" t="s">
        <v>444</v>
      </c>
      <c r="O151" s="35" t="s">
        <v>125</v>
      </c>
      <c r="P151" s="33">
        <v>4</v>
      </c>
      <c r="Q151" s="33">
        <v>3</v>
      </c>
      <c r="R151" s="32" t="s">
        <v>460</v>
      </c>
      <c r="S151" s="36">
        <v>2500</v>
      </c>
    </row>
    <row r="152" spans="1:19" ht="42" hidden="1" customHeight="1">
      <c r="A152" s="10" t="s">
        <v>111</v>
      </c>
      <c r="B152" s="10" t="s">
        <v>60</v>
      </c>
      <c r="C152" s="10" t="s">
        <v>126</v>
      </c>
      <c r="D152" s="10" t="s">
        <v>127</v>
      </c>
      <c r="E152" s="10" t="s">
        <v>151</v>
      </c>
      <c r="F152" s="11">
        <v>7269.54</v>
      </c>
      <c r="G152" s="21">
        <v>82.466129184412011</v>
      </c>
      <c r="H152" s="34" t="s">
        <v>31</v>
      </c>
      <c r="I152" s="10" t="s">
        <v>447</v>
      </c>
      <c r="J152" s="10" t="s">
        <v>436</v>
      </c>
      <c r="K152" s="35" t="s">
        <v>448</v>
      </c>
      <c r="L152" s="35" t="s">
        <v>152</v>
      </c>
      <c r="M152" s="35" t="s">
        <v>449</v>
      </c>
      <c r="N152" s="35" t="s">
        <v>450</v>
      </c>
      <c r="O152" s="35" t="s">
        <v>125</v>
      </c>
      <c r="P152" s="33">
        <v>6</v>
      </c>
      <c r="Q152" s="33">
        <v>5</v>
      </c>
      <c r="R152" s="32" t="s">
        <v>456</v>
      </c>
      <c r="S152" s="36">
        <v>0</v>
      </c>
    </row>
    <row r="153" spans="1:19" ht="42" hidden="1" customHeight="1">
      <c r="A153" s="10" t="s">
        <v>111</v>
      </c>
      <c r="B153" s="10" t="s">
        <v>60</v>
      </c>
      <c r="C153" s="10" t="s">
        <v>126</v>
      </c>
      <c r="D153" s="10" t="s">
        <v>127</v>
      </c>
      <c r="E153" s="10" t="s">
        <v>467</v>
      </c>
      <c r="F153" s="11">
        <v>4707.59</v>
      </c>
      <c r="G153" s="21">
        <v>77</v>
      </c>
      <c r="H153" s="34" t="s">
        <v>33</v>
      </c>
      <c r="I153" s="10" t="s">
        <v>447</v>
      </c>
      <c r="J153" s="10" t="s">
        <v>441</v>
      </c>
      <c r="K153" s="35" t="s">
        <v>453</v>
      </c>
      <c r="L153" s="35" t="s">
        <v>135</v>
      </c>
      <c r="M153" s="35" t="s">
        <v>454</v>
      </c>
      <c r="N153" s="35" t="s">
        <v>455</v>
      </c>
      <c r="O153" s="35" t="s">
        <v>195</v>
      </c>
      <c r="P153" s="33">
        <v>6</v>
      </c>
      <c r="Q153" s="33">
        <v>5</v>
      </c>
      <c r="R153" s="32" t="s">
        <v>456</v>
      </c>
      <c r="S153" s="36">
        <v>0</v>
      </c>
    </row>
    <row r="154" spans="1:19" ht="42" hidden="1" customHeight="1">
      <c r="A154" s="10" t="s">
        <v>111</v>
      </c>
      <c r="B154" s="10" t="s">
        <v>60</v>
      </c>
      <c r="C154" s="10" t="s">
        <v>126</v>
      </c>
      <c r="D154" s="10" t="s">
        <v>127</v>
      </c>
      <c r="E154" s="10" t="s">
        <v>446</v>
      </c>
      <c r="F154" s="11">
        <v>2576.34</v>
      </c>
      <c r="G154" s="21">
        <v>76.212101858847163</v>
      </c>
      <c r="H154" s="34" t="s">
        <v>33</v>
      </c>
      <c r="I154" s="10" t="s">
        <v>447</v>
      </c>
      <c r="J154" s="10" t="s">
        <v>436</v>
      </c>
      <c r="K154" s="35" t="s">
        <v>448</v>
      </c>
      <c r="L154" s="35" t="s">
        <v>152</v>
      </c>
      <c r="M154" s="35" t="s">
        <v>449</v>
      </c>
      <c r="N154" s="35" t="s">
        <v>450</v>
      </c>
      <c r="O154" s="35" t="s">
        <v>195</v>
      </c>
      <c r="P154" s="33">
        <v>5</v>
      </c>
      <c r="Q154" s="33">
        <v>4</v>
      </c>
      <c r="R154" s="32" t="s">
        <v>456</v>
      </c>
      <c r="S154" s="36">
        <v>0</v>
      </c>
    </row>
    <row r="155" spans="1:19" ht="42" hidden="1" customHeight="1">
      <c r="A155" s="10" t="s">
        <v>111</v>
      </c>
      <c r="B155" s="10" t="s">
        <v>60</v>
      </c>
      <c r="C155" s="10" t="s">
        <v>126</v>
      </c>
      <c r="D155" s="10" t="s">
        <v>127</v>
      </c>
      <c r="E155" s="10" t="s">
        <v>477</v>
      </c>
      <c r="F155" s="11">
        <v>16029.68</v>
      </c>
      <c r="G155" s="21">
        <v>68.172323946491119</v>
      </c>
      <c r="H155" s="34" t="s">
        <v>33</v>
      </c>
      <c r="I155" s="10" t="s">
        <v>447</v>
      </c>
      <c r="J155" s="10" t="s">
        <v>471</v>
      </c>
      <c r="K155" s="35" t="s">
        <v>472</v>
      </c>
      <c r="L155" s="35" t="s">
        <v>174</v>
      </c>
      <c r="M155" s="35" t="s">
        <v>473</v>
      </c>
      <c r="N155" s="35" t="s">
        <v>137</v>
      </c>
      <c r="O155" s="35" t="s">
        <v>195</v>
      </c>
      <c r="P155" s="33">
        <v>3</v>
      </c>
      <c r="Q155" s="33">
        <v>2</v>
      </c>
      <c r="R155" s="32" t="s">
        <v>492</v>
      </c>
      <c r="S155" s="36">
        <v>2000</v>
      </c>
    </row>
    <row r="156" spans="1:19" ht="42" hidden="1" customHeight="1">
      <c r="A156" s="10" t="s">
        <v>111</v>
      </c>
      <c r="B156" s="10" t="s">
        <v>60</v>
      </c>
      <c r="C156" s="10" t="s">
        <v>126</v>
      </c>
      <c r="D156" s="10" t="s">
        <v>127</v>
      </c>
      <c r="E156" s="10" t="s">
        <v>466</v>
      </c>
      <c r="F156" s="11">
        <v>109.66</v>
      </c>
      <c r="G156" s="21">
        <v>66.75</v>
      </c>
      <c r="H156" s="34" t="s">
        <v>33</v>
      </c>
      <c r="I156" s="10" t="s">
        <v>447</v>
      </c>
      <c r="J156" s="10" t="s">
        <v>436</v>
      </c>
      <c r="K156" s="35" t="s">
        <v>448</v>
      </c>
      <c r="L156" s="35" t="s">
        <v>152</v>
      </c>
      <c r="M156" s="35" t="s">
        <v>449</v>
      </c>
      <c r="N156" s="35" t="s">
        <v>450</v>
      </c>
      <c r="O156" s="35" t="s">
        <v>195</v>
      </c>
      <c r="P156" s="33">
        <v>4</v>
      </c>
      <c r="Q156" s="33">
        <v>3</v>
      </c>
      <c r="R156" s="32" t="s">
        <v>456</v>
      </c>
      <c r="S156" s="36">
        <v>0</v>
      </c>
    </row>
    <row r="157" spans="1:19" ht="42" hidden="1" customHeight="1">
      <c r="A157" s="10" t="s">
        <v>255</v>
      </c>
      <c r="B157" s="10" t="s">
        <v>60</v>
      </c>
      <c r="C157" s="10" t="s">
        <v>350</v>
      </c>
      <c r="D157" s="10" t="s">
        <v>103</v>
      </c>
      <c r="E157" s="10" t="s">
        <v>213</v>
      </c>
      <c r="F157" s="11">
        <v>140331.53</v>
      </c>
      <c r="G157" s="21">
        <v>91.25</v>
      </c>
      <c r="H157" s="34" t="s">
        <v>31</v>
      </c>
      <c r="I157" s="10" t="s">
        <v>447</v>
      </c>
      <c r="J157" s="10" t="s">
        <v>436</v>
      </c>
      <c r="K157" s="35" t="s">
        <v>448</v>
      </c>
      <c r="L157" s="35" t="s">
        <v>152</v>
      </c>
      <c r="M157" s="35" t="s">
        <v>449</v>
      </c>
      <c r="N157" s="35" t="s">
        <v>450</v>
      </c>
      <c r="O157" s="35" t="s">
        <v>125</v>
      </c>
      <c r="P157" s="33">
        <v>5</v>
      </c>
      <c r="Q157" s="33">
        <v>4</v>
      </c>
      <c r="R157" s="32" t="s">
        <v>451</v>
      </c>
      <c r="S157" s="36">
        <v>430</v>
      </c>
    </row>
    <row r="158" spans="1:19" ht="42" hidden="1" customHeight="1">
      <c r="A158" s="10" t="s">
        <v>255</v>
      </c>
      <c r="B158" s="10" t="s">
        <v>60</v>
      </c>
      <c r="C158" s="10" t="s">
        <v>350</v>
      </c>
      <c r="D158" s="10" t="s">
        <v>103</v>
      </c>
      <c r="E158" s="10" t="s">
        <v>375</v>
      </c>
      <c r="F158" s="11">
        <v>22256.12</v>
      </c>
      <c r="G158" s="21">
        <v>88.75</v>
      </c>
      <c r="H158" s="34" t="s">
        <v>31</v>
      </c>
      <c r="I158" s="10" t="s">
        <v>435</v>
      </c>
      <c r="J158" s="10" t="s">
        <v>436</v>
      </c>
      <c r="K158" s="35" t="s">
        <v>437</v>
      </c>
      <c r="L158" s="35" t="s">
        <v>106</v>
      </c>
      <c r="M158" s="35" t="s">
        <v>438</v>
      </c>
      <c r="N158" s="35" t="s">
        <v>439</v>
      </c>
      <c r="O158" s="35" t="s">
        <v>125</v>
      </c>
      <c r="P158" s="33">
        <v>10</v>
      </c>
      <c r="Q158" s="33">
        <v>9</v>
      </c>
      <c r="R158" s="32" t="s">
        <v>440</v>
      </c>
      <c r="S158" s="36">
        <v>2452</v>
      </c>
    </row>
    <row r="159" spans="1:19" ht="42" hidden="1" customHeight="1">
      <c r="A159" s="10" t="s">
        <v>255</v>
      </c>
      <c r="B159" s="10" t="s">
        <v>60</v>
      </c>
      <c r="C159" s="10" t="s">
        <v>350</v>
      </c>
      <c r="D159" s="10" t="s">
        <v>103</v>
      </c>
      <c r="E159" s="10" t="s">
        <v>193</v>
      </c>
      <c r="F159" s="11">
        <v>16650.34</v>
      </c>
      <c r="G159" s="21">
        <v>87.770876282716046</v>
      </c>
      <c r="H159" s="34" t="s">
        <v>31</v>
      </c>
      <c r="I159" s="10" t="s">
        <v>435</v>
      </c>
      <c r="J159" s="10" t="s">
        <v>436</v>
      </c>
      <c r="K159" s="35" t="s">
        <v>437</v>
      </c>
      <c r="L159" s="35" t="s">
        <v>106</v>
      </c>
      <c r="M159" s="35" t="s">
        <v>438</v>
      </c>
      <c r="N159" s="35" t="s">
        <v>439</v>
      </c>
      <c r="O159" s="35" t="s">
        <v>125</v>
      </c>
      <c r="P159" s="33">
        <v>11</v>
      </c>
      <c r="Q159" s="33">
        <v>10</v>
      </c>
      <c r="R159" s="32" t="s">
        <v>445</v>
      </c>
      <c r="S159" s="36">
        <v>198</v>
      </c>
    </row>
    <row r="160" spans="1:19" ht="42" hidden="1" customHeight="1">
      <c r="A160" s="10" t="s">
        <v>255</v>
      </c>
      <c r="B160" s="10" t="s">
        <v>60</v>
      </c>
      <c r="C160" s="10" t="s">
        <v>350</v>
      </c>
      <c r="D160" s="10" t="s">
        <v>103</v>
      </c>
      <c r="E160" s="10" t="s">
        <v>151</v>
      </c>
      <c r="F160" s="11">
        <v>64974.7</v>
      </c>
      <c r="G160" s="21">
        <v>86.216129184412011</v>
      </c>
      <c r="H160" s="34" t="s">
        <v>31</v>
      </c>
      <c r="I160" s="10" t="s">
        <v>447</v>
      </c>
      <c r="J160" s="10" t="s">
        <v>436</v>
      </c>
      <c r="K160" s="35" t="s">
        <v>448</v>
      </c>
      <c r="L160" s="35" t="s">
        <v>152</v>
      </c>
      <c r="M160" s="35" t="s">
        <v>449</v>
      </c>
      <c r="N160" s="35" t="s">
        <v>450</v>
      </c>
      <c r="O160" s="35" t="s">
        <v>125</v>
      </c>
      <c r="P160" s="33">
        <v>8</v>
      </c>
      <c r="Q160" s="33">
        <v>7</v>
      </c>
      <c r="R160" s="32" t="s">
        <v>451</v>
      </c>
      <c r="S160" s="36">
        <v>199</v>
      </c>
    </row>
    <row r="161" spans="1:19" ht="42" hidden="1" customHeight="1">
      <c r="A161" s="10" t="s">
        <v>255</v>
      </c>
      <c r="B161" s="10" t="s">
        <v>60</v>
      </c>
      <c r="C161" s="10" t="s">
        <v>350</v>
      </c>
      <c r="D161" s="10" t="s">
        <v>103</v>
      </c>
      <c r="E161" s="10" t="s">
        <v>469</v>
      </c>
      <c r="F161" s="11">
        <v>46743.95</v>
      </c>
      <c r="G161" s="21">
        <v>83.200967292390857</v>
      </c>
      <c r="H161" s="34" t="s">
        <v>31</v>
      </c>
      <c r="I161" s="10" t="s">
        <v>447</v>
      </c>
      <c r="J161" s="10" t="s">
        <v>441</v>
      </c>
      <c r="K161" s="35" t="s">
        <v>453</v>
      </c>
      <c r="L161" s="35" t="s">
        <v>135</v>
      </c>
      <c r="M161" s="35" t="s">
        <v>454</v>
      </c>
      <c r="N161" s="35" t="s">
        <v>455</v>
      </c>
      <c r="O161" s="35" t="s">
        <v>125</v>
      </c>
      <c r="P161" s="33">
        <v>8</v>
      </c>
      <c r="Q161" s="33">
        <v>7</v>
      </c>
      <c r="R161" s="32" t="s">
        <v>456</v>
      </c>
      <c r="S161" s="36">
        <v>0</v>
      </c>
    </row>
    <row r="162" spans="1:19" ht="42" hidden="1" customHeight="1">
      <c r="A162" s="10" t="s">
        <v>255</v>
      </c>
      <c r="B162" s="10" t="s">
        <v>60</v>
      </c>
      <c r="C162" s="10" t="s">
        <v>350</v>
      </c>
      <c r="D162" s="10" t="s">
        <v>103</v>
      </c>
      <c r="E162" s="10" t="s">
        <v>446</v>
      </c>
      <c r="F162" s="11">
        <v>592.63</v>
      </c>
      <c r="G162" s="21">
        <v>72.462101858847163</v>
      </c>
      <c r="H162" s="34" t="s">
        <v>33</v>
      </c>
      <c r="I162" s="10" t="s">
        <v>447</v>
      </c>
      <c r="J162" s="10" t="s">
        <v>436</v>
      </c>
      <c r="K162" s="35" t="s">
        <v>448</v>
      </c>
      <c r="L162" s="35" t="s">
        <v>152</v>
      </c>
      <c r="M162" s="35" t="s">
        <v>449</v>
      </c>
      <c r="N162" s="35" t="s">
        <v>450</v>
      </c>
      <c r="O162" s="35" t="s">
        <v>195</v>
      </c>
      <c r="P162" s="33">
        <v>1</v>
      </c>
      <c r="Q162" s="33">
        <v>1</v>
      </c>
      <c r="R162" s="32" t="s">
        <v>451</v>
      </c>
      <c r="S162" s="36">
        <v>21</v>
      </c>
    </row>
    <row r="163" spans="1:19" ht="42" hidden="1" customHeight="1">
      <c r="A163" s="10" t="s">
        <v>255</v>
      </c>
      <c r="B163" s="10" t="s">
        <v>60</v>
      </c>
      <c r="C163" s="10" t="s">
        <v>350</v>
      </c>
      <c r="D163" s="10" t="s">
        <v>103</v>
      </c>
      <c r="E163" s="10" t="s">
        <v>475</v>
      </c>
      <c r="F163" s="11">
        <v>372.65</v>
      </c>
      <c r="G163" s="21">
        <v>66.277428619890031</v>
      </c>
      <c r="H163" s="34" t="s">
        <v>33</v>
      </c>
      <c r="I163" s="10" t="s">
        <v>447</v>
      </c>
      <c r="J163" s="10" t="s">
        <v>441</v>
      </c>
      <c r="K163" s="35" t="s">
        <v>453</v>
      </c>
      <c r="L163" s="35" t="s">
        <v>135</v>
      </c>
      <c r="M163" s="35" t="s">
        <v>454</v>
      </c>
      <c r="N163" s="35" t="s">
        <v>455</v>
      </c>
      <c r="O163" s="35" t="s">
        <v>195</v>
      </c>
      <c r="P163" s="33">
        <v>7</v>
      </c>
      <c r="Q163" s="33">
        <v>6</v>
      </c>
      <c r="R163" s="32" t="s">
        <v>456</v>
      </c>
      <c r="S163" s="36">
        <v>0</v>
      </c>
    </row>
    <row r="164" spans="1:19" ht="42" hidden="1" customHeight="1">
      <c r="A164" s="10" t="s">
        <v>101</v>
      </c>
      <c r="B164" s="10" t="s">
        <v>60</v>
      </c>
      <c r="C164" s="10" t="s">
        <v>325</v>
      </c>
      <c r="D164" s="10" t="s">
        <v>149</v>
      </c>
      <c r="E164" s="10" t="s">
        <v>462</v>
      </c>
      <c r="F164" s="11">
        <v>555.01</v>
      </c>
      <c r="G164" s="21">
        <v>72.602031083007802</v>
      </c>
      <c r="H164" s="34" t="s">
        <v>33</v>
      </c>
      <c r="I164" s="10" t="s">
        <v>435</v>
      </c>
      <c r="J164" s="10" t="s">
        <v>441</v>
      </c>
      <c r="K164" s="35" t="s">
        <v>442</v>
      </c>
      <c r="L164" s="35" t="s">
        <v>116</v>
      </c>
      <c r="M164" s="35" t="s">
        <v>443</v>
      </c>
      <c r="N164" s="35" t="s">
        <v>444</v>
      </c>
      <c r="O164" s="35" t="s">
        <v>195</v>
      </c>
      <c r="P164" s="33">
        <v>7</v>
      </c>
      <c r="Q164" s="33">
        <v>6</v>
      </c>
      <c r="R164" s="32" t="s">
        <v>463</v>
      </c>
      <c r="S164" s="36">
        <v>0</v>
      </c>
    </row>
    <row r="165" spans="1:19" ht="42" hidden="1" customHeight="1">
      <c r="A165" s="10" t="s">
        <v>101</v>
      </c>
      <c r="B165" s="10" t="s">
        <v>60</v>
      </c>
      <c r="C165" s="10" t="s">
        <v>325</v>
      </c>
      <c r="D165" s="10" t="s">
        <v>149</v>
      </c>
      <c r="E165" s="10" t="s">
        <v>482</v>
      </c>
      <c r="F165" s="11">
        <v>534.99</v>
      </c>
      <c r="G165" s="21">
        <v>68.704499800427357</v>
      </c>
      <c r="H165" s="34" t="s">
        <v>33</v>
      </c>
      <c r="I165" s="10" t="s">
        <v>447</v>
      </c>
      <c r="J165" s="10" t="s">
        <v>436</v>
      </c>
      <c r="K165" s="35" t="s">
        <v>448</v>
      </c>
      <c r="L165" s="35" t="s">
        <v>152</v>
      </c>
      <c r="M165" s="35" t="s">
        <v>449</v>
      </c>
      <c r="N165" s="35" t="s">
        <v>450</v>
      </c>
      <c r="O165" s="35" t="s">
        <v>195</v>
      </c>
      <c r="P165" s="33">
        <v>2</v>
      </c>
      <c r="Q165" s="33">
        <v>1</v>
      </c>
      <c r="R165" s="32" t="s">
        <v>463</v>
      </c>
      <c r="S165" s="36">
        <v>0</v>
      </c>
    </row>
    <row r="166" spans="1:19" ht="42" hidden="1" customHeight="1">
      <c r="A166" s="10" t="s">
        <v>101</v>
      </c>
      <c r="B166" s="10" t="s">
        <v>60</v>
      </c>
      <c r="C166" s="10" t="s">
        <v>325</v>
      </c>
      <c r="D166" s="10" t="s">
        <v>149</v>
      </c>
      <c r="E166" s="10" t="s">
        <v>458</v>
      </c>
      <c r="F166" s="11">
        <v>1648</v>
      </c>
      <c r="G166" s="21">
        <v>67.25</v>
      </c>
      <c r="H166" s="34" t="s">
        <v>33</v>
      </c>
      <c r="I166" s="10" t="s">
        <v>447</v>
      </c>
      <c r="J166" s="10" t="s">
        <v>436</v>
      </c>
      <c r="K166" s="35" t="s">
        <v>448</v>
      </c>
      <c r="L166" s="35" t="s">
        <v>152</v>
      </c>
      <c r="M166" s="35" t="s">
        <v>449</v>
      </c>
      <c r="N166" s="35" t="s">
        <v>450</v>
      </c>
      <c r="O166" s="35" t="s">
        <v>195</v>
      </c>
      <c r="P166" s="33">
        <v>7</v>
      </c>
      <c r="Q166" s="33">
        <v>6</v>
      </c>
      <c r="R166" s="32" t="s">
        <v>463</v>
      </c>
      <c r="S166" s="36">
        <v>0</v>
      </c>
    </row>
    <row r="167" spans="1:19" ht="42" hidden="1" customHeight="1">
      <c r="A167" s="10" t="s">
        <v>119</v>
      </c>
      <c r="B167" s="10" t="s">
        <v>396</v>
      </c>
      <c r="C167" s="10" t="s">
        <v>397</v>
      </c>
      <c r="D167" s="10" t="s">
        <v>113</v>
      </c>
      <c r="E167" s="10" t="s">
        <v>213</v>
      </c>
      <c r="F167" s="11">
        <v>131816.15</v>
      </c>
      <c r="G167" s="21">
        <v>85</v>
      </c>
      <c r="H167" s="34" t="s">
        <v>31</v>
      </c>
      <c r="I167" s="10" t="s">
        <v>447</v>
      </c>
      <c r="J167" s="10" t="s">
        <v>436</v>
      </c>
      <c r="K167" s="35" t="s">
        <v>448</v>
      </c>
      <c r="L167" s="35" t="s">
        <v>152</v>
      </c>
      <c r="M167" s="35" t="s">
        <v>449</v>
      </c>
      <c r="N167" s="35" t="s">
        <v>450</v>
      </c>
      <c r="O167" s="35" t="s">
        <v>125</v>
      </c>
      <c r="P167" s="33">
        <v>11</v>
      </c>
      <c r="Q167" s="33">
        <v>10</v>
      </c>
      <c r="R167" s="32" t="s">
        <v>451</v>
      </c>
      <c r="S167" s="36">
        <v>1114</v>
      </c>
    </row>
    <row r="168" spans="1:19" ht="42" hidden="1" customHeight="1">
      <c r="A168" s="10" t="s">
        <v>119</v>
      </c>
      <c r="B168" s="10" t="s">
        <v>396</v>
      </c>
      <c r="C168" s="10" t="s">
        <v>397</v>
      </c>
      <c r="D168" s="10" t="s">
        <v>113</v>
      </c>
      <c r="E168" s="10" t="s">
        <v>151</v>
      </c>
      <c r="F168" s="11">
        <v>24513.52</v>
      </c>
      <c r="G168" s="21">
        <v>79.966129184412011</v>
      </c>
      <c r="H168" s="34" t="s">
        <v>33</v>
      </c>
      <c r="I168" s="10" t="s">
        <v>447</v>
      </c>
      <c r="J168" s="10" t="s">
        <v>436</v>
      </c>
      <c r="K168" s="35" t="s">
        <v>448</v>
      </c>
      <c r="L168" s="35" t="s">
        <v>152</v>
      </c>
      <c r="M168" s="35" t="s">
        <v>449</v>
      </c>
      <c r="N168" s="35" t="s">
        <v>450</v>
      </c>
      <c r="O168" s="35" t="s">
        <v>195</v>
      </c>
      <c r="P168" s="33">
        <v>5</v>
      </c>
      <c r="Q168" s="33">
        <v>4</v>
      </c>
      <c r="R168" s="32" t="s">
        <v>451</v>
      </c>
      <c r="S168" s="36">
        <v>186</v>
      </c>
    </row>
    <row r="169" spans="1:19" ht="42" hidden="1" customHeight="1">
      <c r="A169" s="10" t="s">
        <v>119</v>
      </c>
      <c r="B169" s="10" t="s">
        <v>396</v>
      </c>
      <c r="C169" s="10" t="s">
        <v>397</v>
      </c>
      <c r="D169" s="10" t="s">
        <v>113</v>
      </c>
      <c r="E169" s="10" t="s">
        <v>462</v>
      </c>
      <c r="F169" s="11">
        <v>11650.4</v>
      </c>
      <c r="G169" s="21">
        <v>70.915663119483483</v>
      </c>
      <c r="H169" s="34" t="s">
        <v>33</v>
      </c>
      <c r="I169" s="10" t="s">
        <v>447</v>
      </c>
      <c r="J169" s="10" t="s">
        <v>471</v>
      </c>
      <c r="K169" s="35" t="s">
        <v>472</v>
      </c>
      <c r="L169" s="35" t="s">
        <v>174</v>
      </c>
      <c r="M169" s="35" t="s">
        <v>473</v>
      </c>
      <c r="N169" s="35" t="s">
        <v>137</v>
      </c>
      <c r="O169" s="35" t="s">
        <v>195</v>
      </c>
      <c r="P169" s="33">
        <v>5</v>
      </c>
      <c r="Q169" s="33">
        <v>4</v>
      </c>
      <c r="R169" s="32" t="s">
        <v>456</v>
      </c>
      <c r="S169" s="36">
        <v>0</v>
      </c>
    </row>
    <row r="170" spans="1:19" ht="42" hidden="1" customHeight="1">
      <c r="A170" s="10" t="s">
        <v>215</v>
      </c>
      <c r="B170" s="10" t="s">
        <v>60</v>
      </c>
      <c r="C170" s="10" t="s">
        <v>216</v>
      </c>
      <c r="D170" s="10" t="s">
        <v>103</v>
      </c>
      <c r="E170" s="10" t="s">
        <v>151</v>
      </c>
      <c r="F170" s="11">
        <v>150146.1</v>
      </c>
      <c r="G170" s="21">
        <v>91.216129184412011</v>
      </c>
      <c r="H170" s="34" t="s">
        <v>31</v>
      </c>
      <c r="I170" s="10" t="s">
        <v>447</v>
      </c>
      <c r="J170" s="10" t="s">
        <v>436</v>
      </c>
      <c r="K170" s="35" t="s">
        <v>448</v>
      </c>
      <c r="L170" s="35" t="s">
        <v>152</v>
      </c>
      <c r="M170" s="35" t="s">
        <v>449</v>
      </c>
      <c r="N170" s="35" t="s">
        <v>450</v>
      </c>
      <c r="O170" s="35" t="s">
        <v>125</v>
      </c>
      <c r="P170" s="33">
        <v>4</v>
      </c>
      <c r="Q170" s="33">
        <v>3</v>
      </c>
      <c r="R170" s="32" t="s">
        <v>495</v>
      </c>
      <c r="S170" s="36">
        <v>1132</v>
      </c>
    </row>
    <row r="171" spans="1:19" ht="42" hidden="1" customHeight="1">
      <c r="A171" s="10" t="s">
        <v>215</v>
      </c>
      <c r="B171" s="10" t="s">
        <v>60</v>
      </c>
      <c r="C171" s="10" t="s">
        <v>216</v>
      </c>
      <c r="D171" s="10" t="s">
        <v>103</v>
      </c>
      <c r="E171" s="10" t="s">
        <v>464</v>
      </c>
      <c r="F171" s="11">
        <v>95654.720000000001</v>
      </c>
      <c r="G171" s="21">
        <v>86.498742920880659</v>
      </c>
      <c r="H171" s="34" t="s">
        <v>31</v>
      </c>
      <c r="I171" s="10" t="s">
        <v>447</v>
      </c>
      <c r="J171" s="10" t="s">
        <v>436</v>
      </c>
      <c r="K171" s="35" t="s">
        <v>448</v>
      </c>
      <c r="L171" s="35" t="s">
        <v>152</v>
      </c>
      <c r="M171" s="35" t="s">
        <v>449</v>
      </c>
      <c r="N171" s="35" t="s">
        <v>450</v>
      </c>
      <c r="O171" s="35" t="s">
        <v>125</v>
      </c>
      <c r="P171" s="33">
        <v>3</v>
      </c>
      <c r="Q171" s="33">
        <v>2</v>
      </c>
      <c r="R171" s="32" t="s">
        <v>495</v>
      </c>
      <c r="S171" s="36">
        <v>700</v>
      </c>
    </row>
    <row r="172" spans="1:19" ht="42" hidden="1" customHeight="1">
      <c r="A172" s="10" t="s">
        <v>215</v>
      </c>
      <c r="B172" s="10" t="s">
        <v>60</v>
      </c>
      <c r="C172" s="10" t="s">
        <v>216</v>
      </c>
      <c r="D172" s="10" t="s">
        <v>103</v>
      </c>
      <c r="E172" s="10" t="s">
        <v>181</v>
      </c>
      <c r="F172" s="11">
        <v>52363.95</v>
      </c>
      <c r="G172" s="21">
        <v>81.25</v>
      </c>
      <c r="H172" s="34" t="s">
        <v>31</v>
      </c>
      <c r="I172" s="10" t="s">
        <v>435</v>
      </c>
      <c r="J172" s="10" t="s">
        <v>441</v>
      </c>
      <c r="K172" s="35" t="s">
        <v>442</v>
      </c>
      <c r="L172" s="35" t="s">
        <v>116</v>
      </c>
      <c r="M172" s="35" t="s">
        <v>443</v>
      </c>
      <c r="N172" s="35" t="s">
        <v>444</v>
      </c>
      <c r="O172" s="35" t="s">
        <v>125</v>
      </c>
      <c r="P172" s="33">
        <v>7</v>
      </c>
      <c r="Q172" s="33">
        <v>6</v>
      </c>
      <c r="R172" s="32" t="s">
        <v>440</v>
      </c>
      <c r="S172" s="36">
        <v>2363</v>
      </c>
    </row>
    <row r="173" spans="1:19" ht="42" hidden="1" customHeight="1">
      <c r="A173" s="10" t="s">
        <v>215</v>
      </c>
      <c r="B173" s="10" t="s">
        <v>60</v>
      </c>
      <c r="C173" s="10" t="s">
        <v>216</v>
      </c>
      <c r="D173" s="10" t="s">
        <v>103</v>
      </c>
      <c r="E173" s="10" t="s">
        <v>375</v>
      </c>
      <c r="F173" s="11">
        <v>21500.5</v>
      </c>
      <c r="G173" s="21">
        <v>81.25</v>
      </c>
      <c r="H173" s="34" t="s">
        <v>31</v>
      </c>
      <c r="I173" s="10" t="s">
        <v>435</v>
      </c>
      <c r="J173" s="10" t="s">
        <v>436</v>
      </c>
      <c r="K173" s="35" t="s">
        <v>437</v>
      </c>
      <c r="L173" s="35" t="s">
        <v>106</v>
      </c>
      <c r="M173" s="35" t="s">
        <v>438</v>
      </c>
      <c r="N173" s="35" t="s">
        <v>439</v>
      </c>
      <c r="O173" s="35" t="s">
        <v>125</v>
      </c>
      <c r="P173" s="33">
        <v>7</v>
      </c>
      <c r="Q173" s="33">
        <v>6</v>
      </c>
      <c r="R173" s="32" t="s">
        <v>496</v>
      </c>
      <c r="S173" s="36">
        <v>221</v>
      </c>
    </row>
    <row r="174" spans="1:19" ht="42" hidden="1" customHeight="1">
      <c r="A174" s="10" t="s">
        <v>215</v>
      </c>
      <c r="B174" s="10" t="s">
        <v>60</v>
      </c>
      <c r="C174" s="10" t="s">
        <v>216</v>
      </c>
      <c r="D174" s="10" t="s">
        <v>103</v>
      </c>
      <c r="E174" s="10" t="s">
        <v>193</v>
      </c>
      <c r="F174" s="11">
        <v>4759.34</v>
      </c>
      <c r="G174" s="21">
        <v>80.585273425396053</v>
      </c>
      <c r="H174" s="34" t="s">
        <v>31</v>
      </c>
      <c r="I174" s="10" t="s">
        <v>435</v>
      </c>
      <c r="J174" s="10" t="s">
        <v>436</v>
      </c>
      <c r="K174" s="35" t="s">
        <v>437</v>
      </c>
      <c r="L174" s="35" t="s">
        <v>106</v>
      </c>
      <c r="M174" s="35" t="s">
        <v>438</v>
      </c>
      <c r="N174" s="35" t="s">
        <v>439</v>
      </c>
      <c r="O174" s="35" t="s">
        <v>125</v>
      </c>
      <c r="P174" s="33">
        <v>7</v>
      </c>
      <c r="Q174" s="33">
        <v>6</v>
      </c>
      <c r="R174" s="32" t="s">
        <v>496</v>
      </c>
      <c r="S174" s="36">
        <v>95</v>
      </c>
    </row>
    <row r="175" spans="1:19" ht="42" hidden="1" customHeight="1">
      <c r="A175" s="10" t="s">
        <v>215</v>
      </c>
      <c r="B175" s="10" t="s">
        <v>60</v>
      </c>
      <c r="C175" s="10" t="s">
        <v>216</v>
      </c>
      <c r="D175" s="10" t="s">
        <v>103</v>
      </c>
      <c r="E175" s="10" t="s">
        <v>459</v>
      </c>
      <c r="F175" s="11">
        <v>7578.39</v>
      </c>
      <c r="G175" s="21">
        <v>79.25</v>
      </c>
      <c r="H175" s="34" t="s">
        <v>33</v>
      </c>
      <c r="I175" s="10" t="s">
        <v>435</v>
      </c>
      <c r="J175" s="10" t="s">
        <v>436</v>
      </c>
      <c r="K175" s="35" t="s">
        <v>437</v>
      </c>
      <c r="L175" s="35" t="s">
        <v>106</v>
      </c>
      <c r="M175" s="35" t="s">
        <v>438</v>
      </c>
      <c r="N175" s="35" t="s">
        <v>439</v>
      </c>
      <c r="O175" s="35" t="s">
        <v>195</v>
      </c>
      <c r="P175" s="33">
        <v>7</v>
      </c>
      <c r="Q175" s="33">
        <v>6</v>
      </c>
      <c r="R175" s="32" t="s">
        <v>445</v>
      </c>
      <c r="S175" s="36">
        <v>56</v>
      </c>
    </row>
    <row r="176" spans="1:19" ht="42" hidden="1" customHeight="1">
      <c r="A176" s="10" t="s">
        <v>215</v>
      </c>
      <c r="B176" s="10" t="s">
        <v>60</v>
      </c>
      <c r="C176" s="10" t="s">
        <v>216</v>
      </c>
      <c r="D176" s="10" t="s">
        <v>103</v>
      </c>
      <c r="E176" s="10" t="s">
        <v>468</v>
      </c>
      <c r="F176" s="11">
        <v>2445.42</v>
      </c>
      <c r="G176" s="21">
        <v>79.25</v>
      </c>
      <c r="H176" s="34" t="s">
        <v>33</v>
      </c>
      <c r="I176" s="10" t="s">
        <v>435</v>
      </c>
      <c r="J176" s="10" t="s">
        <v>436</v>
      </c>
      <c r="K176" s="35" t="s">
        <v>437</v>
      </c>
      <c r="L176" s="35" t="s">
        <v>106</v>
      </c>
      <c r="M176" s="35" t="s">
        <v>438</v>
      </c>
      <c r="N176" s="35" t="s">
        <v>439</v>
      </c>
      <c r="O176" s="35" t="s">
        <v>195</v>
      </c>
      <c r="P176" s="33">
        <v>11</v>
      </c>
      <c r="Q176" s="33">
        <v>10</v>
      </c>
      <c r="R176" s="32" t="s">
        <v>445</v>
      </c>
      <c r="S176" s="36">
        <v>45</v>
      </c>
    </row>
    <row r="177" spans="1:19" ht="42" hidden="1" customHeight="1">
      <c r="A177" s="10" t="s">
        <v>215</v>
      </c>
      <c r="B177" s="10" t="s">
        <v>60</v>
      </c>
      <c r="C177" s="10" t="s">
        <v>216</v>
      </c>
      <c r="D177" s="10" t="s">
        <v>103</v>
      </c>
      <c r="E177" s="10" t="s">
        <v>462</v>
      </c>
      <c r="F177" s="11">
        <v>16706.7</v>
      </c>
      <c r="G177" s="21">
        <v>75.945573298621497</v>
      </c>
      <c r="H177" s="34" t="s">
        <v>33</v>
      </c>
      <c r="I177" s="10" t="s">
        <v>435</v>
      </c>
      <c r="J177" s="10" t="s">
        <v>441</v>
      </c>
      <c r="K177" s="35" t="s">
        <v>442</v>
      </c>
      <c r="L177" s="35" t="s">
        <v>116</v>
      </c>
      <c r="M177" s="35" t="s">
        <v>443</v>
      </c>
      <c r="N177" s="35" t="s">
        <v>444</v>
      </c>
      <c r="O177" s="35" t="s">
        <v>195</v>
      </c>
      <c r="P177" s="33">
        <v>2</v>
      </c>
      <c r="Q177" s="33">
        <v>1</v>
      </c>
      <c r="R177" s="32" t="s">
        <v>445</v>
      </c>
      <c r="S177" s="36">
        <v>72</v>
      </c>
    </row>
    <row r="178" spans="1:19" ht="42" hidden="1" customHeight="1">
      <c r="A178" s="10" t="s">
        <v>215</v>
      </c>
      <c r="B178" s="10" t="s">
        <v>60</v>
      </c>
      <c r="C178" s="10" t="s">
        <v>216</v>
      </c>
      <c r="D178" s="10" t="s">
        <v>103</v>
      </c>
      <c r="E178" s="10" t="s">
        <v>115</v>
      </c>
      <c r="F178" s="11">
        <v>30691.14</v>
      </c>
      <c r="G178" s="21">
        <v>73.529969712371766</v>
      </c>
      <c r="H178" s="34" t="s">
        <v>33</v>
      </c>
      <c r="I178" s="10" t="s">
        <v>435</v>
      </c>
      <c r="J178" s="10" t="s">
        <v>441</v>
      </c>
      <c r="K178" s="35" t="s">
        <v>442</v>
      </c>
      <c r="L178" s="35" t="s">
        <v>116</v>
      </c>
      <c r="M178" s="35" t="s">
        <v>443</v>
      </c>
      <c r="N178" s="35" t="s">
        <v>444</v>
      </c>
      <c r="O178" s="35" t="s">
        <v>195</v>
      </c>
      <c r="P178" s="33">
        <v>5</v>
      </c>
      <c r="Q178" s="33">
        <v>4</v>
      </c>
      <c r="R178" s="32" t="s">
        <v>445</v>
      </c>
      <c r="S178" s="36">
        <v>98</v>
      </c>
    </row>
    <row r="179" spans="1:19" ht="42" hidden="1" customHeight="1">
      <c r="A179" s="10" t="s">
        <v>215</v>
      </c>
      <c r="B179" s="10" t="s">
        <v>60</v>
      </c>
      <c r="C179" s="10" t="s">
        <v>216</v>
      </c>
      <c r="D179" s="10" t="s">
        <v>103</v>
      </c>
      <c r="E179" s="10" t="s">
        <v>446</v>
      </c>
      <c r="F179" s="11">
        <v>4101.6499999999996</v>
      </c>
      <c r="G179" s="21">
        <v>72.462101858847163</v>
      </c>
      <c r="H179" s="34" t="s">
        <v>33</v>
      </c>
      <c r="I179" s="10" t="s">
        <v>447</v>
      </c>
      <c r="J179" s="10" t="s">
        <v>436</v>
      </c>
      <c r="K179" s="35" t="s">
        <v>448</v>
      </c>
      <c r="L179" s="35" t="s">
        <v>152</v>
      </c>
      <c r="M179" s="35" t="s">
        <v>449</v>
      </c>
      <c r="N179" s="35" t="s">
        <v>450</v>
      </c>
      <c r="O179" s="35" t="s">
        <v>195</v>
      </c>
      <c r="P179" s="33">
        <v>8</v>
      </c>
      <c r="Q179" s="33">
        <v>7</v>
      </c>
      <c r="R179" s="32" t="s">
        <v>451</v>
      </c>
      <c r="S179" s="36">
        <v>24</v>
      </c>
    </row>
    <row r="180" spans="1:19" ht="42" hidden="1" customHeight="1">
      <c r="A180" s="10" t="s">
        <v>215</v>
      </c>
      <c r="B180" s="10" t="s">
        <v>60</v>
      </c>
      <c r="C180" s="10" t="s">
        <v>216</v>
      </c>
      <c r="D180" s="10" t="s">
        <v>103</v>
      </c>
      <c r="E180" s="10" t="s">
        <v>497</v>
      </c>
      <c r="F180" s="11">
        <v>35286.559999999998</v>
      </c>
      <c r="G180" s="21">
        <v>71.5</v>
      </c>
      <c r="H180" s="34" t="s">
        <v>33</v>
      </c>
      <c r="I180" s="10" t="s">
        <v>447</v>
      </c>
      <c r="J180" s="10" t="s">
        <v>441</v>
      </c>
      <c r="K180" s="35" t="s">
        <v>453</v>
      </c>
      <c r="L180" s="35" t="s">
        <v>135</v>
      </c>
      <c r="M180" s="35" t="s">
        <v>454</v>
      </c>
      <c r="N180" s="35" t="s">
        <v>455</v>
      </c>
      <c r="O180" s="35" t="s">
        <v>195</v>
      </c>
      <c r="P180" s="33">
        <v>9</v>
      </c>
      <c r="Q180" s="33">
        <v>8</v>
      </c>
      <c r="R180" s="32" t="s">
        <v>456</v>
      </c>
      <c r="S180" s="36">
        <v>0</v>
      </c>
    </row>
    <row r="181" spans="1:19" ht="42" hidden="1" customHeight="1">
      <c r="A181" s="10" t="s">
        <v>215</v>
      </c>
      <c r="B181" s="10" t="s">
        <v>60</v>
      </c>
      <c r="C181" s="10" t="s">
        <v>216</v>
      </c>
      <c r="D181" s="10" t="s">
        <v>103</v>
      </c>
      <c r="E181" s="10" t="s">
        <v>498</v>
      </c>
      <c r="F181" s="11">
        <v>33662.82</v>
      </c>
      <c r="G181" s="21">
        <v>71.5</v>
      </c>
      <c r="H181" s="34" t="s">
        <v>33</v>
      </c>
      <c r="I181" s="10" t="s">
        <v>447</v>
      </c>
      <c r="J181" s="10" t="s">
        <v>441</v>
      </c>
      <c r="K181" s="35" t="s">
        <v>453</v>
      </c>
      <c r="L181" s="35" t="s">
        <v>135</v>
      </c>
      <c r="M181" s="35" t="s">
        <v>454</v>
      </c>
      <c r="N181" s="35" t="s">
        <v>455</v>
      </c>
      <c r="O181" s="35" t="s">
        <v>195</v>
      </c>
      <c r="P181" s="33">
        <v>7</v>
      </c>
      <c r="Q181" s="33">
        <v>6</v>
      </c>
      <c r="R181" s="32" t="s">
        <v>456</v>
      </c>
      <c r="S181" s="36">
        <v>0</v>
      </c>
    </row>
    <row r="182" spans="1:19" ht="42" hidden="1" customHeight="1">
      <c r="A182" s="10" t="s">
        <v>215</v>
      </c>
      <c r="B182" s="10" t="s">
        <v>60</v>
      </c>
      <c r="C182" s="10" t="s">
        <v>216</v>
      </c>
      <c r="D182" s="10" t="s">
        <v>103</v>
      </c>
      <c r="E182" s="10" t="s">
        <v>479</v>
      </c>
      <c r="F182" s="11">
        <v>17127.71</v>
      </c>
      <c r="G182" s="21">
        <v>70.249999999999986</v>
      </c>
      <c r="H182" s="34" t="s">
        <v>33</v>
      </c>
      <c r="I182" s="10" t="s">
        <v>435</v>
      </c>
      <c r="J182" s="10" t="s">
        <v>441</v>
      </c>
      <c r="K182" s="35" t="s">
        <v>442</v>
      </c>
      <c r="L182" s="35" t="s">
        <v>116</v>
      </c>
      <c r="M182" s="35" t="s">
        <v>443</v>
      </c>
      <c r="N182" s="35" t="s">
        <v>444</v>
      </c>
      <c r="O182" s="35" t="s">
        <v>195</v>
      </c>
      <c r="P182" s="33">
        <v>4</v>
      </c>
      <c r="Q182" s="33">
        <v>3</v>
      </c>
      <c r="R182" s="32" t="s">
        <v>445</v>
      </c>
      <c r="S182" s="36">
        <v>70</v>
      </c>
    </row>
    <row r="183" spans="1:19" ht="42" hidden="1" customHeight="1">
      <c r="A183" s="10" t="s">
        <v>215</v>
      </c>
      <c r="B183" s="10" t="s">
        <v>60</v>
      </c>
      <c r="C183" s="10" t="s">
        <v>216</v>
      </c>
      <c r="D183" s="10" t="s">
        <v>103</v>
      </c>
      <c r="E183" s="10" t="s">
        <v>457</v>
      </c>
      <c r="F183" s="11">
        <v>2849.44</v>
      </c>
      <c r="G183" s="21">
        <v>69</v>
      </c>
      <c r="H183" s="34" t="s">
        <v>33</v>
      </c>
      <c r="I183" s="10" t="s">
        <v>447</v>
      </c>
      <c r="J183" s="10" t="s">
        <v>441</v>
      </c>
      <c r="K183" s="35" t="s">
        <v>453</v>
      </c>
      <c r="L183" s="35" t="s">
        <v>135</v>
      </c>
      <c r="M183" s="35" t="s">
        <v>454</v>
      </c>
      <c r="N183" s="35" t="s">
        <v>455</v>
      </c>
      <c r="O183" s="35" t="s">
        <v>195</v>
      </c>
      <c r="P183" s="33">
        <v>1</v>
      </c>
      <c r="Q183" s="33">
        <v>1</v>
      </c>
      <c r="R183" s="32" t="s">
        <v>456</v>
      </c>
      <c r="S183" s="36">
        <v>0</v>
      </c>
    </row>
    <row r="184" spans="1:19" ht="42" hidden="1" customHeight="1">
      <c r="A184" s="10" t="s">
        <v>215</v>
      </c>
      <c r="B184" s="10" t="s">
        <v>60</v>
      </c>
      <c r="C184" s="10" t="s">
        <v>216</v>
      </c>
      <c r="D184" s="10" t="s">
        <v>103</v>
      </c>
      <c r="E184" s="10" t="s">
        <v>474</v>
      </c>
      <c r="F184" s="11">
        <v>71926.350000000006</v>
      </c>
      <c r="G184" s="21">
        <v>65.5</v>
      </c>
      <c r="H184" s="34" t="s">
        <v>33</v>
      </c>
      <c r="I184" s="10" t="s">
        <v>447</v>
      </c>
      <c r="J184" s="10" t="s">
        <v>471</v>
      </c>
      <c r="K184" s="35" t="s">
        <v>472</v>
      </c>
      <c r="L184" s="35" t="s">
        <v>174</v>
      </c>
      <c r="M184" s="35" t="s">
        <v>473</v>
      </c>
      <c r="N184" s="35" t="s">
        <v>137</v>
      </c>
      <c r="O184" s="35" t="s">
        <v>195</v>
      </c>
      <c r="P184" s="33">
        <v>7</v>
      </c>
      <c r="Q184" s="33">
        <v>6</v>
      </c>
      <c r="R184" s="32" t="s">
        <v>456</v>
      </c>
      <c r="S184" s="36">
        <v>0</v>
      </c>
    </row>
    <row r="185" spans="1:19" ht="42" hidden="1" customHeight="1">
      <c r="A185" s="10" t="s">
        <v>215</v>
      </c>
      <c r="B185" s="10" t="s">
        <v>60</v>
      </c>
      <c r="C185" s="10" t="s">
        <v>216</v>
      </c>
      <c r="D185" s="10" t="s">
        <v>103</v>
      </c>
      <c r="E185" s="10" t="s">
        <v>452</v>
      </c>
      <c r="F185" s="11">
        <v>8232.34</v>
      </c>
      <c r="G185" s="21">
        <v>65</v>
      </c>
      <c r="H185" s="34" t="s">
        <v>33</v>
      </c>
      <c r="I185" s="10" t="s">
        <v>447</v>
      </c>
      <c r="J185" s="10" t="s">
        <v>441</v>
      </c>
      <c r="K185" s="35" t="s">
        <v>453</v>
      </c>
      <c r="L185" s="35" t="s">
        <v>135</v>
      </c>
      <c r="M185" s="35" t="s">
        <v>454</v>
      </c>
      <c r="N185" s="35" t="s">
        <v>455</v>
      </c>
      <c r="O185" s="35" t="s">
        <v>195</v>
      </c>
      <c r="P185" s="33">
        <v>8</v>
      </c>
      <c r="Q185" s="33">
        <v>7</v>
      </c>
      <c r="R185" s="32" t="s">
        <v>456</v>
      </c>
      <c r="S185" s="36">
        <v>0</v>
      </c>
    </row>
    <row r="186" spans="1:19" ht="42" hidden="1" customHeight="1">
      <c r="A186" s="10" t="s">
        <v>215</v>
      </c>
      <c r="B186" s="10" t="s">
        <v>60</v>
      </c>
      <c r="C186" s="10" t="s">
        <v>216</v>
      </c>
      <c r="D186" s="10" t="s">
        <v>103</v>
      </c>
      <c r="E186" s="10" t="s">
        <v>314</v>
      </c>
      <c r="F186" s="11">
        <v>4762.9399999999996</v>
      </c>
      <c r="G186" s="21">
        <v>65</v>
      </c>
      <c r="H186" s="34" t="s">
        <v>33</v>
      </c>
      <c r="I186" s="10" t="s">
        <v>447</v>
      </c>
      <c r="J186" s="10" t="s">
        <v>436</v>
      </c>
      <c r="K186" s="35" t="s">
        <v>448</v>
      </c>
      <c r="L186" s="35" t="s">
        <v>152</v>
      </c>
      <c r="M186" s="35" t="s">
        <v>449</v>
      </c>
      <c r="N186" s="35" t="s">
        <v>450</v>
      </c>
      <c r="O186" s="35" t="s">
        <v>195</v>
      </c>
      <c r="P186" s="33">
        <v>8</v>
      </c>
      <c r="Q186" s="33">
        <v>7</v>
      </c>
      <c r="R186" s="32" t="s">
        <v>451</v>
      </c>
      <c r="S186" s="36">
        <v>24</v>
      </c>
    </row>
    <row r="187" spans="1:19" ht="42" hidden="1" customHeight="1">
      <c r="A187" s="10" t="s">
        <v>101</v>
      </c>
      <c r="B187" s="10" t="s">
        <v>60</v>
      </c>
      <c r="C187" s="10" t="s">
        <v>220</v>
      </c>
      <c r="D187" s="10" t="s">
        <v>127</v>
      </c>
      <c r="E187" s="10" t="s">
        <v>193</v>
      </c>
      <c r="F187" s="11">
        <v>6937.54</v>
      </c>
      <c r="G187" s="21">
        <v>95.585273425396053</v>
      </c>
      <c r="H187" s="34" t="s">
        <v>31</v>
      </c>
      <c r="I187" s="10" t="s">
        <v>435</v>
      </c>
      <c r="J187" s="10" t="s">
        <v>436</v>
      </c>
      <c r="K187" s="35" t="s">
        <v>437</v>
      </c>
      <c r="L187" s="35" t="s">
        <v>106</v>
      </c>
      <c r="M187" s="35" t="s">
        <v>438</v>
      </c>
      <c r="N187" s="35" t="s">
        <v>439</v>
      </c>
      <c r="O187" s="35" t="s">
        <v>125</v>
      </c>
      <c r="P187" s="33">
        <v>4</v>
      </c>
      <c r="Q187" s="33">
        <v>3</v>
      </c>
      <c r="R187" s="32" t="s">
        <v>440</v>
      </c>
      <c r="S187" s="36">
        <v>2769</v>
      </c>
    </row>
    <row r="188" spans="1:19" ht="42" hidden="1" customHeight="1">
      <c r="A188" s="10" t="s">
        <v>101</v>
      </c>
      <c r="B188" s="10" t="s">
        <v>60</v>
      </c>
      <c r="C188" s="10" t="s">
        <v>220</v>
      </c>
      <c r="D188" s="10" t="s">
        <v>127</v>
      </c>
      <c r="E188" s="10" t="s">
        <v>225</v>
      </c>
      <c r="F188" s="11">
        <v>6938.33</v>
      </c>
      <c r="G188" s="21">
        <v>88.6828293081916</v>
      </c>
      <c r="H188" s="34" t="s">
        <v>31</v>
      </c>
      <c r="I188" s="10" t="s">
        <v>435</v>
      </c>
      <c r="J188" s="10" t="s">
        <v>441</v>
      </c>
      <c r="K188" s="35" t="s">
        <v>442</v>
      </c>
      <c r="L188" s="35" t="s">
        <v>116</v>
      </c>
      <c r="M188" s="35" t="s">
        <v>443</v>
      </c>
      <c r="N188" s="35" t="s">
        <v>444</v>
      </c>
      <c r="O188" s="35" t="s">
        <v>125</v>
      </c>
      <c r="P188" s="33">
        <v>4</v>
      </c>
      <c r="Q188" s="33">
        <v>3</v>
      </c>
      <c r="R188" s="32" t="s">
        <v>445</v>
      </c>
      <c r="S188" s="36">
        <v>531</v>
      </c>
    </row>
    <row r="189" spans="1:19" ht="42" hidden="1" customHeight="1">
      <c r="A189" s="10" t="s">
        <v>101</v>
      </c>
      <c r="B189" s="10" t="s">
        <v>60</v>
      </c>
      <c r="C189" s="10" t="s">
        <v>224</v>
      </c>
      <c r="D189" s="10" t="s">
        <v>127</v>
      </c>
      <c r="E189" s="10" t="s">
        <v>462</v>
      </c>
      <c r="F189" s="11">
        <v>15079.66</v>
      </c>
      <c r="G189" s="21">
        <v>87.032633297764562</v>
      </c>
      <c r="H189" s="34" t="s">
        <v>31</v>
      </c>
      <c r="I189" s="10" t="s">
        <v>447</v>
      </c>
      <c r="J189" s="10" t="s">
        <v>441</v>
      </c>
      <c r="K189" s="35" t="s">
        <v>453</v>
      </c>
      <c r="L189" s="35" t="s">
        <v>135</v>
      </c>
      <c r="M189" s="35" t="s">
        <v>454</v>
      </c>
      <c r="N189" s="35" t="s">
        <v>455</v>
      </c>
      <c r="O189" s="35" t="s">
        <v>125</v>
      </c>
      <c r="P189" s="33">
        <v>4</v>
      </c>
      <c r="Q189" s="33">
        <v>3</v>
      </c>
      <c r="R189" s="32" t="s">
        <v>456</v>
      </c>
      <c r="S189" s="36">
        <v>0</v>
      </c>
    </row>
    <row r="190" spans="1:19" ht="42" hidden="1" customHeight="1">
      <c r="A190" s="10" t="s">
        <v>101</v>
      </c>
      <c r="B190" s="10" t="s">
        <v>60</v>
      </c>
      <c r="C190" s="10" t="s">
        <v>224</v>
      </c>
      <c r="D190" s="10" t="s">
        <v>127</v>
      </c>
      <c r="E190" s="10" t="s">
        <v>225</v>
      </c>
      <c r="F190" s="11">
        <v>827.96</v>
      </c>
      <c r="G190" s="21">
        <v>83.6828293081916</v>
      </c>
      <c r="H190" s="34" t="s">
        <v>31</v>
      </c>
      <c r="I190" s="10" t="s">
        <v>435</v>
      </c>
      <c r="J190" s="10" t="s">
        <v>441</v>
      </c>
      <c r="K190" s="35" t="s">
        <v>442</v>
      </c>
      <c r="L190" s="35" t="s">
        <v>116</v>
      </c>
      <c r="M190" s="35" t="s">
        <v>443</v>
      </c>
      <c r="N190" s="35" t="s">
        <v>444</v>
      </c>
      <c r="O190" s="35" t="s">
        <v>125</v>
      </c>
      <c r="P190" s="33">
        <v>3</v>
      </c>
      <c r="Q190" s="33">
        <v>2</v>
      </c>
      <c r="R190" s="32" t="s">
        <v>476</v>
      </c>
      <c r="S190" s="36">
        <v>2200</v>
      </c>
    </row>
    <row r="191" spans="1:19" ht="42" hidden="1" customHeight="1">
      <c r="A191" s="10" t="s">
        <v>101</v>
      </c>
      <c r="B191" s="10" t="s">
        <v>60</v>
      </c>
      <c r="C191" s="10" t="s">
        <v>224</v>
      </c>
      <c r="D191" s="10" t="s">
        <v>127</v>
      </c>
      <c r="E191" s="10" t="s">
        <v>467</v>
      </c>
      <c r="F191" s="11">
        <v>4701.96</v>
      </c>
      <c r="G191" s="21">
        <v>77</v>
      </c>
      <c r="H191" s="34" t="s">
        <v>33</v>
      </c>
      <c r="I191" s="10" t="s">
        <v>447</v>
      </c>
      <c r="J191" s="10" t="s">
        <v>441</v>
      </c>
      <c r="K191" s="35" t="s">
        <v>453</v>
      </c>
      <c r="L191" s="35" t="s">
        <v>135</v>
      </c>
      <c r="M191" s="35" t="s">
        <v>454</v>
      </c>
      <c r="N191" s="35" t="s">
        <v>455</v>
      </c>
      <c r="O191" s="35" t="s">
        <v>195</v>
      </c>
      <c r="P191" s="33">
        <v>6</v>
      </c>
      <c r="Q191" s="33">
        <v>5</v>
      </c>
      <c r="R191" s="32" t="s">
        <v>456</v>
      </c>
      <c r="S191" s="36">
        <v>0</v>
      </c>
    </row>
    <row r="192" spans="1:19" ht="42" hidden="1" customHeight="1">
      <c r="A192" s="10" t="s">
        <v>101</v>
      </c>
      <c r="B192" s="10" t="s">
        <v>60</v>
      </c>
      <c r="C192" s="10" t="s">
        <v>224</v>
      </c>
      <c r="D192" s="10" t="s">
        <v>127</v>
      </c>
      <c r="E192" s="10" t="s">
        <v>213</v>
      </c>
      <c r="F192" s="11">
        <v>385.26</v>
      </c>
      <c r="G192" s="21">
        <v>68.75</v>
      </c>
      <c r="H192" s="34" t="s">
        <v>33</v>
      </c>
      <c r="I192" s="10" t="s">
        <v>447</v>
      </c>
      <c r="J192" s="10" t="s">
        <v>436</v>
      </c>
      <c r="K192" s="35" t="s">
        <v>448</v>
      </c>
      <c r="L192" s="35" t="s">
        <v>152</v>
      </c>
      <c r="M192" s="35" t="s">
        <v>449</v>
      </c>
      <c r="N192" s="35" t="s">
        <v>450</v>
      </c>
      <c r="O192" s="35" t="s">
        <v>195</v>
      </c>
      <c r="P192" s="33">
        <v>5</v>
      </c>
      <c r="Q192" s="33">
        <v>4</v>
      </c>
      <c r="R192" s="32" t="s">
        <v>456</v>
      </c>
      <c r="S192" s="36">
        <v>0</v>
      </c>
    </row>
    <row r="193" spans="1:19" ht="42" hidden="1" customHeight="1">
      <c r="A193" s="10" t="s">
        <v>101</v>
      </c>
      <c r="B193" s="10" t="s">
        <v>60</v>
      </c>
      <c r="C193" s="10" t="s">
        <v>224</v>
      </c>
      <c r="D193" s="10" t="s">
        <v>127</v>
      </c>
      <c r="E193" s="10" t="s">
        <v>446</v>
      </c>
      <c r="F193" s="11">
        <v>745.3</v>
      </c>
      <c r="G193" s="21">
        <v>68.712101858847163</v>
      </c>
      <c r="H193" s="34" t="s">
        <v>33</v>
      </c>
      <c r="I193" s="10" t="s">
        <v>447</v>
      </c>
      <c r="J193" s="10" t="s">
        <v>436</v>
      </c>
      <c r="K193" s="35" t="s">
        <v>448</v>
      </c>
      <c r="L193" s="35" t="s">
        <v>152</v>
      </c>
      <c r="M193" s="35" t="s">
        <v>449</v>
      </c>
      <c r="N193" s="35" t="s">
        <v>450</v>
      </c>
      <c r="O193" s="35" t="s">
        <v>195</v>
      </c>
      <c r="P193" s="33">
        <v>4</v>
      </c>
      <c r="Q193" s="33">
        <v>3</v>
      </c>
      <c r="R193" s="32" t="s">
        <v>456</v>
      </c>
      <c r="S193" s="36">
        <v>0</v>
      </c>
    </row>
    <row r="194" spans="1:19" ht="42" hidden="1" customHeight="1">
      <c r="A194" s="10" t="s">
        <v>101</v>
      </c>
      <c r="B194" s="10" t="s">
        <v>60</v>
      </c>
      <c r="C194" s="10" t="s">
        <v>224</v>
      </c>
      <c r="D194" s="10" t="s">
        <v>127</v>
      </c>
      <c r="E194" s="10" t="s">
        <v>457</v>
      </c>
      <c r="F194" s="11">
        <v>346.9</v>
      </c>
      <c r="G194" s="21">
        <v>65.25</v>
      </c>
      <c r="H194" s="34" t="s">
        <v>33</v>
      </c>
      <c r="I194" s="10" t="s">
        <v>447</v>
      </c>
      <c r="J194" s="10" t="s">
        <v>441</v>
      </c>
      <c r="K194" s="35" t="s">
        <v>453</v>
      </c>
      <c r="L194" s="35" t="s">
        <v>135</v>
      </c>
      <c r="M194" s="35" t="s">
        <v>454</v>
      </c>
      <c r="N194" s="35" t="s">
        <v>455</v>
      </c>
      <c r="O194" s="35" t="s">
        <v>195</v>
      </c>
      <c r="P194" s="33">
        <v>5</v>
      </c>
      <c r="Q194" s="33">
        <v>4</v>
      </c>
      <c r="R194" s="32" t="s">
        <v>456</v>
      </c>
      <c r="S194" s="36">
        <v>0</v>
      </c>
    </row>
    <row r="195" spans="1:19" ht="42" hidden="1" customHeight="1">
      <c r="A195" s="10" t="s">
        <v>255</v>
      </c>
      <c r="B195" s="10" t="s">
        <v>60</v>
      </c>
      <c r="C195" s="10" t="s">
        <v>256</v>
      </c>
      <c r="D195" s="10" t="s">
        <v>103</v>
      </c>
      <c r="E195" s="10" t="s">
        <v>151</v>
      </c>
      <c r="F195" s="11">
        <v>81539.77</v>
      </c>
      <c r="G195" s="21">
        <v>91.216129184412011</v>
      </c>
      <c r="H195" s="34" t="s">
        <v>31</v>
      </c>
      <c r="I195" s="10" t="s">
        <v>447</v>
      </c>
      <c r="J195" s="10" t="s">
        <v>436</v>
      </c>
      <c r="K195" s="35" t="s">
        <v>448</v>
      </c>
      <c r="L195" s="35" t="s">
        <v>152</v>
      </c>
      <c r="M195" s="35" t="s">
        <v>449</v>
      </c>
      <c r="N195" s="35" t="s">
        <v>450</v>
      </c>
      <c r="O195" s="35" t="s">
        <v>125</v>
      </c>
      <c r="P195" s="33">
        <v>5</v>
      </c>
      <c r="Q195" s="33">
        <v>4</v>
      </c>
      <c r="R195" s="32" t="s">
        <v>456</v>
      </c>
      <c r="S195" s="36">
        <v>0</v>
      </c>
    </row>
    <row r="196" spans="1:19" ht="42" hidden="1" customHeight="1">
      <c r="A196" s="10" t="s">
        <v>255</v>
      </c>
      <c r="B196" s="10" t="s">
        <v>60</v>
      </c>
      <c r="C196" s="10" t="s">
        <v>256</v>
      </c>
      <c r="D196" s="10" t="s">
        <v>103</v>
      </c>
      <c r="E196" s="10" t="s">
        <v>213</v>
      </c>
      <c r="F196" s="11">
        <v>61160.15</v>
      </c>
      <c r="G196" s="21">
        <v>86.25</v>
      </c>
      <c r="H196" s="34" t="s">
        <v>31</v>
      </c>
      <c r="I196" s="10" t="s">
        <v>447</v>
      </c>
      <c r="J196" s="10" t="s">
        <v>436</v>
      </c>
      <c r="K196" s="35" t="s">
        <v>448</v>
      </c>
      <c r="L196" s="35" t="s">
        <v>152</v>
      </c>
      <c r="M196" s="35" t="s">
        <v>449</v>
      </c>
      <c r="N196" s="35" t="s">
        <v>450</v>
      </c>
      <c r="O196" s="35" t="s">
        <v>125</v>
      </c>
      <c r="P196" s="33">
        <v>4</v>
      </c>
      <c r="Q196" s="33">
        <v>3</v>
      </c>
      <c r="R196" s="32" t="s">
        <v>456</v>
      </c>
      <c r="S196" s="36">
        <v>0</v>
      </c>
    </row>
    <row r="197" spans="1:19" ht="42" hidden="1" customHeight="1">
      <c r="A197" s="10" t="s">
        <v>255</v>
      </c>
      <c r="B197" s="10" t="s">
        <v>60</v>
      </c>
      <c r="C197" s="10" t="s">
        <v>256</v>
      </c>
      <c r="D197" s="10" t="s">
        <v>103</v>
      </c>
      <c r="E197" s="10" t="s">
        <v>375</v>
      </c>
      <c r="F197" s="11">
        <v>10928.54</v>
      </c>
      <c r="G197" s="21">
        <v>81.25</v>
      </c>
      <c r="H197" s="34" t="s">
        <v>31</v>
      </c>
      <c r="I197" s="10" t="s">
        <v>435</v>
      </c>
      <c r="J197" s="10" t="s">
        <v>436</v>
      </c>
      <c r="K197" s="35" t="s">
        <v>437</v>
      </c>
      <c r="L197" s="35" t="s">
        <v>106</v>
      </c>
      <c r="M197" s="35" t="s">
        <v>438</v>
      </c>
      <c r="N197" s="35" t="s">
        <v>439</v>
      </c>
      <c r="O197" s="35" t="s">
        <v>125</v>
      </c>
      <c r="P197" s="33">
        <v>5</v>
      </c>
      <c r="Q197" s="33">
        <v>4</v>
      </c>
      <c r="R197" s="32" t="s">
        <v>460</v>
      </c>
      <c r="S197" s="36">
        <v>2264</v>
      </c>
    </row>
    <row r="198" spans="1:19" ht="42" hidden="1" customHeight="1">
      <c r="A198" s="10" t="s">
        <v>255</v>
      </c>
      <c r="B198" s="10" t="s">
        <v>60</v>
      </c>
      <c r="C198" s="10" t="s">
        <v>256</v>
      </c>
      <c r="D198" s="10" t="s">
        <v>103</v>
      </c>
      <c r="E198" s="10" t="s">
        <v>467</v>
      </c>
      <c r="F198" s="11">
        <v>42799.19</v>
      </c>
      <c r="G198" s="21">
        <v>80.75</v>
      </c>
      <c r="H198" s="34" t="s">
        <v>31</v>
      </c>
      <c r="I198" s="10" t="s">
        <v>447</v>
      </c>
      <c r="J198" s="10" t="s">
        <v>441</v>
      </c>
      <c r="K198" s="35" t="s">
        <v>453</v>
      </c>
      <c r="L198" s="35" t="s">
        <v>135</v>
      </c>
      <c r="M198" s="35" t="s">
        <v>454</v>
      </c>
      <c r="N198" s="35" t="s">
        <v>455</v>
      </c>
      <c r="O198" s="35" t="s">
        <v>125</v>
      </c>
      <c r="P198" s="33">
        <v>5</v>
      </c>
      <c r="Q198" s="33">
        <v>4</v>
      </c>
      <c r="R198" s="32" t="s">
        <v>456</v>
      </c>
      <c r="S198" s="36">
        <v>0</v>
      </c>
    </row>
    <row r="199" spans="1:19" ht="42" hidden="1" customHeight="1">
      <c r="A199" s="10" t="s">
        <v>255</v>
      </c>
      <c r="B199" s="10" t="s">
        <v>60</v>
      </c>
      <c r="C199" s="10" t="s">
        <v>256</v>
      </c>
      <c r="D199" s="10" t="s">
        <v>103</v>
      </c>
      <c r="E199" s="10" t="s">
        <v>193</v>
      </c>
      <c r="F199" s="11">
        <v>2547.15</v>
      </c>
      <c r="G199" s="21">
        <v>80.585273425396053</v>
      </c>
      <c r="H199" s="34" t="s">
        <v>31</v>
      </c>
      <c r="I199" s="10" t="s">
        <v>435</v>
      </c>
      <c r="J199" s="10" t="s">
        <v>436</v>
      </c>
      <c r="K199" s="35" t="s">
        <v>437</v>
      </c>
      <c r="L199" s="35" t="s">
        <v>106</v>
      </c>
      <c r="M199" s="35" t="s">
        <v>438</v>
      </c>
      <c r="N199" s="35" t="s">
        <v>439</v>
      </c>
      <c r="O199" s="35" t="s">
        <v>125</v>
      </c>
      <c r="P199" s="33">
        <v>3</v>
      </c>
      <c r="Q199" s="33">
        <v>2</v>
      </c>
      <c r="R199" s="32" t="s">
        <v>461</v>
      </c>
      <c r="S199" s="36">
        <v>30</v>
      </c>
    </row>
    <row r="200" spans="1:19" ht="42" hidden="1" customHeight="1">
      <c r="A200" s="10" t="s">
        <v>255</v>
      </c>
      <c r="B200" s="10" t="s">
        <v>60</v>
      </c>
      <c r="C200" s="10" t="s">
        <v>256</v>
      </c>
      <c r="D200" s="10" t="s">
        <v>103</v>
      </c>
      <c r="E200" s="10" t="s">
        <v>446</v>
      </c>
      <c r="F200" s="11">
        <v>17592.52</v>
      </c>
      <c r="G200" s="21">
        <v>79.962101858847163</v>
      </c>
      <c r="H200" s="34" t="s">
        <v>33</v>
      </c>
      <c r="I200" s="10" t="s">
        <v>447</v>
      </c>
      <c r="J200" s="10" t="s">
        <v>436</v>
      </c>
      <c r="K200" s="35" t="s">
        <v>448</v>
      </c>
      <c r="L200" s="35" t="s">
        <v>152</v>
      </c>
      <c r="M200" s="35" t="s">
        <v>449</v>
      </c>
      <c r="N200" s="35" t="s">
        <v>450</v>
      </c>
      <c r="O200" s="35" t="s">
        <v>195</v>
      </c>
      <c r="P200" s="33">
        <v>4</v>
      </c>
      <c r="Q200" s="33">
        <v>3</v>
      </c>
      <c r="R200" s="32" t="s">
        <v>456</v>
      </c>
      <c r="S200" s="36">
        <v>0</v>
      </c>
    </row>
    <row r="201" spans="1:19" ht="42" hidden="1" customHeight="1">
      <c r="A201" s="10" t="s">
        <v>255</v>
      </c>
      <c r="B201" s="10" t="s">
        <v>60</v>
      </c>
      <c r="C201" s="10" t="s">
        <v>256</v>
      </c>
      <c r="D201" s="10" t="s">
        <v>103</v>
      </c>
      <c r="E201" s="10" t="s">
        <v>465</v>
      </c>
      <c r="F201" s="11">
        <v>14603.29</v>
      </c>
      <c r="G201" s="21">
        <v>79.25</v>
      </c>
      <c r="H201" s="34" t="s">
        <v>33</v>
      </c>
      <c r="I201" s="10" t="s">
        <v>435</v>
      </c>
      <c r="J201" s="10" t="s">
        <v>436</v>
      </c>
      <c r="K201" s="35" t="s">
        <v>437</v>
      </c>
      <c r="L201" s="35" t="s">
        <v>106</v>
      </c>
      <c r="M201" s="35" t="s">
        <v>438</v>
      </c>
      <c r="N201" s="35" t="s">
        <v>439</v>
      </c>
      <c r="O201" s="35" t="s">
        <v>195</v>
      </c>
      <c r="P201" s="33">
        <v>2</v>
      </c>
      <c r="Q201" s="33">
        <v>1</v>
      </c>
      <c r="R201" s="32" t="s">
        <v>461</v>
      </c>
      <c r="S201" s="36">
        <v>70</v>
      </c>
    </row>
    <row r="202" spans="1:19" ht="42" hidden="1" customHeight="1">
      <c r="A202" s="10" t="s">
        <v>255</v>
      </c>
      <c r="B202" s="10" t="s">
        <v>60</v>
      </c>
      <c r="C202" s="10" t="s">
        <v>256</v>
      </c>
      <c r="D202" s="10" t="s">
        <v>103</v>
      </c>
      <c r="E202" s="10" t="s">
        <v>468</v>
      </c>
      <c r="F202" s="11">
        <v>12477.57</v>
      </c>
      <c r="G202" s="21">
        <v>79.25</v>
      </c>
      <c r="H202" s="34" t="s">
        <v>33</v>
      </c>
      <c r="I202" s="10" t="s">
        <v>435</v>
      </c>
      <c r="J202" s="10" t="s">
        <v>436</v>
      </c>
      <c r="K202" s="35" t="s">
        <v>437</v>
      </c>
      <c r="L202" s="35" t="s">
        <v>106</v>
      </c>
      <c r="M202" s="35" t="s">
        <v>438</v>
      </c>
      <c r="N202" s="35" t="s">
        <v>439</v>
      </c>
      <c r="O202" s="35" t="s">
        <v>195</v>
      </c>
      <c r="P202" s="33">
        <v>5</v>
      </c>
      <c r="Q202" s="33">
        <v>4</v>
      </c>
      <c r="R202" s="32" t="s">
        <v>461</v>
      </c>
      <c r="S202" s="36">
        <v>62</v>
      </c>
    </row>
    <row r="203" spans="1:19" ht="42" hidden="1" customHeight="1">
      <c r="A203" s="10" t="s">
        <v>255</v>
      </c>
      <c r="B203" s="10" t="s">
        <v>60</v>
      </c>
      <c r="C203" s="10" t="s">
        <v>256</v>
      </c>
      <c r="D203" s="10" t="s">
        <v>103</v>
      </c>
      <c r="E203" s="10" t="s">
        <v>181</v>
      </c>
      <c r="F203" s="11">
        <v>1094.5</v>
      </c>
      <c r="G203" s="21">
        <v>73.75</v>
      </c>
      <c r="H203" s="34" t="s">
        <v>33</v>
      </c>
      <c r="I203" s="10" t="s">
        <v>435</v>
      </c>
      <c r="J203" s="10" t="s">
        <v>441</v>
      </c>
      <c r="K203" s="35" t="s">
        <v>442</v>
      </c>
      <c r="L203" s="35" t="s">
        <v>116</v>
      </c>
      <c r="M203" s="35" t="s">
        <v>443</v>
      </c>
      <c r="N203" s="35" t="s">
        <v>444</v>
      </c>
      <c r="O203" s="35" t="s">
        <v>195</v>
      </c>
      <c r="P203" s="33">
        <v>4</v>
      </c>
      <c r="Q203" s="33">
        <v>3</v>
      </c>
      <c r="R203" s="32" t="s">
        <v>461</v>
      </c>
      <c r="S203" s="36">
        <v>23</v>
      </c>
    </row>
    <row r="204" spans="1:19" ht="42" hidden="1" customHeight="1">
      <c r="A204" s="10" t="s">
        <v>255</v>
      </c>
      <c r="B204" s="10" t="s">
        <v>60</v>
      </c>
      <c r="C204" s="10" t="s">
        <v>256</v>
      </c>
      <c r="D204" s="10" t="s">
        <v>103</v>
      </c>
      <c r="E204" s="10" t="s">
        <v>225</v>
      </c>
      <c r="F204" s="11">
        <v>3001.84</v>
      </c>
      <c r="G204" s="21">
        <v>73.6828293081916</v>
      </c>
      <c r="H204" s="34" t="s">
        <v>33</v>
      </c>
      <c r="I204" s="10" t="s">
        <v>435</v>
      </c>
      <c r="J204" s="10" t="s">
        <v>441</v>
      </c>
      <c r="K204" s="35" t="s">
        <v>442</v>
      </c>
      <c r="L204" s="35" t="s">
        <v>116</v>
      </c>
      <c r="M204" s="35" t="s">
        <v>443</v>
      </c>
      <c r="N204" s="35" t="s">
        <v>444</v>
      </c>
      <c r="O204" s="35" t="s">
        <v>195</v>
      </c>
      <c r="P204" s="33">
        <v>5</v>
      </c>
      <c r="Q204" s="33">
        <v>4</v>
      </c>
      <c r="R204" s="32" t="s">
        <v>461</v>
      </c>
      <c r="S204" s="36">
        <v>29</v>
      </c>
    </row>
    <row r="205" spans="1:19" ht="42" hidden="1" customHeight="1">
      <c r="A205" s="10" t="s">
        <v>255</v>
      </c>
      <c r="B205" s="10" t="s">
        <v>60</v>
      </c>
      <c r="C205" s="10" t="s">
        <v>256</v>
      </c>
      <c r="D205" s="10" t="s">
        <v>103</v>
      </c>
      <c r="E205" s="10" t="s">
        <v>466</v>
      </c>
      <c r="F205" s="11">
        <v>7615.56</v>
      </c>
      <c r="G205" s="21">
        <v>70.5</v>
      </c>
      <c r="H205" s="34" t="s">
        <v>33</v>
      </c>
      <c r="I205" s="10" t="s">
        <v>447</v>
      </c>
      <c r="J205" s="10" t="s">
        <v>436</v>
      </c>
      <c r="K205" s="35" t="s">
        <v>448</v>
      </c>
      <c r="L205" s="35" t="s">
        <v>152</v>
      </c>
      <c r="M205" s="35" t="s">
        <v>449</v>
      </c>
      <c r="N205" s="35" t="s">
        <v>450</v>
      </c>
      <c r="O205" s="35" t="s">
        <v>195</v>
      </c>
      <c r="P205" s="33">
        <v>4</v>
      </c>
      <c r="Q205" s="33">
        <v>3</v>
      </c>
      <c r="R205" s="32" t="s">
        <v>456</v>
      </c>
      <c r="S205" s="36">
        <v>0</v>
      </c>
    </row>
    <row r="206" spans="1:19" ht="42" hidden="1" customHeight="1">
      <c r="A206" s="10" t="s">
        <v>255</v>
      </c>
      <c r="B206" s="10" t="s">
        <v>60</v>
      </c>
      <c r="C206" s="10" t="s">
        <v>256</v>
      </c>
      <c r="D206" s="10" t="s">
        <v>103</v>
      </c>
      <c r="E206" s="10" t="s">
        <v>479</v>
      </c>
      <c r="F206" s="11">
        <v>583.15</v>
      </c>
      <c r="G206" s="21">
        <v>70.25</v>
      </c>
      <c r="H206" s="34" t="s">
        <v>33</v>
      </c>
      <c r="I206" s="10" t="s">
        <v>435</v>
      </c>
      <c r="J206" s="10" t="s">
        <v>441</v>
      </c>
      <c r="K206" s="35" t="s">
        <v>442</v>
      </c>
      <c r="L206" s="35" t="s">
        <v>116</v>
      </c>
      <c r="M206" s="35" t="s">
        <v>443</v>
      </c>
      <c r="N206" s="35" t="s">
        <v>444</v>
      </c>
      <c r="O206" s="35" t="s">
        <v>195</v>
      </c>
      <c r="P206" s="33">
        <v>5</v>
      </c>
      <c r="Q206" s="33">
        <v>4</v>
      </c>
      <c r="R206" s="32" t="s">
        <v>461</v>
      </c>
      <c r="S206" s="36">
        <v>22</v>
      </c>
    </row>
    <row r="207" spans="1:19" ht="42" hidden="1" customHeight="1">
      <c r="A207" s="10" t="s">
        <v>255</v>
      </c>
      <c r="B207" s="10" t="s">
        <v>60</v>
      </c>
      <c r="C207" s="10" t="s">
        <v>256</v>
      </c>
      <c r="D207" s="10" t="s">
        <v>103</v>
      </c>
      <c r="E207" s="10" t="s">
        <v>482</v>
      </c>
      <c r="F207" s="11">
        <v>10929.95</v>
      </c>
      <c r="G207" s="21">
        <v>69.454499800427357</v>
      </c>
      <c r="H207" s="34" t="s">
        <v>33</v>
      </c>
      <c r="I207" s="10" t="s">
        <v>447</v>
      </c>
      <c r="J207" s="10" t="s">
        <v>441</v>
      </c>
      <c r="K207" s="35" t="s">
        <v>453</v>
      </c>
      <c r="L207" s="35" t="s">
        <v>135</v>
      </c>
      <c r="M207" s="35" t="s">
        <v>454</v>
      </c>
      <c r="N207" s="35" t="s">
        <v>455</v>
      </c>
      <c r="O207" s="35" t="s">
        <v>195</v>
      </c>
      <c r="P207" s="33">
        <v>7</v>
      </c>
      <c r="Q207" s="33">
        <v>6</v>
      </c>
      <c r="R207" s="32" t="s">
        <v>456</v>
      </c>
      <c r="S207" s="36">
        <v>0</v>
      </c>
    </row>
    <row r="208" spans="1:19" ht="42" hidden="1" customHeight="1">
      <c r="A208" s="10" t="s">
        <v>255</v>
      </c>
      <c r="B208" s="10" t="s">
        <v>60</v>
      </c>
      <c r="C208" s="10" t="s">
        <v>256</v>
      </c>
      <c r="D208" s="10" t="s">
        <v>103</v>
      </c>
      <c r="E208" s="10" t="s">
        <v>469</v>
      </c>
      <c r="F208" s="11">
        <v>12262.53</v>
      </c>
      <c r="G208" s="21">
        <v>69.450967292390857</v>
      </c>
      <c r="H208" s="34" t="s">
        <v>33</v>
      </c>
      <c r="I208" s="10" t="s">
        <v>447</v>
      </c>
      <c r="J208" s="10" t="s">
        <v>441</v>
      </c>
      <c r="K208" s="35" t="s">
        <v>453</v>
      </c>
      <c r="L208" s="35" t="s">
        <v>135</v>
      </c>
      <c r="M208" s="35" t="s">
        <v>454</v>
      </c>
      <c r="N208" s="35" t="s">
        <v>455</v>
      </c>
      <c r="O208" s="35" t="s">
        <v>195</v>
      </c>
      <c r="P208" s="33">
        <v>3</v>
      </c>
      <c r="Q208" s="33">
        <v>2</v>
      </c>
      <c r="R208" s="32" t="s">
        <v>456</v>
      </c>
      <c r="S208" s="36">
        <v>0</v>
      </c>
    </row>
    <row r="209" spans="1:19" ht="42" hidden="1" customHeight="1">
      <c r="A209" s="10" t="s">
        <v>255</v>
      </c>
      <c r="B209" s="10" t="s">
        <v>60</v>
      </c>
      <c r="C209" s="10" t="s">
        <v>256</v>
      </c>
      <c r="D209" s="10" t="s">
        <v>103</v>
      </c>
      <c r="E209" s="10" t="s">
        <v>457</v>
      </c>
      <c r="F209" s="11">
        <v>11323.35</v>
      </c>
      <c r="G209" s="21">
        <v>69</v>
      </c>
      <c r="H209" s="34" t="s">
        <v>33</v>
      </c>
      <c r="I209" s="10" t="s">
        <v>447</v>
      </c>
      <c r="J209" s="10" t="s">
        <v>441</v>
      </c>
      <c r="K209" s="35" t="s">
        <v>453</v>
      </c>
      <c r="L209" s="35" t="s">
        <v>135</v>
      </c>
      <c r="M209" s="35" t="s">
        <v>454</v>
      </c>
      <c r="N209" s="35" t="s">
        <v>455</v>
      </c>
      <c r="O209" s="35" t="s">
        <v>195</v>
      </c>
      <c r="P209" s="33">
        <v>2</v>
      </c>
      <c r="Q209" s="33">
        <v>1</v>
      </c>
      <c r="R209" s="32" t="s">
        <v>456</v>
      </c>
      <c r="S209" s="36">
        <v>0</v>
      </c>
    </row>
    <row r="210" spans="1:19" ht="42" hidden="1" customHeight="1">
      <c r="A210" s="10" t="s">
        <v>255</v>
      </c>
      <c r="B210" s="10" t="s">
        <v>60</v>
      </c>
      <c r="C210" s="10" t="s">
        <v>256</v>
      </c>
      <c r="D210" s="10" t="s">
        <v>103</v>
      </c>
      <c r="E210" s="10" t="s">
        <v>462</v>
      </c>
      <c r="F210" s="11">
        <v>10517.95</v>
      </c>
      <c r="G210" s="21">
        <v>68.998086472563159</v>
      </c>
      <c r="H210" s="34" t="s">
        <v>33</v>
      </c>
      <c r="I210" s="10" t="s">
        <v>447</v>
      </c>
      <c r="J210" s="10" t="s">
        <v>441</v>
      </c>
      <c r="K210" s="35" t="s">
        <v>453</v>
      </c>
      <c r="L210" s="35" t="s">
        <v>135</v>
      </c>
      <c r="M210" s="35" t="s">
        <v>454</v>
      </c>
      <c r="N210" s="35" t="s">
        <v>455</v>
      </c>
      <c r="O210" s="35" t="s">
        <v>195</v>
      </c>
      <c r="P210" s="33">
        <v>2</v>
      </c>
      <c r="Q210" s="33">
        <v>1</v>
      </c>
      <c r="R210" s="32" t="s">
        <v>456</v>
      </c>
      <c r="S210" s="36">
        <v>0</v>
      </c>
    </row>
    <row r="211" spans="1:19" ht="42" hidden="1" customHeight="1">
      <c r="A211" s="10" t="s">
        <v>255</v>
      </c>
      <c r="B211" s="10" t="s">
        <v>60</v>
      </c>
      <c r="C211" s="10" t="s">
        <v>256</v>
      </c>
      <c r="D211" s="10" t="s">
        <v>103</v>
      </c>
      <c r="E211" s="10" t="s">
        <v>475</v>
      </c>
      <c r="F211" s="11">
        <v>12670.1</v>
      </c>
      <c r="G211" s="21">
        <v>66.277428619890031</v>
      </c>
      <c r="H211" s="34" t="s">
        <v>33</v>
      </c>
      <c r="I211" s="10" t="s">
        <v>447</v>
      </c>
      <c r="J211" s="10" t="s">
        <v>441</v>
      </c>
      <c r="K211" s="35" t="s">
        <v>453</v>
      </c>
      <c r="L211" s="35" t="s">
        <v>135</v>
      </c>
      <c r="M211" s="35" t="s">
        <v>454</v>
      </c>
      <c r="N211" s="35" t="s">
        <v>455</v>
      </c>
      <c r="O211" s="35" t="s">
        <v>195</v>
      </c>
      <c r="P211" s="33">
        <v>7</v>
      </c>
      <c r="Q211" s="33">
        <v>6</v>
      </c>
      <c r="R211" s="32" t="s">
        <v>456</v>
      </c>
      <c r="S211" s="36">
        <v>0</v>
      </c>
    </row>
    <row r="212" spans="1:19" ht="42" hidden="1" customHeight="1">
      <c r="A212" s="10" t="s">
        <v>255</v>
      </c>
      <c r="B212" s="10" t="s">
        <v>60</v>
      </c>
      <c r="C212" s="10" t="s">
        <v>256</v>
      </c>
      <c r="D212" s="10" t="s">
        <v>103</v>
      </c>
      <c r="E212" s="10" t="s">
        <v>458</v>
      </c>
      <c r="F212" s="11">
        <v>501.96</v>
      </c>
      <c r="G212" s="21">
        <v>66</v>
      </c>
      <c r="H212" s="34" t="s">
        <v>33</v>
      </c>
      <c r="I212" s="10" t="s">
        <v>447</v>
      </c>
      <c r="J212" s="10" t="s">
        <v>436</v>
      </c>
      <c r="K212" s="35" t="s">
        <v>448</v>
      </c>
      <c r="L212" s="35" t="s">
        <v>152</v>
      </c>
      <c r="M212" s="35" t="s">
        <v>449</v>
      </c>
      <c r="N212" s="35" t="s">
        <v>450</v>
      </c>
      <c r="O212" s="35" t="s">
        <v>195</v>
      </c>
      <c r="P212" s="33">
        <v>2</v>
      </c>
      <c r="Q212" s="33">
        <v>1</v>
      </c>
      <c r="R212" s="32" t="s">
        <v>456</v>
      </c>
      <c r="S212" s="36">
        <v>0</v>
      </c>
    </row>
    <row r="213" spans="1:19" ht="42" hidden="1" customHeight="1">
      <c r="A213" s="10" t="s">
        <v>255</v>
      </c>
      <c r="B213" s="10" t="s">
        <v>60</v>
      </c>
      <c r="C213" s="10" t="s">
        <v>256</v>
      </c>
      <c r="D213" s="10" t="s">
        <v>103</v>
      </c>
      <c r="E213" s="10" t="s">
        <v>452</v>
      </c>
      <c r="F213" s="11">
        <v>1241.21</v>
      </c>
      <c r="G213" s="21">
        <v>65</v>
      </c>
      <c r="H213" s="34" t="s">
        <v>33</v>
      </c>
      <c r="I213" s="10" t="s">
        <v>447</v>
      </c>
      <c r="J213" s="10" t="s">
        <v>441</v>
      </c>
      <c r="K213" s="35" t="s">
        <v>453</v>
      </c>
      <c r="L213" s="35" t="s">
        <v>135</v>
      </c>
      <c r="M213" s="35" t="s">
        <v>454</v>
      </c>
      <c r="N213" s="35" t="s">
        <v>455</v>
      </c>
      <c r="O213" s="35" t="s">
        <v>195</v>
      </c>
      <c r="P213" s="33">
        <v>2</v>
      </c>
      <c r="Q213" s="33">
        <v>1</v>
      </c>
      <c r="R213" s="32" t="s">
        <v>456</v>
      </c>
      <c r="S213" s="36">
        <v>0</v>
      </c>
    </row>
    <row r="214" spans="1:19" ht="42" hidden="1" customHeight="1">
      <c r="A214" s="10" t="s">
        <v>101</v>
      </c>
      <c r="B214" s="10" t="s">
        <v>60</v>
      </c>
      <c r="C214" s="10" t="s">
        <v>132</v>
      </c>
      <c r="D214" s="10" t="s">
        <v>127</v>
      </c>
      <c r="E214" s="10" t="s">
        <v>462</v>
      </c>
      <c r="F214" s="11">
        <v>1722.16</v>
      </c>
      <c r="G214" s="21">
        <v>86.51901047349898</v>
      </c>
      <c r="H214" s="34" t="s">
        <v>31</v>
      </c>
      <c r="I214" s="10" t="s">
        <v>447</v>
      </c>
      <c r="J214" s="10" t="s">
        <v>441</v>
      </c>
      <c r="K214" s="35" t="s">
        <v>453</v>
      </c>
      <c r="L214" s="35" t="s">
        <v>135</v>
      </c>
      <c r="M214" s="35" t="s">
        <v>454</v>
      </c>
      <c r="N214" s="35" t="s">
        <v>455</v>
      </c>
      <c r="O214" s="35" t="s">
        <v>125</v>
      </c>
      <c r="P214" s="33">
        <v>8</v>
      </c>
      <c r="Q214" s="33">
        <v>7</v>
      </c>
      <c r="R214" s="32" t="s">
        <v>492</v>
      </c>
      <c r="S214" s="36">
        <v>789</v>
      </c>
    </row>
    <row r="215" spans="1:19" ht="42" hidden="1" customHeight="1">
      <c r="A215" s="10" t="s">
        <v>101</v>
      </c>
      <c r="B215" s="10" t="s">
        <v>60</v>
      </c>
      <c r="C215" s="10" t="s">
        <v>132</v>
      </c>
      <c r="D215" s="10" t="s">
        <v>127</v>
      </c>
      <c r="E215" s="10" t="s">
        <v>467</v>
      </c>
      <c r="F215" s="11">
        <v>40.24</v>
      </c>
      <c r="G215" s="21">
        <v>77</v>
      </c>
      <c r="H215" s="34" t="s">
        <v>33</v>
      </c>
      <c r="I215" s="10" t="s">
        <v>447</v>
      </c>
      <c r="J215" s="10" t="s">
        <v>441</v>
      </c>
      <c r="K215" s="35" t="s">
        <v>453</v>
      </c>
      <c r="L215" s="35" t="s">
        <v>135</v>
      </c>
      <c r="M215" s="35" t="s">
        <v>454</v>
      </c>
      <c r="N215" s="35" t="s">
        <v>455</v>
      </c>
      <c r="O215" s="35" t="s">
        <v>195</v>
      </c>
      <c r="P215" s="33">
        <v>7</v>
      </c>
      <c r="Q215" s="33">
        <v>6</v>
      </c>
      <c r="R215" s="32" t="s">
        <v>456</v>
      </c>
      <c r="S215" s="36">
        <v>0</v>
      </c>
    </row>
    <row r="216" spans="1:19" ht="42" hidden="1" customHeight="1">
      <c r="A216" s="10" t="s">
        <v>101</v>
      </c>
      <c r="B216" s="10" t="s">
        <v>60</v>
      </c>
      <c r="C216" s="10" t="s">
        <v>132</v>
      </c>
      <c r="D216" s="10" t="s">
        <v>127</v>
      </c>
      <c r="E216" s="10" t="s">
        <v>499</v>
      </c>
      <c r="F216" s="11">
        <v>3919.55</v>
      </c>
      <c r="G216" s="21">
        <v>67.75</v>
      </c>
      <c r="H216" s="34" t="s">
        <v>33</v>
      </c>
      <c r="I216" s="10" t="s">
        <v>447</v>
      </c>
      <c r="J216" s="10" t="s">
        <v>471</v>
      </c>
      <c r="K216" s="35" t="s">
        <v>472</v>
      </c>
      <c r="L216" s="35" t="s">
        <v>174</v>
      </c>
      <c r="M216" s="35" t="s">
        <v>473</v>
      </c>
      <c r="N216" s="35" t="s">
        <v>137</v>
      </c>
      <c r="O216" s="35" t="s">
        <v>195</v>
      </c>
      <c r="P216" s="33">
        <v>2</v>
      </c>
      <c r="Q216" s="33">
        <v>1</v>
      </c>
      <c r="R216" s="32" t="s">
        <v>492</v>
      </c>
      <c r="S216" s="36">
        <v>1211</v>
      </c>
    </row>
    <row r="217" spans="1:19" ht="42" hidden="1" customHeight="1">
      <c r="A217" s="10" t="s">
        <v>101</v>
      </c>
      <c r="B217" s="10" t="s">
        <v>60</v>
      </c>
      <c r="C217" s="10" t="s">
        <v>354</v>
      </c>
      <c r="D217" s="10" t="s">
        <v>149</v>
      </c>
      <c r="E217" s="10" t="s">
        <v>457</v>
      </c>
      <c r="F217" s="11">
        <v>359.41</v>
      </c>
      <c r="G217" s="21">
        <v>70.25</v>
      </c>
      <c r="H217" s="34" t="s">
        <v>33</v>
      </c>
      <c r="I217" s="10" t="s">
        <v>447</v>
      </c>
      <c r="J217" s="10" t="s">
        <v>441</v>
      </c>
      <c r="K217" s="35" t="s">
        <v>453</v>
      </c>
      <c r="L217" s="35" t="s">
        <v>135</v>
      </c>
      <c r="M217" s="35" t="s">
        <v>454</v>
      </c>
      <c r="N217" s="35" t="s">
        <v>455</v>
      </c>
      <c r="O217" s="35" t="s">
        <v>195</v>
      </c>
      <c r="P217" s="33">
        <v>8</v>
      </c>
      <c r="Q217" s="33">
        <v>7</v>
      </c>
      <c r="R217" s="32" t="s">
        <v>463</v>
      </c>
      <c r="S217" s="36">
        <v>0</v>
      </c>
    </row>
    <row r="218" spans="1:19" ht="42" hidden="1" customHeight="1">
      <c r="A218" s="10" t="s">
        <v>101</v>
      </c>
      <c r="B218" s="10" t="s">
        <v>60</v>
      </c>
      <c r="C218" s="10" t="s">
        <v>354</v>
      </c>
      <c r="D218" s="10" t="s">
        <v>149</v>
      </c>
      <c r="E218" s="10" t="s">
        <v>213</v>
      </c>
      <c r="F218" s="11">
        <v>227.45</v>
      </c>
      <c r="G218" s="21">
        <v>68.75</v>
      </c>
      <c r="H218" s="34" t="s">
        <v>33</v>
      </c>
      <c r="I218" s="10" t="s">
        <v>447</v>
      </c>
      <c r="J218" s="10" t="s">
        <v>436</v>
      </c>
      <c r="K218" s="35" t="s">
        <v>448</v>
      </c>
      <c r="L218" s="35" t="s">
        <v>152</v>
      </c>
      <c r="M218" s="35" t="s">
        <v>449</v>
      </c>
      <c r="N218" s="35" t="s">
        <v>450</v>
      </c>
      <c r="O218" s="35" t="s">
        <v>195</v>
      </c>
      <c r="P218" s="33">
        <v>8</v>
      </c>
      <c r="Q218" s="33">
        <v>7</v>
      </c>
      <c r="R218" s="32" t="s">
        <v>463</v>
      </c>
      <c r="S218" s="36">
        <v>0</v>
      </c>
    </row>
    <row r="219" spans="1:19" ht="42" hidden="1" customHeight="1">
      <c r="A219" s="10" t="s">
        <v>101</v>
      </c>
      <c r="B219" s="10" t="s">
        <v>60</v>
      </c>
      <c r="C219" s="10" t="s">
        <v>354</v>
      </c>
      <c r="D219" s="10" t="s">
        <v>149</v>
      </c>
      <c r="E219" s="10" t="s">
        <v>446</v>
      </c>
      <c r="F219" s="11">
        <v>283.52999999999997</v>
      </c>
      <c r="G219" s="21">
        <v>68.712101858847163</v>
      </c>
      <c r="H219" s="34" t="s">
        <v>33</v>
      </c>
      <c r="I219" s="10" t="s">
        <v>447</v>
      </c>
      <c r="J219" s="10" t="s">
        <v>436</v>
      </c>
      <c r="K219" s="35" t="s">
        <v>448</v>
      </c>
      <c r="L219" s="35" t="s">
        <v>152</v>
      </c>
      <c r="M219" s="35" t="s">
        <v>449</v>
      </c>
      <c r="N219" s="35" t="s">
        <v>450</v>
      </c>
      <c r="O219" s="35" t="s">
        <v>195</v>
      </c>
      <c r="P219" s="33">
        <v>8</v>
      </c>
      <c r="Q219" s="33">
        <v>7</v>
      </c>
      <c r="R219" s="32" t="s">
        <v>463</v>
      </c>
      <c r="S219" s="36">
        <v>0</v>
      </c>
    </row>
    <row r="220" spans="1:19" ht="42" hidden="1" customHeight="1">
      <c r="A220" s="10" t="s">
        <v>101</v>
      </c>
      <c r="B220" s="10" t="s">
        <v>60</v>
      </c>
      <c r="C220" s="10" t="s">
        <v>354</v>
      </c>
      <c r="D220" s="10" t="s">
        <v>149</v>
      </c>
      <c r="E220" s="10" t="s">
        <v>193</v>
      </c>
      <c r="F220" s="11">
        <v>101.94</v>
      </c>
      <c r="G220" s="21">
        <v>67.585273425396053</v>
      </c>
      <c r="H220" s="34" t="s">
        <v>33</v>
      </c>
      <c r="I220" s="10" t="s">
        <v>435</v>
      </c>
      <c r="J220" s="10" t="s">
        <v>441</v>
      </c>
      <c r="K220" s="35" t="s">
        <v>442</v>
      </c>
      <c r="L220" s="35" t="s">
        <v>116</v>
      </c>
      <c r="M220" s="35" t="s">
        <v>443</v>
      </c>
      <c r="N220" s="35" t="s">
        <v>444</v>
      </c>
      <c r="O220" s="35" t="s">
        <v>195</v>
      </c>
      <c r="P220" s="33">
        <v>8</v>
      </c>
      <c r="Q220" s="33">
        <v>7</v>
      </c>
      <c r="R220" s="32" t="s">
        <v>463</v>
      </c>
      <c r="S220" s="36">
        <v>0</v>
      </c>
    </row>
    <row r="221" spans="1:19" ht="42" hidden="1" customHeight="1">
      <c r="A221" s="10" t="s">
        <v>101</v>
      </c>
      <c r="B221" s="10" t="s">
        <v>60</v>
      </c>
      <c r="C221" s="10" t="s">
        <v>354</v>
      </c>
      <c r="D221" s="10" t="s">
        <v>149</v>
      </c>
      <c r="E221" s="10" t="s">
        <v>462</v>
      </c>
      <c r="F221" s="11">
        <v>173.03</v>
      </c>
      <c r="G221" s="21">
        <v>65.102031083007802</v>
      </c>
      <c r="H221" s="34" t="s">
        <v>33</v>
      </c>
      <c r="I221" s="10" t="s">
        <v>447</v>
      </c>
      <c r="J221" s="10" t="s">
        <v>441</v>
      </c>
      <c r="K221" s="35" t="s">
        <v>453</v>
      </c>
      <c r="L221" s="35" t="s">
        <v>135</v>
      </c>
      <c r="M221" s="35" t="s">
        <v>454</v>
      </c>
      <c r="N221" s="35" t="s">
        <v>455</v>
      </c>
      <c r="O221" s="35" t="s">
        <v>195</v>
      </c>
      <c r="P221" s="33">
        <v>8</v>
      </c>
      <c r="Q221" s="33">
        <v>7</v>
      </c>
      <c r="R221" s="32" t="s">
        <v>463</v>
      </c>
      <c r="S221" s="36">
        <v>0</v>
      </c>
    </row>
    <row r="222" spans="1:19" ht="42" customHeight="1">
      <c r="A222" s="10" t="s">
        <v>165</v>
      </c>
      <c r="B222" s="10" t="s">
        <v>60</v>
      </c>
      <c r="C222" s="10" t="s">
        <v>302</v>
      </c>
      <c r="D222" s="10" t="s">
        <v>103</v>
      </c>
      <c r="E222" s="10" t="s">
        <v>457</v>
      </c>
      <c r="F222" s="11">
        <v>103892.26</v>
      </c>
      <c r="G222" s="21">
        <v>87.75</v>
      </c>
      <c r="H222" s="34" t="s">
        <v>31</v>
      </c>
      <c r="I222" s="10" t="s">
        <v>447</v>
      </c>
      <c r="J222" s="10" t="s">
        <v>441</v>
      </c>
      <c r="K222" s="35" t="s">
        <v>453</v>
      </c>
      <c r="L222" s="35" t="s">
        <v>135</v>
      </c>
      <c r="M222" s="35" t="s">
        <v>454</v>
      </c>
      <c r="N222" s="35" t="s">
        <v>455</v>
      </c>
      <c r="O222" s="35" t="s">
        <v>125</v>
      </c>
      <c r="P222" s="33">
        <v>6</v>
      </c>
      <c r="Q222" s="33">
        <v>5</v>
      </c>
      <c r="R222" s="32" t="s">
        <v>456</v>
      </c>
      <c r="S222" s="36">
        <v>0</v>
      </c>
    </row>
    <row r="223" spans="1:19" ht="42" customHeight="1">
      <c r="A223" s="10" t="s">
        <v>165</v>
      </c>
      <c r="B223" s="10" t="s">
        <v>60</v>
      </c>
      <c r="C223" s="10" t="s">
        <v>302</v>
      </c>
      <c r="D223" s="10" t="s">
        <v>103</v>
      </c>
      <c r="E223" s="10" t="s">
        <v>213</v>
      </c>
      <c r="F223" s="11">
        <v>74132.740000000005</v>
      </c>
      <c r="G223" s="21">
        <v>86.25</v>
      </c>
      <c r="H223" s="34" t="s">
        <v>31</v>
      </c>
      <c r="I223" s="10" t="s">
        <v>447</v>
      </c>
      <c r="J223" s="10" t="s">
        <v>436</v>
      </c>
      <c r="K223" s="35" t="s">
        <v>448</v>
      </c>
      <c r="L223" s="35" t="s">
        <v>152</v>
      </c>
      <c r="M223" s="35" t="s">
        <v>449</v>
      </c>
      <c r="N223" s="35" t="s">
        <v>450</v>
      </c>
      <c r="O223" s="35" t="s">
        <v>125</v>
      </c>
      <c r="P223" s="33">
        <v>6</v>
      </c>
      <c r="Q223" s="33">
        <v>5</v>
      </c>
      <c r="R223" s="32" t="s">
        <v>451</v>
      </c>
      <c r="S223" s="36">
        <v>348</v>
      </c>
    </row>
    <row r="224" spans="1:19" ht="42" customHeight="1">
      <c r="A224" s="10" t="s">
        <v>165</v>
      </c>
      <c r="B224" s="10" t="s">
        <v>60</v>
      </c>
      <c r="C224" s="10" t="s">
        <v>302</v>
      </c>
      <c r="D224" s="10" t="s">
        <v>103</v>
      </c>
      <c r="E224" s="10" t="s">
        <v>482</v>
      </c>
      <c r="F224" s="11">
        <v>42575.29</v>
      </c>
      <c r="G224" s="21">
        <v>83.204499800427357</v>
      </c>
      <c r="H224" s="34" t="s">
        <v>31</v>
      </c>
      <c r="I224" s="10" t="s">
        <v>447</v>
      </c>
      <c r="J224" s="10" t="s">
        <v>441</v>
      </c>
      <c r="K224" s="35" t="s">
        <v>453</v>
      </c>
      <c r="L224" s="35" t="s">
        <v>135</v>
      </c>
      <c r="M224" s="35" t="s">
        <v>454</v>
      </c>
      <c r="N224" s="35" t="s">
        <v>455</v>
      </c>
      <c r="O224" s="35" t="s">
        <v>125</v>
      </c>
      <c r="P224" s="33">
        <v>10</v>
      </c>
      <c r="Q224" s="33">
        <v>9</v>
      </c>
      <c r="R224" s="32" t="s">
        <v>456</v>
      </c>
      <c r="S224" s="36">
        <v>0</v>
      </c>
    </row>
    <row r="225" spans="1:19" ht="42" customHeight="1">
      <c r="A225" s="10" t="s">
        <v>165</v>
      </c>
      <c r="B225" s="10" t="s">
        <v>60</v>
      </c>
      <c r="C225" s="10" t="s">
        <v>302</v>
      </c>
      <c r="D225" s="10" t="s">
        <v>103</v>
      </c>
      <c r="E225" s="10" t="s">
        <v>151</v>
      </c>
      <c r="F225" s="11">
        <v>27263.38</v>
      </c>
      <c r="G225" s="21">
        <v>79.966129184412011</v>
      </c>
      <c r="H225" s="34" t="s">
        <v>33</v>
      </c>
      <c r="I225" s="10" t="s">
        <v>447</v>
      </c>
      <c r="J225" s="10" t="s">
        <v>436</v>
      </c>
      <c r="K225" s="35" t="s">
        <v>448</v>
      </c>
      <c r="L225" s="35" t="s">
        <v>152</v>
      </c>
      <c r="M225" s="35" t="s">
        <v>449</v>
      </c>
      <c r="N225" s="35" t="s">
        <v>450</v>
      </c>
      <c r="O225" s="35" t="s">
        <v>195</v>
      </c>
      <c r="P225" s="33">
        <v>10</v>
      </c>
      <c r="Q225" s="33">
        <v>9</v>
      </c>
      <c r="R225" s="32" t="s">
        <v>451</v>
      </c>
      <c r="S225" s="36">
        <v>117</v>
      </c>
    </row>
    <row r="226" spans="1:19" ht="42" customHeight="1">
      <c r="A226" s="10" t="s">
        <v>165</v>
      </c>
      <c r="B226" s="10" t="s">
        <v>60</v>
      </c>
      <c r="C226" s="10" t="s">
        <v>302</v>
      </c>
      <c r="D226" s="10" t="s">
        <v>103</v>
      </c>
      <c r="E226" s="10" t="s">
        <v>446</v>
      </c>
      <c r="F226" s="11">
        <v>20724.55</v>
      </c>
      <c r="G226" s="21">
        <v>79.962101858847163</v>
      </c>
      <c r="H226" s="34" t="s">
        <v>33</v>
      </c>
      <c r="I226" s="10" t="s">
        <v>447</v>
      </c>
      <c r="J226" s="10" t="s">
        <v>436</v>
      </c>
      <c r="K226" s="35" t="s">
        <v>448</v>
      </c>
      <c r="L226" s="35" t="s">
        <v>152</v>
      </c>
      <c r="M226" s="35" t="s">
        <v>449</v>
      </c>
      <c r="N226" s="35" t="s">
        <v>450</v>
      </c>
      <c r="O226" s="35" t="s">
        <v>195</v>
      </c>
      <c r="P226" s="33">
        <v>6</v>
      </c>
      <c r="Q226" s="33">
        <v>5</v>
      </c>
      <c r="R226" s="32" t="s">
        <v>451</v>
      </c>
      <c r="S226" s="36">
        <v>94</v>
      </c>
    </row>
    <row r="227" spans="1:19" ht="42" customHeight="1">
      <c r="A227" s="10" t="s">
        <v>165</v>
      </c>
      <c r="B227" s="10" t="s">
        <v>60</v>
      </c>
      <c r="C227" s="10" t="s">
        <v>302</v>
      </c>
      <c r="D227" s="10" t="s">
        <v>103</v>
      </c>
      <c r="E227" s="10" t="s">
        <v>469</v>
      </c>
      <c r="F227" s="11">
        <v>32884.93</v>
      </c>
      <c r="G227" s="21">
        <v>76.950967292390857</v>
      </c>
      <c r="H227" s="34" t="s">
        <v>33</v>
      </c>
      <c r="I227" s="10" t="s">
        <v>447</v>
      </c>
      <c r="J227" s="10" t="s">
        <v>441</v>
      </c>
      <c r="K227" s="35" t="s">
        <v>453</v>
      </c>
      <c r="L227" s="35" t="s">
        <v>135</v>
      </c>
      <c r="M227" s="35" t="s">
        <v>454</v>
      </c>
      <c r="N227" s="35" t="s">
        <v>455</v>
      </c>
      <c r="O227" s="35" t="s">
        <v>195</v>
      </c>
      <c r="P227" s="33">
        <v>10</v>
      </c>
      <c r="Q227" s="33">
        <v>9</v>
      </c>
      <c r="R227" s="32" t="s">
        <v>456</v>
      </c>
      <c r="S227" s="36">
        <v>0</v>
      </c>
    </row>
    <row r="228" spans="1:19" ht="42" customHeight="1">
      <c r="A228" s="10" t="s">
        <v>165</v>
      </c>
      <c r="B228" s="10" t="s">
        <v>60</v>
      </c>
      <c r="C228" s="10" t="s">
        <v>302</v>
      </c>
      <c r="D228" s="10" t="s">
        <v>103</v>
      </c>
      <c r="E228" s="10" t="s">
        <v>480</v>
      </c>
      <c r="F228" s="11">
        <v>6983.93</v>
      </c>
      <c r="G228" s="21">
        <v>75.25</v>
      </c>
      <c r="H228" s="34" t="s">
        <v>33</v>
      </c>
      <c r="I228" s="10" t="s">
        <v>435</v>
      </c>
      <c r="J228" s="10" t="s">
        <v>436</v>
      </c>
      <c r="K228" s="35" t="s">
        <v>437</v>
      </c>
      <c r="L228" s="35" t="s">
        <v>106</v>
      </c>
      <c r="M228" s="35" t="s">
        <v>438</v>
      </c>
      <c r="N228" s="35" t="s">
        <v>439</v>
      </c>
      <c r="O228" s="35" t="s">
        <v>195</v>
      </c>
      <c r="P228" s="33">
        <v>6</v>
      </c>
      <c r="Q228" s="33">
        <v>5</v>
      </c>
      <c r="R228" s="32" t="s">
        <v>451</v>
      </c>
      <c r="S228" s="36">
        <v>43</v>
      </c>
    </row>
    <row r="229" spans="1:19" ht="42" customHeight="1">
      <c r="A229" s="10" t="s">
        <v>165</v>
      </c>
      <c r="B229" s="10" t="s">
        <v>60</v>
      </c>
      <c r="C229" s="10" t="s">
        <v>302</v>
      </c>
      <c r="D229" s="10" t="s">
        <v>103</v>
      </c>
      <c r="E229" s="10" t="s">
        <v>181</v>
      </c>
      <c r="F229" s="11">
        <v>6301.8</v>
      </c>
      <c r="G229" s="21">
        <v>73.75</v>
      </c>
      <c r="H229" s="34" t="s">
        <v>33</v>
      </c>
      <c r="I229" s="10" t="s">
        <v>435</v>
      </c>
      <c r="J229" s="10" t="s">
        <v>441</v>
      </c>
      <c r="K229" s="35" t="s">
        <v>442</v>
      </c>
      <c r="L229" s="35" t="s">
        <v>116</v>
      </c>
      <c r="M229" s="35" t="s">
        <v>443</v>
      </c>
      <c r="N229" s="35" t="s">
        <v>444</v>
      </c>
      <c r="O229" s="35" t="s">
        <v>195</v>
      </c>
      <c r="P229" s="33">
        <v>2</v>
      </c>
      <c r="Q229" s="33">
        <v>1</v>
      </c>
      <c r="R229" s="32" t="s">
        <v>451</v>
      </c>
      <c r="S229" s="36">
        <v>41</v>
      </c>
    </row>
    <row r="230" spans="1:19" ht="42" customHeight="1">
      <c r="A230" s="10" t="s">
        <v>165</v>
      </c>
      <c r="B230" s="10" t="s">
        <v>60</v>
      </c>
      <c r="C230" s="10" t="s">
        <v>302</v>
      </c>
      <c r="D230" s="10" t="s">
        <v>103</v>
      </c>
      <c r="E230" s="10" t="s">
        <v>225</v>
      </c>
      <c r="F230" s="11">
        <v>707.98</v>
      </c>
      <c r="G230" s="21">
        <v>73.6828293081916</v>
      </c>
      <c r="H230" s="34" t="s">
        <v>33</v>
      </c>
      <c r="I230" s="10" t="s">
        <v>435</v>
      </c>
      <c r="J230" s="10" t="s">
        <v>441</v>
      </c>
      <c r="K230" s="35" t="s">
        <v>442</v>
      </c>
      <c r="L230" s="35" t="s">
        <v>116</v>
      </c>
      <c r="M230" s="35" t="s">
        <v>443</v>
      </c>
      <c r="N230" s="35" t="s">
        <v>444</v>
      </c>
      <c r="O230" s="35" t="s">
        <v>195</v>
      </c>
      <c r="P230" s="33">
        <v>6</v>
      </c>
      <c r="Q230" s="33">
        <v>5</v>
      </c>
      <c r="R230" s="32" t="s">
        <v>451</v>
      </c>
      <c r="S230" s="36">
        <v>22</v>
      </c>
    </row>
    <row r="231" spans="1:19" ht="42" customHeight="1">
      <c r="A231" s="10" t="s">
        <v>165</v>
      </c>
      <c r="B231" s="10" t="s">
        <v>60</v>
      </c>
      <c r="C231" s="10" t="s">
        <v>302</v>
      </c>
      <c r="D231" s="10" t="s">
        <v>103</v>
      </c>
      <c r="E231" s="10" t="s">
        <v>115</v>
      </c>
      <c r="F231" s="11">
        <v>3107.12</v>
      </c>
      <c r="G231" s="21">
        <v>73.529969712371766</v>
      </c>
      <c r="H231" s="34" t="s">
        <v>33</v>
      </c>
      <c r="I231" s="10" t="s">
        <v>435</v>
      </c>
      <c r="J231" s="10" t="s">
        <v>441</v>
      </c>
      <c r="K231" s="35" t="s">
        <v>442</v>
      </c>
      <c r="L231" s="35" t="s">
        <v>116</v>
      </c>
      <c r="M231" s="35" t="s">
        <v>443</v>
      </c>
      <c r="N231" s="35" t="s">
        <v>444</v>
      </c>
      <c r="O231" s="35" t="s">
        <v>195</v>
      </c>
      <c r="P231" s="33">
        <v>7</v>
      </c>
      <c r="Q231" s="33">
        <v>6</v>
      </c>
      <c r="R231" s="32" t="s">
        <v>451</v>
      </c>
      <c r="S231" s="36">
        <v>30</v>
      </c>
    </row>
    <row r="232" spans="1:19" ht="42" customHeight="1">
      <c r="A232" s="10" t="s">
        <v>165</v>
      </c>
      <c r="B232" s="10" t="s">
        <v>60</v>
      </c>
      <c r="C232" s="10" t="s">
        <v>302</v>
      </c>
      <c r="D232" s="10" t="s">
        <v>103</v>
      </c>
      <c r="E232" s="10" t="s">
        <v>464</v>
      </c>
      <c r="F232" s="11">
        <v>6084.77</v>
      </c>
      <c r="G232" s="21">
        <v>72.748742920880659</v>
      </c>
      <c r="H232" s="34" t="s">
        <v>33</v>
      </c>
      <c r="I232" s="10" t="s">
        <v>447</v>
      </c>
      <c r="J232" s="10" t="s">
        <v>436</v>
      </c>
      <c r="K232" s="35" t="s">
        <v>448</v>
      </c>
      <c r="L232" s="35" t="s">
        <v>152</v>
      </c>
      <c r="M232" s="35" t="s">
        <v>449</v>
      </c>
      <c r="N232" s="35" t="s">
        <v>450</v>
      </c>
      <c r="O232" s="35" t="s">
        <v>195</v>
      </c>
      <c r="P232" s="33">
        <v>4</v>
      </c>
      <c r="Q232" s="33">
        <v>3</v>
      </c>
      <c r="R232" s="32" t="s">
        <v>451</v>
      </c>
      <c r="S232" s="36">
        <v>40</v>
      </c>
    </row>
    <row r="233" spans="1:19" ht="42" customHeight="1">
      <c r="A233" s="10" t="s">
        <v>165</v>
      </c>
      <c r="B233" s="10" t="s">
        <v>60</v>
      </c>
      <c r="C233" s="10" t="s">
        <v>302</v>
      </c>
      <c r="D233" s="10" t="s">
        <v>103</v>
      </c>
      <c r="E233" s="10" t="s">
        <v>462</v>
      </c>
      <c r="F233" s="11">
        <v>2597.4</v>
      </c>
      <c r="G233" s="21">
        <v>68.852031083007802</v>
      </c>
      <c r="H233" s="34" t="s">
        <v>33</v>
      </c>
      <c r="I233" s="10" t="s">
        <v>447</v>
      </c>
      <c r="J233" s="10" t="s">
        <v>441</v>
      </c>
      <c r="K233" s="35" t="s">
        <v>453</v>
      </c>
      <c r="L233" s="35" t="s">
        <v>135</v>
      </c>
      <c r="M233" s="35" t="s">
        <v>454</v>
      </c>
      <c r="N233" s="35" t="s">
        <v>455</v>
      </c>
      <c r="O233" s="35" t="s">
        <v>195</v>
      </c>
      <c r="P233" s="33">
        <v>4</v>
      </c>
      <c r="Q233" s="33">
        <v>3</v>
      </c>
      <c r="R233" s="32" t="s">
        <v>456</v>
      </c>
      <c r="S233" s="36">
        <v>0</v>
      </c>
    </row>
    <row r="234" spans="1:19" ht="42" customHeight="1">
      <c r="A234" s="10" t="s">
        <v>165</v>
      </c>
      <c r="B234" s="10" t="s">
        <v>60</v>
      </c>
      <c r="C234" s="10" t="s">
        <v>302</v>
      </c>
      <c r="D234" s="10" t="s">
        <v>103</v>
      </c>
      <c r="E234" s="10" t="s">
        <v>467</v>
      </c>
      <c r="F234" s="11">
        <v>16270.47</v>
      </c>
      <c r="G234" s="21">
        <v>67</v>
      </c>
      <c r="H234" s="34" t="s">
        <v>33</v>
      </c>
      <c r="I234" s="10" t="s">
        <v>447</v>
      </c>
      <c r="J234" s="10" t="s">
        <v>441</v>
      </c>
      <c r="K234" s="35" t="s">
        <v>453</v>
      </c>
      <c r="L234" s="35" t="s">
        <v>135</v>
      </c>
      <c r="M234" s="35" t="s">
        <v>454</v>
      </c>
      <c r="N234" s="35" t="s">
        <v>455</v>
      </c>
      <c r="O234" s="35" t="s">
        <v>195</v>
      </c>
      <c r="P234" s="33">
        <v>6</v>
      </c>
      <c r="Q234" s="33">
        <v>5</v>
      </c>
      <c r="R234" s="32" t="s">
        <v>456</v>
      </c>
      <c r="S234" s="36">
        <v>0</v>
      </c>
    </row>
    <row r="235" spans="1:19" ht="42" customHeight="1">
      <c r="A235" s="10" t="s">
        <v>165</v>
      </c>
      <c r="B235" s="10" t="s">
        <v>60</v>
      </c>
      <c r="C235" s="10" t="s">
        <v>302</v>
      </c>
      <c r="D235" s="10" t="s">
        <v>103</v>
      </c>
      <c r="E235" s="10" t="s">
        <v>475</v>
      </c>
      <c r="F235" s="11">
        <v>2809.94</v>
      </c>
      <c r="G235" s="21">
        <v>66.277428619890031</v>
      </c>
      <c r="H235" s="34" t="s">
        <v>33</v>
      </c>
      <c r="I235" s="10" t="s">
        <v>447</v>
      </c>
      <c r="J235" s="10" t="s">
        <v>441</v>
      </c>
      <c r="K235" s="35" t="s">
        <v>453</v>
      </c>
      <c r="L235" s="35" t="s">
        <v>135</v>
      </c>
      <c r="M235" s="35" t="s">
        <v>454</v>
      </c>
      <c r="N235" s="35" t="s">
        <v>455</v>
      </c>
      <c r="O235" s="35" t="s">
        <v>195</v>
      </c>
      <c r="P235" s="33">
        <v>7</v>
      </c>
      <c r="Q235" s="33">
        <v>6</v>
      </c>
      <c r="R235" s="32" t="s">
        <v>456</v>
      </c>
      <c r="S235" s="36">
        <v>0</v>
      </c>
    </row>
    <row r="236" spans="1:19" ht="42" customHeight="1">
      <c r="A236" s="10" t="s">
        <v>165</v>
      </c>
      <c r="B236" s="10" t="s">
        <v>60</v>
      </c>
      <c r="C236" s="10" t="s">
        <v>302</v>
      </c>
      <c r="D236" s="10" t="s">
        <v>103</v>
      </c>
      <c r="E236" s="10" t="s">
        <v>478</v>
      </c>
      <c r="F236" s="11">
        <v>400.27</v>
      </c>
      <c r="G236" s="21">
        <v>65.147936405491748</v>
      </c>
      <c r="H236" s="34" t="s">
        <v>33</v>
      </c>
      <c r="I236" s="10" t="s">
        <v>447</v>
      </c>
      <c r="J236" s="10" t="s">
        <v>436</v>
      </c>
      <c r="K236" s="35" t="s">
        <v>448</v>
      </c>
      <c r="L236" s="35" t="s">
        <v>152</v>
      </c>
      <c r="M236" s="35" t="s">
        <v>449</v>
      </c>
      <c r="N236" s="35" t="s">
        <v>450</v>
      </c>
      <c r="O236" s="35" t="s">
        <v>195</v>
      </c>
      <c r="P236" s="33">
        <v>11</v>
      </c>
      <c r="Q236" s="33">
        <v>10</v>
      </c>
      <c r="R236" s="32" t="s">
        <v>451</v>
      </c>
      <c r="S236" s="36">
        <v>21</v>
      </c>
    </row>
    <row r="237" spans="1:19" ht="42" customHeight="1">
      <c r="A237" s="10" t="s">
        <v>165</v>
      </c>
      <c r="B237" s="10" t="s">
        <v>60</v>
      </c>
      <c r="C237" s="10" t="s">
        <v>302</v>
      </c>
      <c r="D237" s="10" t="s">
        <v>103</v>
      </c>
      <c r="E237" s="10" t="s">
        <v>314</v>
      </c>
      <c r="F237" s="11">
        <v>8339.23</v>
      </c>
      <c r="G237" s="21">
        <v>65</v>
      </c>
      <c r="H237" s="34" t="s">
        <v>33</v>
      </c>
      <c r="I237" s="10" t="s">
        <v>447</v>
      </c>
      <c r="J237" s="10" t="s">
        <v>436</v>
      </c>
      <c r="K237" s="35" t="s">
        <v>448</v>
      </c>
      <c r="L237" s="35" t="s">
        <v>152</v>
      </c>
      <c r="M237" s="35" t="s">
        <v>449</v>
      </c>
      <c r="N237" s="35" t="s">
        <v>450</v>
      </c>
      <c r="O237" s="35" t="s">
        <v>195</v>
      </c>
      <c r="P237" s="33">
        <v>5</v>
      </c>
      <c r="Q237" s="33">
        <v>4</v>
      </c>
      <c r="R237" s="32" t="s">
        <v>451</v>
      </c>
      <c r="S237" s="36">
        <v>44</v>
      </c>
    </row>
    <row r="238" spans="1:19" ht="42" hidden="1" customHeight="1">
      <c r="A238" s="10" t="s">
        <v>215</v>
      </c>
      <c r="B238" s="10" t="s">
        <v>60</v>
      </c>
      <c r="C238" s="10" t="s">
        <v>410</v>
      </c>
      <c r="D238" s="10" t="s">
        <v>103</v>
      </c>
      <c r="E238" s="10" t="s">
        <v>151</v>
      </c>
      <c r="F238" s="11">
        <v>109198.01</v>
      </c>
      <c r="G238" s="21">
        <v>91.216129184412011</v>
      </c>
      <c r="H238" s="34" t="s">
        <v>31</v>
      </c>
      <c r="I238" s="10" t="s">
        <v>447</v>
      </c>
      <c r="J238" s="10" t="s">
        <v>436</v>
      </c>
      <c r="K238" s="35" t="s">
        <v>448</v>
      </c>
      <c r="L238" s="35" t="s">
        <v>152</v>
      </c>
      <c r="M238" s="35" t="s">
        <v>449</v>
      </c>
      <c r="N238" s="35" t="s">
        <v>450</v>
      </c>
      <c r="O238" s="35" t="s">
        <v>125</v>
      </c>
      <c r="P238" s="33">
        <v>12</v>
      </c>
      <c r="Q238" s="33">
        <v>11</v>
      </c>
      <c r="R238" s="32" t="s">
        <v>451</v>
      </c>
      <c r="S238" s="36">
        <v>422</v>
      </c>
    </row>
    <row r="239" spans="1:19" ht="42" hidden="1" customHeight="1">
      <c r="A239" s="10" t="s">
        <v>215</v>
      </c>
      <c r="B239" s="10" t="s">
        <v>60</v>
      </c>
      <c r="C239" s="10" t="s">
        <v>410</v>
      </c>
      <c r="D239" s="10" t="s">
        <v>103</v>
      </c>
      <c r="E239" s="10" t="s">
        <v>464</v>
      </c>
      <c r="F239" s="11">
        <v>27333.02</v>
      </c>
      <c r="G239" s="21">
        <v>86.498742920880659</v>
      </c>
      <c r="H239" s="34" t="s">
        <v>31</v>
      </c>
      <c r="I239" s="10" t="s">
        <v>447</v>
      </c>
      <c r="J239" s="10" t="s">
        <v>436</v>
      </c>
      <c r="K239" s="35" t="s">
        <v>448</v>
      </c>
      <c r="L239" s="35" t="s">
        <v>152</v>
      </c>
      <c r="M239" s="35" t="s">
        <v>449</v>
      </c>
      <c r="N239" s="35" t="s">
        <v>450</v>
      </c>
      <c r="O239" s="35" t="s">
        <v>125</v>
      </c>
      <c r="P239" s="33">
        <v>7</v>
      </c>
      <c r="Q239" s="33">
        <v>6</v>
      </c>
      <c r="R239" s="32" t="s">
        <v>451</v>
      </c>
      <c r="S239" s="36">
        <v>115</v>
      </c>
    </row>
    <row r="240" spans="1:19" ht="42" hidden="1" customHeight="1">
      <c r="A240" s="10" t="s">
        <v>215</v>
      </c>
      <c r="B240" s="10" t="s">
        <v>60</v>
      </c>
      <c r="C240" s="10" t="s">
        <v>410</v>
      </c>
      <c r="D240" s="10" t="s">
        <v>103</v>
      </c>
      <c r="E240" s="10" t="s">
        <v>193</v>
      </c>
      <c r="F240" s="11">
        <v>4531.74</v>
      </c>
      <c r="G240" s="21">
        <v>80.585273425396053</v>
      </c>
      <c r="H240" s="34" t="s">
        <v>31</v>
      </c>
      <c r="I240" s="10" t="s">
        <v>435</v>
      </c>
      <c r="J240" s="10" t="s">
        <v>436</v>
      </c>
      <c r="K240" s="35" t="s">
        <v>437</v>
      </c>
      <c r="L240" s="35" t="s">
        <v>106</v>
      </c>
      <c r="M240" s="35" t="s">
        <v>438</v>
      </c>
      <c r="N240" s="35" t="s">
        <v>439</v>
      </c>
      <c r="O240" s="35" t="s">
        <v>125</v>
      </c>
      <c r="P240" s="33">
        <v>8</v>
      </c>
      <c r="Q240" s="33">
        <v>7</v>
      </c>
      <c r="R240" s="32" t="s">
        <v>440</v>
      </c>
      <c r="S240" s="36">
        <v>2280</v>
      </c>
    </row>
    <row r="241" spans="1:19" ht="42" hidden="1" customHeight="1">
      <c r="A241" s="10" t="s">
        <v>215</v>
      </c>
      <c r="B241" s="10" t="s">
        <v>60</v>
      </c>
      <c r="C241" s="10" t="s">
        <v>410</v>
      </c>
      <c r="D241" s="10" t="s">
        <v>103</v>
      </c>
      <c r="E241" s="10" t="s">
        <v>459</v>
      </c>
      <c r="F241" s="11">
        <v>3695.23</v>
      </c>
      <c r="G241" s="21">
        <v>79.25</v>
      </c>
      <c r="H241" s="34" t="s">
        <v>33</v>
      </c>
      <c r="I241" s="10" t="s">
        <v>435</v>
      </c>
      <c r="J241" s="10" t="s">
        <v>436</v>
      </c>
      <c r="K241" s="35" t="s">
        <v>437</v>
      </c>
      <c r="L241" s="35" t="s">
        <v>106</v>
      </c>
      <c r="M241" s="35" t="s">
        <v>438</v>
      </c>
      <c r="N241" s="35" t="s">
        <v>439</v>
      </c>
      <c r="O241" s="35" t="s">
        <v>195</v>
      </c>
      <c r="P241" s="33">
        <v>8</v>
      </c>
      <c r="Q241" s="33">
        <v>7</v>
      </c>
      <c r="R241" s="32" t="s">
        <v>445</v>
      </c>
      <c r="S241" s="36">
        <v>68</v>
      </c>
    </row>
    <row r="242" spans="1:19" ht="42" hidden="1" customHeight="1">
      <c r="A242" s="10" t="s">
        <v>215</v>
      </c>
      <c r="B242" s="10" t="s">
        <v>60</v>
      </c>
      <c r="C242" s="10" t="s">
        <v>410</v>
      </c>
      <c r="D242" s="10" t="s">
        <v>103</v>
      </c>
      <c r="E242" s="10" t="s">
        <v>468</v>
      </c>
      <c r="F242" s="11">
        <v>414.35</v>
      </c>
      <c r="G242" s="21">
        <v>79.25</v>
      </c>
      <c r="H242" s="34" t="s">
        <v>33</v>
      </c>
      <c r="I242" s="10" t="s">
        <v>435</v>
      </c>
      <c r="J242" s="10" t="s">
        <v>436</v>
      </c>
      <c r="K242" s="35" t="s">
        <v>437</v>
      </c>
      <c r="L242" s="35" t="s">
        <v>106</v>
      </c>
      <c r="M242" s="35" t="s">
        <v>438</v>
      </c>
      <c r="N242" s="35" t="s">
        <v>439</v>
      </c>
      <c r="O242" s="35" t="s">
        <v>195</v>
      </c>
      <c r="P242" s="33">
        <v>7</v>
      </c>
      <c r="Q242" s="33">
        <v>6</v>
      </c>
      <c r="R242" s="32" t="s">
        <v>445</v>
      </c>
      <c r="S242" s="36">
        <v>43</v>
      </c>
    </row>
    <row r="243" spans="1:19" ht="42" hidden="1" customHeight="1">
      <c r="A243" s="10" t="s">
        <v>215</v>
      </c>
      <c r="B243" s="10" t="s">
        <v>60</v>
      </c>
      <c r="C243" s="10" t="s">
        <v>410</v>
      </c>
      <c r="D243" s="10" t="s">
        <v>103</v>
      </c>
      <c r="E243" s="10" t="s">
        <v>462</v>
      </c>
      <c r="F243" s="11">
        <v>8266.3799999999992</v>
      </c>
      <c r="G243" s="21">
        <v>76.352031083007802</v>
      </c>
      <c r="H243" s="34" t="s">
        <v>33</v>
      </c>
      <c r="I243" s="10" t="s">
        <v>435</v>
      </c>
      <c r="J243" s="10" t="s">
        <v>441</v>
      </c>
      <c r="K243" s="35" t="s">
        <v>442</v>
      </c>
      <c r="L243" s="35" t="s">
        <v>116</v>
      </c>
      <c r="M243" s="35" t="s">
        <v>443</v>
      </c>
      <c r="N243" s="35" t="s">
        <v>444</v>
      </c>
      <c r="O243" s="35" t="s">
        <v>195</v>
      </c>
      <c r="P243" s="33">
        <v>1</v>
      </c>
      <c r="Q243" s="33">
        <v>1</v>
      </c>
      <c r="R243" s="32" t="s">
        <v>445</v>
      </c>
      <c r="S243" s="36">
        <v>100</v>
      </c>
    </row>
    <row r="244" spans="1:19" ht="42" hidden="1" customHeight="1">
      <c r="A244" s="10" t="s">
        <v>215</v>
      </c>
      <c r="B244" s="10" t="s">
        <v>60</v>
      </c>
      <c r="C244" s="10" t="s">
        <v>410</v>
      </c>
      <c r="D244" s="10" t="s">
        <v>103</v>
      </c>
      <c r="E244" s="10" t="s">
        <v>181</v>
      </c>
      <c r="F244" s="11">
        <v>11348.36</v>
      </c>
      <c r="G244" s="21">
        <v>73.75</v>
      </c>
      <c r="H244" s="34" t="s">
        <v>33</v>
      </c>
      <c r="I244" s="10" t="s">
        <v>435</v>
      </c>
      <c r="J244" s="10" t="s">
        <v>441</v>
      </c>
      <c r="K244" s="35" t="s">
        <v>442</v>
      </c>
      <c r="L244" s="35" t="s">
        <v>116</v>
      </c>
      <c r="M244" s="35" t="s">
        <v>443</v>
      </c>
      <c r="N244" s="35" t="s">
        <v>444</v>
      </c>
      <c r="O244" s="35" t="s">
        <v>195</v>
      </c>
      <c r="P244" s="33">
        <v>1</v>
      </c>
      <c r="Q244" s="33">
        <v>1</v>
      </c>
      <c r="R244" s="32" t="s">
        <v>445</v>
      </c>
      <c r="S244" s="36">
        <v>120</v>
      </c>
    </row>
    <row r="245" spans="1:19" ht="42" hidden="1" customHeight="1">
      <c r="A245" s="10" t="s">
        <v>215</v>
      </c>
      <c r="B245" s="10" t="s">
        <v>60</v>
      </c>
      <c r="C245" s="10" t="s">
        <v>410</v>
      </c>
      <c r="D245" s="10" t="s">
        <v>103</v>
      </c>
      <c r="E245" s="10" t="s">
        <v>115</v>
      </c>
      <c r="F245" s="11">
        <v>10232.969999999999</v>
      </c>
      <c r="G245" s="21">
        <v>73.529969712371766</v>
      </c>
      <c r="H245" s="34" t="s">
        <v>33</v>
      </c>
      <c r="I245" s="10" t="s">
        <v>435</v>
      </c>
      <c r="J245" s="10" t="s">
        <v>441</v>
      </c>
      <c r="K245" s="35" t="s">
        <v>442</v>
      </c>
      <c r="L245" s="35" t="s">
        <v>116</v>
      </c>
      <c r="M245" s="35" t="s">
        <v>443</v>
      </c>
      <c r="N245" s="35" t="s">
        <v>444</v>
      </c>
      <c r="O245" s="35" t="s">
        <v>195</v>
      </c>
      <c r="P245" s="33">
        <v>5</v>
      </c>
      <c r="Q245" s="33">
        <v>4</v>
      </c>
      <c r="R245" s="32" t="s">
        <v>445</v>
      </c>
      <c r="S245" s="36">
        <v>112</v>
      </c>
    </row>
    <row r="246" spans="1:19" ht="42" hidden="1" customHeight="1">
      <c r="A246" s="10" t="s">
        <v>215</v>
      </c>
      <c r="B246" s="10" t="s">
        <v>60</v>
      </c>
      <c r="C246" s="10" t="s">
        <v>410</v>
      </c>
      <c r="D246" s="10" t="s">
        <v>103</v>
      </c>
      <c r="E246" s="10" t="s">
        <v>446</v>
      </c>
      <c r="F246" s="11">
        <v>7876.48</v>
      </c>
      <c r="G246" s="21">
        <v>72.462101858847163</v>
      </c>
      <c r="H246" s="34" t="s">
        <v>33</v>
      </c>
      <c r="I246" s="10" t="s">
        <v>447</v>
      </c>
      <c r="J246" s="10" t="s">
        <v>436</v>
      </c>
      <c r="K246" s="35" t="s">
        <v>448</v>
      </c>
      <c r="L246" s="35" t="s">
        <v>152</v>
      </c>
      <c r="M246" s="35" t="s">
        <v>449</v>
      </c>
      <c r="N246" s="35" t="s">
        <v>450</v>
      </c>
      <c r="O246" s="35" t="s">
        <v>195</v>
      </c>
      <c r="P246" s="33">
        <v>1</v>
      </c>
      <c r="Q246" s="33">
        <v>1</v>
      </c>
      <c r="R246" s="32" t="s">
        <v>451</v>
      </c>
      <c r="S246" s="36">
        <v>40</v>
      </c>
    </row>
    <row r="247" spans="1:19" ht="42" hidden="1" customHeight="1">
      <c r="A247" s="10" t="s">
        <v>215</v>
      </c>
      <c r="B247" s="10" t="s">
        <v>60</v>
      </c>
      <c r="C247" s="10" t="s">
        <v>410</v>
      </c>
      <c r="D247" s="10" t="s">
        <v>103</v>
      </c>
      <c r="E247" s="10" t="s">
        <v>497</v>
      </c>
      <c r="F247" s="11">
        <v>22500.720000000001</v>
      </c>
      <c r="G247" s="21">
        <v>71.5</v>
      </c>
      <c r="H247" s="34" t="s">
        <v>33</v>
      </c>
      <c r="I247" s="10" t="s">
        <v>447</v>
      </c>
      <c r="J247" s="10" t="s">
        <v>441</v>
      </c>
      <c r="K247" s="35" t="s">
        <v>453</v>
      </c>
      <c r="L247" s="35" t="s">
        <v>135</v>
      </c>
      <c r="M247" s="35" t="s">
        <v>454</v>
      </c>
      <c r="N247" s="35" t="s">
        <v>455</v>
      </c>
      <c r="O247" s="35" t="s">
        <v>195</v>
      </c>
      <c r="P247" s="33">
        <v>11</v>
      </c>
      <c r="Q247" s="33">
        <v>10</v>
      </c>
      <c r="R247" s="32" t="s">
        <v>456</v>
      </c>
      <c r="S247" s="36">
        <v>0</v>
      </c>
    </row>
    <row r="248" spans="1:19" ht="42" hidden="1" customHeight="1">
      <c r="A248" s="10" t="s">
        <v>215</v>
      </c>
      <c r="B248" s="10" t="s">
        <v>60</v>
      </c>
      <c r="C248" s="10" t="s">
        <v>410</v>
      </c>
      <c r="D248" s="10" t="s">
        <v>103</v>
      </c>
      <c r="E248" s="10" t="s">
        <v>457</v>
      </c>
      <c r="F248" s="11">
        <v>7202.83</v>
      </c>
      <c r="G248" s="21">
        <v>69</v>
      </c>
      <c r="H248" s="34" t="s">
        <v>33</v>
      </c>
      <c r="I248" s="10" t="s">
        <v>447</v>
      </c>
      <c r="J248" s="10" t="s">
        <v>441</v>
      </c>
      <c r="K248" s="35" t="s">
        <v>453</v>
      </c>
      <c r="L248" s="35" t="s">
        <v>135</v>
      </c>
      <c r="M248" s="35" t="s">
        <v>454</v>
      </c>
      <c r="N248" s="35" t="s">
        <v>455</v>
      </c>
      <c r="O248" s="35" t="s">
        <v>195</v>
      </c>
      <c r="P248" s="33">
        <v>8</v>
      </c>
      <c r="Q248" s="33">
        <v>7</v>
      </c>
      <c r="R248" s="32" t="s">
        <v>456</v>
      </c>
      <c r="S248" s="36">
        <v>0</v>
      </c>
    </row>
    <row r="249" spans="1:19" ht="42" hidden="1" customHeight="1">
      <c r="A249" s="10" t="s">
        <v>215</v>
      </c>
      <c r="B249" s="10" t="s">
        <v>60</v>
      </c>
      <c r="C249" s="10" t="s">
        <v>410</v>
      </c>
      <c r="D249" s="10" t="s">
        <v>103</v>
      </c>
      <c r="E249" s="10" t="s">
        <v>500</v>
      </c>
      <c r="F249" s="11">
        <v>31091.49</v>
      </c>
      <c r="G249" s="21">
        <v>66.5</v>
      </c>
      <c r="H249" s="34" t="s">
        <v>33</v>
      </c>
      <c r="I249" s="10" t="s">
        <v>447</v>
      </c>
      <c r="J249" s="10" t="s">
        <v>471</v>
      </c>
      <c r="K249" s="35" t="s">
        <v>472</v>
      </c>
      <c r="L249" s="35" t="s">
        <v>174</v>
      </c>
      <c r="M249" s="35" t="s">
        <v>473</v>
      </c>
      <c r="N249" s="35" t="s">
        <v>137</v>
      </c>
      <c r="O249" s="35" t="s">
        <v>195</v>
      </c>
      <c r="P249" s="33">
        <v>8</v>
      </c>
      <c r="Q249" s="33">
        <v>7</v>
      </c>
      <c r="R249" s="32" t="s">
        <v>456</v>
      </c>
      <c r="S249" s="36">
        <v>0</v>
      </c>
    </row>
    <row r="250" spans="1:19" ht="42" hidden="1" customHeight="1">
      <c r="A250" s="10" t="s">
        <v>215</v>
      </c>
      <c r="B250" s="10" t="s">
        <v>60</v>
      </c>
      <c r="C250" s="10" t="s">
        <v>410</v>
      </c>
      <c r="D250" s="10" t="s">
        <v>103</v>
      </c>
      <c r="E250" s="10" t="s">
        <v>452</v>
      </c>
      <c r="F250" s="11">
        <v>6587.62</v>
      </c>
      <c r="G250" s="21">
        <v>65</v>
      </c>
      <c r="H250" s="34" t="s">
        <v>33</v>
      </c>
      <c r="I250" s="10" t="s">
        <v>447</v>
      </c>
      <c r="J250" s="10" t="s">
        <v>441</v>
      </c>
      <c r="K250" s="35" t="s">
        <v>453</v>
      </c>
      <c r="L250" s="35" t="s">
        <v>135</v>
      </c>
      <c r="M250" s="35" t="s">
        <v>454</v>
      </c>
      <c r="N250" s="35" t="s">
        <v>455</v>
      </c>
      <c r="O250" s="35" t="s">
        <v>195</v>
      </c>
      <c r="P250" s="33">
        <v>10</v>
      </c>
      <c r="Q250" s="33">
        <v>9</v>
      </c>
      <c r="R250" s="32" t="s">
        <v>456</v>
      </c>
      <c r="S250" s="36">
        <v>0</v>
      </c>
    </row>
    <row r="251" spans="1:19" ht="42" hidden="1" customHeight="1">
      <c r="A251" s="10" t="s">
        <v>111</v>
      </c>
      <c r="B251" s="10" t="s">
        <v>65</v>
      </c>
      <c r="C251" s="10" t="s">
        <v>138</v>
      </c>
      <c r="D251" s="10" t="s">
        <v>103</v>
      </c>
      <c r="E251" s="10" t="s">
        <v>469</v>
      </c>
      <c r="F251" s="11">
        <v>910011.57</v>
      </c>
      <c r="G251" s="21">
        <v>91.200967292390857</v>
      </c>
      <c r="H251" s="34" t="s">
        <v>31</v>
      </c>
      <c r="I251" s="10" t="s">
        <v>447</v>
      </c>
      <c r="J251" s="10" t="s">
        <v>436</v>
      </c>
      <c r="K251" s="35" t="s">
        <v>448</v>
      </c>
      <c r="L251" s="35" t="s">
        <v>152</v>
      </c>
      <c r="M251" s="35" t="s">
        <v>449</v>
      </c>
      <c r="N251" s="35" t="s">
        <v>450</v>
      </c>
      <c r="O251" s="35" t="s">
        <v>125</v>
      </c>
      <c r="P251" s="33">
        <v>1</v>
      </c>
      <c r="Q251" s="33">
        <v>1</v>
      </c>
      <c r="R251" s="32" t="s">
        <v>501</v>
      </c>
      <c r="S251" s="36">
        <v>2254</v>
      </c>
    </row>
    <row r="252" spans="1:19" ht="42" hidden="1" customHeight="1">
      <c r="A252" s="10" t="s">
        <v>111</v>
      </c>
      <c r="B252" s="10" t="s">
        <v>65</v>
      </c>
      <c r="C252" s="10" t="s">
        <v>138</v>
      </c>
      <c r="D252" s="10" t="s">
        <v>103</v>
      </c>
      <c r="E252" s="10" t="s">
        <v>151</v>
      </c>
      <c r="F252" s="11">
        <v>251359.49</v>
      </c>
      <c r="G252" s="21">
        <v>86.216129184412011</v>
      </c>
      <c r="H252" s="34" t="s">
        <v>31</v>
      </c>
      <c r="I252" s="10" t="s">
        <v>447</v>
      </c>
      <c r="J252" s="10" t="s">
        <v>436</v>
      </c>
      <c r="K252" s="35" t="s">
        <v>448</v>
      </c>
      <c r="L252" s="35" t="s">
        <v>152</v>
      </c>
      <c r="M252" s="35" t="s">
        <v>449</v>
      </c>
      <c r="N252" s="35" t="s">
        <v>450</v>
      </c>
      <c r="O252" s="35" t="s">
        <v>125</v>
      </c>
      <c r="P252" s="33">
        <v>6</v>
      </c>
      <c r="Q252" s="33">
        <v>5</v>
      </c>
      <c r="R252" s="32" t="s">
        <v>501</v>
      </c>
      <c r="S252" s="36">
        <v>618</v>
      </c>
    </row>
    <row r="253" spans="1:19" ht="42" hidden="1" customHeight="1">
      <c r="A253" s="10" t="s">
        <v>111</v>
      </c>
      <c r="B253" s="10" t="s">
        <v>65</v>
      </c>
      <c r="C253" s="10" t="s">
        <v>138</v>
      </c>
      <c r="D253" s="10" t="s">
        <v>103</v>
      </c>
      <c r="E253" s="10" t="s">
        <v>482</v>
      </c>
      <c r="F253" s="11">
        <v>259896.88</v>
      </c>
      <c r="G253" s="21">
        <v>86.204499800427357</v>
      </c>
      <c r="H253" s="34" t="s">
        <v>31</v>
      </c>
      <c r="I253" s="10" t="s">
        <v>447</v>
      </c>
      <c r="J253" s="10" t="s">
        <v>436</v>
      </c>
      <c r="K253" s="35" t="s">
        <v>448</v>
      </c>
      <c r="L253" s="35" t="s">
        <v>152</v>
      </c>
      <c r="M253" s="35" t="s">
        <v>449</v>
      </c>
      <c r="N253" s="35" t="s">
        <v>450</v>
      </c>
      <c r="O253" s="35" t="s">
        <v>125</v>
      </c>
      <c r="P253" s="33">
        <v>5</v>
      </c>
      <c r="Q253" s="33">
        <v>4</v>
      </c>
      <c r="R253" s="32" t="s">
        <v>501</v>
      </c>
      <c r="S253" s="36">
        <v>637</v>
      </c>
    </row>
    <row r="254" spans="1:19" ht="42" hidden="1" customHeight="1">
      <c r="A254" s="10" t="s">
        <v>111</v>
      </c>
      <c r="B254" s="10" t="s">
        <v>65</v>
      </c>
      <c r="C254" s="10" t="s">
        <v>138</v>
      </c>
      <c r="D254" s="10" t="s">
        <v>103</v>
      </c>
      <c r="E254" s="10" t="s">
        <v>464</v>
      </c>
      <c r="F254" s="11">
        <v>46196.63</v>
      </c>
      <c r="G254" s="21">
        <v>80.248742920880659</v>
      </c>
      <c r="H254" s="34" t="s">
        <v>31</v>
      </c>
      <c r="I254" s="10" t="s">
        <v>502</v>
      </c>
      <c r="J254" s="10" t="s">
        <v>436</v>
      </c>
      <c r="K254" s="35" t="s">
        <v>503</v>
      </c>
      <c r="L254" s="35" t="s">
        <v>141</v>
      </c>
      <c r="M254" s="35" t="s">
        <v>504</v>
      </c>
      <c r="N254" s="35" t="s">
        <v>505</v>
      </c>
      <c r="O254" s="35" t="s">
        <v>125</v>
      </c>
      <c r="P254" s="33">
        <v>7</v>
      </c>
      <c r="Q254" s="33">
        <v>6</v>
      </c>
      <c r="R254" s="32" t="s">
        <v>506</v>
      </c>
      <c r="S254" s="36">
        <v>3492</v>
      </c>
    </row>
    <row r="255" spans="1:19" ht="42" hidden="1" customHeight="1">
      <c r="A255" s="10" t="s">
        <v>111</v>
      </c>
      <c r="B255" s="10" t="s">
        <v>65</v>
      </c>
      <c r="C255" s="10" t="s">
        <v>138</v>
      </c>
      <c r="D255" s="10" t="s">
        <v>103</v>
      </c>
      <c r="E255" s="10" t="s">
        <v>193</v>
      </c>
      <c r="F255" s="11">
        <v>52805.96</v>
      </c>
      <c r="G255" s="21">
        <v>77.585273425396053</v>
      </c>
      <c r="H255" s="34" t="s">
        <v>33</v>
      </c>
      <c r="I255" s="10" t="s">
        <v>502</v>
      </c>
      <c r="J255" s="10" t="s">
        <v>441</v>
      </c>
      <c r="K255" s="35" t="s">
        <v>507</v>
      </c>
      <c r="L255" s="35" t="s">
        <v>508</v>
      </c>
      <c r="M255" s="35" t="s">
        <v>509</v>
      </c>
      <c r="N255" s="35" t="s">
        <v>510</v>
      </c>
      <c r="O255" s="35" t="s">
        <v>195</v>
      </c>
      <c r="P255" s="33">
        <v>12</v>
      </c>
      <c r="Q255" s="33">
        <v>11</v>
      </c>
      <c r="R255" s="32" t="s">
        <v>481</v>
      </c>
      <c r="S255" s="36">
        <v>199</v>
      </c>
    </row>
    <row r="256" spans="1:19" ht="42" hidden="1" customHeight="1">
      <c r="A256" s="10" t="s">
        <v>111</v>
      </c>
      <c r="B256" s="10" t="s">
        <v>65</v>
      </c>
      <c r="C256" s="10" t="s">
        <v>138</v>
      </c>
      <c r="D256" s="10" t="s">
        <v>103</v>
      </c>
      <c r="E256" s="10" t="s">
        <v>462</v>
      </c>
      <c r="F256" s="11">
        <v>37136.53</v>
      </c>
      <c r="G256" s="21">
        <v>68.852031083007802</v>
      </c>
      <c r="H256" s="34" t="s">
        <v>33</v>
      </c>
      <c r="I256" s="10" t="s">
        <v>447</v>
      </c>
      <c r="J256" s="10" t="s">
        <v>441</v>
      </c>
      <c r="K256" s="35" t="s">
        <v>453</v>
      </c>
      <c r="L256" s="35" t="s">
        <v>135</v>
      </c>
      <c r="M256" s="35" t="s">
        <v>454</v>
      </c>
      <c r="N256" s="35" t="s">
        <v>455</v>
      </c>
      <c r="O256" s="35" t="s">
        <v>195</v>
      </c>
      <c r="P256" s="33">
        <v>3</v>
      </c>
      <c r="Q256" s="33">
        <v>2</v>
      </c>
      <c r="R256" s="32" t="s">
        <v>456</v>
      </c>
      <c r="S256" s="36">
        <v>0</v>
      </c>
    </row>
    <row r="257" spans="1:19" ht="42" hidden="1" customHeight="1">
      <c r="A257" s="10" t="s">
        <v>275</v>
      </c>
      <c r="B257" s="10" t="s">
        <v>67</v>
      </c>
      <c r="C257" s="10" t="s">
        <v>373</v>
      </c>
      <c r="D257" s="10" t="s">
        <v>127</v>
      </c>
      <c r="E257" s="10" t="s">
        <v>375</v>
      </c>
      <c r="F257" s="11">
        <v>54573.47</v>
      </c>
      <c r="G257" s="21">
        <v>96.25</v>
      </c>
      <c r="H257" s="34" t="s">
        <v>31</v>
      </c>
      <c r="I257" s="10" t="s">
        <v>435</v>
      </c>
      <c r="J257" s="10" t="s">
        <v>436</v>
      </c>
      <c r="K257" s="35" t="s">
        <v>437</v>
      </c>
      <c r="L257" s="35" t="s">
        <v>106</v>
      </c>
      <c r="M257" s="35" t="s">
        <v>438</v>
      </c>
      <c r="N257" s="35" t="s">
        <v>439</v>
      </c>
      <c r="O257" s="35" t="s">
        <v>125</v>
      </c>
      <c r="P257" s="33">
        <v>9</v>
      </c>
      <c r="Q257" s="33">
        <v>8</v>
      </c>
      <c r="R257" s="32" t="s">
        <v>460</v>
      </c>
      <c r="S257" s="36">
        <v>3500</v>
      </c>
    </row>
    <row r="258" spans="1:19" ht="42" hidden="1" customHeight="1">
      <c r="A258" s="10" t="s">
        <v>275</v>
      </c>
      <c r="B258" s="10" t="s">
        <v>67</v>
      </c>
      <c r="C258" s="10" t="s">
        <v>373</v>
      </c>
      <c r="D258" s="10" t="s">
        <v>127</v>
      </c>
      <c r="E258" s="10" t="s">
        <v>213</v>
      </c>
      <c r="F258" s="11">
        <v>47962.14</v>
      </c>
      <c r="G258" s="21">
        <v>87.5</v>
      </c>
      <c r="H258" s="34" t="s">
        <v>31</v>
      </c>
      <c r="I258" s="10" t="s">
        <v>447</v>
      </c>
      <c r="J258" s="10" t="s">
        <v>436</v>
      </c>
      <c r="K258" s="35" t="s">
        <v>448</v>
      </c>
      <c r="L258" s="35" t="s">
        <v>152</v>
      </c>
      <c r="M258" s="35" t="s">
        <v>449</v>
      </c>
      <c r="N258" s="35" t="s">
        <v>450</v>
      </c>
      <c r="O258" s="35" t="s">
        <v>125</v>
      </c>
      <c r="P258" s="33">
        <v>12</v>
      </c>
      <c r="Q258" s="33">
        <v>11</v>
      </c>
      <c r="R258" s="32" t="s">
        <v>456</v>
      </c>
      <c r="S258" s="36">
        <v>0</v>
      </c>
    </row>
    <row r="259" spans="1:19" ht="42" hidden="1" customHeight="1">
      <c r="A259" s="10" t="s">
        <v>275</v>
      </c>
      <c r="B259" s="10" t="s">
        <v>67</v>
      </c>
      <c r="C259" s="10" t="s">
        <v>373</v>
      </c>
      <c r="D259" s="10" t="s">
        <v>127</v>
      </c>
      <c r="E259" s="10" t="s">
        <v>462</v>
      </c>
      <c r="F259" s="11">
        <v>6462.74</v>
      </c>
      <c r="G259" s="21">
        <v>72.602031083007802</v>
      </c>
      <c r="H259" s="34" t="s">
        <v>33</v>
      </c>
      <c r="I259" s="10" t="s">
        <v>447</v>
      </c>
      <c r="J259" s="10" t="s">
        <v>441</v>
      </c>
      <c r="K259" s="35" t="s">
        <v>453</v>
      </c>
      <c r="L259" s="35" t="s">
        <v>135</v>
      </c>
      <c r="M259" s="35" t="s">
        <v>454</v>
      </c>
      <c r="N259" s="35" t="s">
        <v>455</v>
      </c>
      <c r="O259" s="35" t="s">
        <v>195</v>
      </c>
      <c r="P259" s="33">
        <v>9</v>
      </c>
      <c r="Q259" s="33">
        <v>8</v>
      </c>
      <c r="R259" s="32" t="s">
        <v>456</v>
      </c>
      <c r="S259" s="36">
        <v>0</v>
      </c>
    </row>
    <row r="260" spans="1:19" ht="42" hidden="1" customHeight="1">
      <c r="A260" s="10" t="s">
        <v>111</v>
      </c>
      <c r="B260" s="10" t="s">
        <v>65</v>
      </c>
      <c r="C260" s="10" t="s">
        <v>144</v>
      </c>
      <c r="D260" s="10" t="s">
        <v>103</v>
      </c>
      <c r="E260" s="10" t="s">
        <v>469</v>
      </c>
      <c r="F260" s="11">
        <v>1270306.42</v>
      </c>
      <c r="G260" s="21">
        <v>91.200967292390857</v>
      </c>
      <c r="H260" s="34" t="s">
        <v>31</v>
      </c>
      <c r="I260" s="10" t="s">
        <v>447</v>
      </c>
      <c r="J260" s="10" t="s">
        <v>436</v>
      </c>
      <c r="K260" s="35" t="s">
        <v>448</v>
      </c>
      <c r="L260" s="35" t="s">
        <v>152</v>
      </c>
      <c r="M260" s="35" t="s">
        <v>449</v>
      </c>
      <c r="N260" s="35" t="s">
        <v>450</v>
      </c>
      <c r="O260" s="35" t="s">
        <v>125</v>
      </c>
      <c r="P260" s="33">
        <v>5</v>
      </c>
      <c r="Q260" s="33">
        <v>4</v>
      </c>
      <c r="R260" s="32" t="s">
        <v>501</v>
      </c>
      <c r="S260" s="36">
        <v>2101</v>
      </c>
    </row>
    <row r="261" spans="1:19" ht="42" hidden="1" customHeight="1">
      <c r="A261" s="10" t="s">
        <v>111</v>
      </c>
      <c r="B261" s="10" t="s">
        <v>65</v>
      </c>
      <c r="C261" s="10" t="s">
        <v>144</v>
      </c>
      <c r="D261" s="10" t="s">
        <v>103</v>
      </c>
      <c r="E261" s="10" t="s">
        <v>213</v>
      </c>
      <c r="F261" s="11">
        <v>276601.13</v>
      </c>
      <c r="G261" s="21">
        <v>86.25</v>
      </c>
      <c r="H261" s="34" t="s">
        <v>31</v>
      </c>
      <c r="I261" s="10" t="s">
        <v>447</v>
      </c>
      <c r="J261" s="10" t="s">
        <v>436</v>
      </c>
      <c r="K261" s="35" t="s">
        <v>448</v>
      </c>
      <c r="L261" s="35" t="s">
        <v>152</v>
      </c>
      <c r="M261" s="35" t="s">
        <v>449</v>
      </c>
      <c r="N261" s="35" t="s">
        <v>450</v>
      </c>
      <c r="O261" s="35" t="s">
        <v>125</v>
      </c>
      <c r="P261" s="33">
        <v>2</v>
      </c>
      <c r="Q261" s="33">
        <v>1</v>
      </c>
      <c r="R261" s="32" t="s">
        <v>501</v>
      </c>
      <c r="S261" s="36">
        <v>464</v>
      </c>
    </row>
    <row r="262" spans="1:19" ht="42" hidden="1" customHeight="1">
      <c r="A262" s="10" t="s">
        <v>111</v>
      </c>
      <c r="B262" s="10" t="s">
        <v>65</v>
      </c>
      <c r="C262" s="10" t="s">
        <v>144</v>
      </c>
      <c r="D262" s="10" t="s">
        <v>103</v>
      </c>
      <c r="E262" s="10" t="s">
        <v>482</v>
      </c>
      <c r="F262" s="11">
        <v>574576.18000000005</v>
      </c>
      <c r="G262" s="21">
        <v>86.204499800427357</v>
      </c>
      <c r="H262" s="34" t="s">
        <v>31</v>
      </c>
      <c r="I262" s="10" t="s">
        <v>447</v>
      </c>
      <c r="J262" s="10" t="s">
        <v>436</v>
      </c>
      <c r="K262" s="35" t="s">
        <v>448</v>
      </c>
      <c r="L262" s="35" t="s">
        <v>152</v>
      </c>
      <c r="M262" s="35" t="s">
        <v>449</v>
      </c>
      <c r="N262" s="35" t="s">
        <v>450</v>
      </c>
      <c r="O262" s="35" t="s">
        <v>125</v>
      </c>
      <c r="P262" s="33">
        <v>2</v>
      </c>
      <c r="Q262" s="33">
        <v>1</v>
      </c>
      <c r="R262" s="32" t="s">
        <v>501</v>
      </c>
      <c r="S262" s="36">
        <v>921</v>
      </c>
    </row>
    <row r="263" spans="1:19" ht="42" hidden="1" customHeight="1">
      <c r="A263" s="10" t="s">
        <v>111</v>
      </c>
      <c r="B263" s="10" t="s">
        <v>65</v>
      </c>
      <c r="C263" s="10" t="s">
        <v>144</v>
      </c>
      <c r="D263" s="10" t="s">
        <v>103</v>
      </c>
      <c r="E263" s="10" t="s">
        <v>464</v>
      </c>
      <c r="F263" s="11">
        <v>20904.419999999998</v>
      </c>
      <c r="G263" s="21">
        <v>80.248742920880659</v>
      </c>
      <c r="H263" s="34" t="s">
        <v>31</v>
      </c>
      <c r="I263" s="10" t="s">
        <v>502</v>
      </c>
      <c r="J263" s="10" t="s">
        <v>436</v>
      </c>
      <c r="K263" s="35" t="s">
        <v>503</v>
      </c>
      <c r="L263" s="35" t="s">
        <v>141</v>
      </c>
      <c r="M263" s="35" t="s">
        <v>504</v>
      </c>
      <c r="N263" s="35" t="s">
        <v>505</v>
      </c>
      <c r="O263" s="35" t="s">
        <v>125</v>
      </c>
      <c r="P263" s="33">
        <v>12</v>
      </c>
      <c r="Q263" s="33">
        <v>11</v>
      </c>
      <c r="R263" s="32" t="s">
        <v>506</v>
      </c>
      <c r="S263" s="36">
        <v>3349</v>
      </c>
    </row>
    <row r="264" spans="1:19" ht="42" hidden="1" customHeight="1">
      <c r="A264" s="10" t="s">
        <v>111</v>
      </c>
      <c r="B264" s="10" t="s">
        <v>65</v>
      </c>
      <c r="C264" s="10" t="s">
        <v>144</v>
      </c>
      <c r="D264" s="10" t="s">
        <v>103</v>
      </c>
      <c r="E264" s="10" t="s">
        <v>151</v>
      </c>
      <c r="F264" s="11">
        <v>188515.33</v>
      </c>
      <c r="G264" s="21">
        <v>79.966129184412011</v>
      </c>
      <c r="H264" s="34" t="s">
        <v>33</v>
      </c>
      <c r="I264" s="10" t="s">
        <v>447</v>
      </c>
      <c r="J264" s="10" t="s">
        <v>436</v>
      </c>
      <c r="K264" s="35" t="s">
        <v>448</v>
      </c>
      <c r="L264" s="35" t="s">
        <v>152</v>
      </c>
      <c r="M264" s="35" t="s">
        <v>449</v>
      </c>
      <c r="N264" s="35" t="s">
        <v>450</v>
      </c>
      <c r="O264" s="35" t="s">
        <v>195</v>
      </c>
      <c r="P264" s="33">
        <v>6</v>
      </c>
      <c r="Q264" s="33">
        <v>5</v>
      </c>
      <c r="R264" s="32" t="s">
        <v>451</v>
      </c>
      <c r="S264" s="36">
        <v>94</v>
      </c>
    </row>
    <row r="265" spans="1:19" ht="42" hidden="1" customHeight="1">
      <c r="A265" s="10" t="s">
        <v>111</v>
      </c>
      <c r="B265" s="10" t="s">
        <v>65</v>
      </c>
      <c r="C265" s="10" t="s">
        <v>144</v>
      </c>
      <c r="D265" s="10" t="s">
        <v>103</v>
      </c>
      <c r="E265" s="10" t="s">
        <v>193</v>
      </c>
      <c r="F265" s="11">
        <v>82664.7</v>
      </c>
      <c r="G265" s="21">
        <v>77.585273425396053</v>
      </c>
      <c r="H265" s="34" t="s">
        <v>33</v>
      </c>
      <c r="I265" s="10" t="s">
        <v>502</v>
      </c>
      <c r="J265" s="10" t="s">
        <v>441</v>
      </c>
      <c r="K265" s="35" t="s">
        <v>507</v>
      </c>
      <c r="L265" s="35" t="s">
        <v>508</v>
      </c>
      <c r="M265" s="35" t="s">
        <v>509</v>
      </c>
      <c r="N265" s="35" t="s">
        <v>510</v>
      </c>
      <c r="O265" s="35" t="s">
        <v>195</v>
      </c>
      <c r="P265" s="33">
        <v>2</v>
      </c>
      <c r="Q265" s="33">
        <v>1</v>
      </c>
      <c r="R265" s="32" t="s">
        <v>481</v>
      </c>
      <c r="S265" s="36">
        <v>271</v>
      </c>
    </row>
    <row r="266" spans="1:19" ht="42" hidden="1" customHeight="1">
      <c r="A266" s="10" t="s">
        <v>111</v>
      </c>
      <c r="B266" s="10" t="s">
        <v>65</v>
      </c>
      <c r="C266" s="10" t="s">
        <v>144</v>
      </c>
      <c r="D266" s="10" t="s">
        <v>103</v>
      </c>
      <c r="E266" s="10" t="s">
        <v>462</v>
      </c>
      <c r="F266" s="11">
        <v>81616.42</v>
      </c>
      <c r="G266" s="21">
        <v>68.852031083007802</v>
      </c>
      <c r="H266" s="34" t="s">
        <v>33</v>
      </c>
      <c r="I266" s="10" t="s">
        <v>447</v>
      </c>
      <c r="J266" s="10" t="s">
        <v>441</v>
      </c>
      <c r="K266" s="35" t="s">
        <v>453</v>
      </c>
      <c r="L266" s="35" t="s">
        <v>135</v>
      </c>
      <c r="M266" s="35" t="s">
        <v>454</v>
      </c>
      <c r="N266" s="35" t="s">
        <v>455</v>
      </c>
      <c r="O266" s="35" t="s">
        <v>195</v>
      </c>
      <c r="P266" s="33">
        <v>11</v>
      </c>
      <c r="Q266" s="33">
        <v>10</v>
      </c>
      <c r="R266" s="32" t="s">
        <v>456</v>
      </c>
      <c r="S266" s="36">
        <v>0</v>
      </c>
    </row>
    <row r="267" spans="1:19" ht="42" hidden="1" customHeight="1">
      <c r="A267" s="10" t="s">
        <v>111</v>
      </c>
      <c r="B267" s="10" t="s">
        <v>227</v>
      </c>
      <c r="C267" s="10" t="s">
        <v>228</v>
      </c>
      <c r="D267" s="10" t="s">
        <v>113</v>
      </c>
      <c r="E267" s="10" t="s">
        <v>469</v>
      </c>
      <c r="F267" s="11">
        <v>98046.399999999994</v>
      </c>
      <c r="G267" s="21">
        <v>84.950967292390857</v>
      </c>
      <c r="H267" s="34" t="s">
        <v>31</v>
      </c>
      <c r="I267" s="10" t="s">
        <v>447</v>
      </c>
      <c r="J267" s="10" t="s">
        <v>436</v>
      </c>
      <c r="K267" s="35" t="s">
        <v>448</v>
      </c>
      <c r="L267" s="35" t="s">
        <v>152</v>
      </c>
      <c r="M267" s="35" t="s">
        <v>449</v>
      </c>
      <c r="N267" s="35" t="s">
        <v>450</v>
      </c>
      <c r="O267" s="35" t="s">
        <v>125</v>
      </c>
      <c r="P267" s="33">
        <v>4</v>
      </c>
      <c r="Q267" s="33">
        <v>3</v>
      </c>
      <c r="R267" s="32" t="s">
        <v>456</v>
      </c>
      <c r="S267" s="36">
        <v>0</v>
      </c>
    </row>
    <row r="268" spans="1:19" ht="42" hidden="1" customHeight="1">
      <c r="A268" s="10" t="s">
        <v>111</v>
      </c>
      <c r="B268" s="10" t="s">
        <v>227</v>
      </c>
      <c r="C268" s="10" t="s">
        <v>228</v>
      </c>
      <c r="D268" s="10" t="s">
        <v>113</v>
      </c>
      <c r="E268" s="10" t="s">
        <v>482</v>
      </c>
      <c r="F268" s="11">
        <v>7077.27</v>
      </c>
      <c r="G268" s="21">
        <v>84.454499800427357</v>
      </c>
      <c r="H268" s="34" t="s">
        <v>31</v>
      </c>
      <c r="I268" s="10" t="s">
        <v>435</v>
      </c>
      <c r="J268" s="10" t="s">
        <v>441</v>
      </c>
      <c r="K268" s="35" t="s">
        <v>442</v>
      </c>
      <c r="L268" s="35" t="s">
        <v>116</v>
      </c>
      <c r="M268" s="35" t="s">
        <v>443</v>
      </c>
      <c r="N268" s="35" t="s">
        <v>444</v>
      </c>
      <c r="O268" s="35" t="s">
        <v>125</v>
      </c>
      <c r="P268" s="33">
        <v>4</v>
      </c>
      <c r="Q268" s="33">
        <v>3</v>
      </c>
      <c r="R268" s="32" t="s">
        <v>460</v>
      </c>
      <c r="S268" s="36">
        <v>3342</v>
      </c>
    </row>
    <row r="269" spans="1:19" ht="42" hidden="1" customHeight="1">
      <c r="A269" s="10" t="s">
        <v>111</v>
      </c>
      <c r="B269" s="10" t="s">
        <v>227</v>
      </c>
      <c r="C269" s="10" t="s">
        <v>228</v>
      </c>
      <c r="D269" s="10" t="s">
        <v>113</v>
      </c>
      <c r="E269" s="10" t="s">
        <v>115</v>
      </c>
      <c r="F269" s="11">
        <v>5612.79</v>
      </c>
      <c r="G269" s="21">
        <v>84.029969712371766</v>
      </c>
      <c r="H269" s="34" t="s">
        <v>31</v>
      </c>
      <c r="I269" s="10" t="s">
        <v>502</v>
      </c>
      <c r="J269" s="10" t="s">
        <v>436</v>
      </c>
      <c r="K269" s="35" t="s">
        <v>503</v>
      </c>
      <c r="L269" s="35" t="s">
        <v>141</v>
      </c>
      <c r="M269" s="35" t="s">
        <v>504</v>
      </c>
      <c r="N269" s="35" t="s">
        <v>505</v>
      </c>
      <c r="O269" s="35" t="s">
        <v>125</v>
      </c>
      <c r="P269" s="33">
        <v>4</v>
      </c>
      <c r="Q269" s="33">
        <v>3</v>
      </c>
      <c r="R269" s="32" t="s">
        <v>461</v>
      </c>
      <c r="S269" s="36">
        <v>117</v>
      </c>
    </row>
    <row r="270" spans="1:19" ht="42" hidden="1" customHeight="1">
      <c r="A270" s="10" t="s">
        <v>111</v>
      </c>
      <c r="B270" s="10" t="s">
        <v>227</v>
      </c>
      <c r="C270" s="10" t="s">
        <v>228</v>
      </c>
      <c r="D270" s="10" t="s">
        <v>113</v>
      </c>
      <c r="E270" s="10" t="s">
        <v>375</v>
      </c>
      <c r="F270" s="11">
        <v>1556.69</v>
      </c>
      <c r="G270" s="21">
        <v>75</v>
      </c>
      <c r="H270" s="34" t="s">
        <v>33</v>
      </c>
      <c r="I270" s="10" t="s">
        <v>435</v>
      </c>
      <c r="J270" s="10" t="s">
        <v>436</v>
      </c>
      <c r="K270" s="35" t="s">
        <v>437</v>
      </c>
      <c r="L270" s="35" t="s">
        <v>106</v>
      </c>
      <c r="M270" s="35" t="s">
        <v>438</v>
      </c>
      <c r="N270" s="35" t="s">
        <v>439</v>
      </c>
      <c r="O270" s="35" t="s">
        <v>195</v>
      </c>
      <c r="P270" s="33">
        <v>4</v>
      </c>
      <c r="Q270" s="33">
        <v>3</v>
      </c>
      <c r="R270" s="32" t="s">
        <v>461</v>
      </c>
      <c r="S270" s="36">
        <v>41</v>
      </c>
    </row>
    <row r="271" spans="1:19" ht="42" hidden="1" customHeight="1">
      <c r="A271" s="10" t="s">
        <v>111</v>
      </c>
      <c r="B271" s="10" t="s">
        <v>60</v>
      </c>
      <c r="C271" s="10" t="s">
        <v>148</v>
      </c>
      <c r="D271" s="10" t="s">
        <v>149</v>
      </c>
      <c r="E271" s="10" t="s">
        <v>151</v>
      </c>
      <c r="F271" s="11">
        <v>5810.63</v>
      </c>
      <c r="G271" s="21">
        <v>73.716129184412011</v>
      </c>
      <c r="H271" s="34" t="s">
        <v>33</v>
      </c>
      <c r="I271" s="10" t="s">
        <v>447</v>
      </c>
      <c r="J271" s="10" t="s">
        <v>436</v>
      </c>
      <c r="K271" s="35" t="s">
        <v>448</v>
      </c>
      <c r="L271" s="35" t="s">
        <v>152</v>
      </c>
      <c r="M271" s="35" t="s">
        <v>449</v>
      </c>
      <c r="N271" s="35" t="s">
        <v>450</v>
      </c>
      <c r="O271" s="35" t="s">
        <v>195</v>
      </c>
      <c r="P271" s="33">
        <v>2</v>
      </c>
      <c r="Q271" s="33">
        <v>1</v>
      </c>
      <c r="R271" s="32" t="s">
        <v>463</v>
      </c>
      <c r="S271" s="36">
        <v>0</v>
      </c>
    </row>
    <row r="272" spans="1:19" ht="42" hidden="1" customHeight="1">
      <c r="A272" s="10" t="s">
        <v>119</v>
      </c>
      <c r="B272" s="10" t="s">
        <v>156</v>
      </c>
      <c r="C272" s="10" t="s">
        <v>157</v>
      </c>
      <c r="D272" s="10" t="s">
        <v>127</v>
      </c>
      <c r="E272" s="10" t="s">
        <v>213</v>
      </c>
      <c r="F272" s="11">
        <v>102052.27</v>
      </c>
      <c r="G272" s="21">
        <v>87.5</v>
      </c>
      <c r="H272" s="34" t="s">
        <v>31</v>
      </c>
      <c r="I272" s="10" t="s">
        <v>447</v>
      </c>
      <c r="J272" s="10" t="s">
        <v>436</v>
      </c>
      <c r="K272" s="35" t="s">
        <v>448</v>
      </c>
      <c r="L272" s="35" t="s">
        <v>152</v>
      </c>
      <c r="M272" s="35" t="s">
        <v>449</v>
      </c>
      <c r="N272" s="35" t="s">
        <v>450</v>
      </c>
      <c r="O272" s="35" t="s">
        <v>125</v>
      </c>
      <c r="P272" s="33">
        <v>3</v>
      </c>
      <c r="Q272" s="33">
        <v>2</v>
      </c>
      <c r="R272" s="32" t="s">
        <v>451</v>
      </c>
      <c r="S272" s="36">
        <v>1300</v>
      </c>
    </row>
    <row r="273" spans="1:19" ht="42" hidden="1" customHeight="1">
      <c r="A273" s="10" t="s">
        <v>119</v>
      </c>
      <c r="B273" s="10" t="s">
        <v>156</v>
      </c>
      <c r="C273" s="10" t="s">
        <v>157</v>
      </c>
      <c r="D273" s="10" t="s">
        <v>127</v>
      </c>
      <c r="E273" s="10" t="s">
        <v>462</v>
      </c>
      <c r="F273" s="11">
        <v>39641.49</v>
      </c>
      <c r="G273" s="21">
        <v>73.352031083007802</v>
      </c>
      <c r="H273" s="34" t="s">
        <v>33</v>
      </c>
      <c r="I273" s="10" t="s">
        <v>447</v>
      </c>
      <c r="J273" s="10" t="s">
        <v>471</v>
      </c>
      <c r="K273" s="35" t="s">
        <v>472</v>
      </c>
      <c r="L273" s="35" t="s">
        <v>174</v>
      </c>
      <c r="M273" s="35" t="s">
        <v>473</v>
      </c>
      <c r="N273" s="35" t="s">
        <v>137</v>
      </c>
      <c r="O273" s="35" t="s">
        <v>195</v>
      </c>
      <c r="P273" s="33">
        <v>3</v>
      </c>
      <c r="Q273" s="33">
        <v>2</v>
      </c>
      <c r="R273" s="32" t="s">
        <v>492</v>
      </c>
      <c r="S273" s="36">
        <v>3000</v>
      </c>
    </row>
    <row r="274" spans="1:19" ht="42" hidden="1" customHeight="1">
      <c r="A274" s="10" t="s">
        <v>111</v>
      </c>
      <c r="B274" s="10" t="s">
        <v>60</v>
      </c>
      <c r="C274" s="10" t="s">
        <v>357</v>
      </c>
      <c r="D274" s="10" t="s">
        <v>113</v>
      </c>
      <c r="E274" s="10" t="s">
        <v>151</v>
      </c>
      <c r="F274" s="11">
        <v>11320.22</v>
      </c>
      <c r="G274" s="21">
        <v>84.966129184412011</v>
      </c>
      <c r="H274" s="34" t="s">
        <v>31</v>
      </c>
      <c r="I274" s="10" t="s">
        <v>447</v>
      </c>
      <c r="J274" s="10" t="s">
        <v>436</v>
      </c>
      <c r="K274" s="35" t="s">
        <v>448</v>
      </c>
      <c r="L274" s="35" t="s">
        <v>152</v>
      </c>
      <c r="M274" s="35" t="s">
        <v>449</v>
      </c>
      <c r="N274" s="35" t="s">
        <v>450</v>
      </c>
      <c r="O274" s="35" t="s">
        <v>125</v>
      </c>
      <c r="P274" s="33">
        <v>8</v>
      </c>
      <c r="Q274" s="33">
        <v>7</v>
      </c>
      <c r="R274" s="32" t="s">
        <v>451</v>
      </c>
      <c r="S274" s="36">
        <v>745</v>
      </c>
    </row>
    <row r="275" spans="1:19" ht="42" hidden="1" customHeight="1">
      <c r="A275" s="10" t="s">
        <v>111</v>
      </c>
      <c r="B275" s="10" t="s">
        <v>60</v>
      </c>
      <c r="C275" s="10" t="s">
        <v>357</v>
      </c>
      <c r="D275" s="10" t="s">
        <v>113</v>
      </c>
      <c r="E275" s="10" t="s">
        <v>457</v>
      </c>
      <c r="F275" s="11">
        <v>5154.7700000000004</v>
      </c>
      <c r="G275" s="21">
        <v>81.5</v>
      </c>
      <c r="H275" s="34" t="s">
        <v>31</v>
      </c>
      <c r="I275" s="10" t="s">
        <v>447</v>
      </c>
      <c r="J275" s="10" t="s">
        <v>441</v>
      </c>
      <c r="K275" s="35" t="s">
        <v>453</v>
      </c>
      <c r="L275" s="35" t="s">
        <v>135</v>
      </c>
      <c r="M275" s="35" t="s">
        <v>454</v>
      </c>
      <c r="N275" s="35" t="s">
        <v>455</v>
      </c>
      <c r="O275" s="35" t="s">
        <v>125</v>
      </c>
      <c r="P275" s="33">
        <v>6</v>
      </c>
      <c r="Q275" s="33">
        <v>5</v>
      </c>
      <c r="R275" s="32" t="s">
        <v>456</v>
      </c>
      <c r="S275" s="36">
        <v>0</v>
      </c>
    </row>
    <row r="276" spans="1:19" ht="42" hidden="1" customHeight="1">
      <c r="A276" s="10" t="s">
        <v>111</v>
      </c>
      <c r="B276" s="10" t="s">
        <v>60</v>
      </c>
      <c r="C276" s="10" t="s">
        <v>357</v>
      </c>
      <c r="D276" s="10" t="s">
        <v>113</v>
      </c>
      <c r="E276" s="10" t="s">
        <v>464</v>
      </c>
      <c r="F276" s="11">
        <v>578.52</v>
      </c>
      <c r="G276" s="21">
        <v>80.248742920880659</v>
      </c>
      <c r="H276" s="34" t="s">
        <v>31</v>
      </c>
      <c r="I276" s="10" t="s">
        <v>447</v>
      </c>
      <c r="J276" s="10" t="s">
        <v>436</v>
      </c>
      <c r="K276" s="35" t="s">
        <v>448</v>
      </c>
      <c r="L276" s="35" t="s">
        <v>152</v>
      </c>
      <c r="M276" s="35" t="s">
        <v>449</v>
      </c>
      <c r="N276" s="35" t="s">
        <v>450</v>
      </c>
      <c r="O276" s="35" t="s">
        <v>125</v>
      </c>
      <c r="P276" s="33">
        <v>8</v>
      </c>
      <c r="Q276" s="33">
        <v>7</v>
      </c>
      <c r="R276" s="32" t="s">
        <v>451</v>
      </c>
      <c r="S276" s="36">
        <v>55</v>
      </c>
    </row>
    <row r="277" spans="1:19" ht="42" hidden="1" customHeight="1">
      <c r="A277" s="10" t="s">
        <v>111</v>
      </c>
      <c r="B277" s="10" t="s">
        <v>161</v>
      </c>
      <c r="C277" s="10" t="s">
        <v>162</v>
      </c>
      <c r="D277" s="10" t="s">
        <v>127</v>
      </c>
      <c r="E277" s="10" t="s">
        <v>269</v>
      </c>
      <c r="F277" s="11">
        <v>9600.86</v>
      </c>
      <c r="G277" s="21">
        <v>83.5</v>
      </c>
      <c r="H277" s="34" t="s">
        <v>31</v>
      </c>
      <c r="I277" s="10" t="s">
        <v>447</v>
      </c>
      <c r="J277" s="10" t="s">
        <v>436</v>
      </c>
      <c r="K277" s="35" t="s">
        <v>448</v>
      </c>
      <c r="L277" s="35" t="s">
        <v>152</v>
      </c>
      <c r="M277" s="35" t="s">
        <v>449</v>
      </c>
      <c r="N277" s="35" t="s">
        <v>450</v>
      </c>
      <c r="O277" s="35" t="s">
        <v>125</v>
      </c>
      <c r="P277" s="33">
        <v>2</v>
      </c>
      <c r="Q277" s="33">
        <v>1</v>
      </c>
      <c r="R277" s="32" t="s">
        <v>451</v>
      </c>
      <c r="S277" s="36">
        <v>1300</v>
      </c>
    </row>
    <row r="278" spans="1:19" ht="42" hidden="1" customHeight="1">
      <c r="A278" s="10" t="s">
        <v>111</v>
      </c>
      <c r="B278" s="10" t="s">
        <v>161</v>
      </c>
      <c r="C278" s="10" t="s">
        <v>162</v>
      </c>
      <c r="D278" s="10" t="s">
        <v>127</v>
      </c>
      <c r="E278" s="10" t="s">
        <v>511</v>
      </c>
      <c r="F278" s="11">
        <v>7698.33</v>
      </c>
      <c r="G278" s="21">
        <v>65.75</v>
      </c>
      <c r="H278" s="34" t="s">
        <v>33</v>
      </c>
      <c r="I278" s="10" t="s">
        <v>447</v>
      </c>
      <c r="J278" s="10" t="s">
        <v>471</v>
      </c>
      <c r="K278" s="35" t="s">
        <v>472</v>
      </c>
      <c r="L278" s="35" t="s">
        <v>174</v>
      </c>
      <c r="M278" s="35" t="s">
        <v>473</v>
      </c>
      <c r="N278" s="35" t="s">
        <v>137</v>
      </c>
      <c r="O278" s="35" t="s">
        <v>195</v>
      </c>
      <c r="P278" s="33">
        <v>2</v>
      </c>
      <c r="Q278" s="33">
        <v>1</v>
      </c>
      <c r="R278" s="32" t="s">
        <v>492</v>
      </c>
      <c r="S278" s="36">
        <v>3000</v>
      </c>
    </row>
    <row r="279" spans="1:19" ht="42" hidden="1" customHeight="1">
      <c r="A279" s="10" t="s">
        <v>111</v>
      </c>
      <c r="B279" s="10" t="s">
        <v>161</v>
      </c>
      <c r="C279" s="10" t="s">
        <v>414</v>
      </c>
      <c r="D279" s="10" t="s">
        <v>127</v>
      </c>
      <c r="E279" s="10" t="s">
        <v>269</v>
      </c>
      <c r="F279" s="11">
        <v>120215.42</v>
      </c>
      <c r="G279" s="21">
        <v>83.5</v>
      </c>
      <c r="H279" s="34" t="s">
        <v>31</v>
      </c>
      <c r="I279" s="10" t="s">
        <v>447</v>
      </c>
      <c r="J279" s="10" t="s">
        <v>436</v>
      </c>
      <c r="K279" s="35" t="s">
        <v>448</v>
      </c>
      <c r="L279" s="35" t="s">
        <v>152</v>
      </c>
      <c r="M279" s="35" t="s">
        <v>449</v>
      </c>
      <c r="N279" s="35" t="s">
        <v>450</v>
      </c>
      <c r="O279" s="35" t="s">
        <v>125</v>
      </c>
      <c r="P279" s="33">
        <v>12</v>
      </c>
      <c r="Q279" s="33">
        <v>11</v>
      </c>
      <c r="R279" s="32" t="s">
        <v>501</v>
      </c>
      <c r="S279" s="36">
        <v>2373</v>
      </c>
    </row>
    <row r="280" spans="1:19" ht="42" hidden="1" customHeight="1">
      <c r="A280" s="10" t="s">
        <v>111</v>
      </c>
      <c r="B280" s="10" t="s">
        <v>161</v>
      </c>
      <c r="C280" s="10" t="s">
        <v>414</v>
      </c>
      <c r="D280" s="10" t="s">
        <v>127</v>
      </c>
      <c r="E280" s="10" t="s">
        <v>464</v>
      </c>
      <c r="F280" s="11">
        <v>66880.13</v>
      </c>
      <c r="G280" s="21">
        <v>82.748742920880659</v>
      </c>
      <c r="H280" s="34" t="s">
        <v>31</v>
      </c>
      <c r="I280" s="10" t="s">
        <v>447</v>
      </c>
      <c r="J280" s="10" t="s">
        <v>436</v>
      </c>
      <c r="K280" s="35" t="s">
        <v>448</v>
      </c>
      <c r="L280" s="35" t="s">
        <v>152</v>
      </c>
      <c r="M280" s="35" t="s">
        <v>449</v>
      </c>
      <c r="N280" s="35" t="s">
        <v>450</v>
      </c>
      <c r="O280" s="35" t="s">
        <v>125</v>
      </c>
      <c r="P280" s="33">
        <v>12</v>
      </c>
      <c r="Q280" s="33">
        <v>11</v>
      </c>
      <c r="R280" s="32" t="s">
        <v>501</v>
      </c>
      <c r="S280" s="36">
        <v>1327</v>
      </c>
    </row>
    <row r="281" spans="1:19" ht="42" hidden="1" customHeight="1">
      <c r="A281" s="10" t="s">
        <v>111</v>
      </c>
      <c r="B281" s="10" t="s">
        <v>161</v>
      </c>
      <c r="C281" s="10" t="s">
        <v>414</v>
      </c>
      <c r="D281" s="10" t="s">
        <v>127</v>
      </c>
      <c r="E281" s="10" t="s">
        <v>511</v>
      </c>
      <c r="F281" s="11">
        <v>92240.92</v>
      </c>
      <c r="G281" s="21">
        <v>65.75</v>
      </c>
      <c r="H281" s="34" t="s">
        <v>33</v>
      </c>
      <c r="I281" s="10" t="s">
        <v>447</v>
      </c>
      <c r="J281" s="10" t="s">
        <v>471</v>
      </c>
      <c r="K281" s="35" t="s">
        <v>472</v>
      </c>
      <c r="L281" s="35" t="s">
        <v>174</v>
      </c>
      <c r="M281" s="35" t="s">
        <v>473</v>
      </c>
      <c r="N281" s="35" t="s">
        <v>137</v>
      </c>
      <c r="O281" s="35" t="s">
        <v>195</v>
      </c>
      <c r="P281" s="33">
        <v>12</v>
      </c>
      <c r="Q281" s="33">
        <v>11</v>
      </c>
      <c r="R281" s="32" t="s">
        <v>492</v>
      </c>
      <c r="S281" s="36">
        <v>3000</v>
      </c>
    </row>
    <row r="282" spans="1:19" ht="42" hidden="1" customHeight="1">
      <c r="A282" s="10" t="s">
        <v>119</v>
      </c>
      <c r="B282" s="10" t="s">
        <v>383</v>
      </c>
      <c r="C282" s="10" t="s">
        <v>384</v>
      </c>
      <c r="D282" s="10" t="s">
        <v>103</v>
      </c>
      <c r="E282" s="10" t="s">
        <v>213</v>
      </c>
      <c r="F282" s="11">
        <v>173548.77</v>
      </c>
      <c r="G282" s="21">
        <v>91.25</v>
      </c>
      <c r="H282" s="34" t="s">
        <v>31</v>
      </c>
      <c r="I282" s="10" t="s">
        <v>447</v>
      </c>
      <c r="J282" s="10" t="s">
        <v>436</v>
      </c>
      <c r="K282" s="35" t="s">
        <v>448</v>
      </c>
      <c r="L282" s="35" t="s">
        <v>152</v>
      </c>
      <c r="M282" s="35" t="s">
        <v>449</v>
      </c>
      <c r="N282" s="35" t="s">
        <v>450</v>
      </c>
      <c r="O282" s="35" t="s">
        <v>125</v>
      </c>
      <c r="P282" s="33">
        <v>10</v>
      </c>
      <c r="Q282" s="33">
        <v>9</v>
      </c>
      <c r="R282" s="32" t="s">
        <v>501</v>
      </c>
      <c r="S282" s="36">
        <v>2229</v>
      </c>
    </row>
    <row r="283" spans="1:19" ht="42" hidden="1" customHeight="1">
      <c r="A283" s="10" t="s">
        <v>119</v>
      </c>
      <c r="B283" s="10" t="s">
        <v>383</v>
      </c>
      <c r="C283" s="10" t="s">
        <v>384</v>
      </c>
      <c r="D283" s="10" t="s">
        <v>103</v>
      </c>
      <c r="E283" s="10" t="s">
        <v>151</v>
      </c>
      <c r="F283" s="11">
        <v>48699.88</v>
      </c>
      <c r="G283" s="21">
        <v>86.216129184412011</v>
      </c>
      <c r="H283" s="34" t="s">
        <v>31</v>
      </c>
      <c r="I283" s="10" t="s">
        <v>447</v>
      </c>
      <c r="J283" s="10" t="s">
        <v>436</v>
      </c>
      <c r="K283" s="35" t="s">
        <v>448</v>
      </c>
      <c r="L283" s="35" t="s">
        <v>152</v>
      </c>
      <c r="M283" s="35" t="s">
        <v>449</v>
      </c>
      <c r="N283" s="35" t="s">
        <v>450</v>
      </c>
      <c r="O283" s="35" t="s">
        <v>125</v>
      </c>
      <c r="P283" s="33">
        <v>10</v>
      </c>
      <c r="Q283" s="33">
        <v>9</v>
      </c>
      <c r="R283" s="32" t="s">
        <v>501</v>
      </c>
      <c r="S283" s="36">
        <v>619</v>
      </c>
    </row>
    <row r="284" spans="1:19" ht="42" hidden="1" customHeight="1">
      <c r="A284" s="10" t="s">
        <v>119</v>
      </c>
      <c r="B284" s="10" t="s">
        <v>383</v>
      </c>
      <c r="C284" s="10" t="s">
        <v>384</v>
      </c>
      <c r="D284" s="10" t="s">
        <v>103</v>
      </c>
      <c r="E284" s="10" t="s">
        <v>482</v>
      </c>
      <c r="F284" s="11">
        <v>59542.19</v>
      </c>
      <c r="G284" s="21">
        <v>85.104329496835987</v>
      </c>
      <c r="H284" s="34" t="s">
        <v>31</v>
      </c>
      <c r="I284" s="10" t="s">
        <v>447</v>
      </c>
      <c r="J284" s="10" t="s">
        <v>436</v>
      </c>
      <c r="K284" s="35" t="s">
        <v>448</v>
      </c>
      <c r="L284" s="35" t="s">
        <v>152</v>
      </c>
      <c r="M284" s="35" t="s">
        <v>449</v>
      </c>
      <c r="N284" s="35" t="s">
        <v>450</v>
      </c>
      <c r="O284" s="35" t="s">
        <v>125</v>
      </c>
      <c r="P284" s="33">
        <v>5</v>
      </c>
      <c r="Q284" s="33">
        <v>4</v>
      </c>
      <c r="R284" s="32" t="s">
        <v>501</v>
      </c>
      <c r="S284" s="36">
        <v>739</v>
      </c>
    </row>
    <row r="285" spans="1:19" ht="42" hidden="1" customHeight="1">
      <c r="A285" s="10" t="s">
        <v>119</v>
      </c>
      <c r="B285" s="10" t="s">
        <v>383</v>
      </c>
      <c r="C285" s="10" t="s">
        <v>384</v>
      </c>
      <c r="D285" s="10" t="s">
        <v>103</v>
      </c>
      <c r="E285" s="10" t="s">
        <v>193</v>
      </c>
      <c r="F285" s="11">
        <v>31670.87</v>
      </c>
      <c r="G285" s="21">
        <v>78.528353999263942</v>
      </c>
      <c r="H285" s="34" t="s">
        <v>33</v>
      </c>
      <c r="I285" s="10" t="s">
        <v>447</v>
      </c>
      <c r="J285" s="10" t="s">
        <v>441</v>
      </c>
      <c r="K285" s="35" t="s">
        <v>453</v>
      </c>
      <c r="L285" s="35" t="s">
        <v>135</v>
      </c>
      <c r="M285" s="35" t="s">
        <v>454</v>
      </c>
      <c r="N285" s="35" t="s">
        <v>455</v>
      </c>
      <c r="O285" s="35" t="s">
        <v>195</v>
      </c>
      <c r="P285" s="33">
        <v>11</v>
      </c>
      <c r="Q285" s="33">
        <v>10</v>
      </c>
      <c r="R285" s="32" t="s">
        <v>456</v>
      </c>
      <c r="S285" s="36">
        <v>0</v>
      </c>
    </row>
    <row r="286" spans="1:19" ht="42" hidden="1" customHeight="1">
      <c r="A286" s="10" t="s">
        <v>119</v>
      </c>
      <c r="B286" s="10" t="s">
        <v>383</v>
      </c>
      <c r="C286" s="10" t="s">
        <v>384</v>
      </c>
      <c r="D286" s="10" t="s">
        <v>103</v>
      </c>
      <c r="E286" s="10" t="s">
        <v>469</v>
      </c>
      <c r="F286" s="11">
        <v>38331.25</v>
      </c>
      <c r="G286" s="21">
        <v>77.503512781052351</v>
      </c>
      <c r="H286" s="34" t="s">
        <v>33</v>
      </c>
      <c r="I286" s="10" t="s">
        <v>447</v>
      </c>
      <c r="J286" s="10" t="s">
        <v>441</v>
      </c>
      <c r="K286" s="35" t="s">
        <v>453</v>
      </c>
      <c r="L286" s="35" t="s">
        <v>135</v>
      </c>
      <c r="M286" s="35" t="s">
        <v>454</v>
      </c>
      <c r="N286" s="35" t="s">
        <v>455</v>
      </c>
      <c r="O286" s="35" t="s">
        <v>195</v>
      </c>
      <c r="P286" s="33">
        <v>10</v>
      </c>
      <c r="Q286" s="33">
        <v>9</v>
      </c>
      <c r="R286" s="32" t="s">
        <v>456</v>
      </c>
      <c r="S286" s="36">
        <v>0</v>
      </c>
    </row>
    <row r="287" spans="1:19" ht="42" hidden="1" customHeight="1">
      <c r="A287" s="10" t="s">
        <v>119</v>
      </c>
      <c r="B287" s="10" t="s">
        <v>383</v>
      </c>
      <c r="C287" s="10" t="s">
        <v>384</v>
      </c>
      <c r="D287" s="10" t="s">
        <v>103</v>
      </c>
      <c r="E287" s="10" t="s">
        <v>446</v>
      </c>
      <c r="F287" s="11">
        <v>35023.89</v>
      </c>
      <c r="G287" s="21">
        <v>76.962101858847163</v>
      </c>
      <c r="H287" s="34" t="s">
        <v>33</v>
      </c>
      <c r="I287" s="10" t="s">
        <v>447</v>
      </c>
      <c r="J287" s="10" t="s">
        <v>441</v>
      </c>
      <c r="K287" s="35" t="s">
        <v>453</v>
      </c>
      <c r="L287" s="35" t="s">
        <v>135</v>
      </c>
      <c r="M287" s="35" t="s">
        <v>454</v>
      </c>
      <c r="N287" s="35" t="s">
        <v>455</v>
      </c>
      <c r="O287" s="35" t="s">
        <v>195</v>
      </c>
      <c r="P287" s="33">
        <v>10</v>
      </c>
      <c r="Q287" s="33">
        <v>9</v>
      </c>
      <c r="R287" s="32" t="s">
        <v>456</v>
      </c>
      <c r="S287" s="36">
        <v>0</v>
      </c>
    </row>
    <row r="288" spans="1:19" ht="42" hidden="1" customHeight="1">
      <c r="A288" s="10" t="s">
        <v>119</v>
      </c>
      <c r="B288" s="10" t="s">
        <v>383</v>
      </c>
      <c r="C288" s="10" t="s">
        <v>384</v>
      </c>
      <c r="D288" s="10" t="s">
        <v>103</v>
      </c>
      <c r="E288" s="10" t="s">
        <v>466</v>
      </c>
      <c r="F288" s="11">
        <v>14666.25</v>
      </c>
      <c r="G288" s="21">
        <v>70.5</v>
      </c>
      <c r="H288" s="34" t="s">
        <v>33</v>
      </c>
      <c r="I288" s="10" t="s">
        <v>447</v>
      </c>
      <c r="J288" s="10" t="s">
        <v>436</v>
      </c>
      <c r="K288" s="35" t="s">
        <v>448</v>
      </c>
      <c r="L288" s="35" t="s">
        <v>152</v>
      </c>
      <c r="M288" s="35" t="s">
        <v>449</v>
      </c>
      <c r="N288" s="35" t="s">
        <v>450</v>
      </c>
      <c r="O288" s="35" t="s">
        <v>195</v>
      </c>
      <c r="P288" s="33">
        <v>6</v>
      </c>
      <c r="Q288" s="33">
        <v>5</v>
      </c>
      <c r="R288" s="32" t="s">
        <v>451</v>
      </c>
      <c r="S288" s="36">
        <v>60</v>
      </c>
    </row>
    <row r="289" spans="1:19" ht="42" hidden="1" customHeight="1">
      <c r="A289" s="10" t="s">
        <v>119</v>
      </c>
      <c r="B289" s="10" t="s">
        <v>383</v>
      </c>
      <c r="C289" s="10" t="s">
        <v>384</v>
      </c>
      <c r="D289" s="10" t="s">
        <v>103</v>
      </c>
      <c r="E289" s="10" t="s">
        <v>512</v>
      </c>
      <c r="F289" s="11">
        <v>12174.97</v>
      </c>
      <c r="G289" s="21">
        <v>69.25</v>
      </c>
      <c r="H289" s="34" t="s">
        <v>33</v>
      </c>
      <c r="I289" s="10" t="s">
        <v>435</v>
      </c>
      <c r="J289" s="10" t="s">
        <v>441</v>
      </c>
      <c r="K289" s="35" t="s">
        <v>442</v>
      </c>
      <c r="L289" s="35" t="s">
        <v>116</v>
      </c>
      <c r="M289" s="35" t="s">
        <v>443</v>
      </c>
      <c r="N289" s="35" t="s">
        <v>444</v>
      </c>
      <c r="O289" s="35" t="s">
        <v>195</v>
      </c>
      <c r="P289" s="33">
        <v>5</v>
      </c>
      <c r="Q289" s="33">
        <v>4</v>
      </c>
      <c r="R289" s="32" t="s">
        <v>451</v>
      </c>
      <c r="S289" s="36">
        <v>53</v>
      </c>
    </row>
    <row r="290" spans="1:19" ht="42" hidden="1" customHeight="1">
      <c r="A290" s="10" t="s">
        <v>119</v>
      </c>
      <c r="B290" s="10" t="s">
        <v>383</v>
      </c>
      <c r="C290" s="10" t="s">
        <v>384</v>
      </c>
      <c r="D290" s="10" t="s">
        <v>103</v>
      </c>
      <c r="E290" s="10" t="s">
        <v>462</v>
      </c>
      <c r="F290" s="11">
        <v>21076.87</v>
      </c>
      <c r="G290" s="21">
        <v>68.852031083007802</v>
      </c>
      <c r="H290" s="34" t="s">
        <v>33</v>
      </c>
      <c r="I290" s="10" t="s">
        <v>447</v>
      </c>
      <c r="J290" s="10" t="s">
        <v>441</v>
      </c>
      <c r="K290" s="35" t="s">
        <v>453</v>
      </c>
      <c r="L290" s="35" t="s">
        <v>135</v>
      </c>
      <c r="M290" s="35" t="s">
        <v>454</v>
      </c>
      <c r="N290" s="35" t="s">
        <v>455</v>
      </c>
      <c r="O290" s="35" t="s">
        <v>195</v>
      </c>
      <c r="P290" s="33">
        <v>1</v>
      </c>
      <c r="Q290" s="33">
        <v>1</v>
      </c>
      <c r="R290" s="32" t="s">
        <v>456</v>
      </c>
      <c r="S290" s="36">
        <v>0</v>
      </c>
    </row>
    <row r="291" spans="1:19" ht="42" hidden="1" customHeight="1">
      <c r="A291" s="10" t="s">
        <v>119</v>
      </c>
      <c r="B291" s="10" t="s">
        <v>383</v>
      </c>
      <c r="C291" s="10" t="s">
        <v>384</v>
      </c>
      <c r="D291" s="10" t="s">
        <v>103</v>
      </c>
      <c r="E291" s="10" t="s">
        <v>475</v>
      </c>
      <c r="F291" s="11">
        <v>21614.74</v>
      </c>
      <c r="G291" s="21">
        <v>66.277428619890031</v>
      </c>
      <c r="H291" s="34" t="s">
        <v>33</v>
      </c>
      <c r="I291" s="10" t="s">
        <v>447</v>
      </c>
      <c r="J291" s="10" t="s">
        <v>441</v>
      </c>
      <c r="K291" s="35" t="s">
        <v>453</v>
      </c>
      <c r="L291" s="35" t="s">
        <v>135</v>
      </c>
      <c r="M291" s="35" t="s">
        <v>454</v>
      </c>
      <c r="N291" s="35" t="s">
        <v>455</v>
      </c>
      <c r="O291" s="35" t="s">
        <v>195</v>
      </c>
      <c r="P291" s="33">
        <v>10</v>
      </c>
      <c r="Q291" s="33">
        <v>9</v>
      </c>
      <c r="R291" s="32" t="s">
        <v>456</v>
      </c>
      <c r="S291" s="36">
        <v>0</v>
      </c>
    </row>
    <row r="292" spans="1:19" ht="42" customHeight="1">
      <c r="A292" s="10" t="s">
        <v>165</v>
      </c>
      <c r="B292" s="10" t="s">
        <v>60</v>
      </c>
      <c r="C292" s="10" t="s">
        <v>166</v>
      </c>
      <c r="D292" s="10" t="s">
        <v>103</v>
      </c>
      <c r="E292" s="10" t="s">
        <v>457</v>
      </c>
      <c r="F292" s="11">
        <v>301001.61</v>
      </c>
      <c r="G292" s="21">
        <v>87.75</v>
      </c>
      <c r="H292" s="34" t="s">
        <v>31</v>
      </c>
      <c r="I292" s="10" t="s">
        <v>447</v>
      </c>
      <c r="J292" s="10" t="s">
        <v>441</v>
      </c>
      <c r="K292" s="35" t="s">
        <v>453</v>
      </c>
      <c r="L292" s="35" t="s">
        <v>135</v>
      </c>
      <c r="M292" s="35" t="s">
        <v>454</v>
      </c>
      <c r="N292" s="35" t="s">
        <v>455</v>
      </c>
      <c r="O292" s="35" t="s">
        <v>125</v>
      </c>
      <c r="P292" s="33">
        <v>8</v>
      </c>
      <c r="Q292" s="33">
        <v>7</v>
      </c>
      <c r="R292" s="32" t="s">
        <v>456</v>
      </c>
      <c r="S292" s="36">
        <v>0</v>
      </c>
    </row>
    <row r="293" spans="1:19" ht="42" customHeight="1">
      <c r="A293" s="10" t="s">
        <v>165</v>
      </c>
      <c r="B293" s="10" t="s">
        <v>60</v>
      </c>
      <c r="C293" s="10" t="s">
        <v>166</v>
      </c>
      <c r="D293" s="10" t="s">
        <v>103</v>
      </c>
      <c r="E293" s="10" t="s">
        <v>459</v>
      </c>
      <c r="F293" s="11">
        <v>63201.85</v>
      </c>
      <c r="G293" s="21">
        <v>86.75</v>
      </c>
      <c r="H293" s="34" t="s">
        <v>31</v>
      </c>
      <c r="I293" s="10" t="s">
        <v>435</v>
      </c>
      <c r="J293" s="10" t="s">
        <v>436</v>
      </c>
      <c r="K293" s="35" t="s">
        <v>437</v>
      </c>
      <c r="L293" s="35" t="s">
        <v>106</v>
      </c>
      <c r="M293" s="35" t="s">
        <v>438</v>
      </c>
      <c r="N293" s="35" t="s">
        <v>439</v>
      </c>
      <c r="O293" s="35" t="s">
        <v>125</v>
      </c>
      <c r="P293" s="33">
        <v>6</v>
      </c>
      <c r="Q293" s="33">
        <v>5</v>
      </c>
      <c r="R293" s="32" t="s">
        <v>493</v>
      </c>
      <c r="S293" s="36">
        <v>2544</v>
      </c>
    </row>
    <row r="294" spans="1:19" ht="42" customHeight="1">
      <c r="A294" s="10" t="s">
        <v>165</v>
      </c>
      <c r="B294" s="10" t="s">
        <v>60</v>
      </c>
      <c r="C294" s="10" t="s">
        <v>166</v>
      </c>
      <c r="D294" s="10" t="s">
        <v>103</v>
      </c>
      <c r="E294" s="10" t="s">
        <v>213</v>
      </c>
      <c r="F294" s="11">
        <v>111821.03</v>
      </c>
      <c r="G294" s="21">
        <v>86.25</v>
      </c>
      <c r="H294" s="34" t="s">
        <v>31</v>
      </c>
      <c r="I294" s="10" t="s">
        <v>447</v>
      </c>
      <c r="J294" s="10" t="s">
        <v>436</v>
      </c>
      <c r="K294" s="35" t="s">
        <v>448</v>
      </c>
      <c r="L294" s="35" t="s">
        <v>152</v>
      </c>
      <c r="M294" s="35" t="s">
        <v>449</v>
      </c>
      <c r="N294" s="35" t="s">
        <v>450</v>
      </c>
      <c r="O294" s="35" t="s">
        <v>125</v>
      </c>
      <c r="P294" s="33">
        <v>2</v>
      </c>
      <c r="Q294" s="33">
        <v>1</v>
      </c>
      <c r="R294" s="32" t="s">
        <v>483</v>
      </c>
      <c r="S294" s="36">
        <v>461</v>
      </c>
    </row>
    <row r="295" spans="1:19" ht="42" customHeight="1">
      <c r="A295" s="10" t="s">
        <v>165</v>
      </c>
      <c r="B295" s="10" t="s">
        <v>60</v>
      </c>
      <c r="C295" s="10" t="s">
        <v>166</v>
      </c>
      <c r="D295" s="10" t="s">
        <v>103</v>
      </c>
      <c r="E295" s="10" t="s">
        <v>446</v>
      </c>
      <c r="F295" s="11">
        <v>100632.58</v>
      </c>
      <c r="G295" s="21">
        <v>86.212101858847163</v>
      </c>
      <c r="H295" s="34" t="s">
        <v>31</v>
      </c>
      <c r="I295" s="10" t="s">
        <v>447</v>
      </c>
      <c r="J295" s="10" t="s">
        <v>436</v>
      </c>
      <c r="K295" s="35" t="s">
        <v>448</v>
      </c>
      <c r="L295" s="35" t="s">
        <v>152</v>
      </c>
      <c r="M295" s="35" t="s">
        <v>449</v>
      </c>
      <c r="N295" s="35" t="s">
        <v>450</v>
      </c>
      <c r="O295" s="35" t="s">
        <v>125</v>
      </c>
      <c r="P295" s="33">
        <v>3</v>
      </c>
      <c r="Q295" s="33">
        <v>2</v>
      </c>
      <c r="R295" s="32" t="s">
        <v>483</v>
      </c>
      <c r="S295" s="36">
        <v>418</v>
      </c>
    </row>
    <row r="296" spans="1:19" ht="42" customHeight="1">
      <c r="A296" s="10" t="s">
        <v>165</v>
      </c>
      <c r="B296" s="10" t="s">
        <v>60</v>
      </c>
      <c r="C296" s="10" t="s">
        <v>166</v>
      </c>
      <c r="D296" s="10" t="s">
        <v>103</v>
      </c>
      <c r="E296" s="10" t="s">
        <v>480</v>
      </c>
      <c r="F296" s="11">
        <v>65275.41</v>
      </c>
      <c r="G296" s="21">
        <v>82.75</v>
      </c>
      <c r="H296" s="34" t="s">
        <v>31</v>
      </c>
      <c r="I296" s="10" t="s">
        <v>435</v>
      </c>
      <c r="J296" s="10" t="s">
        <v>436</v>
      </c>
      <c r="K296" s="35" t="s">
        <v>437</v>
      </c>
      <c r="L296" s="35" t="s">
        <v>106</v>
      </c>
      <c r="M296" s="35" t="s">
        <v>438</v>
      </c>
      <c r="N296" s="35" t="s">
        <v>439</v>
      </c>
      <c r="O296" s="35" t="s">
        <v>125</v>
      </c>
      <c r="P296" s="33">
        <v>11</v>
      </c>
      <c r="Q296" s="33">
        <v>10</v>
      </c>
      <c r="R296" s="32" t="s">
        <v>494</v>
      </c>
      <c r="S296" s="36">
        <v>339</v>
      </c>
    </row>
    <row r="297" spans="1:19" ht="42" customHeight="1">
      <c r="A297" s="10" t="s">
        <v>165</v>
      </c>
      <c r="B297" s="10" t="s">
        <v>60</v>
      </c>
      <c r="C297" s="10" t="s">
        <v>166</v>
      </c>
      <c r="D297" s="10" t="s">
        <v>103</v>
      </c>
      <c r="E297" s="10" t="s">
        <v>375</v>
      </c>
      <c r="F297" s="11">
        <v>22267.87</v>
      </c>
      <c r="G297" s="21">
        <v>81.25</v>
      </c>
      <c r="H297" s="34" t="s">
        <v>31</v>
      </c>
      <c r="I297" s="10" t="s">
        <v>435</v>
      </c>
      <c r="J297" s="10" t="s">
        <v>436</v>
      </c>
      <c r="K297" s="35" t="s">
        <v>437</v>
      </c>
      <c r="L297" s="35" t="s">
        <v>106</v>
      </c>
      <c r="M297" s="35" t="s">
        <v>438</v>
      </c>
      <c r="N297" s="35" t="s">
        <v>439</v>
      </c>
      <c r="O297" s="35" t="s">
        <v>125</v>
      </c>
      <c r="P297" s="33">
        <v>11</v>
      </c>
      <c r="Q297" s="33">
        <v>10</v>
      </c>
      <c r="R297" s="32" t="s">
        <v>494</v>
      </c>
      <c r="S297" s="36">
        <v>140</v>
      </c>
    </row>
    <row r="298" spans="1:19" ht="42" customHeight="1">
      <c r="A298" s="10" t="s">
        <v>165</v>
      </c>
      <c r="B298" s="10" t="s">
        <v>60</v>
      </c>
      <c r="C298" s="10" t="s">
        <v>166</v>
      </c>
      <c r="D298" s="10" t="s">
        <v>103</v>
      </c>
      <c r="E298" s="10" t="s">
        <v>193</v>
      </c>
      <c r="F298" s="11">
        <v>15889.77</v>
      </c>
      <c r="G298" s="21">
        <v>80.585273425396053</v>
      </c>
      <c r="H298" s="34" t="s">
        <v>31</v>
      </c>
      <c r="I298" s="10" t="s">
        <v>435</v>
      </c>
      <c r="J298" s="10" t="s">
        <v>436</v>
      </c>
      <c r="K298" s="35" t="s">
        <v>437</v>
      </c>
      <c r="L298" s="35" t="s">
        <v>106</v>
      </c>
      <c r="M298" s="35" t="s">
        <v>438</v>
      </c>
      <c r="N298" s="35" t="s">
        <v>439</v>
      </c>
      <c r="O298" s="35" t="s">
        <v>125</v>
      </c>
      <c r="P298" s="33">
        <v>6</v>
      </c>
      <c r="Q298" s="33">
        <v>5</v>
      </c>
      <c r="R298" s="32" t="s">
        <v>494</v>
      </c>
      <c r="S298" s="36">
        <v>111</v>
      </c>
    </row>
    <row r="299" spans="1:19" ht="42" customHeight="1">
      <c r="A299" s="10" t="s">
        <v>165</v>
      </c>
      <c r="B299" s="10" t="s">
        <v>60</v>
      </c>
      <c r="C299" s="10" t="s">
        <v>166</v>
      </c>
      <c r="D299" s="10" t="s">
        <v>103</v>
      </c>
      <c r="E299" s="10" t="s">
        <v>465</v>
      </c>
      <c r="F299" s="11">
        <v>5311.96</v>
      </c>
      <c r="G299" s="21">
        <v>79.25</v>
      </c>
      <c r="H299" s="34" t="s">
        <v>33</v>
      </c>
      <c r="I299" s="10" t="s">
        <v>435</v>
      </c>
      <c r="J299" s="10" t="s">
        <v>436</v>
      </c>
      <c r="K299" s="35" t="s">
        <v>437</v>
      </c>
      <c r="L299" s="35" t="s">
        <v>106</v>
      </c>
      <c r="M299" s="35" t="s">
        <v>438</v>
      </c>
      <c r="N299" s="35" t="s">
        <v>439</v>
      </c>
      <c r="O299" s="35" t="s">
        <v>195</v>
      </c>
      <c r="P299" s="33">
        <v>4</v>
      </c>
      <c r="Q299" s="33">
        <v>3</v>
      </c>
      <c r="R299" s="32" t="s">
        <v>461</v>
      </c>
      <c r="S299" s="36">
        <v>23</v>
      </c>
    </row>
    <row r="300" spans="1:19" ht="42" customHeight="1">
      <c r="A300" s="10" t="s">
        <v>165</v>
      </c>
      <c r="B300" s="10" t="s">
        <v>60</v>
      </c>
      <c r="C300" s="10" t="s">
        <v>166</v>
      </c>
      <c r="D300" s="10" t="s">
        <v>103</v>
      </c>
      <c r="E300" s="10" t="s">
        <v>468</v>
      </c>
      <c r="F300" s="11">
        <v>308.8</v>
      </c>
      <c r="G300" s="21">
        <v>79.25</v>
      </c>
      <c r="H300" s="34" t="s">
        <v>33</v>
      </c>
      <c r="I300" s="10" t="s">
        <v>435</v>
      </c>
      <c r="J300" s="10" t="s">
        <v>436</v>
      </c>
      <c r="K300" s="35" t="s">
        <v>437</v>
      </c>
      <c r="L300" s="35" t="s">
        <v>106</v>
      </c>
      <c r="M300" s="35" t="s">
        <v>438</v>
      </c>
      <c r="N300" s="35" t="s">
        <v>439</v>
      </c>
      <c r="O300" s="35" t="s">
        <v>195</v>
      </c>
      <c r="P300" s="33">
        <v>4</v>
      </c>
      <c r="Q300" s="33">
        <v>3</v>
      </c>
      <c r="R300" s="32" t="s">
        <v>461</v>
      </c>
      <c r="S300" s="36">
        <v>20</v>
      </c>
    </row>
    <row r="301" spans="1:19" ht="42" customHeight="1">
      <c r="A301" s="10" t="s">
        <v>165</v>
      </c>
      <c r="B301" s="10" t="s">
        <v>60</v>
      </c>
      <c r="C301" s="10" t="s">
        <v>166</v>
      </c>
      <c r="D301" s="10" t="s">
        <v>103</v>
      </c>
      <c r="E301" s="10" t="s">
        <v>466</v>
      </c>
      <c r="F301" s="11">
        <v>59739.29</v>
      </c>
      <c r="G301" s="21">
        <v>78</v>
      </c>
      <c r="H301" s="34" t="s">
        <v>33</v>
      </c>
      <c r="I301" s="10" t="s">
        <v>447</v>
      </c>
      <c r="J301" s="10" t="s">
        <v>436</v>
      </c>
      <c r="K301" s="35" t="s">
        <v>448</v>
      </c>
      <c r="L301" s="35" t="s">
        <v>152</v>
      </c>
      <c r="M301" s="35" t="s">
        <v>449</v>
      </c>
      <c r="N301" s="35" t="s">
        <v>450</v>
      </c>
      <c r="O301" s="35" t="s">
        <v>195</v>
      </c>
      <c r="P301" s="33">
        <v>4</v>
      </c>
      <c r="Q301" s="33">
        <v>3</v>
      </c>
      <c r="R301" s="32" t="s">
        <v>456</v>
      </c>
      <c r="S301" s="36">
        <v>0</v>
      </c>
    </row>
    <row r="302" spans="1:19" ht="42" customHeight="1">
      <c r="A302" s="10" t="s">
        <v>165</v>
      </c>
      <c r="B302" s="10" t="s">
        <v>60</v>
      </c>
      <c r="C302" s="10" t="s">
        <v>166</v>
      </c>
      <c r="D302" s="10" t="s">
        <v>103</v>
      </c>
      <c r="E302" s="10" t="s">
        <v>225</v>
      </c>
      <c r="F302" s="11">
        <v>2689.33</v>
      </c>
      <c r="G302" s="21">
        <v>76.6828293081916</v>
      </c>
      <c r="H302" s="34" t="s">
        <v>33</v>
      </c>
      <c r="I302" s="10" t="s">
        <v>435</v>
      </c>
      <c r="J302" s="10" t="s">
        <v>436</v>
      </c>
      <c r="K302" s="35" t="s">
        <v>437</v>
      </c>
      <c r="L302" s="35" t="s">
        <v>106</v>
      </c>
      <c r="M302" s="35" t="s">
        <v>438</v>
      </c>
      <c r="N302" s="35" t="s">
        <v>439</v>
      </c>
      <c r="O302" s="35" t="s">
        <v>195</v>
      </c>
      <c r="P302" s="33">
        <v>5</v>
      </c>
      <c r="Q302" s="33">
        <v>4</v>
      </c>
      <c r="R302" s="32" t="s">
        <v>461</v>
      </c>
      <c r="S302" s="36">
        <v>22</v>
      </c>
    </row>
    <row r="303" spans="1:19" ht="42" customHeight="1">
      <c r="A303" s="10" t="s">
        <v>165</v>
      </c>
      <c r="B303" s="10" t="s">
        <v>60</v>
      </c>
      <c r="C303" s="10" t="s">
        <v>166</v>
      </c>
      <c r="D303" s="10" t="s">
        <v>103</v>
      </c>
      <c r="E303" s="10" t="s">
        <v>181</v>
      </c>
      <c r="F303" s="11">
        <v>2705.83</v>
      </c>
      <c r="G303" s="21">
        <v>73.75</v>
      </c>
      <c r="H303" s="34" t="s">
        <v>33</v>
      </c>
      <c r="I303" s="10" t="s">
        <v>435</v>
      </c>
      <c r="J303" s="10" t="s">
        <v>441</v>
      </c>
      <c r="K303" s="35" t="s">
        <v>442</v>
      </c>
      <c r="L303" s="35" t="s">
        <v>116</v>
      </c>
      <c r="M303" s="35" t="s">
        <v>443</v>
      </c>
      <c r="N303" s="35" t="s">
        <v>444</v>
      </c>
      <c r="O303" s="35" t="s">
        <v>195</v>
      </c>
      <c r="P303" s="33">
        <v>5</v>
      </c>
      <c r="Q303" s="33">
        <v>4</v>
      </c>
      <c r="R303" s="32" t="s">
        <v>461</v>
      </c>
      <c r="S303" s="36">
        <v>22</v>
      </c>
    </row>
    <row r="304" spans="1:19" ht="42" customHeight="1">
      <c r="A304" s="10" t="s">
        <v>165</v>
      </c>
      <c r="B304" s="10" t="s">
        <v>60</v>
      </c>
      <c r="C304" s="10" t="s">
        <v>166</v>
      </c>
      <c r="D304" s="10" t="s">
        <v>103</v>
      </c>
      <c r="E304" s="10" t="s">
        <v>462</v>
      </c>
      <c r="F304" s="11">
        <v>6241.55</v>
      </c>
      <c r="G304" s="21">
        <v>71.535362189591183</v>
      </c>
      <c r="H304" s="34" t="s">
        <v>33</v>
      </c>
      <c r="I304" s="10" t="s">
        <v>447</v>
      </c>
      <c r="J304" s="10" t="s">
        <v>441</v>
      </c>
      <c r="K304" s="35" t="s">
        <v>453</v>
      </c>
      <c r="L304" s="35" t="s">
        <v>135</v>
      </c>
      <c r="M304" s="35" t="s">
        <v>454</v>
      </c>
      <c r="N304" s="35" t="s">
        <v>455</v>
      </c>
      <c r="O304" s="35" t="s">
        <v>195</v>
      </c>
      <c r="P304" s="33">
        <v>3</v>
      </c>
      <c r="Q304" s="33">
        <v>2</v>
      </c>
      <c r="R304" s="32" t="s">
        <v>456</v>
      </c>
      <c r="S304" s="36">
        <v>0</v>
      </c>
    </row>
    <row r="305" spans="1:19" ht="42" customHeight="1">
      <c r="A305" s="10" t="s">
        <v>165</v>
      </c>
      <c r="B305" s="10" t="s">
        <v>60</v>
      </c>
      <c r="C305" s="10" t="s">
        <v>166</v>
      </c>
      <c r="D305" s="10" t="s">
        <v>103</v>
      </c>
      <c r="E305" s="10" t="s">
        <v>151</v>
      </c>
      <c r="F305" s="11">
        <v>38426.83</v>
      </c>
      <c r="G305" s="21">
        <v>71.14254232872932</v>
      </c>
      <c r="H305" s="34" t="s">
        <v>33</v>
      </c>
      <c r="I305" s="10" t="s">
        <v>447</v>
      </c>
      <c r="J305" s="10" t="s">
        <v>436</v>
      </c>
      <c r="K305" s="35" t="s">
        <v>448</v>
      </c>
      <c r="L305" s="35" t="s">
        <v>152</v>
      </c>
      <c r="M305" s="35" t="s">
        <v>449</v>
      </c>
      <c r="N305" s="35" t="s">
        <v>450</v>
      </c>
      <c r="O305" s="35" t="s">
        <v>195</v>
      </c>
      <c r="P305" s="33">
        <v>3</v>
      </c>
      <c r="Q305" s="33">
        <v>2</v>
      </c>
      <c r="R305" s="32" t="s">
        <v>456</v>
      </c>
      <c r="S305" s="36">
        <v>0</v>
      </c>
    </row>
    <row r="306" spans="1:19" ht="42" customHeight="1">
      <c r="A306" s="10" t="s">
        <v>165</v>
      </c>
      <c r="B306" s="10" t="s">
        <v>60</v>
      </c>
      <c r="C306" s="10" t="s">
        <v>166</v>
      </c>
      <c r="D306" s="10" t="s">
        <v>103</v>
      </c>
      <c r="E306" s="10" t="s">
        <v>482</v>
      </c>
      <c r="F306" s="11">
        <v>3288.15</v>
      </c>
      <c r="G306" s="21">
        <v>69.893277154467796</v>
      </c>
      <c r="H306" s="34" t="s">
        <v>33</v>
      </c>
      <c r="I306" s="10" t="s">
        <v>447</v>
      </c>
      <c r="J306" s="10" t="s">
        <v>441</v>
      </c>
      <c r="K306" s="35" t="s">
        <v>453</v>
      </c>
      <c r="L306" s="35" t="s">
        <v>135</v>
      </c>
      <c r="M306" s="35" t="s">
        <v>454</v>
      </c>
      <c r="N306" s="35" t="s">
        <v>455</v>
      </c>
      <c r="O306" s="35" t="s">
        <v>195</v>
      </c>
      <c r="P306" s="33">
        <v>3</v>
      </c>
      <c r="Q306" s="33">
        <v>2</v>
      </c>
      <c r="R306" s="32" t="s">
        <v>456</v>
      </c>
      <c r="S306" s="36">
        <v>0</v>
      </c>
    </row>
    <row r="307" spans="1:19" ht="42" customHeight="1">
      <c r="A307" s="10" t="s">
        <v>165</v>
      </c>
      <c r="B307" s="10" t="s">
        <v>60</v>
      </c>
      <c r="C307" s="10" t="s">
        <v>166</v>
      </c>
      <c r="D307" s="10" t="s">
        <v>103</v>
      </c>
      <c r="E307" s="10" t="s">
        <v>469</v>
      </c>
      <c r="F307" s="11">
        <v>33634</v>
      </c>
      <c r="G307" s="21">
        <v>69.450967292390857</v>
      </c>
      <c r="H307" s="34" t="s">
        <v>33</v>
      </c>
      <c r="I307" s="10" t="s">
        <v>447</v>
      </c>
      <c r="J307" s="10" t="s">
        <v>441</v>
      </c>
      <c r="K307" s="35" t="s">
        <v>453</v>
      </c>
      <c r="L307" s="35" t="s">
        <v>135</v>
      </c>
      <c r="M307" s="35" t="s">
        <v>454</v>
      </c>
      <c r="N307" s="35" t="s">
        <v>455</v>
      </c>
      <c r="O307" s="35" t="s">
        <v>195</v>
      </c>
      <c r="P307" s="33">
        <v>3</v>
      </c>
      <c r="Q307" s="33">
        <v>2</v>
      </c>
      <c r="R307" s="32" t="s">
        <v>456</v>
      </c>
      <c r="S307" s="36">
        <v>0</v>
      </c>
    </row>
    <row r="308" spans="1:19" ht="42" customHeight="1">
      <c r="A308" s="10" t="s">
        <v>165</v>
      </c>
      <c r="B308" s="10" t="s">
        <v>60</v>
      </c>
      <c r="C308" s="10" t="s">
        <v>166</v>
      </c>
      <c r="D308" s="10" t="s">
        <v>103</v>
      </c>
      <c r="E308" s="10" t="s">
        <v>467</v>
      </c>
      <c r="F308" s="11">
        <v>5260.25</v>
      </c>
      <c r="G308" s="21">
        <v>67</v>
      </c>
      <c r="H308" s="34" t="s">
        <v>33</v>
      </c>
      <c r="I308" s="10" t="s">
        <v>447</v>
      </c>
      <c r="J308" s="10" t="s">
        <v>441</v>
      </c>
      <c r="K308" s="35" t="s">
        <v>453</v>
      </c>
      <c r="L308" s="35" t="s">
        <v>135</v>
      </c>
      <c r="M308" s="35" t="s">
        <v>454</v>
      </c>
      <c r="N308" s="35" t="s">
        <v>455</v>
      </c>
      <c r="O308" s="35" t="s">
        <v>195</v>
      </c>
      <c r="P308" s="33">
        <v>7</v>
      </c>
      <c r="Q308" s="33">
        <v>6</v>
      </c>
      <c r="R308" s="32" t="s">
        <v>456</v>
      </c>
      <c r="S308" s="36">
        <v>0</v>
      </c>
    </row>
    <row r="309" spans="1:19" ht="42" customHeight="1">
      <c r="A309" s="10" t="s">
        <v>165</v>
      </c>
      <c r="B309" s="10" t="s">
        <v>60</v>
      </c>
      <c r="C309" s="10" t="s">
        <v>166</v>
      </c>
      <c r="D309" s="10" t="s">
        <v>103</v>
      </c>
      <c r="E309" s="10" t="s">
        <v>475</v>
      </c>
      <c r="F309" s="11">
        <v>30709.45</v>
      </c>
      <c r="G309" s="21">
        <v>66.277428619890031</v>
      </c>
      <c r="H309" s="34" t="s">
        <v>33</v>
      </c>
      <c r="I309" s="10" t="s">
        <v>447</v>
      </c>
      <c r="J309" s="10" t="s">
        <v>441</v>
      </c>
      <c r="K309" s="35" t="s">
        <v>453</v>
      </c>
      <c r="L309" s="35" t="s">
        <v>135</v>
      </c>
      <c r="M309" s="35" t="s">
        <v>454</v>
      </c>
      <c r="N309" s="35" t="s">
        <v>455</v>
      </c>
      <c r="O309" s="35" t="s">
        <v>195</v>
      </c>
      <c r="P309" s="33">
        <v>3</v>
      </c>
      <c r="Q309" s="33">
        <v>2</v>
      </c>
      <c r="R309" s="32" t="s">
        <v>456</v>
      </c>
      <c r="S309" s="36">
        <v>0</v>
      </c>
    </row>
    <row r="310" spans="1:19" ht="42" customHeight="1">
      <c r="A310" s="10" t="s">
        <v>165</v>
      </c>
      <c r="B310" s="10" t="s">
        <v>60</v>
      </c>
      <c r="C310" s="10" t="s">
        <v>166</v>
      </c>
      <c r="D310" s="10" t="s">
        <v>103</v>
      </c>
      <c r="E310" s="10" t="s">
        <v>478</v>
      </c>
      <c r="F310" s="11">
        <v>6494.01</v>
      </c>
      <c r="G310" s="21">
        <v>65.147936405491748</v>
      </c>
      <c r="H310" s="34" t="s">
        <v>33</v>
      </c>
      <c r="I310" s="10" t="s">
        <v>447</v>
      </c>
      <c r="J310" s="10" t="s">
        <v>436</v>
      </c>
      <c r="K310" s="35" t="s">
        <v>448</v>
      </c>
      <c r="L310" s="35" t="s">
        <v>152</v>
      </c>
      <c r="M310" s="35" t="s">
        <v>449</v>
      </c>
      <c r="N310" s="35" t="s">
        <v>450</v>
      </c>
      <c r="O310" s="35" t="s">
        <v>195</v>
      </c>
      <c r="P310" s="33">
        <v>11</v>
      </c>
      <c r="Q310" s="33">
        <v>10</v>
      </c>
      <c r="R310" s="32" t="s">
        <v>456</v>
      </c>
      <c r="S310" s="36">
        <v>0</v>
      </c>
    </row>
    <row r="311" spans="1:19" ht="42" customHeight="1">
      <c r="A311" s="10" t="s">
        <v>165</v>
      </c>
      <c r="B311" s="10" t="s">
        <v>60</v>
      </c>
      <c r="C311" s="10" t="s">
        <v>166</v>
      </c>
      <c r="D311" s="10" t="s">
        <v>103</v>
      </c>
      <c r="E311" s="10" t="s">
        <v>314</v>
      </c>
      <c r="F311" s="11">
        <v>15458.15</v>
      </c>
      <c r="G311" s="21">
        <v>65</v>
      </c>
      <c r="H311" s="34" t="s">
        <v>33</v>
      </c>
      <c r="I311" s="10" t="s">
        <v>447</v>
      </c>
      <c r="J311" s="10" t="s">
        <v>436</v>
      </c>
      <c r="K311" s="35" t="s">
        <v>448</v>
      </c>
      <c r="L311" s="35" t="s">
        <v>152</v>
      </c>
      <c r="M311" s="35" t="s">
        <v>449</v>
      </c>
      <c r="N311" s="35" t="s">
        <v>450</v>
      </c>
      <c r="O311" s="35" t="s">
        <v>195</v>
      </c>
      <c r="P311" s="33">
        <v>3</v>
      </c>
      <c r="Q311" s="33">
        <v>2</v>
      </c>
      <c r="R311" s="32" t="s">
        <v>456</v>
      </c>
      <c r="S311" s="36">
        <v>0</v>
      </c>
    </row>
    <row r="312" spans="1:19" ht="42" customHeight="1">
      <c r="A312" s="10" t="s">
        <v>165</v>
      </c>
      <c r="B312" s="10" t="s">
        <v>60</v>
      </c>
      <c r="C312" s="10" t="s">
        <v>166</v>
      </c>
      <c r="D312" s="10" t="s">
        <v>103</v>
      </c>
      <c r="E312" s="10" t="s">
        <v>452</v>
      </c>
      <c r="F312" s="11">
        <v>280.39999999999998</v>
      </c>
      <c r="G312" s="21">
        <v>65</v>
      </c>
      <c r="H312" s="34" t="s">
        <v>33</v>
      </c>
      <c r="I312" s="10" t="s">
        <v>447</v>
      </c>
      <c r="J312" s="10" t="s">
        <v>441</v>
      </c>
      <c r="K312" s="35" t="s">
        <v>453</v>
      </c>
      <c r="L312" s="35" t="s">
        <v>135</v>
      </c>
      <c r="M312" s="35" t="s">
        <v>454</v>
      </c>
      <c r="N312" s="35" t="s">
        <v>455</v>
      </c>
      <c r="O312" s="35" t="s">
        <v>195</v>
      </c>
      <c r="P312" s="33">
        <v>5</v>
      </c>
      <c r="Q312" s="33">
        <v>4</v>
      </c>
      <c r="R312" s="32" t="s">
        <v>456</v>
      </c>
      <c r="S312" s="36">
        <v>0</v>
      </c>
    </row>
    <row r="313" spans="1:19" ht="42" hidden="1" customHeight="1">
      <c r="A313" s="10" t="s">
        <v>255</v>
      </c>
      <c r="B313" s="10" t="s">
        <v>60</v>
      </c>
      <c r="C313" s="10" t="s">
        <v>260</v>
      </c>
      <c r="D313" s="10" t="s">
        <v>103</v>
      </c>
      <c r="E313" s="10" t="s">
        <v>151</v>
      </c>
      <c r="F313" s="11">
        <v>112964.75</v>
      </c>
      <c r="G313" s="21">
        <v>91.216129184412011</v>
      </c>
      <c r="H313" s="34" t="s">
        <v>31</v>
      </c>
      <c r="I313" s="10" t="s">
        <v>447</v>
      </c>
      <c r="J313" s="10" t="s">
        <v>436</v>
      </c>
      <c r="K313" s="35" t="s">
        <v>448</v>
      </c>
      <c r="L313" s="35" t="s">
        <v>152</v>
      </c>
      <c r="M313" s="35" t="s">
        <v>449</v>
      </c>
      <c r="N313" s="35" t="s">
        <v>450</v>
      </c>
      <c r="O313" s="35" t="s">
        <v>125</v>
      </c>
      <c r="P313" s="33">
        <v>5</v>
      </c>
      <c r="Q313" s="33">
        <v>4</v>
      </c>
      <c r="R313" s="32" t="s">
        <v>451</v>
      </c>
      <c r="S313" s="36">
        <v>729</v>
      </c>
    </row>
    <row r="314" spans="1:19" ht="42" hidden="1" customHeight="1">
      <c r="A314" s="10" t="s">
        <v>255</v>
      </c>
      <c r="B314" s="10" t="s">
        <v>60</v>
      </c>
      <c r="C314" s="10" t="s">
        <v>260</v>
      </c>
      <c r="D314" s="10" t="s">
        <v>103</v>
      </c>
      <c r="E314" s="10" t="s">
        <v>457</v>
      </c>
      <c r="F314" s="11">
        <v>14466.88</v>
      </c>
      <c r="G314" s="21">
        <v>82.75</v>
      </c>
      <c r="H314" s="34" t="s">
        <v>31</v>
      </c>
      <c r="I314" s="10" t="s">
        <v>447</v>
      </c>
      <c r="J314" s="10" t="s">
        <v>441</v>
      </c>
      <c r="K314" s="35" t="s">
        <v>453</v>
      </c>
      <c r="L314" s="35" t="s">
        <v>135</v>
      </c>
      <c r="M314" s="35" t="s">
        <v>454</v>
      </c>
      <c r="N314" s="35" t="s">
        <v>455</v>
      </c>
      <c r="O314" s="35" t="s">
        <v>125</v>
      </c>
      <c r="P314" s="33">
        <v>2</v>
      </c>
      <c r="Q314" s="33">
        <v>1</v>
      </c>
      <c r="R314" s="32" t="s">
        <v>456</v>
      </c>
      <c r="S314" s="36">
        <v>0</v>
      </c>
    </row>
    <row r="315" spans="1:19" ht="42" hidden="1" customHeight="1">
      <c r="A315" s="10" t="s">
        <v>255</v>
      </c>
      <c r="B315" s="10" t="s">
        <v>60</v>
      </c>
      <c r="C315" s="10" t="s">
        <v>260</v>
      </c>
      <c r="D315" s="10" t="s">
        <v>103</v>
      </c>
      <c r="E315" s="10" t="s">
        <v>464</v>
      </c>
      <c r="F315" s="11">
        <v>4552.8100000000004</v>
      </c>
      <c r="G315" s="21">
        <v>72.748742920880659</v>
      </c>
      <c r="H315" s="34" t="s">
        <v>33</v>
      </c>
      <c r="I315" s="10" t="s">
        <v>447</v>
      </c>
      <c r="J315" s="10" t="s">
        <v>436</v>
      </c>
      <c r="K315" s="35" t="s">
        <v>448</v>
      </c>
      <c r="L315" s="35" t="s">
        <v>152</v>
      </c>
      <c r="M315" s="35" t="s">
        <v>449</v>
      </c>
      <c r="N315" s="35" t="s">
        <v>450</v>
      </c>
      <c r="O315" s="35" t="s">
        <v>195</v>
      </c>
      <c r="P315" s="33">
        <v>5</v>
      </c>
      <c r="Q315" s="33">
        <v>4</v>
      </c>
      <c r="R315" s="32" t="s">
        <v>451</v>
      </c>
      <c r="S315" s="36">
        <v>40</v>
      </c>
    </row>
    <row r="316" spans="1:19" ht="42" hidden="1" customHeight="1">
      <c r="A316" s="10" t="s">
        <v>255</v>
      </c>
      <c r="B316" s="10" t="s">
        <v>60</v>
      </c>
      <c r="C316" s="10" t="s">
        <v>260</v>
      </c>
      <c r="D316" s="10" t="s">
        <v>103</v>
      </c>
      <c r="E316" s="10" t="s">
        <v>446</v>
      </c>
      <c r="F316" s="11">
        <v>2561.9</v>
      </c>
      <c r="G316" s="21">
        <v>72.462101858847163</v>
      </c>
      <c r="H316" s="34" t="s">
        <v>33</v>
      </c>
      <c r="I316" s="10" t="s">
        <v>447</v>
      </c>
      <c r="J316" s="10" t="s">
        <v>436</v>
      </c>
      <c r="K316" s="35" t="s">
        <v>448</v>
      </c>
      <c r="L316" s="35" t="s">
        <v>152</v>
      </c>
      <c r="M316" s="35" t="s">
        <v>449</v>
      </c>
      <c r="N316" s="35" t="s">
        <v>450</v>
      </c>
      <c r="O316" s="35" t="s">
        <v>195</v>
      </c>
      <c r="P316" s="33">
        <v>5</v>
      </c>
      <c r="Q316" s="33">
        <v>4</v>
      </c>
      <c r="R316" s="32" t="s">
        <v>451</v>
      </c>
      <c r="S316" s="36">
        <v>31</v>
      </c>
    </row>
    <row r="317" spans="1:19" ht="42" hidden="1" customHeight="1">
      <c r="A317" s="10" t="s">
        <v>255</v>
      </c>
      <c r="B317" s="10" t="s">
        <v>60</v>
      </c>
      <c r="C317" s="10" t="s">
        <v>260</v>
      </c>
      <c r="D317" s="10" t="s">
        <v>103</v>
      </c>
      <c r="E317" s="10" t="s">
        <v>467</v>
      </c>
      <c r="F317" s="11">
        <v>206.39</v>
      </c>
      <c r="G317" s="21">
        <v>67</v>
      </c>
      <c r="H317" s="34" t="s">
        <v>33</v>
      </c>
      <c r="I317" s="10" t="s">
        <v>447</v>
      </c>
      <c r="J317" s="10" t="s">
        <v>441</v>
      </c>
      <c r="K317" s="35" t="s">
        <v>453</v>
      </c>
      <c r="L317" s="35" t="s">
        <v>135</v>
      </c>
      <c r="M317" s="35" t="s">
        <v>454</v>
      </c>
      <c r="N317" s="35" t="s">
        <v>455</v>
      </c>
      <c r="O317" s="35" t="s">
        <v>195</v>
      </c>
      <c r="P317" s="33">
        <v>5</v>
      </c>
      <c r="Q317" s="33">
        <v>4</v>
      </c>
      <c r="R317" s="32" t="s">
        <v>456</v>
      </c>
      <c r="S317" s="36">
        <v>0</v>
      </c>
    </row>
    <row r="318" spans="1:19" ht="42" hidden="1" customHeight="1">
      <c r="A318" s="10" t="s">
        <v>255</v>
      </c>
      <c r="B318" s="10" t="s">
        <v>60</v>
      </c>
      <c r="C318" s="10" t="s">
        <v>260</v>
      </c>
      <c r="D318" s="10" t="s">
        <v>103</v>
      </c>
      <c r="E318" s="10" t="s">
        <v>470</v>
      </c>
      <c r="F318" s="11">
        <v>17936.43</v>
      </c>
      <c r="G318" s="21">
        <v>66.325268226643402</v>
      </c>
      <c r="H318" s="34" t="s">
        <v>33</v>
      </c>
      <c r="I318" s="10" t="s">
        <v>447</v>
      </c>
      <c r="J318" s="10" t="s">
        <v>471</v>
      </c>
      <c r="K318" s="35" t="s">
        <v>472</v>
      </c>
      <c r="L318" s="35" t="s">
        <v>174</v>
      </c>
      <c r="M318" s="35" t="s">
        <v>473</v>
      </c>
      <c r="N318" s="35" t="s">
        <v>137</v>
      </c>
      <c r="O318" s="35" t="s">
        <v>195</v>
      </c>
      <c r="P318" s="33">
        <v>7</v>
      </c>
      <c r="Q318" s="33">
        <v>6</v>
      </c>
      <c r="R318" s="32" t="s">
        <v>456</v>
      </c>
      <c r="S318" s="36">
        <v>0</v>
      </c>
    </row>
    <row r="319" spans="1:19" ht="42" hidden="1" customHeight="1">
      <c r="A319" s="10" t="s">
        <v>255</v>
      </c>
      <c r="B319" s="10" t="s">
        <v>60</v>
      </c>
      <c r="C319" s="10" t="s">
        <v>260</v>
      </c>
      <c r="D319" s="10" t="s">
        <v>103</v>
      </c>
      <c r="E319" s="10" t="s">
        <v>462</v>
      </c>
      <c r="F319" s="11">
        <v>1906.79</v>
      </c>
      <c r="G319" s="21">
        <v>65.711278214377145</v>
      </c>
      <c r="H319" s="34" t="s">
        <v>33</v>
      </c>
      <c r="I319" s="10" t="s">
        <v>447</v>
      </c>
      <c r="J319" s="10" t="s">
        <v>441</v>
      </c>
      <c r="K319" s="35" t="s">
        <v>453</v>
      </c>
      <c r="L319" s="35" t="s">
        <v>135</v>
      </c>
      <c r="M319" s="35" t="s">
        <v>454</v>
      </c>
      <c r="N319" s="35" t="s">
        <v>455</v>
      </c>
      <c r="O319" s="35" t="s">
        <v>195</v>
      </c>
      <c r="P319" s="33">
        <v>4</v>
      </c>
      <c r="Q319" s="33">
        <v>3</v>
      </c>
      <c r="R319" s="32" t="s">
        <v>456</v>
      </c>
      <c r="S319" s="36">
        <v>0</v>
      </c>
    </row>
    <row r="320" spans="1:19" ht="42" hidden="1" customHeight="1">
      <c r="A320" s="10" t="s">
        <v>255</v>
      </c>
      <c r="B320" s="10" t="s">
        <v>60</v>
      </c>
      <c r="C320" s="10" t="s">
        <v>328</v>
      </c>
      <c r="D320" s="10" t="s">
        <v>103</v>
      </c>
      <c r="E320" s="10" t="s">
        <v>375</v>
      </c>
      <c r="F320" s="11">
        <v>13427.38</v>
      </c>
      <c r="G320" s="21">
        <v>95</v>
      </c>
      <c r="H320" s="34" t="s">
        <v>31</v>
      </c>
      <c r="I320" s="10" t="s">
        <v>435</v>
      </c>
      <c r="J320" s="10" t="s">
        <v>436</v>
      </c>
      <c r="K320" s="35" t="s">
        <v>437</v>
      </c>
      <c r="L320" s="35" t="s">
        <v>106</v>
      </c>
      <c r="M320" s="35" t="s">
        <v>438</v>
      </c>
      <c r="N320" s="35" t="s">
        <v>439</v>
      </c>
      <c r="O320" s="35" t="s">
        <v>125</v>
      </c>
      <c r="P320" s="33">
        <v>4</v>
      </c>
      <c r="Q320" s="33">
        <v>3</v>
      </c>
      <c r="R320" s="32" t="s">
        <v>440</v>
      </c>
      <c r="S320" s="36">
        <v>2398</v>
      </c>
    </row>
    <row r="321" spans="1:19" ht="42" hidden="1" customHeight="1">
      <c r="A321" s="10" t="s">
        <v>255</v>
      </c>
      <c r="B321" s="10" t="s">
        <v>60</v>
      </c>
      <c r="C321" s="10" t="s">
        <v>328</v>
      </c>
      <c r="D321" s="10" t="s">
        <v>103</v>
      </c>
      <c r="E321" s="10" t="s">
        <v>468</v>
      </c>
      <c r="F321" s="11">
        <v>20754.3</v>
      </c>
      <c r="G321" s="21">
        <v>93</v>
      </c>
      <c r="H321" s="34" t="s">
        <v>31</v>
      </c>
      <c r="I321" s="10" t="s">
        <v>435</v>
      </c>
      <c r="J321" s="10" t="s">
        <v>436</v>
      </c>
      <c r="K321" s="35" t="s">
        <v>437</v>
      </c>
      <c r="L321" s="35" t="s">
        <v>106</v>
      </c>
      <c r="M321" s="35" t="s">
        <v>438</v>
      </c>
      <c r="N321" s="35" t="s">
        <v>439</v>
      </c>
      <c r="O321" s="35" t="s">
        <v>125</v>
      </c>
      <c r="P321" s="33">
        <v>9</v>
      </c>
      <c r="Q321" s="33">
        <v>8</v>
      </c>
      <c r="R321" s="32" t="s">
        <v>445</v>
      </c>
      <c r="S321" s="36">
        <v>278</v>
      </c>
    </row>
    <row r="322" spans="1:19" ht="42" hidden="1" customHeight="1">
      <c r="A322" s="10" t="s">
        <v>255</v>
      </c>
      <c r="B322" s="10" t="s">
        <v>60</v>
      </c>
      <c r="C322" s="10" t="s">
        <v>328</v>
      </c>
      <c r="D322" s="10" t="s">
        <v>103</v>
      </c>
      <c r="E322" s="10" t="s">
        <v>446</v>
      </c>
      <c r="F322" s="11">
        <v>65562.28</v>
      </c>
      <c r="G322" s="21">
        <v>91.212101858847163</v>
      </c>
      <c r="H322" s="34" t="s">
        <v>31</v>
      </c>
      <c r="I322" s="10" t="s">
        <v>447</v>
      </c>
      <c r="J322" s="10" t="s">
        <v>436</v>
      </c>
      <c r="K322" s="35" t="s">
        <v>448</v>
      </c>
      <c r="L322" s="35" t="s">
        <v>152</v>
      </c>
      <c r="M322" s="35" t="s">
        <v>449</v>
      </c>
      <c r="N322" s="35" t="s">
        <v>450</v>
      </c>
      <c r="O322" s="35" t="s">
        <v>125</v>
      </c>
      <c r="P322" s="33">
        <v>7</v>
      </c>
      <c r="Q322" s="33">
        <v>6</v>
      </c>
      <c r="R322" s="32" t="s">
        <v>451</v>
      </c>
      <c r="S322" s="36">
        <v>390</v>
      </c>
    </row>
    <row r="323" spans="1:19" ht="42" hidden="1" customHeight="1">
      <c r="A323" s="10" t="s">
        <v>255</v>
      </c>
      <c r="B323" s="10" t="s">
        <v>60</v>
      </c>
      <c r="C323" s="10" t="s">
        <v>328</v>
      </c>
      <c r="D323" s="10" t="s">
        <v>103</v>
      </c>
      <c r="E323" s="10" t="s">
        <v>151</v>
      </c>
      <c r="F323" s="11">
        <v>8452.58</v>
      </c>
      <c r="G323" s="21">
        <v>79.966129184412011</v>
      </c>
      <c r="H323" s="34" t="s">
        <v>33</v>
      </c>
      <c r="I323" s="10" t="s">
        <v>447</v>
      </c>
      <c r="J323" s="10" t="s">
        <v>436</v>
      </c>
      <c r="K323" s="35" t="s">
        <v>448</v>
      </c>
      <c r="L323" s="35" t="s">
        <v>152</v>
      </c>
      <c r="M323" s="35" t="s">
        <v>449</v>
      </c>
      <c r="N323" s="35" t="s">
        <v>450</v>
      </c>
      <c r="O323" s="35" t="s">
        <v>195</v>
      </c>
      <c r="P323" s="33">
        <v>7</v>
      </c>
      <c r="Q323" s="33">
        <v>6</v>
      </c>
      <c r="R323" s="32" t="s">
        <v>451</v>
      </c>
      <c r="S323" s="36">
        <v>56</v>
      </c>
    </row>
    <row r="324" spans="1:19" ht="42" hidden="1" customHeight="1">
      <c r="A324" s="10" t="s">
        <v>255</v>
      </c>
      <c r="B324" s="10" t="s">
        <v>60</v>
      </c>
      <c r="C324" s="10" t="s">
        <v>328</v>
      </c>
      <c r="D324" s="10" t="s">
        <v>103</v>
      </c>
      <c r="E324" s="10" t="s">
        <v>459</v>
      </c>
      <c r="F324" s="11">
        <v>2932</v>
      </c>
      <c r="G324" s="21">
        <v>79.25</v>
      </c>
      <c r="H324" s="34" t="s">
        <v>33</v>
      </c>
      <c r="I324" s="10" t="s">
        <v>435</v>
      </c>
      <c r="J324" s="10" t="s">
        <v>436</v>
      </c>
      <c r="K324" s="35" t="s">
        <v>437</v>
      </c>
      <c r="L324" s="35" t="s">
        <v>106</v>
      </c>
      <c r="M324" s="35" t="s">
        <v>438</v>
      </c>
      <c r="N324" s="35" t="s">
        <v>439</v>
      </c>
      <c r="O324" s="35" t="s">
        <v>195</v>
      </c>
      <c r="P324" s="33">
        <v>1</v>
      </c>
      <c r="Q324" s="33">
        <v>1</v>
      </c>
      <c r="R324" s="32" t="s">
        <v>445</v>
      </c>
      <c r="S324" s="36">
        <v>65</v>
      </c>
    </row>
    <row r="325" spans="1:19" ht="42" hidden="1" customHeight="1">
      <c r="A325" s="10" t="s">
        <v>255</v>
      </c>
      <c r="B325" s="10" t="s">
        <v>60</v>
      </c>
      <c r="C325" s="10" t="s">
        <v>328</v>
      </c>
      <c r="D325" s="10" t="s">
        <v>103</v>
      </c>
      <c r="E325" s="10" t="s">
        <v>225</v>
      </c>
      <c r="F325" s="11">
        <v>2313.2399999999998</v>
      </c>
      <c r="G325" s="21">
        <v>73.6828293081916</v>
      </c>
      <c r="H325" s="34" t="s">
        <v>33</v>
      </c>
      <c r="I325" s="10" t="s">
        <v>435</v>
      </c>
      <c r="J325" s="10" t="s">
        <v>441</v>
      </c>
      <c r="K325" s="35" t="s">
        <v>442</v>
      </c>
      <c r="L325" s="35" t="s">
        <v>116</v>
      </c>
      <c r="M325" s="35" t="s">
        <v>443</v>
      </c>
      <c r="N325" s="35" t="s">
        <v>444</v>
      </c>
      <c r="O325" s="35" t="s">
        <v>195</v>
      </c>
      <c r="P325" s="33">
        <v>4</v>
      </c>
      <c r="Q325" s="33">
        <v>3</v>
      </c>
      <c r="R325" s="32" t="s">
        <v>445</v>
      </c>
      <c r="S325" s="36">
        <v>58</v>
      </c>
    </row>
    <row r="326" spans="1:19" ht="42" hidden="1" customHeight="1">
      <c r="A326" s="10" t="s">
        <v>255</v>
      </c>
      <c r="B326" s="10" t="s">
        <v>60</v>
      </c>
      <c r="C326" s="10" t="s">
        <v>328</v>
      </c>
      <c r="D326" s="10" t="s">
        <v>103</v>
      </c>
      <c r="E326" s="10" t="s">
        <v>213</v>
      </c>
      <c r="F326" s="11">
        <v>1951.33</v>
      </c>
      <c r="G326" s="21">
        <v>72.5</v>
      </c>
      <c r="H326" s="34" t="s">
        <v>33</v>
      </c>
      <c r="I326" s="10" t="s">
        <v>447</v>
      </c>
      <c r="J326" s="10" t="s">
        <v>436</v>
      </c>
      <c r="K326" s="35" t="s">
        <v>448</v>
      </c>
      <c r="L326" s="35" t="s">
        <v>152</v>
      </c>
      <c r="M326" s="35" t="s">
        <v>449</v>
      </c>
      <c r="N326" s="35" t="s">
        <v>450</v>
      </c>
      <c r="O326" s="35" t="s">
        <v>195</v>
      </c>
      <c r="P326" s="33">
        <v>2</v>
      </c>
      <c r="Q326" s="33">
        <v>1</v>
      </c>
      <c r="R326" s="32" t="s">
        <v>451</v>
      </c>
      <c r="S326" s="36">
        <v>28</v>
      </c>
    </row>
    <row r="327" spans="1:19" ht="42" hidden="1" customHeight="1">
      <c r="A327" s="10" t="s">
        <v>255</v>
      </c>
      <c r="B327" s="10" t="s">
        <v>60</v>
      </c>
      <c r="C327" s="10" t="s">
        <v>328</v>
      </c>
      <c r="D327" s="10" t="s">
        <v>103</v>
      </c>
      <c r="E327" s="10" t="s">
        <v>466</v>
      </c>
      <c r="F327" s="11">
        <v>1759.31</v>
      </c>
      <c r="G327" s="21">
        <v>70.5</v>
      </c>
      <c r="H327" s="34" t="s">
        <v>33</v>
      </c>
      <c r="I327" s="10" t="s">
        <v>447</v>
      </c>
      <c r="J327" s="10" t="s">
        <v>436</v>
      </c>
      <c r="K327" s="35" t="s">
        <v>448</v>
      </c>
      <c r="L327" s="35" t="s">
        <v>152</v>
      </c>
      <c r="M327" s="35" t="s">
        <v>449</v>
      </c>
      <c r="N327" s="35" t="s">
        <v>450</v>
      </c>
      <c r="O327" s="35" t="s">
        <v>195</v>
      </c>
      <c r="P327" s="33">
        <v>8</v>
      </c>
      <c r="Q327" s="33">
        <v>7</v>
      </c>
      <c r="R327" s="32" t="s">
        <v>451</v>
      </c>
      <c r="S327" s="36">
        <v>27</v>
      </c>
    </row>
    <row r="328" spans="1:19" ht="42" hidden="1" customHeight="1">
      <c r="A328" s="10" t="s">
        <v>255</v>
      </c>
      <c r="B328" s="10" t="s">
        <v>60</v>
      </c>
      <c r="C328" s="10" t="s">
        <v>328</v>
      </c>
      <c r="D328" s="10" t="s">
        <v>103</v>
      </c>
      <c r="E328" s="10" t="s">
        <v>482</v>
      </c>
      <c r="F328" s="11">
        <v>888.94</v>
      </c>
      <c r="G328" s="21">
        <v>69.454499800427357</v>
      </c>
      <c r="H328" s="34" t="s">
        <v>33</v>
      </c>
      <c r="I328" s="10" t="s">
        <v>447</v>
      </c>
      <c r="J328" s="10" t="s">
        <v>441</v>
      </c>
      <c r="K328" s="35" t="s">
        <v>453</v>
      </c>
      <c r="L328" s="35" t="s">
        <v>135</v>
      </c>
      <c r="M328" s="35" t="s">
        <v>454</v>
      </c>
      <c r="N328" s="35" t="s">
        <v>455</v>
      </c>
      <c r="O328" s="35" t="s">
        <v>195</v>
      </c>
      <c r="P328" s="33">
        <v>1</v>
      </c>
      <c r="Q328" s="33">
        <v>1</v>
      </c>
      <c r="R328" s="32" t="s">
        <v>456</v>
      </c>
      <c r="S328" s="36">
        <v>0</v>
      </c>
    </row>
    <row r="329" spans="1:19" ht="42" hidden="1" customHeight="1">
      <c r="A329" s="10" t="s">
        <v>255</v>
      </c>
      <c r="B329" s="10" t="s">
        <v>60</v>
      </c>
      <c r="C329" s="10" t="s">
        <v>328</v>
      </c>
      <c r="D329" s="10" t="s">
        <v>103</v>
      </c>
      <c r="E329" s="10" t="s">
        <v>457</v>
      </c>
      <c r="F329" s="11">
        <v>472.41</v>
      </c>
      <c r="G329" s="21">
        <v>69</v>
      </c>
      <c r="H329" s="34" t="s">
        <v>33</v>
      </c>
      <c r="I329" s="10" t="s">
        <v>447</v>
      </c>
      <c r="J329" s="10" t="s">
        <v>441</v>
      </c>
      <c r="K329" s="35" t="s">
        <v>453</v>
      </c>
      <c r="L329" s="35" t="s">
        <v>135</v>
      </c>
      <c r="M329" s="35" t="s">
        <v>454</v>
      </c>
      <c r="N329" s="35" t="s">
        <v>455</v>
      </c>
      <c r="O329" s="35" t="s">
        <v>195</v>
      </c>
      <c r="P329" s="33">
        <v>7</v>
      </c>
      <c r="Q329" s="33">
        <v>6</v>
      </c>
      <c r="R329" s="32" t="s">
        <v>456</v>
      </c>
      <c r="S329" s="36">
        <v>0</v>
      </c>
    </row>
    <row r="330" spans="1:19" ht="42" hidden="1" customHeight="1">
      <c r="A330" s="10" t="s">
        <v>255</v>
      </c>
      <c r="B330" s="10" t="s">
        <v>60</v>
      </c>
      <c r="C330" s="10" t="s">
        <v>328</v>
      </c>
      <c r="D330" s="10" t="s">
        <v>103</v>
      </c>
      <c r="E330" s="10" t="s">
        <v>462</v>
      </c>
      <c r="F330" s="11">
        <v>1945.86</v>
      </c>
      <c r="G330" s="21">
        <v>68.852031083007802</v>
      </c>
      <c r="H330" s="34" t="s">
        <v>33</v>
      </c>
      <c r="I330" s="10" t="s">
        <v>447</v>
      </c>
      <c r="J330" s="10" t="s">
        <v>441</v>
      </c>
      <c r="K330" s="35" t="s">
        <v>453</v>
      </c>
      <c r="L330" s="35" t="s">
        <v>135</v>
      </c>
      <c r="M330" s="35" t="s">
        <v>454</v>
      </c>
      <c r="N330" s="35" t="s">
        <v>455</v>
      </c>
      <c r="O330" s="35" t="s">
        <v>195</v>
      </c>
      <c r="P330" s="33">
        <v>7</v>
      </c>
      <c r="Q330" s="33">
        <v>6</v>
      </c>
      <c r="R330" s="32" t="s">
        <v>456</v>
      </c>
      <c r="S330" s="36">
        <v>0</v>
      </c>
    </row>
    <row r="331" spans="1:19" ht="42" hidden="1" customHeight="1">
      <c r="A331" s="10" t="s">
        <v>255</v>
      </c>
      <c r="B331" s="10" t="s">
        <v>60</v>
      </c>
      <c r="C331" s="10" t="s">
        <v>328</v>
      </c>
      <c r="D331" s="10" t="s">
        <v>103</v>
      </c>
      <c r="E331" s="10" t="s">
        <v>467</v>
      </c>
      <c r="F331" s="11">
        <v>1559.81</v>
      </c>
      <c r="G331" s="21">
        <v>67</v>
      </c>
      <c r="H331" s="34" t="s">
        <v>33</v>
      </c>
      <c r="I331" s="10" t="s">
        <v>447</v>
      </c>
      <c r="J331" s="10" t="s">
        <v>441</v>
      </c>
      <c r="K331" s="35" t="s">
        <v>453</v>
      </c>
      <c r="L331" s="35" t="s">
        <v>135</v>
      </c>
      <c r="M331" s="35" t="s">
        <v>454</v>
      </c>
      <c r="N331" s="35" t="s">
        <v>455</v>
      </c>
      <c r="O331" s="35" t="s">
        <v>195</v>
      </c>
      <c r="P331" s="33">
        <v>7</v>
      </c>
      <c r="Q331" s="33">
        <v>6</v>
      </c>
      <c r="R331" s="32" t="s">
        <v>456</v>
      </c>
      <c r="S331" s="36">
        <v>0</v>
      </c>
    </row>
    <row r="332" spans="1:19" ht="42" hidden="1" customHeight="1">
      <c r="A332" s="10" t="s">
        <v>101</v>
      </c>
      <c r="B332" s="10" t="s">
        <v>60</v>
      </c>
      <c r="C332" s="10" t="s">
        <v>306</v>
      </c>
      <c r="D332" s="10" t="s">
        <v>149</v>
      </c>
      <c r="E332" s="10" t="s">
        <v>151</v>
      </c>
      <c r="F332" s="11">
        <v>5528.77</v>
      </c>
      <c r="G332" s="21">
        <v>73.716129184412011</v>
      </c>
      <c r="H332" s="34" t="s">
        <v>33</v>
      </c>
      <c r="I332" s="10" t="s">
        <v>447</v>
      </c>
      <c r="J332" s="10" t="s">
        <v>436</v>
      </c>
      <c r="K332" s="35" t="s">
        <v>448</v>
      </c>
      <c r="L332" s="35" t="s">
        <v>152</v>
      </c>
      <c r="M332" s="35" t="s">
        <v>449</v>
      </c>
      <c r="N332" s="35" t="s">
        <v>450</v>
      </c>
      <c r="O332" s="35" t="s">
        <v>195</v>
      </c>
      <c r="P332" s="33">
        <v>6</v>
      </c>
      <c r="Q332" s="33">
        <v>5</v>
      </c>
      <c r="R332" s="32" t="s">
        <v>463</v>
      </c>
      <c r="S332" s="36">
        <v>0</v>
      </c>
    </row>
    <row r="333" spans="1:19" ht="42" hidden="1" customHeight="1">
      <c r="A333" s="10" t="s">
        <v>101</v>
      </c>
      <c r="B333" s="10" t="s">
        <v>60</v>
      </c>
      <c r="C333" s="10" t="s">
        <v>306</v>
      </c>
      <c r="D333" s="10" t="s">
        <v>149</v>
      </c>
      <c r="E333" s="10" t="s">
        <v>193</v>
      </c>
      <c r="F333" s="11">
        <v>7048.54</v>
      </c>
      <c r="G333" s="21">
        <v>71.335273425396053</v>
      </c>
      <c r="H333" s="34" t="s">
        <v>33</v>
      </c>
      <c r="I333" s="10" t="s">
        <v>447</v>
      </c>
      <c r="J333" s="10" t="s">
        <v>441</v>
      </c>
      <c r="K333" s="35" t="s">
        <v>453</v>
      </c>
      <c r="L333" s="35" t="s">
        <v>135</v>
      </c>
      <c r="M333" s="35" t="s">
        <v>454</v>
      </c>
      <c r="N333" s="35" t="s">
        <v>455</v>
      </c>
      <c r="O333" s="35" t="s">
        <v>195</v>
      </c>
      <c r="P333" s="33">
        <v>6</v>
      </c>
      <c r="Q333" s="33">
        <v>5</v>
      </c>
      <c r="R333" s="32" t="s">
        <v>463</v>
      </c>
      <c r="S333" s="36">
        <v>0</v>
      </c>
    </row>
    <row r="334" spans="1:19" ht="42" hidden="1" customHeight="1">
      <c r="A334" s="10" t="s">
        <v>101</v>
      </c>
      <c r="B334" s="10" t="s">
        <v>60</v>
      </c>
      <c r="C334" s="10" t="s">
        <v>306</v>
      </c>
      <c r="D334" s="10" t="s">
        <v>149</v>
      </c>
      <c r="E334" s="10" t="s">
        <v>469</v>
      </c>
      <c r="F334" s="11">
        <v>3376.26</v>
      </c>
      <c r="G334" s="21">
        <v>65.700967292390857</v>
      </c>
      <c r="H334" s="34" t="s">
        <v>33</v>
      </c>
      <c r="I334" s="10" t="s">
        <v>447</v>
      </c>
      <c r="J334" s="10" t="s">
        <v>441</v>
      </c>
      <c r="K334" s="35" t="s">
        <v>453</v>
      </c>
      <c r="L334" s="35" t="s">
        <v>135</v>
      </c>
      <c r="M334" s="35" t="s">
        <v>454</v>
      </c>
      <c r="N334" s="35" t="s">
        <v>455</v>
      </c>
      <c r="O334" s="35" t="s">
        <v>195</v>
      </c>
      <c r="P334" s="33">
        <v>6</v>
      </c>
      <c r="Q334" s="33">
        <v>5</v>
      </c>
      <c r="R334" s="32" t="s">
        <v>463</v>
      </c>
      <c r="S334" s="36">
        <v>0</v>
      </c>
    </row>
    <row r="335" spans="1:19" ht="42" hidden="1" customHeight="1">
      <c r="A335" s="10" t="s">
        <v>101</v>
      </c>
      <c r="B335" s="10" t="s">
        <v>60</v>
      </c>
      <c r="C335" s="10" t="s">
        <v>264</v>
      </c>
      <c r="D335" s="10" t="s">
        <v>149</v>
      </c>
      <c r="E335" s="10" t="s">
        <v>446</v>
      </c>
      <c r="F335" s="11">
        <v>6526.02</v>
      </c>
      <c r="G335" s="21">
        <v>72.255398324992285</v>
      </c>
      <c r="H335" s="34" t="s">
        <v>33</v>
      </c>
      <c r="I335" s="10" t="s">
        <v>447</v>
      </c>
      <c r="J335" s="10" t="s">
        <v>436</v>
      </c>
      <c r="K335" s="35" t="s">
        <v>448</v>
      </c>
      <c r="L335" s="35" t="s">
        <v>152</v>
      </c>
      <c r="M335" s="35" t="s">
        <v>449</v>
      </c>
      <c r="N335" s="35" t="s">
        <v>450</v>
      </c>
      <c r="O335" s="35" t="s">
        <v>195</v>
      </c>
      <c r="P335" s="33">
        <v>5</v>
      </c>
      <c r="Q335" s="33">
        <v>4</v>
      </c>
      <c r="R335" s="32" t="s">
        <v>463</v>
      </c>
      <c r="S335" s="36">
        <v>0</v>
      </c>
    </row>
    <row r="336" spans="1:19" ht="42" hidden="1" customHeight="1">
      <c r="A336" s="10" t="s">
        <v>101</v>
      </c>
      <c r="B336" s="10" t="s">
        <v>60</v>
      </c>
      <c r="C336" s="10" t="s">
        <v>264</v>
      </c>
      <c r="D336" s="10" t="s">
        <v>149</v>
      </c>
      <c r="E336" s="10" t="s">
        <v>151</v>
      </c>
      <c r="F336" s="11">
        <v>1920.06</v>
      </c>
      <c r="G336" s="21">
        <v>68.716129184412011</v>
      </c>
      <c r="H336" s="34" t="s">
        <v>33</v>
      </c>
      <c r="I336" s="10" t="s">
        <v>447</v>
      </c>
      <c r="J336" s="10" t="s">
        <v>436</v>
      </c>
      <c r="K336" s="35" t="s">
        <v>448</v>
      </c>
      <c r="L336" s="35" t="s">
        <v>152</v>
      </c>
      <c r="M336" s="35" t="s">
        <v>449</v>
      </c>
      <c r="N336" s="35" t="s">
        <v>450</v>
      </c>
      <c r="O336" s="35" t="s">
        <v>195</v>
      </c>
      <c r="P336" s="33">
        <v>8</v>
      </c>
      <c r="Q336" s="33">
        <v>7</v>
      </c>
      <c r="R336" s="32" t="s">
        <v>463</v>
      </c>
      <c r="S336" s="36">
        <v>0</v>
      </c>
    </row>
    <row r="337" spans="1:19" ht="42" hidden="1" customHeight="1">
      <c r="A337" s="10" t="s">
        <v>101</v>
      </c>
      <c r="B337" s="10" t="s">
        <v>60</v>
      </c>
      <c r="C337" s="10" t="s">
        <v>264</v>
      </c>
      <c r="D337" s="10" t="s">
        <v>149</v>
      </c>
      <c r="E337" s="10" t="s">
        <v>466</v>
      </c>
      <c r="F337" s="11">
        <v>2322</v>
      </c>
      <c r="G337" s="21">
        <v>66.75</v>
      </c>
      <c r="H337" s="34" t="s">
        <v>33</v>
      </c>
      <c r="I337" s="10" t="s">
        <v>447</v>
      </c>
      <c r="J337" s="10" t="s">
        <v>436</v>
      </c>
      <c r="K337" s="35" t="s">
        <v>448</v>
      </c>
      <c r="L337" s="35" t="s">
        <v>152</v>
      </c>
      <c r="M337" s="35" t="s">
        <v>449</v>
      </c>
      <c r="N337" s="35" t="s">
        <v>450</v>
      </c>
      <c r="O337" s="35" t="s">
        <v>195</v>
      </c>
      <c r="P337" s="33">
        <v>5</v>
      </c>
      <c r="Q337" s="33">
        <v>4</v>
      </c>
      <c r="R337" s="32" t="s">
        <v>463</v>
      </c>
      <c r="S337" s="36">
        <v>0</v>
      </c>
    </row>
    <row r="338" spans="1:19" ht="42" hidden="1" customHeight="1">
      <c r="A338" s="10" t="s">
        <v>111</v>
      </c>
      <c r="B338" s="10" t="s">
        <v>161</v>
      </c>
      <c r="C338" s="10" t="s">
        <v>268</v>
      </c>
      <c r="D338" s="10" t="s">
        <v>127</v>
      </c>
      <c r="E338" s="10" t="s">
        <v>269</v>
      </c>
      <c r="F338" s="11">
        <v>12639.12</v>
      </c>
      <c r="G338" s="21">
        <v>83.5</v>
      </c>
      <c r="H338" s="34" t="s">
        <v>31</v>
      </c>
      <c r="I338" s="10" t="s">
        <v>447</v>
      </c>
      <c r="J338" s="10" t="s">
        <v>436</v>
      </c>
      <c r="K338" s="35" t="s">
        <v>448</v>
      </c>
      <c r="L338" s="35" t="s">
        <v>152</v>
      </c>
      <c r="M338" s="35" t="s">
        <v>449</v>
      </c>
      <c r="N338" s="35" t="s">
        <v>450</v>
      </c>
      <c r="O338" s="35" t="s">
        <v>125</v>
      </c>
      <c r="P338" s="33">
        <v>5</v>
      </c>
      <c r="Q338" s="33">
        <v>4</v>
      </c>
      <c r="R338" s="32" t="s">
        <v>451</v>
      </c>
      <c r="S338" s="36">
        <v>1300</v>
      </c>
    </row>
    <row r="339" spans="1:19" ht="42" hidden="1" customHeight="1">
      <c r="A339" s="10" t="s">
        <v>215</v>
      </c>
      <c r="B339" s="10" t="s">
        <v>60</v>
      </c>
      <c r="C339" s="10" t="s">
        <v>332</v>
      </c>
      <c r="D339" s="10" t="s">
        <v>103</v>
      </c>
      <c r="E339" s="10" t="s">
        <v>151</v>
      </c>
      <c r="F339" s="11">
        <v>104668.26</v>
      </c>
      <c r="G339" s="21">
        <v>91.216129184412011</v>
      </c>
      <c r="H339" s="34" t="s">
        <v>31</v>
      </c>
      <c r="I339" s="10" t="s">
        <v>447</v>
      </c>
      <c r="J339" s="10" t="s">
        <v>436</v>
      </c>
      <c r="K339" s="35" t="s">
        <v>448</v>
      </c>
      <c r="L339" s="35" t="s">
        <v>152</v>
      </c>
      <c r="M339" s="35" t="s">
        <v>449</v>
      </c>
      <c r="N339" s="35" t="s">
        <v>450</v>
      </c>
      <c r="O339" s="35" t="s">
        <v>125</v>
      </c>
      <c r="P339" s="33">
        <v>7</v>
      </c>
      <c r="Q339" s="33">
        <v>6</v>
      </c>
      <c r="R339" s="32" t="s">
        <v>451</v>
      </c>
      <c r="S339" s="36">
        <v>302</v>
      </c>
    </row>
    <row r="340" spans="1:19" ht="42" hidden="1" customHeight="1">
      <c r="A340" s="10" t="s">
        <v>215</v>
      </c>
      <c r="B340" s="10" t="s">
        <v>60</v>
      </c>
      <c r="C340" s="10" t="s">
        <v>332</v>
      </c>
      <c r="D340" s="10" t="s">
        <v>103</v>
      </c>
      <c r="E340" s="10" t="s">
        <v>181</v>
      </c>
      <c r="F340" s="11">
        <v>23580.1</v>
      </c>
      <c r="G340" s="21">
        <v>87.5</v>
      </c>
      <c r="H340" s="34" t="s">
        <v>31</v>
      </c>
      <c r="I340" s="10" t="s">
        <v>435</v>
      </c>
      <c r="J340" s="10" t="s">
        <v>441</v>
      </c>
      <c r="K340" s="35" t="s">
        <v>442</v>
      </c>
      <c r="L340" s="35" t="s">
        <v>116</v>
      </c>
      <c r="M340" s="35" t="s">
        <v>443</v>
      </c>
      <c r="N340" s="35" t="s">
        <v>444</v>
      </c>
      <c r="O340" s="35" t="s">
        <v>125</v>
      </c>
      <c r="P340" s="33">
        <v>3</v>
      </c>
      <c r="Q340" s="33">
        <v>2</v>
      </c>
      <c r="R340" s="32" t="s">
        <v>440</v>
      </c>
      <c r="S340" s="36">
        <v>2363</v>
      </c>
    </row>
    <row r="341" spans="1:19" ht="42" hidden="1" customHeight="1">
      <c r="A341" s="10" t="s">
        <v>215</v>
      </c>
      <c r="B341" s="10" t="s">
        <v>60</v>
      </c>
      <c r="C341" s="10" t="s">
        <v>332</v>
      </c>
      <c r="D341" s="10" t="s">
        <v>103</v>
      </c>
      <c r="E341" s="10" t="s">
        <v>464</v>
      </c>
      <c r="F341" s="11">
        <v>52758.92</v>
      </c>
      <c r="G341" s="21">
        <v>86.498742920880659</v>
      </c>
      <c r="H341" s="34" t="s">
        <v>31</v>
      </c>
      <c r="I341" s="10" t="s">
        <v>447</v>
      </c>
      <c r="J341" s="10" t="s">
        <v>436</v>
      </c>
      <c r="K341" s="35" t="s">
        <v>448</v>
      </c>
      <c r="L341" s="35" t="s">
        <v>152</v>
      </c>
      <c r="M341" s="35" t="s">
        <v>449</v>
      </c>
      <c r="N341" s="35" t="s">
        <v>450</v>
      </c>
      <c r="O341" s="35" t="s">
        <v>125</v>
      </c>
      <c r="P341" s="33">
        <v>3</v>
      </c>
      <c r="Q341" s="33">
        <v>2</v>
      </c>
      <c r="R341" s="32" t="s">
        <v>451</v>
      </c>
      <c r="S341" s="36">
        <v>155</v>
      </c>
    </row>
    <row r="342" spans="1:19" ht="42" hidden="1" customHeight="1">
      <c r="A342" s="10" t="s">
        <v>215</v>
      </c>
      <c r="B342" s="10" t="s">
        <v>60</v>
      </c>
      <c r="C342" s="10" t="s">
        <v>332</v>
      </c>
      <c r="D342" s="10" t="s">
        <v>103</v>
      </c>
      <c r="E342" s="10" t="s">
        <v>115</v>
      </c>
      <c r="F342" s="11">
        <v>12876.93</v>
      </c>
      <c r="G342" s="21">
        <v>81.029969712371766</v>
      </c>
      <c r="H342" s="34" t="s">
        <v>31</v>
      </c>
      <c r="I342" s="10" t="s">
        <v>435</v>
      </c>
      <c r="J342" s="10" t="s">
        <v>441</v>
      </c>
      <c r="K342" s="35" t="s">
        <v>442</v>
      </c>
      <c r="L342" s="35" t="s">
        <v>116</v>
      </c>
      <c r="M342" s="35" t="s">
        <v>443</v>
      </c>
      <c r="N342" s="35" t="s">
        <v>444</v>
      </c>
      <c r="O342" s="35" t="s">
        <v>125</v>
      </c>
      <c r="P342" s="33">
        <v>5</v>
      </c>
      <c r="Q342" s="33">
        <v>4</v>
      </c>
      <c r="R342" s="32" t="s">
        <v>445</v>
      </c>
      <c r="S342" s="36">
        <v>103</v>
      </c>
    </row>
    <row r="343" spans="1:19" ht="42" hidden="1" customHeight="1">
      <c r="A343" s="10" t="s">
        <v>215</v>
      </c>
      <c r="B343" s="10" t="s">
        <v>60</v>
      </c>
      <c r="C343" s="10" t="s">
        <v>332</v>
      </c>
      <c r="D343" s="10" t="s">
        <v>103</v>
      </c>
      <c r="E343" s="10" t="s">
        <v>193</v>
      </c>
      <c r="F343" s="11">
        <v>5373.04</v>
      </c>
      <c r="G343" s="21">
        <v>80.585273425396053</v>
      </c>
      <c r="H343" s="34" t="s">
        <v>31</v>
      </c>
      <c r="I343" s="10" t="s">
        <v>435</v>
      </c>
      <c r="J343" s="10" t="s">
        <v>436</v>
      </c>
      <c r="K343" s="35" t="s">
        <v>437</v>
      </c>
      <c r="L343" s="35" t="s">
        <v>106</v>
      </c>
      <c r="M343" s="35" t="s">
        <v>438</v>
      </c>
      <c r="N343" s="35" t="s">
        <v>439</v>
      </c>
      <c r="O343" s="35" t="s">
        <v>125</v>
      </c>
      <c r="P343" s="33">
        <v>7</v>
      </c>
      <c r="Q343" s="33">
        <v>6</v>
      </c>
      <c r="R343" s="32" t="s">
        <v>445</v>
      </c>
      <c r="S343" s="36">
        <v>66</v>
      </c>
    </row>
    <row r="344" spans="1:19" ht="42" hidden="1" customHeight="1">
      <c r="A344" s="10" t="s">
        <v>215</v>
      </c>
      <c r="B344" s="10" t="s">
        <v>60</v>
      </c>
      <c r="C344" s="10" t="s">
        <v>332</v>
      </c>
      <c r="D344" s="10" t="s">
        <v>103</v>
      </c>
      <c r="E344" s="10" t="s">
        <v>468</v>
      </c>
      <c r="F344" s="11">
        <v>11220.18</v>
      </c>
      <c r="G344" s="21">
        <v>79.25</v>
      </c>
      <c r="H344" s="34" t="s">
        <v>33</v>
      </c>
      <c r="I344" s="10" t="s">
        <v>435</v>
      </c>
      <c r="J344" s="10" t="s">
        <v>436</v>
      </c>
      <c r="K344" s="35" t="s">
        <v>437</v>
      </c>
      <c r="L344" s="35" t="s">
        <v>106</v>
      </c>
      <c r="M344" s="35" t="s">
        <v>438</v>
      </c>
      <c r="N344" s="35" t="s">
        <v>439</v>
      </c>
      <c r="O344" s="35" t="s">
        <v>195</v>
      </c>
      <c r="P344" s="33">
        <v>2</v>
      </c>
      <c r="Q344" s="33">
        <v>1</v>
      </c>
      <c r="R344" s="32" t="s">
        <v>445</v>
      </c>
      <c r="S344" s="36">
        <v>86</v>
      </c>
    </row>
    <row r="345" spans="1:19" ht="42" hidden="1" customHeight="1">
      <c r="A345" s="10" t="s">
        <v>215</v>
      </c>
      <c r="B345" s="10" t="s">
        <v>60</v>
      </c>
      <c r="C345" s="10" t="s">
        <v>332</v>
      </c>
      <c r="D345" s="10" t="s">
        <v>103</v>
      </c>
      <c r="E345" s="10" t="s">
        <v>459</v>
      </c>
      <c r="F345" s="11">
        <v>1777.25</v>
      </c>
      <c r="G345" s="21">
        <v>79.25</v>
      </c>
      <c r="H345" s="34" t="s">
        <v>33</v>
      </c>
      <c r="I345" s="10" t="s">
        <v>435</v>
      </c>
      <c r="J345" s="10" t="s">
        <v>436</v>
      </c>
      <c r="K345" s="35" t="s">
        <v>437</v>
      </c>
      <c r="L345" s="35" t="s">
        <v>106</v>
      </c>
      <c r="M345" s="35" t="s">
        <v>438</v>
      </c>
      <c r="N345" s="35" t="s">
        <v>439</v>
      </c>
      <c r="O345" s="35" t="s">
        <v>195</v>
      </c>
      <c r="P345" s="33">
        <v>3</v>
      </c>
      <c r="Q345" s="33">
        <v>2</v>
      </c>
      <c r="R345" s="32" t="s">
        <v>445</v>
      </c>
      <c r="S345" s="36">
        <v>48</v>
      </c>
    </row>
    <row r="346" spans="1:19" ht="42" hidden="1" customHeight="1">
      <c r="A346" s="10" t="s">
        <v>215</v>
      </c>
      <c r="B346" s="10" t="s">
        <v>60</v>
      </c>
      <c r="C346" s="10" t="s">
        <v>332</v>
      </c>
      <c r="D346" s="10" t="s">
        <v>103</v>
      </c>
      <c r="E346" s="10" t="s">
        <v>462</v>
      </c>
      <c r="F346" s="11">
        <v>8216.44</v>
      </c>
      <c r="G346" s="21">
        <v>76.352031083007802</v>
      </c>
      <c r="H346" s="34" t="s">
        <v>33</v>
      </c>
      <c r="I346" s="10" t="s">
        <v>435</v>
      </c>
      <c r="J346" s="10" t="s">
        <v>441</v>
      </c>
      <c r="K346" s="35" t="s">
        <v>442</v>
      </c>
      <c r="L346" s="35" t="s">
        <v>116</v>
      </c>
      <c r="M346" s="35" t="s">
        <v>443</v>
      </c>
      <c r="N346" s="35" t="s">
        <v>444</v>
      </c>
      <c r="O346" s="35" t="s">
        <v>195</v>
      </c>
      <c r="P346" s="33">
        <v>1</v>
      </c>
      <c r="Q346" s="33">
        <v>1</v>
      </c>
      <c r="R346" s="32" t="s">
        <v>445</v>
      </c>
      <c r="S346" s="36">
        <v>73</v>
      </c>
    </row>
    <row r="347" spans="1:19" ht="42" hidden="1" customHeight="1">
      <c r="A347" s="10" t="s">
        <v>215</v>
      </c>
      <c r="B347" s="10" t="s">
        <v>60</v>
      </c>
      <c r="C347" s="10" t="s">
        <v>332</v>
      </c>
      <c r="D347" s="10" t="s">
        <v>103</v>
      </c>
      <c r="E347" s="10" t="s">
        <v>446</v>
      </c>
      <c r="F347" s="11">
        <v>2534.6999999999998</v>
      </c>
      <c r="G347" s="21">
        <v>72.462101858847163</v>
      </c>
      <c r="H347" s="34" t="s">
        <v>33</v>
      </c>
      <c r="I347" s="10" t="s">
        <v>447</v>
      </c>
      <c r="J347" s="10" t="s">
        <v>436</v>
      </c>
      <c r="K347" s="35" t="s">
        <v>448</v>
      </c>
      <c r="L347" s="35" t="s">
        <v>152</v>
      </c>
      <c r="M347" s="35" t="s">
        <v>449</v>
      </c>
      <c r="N347" s="35" t="s">
        <v>450</v>
      </c>
      <c r="O347" s="35" t="s">
        <v>195</v>
      </c>
      <c r="P347" s="33">
        <v>7</v>
      </c>
      <c r="Q347" s="33">
        <v>6</v>
      </c>
      <c r="R347" s="32" t="s">
        <v>451</v>
      </c>
      <c r="S347" s="36">
        <v>25</v>
      </c>
    </row>
    <row r="348" spans="1:19" ht="42" hidden="1" customHeight="1">
      <c r="A348" s="10" t="s">
        <v>215</v>
      </c>
      <c r="B348" s="10" t="s">
        <v>60</v>
      </c>
      <c r="C348" s="10" t="s">
        <v>332</v>
      </c>
      <c r="D348" s="10" t="s">
        <v>103</v>
      </c>
      <c r="E348" s="10" t="s">
        <v>479</v>
      </c>
      <c r="F348" s="11">
        <v>4985</v>
      </c>
      <c r="G348" s="21">
        <v>70.25</v>
      </c>
      <c r="H348" s="34" t="s">
        <v>33</v>
      </c>
      <c r="I348" s="10" t="s">
        <v>435</v>
      </c>
      <c r="J348" s="10" t="s">
        <v>441</v>
      </c>
      <c r="K348" s="35" t="s">
        <v>442</v>
      </c>
      <c r="L348" s="35" t="s">
        <v>116</v>
      </c>
      <c r="M348" s="35" t="s">
        <v>443</v>
      </c>
      <c r="N348" s="35" t="s">
        <v>444</v>
      </c>
      <c r="O348" s="35" t="s">
        <v>195</v>
      </c>
      <c r="P348" s="33">
        <v>7</v>
      </c>
      <c r="Q348" s="33">
        <v>6</v>
      </c>
      <c r="R348" s="32" t="s">
        <v>445</v>
      </c>
      <c r="S348" s="36">
        <v>58</v>
      </c>
    </row>
    <row r="349" spans="1:19" ht="42" hidden="1" customHeight="1">
      <c r="A349" s="10" t="s">
        <v>215</v>
      </c>
      <c r="B349" s="10" t="s">
        <v>60</v>
      </c>
      <c r="C349" s="10" t="s">
        <v>332</v>
      </c>
      <c r="D349" s="10" t="s">
        <v>103</v>
      </c>
      <c r="E349" s="10" t="s">
        <v>457</v>
      </c>
      <c r="F349" s="11">
        <v>3114.83</v>
      </c>
      <c r="G349" s="21">
        <v>69</v>
      </c>
      <c r="H349" s="34" t="s">
        <v>33</v>
      </c>
      <c r="I349" s="10" t="s">
        <v>447</v>
      </c>
      <c r="J349" s="10" t="s">
        <v>441</v>
      </c>
      <c r="K349" s="35" t="s">
        <v>453</v>
      </c>
      <c r="L349" s="35" t="s">
        <v>135</v>
      </c>
      <c r="M349" s="35" t="s">
        <v>454</v>
      </c>
      <c r="N349" s="35" t="s">
        <v>455</v>
      </c>
      <c r="O349" s="35" t="s">
        <v>195</v>
      </c>
      <c r="P349" s="33">
        <v>7</v>
      </c>
      <c r="Q349" s="33">
        <v>6</v>
      </c>
      <c r="R349" s="32" t="s">
        <v>456</v>
      </c>
      <c r="S349" s="36">
        <v>0</v>
      </c>
    </row>
    <row r="350" spans="1:19" ht="42" hidden="1" customHeight="1">
      <c r="A350" s="10" t="s">
        <v>215</v>
      </c>
      <c r="B350" s="10" t="s">
        <v>60</v>
      </c>
      <c r="C350" s="10" t="s">
        <v>332</v>
      </c>
      <c r="D350" s="10" t="s">
        <v>103</v>
      </c>
      <c r="E350" s="10" t="s">
        <v>475</v>
      </c>
      <c r="F350" s="11">
        <v>168.87</v>
      </c>
      <c r="G350" s="21">
        <v>66.277428619890031</v>
      </c>
      <c r="H350" s="34" t="s">
        <v>33</v>
      </c>
      <c r="I350" s="10" t="s">
        <v>447</v>
      </c>
      <c r="J350" s="10" t="s">
        <v>441</v>
      </c>
      <c r="K350" s="35" t="s">
        <v>453</v>
      </c>
      <c r="L350" s="35" t="s">
        <v>135</v>
      </c>
      <c r="M350" s="35" t="s">
        <v>454</v>
      </c>
      <c r="N350" s="35" t="s">
        <v>455</v>
      </c>
      <c r="O350" s="35" t="s">
        <v>195</v>
      </c>
      <c r="P350" s="33">
        <v>1</v>
      </c>
      <c r="Q350" s="33">
        <v>1</v>
      </c>
      <c r="R350" s="32" t="s">
        <v>456</v>
      </c>
      <c r="S350" s="36">
        <v>0</v>
      </c>
    </row>
    <row r="351" spans="1:19" ht="42" hidden="1" customHeight="1">
      <c r="A351" s="10" t="s">
        <v>215</v>
      </c>
      <c r="B351" s="10" t="s">
        <v>60</v>
      </c>
      <c r="C351" s="10" t="s">
        <v>332</v>
      </c>
      <c r="D351" s="10" t="s">
        <v>103</v>
      </c>
      <c r="E351" s="10" t="s">
        <v>452</v>
      </c>
      <c r="F351" s="11">
        <v>9050.1200000000008</v>
      </c>
      <c r="G351" s="21">
        <v>65</v>
      </c>
      <c r="H351" s="34" t="s">
        <v>33</v>
      </c>
      <c r="I351" s="10" t="s">
        <v>447</v>
      </c>
      <c r="J351" s="10" t="s">
        <v>441</v>
      </c>
      <c r="K351" s="35" t="s">
        <v>453</v>
      </c>
      <c r="L351" s="35" t="s">
        <v>135</v>
      </c>
      <c r="M351" s="35" t="s">
        <v>454</v>
      </c>
      <c r="N351" s="35" t="s">
        <v>455</v>
      </c>
      <c r="O351" s="35" t="s">
        <v>195</v>
      </c>
      <c r="P351" s="33">
        <v>2</v>
      </c>
      <c r="Q351" s="33">
        <v>1</v>
      </c>
      <c r="R351" s="32" t="s">
        <v>456</v>
      </c>
      <c r="S351" s="36">
        <v>0</v>
      </c>
    </row>
    <row r="352" spans="1:19" ht="42" hidden="1" customHeight="1">
      <c r="A352" s="10" t="s">
        <v>215</v>
      </c>
      <c r="B352" s="10" t="s">
        <v>60</v>
      </c>
      <c r="C352" s="10" t="s">
        <v>332</v>
      </c>
      <c r="D352" s="10" t="s">
        <v>103</v>
      </c>
      <c r="E352" s="10" t="s">
        <v>314</v>
      </c>
      <c r="F352" s="11">
        <v>356.43</v>
      </c>
      <c r="G352" s="21">
        <v>65</v>
      </c>
      <c r="H352" s="34" t="s">
        <v>33</v>
      </c>
      <c r="I352" s="10" t="s">
        <v>447</v>
      </c>
      <c r="J352" s="10" t="s">
        <v>436</v>
      </c>
      <c r="K352" s="35" t="s">
        <v>448</v>
      </c>
      <c r="L352" s="35" t="s">
        <v>152</v>
      </c>
      <c r="M352" s="35" t="s">
        <v>449</v>
      </c>
      <c r="N352" s="35" t="s">
        <v>450</v>
      </c>
      <c r="O352" s="35" t="s">
        <v>195</v>
      </c>
      <c r="P352" s="33">
        <v>12</v>
      </c>
      <c r="Q352" s="33">
        <v>11</v>
      </c>
      <c r="R352" s="32" t="s">
        <v>451</v>
      </c>
      <c r="S352" s="36">
        <v>21</v>
      </c>
    </row>
    <row r="353" spans="1:19" ht="42" hidden="1" customHeight="1">
      <c r="A353" s="10" t="s">
        <v>101</v>
      </c>
      <c r="B353" s="10" t="s">
        <v>60</v>
      </c>
      <c r="C353" s="10" t="s">
        <v>271</v>
      </c>
      <c r="D353" s="10" t="s">
        <v>149</v>
      </c>
      <c r="E353" s="10" t="s">
        <v>193</v>
      </c>
      <c r="F353" s="11">
        <v>640.44000000000005</v>
      </c>
      <c r="G353" s="21">
        <v>73.835273425396053</v>
      </c>
      <c r="H353" s="34" t="s">
        <v>33</v>
      </c>
      <c r="I353" s="10" t="s">
        <v>435</v>
      </c>
      <c r="J353" s="10" t="s">
        <v>441</v>
      </c>
      <c r="K353" s="35" t="s">
        <v>442</v>
      </c>
      <c r="L353" s="35" t="s">
        <v>116</v>
      </c>
      <c r="M353" s="35" t="s">
        <v>443</v>
      </c>
      <c r="N353" s="35" t="s">
        <v>444</v>
      </c>
      <c r="O353" s="35" t="s">
        <v>195</v>
      </c>
      <c r="P353" s="33">
        <v>5</v>
      </c>
      <c r="Q353" s="33">
        <v>4</v>
      </c>
      <c r="R353" s="32" t="s">
        <v>463</v>
      </c>
      <c r="S353" s="36">
        <v>0</v>
      </c>
    </row>
    <row r="354" spans="1:19" ht="42" hidden="1" customHeight="1">
      <c r="A354" s="10" t="s">
        <v>101</v>
      </c>
      <c r="B354" s="10" t="s">
        <v>60</v>
      </c>
      <c r="C354" s="10" t="s">
        <v>271</v>
      </c>
      <c r="D354" s="10" t="s">
        <v>149</v>
      </c>
      <c r="E354" s="10" t="s">
        <v>213</v>
      </c>
      <c r="F354" s="11">
        <v>528.28</v>
      </c>
      <c r="G354" s="21">
        <v>68.75</v>
      </c>
      <c r="H354" s="34" t="s">
        <v>33</v>
      </c>
      <c r="I354" s="10" t="s">
        <v>447</v>
      </c>
      <c r="J354" s="10" t="s">
        <v>436</v>
      </c>
      <c r="K354" s="35" t="s">
        <v>448</v>
      </c>
      <c r="L354" s="35" t="s">
        <v>152</v>
      </c>
      <c r="M354" s="35" t="s">
        <v>449</v>
      </c>
      <c r="N354" s="35" t="s">
        <v>450</v>
      </c>
      <c r="O354" s="35" t="s">
        <v>195</v>
      </c>
      <c r="P354" s="33">
        <v>5</v>
      </c>
      <c r="Q354" s="33">
        <v>4</v>
      </c>
      <c r="R354" s="32" t="s">
        <v>463</v>
      </c>
      <c r="S354" s="36">
        <v>0</v>
      </c>
    </row>
    <row r="355" spans="1:19" ht="42" hidden="1" customHeight="1">
      <c r="A355" s="10" t="s">
        <v>101</v>
      </c>
      <c r="B355" s="10" t="s">
        <v>60</v>
      </c>
      <c r="C355" s="10" t="s">
        <v>271</v>
      </c>
      <c r="D355" s="10" t="s">
        <v>149</v>
      </c>
      <c r="E355" s="10" t="s">
        <v>446</v>
      </c>
      <c r="F355" s="11">
        <v>804.92</v>
      </c>
      <c r="G355" s="21">
        <v>68.712101858847163</v>
      </c>
      <c r="H355" s="34" t="s">
        <v>33</v>
      </c>
      <c r="I355" s="10" t="s">
        <v>447</v>
      </c>
      <c r="J355" s="10" t="s">
        <v>436</v>
      </c>
      <c r="K355" s="35" t="s">
        <v>448</v>
      </c>
      <c r="L355" s="35" t="s">
        <v>152</v>
      </c>
      <c r="M355" s="35" t="s">
        <v>449</v>
      </c>
      <c r="N355" s="35" t="s">
        <v>450</v>
      </c>
      <c r="O355" s="35" t="s">
        <v>195</v>
      </c>
      <c r="P355" s="33">
        <v>5</v>
      </c>
      <c r="Q355" s="33">
        <v>4</v>
      </c>
      <c r="R355" s="32" t="s">
        <v>463</v>
      </c>
      <c r="S355" s="36">
        <v>0</v>
      </c>
    </row>
    <row r="356" spans="1:19" ht="42" hidden="1" customHeight="1">
      <c r="A356" s="10" t="s">
        <v>101</v>
      </c>
      <c r="B356" s="10" t="s">
        <v>60</v>
      </c>
      <c r="C356" s="10" t="s">
        <v>271</v>
      </c>
      <c r="D356" s="10" t="s">
        <v>149</v>
      </c>
      <c r="E356" s="10" t="s">
        <v>462</v>
      </c>
      <c r="F356" s="11">
        <v>675.46</v>
      </c>
      <c r="G356" s="21">
        <v>65.102031083007802</v>
      </c>
      <c r="H356" s="34" t="s">
        <v>33</v>
      </c>
      <c r="I356" s="10" t="s">
        <v>447</v>
      </c>
      <c r="J356" s="10" t="s">
        <v>441</v>
      </c>
      <c r="K356" s="35" t="s">
        <v>453</v>
      </c>
      <c r="L356" s="35" t="s">
        <v>135</v>
      </c>
      <c r="M356" s="35" t="s">
        <v>454</v>
      </c>
      <c r="N356" s="35" t="s">
        <v>455</v>
      </c>
      <c r="O356" s="35" t="s">
        <v>195</v>
      </c>
      <c r="P356" s="33">
        <v>5</v>
      </c>
      <c r="Q356" s="33">
        <v>4</v>
      </c>
      <c r="R356" s="32" t="s">
        <v>463</v>
      </c>
      <c r="S356" s="36">
        <v>0</v>
      </c>
    </row>
    <row r="357" spans="1:19" ht="42" hidden="1" customHeight="1">
      <c r="A357" s="10" t="s">
        <v>119</v>
      </c>
      <c r="B357" s="10" t="s">
        <v>171</v>
      </c>
      <c r="C357" s="10" t="s">
        <v>231</v>
      </c>
      <c r="D357" s="10" t="s">
        <v>103</v>
      </c>
      <c r="E357" s="10" t="s">
        <v>213</v>
      </c>
      <c r="F357" s="11">
        <v>1290.8800000000001</v>
      </c>
      <c r="G357" s="21">
        <v>86.25</v>
      </c>
      <c r="H357" s="34" t="s">
        <v>31</v>
      </c>
      <c r="I357" s="10" t="s">
        <v>447</v>
      </c>
      <c r="J357" s="10" t="s">
        <v>436</v>
      </c>
      <c r="K357" s="35" t="s">
        <v>448</v>
      </c>
      <c r="L357" s="35" t="s">
        <v>152</v>
      </c>
      <c r="M357" s="35" t="s">
        <v>449</v>
      </c>
      <c r="N357" s="35" t="s">
        <v>450</v>
      </c>
      <c r="O357" s="35" t="s">
        <v>125</v>
      </c>
      <c r="P357" s="33">
        <v>4</v>
      </c>
      <c r="Q357" s="33">
        <v>3</v>
      </c>
      <c r="R357" s="32" t="s">
        <v>451</v>
      </c>
      <c r="S357" s="36">
        <v>1300</v>
      </c>
    </row>
    <row r="358" spans="1:19" ht="42" hidden="1" customHeight="1">
      <c r="A358" s="10" t="s">
        <v>119</v>
      </c>
      <c r="B358" s="10" t="s">
        <v>171</v>
      </c>
      <c r="C358" s="10" t="s">
        <v>231</v>
      </c>
      <c r="D358" s="10" t="s">
        <v>103</v>
      </c>
      <c r="E358" s="10" t="s">
        <v>173</v>
      </c>
      <c r="F358" s="11">
        <v>51034.8</v>
      </c>
      <c r="G358" s="21">
        <v>72.5</v>
      </c>
      <c r="H358" s="34" t="s">
        <v>33</v>
      </c>
      <c r="I358" s="10" t="s">
        <v>447</v>
      </c>
      <c r="J358" s="10" t="s">
        <v>471</v>
      </c>
      <c r="K358" s="35" t="s">
        <v>472</v>
      </c>
      <c r="L358" s="35" t="s">
        <v>174</v>
      </c>
      <c r="M358" s="35" t="s">
        <v>473</v>
      </c>
      <c r="N358" s="35" t="s">
        <v>137</v>
      </c>
      <c r="O358" s="35" t="s">
        <v>195</v>
      </c>
      <c r="P358" s="33">
        <v>4</v>
      </c>
      <c r="Q358" s="33">
        <v>3</v>
      </c>
      <c r="R358" s="32" t="s">
        <v>492</v>
      </c>
      <c r="S358" s="36">
        <v>3000</v>
      </c>
    </row>
    <row r="359" spans="1:19" ht="42" hidden="1" customHeight="1">
      <c r="A359" s="10" t="s">
        <v>119</v>
      </c>
      <c r="B359" s="10" t="s">
        <v>171</v>
      </c>
      <c r="C359" s="10" t="s">
        <v>172</v>
      </c>
      <c r="D359" s="10" t="s">
        <v>103</v>
      </c>
      <c r="E359" s="10" t="s">
        <v>173</v>
      </c>
      <c r="F359" s="11">
        <v>150269.15</v>
      </c>
      <c r="G359" s="21">
        <v>72.5</v>
      </c>
      <c r="H359" s="34" t="s">
        <v>33</v>
      </c>
      <c r="I359" s="10" t="s">
        <v>447</v>
      </c>
      <c r="J359" s="10" t="s">
        <v>471</v>
      </c>
      <c r="K359" s="35" t="s">
        <v>472</v>
      </c>
      <c r="L359" s="35" t="s">
        <v>174</v>
      </c>
      <c r="M359" s="35" t="s">
        <v>473</v>
      </c>
      <c r="N359" s="35" t="s">
        <v>137</v>
      </c>
      <c r="O359" s="35" t="s">
        <v>195</v>
      </c>
      <c r="P359" s="33">
        <v>2</v>
      </c>
      <c r="Q359" s="33">
        <v>1</v>
      </c>
      <c r="R359" s="32" t="s">
        <v>492</v>
      </c>
      <c r="S359" s="36">
        <v>3000</v>
      </c>
    </row>
    <row r="360" spans="1:19" ht="42" hidden="1" customHeight="1">
      <c r="A360" s="10" t="s">
        <v>215</v>
      </c>
      <c r="B360" s="10" t="s">
        <v>60</v>
      </c>
      <c r="C360" s="10" t="s">
        <v>234</v>
      </c>
      <c r="D360" s="10" t="s">
        <v>149</v>
      </c>
      <c r="E360" s="10" t="s">
        <v>115</v>
      </c>
      <c r="F360" s="11">
        <v>9244.74</v>
      </c>
      <c r="G360" s="21">
        <v>74.779969712371766</v>
      </c>
      <c r="H360" s="34" t="s">
        <v>33</v>
      </c>
      <c r="I360" s="10" t="s">
        <v>435</v>
      </c>
      <c r="J360" s="10" t="s">
        <v>441</v>
      </c>
      <c r="K360" s="35" t="s">
        <v>442</v>
      </c>
      <c r="L360" s="35" t="s">
        <v>116</v>
      </c>
      <c r="M360" s="35" t="s">
        <v>443</v>
      </c>
      <c r="N360" s="35" t="s">
        <v>444</v>
      </c>
      <c r="O360" s="35" t="s">
        <v>195</v>
      </c>
      <c r="P360" s="33">
        <v>4</v>
      </c>
      <c r="Q360" s="33">
        <v>3</v>
      </c>
      <c r="R360" s="32" t="s">
        <v>463</v>
      </c>
      <c r="S360" s="36">
        <v>0</v>
      </c>
    </row>
    <row r="361" spans="1:19" ht="42" hidden="1" customHeight="1">
      <c r="A361" s="10" t="s">
        <v>215</v>
      </c>
      <c r="B361" s="10" t="s">
        <v>60</v>
      </c>
      <c r="C361" s="10" t="s">
        <v>234</v>
      </c>
      <c r="D361" s="10" t="s">
        <v>149</v>
      </c>
      <c r="E361" s="10" t="s">
        <v>462</v>
      </c>
      <c r="F361" s="11">
        <v>2554.9699999999998</v>
      </c>
      <c r="G361" s="21">
        <v>65.102031083007802</v>
      </c>
      <c r="H361" s="34" t="s">
        <v>33</v>
      </c>
      <c r="I361" s="10" t="s">
        <v>447</v>
      </c>
      <c r="J361" s="10" t="s">
        <v>441</v>
      </c>
      <c r="K361" s="35" t="s">
        <v>453</v>
      </c>
      <c r="L361" s="35" t="s">
        <v>135</v>
      </c>
      <c r="M361" s="35" t="s">
        <v>454</v>
      </c>
      <c r="N361" s="35" t="s">
        <v>455</v>
      </c>
      <c r="O361" s="35" t="s">
        <v>195</v>
      </c>
      <c r="P361" s="33">
        <v>1</v>
      </c>
      <c r="Q361" s="33">
        <v>1</v>
      </c>
      <c r="R361" s="32" t="s">
        <v>463</v>
      </c>
      <c r="S361" s="36">
        <v>0</v>
      </c>
    </row>
    <row r="362" spans="1:19" ht="42" hidden="1" customHeight="1">
      <c r="A362" s="10" t="s">
        <v>111</v>
      </c>
      <c r="B362" s="10" t="s">
        <v>60</v>
      </c>
      <c r="C362" s="10" t="s">
        <v>176</v>
      </c>
      <c r="D362" s="10" t="s">
        <v>149</v>
      </c>
      <c r="E362" s="10" t="s">
        <v>151</v>
      </c>
      <c r="F362" s="11">
        <v>12083.24</v>
      </c>
      <c r="G362" s="21">
        <v>73.716129184412011</v>
      </c>
      <c r="H362" s="34" t="s">
        <v>33</v>
      </c>
      <c r="I362" s="10" t="s">
        <v>447</v>
      </c>
      <c r="J362" s="10" t="s">
        <v>436</v>
      </c>
      <c r="K362" s="35" t="s">
        <v>448</v>
      </c>
      <c r="L362" s="35" t="s">
        <v>152</v>
      </c>
      <c r="M362" s="35" t="s">
        <v>449</v>
      </c>
      <c r="N362" s="35" t="s">
        <v>450</v>
      </c>
      <c r="O362" s="35" t="s">
        <v>195</v>
      </c>
      <c r="P362" s="33">
        <v>1</v>
      </c>
      <c r="Q362" s="33">
        <v>1</v>
      </c>
      <c r="R362" s="32" t="s">
        <v>463</v>
      </c>
      <c r="S362" s="36">
        <v>0</v>
      </c>
    </row>
    <row r="363" spans="1:19" ht="42" hidden="1" customHeight="1">
      <c r="A363" s="10" t="s">
        <v>111</v>
      </c>
      <c r="B363" s="10" t="s">
        <v>60</v>
      </c>
      <c r="C363" s="10" t="s">
        <v>176</v>
      </c>
      <c r="D363" s="10" t="s">
        <v>149</v>
      </c>
      <c r="E363" s="10" t="s">
        <v>464</v>
      </c>
      <c r="F363" s="11">
        <v>3749.64</v>
      </c>
      <c r="G363" s="21">
        <v>68.998742920880659</v>
      </c>
      <c r="H363" s="34" t="s">
        <v>33</v>
      </c>
      <c r="I363" s="10" t="s">
        <v>447</v>
      </c>
      <c r="J363" s="10" t="s">
        <v>436</v>
      </c>
      <c r="K363" s="35" t="s">
        <v>448</v>
      </c>
      <c r="L363" s="35" t="s">
        <v>152</v>
      </c>
      <c r="M363" s="35" t="s">
        <v>449</v>
      </c>
      <c r="N363" s="35" t="s">
        <v>450</v>
      </c>
      <c r="O363" s="35" t="s">
        <v>195</v>
      </c>
      <c r="P363" s="33">
        <v>2</v>
      </c>
      <c r="Q363" s="33">
        <v>1</v>
      </c>
      <c r="R363" s="32" t="s">
        <v>463</v>
      </c>
      <c r="S363" s="36">
        <v>0</v>
      </c>
    </row>
    <row r="364" spans="1:19" ht="42" hidden="1" customHeight="1">
      <c r="A364" s="10" t="s">
        <v>111</v>
      </c>
      <c r="B364" s="10" t="s">
        <v>60</v>
      </c>
      <c r="C364" s="10" t="s">
        <v>180</v>
      </c>
      <c r="D364" s="10" t="s">
        <v>113</v>
      </c>
      <c r="E364" s="10" t="s">
        <v>464</v>
      </c>
      <c r="F364" s="11">
        <v>14549.77</v>
      </c>
      <c r="G364" s="21">
        <v>85.248742920880659</v>
      </c>
      <c r="H364" s="34" t="s">
        <v>31</v>
      </c>
      <c r="I364" s="10" t="s">
        <v>447</v>
      </c>
      <c r="J364" s="10" t="s">
        <v>436</v>
      </c>
      <c r="K364" s="35" t="s">
        <v>448</v>
      </c>
      <c r="L364" s="35" t="s">
        <v>152</v>
      </c>
      <c r="M364" s="35" t="s">
        <v>449</v>
      </c>
      <c r="N364" s="35" t="s">
        <v>450</v>
      </c>
      <c r="O364" s="35" t="s">
        <v>125</v>
      </c>
      <c r="P364" s="33">
        <v>3</v>
      </c>
      <c r="Q364" s="33">
        <v>2</v>
      </c>
      <c r="R364" s="32" t="s">
        <v>456</v>
      </c>
      <c r="S364" s="36">
        <v>0</v>
      </c>
    </row>
    <row r="365" spans="1:19" ht="42" hidden="1" customHeight="1">
      <c r="A365" s="10" t="s">
        <v>111</v>
      </c>
      <c r="B365" s="10" t="s">
        <v>60</v>
      </c>
      <c r="C365" s="10" t="s">
        <v>180</v>
      </c>
      <c r="D365" s="10" t="s">
        <v>113</v>
      </c>
      <c r="E365" s="10" t="s">
        <v>151</v>
      </c>
      <c r="F365" s="11">
        <v>25389.19</v>
      </c>
      <c r="G365" s="21">
        <v>84.966129184412011</v>
      </c>
      <c r="H365" s="34" t="s">
        <v>31</v>
      </c>
      <c r="I365" s="10" t="s">
        <v>447</v>
      </c>
      <c r="J365" s="10" t="s">
        <v>436</v>
      </c>
      <c r="K365" s="35" t="s">
        <v>448</v>
      </c>
      <c r="L365" s="35" t="s">
        <v>152</v>
      </c>
      <c r="M365" s="35" t="s">
        <v>449</v>
      </c>
      <c r="N365" s="35" t="s">
        <v>450</v>
      </c>
      <c r="O365" s="35" t="s">
        <v>125</v>
      </c>
      <c r="P365" s="33">
        <v>10</v>
      </c>
      <c r="Q365" s="33">
        <v>9</v>
      </c>
      <c r="R365" s="32" t="s">
        <v>456</v>
      </c>
      <c r="S365" s="36">
        <v>0</v>
      </c>
    </row>
    <row r="366" spans="1:19" ht="42" hidden="1" customHeight="1">
      <c r="A366" s="10" t="s">
        <v>111</v>
      </c>
      <c r="B366" s="10" t="s">
        <v>60</v>
      </c>
      <c r="C366" s="10" t="s">
        <v>180</v>
      </c>
      <c r="D366" s="10" t="s">
        <v>113</v>
      </c>
      <c r="E366" s="10" t="s">
        <v>181</v>
      </c>
      <c r="F366" s="11">
        <v>8753</v>
      </c>
      <c r="G366" s="21">
        <v>81.25</v>
      </c>
      <c r="H366" s="34" t="s">
        <v>31</v>
      </c>
      <c r="I366" s="10" t="s">
        <v>435</v>
      </c>
      <c r="J366" s="10" t="s">
        <v>441</v>
      </c>
      <c r="K366" s="35" t="s">
        <v>442</v>
      </c>
      <c r="L366" s="35" t="s">
        <v>116</v>
      </c>
      <c r="M366" s="35" t="s">
        <v>443</v>
      </c>
      <c r="N366" s="35" t="s">
        <v>444</v>
      </c>
      <c r="O366" s="35" t="s">
        <v>125</v>
      </c>
      <c r="P366" s="33">
        <v>12</v>
      </c>
      <c r="Q366" s="33">
        <v>11</v>
      </c>
      <c r="R366" s="32" t="s">
        <v>476</v>
      </c>
      <c r="S366" s="36">
        <v>2200</v>
      </c>
    </row>
    <row r="367" spans="1:19" ht="42" hidden="1" customHeight="1">
      <c r="A367" s="10" t="s">
        <v>111</v>
      </c>
      <c r="B367" s="10" t="s">
        <v>60</v>
      </c>
      <c r="C367" s="10" t="s">
        <v>180</v>
      </c>
      <c r="D367" s="10" t="s">
        <v>113</v>
      </c>
      <c r="E367" s="10" t="s">
        <v>193</v>
      </c>
      <c r="F367" s="11">
        <v>194.09</v>
      </c>
      <c r="G367" s="21">
        <v>74.335273425396053</v>
      </c>
      <c r="H367" s="34" t="s">
        <v>33</v>
      </c>
      <c r="I367" s="10" t="s">
        <v>435</v>
      </c>
      <c r="J367" s="10" t="s">
        <v>436</v>
      </c>
      <c r="K367" s="35" t="s">
        <v>437</v>
      </c>
      <c r="L367" s="35" t="s">
        <v>106</v>
      </c>
      <c r="M367" s="35" t="s">
        <v>438</v>
      </c>
      <c r="N367" s="35" t="s">
        <v>439</v>
      </c>
      <c r="O367" s="35" t="s">
        <v>195</v>
      </c>
      <c r="P367" s="33">
        <v>12</v>
      </c>
      <c r="Q367" s="33">
        <v>11</v>
      </c>
      <c r="R367" s="32" t="s">
        <v>456</v>
      </c>
      <c r="S367" s="36">
        <v>0</v>
      </c>
    </row>
    <row r="368" spans="1:19" ht="42" hidden="1" customHeight="1">
      <c r="A368" s="10" t="s">
        <v>119</v>
      </c>
      <c r="B368" s="10" t="s">
        <v>360</v>
      </c>
      <c r="C368" s="10" t="s">
        <v>361</v>
      </c>
      <c r="D368" s="10" t="s">
        <v>103</v>
      </c>
      <c r="E368" s="10" t="s">
        <v>375</v>
      </c>
      <c r="F368" s="11">
        <v>54520.41</v>
      </c>
      <c r="G368" s="21">
        <v>100</v>
      </c>
      <c r="H368" s="34" t="s">
        <v>31</v>
      </c>
      <c r="I368" s="10" t="s">
        <v>435</v>
      </c>
      <c r="J368" s="10" t="s">
        <v>436</v>
      </c>
      <c r="K368" s="35" t="s">
        <v>437</v>
      </c>
      <c r="L368" s="35" t="s">
        <v>106</v>
      </c>
      <c r="M368" s="35" t="s">
        <v>438</v>
      </c>
      <c r="N368" s="35" t="s">
        <v>439</v>
      </c>
      <c r="O368" s="35" t="s">
        <v>125</v>
      </c>
      <c r="P368" s="33">
        <v>11</v>
      </c>
      <c r="Q368" s="33">
        <v>10</v>
      </c>
      <c r="R368" s="32" t="s">
        <v>493</v>
      </c>
      <c r="S368" s="36">
        <v>4453</v>
      </c>
    </row>
    <row r="369" spans="1:19" ht="42" hidden="1" customHeight="1">
      <c r="A369" s="10" t="s">
        <v>119</v>
      </c>
      <c r="B369" s="10" t="s">
        <v>360</v>
      </c>
      <c r="C369" s="10" t="s">
        <v>361</v>
      </c>
      <c r="D369" s="10" t="s">
        <v>103</v>
      </c>
      <c r="E369" s="10" t="s">
        <v>193</v>
      </c>
      <c r="F369" s="11">
        <v>25710.19</v>
      </c>
      <c r="G369" s="21">
        <v>88.085273425396053</v>
      </c>
      <c r="H369" s="34" t="s">
        <v>31</v>
      </c>
      <c r="I369" s="10" t="s">
        <v>435</v>
      </c>
      <c r="J369" s="10" t="s">
        <v>436</v>
      </c>
      <c r="K369" s="35" t="s">
        <v>437</v>
      </c>
      <c r="L369" s="35" t="s">
        <v>106</v>
      </c>
      <c r="M369" s="35" t="s">
        <v>438</v>
      </c>
      <c r="N369" s="35" t="s">
        <v>439</v>
      </c>
      <c r="O369" s="35" t="s">
        <v>125</v>
      </c>
      <c r="P369" s="33">
        <v>2</v>
      </c>
      <c r="Q369" s="33">
        <v>1</v>
      </c>
      <c r="R369" s="32" t="s">
        <v>494</v>
      </c>
      <c r="S369" s="36">
        <v>544</v>
      </c>
    </row>
    <row r="370" spans="1:19" ht="42" hidden="1" customHeight="1">
      <c r="A370" s="10" t="s">
        <v>119</v>
      </c>
      <c r="B370" s="10" t="s">
        <v>360</v>
      </c>
      <c r="C370" s="10" t="s">
        <v>361</v>
      </c>
      <c r="D370" s="10" t="s">
        <v>103</v>
      </c>
      <c r="E370" s="10" t="s">
        <v>446</v>
      </c>
      <c r="F370" s="11">
        <v>51373.48</v>
      </c>
      <c r="G370" s="21">
        <v>86.212101858847163</v>
      </c>
      <c r="H370" s="34" t="s">
        <v>31</v>
      </c>
      <c r="I370" s="10" t="s">
        <v>447</v>
      </c>
      <c r="J370" s="10" t="s">
        <v>436</v>
      </c>
      <c r="K370" s="35" t="s">
        <v>448</v>
      </c>
      <c r="L370" s="35" t="s">
        <v>152</v>
      </c>
      <c r="M370" s="35" t="s">
        <v>449</v>
      </c>
      <c r="N370" s="35" t="s">
        <v>450</v>
      </c>
      <c r="O370" s="35" t="s">
        <v>125</v>
      </c>
      <c r="P370" s="33">
        <v>8</v>
      </c>
      <c r="Q370" s="33">
        <v>7</v>
      </c>
      <c r="R370" s="32" t="s">
        <v>483</v>
      </c>
      <c r="S370" s="36">
        <v>873</v>
      </c>
    </row>
    <row r="371" spans="1:19" ht="42" hidden="1" customHeight="1">
      <c r="A371" s="10" t="s">
        <v>119</v>
      </c>
      <c r="B371" s="10" t="s">
        <v>360</v>
      </c>
      <c r="C371" s="10" t="s">
        <v>361</v>
      </c>
      <c r="D371" s="10" t="s">
        <v>103</v>
      </c>
      <c r="E371" s="10" t="s">
        <v>465</v>
      </c>
      <c r="F371" s="11">
        <v>4804.21</v>
      </c>
      <c r="G371" s="21">
        <v>79.25</v>
      </c>
      <c r="H371" s="34" t="s">
        <v>33</v>
      </c>
      <c r="I371" s="10" t="s">
        <v>435</v>
      </c>
      <c r="J371" s="10" t="s">
        <v>436</v>
      </c>
      <c r="K371" s="35" t="s">
        <v>437</v>
      </c>
      <c r="L371" s="35" t="s">
        <v>106</v>
      </c>
      <c r="M371" s="35" t="s">
        <v>438</v>
      </c>
      <c r="N371" s="35" t="s">
        <v>439</v>
      </c>
      <c r="O371" s="35" t="s">
        <v>195</v>
      </c>
      <c r="P371" s="33">
        <v>8</v>
      </c>
      <c r="Q371" s="33">
        <v>7</v>
      </c>
      <c r="R371" s="32" t="s">
        <v>461</v>
      </c>
      <c r="S371" s="36">
        <v>30</v>
      </c>
    </row>
    <row r="372" spans="1:19" ht="42" hidden="1" customHeight="1">
      <c r="A372" s="10" t="s">
        <v>119</v>
      </c>
      <c r="B372" s="10" t="s">
        <v>360</v>
      </c>
      <c r="C372" s="10" t="s">
        <v>361</v>
      </c>
      <c r="D372" s="10" t="s">
        <v>103</v>
      </c>
      <c r="E372" s="10" t="s">
        <v>213</v>
      </c>
      <c r="F372" s="11">
        <v>7789.69</v>
      </c>
      <c r="G372" s="21">
        <v>72.5</v>
      </c>
      <c r="H372" s="34" t="s">
        <v>33</v>
      </c>
      <c r="I372" s="10" t="s">
        <v>447</v>
      </c>
      <c r="J372" s="10" t="s">
        <v>436</v>
      </c>
      <c r="K372" s="35" t="s">
        <v>448</v>
      </c>
      <c r="L372" s="35" t="s">
        <v>152</v>
      </c>
      <c r="M372" s="35" t="s">
        <v>449</v>
      </c>
      <c r="N372" s="35" t="s">
        <v>450</v>
      </c>
      <c r="O372" s="35" t="s">
        <v>195</v>
      </c>
      <c r="P372" s="33">
        <v>11</v>
      </c>
      <c r="Q372" s="33">
        <v>10</v>
      </c>
      <c r="R372" s="32" t="s">
        <v>456</v>
      </c>
      <c r="S372" s="36">
        <v>0</v>
      </c>
    </row>
    <row r="373" spans="1:19" ht="42" hidden="1" customHeight="1">
      <c r="A373" s="10" t="s">
        <v>119</v>
      </c>
      <c r="B373" s="10" t="s">
        <v>360</v>
      </c>
      <c r="C373" s="10" t="s">
        <v>361</v>
      </c>
      <c r="D373" s="10" t="s">
        <v>103</v>
      </c>
      <c r="E373" s="10" t="s">
        <v>482</v>
      </c>
      <c r="F373" s="11">
        <v>9054</v>
      </c>
      <c r="G373" s="21">
        <v>72.454499800427357</v>
      </c>
      <c r="H373" s="34" t="s">
        <v>33</v>
      </c>
      <c r="I373" s="10" t="s">
        <v>447</v>
      </c>
      <c r="J373" s="10" t="s">
        <v>436</v>
      </c>
      <c r="K373" s="35" t="s">
        <v>448</v>
      </c>
      <c r="L373" s="35" t="s">
        <v>152</v>
      </c>
      <c r="M373" s="35" t="s">
        <v>449</v>
      </c>
      <c r="N373" s="35" t="s">
        <v>450</v>
      </c>
      <c r="O373" s="35" t="s">
        <v>195</v>
      </c>
      <c r="P373" s="33">
        <v>11</v>
      </c>
      <c r="Q373" s="33">
        <v>10</v>
      </c>
      <c r="R373" s="32" t="s">
        <v>456</v>
      </c>
      <c r="S373" s="36">
        <v>0</v>
      </c>
    </row>
    <row r="374" spans="1:19" ht="42" hidden="1" customHeight="1">
      <c r="A374" s="10" t="s">
        <v>119</v>
      </c>
      <c r="B374" s="10" t="s">
        <v>360</v>
      </c>
      <c r="C374" s="10" t="s">
        <v>361</v>
      </c>
      <c r="D374" s="10" t="s">
        <v>103</v>
      </c>
      <c r="E374" s="10" t="s">
        <v>469</v>
      </c>
      <c r="F374" s="11">
        <v>4145.8900000000003</v>
      </c>
      <c r="G374" s="21">
        <v>72.450967292390857</v>
      </c>
      <c r="H374" s="34" t="s">
        <v>33</v>
      </c>
      <c r="I374" s="10" t="s">
        <v>447</v>
      </c>
      <c r="J374" s="10" t="s">
        <v>436</v>
      </c>
      <c r="K374" s="35" t="s">
        <v>448</v>
      </c>
      <c r="L374" s="35" t="s">
        <v>152</v>
      </c>
      <c r="M374" s="35" t="s">
        <v>449</v>
      </c>
      <c r="N374" s="35" t="s">
        <v>450</v>
      </c>
      <c r="O374" s="35" t="s">
        <v>195</v>
      </c>
      <c r="P374" s="33">
        <v>11</v>
      </c>
      <c r="Q374" s="33">
        <v>10</v>
      </c>
      <c r="R374" s="32" t="s">
        <v>456</v>
      </c>
      <c r="S374" s="36">
        <v>0</v>
      </c>
    </row>
    <row r="375" spans="1:19" ht="42" hidden="1" customHeight="1">
      <c r="A375" s="10" t="s">
        <v>119</v>
      </c>
      <c r="B375" s="10" t="s">
        <v>360</v>
      </c>
      <c r="C375" s="10" t="s">
        <v>361</v>
      </c>
      <c r="D375" s="10" t="s">
        <v>103</v>
      </c>
      <c r="E375" s="10" t="s">
        <v>466</v>
      </c>
      <c r="F375" s="11">
        <v>3650.26</v>
      </c>
      <c r="G375" s="21">
        <v>70.5</v>
      </c>
      <c r="H375" s="34" t="s">
        <v>33</v>
      </c>
      <c r="I375" s="10" t="s">
        <v>447</v>
      </c>
      <c r="J375" s="10" t="s">
        <v>436</v>
      </c>
      <c r="K375" s="35" t="s">
        <v>448</v>
      </c>
      <c r="L375" s="35" t="s">
        <v>152</v>
      </c>
      <c r="M375" s="35" t="s">
        <v>449</v>
      </c>
      <c r="N375" s="35" t="s">
        <v>450</v>
      </c>
      <c r="O375" s="35" t="s">
        <v>195</v>
      </c>
      <c r="P375" s="33">
        <v>8</v>
      </c>
      <c r="Q375" s="33">
        <v>7</v>
      </c>
      <c r="R375" s="32" t="s">
        <v>456</v>
      </c>
      <c r="S375" s="36">
        <v>0</v>
      </c>
    </row>
    <row r="376" spans="1:19" ht="42" hidden="1" customHeight="1">
      <c r="A376" s="10" t="s">
        <v>119</v>
      </c>
      <c r="B376" s="10" t="s">
        <v>75</v>
      </c>
      <c r="C376" s="10" t="s">
        <v>400</v>
      </c>
      <c r="D376" s="10" t="s">
        <v>127</v>
      </c>
      <c r="E376" s="10" t="s">
        <v>213</v>
      </c>
      <c r="F376" s="11">
        <v>561068.03</v>
      </c>
      <c r="G376" s="21">
        <v>87.5</v>
      </c>
      <c r="H376" s="34" t="s">
        <v>31</v>
      </c>
      <c r="I376" s="10" t="s">
        <v>447</v>
      </c>
      <c r="J376" s="10" t="s">
        <v>436</v>
      </c>
      <c r="K376" s="35" t="s">
        <v>448</v>
      </c>
      <c r="L376" s="35" t="s">
        <v>152</v>
      </c>
      <c r="M376" s="35" t="s">
        <v>449</v>
      </c>
      <c r="N376" s="35" t="s">
        <v>450</v>
      </c>
      <c r="O376" s="35" t="s">
        <v>125</v>
      </c>
      <c r="P376" s="33">
        <v>1</v>
      </c>
      <c r="Q376" s="33">
        <v>1</v>
      </c>
      <c r="R376" s="32" t="s">
        <v>501</v>
      </c>
      <c r="S376" s="36">
        <v>3059</v>
      </c>
    </row>
    <row r="377" spans="1:19" ht="42" hidden="1" customHeight="1">
      <c r="A377" s="10" t="s">
        <v>119</v>
      </c>
      <c r="B377" s="10" t="s">
        <v>75</v>
      </c>
      <c r="C377" s="10" t="s">
        <v>400</v>
      </c>
      <c r="D377" s="10" t="s">
        <v>127</v>
      </c>
      <c r="E377" s="10" t="s">
        <v>151</v>
      </c>
      <c r="F377" s="11">
        <v>118698.29</v>
      </c>
      <c r="G377" s="21">
        <v>82.466129184412011</v>
      </c>
      <c r="H377" s="34" t="s">
        <v>31</v>
      </c>
      <c r="I377" s="10" t="s">
        <v>447</v>
      </c>
      <c r="J377" s="10" t="s">
        <v>436</v>
      </c>
      <c r="K377" s="35" t="s">
        <v>448</v>
      </c>
      <c r="L377" s="35" t="s">
        <v>152</v>
      </c>
      <c r="M377" s="35" t="s">
        <v>449</v>
      </c>
      <c r="N377" s="35" t="s">
        <v>450</v>
      </c>
      <c r="O377" s="35" t="s">
        <v>125</v>
      </c>
      <c r="P377" s="33">
        <v>11</v>
      </c>
      <c r="Q377" s="33">
        <v>10</v>
      </c>
      <c r="R377" s="32" t="s">
        <v>501</v>
      </c>
      <c r="S377" s="36">
        <v>641</v>
      </c>
    </row>
    <row r="378" spans="1:19" ht="42" hidden="1" customHeight="1">
      <c r="A378" s="10" t="s">
        <v>119</v>
      </c>
      <c r="B378" s="10" t="s">
        <v>75</v>
      </c>
      <c r="C378" s="10" t="s">
        <v>400</v>
      </c>
      <c r="D378" s="10" t="s">
        <v>127</v>
      </c>
      <c r="E378" s="10" t="s">
        <v>469</v>
      </c>
      <c r="F378" s="11">
        <v>37648.620000000003</v>
      </c>
      <c r="G378" s="21">
        <v>79.450967292390857</v>
      </c>
      <c r="H378" s="34" t="s">
        <v>33</v>
      </c>
      <c r="I378" s="10" t="s">
        <v>447</v>
      </c>
      <c r="J378" s="10" t="s">
        <v>441</v>
      </c>
      <c r="K378" s="35" t="s">
        <v>453</v>
      </c>
      <c r="L378" s="35" t="s">
        <v>135</v>
      </c>
      <c r="M378" s="35" t="s">
        <v>454</v>
      </c>
      <c r="N378" s="35" t="s">
        <v>455</v>
      </c>
      <c r="O378" s="35" t="s">
        <v>195</v>
      </c>
      <c r="P378" s="33">
        <v>3</v>
      </c>
      <c r="Q378" s="33">
        <v>2</v>
      </c>
      <c r="R378" s="32" t="s">
        <v>456</v>
      </c>
      <c r="S378" s="36">
        <v>0</v>
      </c>
    </row>
    <row r="379" spans="1:19" ht="42" hidden="1" customHeight="1">
      <c r="A379" s="10" t="s">
        <v>119</v>
      </c>
      <c r="B379" s="10" t="s">
        <v>75</v>
      </c>
      <c r="C379" s="10" t="s">
        <v>400</v>
      </c>
      <c r="D379" s="10" t="s">
        <v>127</v>
      </c>
      <c r="E379" s="10" t="s">
        <v>462</v>
      </c>
      <c r="F379" s="11">
        <v>34898.800000000003</v>
      </c>
      <c r="G379" s="21">
        <v>65.102031083007802</v>
      </c>
      <c r="H379" s="34" t="s">
        <v>33</v>
      </c>
      <c r="I379" s="10" t="s">
        <v>447</v>
      </c>
      <c r="J379" s="10" t="s">
        <v>441</v>
      </c>
      <c r="K379" s="35" t="s">
        <v>453</v>
      </c>
      <c r="L379" s="35" t="s">
        <v>135</v>
      </c>
      <c r="M379" s="35" t="s">
        <v>454</v>
      </c>
      <c r="N379" s="35" t="s">
        <v>455</v>
      </c>
      <c r="O379" s="35" t="s">
        <v>195</v>
      </c>
      <c r="P379" s="33">
        <v>3</v>
      </c>
      <c r="Q379" s="33">
        <v>2</v>
      </c>
      <c r="R379" s="32" t="s">
        <v>456</v>
      </c>
      <c r="S379" s="36">
        <v>0</v>
      </c>
    </row>
    <row r="380" spans="1:19" ht="42" hidden="1" customHeight="1">
      <c r="A380" s="10" t="s">
        <v>101</v>
      </c>
      <c r="B380" s="10" t="s">
        <v>60</v>
      </c>
      <c r="C380" s="10" t="s">
        <v>183</v>
      </c>
      <c r="D380" s="10" t="s">
        <v>149</v>
      </c>
      <c r="E380" s="10" t="s">
        <v>446</v>
      </c>
      <c r="F380" s="11">
        <v>2507.86</v>
      </c>
      <c r="G380" s="21">
        <v>73.712101858847163</v>
      </c>
      <c r="H380" s="34" t="s">
        <v>33</v>
      </c>
      <c r="I380" s="10" t="s">
        <v>447</v>
      </c>
      <c r="J380" s="10" t="s">
        <v>436</v>
      </c>
      <c r="K380" s="35" t="s">
        <v>448</v>
      </c>
      <c r="L380" s="35" t="s">
        <v>152</v>
      </c>
      <c r="M380" s="35" t="s">
        <v>449</v>
      </c>
      <c r="N380" s="35" t="s">
        <v>450</v>
      </c>
      <c r="O380" s="35" t="s">
        <v>195</v>
      </c>
      <c r="P380" s="33">
        <v>3</v>
      </c>
      <c r="Q380" s="33">
        <v>2</v>
      </c>
      <c r="R380" s="32" t="s">
        <v>463</v>
      </c>
      <c r="S380" s="36">
        <v>0</v>
      </c>
    </row>
    <row r="381" spans="1:19" ht="42" hidden="1" customHeight="1">
      <c r="A381" s="10" t="s">
        <v>101</v>
      </c>
      <c r="B381" s="10" t="s">
        <v>60</v>
      </c>
      <c r="C381" s="10" t="s">
        <v>183</v>
      </c>
      <c r="D381" s="10" t="s">
        <v>149</v>
      </c>
      <c r="E381" s="10" t="s">
        <v>213</v>
      </c>
      <c r="F381" s="11">
        <v>388.39</v>
      </c>
      <c r="G381" s="21">
        <v>68.75</v>
      </c>
      <c r="H381" s="34" t="s">
        <v>33</v>
      </c>
      <c r="I381" s="10" t="s">
        <v>447</v>
      </c>
      <c r="J381" s="10" t="s">
        <v>436</v>
      </c>
      <c r="K381" s="35" t="s">
        <v>448</v>
      </c>
      <c r="L381" s="35" t="s">
        <v>152</v>
      </c>
      <c r="M381" s="35" t="s">
        <v>449</v>
      </c>
      <c r="N381" s="35" t="s">
        <v>450</v>
      </c>
      <c r="O381" s="35" t="s">
        <v>195</v>
      </c>
      <c r="P381" s="33">
        <v>3</v>
      </c>
      <c r="Q381" s="33">
        <v>2</v>
      </c>
      <c r="R381" s="32" t="s">
        <v>463</v>
      </c>
      <c r="S381" s="36">
        <v>0</v>
      </c>
    </row>
    <row r="382" spans="1:19" ht="42" hidden="1" customHeight="1">
      <c r="A382" s="10" t="s">
        <v>101</v>
      </c>
      <c r="B382" s="10" t="s">
        <v>60</v>
      </c>
      <c r="C382" s="10" t="s">
        <v>364</v>
      </c>
      <c r="D382" s="10" t="s">
        <v>149</v>
      </c>
      <c r="E382" s="10" t="s">
        <v>193</v>
      </c>
      <c r="F382" s="11">
        <v>1828.12</v>
      </c>
      <c r="G382" s="21">
        <v>74.733323374078921</v>
      </c>
      <c r="H382" s="34" t="s">
        <v>33</v>
      </c>
      <c r="I382" s="10" t="s">
        <v>435</v>
      </c>
      <c r="J382" s="10" t="s">
        <v>441</v>
      </c>
      <c r="K382" s="35" t="s">
        <v>442</v>
      </c>
      <c r="L382" s="35" t="s">
        <v>116</v>
      </c>
      <c r="M382" s="35" t="s">
        <v>443</v>
      </c>
      <c r="N382" s="35" t="s">
        <v>444</v>
      </c>
      <c r="O382" s="35" t="s">
        <v>195</v>
      </c>
      <c r="P382" s="33">
        <v>3</v>
      </c>
      <c r="Q382" s="33">
        <v>2</v>
      </c>
      <c r="R382" s="32" t="s">
        <v>463</v>
      </c>
      <c r="S382" s="36">
        <v>0</v>
      </c>
    </row>
    <row r="383" spans="1:19" ht="42" hidden="1" customHeight="1">
      <c r="A383" s="10" t="s">
        <v>101</v>
      </c>
      <c r="B383" s="10" t="s">
        <v>60</v>
      </c>
      <c r="C383" s="10" t="s">
        <v>364</v>
      </c>
      <c r="D383" s="10" t="s">
        <v>149</v>
      </c>
      <c r="E383" s="10" t="s">
        <v>446</v>
      </c>
      <c r="F383" s="11">
        <v>3104.62</v>
      </c>
      <c r="G383" s="21">
        <v>73.712101858847163</v>
      </c>
      <c r="H383" s="34" t="s">
        <v>33</v>
      </c>
      <c r="I383" s="10" t="s">
        <v>447</v>
      </c>
      <c r="J383" s="10" t="s">
        <v>436</v>
      </c>
      <c r="K383" s="35" t="s">
        <v>448</v>
      </c>
      <c r="L383" s="35" t="s">
        <v>152</v>
      </c>
      <c r="M383" s="35" t="s">
        <v>449</v>
      </c>
      <c r="N383" s="35" t="s">
        <v>450</v>
      </c>
      <c r="O383" s="35" t="s">
        <v>195</v>
      </c>
      <c r="P383" s="33">
        <v>3</v>
      </c>
      <c r="Q383" s="33">
        <v>2</v>
      </c>
      <c r="R383" s="32" t="s">
        <v>463</v>
      </c>
      <c r="S383" s="36">
        <v>0</v>
      </c>
    </row>
    <row r="384" spans="1:19" ht="42" hidden="1" customHeight="1">
      <c r="A384" s="10" t="s">
        <v>101</v>
      </c>
      <c r="B384" s="10" t="s">
        <v>60</v>
      </c>
      <c r="C384" s="10" t="s">
        <v>364</v>
      </c>
      <c r="D384" s="10" t="s">
        <v>149</v>
      </c>
      <c r="E384" s="10" t="s">
        <v>375</v>
      </c>
      <c r="F384" s="11">
        <v>533.70000000000005</v>
      </c>
      <c r="G384" s="21">
        <v>71.25</v>
      </c>
      <c r="H384" s="34" t="s">
        <v>33</v>
      </c>
      <c r="I384" s="10" t="s">
        <v>435</v>
      </c>
      <c r="J384" s="10" t="s">
        <v>436</v>
      </c>
      <c r="K384" s="35" t="s">
        <v>437</v>
      </c>
      <c r="L384" s="35" t="s">
        <v>106</v>
      </c>
      <c r="M384" s="35" t="s">
        <v>438</v>
      </c>
      <c r="N384" s="35" t="s">
        <v>439</v>
      </c>
      <c r="O384" s="35" t="s">
        <v>195</v>
      </c>
      <c r="P384" s="33">
        <v>6</v>
      </c>
      <c r="Q384" s="33">
        <v>5</v>
      </c>
      <c r="R384" s="32" t="s">
        <v>463</v>
      </c>
      <c r="S384" s="36">
        <v>0</v>
      </c>
    </row>
    <row r="385" spans="1:19" ht="42" hidden="1" customHeight="1">
      <c r="A385" s="10" t="s">
        <v>101</v>
      </c>
      <c r="B385" s="10" t="s">
        <v>60</v>
      </c>
      <c r="C385" s="10" t="s">
        <v>364</v>
      </c>
      <c r="D385" s="10" t="s">
        <v>149</v>
      </c>
      <c r="E385" s="10" t="s">
        <v>151</v>
      </c>
      <c r="F385" s="11">
        <v>2328.25</v>
      </c>
      <c r="G385" s="21">
        <v>68.716129184412011</v>
      </c>
      <c r="H385" s="34" t="s">
        <v>33</v>
      </c>
      <c r="I385" s="10" t="s">
        <v>447</v>
      </c>
      <c r="J385" s="10" t="s">
        <v>436</v>
      </c>
      <c r="K385" s="35" t="s">
        <v>448</v>
      </c>
      <c r="L385" s="35" t="s">
        <v>152</v>
      </c>
      <c r="M385" s="35" t="s">
        <v>449</v>
      </c>
      <c r="N385" s="35" t="s">
        <v>450</v>
      </c>
      <c r="O385" s="35" t="s">
        <v>195</v>
      </c>
      <c r="P385" s="33">
        <v>8</v>
      </c>
      <c r="Q385" s="33">
        <v>7</v>
      </c>
      <c r="R385" s="32" t="s">
        <v>463</v>
      </c>
      <c r="S385" s="36">
        <v>0</v>
      </c>
    </row>
    <row r="386" spans="1:19" ht="42" hidden="1" customHeight="1">
      <c r="A386" s="10" t="s">
        <v>101</v>
      </c>
      <c r="B386" s="10" t="s">
        <v>60</v>
      </c>
      <c r="C386" s="10" t="s">
        <v>336</v>
      </c>
      <c r="D386" s="10" t="s">
        <v>149</v>
      </c>
      <c r="E386" s="10" t="s">
        <v>459</v>
      </c>
      <c r="F386" s="11">
        <v>122.17</v>
      </c>
      <c r="G386" s="21">
        <v>75.5</v>
      </c>
      <c r="H386" s="34" t="s">
        <v>33</v>
      </c>
      <c r="I386" s="10" t="s">
        <v>435</v>
      </c>
      <c r="J386" s="10" t="s">
        <v>436</v>
      </c>
      <c r="K386" s="35" t="s">
        <v>437</v>
      </c>
      <c r="L386" s="35" t="s">
        <v>106</v>
      </c>
      <c r="M386" s="35" t="s">
        <v>438</v>
      </c>
      <c r="N386" s="35" t="s">
        <v>439</v>
      </c>
      <c r="O386" s="35" t="s">
        <v>195</v>
      </c>
      <c r="P386" s="33">
        <v>8</v>
      </c>
      <c r="Q386" s="33">
        <v>7</v>
      </c>
      <c r="R386" s="32" t="s">
        <v>463</v>
      </c>
      <c r="S386" s="36">
        <v>0</v>
      </c>
    </row>
    <row r="387" spans="1:19" ht="42" hidden="1" customHeight="1">
      <c r="A387" s="10" t="s">
        <v>101</v>
      </c>
      <c r="B387" s="10" t="s">
        <v>60</v>
      </c>
      <c r="C387" s="10" t="s">
        <v>336</v>
      </c>
      <c r="D387" s="10" t="s">
        <v>149</v>
      </c>
      <c r="E387" s="10" t="s">
        <v>446</v>
      </c>
      <c r="F387" s="11">
        <v>2463.4</v>
      </c>
      <c r="G387" s="21">
        <v>73.712101858847163</v>
      </c>
      <c r="H387" s="34" t="s">
        <v>33</v>
      </c>
      <c r="I387" s="10" t="s">
        <v>447</v>
      </c>
      <c r="J387" s="10" t="s">
        <v>436</v>
      </c>
      <c r="K387" s="35" t="s">
        <v>448</v>
      </c>
      <c r="L387" s="35" t="s">
        <v>152</v>
      </c>
      <c r="M387" s="35" t="s">
        <v>449</v>
      </c>
      <c r="N387" s="35" t="s">
        <v>450</v>
      </c>
      <c r="O387" s="35" t="s">
        <v>195</v>
      </c>
      <c r="P387" s="33">
        <v>7</v>
      </c>
      <c r="Q387" s="33">
        <v>6</v>
      </c>
      <c r="R387" s="32" t="s">
        <v>463</v>
      </c>
      <c r="S387" s="36">
        <v>0</v>
      </c>
    </row>
    <row r="388" spans="1:19" ht="42" hidden="1" customHeight="1">
      <c r="A388" s="10" t="s">
        <v>101</v>
      </c>
      <c r="B388" s="10" t="s">
        <v>60</v>
      </c>
      <c r="C388" s="10" t="s">
        <v>336</v>
      </c>
      <c r="D388" s="10" t="s">
        <v>149</v>
      </c>
      <c r="E388" s="10" t="s">
        <v>464</v>
      </c>
      <c r="F388" s="11">
        <v>101.32</v>
      </c>
      <c r="G388" s="21">
        <v>68.998742920880659</v>
      </c>
      <c r="H388" s="34" t="s">
        <v>33</v>
      </c>
      <c r="I388" s="10" t="s">
        <v>447</v>
      </c>
      <c r="J388" s="10" t="s">
        <v>436</v>
      </c>
      <c r="K388" s="35" t="s">
        <v>448</v>
      </c>
      <c r="L388" s="35" t="s">
        <v>152</v>
      </c>
      <c r="M388" s="35" t="s">
        <v>449</v>
      </c>
      <c r="N388" s="35" t="s">
        <v>450</v>
      </c>
      <c r="O388" s="35" t="s">
        <v>195</v>
      </c>
      <c r="P388" s="33">
        <v>2</v>
      </c>
      <c r="Q388" s="33">
        <v>1</v>
      </c>
      <c r="R388" s="32" t="s">
        <v>463</v>
      </c>
      <c r="S388" s="36">
        <v>0</v>
      </c>
    </row>
    <row r="389" spans="1:19" ht="42" hidden="1" customHeight="1">
      <c r="A389" s="10" t="s">
        <v>275</v>
      </c>
      <c r="B389" s="10" t="s">
        <v>276</v>
      </c>
      <c r="C389" s="10" t="s">
        <v>277</v>
      </c>
      <c r="D389" s="10" t="s">
        <v>127</v>
      </c>
      <c r="E389" s="10" t="s">
        <v>193</v>
      </c>
      <c r="F389" s="11">
        <v>29697.91</v>
      </c>
      <c r="G389" s="21">
        <v>95.585273425396053</v>
      </c>
      <c r="H389" s="34" t="s">
        <v>31</v>
      </c>
      <c r="I389" s="10" t="s">
        <v>435</v>
      </c>
      <c r="J389" s="10" t="s">
        <v>436</v>
      </c>
      <c r="K389" s="35" t="s">
        <v>437</v>
      </c>
      <c r="L389" s="35" t="s">
        <v>106</v>
      </c>
      <c r="M389" s="35" t="s">
        <v>438</v>
      </c>
      <c r="N389" s="35" t="s">
        <v>439</v>
      </c>
      <c r="O389" s="35" t="s">
        <v>125</v>
      </c>
      <c r="P389" s="33">
        <v>5</v>
      </c>
      <c r="Q389" s="33">
        <v>4</v>
      </c>
      <c r="R389" s="32" t="s">
        <v>513</v>
      </c>
      <c r="S389" s="36">
        <v>3880</v>
      </c>
    </row>
    <row r="390" spans="1:19" ht="42" hidden="1" customHeight="1">
      <c r="A390" s="10" t="s">
        <v>275</v>
      </c>
      <c r="B390" s="10" t="s">
        <v>276</v>
      </c>
      <c r="C390" s="10" t="s">
        <v>277</v>
      </c>
      <c r="D390" s="10" t="s">
        <v>127</v>
      </c>
      <c r="E390" s="10" t="s">
        <v>464</v>
      </c>
      <c r="F390" s="11">
        <v>8355.2800000000007</v>
      </c>
      <c r="G390" s="21">
        <v>90.248742920880659</v>
      </c>
      <c r="H390" s="34" t="s">
        <v>31</v>
      </c>
      <c r="I390" s="10" t="s">
        <v>502</v>
      </c>
      <c r="J390" s="10" t="s">
        <v>436</v>
      </c>
      <c r="K390" s="35" t="s">
        <v>503</v>
      </c>
      <c r="L390" s="35" t="s">
        <v>141</v>
      </c>
      <c r="M390" s="35" t="s">
        <v>504</v>
      </c>
      <c r="N390" s="35" t="s">
        <v>505</v>
      </c>
      <c r="O390" s="35" t="s">
        <v>125</v>
      </c>
      <c r="P390" s="33">
        <v>5</v>
      </c>
      <c r="Q390" s="33">
        <v>4</v>
      </c>
      <c r="R390" s="32" t="s">
        <v>481</v>
      </c>
      <c r="S390" s="36">
        <v>210</v>
      </c>
    </row>
    <row r="391" spans="1:19" ht="42" hidden="1" customHeight="1">
      <c r="A391" s="10" t="s">
        <v>275</v>
      </c>
      <c r="B391" s="10" t="s">
        <v>276</v>
      </c>
      <c r="C391" s="10" t="s">
        <v>277</v>
      </c>
      <c r="D391" s="10" t="s">
        <v>127</v>
      </c>
      <c r="E391" s="10" t="s">
        <v>468</v>
      </c>
      <c r="F391" s="11">
        <v>18906.64</v>
      </c>
      <c r="G391" s="21">
        <v>89.25</v>
      </c>
      <c r="H391" s="34" t="s">
        <v>31</v>
      </c>
      <c r="I391" s="10" t="s">
        <v>435</v>
      </c>
      <c r="J391" s="10" t="s">
        <v>436</v>
      </c>
      <c r="K391" s="35" t="s">
        <v>437</v>
      </c>
      <c r="L391" s="35" t="s">
        <v>106</v>
      </c>
      <c r="M391" s="35" t="s">
        <v>438</v>
      </c>
      <c r="N391" s="35" t="s">
        <v>439</v>
      </c>
      <c r="O391" s="35" t="s">
        <v>125</v>
      </c>
      <c r="P391" s="33">
        <v>5</v>
      </c>
      <c r="Q391" s="33">
        <v>4</v>
      </c>
      <c r="R391" s="32" t="s">
        <v>481</v>
      </c>
      <c r="S391" s="36">
        <v>421</v>
      </c>
    </row>
    <row r="392" spans="1:19" ht="42" hidden="1" customHeight="1">
      <c r="A392" s="10" t="s">
        <v>275</v>
      </c>
      <c r="B392" s="10" t="s">
        <v>276</v>
      </c>
      <c r="C392" s="10" t="s">
        <v>277</v>
      </c>
      <c r="D392" s="10" t="s">
        <v>127</v>
      </c>
      <c r="E392" s="10" t="s">
        <v>465</v>
      </c>
      <c r="F392" s="11">
        <v>9969.36</v>
      </c>
      <c r="G392" s="21">
        <v>89.25</v>
      </c>
      <c r="H392" s="34" t="s">
        <v>31</v>
      </c>
      <c r="I392" s="10" t="s">
        <v>435</v>
      </c>
      <c r="J392" s="10" t="s">
        <v>436</v>
      </c>
      <c r="K392" s="35" t="s">
        <v>437</v>
      </c>
      <c r="L392" s="35" t="s">
        <v>106</v>
      </c>
      <c r="M392" s="35" t="s">
        <v>438</v>
      </c>
      <c r="N392" s="35" t="s">
        <v>439</v>
      </c>
      <c r="O392" s="35" t="s">
        <v>125</v>
      </c>
      <c r="P392" s="33">
        <v>12</v>
      </c>
      <c r="Q392" s="33">
        <v>11</v>
      </c>
      <c r="R392" s="32" t="s">
        <v>481</v>
      </c>
      <c r="S392" s="36">
        <v>241</v>
      </c>
    </row>
    <row r="393" spans="1:19" ht="42" hidden="1" customHeight="1">
      <c r="A393" s="10" t="s">
        <v>275</v>
      </c>
      <c r="B393" s="10" t="s">
        <v>276</v>
      </c>
      <c r="C393" s="10" t="s">
        <v>277</v>
      </c>
      <c r="D393" s="10" t="s">
        <v>127</v>
      </c>
      <c r="E393" s="10" t="s">
        <v>213</v>
      </c>
      <c r="F393" s="11">
        <v>2434.25</v>
      </c>
      <c r="G393" s="21">
        <v>68.75</v>
      </c>
      <c r="H393" s="34" t="s">
        <v>33</v>
      </c>
      <c r="I393" s="10" t="s">
        <v>447</v>
      </c>
      <c r="J393" s="10" t="s">
        <v>436</v>
      </c>
      <c r="K393" s="35" t="s">
        <v>448</v>
      </c>
      <c r="L393" s="35" t="s">
        <v>152</v>
      </c>
      <c r="M393" s="35" t="s">
        <v>449</v>
      </c>
      <c r="N393" s="35" t="s">
        <v>450</v>
      </c>
      <c r="O393" s="35" t="s">
        <v>195</v>
      </c>
      <c r="P393" s="33">
        <v>12</v>
      </c>
      <c r="Q393" s="33">
        <v>11</v>
      </c>
      <c r="R393" s="32" t="s">
        <v>451</v>
      </c>
      <c r="S393" s="36">
        <v>48</v>
      </c>
    </row>
    <row r="394" spans="1:19" ht="42" hidden="1" customHeight="1">
      <c r="A394" s="10" t="s">
        <v>101</v>
      </c>
      <c r="B394" s="10" t="s">
        <v>60</v>
      </c>
      <c r="C394" s="10" t="s">
        <v>281</v>
      </c>
      <c r="D394" s="10" t="s">
        <v>149</v>
      </c>
      <c r="E394" s="10" t="s">
        <v>193</v>
      </c>
      <c r="F394" s="11">
        <v>4964.6400000000003</v>
      </c>
      <c r="G394" s="21">
        <v>81.835273425396053</v>
      </c>
      <c r="H394" s="34" t="s">
        <v>31</v>
      </c>
      <c r="I394" s="10" t="s">
        <v>435</v>
      </c>
      <c r="J394" s="10" t="s">
        <v>436</v>
      </c>
      <c r="K394" s="35" t="s">
        <v>437</v>
      </c>
      <c r="L394" s="35" t="s">
        <v>106</v>
      </c>
      <c r="M394" s="35" t="s">
        <v>438</v>
      </c>
      <c r="N394" s="35" t="s">
        <v>439</v>
      </c>
      <c r="O394" s="35" t="s">
        <v>195</v>
      </c>
      <c r="P394" s="33">
        <v>5</v>
      </c>
      <c r="Q394" s="33">
        <v>4</v>
      </c>
      <c r="R394" s="32" t="s">
        <v>514</v>
      </c>
      <c r="S394" s="36">
        <v>300</v>
      </c>
    </row>
    <row r="395" spans="1:19" ht="42" hidden="1" customHeight="1">
      <c r="A395" s="10" t="s">
        <v>111</v>
      </c>
      <c r="B395" s="10" t="s">
        <v>60</v>
      </c>
      <c r="C395" s="10" t="s">
        <v>389</v>
      </c>
      <c r="D395" s="10" t="s">
        <v>113</v>
      </c>
      <c r="E395" s="10" t="s">
        <v>151</v>
      </c>
      <c r="F395" s="11">
        <v>6285.54</v>
      </c>
      <c r="G395" s="21">
        <v>84.966129184412011</v>
      </c>
      <c r="H395" s="34" t="s">
        <v>31</v>
      </c>
      <c r="I395" s="10" t="s">
        <v>447</v>
      </c>
      <c r="J395" s="10" t="s">
        <v>436</v>
      </c>
      <c r="K395" s="35" t="s">
        <v>448</v>
      </c>
      <c r="L395" s="35" t="s">
        <v>152</v>
      </c>
      <c r="M395" s="35" t="s">
        <v>449</v>
      </c>
      <c r="N395" s="35" t="s">
        <v>450</v>
      </c>
      <c r="O395" s="35" t="s">
        <v>125</v>
      </c>
      <c r="P395" s="33">
        <v>10</v>
      </c>
      <c r="Q395" s="33">
        <v>9</v>
      </c>
      <c r="R395" s="32" t="s">
        <v>451</v>
      </c>
      <c r="S395" s="36">
        <v>800</v>
      </c>
    </row>
    <row r="396" spans="1:19" ht="42" hidden="1" customHeight="1">
      <c r="A396" s="10" t="s">
        <v>101</v>
      </c>
      <c r="B396" s="10" t="s">
        <v>60</v>
      </c>
      <c r="C396" s="10" t="s">
        <v>282</v>
      </c>
      <c r="D396" s="10" t="s">
        <v>149</v>
      </c>
      <c r="E396" s="10" t="s">
        <v>225</v>
      </c>
      <c r="F396" s="11">
        <v>10250.74</v>
      </c>
      <c r="G396" s="21">
        <v>74.9328293081916</v>
      </c>
      <c r="H396" s="34" t="s">
        <v>33</v>
      </c>
      <c r="I396" s="10" t="s">
        <v>435</v>
      </c>
      <c r="J396" s="10" t="s">
        <v>441</v>
      </c>
      <c r="K396" s="35" t="s">
        <v>442</v>
      </c>
      <c r="L396" s="35" t="s">
        <v>116</v>
      </c>
      <c r="M396" s="35" t="s">
        <v>443</v>
      </c>
      <c r="N396" s="35" t="s">
        <v>444</v>
      </c>
      <c r="O396" s="35" t="s">
        <v>195</v>
      </c>
      <c r="P396" s="33">
        <v>5</v>
      </c>
      <c r="Q396" s="33">
        <v>4</v>
      </c>
      <c r="R396" s="32" t="s">
        <v>463</v>
      </c>
      <c r="S396" s="36">
        <v>0</v>
      </c>
    </row>
    <row r="397" spans="1:19" ht="42" hidden="1" customHeight="1">
      <c r="A397" s="10" t="s">
        <v>101</v>
      </c>
      <c r="B397" s="10" t="s">
        <v>60</v>
      </c>
      <c r="C397" s="10" t="s">
        <v>282</v>
      </c>
      <c r="D397" s="10" t="s">
        <v>149</v>
      </c>
      <c r="E397" s="10" t="s">
        <v>446</v>
      </c>
      <c r="F397" s="11">
        <v>7073.99</v>
      </c>
      <c r="G397" s="21">
        <v>73.712101858847163</v>
      </c>
      <c r="H397" s="34" t="s">
        <v>33</v>
      </c>
      <c r="I397" s="10" t="s">
        <v>447</v>
      </c>
      <c r="J397" s="10" t="s">
        <v>436</v>
      </c>
      <c r="K397" s="35" t="s">
        <v>448</v>
      </c>
      <c r="L397" s="35" t="s">
        <v>152</v>
      </c>
      <c r="M397" s="35" t="s">
        <v>449</v>
      </c>
      <c r="N397" s="35" t="s">
        <v>450</v>
      </c>
      <c r="O397" s="35" t="s">
        <v>195</v>
      </c>
      <c r="P397" s="33">
        <v>7</v>
      </c>
      <c r="Q397" s="33">
        <v>6</v>
      </c>
      <c r="R397" s="32" t="s">
        <v>463</v>
      </c>
      <c r="S397" s="36">
        <v>0</v>
      </c>
    </row>
    <row r="398" spans="1:19" ht="42" hidden="1" customHeight="1">
      <c r="A398" s="10" t="s">
        <v>101</v>
      </c>
      <c r="B398" s="10" t="s">
        <v>60</v>
      </c>
      <c r="C398" s="10" t="s">
        <v>282</v>
      </c>
      <c r="D398" s="10" t="s">
        <v>149</v>
      </c>
      <c r="E398" s="10" t="s">
        <v>151</v>
      </c>
      <c r="F398" s="11">
        <v>4692.37</v>
      </c>
      <c r="G398" s="21">
        <v>68.716129184412011</v>
      </c>
      <c r="H398" s="34" t="s">
        <v>33</v>
      </c>
      <c r="I398" s="10" t="s">
        <v>447</v>
      </c>
      <c r="J398" s="10" t="s">
        <v>436</v>
      </c>
      <c r="K398" s="35" t="s">
        <v>448</v>
      </c>
      <c r="L398" s="35" t="s">
        <v>152</v>
      </c>
      <c r="M398" s="35" t="s">
        <v>449</v>
      </c>
      <c r="N398" s="35" t="s">
        <v>450</v>
      </c>
      <c r="O398" s="35" t="s">
        <v>195</v>
      </c>
      <c r="P398" s="33">
        <v>5</v>
      </c>
      <c r="Q398" s="33">
        <v>4</v>
      </c>
      <c r="R398" s="32" t="s">
        <v>463</v>
      </c>
      <c r="S398" s="36">
        <v>0</v>
      </c>
    </row>
    <row r="399" spans="1:19" ht="42" hidden="1" customHeight="1">
      <c r="A399" s="10" t="s">
        <v>101</v>
      </c>
      <c r="B399" s="10" t="s">
        <v>60</v>
      </c>
      <c r="C399" s="10" t="s">
        <v>282</v>
      </c>
      <c r="D399" s="10" t="s">
        <v>149</v>
      </c>
      <c r="E399" s="10" t="s">
        <v>457</v>
      </c>
      <c r="F399" s="11">
        <v>3268.48</v>
      </c>
      <c r="G399" s="21">
        <v>65.25</v>
      </c>
      <c r="H399" s="34" t="s">
        <v>33</v>
      </c>
      <c r="I399" s="10" t="s">
        <v>447</v>
      </c>
      <c r="J399" s="10" t="s">
        <v>441</v>
      </c>
      <c r="K399" s="35" t="s">
        <v>453</v>
      </c>
      <c r="L399" s="35" t="s">
        <v>135</v>
      </c>
      <c r="M399" s="35" t="s">
        <v>454</v>
      </c>
      <c r="N399" s="35" t="s">
        <v>455</v>
      </c>
      <c r="O399" s="35" t="s">
        <v>195</v>
      </c>
      <c r="P399" s="33">
        <v>5</v>
      </c>
      <c r="Q399" s="33">
        <v>4</v>
      </c>
      <c r="R399" s="32" t="s">
        <v>463</v>
      </c>
      <c r="S399" s="36">
        <v>0</v>
      </c>
    </row>
    <row r="400" spans="1:19" ht="42" hidden="1" customHeight="1">
      <c r="A400" s="10" t="s">
        <v>111</v>
      </c>
      <c r="B400" s="10" t="s">
        <v>69</v>
      </c>
      <c r="C400" s="10" t="s">
        <v>309</v>
      </c>
      <c r="D400" s="10" t="s">
        <v>103</v>
      </c>
      <c r="E400" s="10" t="s">
        <v>482</v>
      </c>
      <c r="F400" s="11">
        <v>114518.46</v>
      </c>
      <c r="G400" s="21">
        <v>91.204499800427357</v>
      </c>
      <c r="H400" s="34" t="s">
        <v>31</v>
      </c>
      <c r="I400" s="10" t="s">
        <v>447</v>
      </c>
      <c r="J400" s="10" t="s">
        <v>436</v>
      </c>
      <c r="K400" s="35" t="s">
        <v>448</v>
      </c>
      <c r="L400" s="35" t="s">
        <v>152</v>
      </c>
      <c r="M400" s="35" t="s">
        <v>449</v>
      </c>
      <c r="N400" s="35" t="s">
        <v>450</v>
      </c>
      <c r="O400" s="35" t="s">
        <v>125</v>
      </c>
      <c r="P400" s="33">
        <v>6</v>
      </c>
      <c r="Q400" s="33">
        <v>5</v>
      </c>
      <c r="R400" s="32" t="s">
        <v>501</v>
      </c>
      <c r="S400" s="36">
        <v>1252</v>
      </c>
    </row>
    <row r="401" spans="1:19" ht="42" hidden="1" customHeight="1">
      <c r="A401" s="10" t="s">
        <v>111</v>
      </c>
      <c r="B401" s="10" t="s">
        <v>69</v>
      </c>
      <c r="C401" s="10" t="s">
        <v>309</v>
      </c>
      <c r="D401" s="10" t="s">
        <v>103</v>
      </c>
      <c r="E401" s="10" t="s">
        <v>151</v>
      </c>
      <c r="F401" s="11">
        <v>82474.460000000006</v>
      </c>
      <c r="G401" s="21">
        <v>86.43662959589949</v>
      </c>
      <c r="H401" s="34" t="s">
        <v>31</v>
      </c>
      <c r="I401" s="10" t="s">
        <v>447</v>
      </c>
      <c r="J401" s="10" t="s">
        <v>436</v>
      </c>
      <c r="K401" s="35" t="s">
        <v>448</v>
      </c>
      <c r="L401" s="35" t="s">
        <v>152</v>
      </c>
      <c r="M401" s="35" t="s">
        <v>449</v>
      </c>
      <c r="N401" s="35" t="s">
        <v>450</v>
      </c>
      <c r="O401" s="35" t="s">
        <v>125</v>
      </c>
      <c r="P401" s="33">
        <v>6</v>
      </c>
      <c r="Q401" s="33">
        <v>5</v>
      </c>
      <c r="R401" s="32" t="s">
        <v>501</v>
      </c>
      <c r="S401" s="36">
        <v>866</v>
      </c>
    </row>
    <row r="402" spans="1:19" ht="42" hidden="1" customHeight="1">
      <c r="A402" s="10" t="s">
        <v>111</v>
      </c>
      <c r="B402" s="10" t="s">
        <v>69</v>
      </c>
      <c r="C402" s="10" t="s">
        <v>309</v>
      </c>
      <c r="D402" s="10" t="s">
        <v>103</v>
      </c>
      <c r="E402" s="10" t="s">
        <v>469</v>
      </c>
      <c r="F402" s="11">
        <v>82358.720000000001</v>
      </c>
      <c r="G402" s="21">
        <v>85.160436261085707</v>
      </c>
      <c r="H402" s="34" t="s">
        <v>31</v>
      </c>
      <c r="I402" s="10" t="s">
        <v>447</v>
      </c>
      <c r="J402" s="10" t="s">
        <v>436</v>
      </c>
      <c r="K402" s="35" t="s">
        <v>448</v>
      </c>
      <c r="L402" s="35" t="s">
        <v>152</v>
      </c>
      <c r="M402" s="35" t="s">
        <v>449</v>
      </c>
      <c r="N402" s="35" t="s">
        <v>450</v>
      </c>
      <c r="O402" s="35" t="s">
        <v>125</v>
      </c>
      <c r="P402" s="33">
        <v>6</v>
      </c>
      <c r="Q402" s="33">
        <v>5</v>
      </c>
      <c r="R402" s="32" t="s">
        <v>501</v>
      </c>
      <c r="S402" s="36">
        <v>852</v>
      </c>
    </row>
    <row r="403" spans="1:19" ht="42" hidden="1" customHeight="1">
      <c r="A403" s="10" t="s">
        <v>111</v>
      </c>
      <c r="B403" s="10" t="s">
        <v>69</v>
      </c>
      <c r="C403" s="10" t="s">
        <v>309</v>
      </c>
      <c r="D403" s="10" t="s">
        <v>103</v>
      </c>
      <c r="E403" s="10" t="s">
        <v>375</v>
      </c>
      <c r="F403" s="11">
        <v>31056.44</v>
      </c>
      <c r="G403" s="21">
        <v>81.25</v>
      </c>
      <c r="H403" s="34" t="s">
        <v>31</v>
      </c>
      <c r="I403" s="10" t="s">
        <v>435</v>
      </c>
      <c r="J403" s="10" t="s">
        <v>436</v>
      </c>
      <c r="K403" s="35" t="s">
        <v>437</v>
      </c>
      <c r="L403" s="35" t="s">
        <v>106</v>
      </c>
      <c r="M403" s="35" t="s">
        <v>438</v>
      </c>
      <c r="N403" s="35" t="s">
        <v>439</v>
      </c>
      <c r="O403" s="35" t="s">
        <v>125</v>
      </c>
      <c r="P403" s="33">
        <v>6</v>
      </c>
      <c r="Q403" s="33">
        <v>5</v>
      </c>
      <c r="R403" s="32" t="s">
        <v>506</v>
      </c>
      <c r="S403" s="36">
        <v>3647</v>
      </c>
    </row>
    <row r="404" spans="1:19" ht="42" hidden="1" customHeight="1">
      <c r="A404" s="10" t="s">
        <v>111</v>
      </c>
      <c r="B404" s="10" t="s">
        <v>69</v>
      </c>
      <c r="C404" s="10" t="s">
        <v>309</v>
      </c>
      <c r="D404" s="10" t="s">
        <v>103</v>
      </c>
      <c r="E404" s="10" t="s">
        <v>464</v>
      </c>
      <c r="F404" s="11">
        <v>27463.5</v>
      </c>
      <c r="G404" s="21">
        <v>79.747861994045707</v>
      </c>
      <c r="H404" s="34" t="s">
        <v>33</v>
      </c>
      <c r="I404" s="10" t="s">
        <v>502</v>
      </c>
      <c r="J404" s="10" t="s">
        <v>436</v>
      </c>
      <c r="K404" s="35" t="s">
        <v>503</v>
      </c>
      <c r="L404" s="35" t="s">
        <v>141</v>
      </c>
      <c r="M404" s="35" t="s">
        <v>504</v>
      </c>
      <c r="N404" s="35" t="s">
        <v>505</v>
      </c>
      <c r="O404" s="35" t="s">
        <v>195</v>
      </c>
      <c r="P404" s="33">
        <v>6</v>
      </c>
      <c r="Q404" s="33">
        <v>5</v>
      </c>
      <c r="R404" s="32" t="s">
        <v>481</v>
      </c>
      <c r="S404" s="36">
        <v>170</v>
      </c>
    </row>
    <row r="405" spans="1:19" ht="42" hidden="1" customHeight="1">
      <c r="A405" s="10" t="s">
        <v>111</v>
      </c>
      <c r="B405" s="10" t="s">
        <v>69</v>
      </c>
      <c r="C405" s="10" t="s">
        <v>309</v>
      </c>
      <c r="D405" s="10" t="s">
        <v>103</v>
      </c>
      <c r="E405" s="10" t="s">
        <v>466</v>
      </c>
      <c r="F405" s="11">
        <v>35935.07</v>
      </c>
      <c r="G405" s="21">
        <v>78</v>
      </c>
      <c r="H405" s="34" t="s">
        <v>33</v>
      </c>
      <c r="I405" s="10" t="s">
        <v>447</v>
      </c>
      <c r="J405" s="10" t="s">
        <v>436</v>
      </c>
      <c r="K405" s="35" t="s">
        <v>448</v>
      </c>
      <c r="L405" s="35" t="s">
        <v>152</v>
      </c>
      <c r="M405" s="35" t="s">
        <v>449</v>
      </c>
      <c r="N405" s="35" t="s">
        <v>450</v>
      </c>
      <c r="O405" s="35" t="s">
        <v>195</v>
      </c>
      <c r="P405" s="33">
        <v>2</v>
      </c>
      <c r="Q405" s="33">
        <v>1</v>
      </c>
      <c r="R405" s="32" t="s">
        <v>451</v>
      </c>
      <c r="S405" s="36">
        <v>94</v>
      </c>
    </row>
    <row r="406" spans="1:19" ht="42" hidden="1" customHeight="1">
      <c r="A406" s="10" t="s">
        <v>111</v>
      </c>
      <c r="B406" s="10" t="s">
        <v>69</v>
      </c>
      <c r="C406" s="10" t="s">
        <v>309</v>
      </c>
      <c r="D406" s="10" t="s">
        <v>103</v>
      </c>
      <c r="E406" s="10" t="s">
        <v>193</v>
      </c>
      <c r="F406" s="11">
        <v>42865.38</v>
      </c>
      <c r="G406" s="21">
        <v>77.585273425396053</v>
      </c>
      <c r="H406" s="34" t="s">
        <v>33</v>
      </c>
      <c r="I406" s="10" t="s">
        <v>447</v>
      </c>
      <c r="J406" s="10" t="s">
        <v>441</v>
      </c>
      <c r="K406" s="35" t="s">
        <v>453</v>
      </c>
      <c r="L406" s="35" t="s">
        <v>135</v>
      </c>
      <c r="M406" s="35" t="s">
        <v>454</v>
      </c>
      <c r="N406" s="35" t="s">
        <v>455</v>
      </c>
      <c r="O406" s="35" t="s">
        <v>195</v>
      </c>
      <c r="P406" s="33">
        <v>5</v>
      </c>
      <c r="Q406" s="33">
        <v>4</v>
      </c>
      <c r="R406" s="32" t="s">
        <v>456</v>
      </c>
      <c r="S406" s="36">
        <v>0</v>
      </c>
    </row>
    <row r="407" spans="1:19" ht="42" hidden="1" customHeight="1">
      <c r="A407" s="10" t="s">
        <v>111</v>
      </c>
      <c r="B407" s="10" t="s">
        <v>69</v>
      </c>
      <c r="C407" s="10" t="s">
        <v>309</v>
      </c>
      <c r="D407" s="10" t="s">
        <v>103</v>
      </c>
      <c r="E407" s="10" t="s">
        <v>213</v>
      </c>
      <c r="F407" s="11">
        <v>24813.77</v>
      </c>
      <c r="G407" s="21">
        <v>72.5</v>
      </c>
      <c r="H407" s="34" t="s">
        <v>33</v>
      </c>
      <c r="I407" s="10" t="s">
        <v>447</v>
      </c>
      <c r="J407" s="10" t="s">
        <v>436</v>
      </c>
      <c r="K407" s="35" t="s">
        <v>448</v>
      </c>
      <c r="L407" s="35" t="s">
        <v>152</v>
      </c>
      <c r="M407" s="35" t="s">
        <v>449</v>
      </c>
      <c r="N407" s="35" t="s">
        <v>450</v>
      </c>
      <c r="O407" s="35" t="s">
        <v>195</v>
      </c>
      <c r="P407" s="33">
        <v>6</v>
      </c>
      <c r="Q407" s="33">
        <v>5</v>
      </c>
      <c r="R407" s="32" t="s">
        <v>451</v>
      </c>
      <c r="S407" s="36">
        <v>67</v>
      </c>
    </row>
    <row r="408" spans="1:19" ht="42" hidden="1" customHeight="1">
      <c r="A408" s="10" t="s">
        <v>111</v>
      </c>
      <c r="B408" s="10" t="s">
        <v>69</v>
      </c>
      <c r="C408" s="10" t="s">
        <v>309</v>
      </c>
      <c r="D408" s="10" t="s">
        <v>103</v>
      </c>
      <c r="E408" s="10" t="s">
        <v>446</v>
      </c>
      <c r="F408" s="11">
        <v>30452.44</v>
      </c>
      <c r="G408" s="21">
        <v>72.462101858847163</v>
      </c>
      <c r="H408" s="34" t="s">
        <v>33</v>
      </c>
      <c r="I408" s="10" t="s">
        <v>447</v>
      </c>
      <c r="J408" s="10" t="s">
        <v>436</v>
      </c>
      <c r="K408" s="35" t="s">
        <v>448</v>
      </c>
      <c r="L408" s="35" t="s">
        <v>152</v>
      </c>
      <c r="M408" s="35" t="s">
        <v>449</v>
      </c>
      <c r="N408" s="35" t="s">
        <v>450</v>
      </c>
      <c r="O408" s="35" t="s">
        <v>195</v>
      </c>
      <c r="P408" s="33">
        <v>6</v>
      </c>
      <c r="Q408" s="33">
        <v>5</v>
      </c>
      <c r="R408" s="32" t="s">
        <v>451</v>
      </c>
      <c r="S408" s="36">
        <v>78</v>
      </c>
    </row>
    <row r="409" spans="1:19" ht="42" hidden="1" customHeight="1">
      <c r="A409" s="10" t="s">
        <v>111</v>
      </c>
      <c r="B409" s="10" t="s">
        <v>69</v>
      </c>
      <c r="C409" s="10" t="s">
        <v>309</v>
      </c>
      <c r="D409" s="10" t="s">
        <v>103</v>
      </c>
      <c r="E409" s="10" t="s">
        <v>498</v>
      </c>
      <c r="F409" s="11">
        <v>41478.67</v>
      </c>
      <c r="G409" s="21">
        <v>71.5</v>
      </c>
      <c r="H409" s="34" t="s">
        <v>33</v>
      </c>
      <c r="I409" s="10" t="s">
        <v>447</v>
      </c>
      <c r="J409" s="10" t="s">
        <v>441</v>
      </c>
      <c r="K409" s="35" t="s">
        <v>453</v>
      </c>
      <c r="L409" s="35" t="s">
        <v>135</v>
      </c>
      <c r="M409" s="35" t="s">
        <v>454</v>
      </c>
      <c r="N409" s="35" t="s">
        <v>455</v>
      </c>
      <c r="O409" s="35" t="s">
        <v>195</v>
      </c>
      <c r="P409" s="33">
        <v>2</v>
      </c>
      <c r="Q409" s="33">
        <v>1</v>
      </c>
      <c r="R409" s="32" t="s">
        <v>456</v>
      </c>
      <c r="S409" s="36">
        <v>0</v>
      </c>
    </row>
    <row r="410" spans="1:19" ht="42" hidden="1" customHeight="1">
      <c r="A410" s="10" t="s">
        <v>111</v>
      </c>
      <c r="B410" s="10" t="s">
        <v>69</v>
      </c>
      <c r="C410" s="10" t="s">
        <v>309</v>
      </c>
      <c r="D410" s="10" t="s">
        <v>103</v>
      </c>
      <c r="E410" s="10" t="s">
        <v>479</v>
      </c>
      <c r="F410" s="11">
        <v>20238.259999999998</v>
      </c>
      <c r="G410" s="21">
        <v>70.25</v>
      </c>
      <c r="H410" s="34" t="s">
        <v>33</v>
      </c>
      <c r="I410" s="10" t="s">
        <v>435</v>
      </c>
      <c r="J410" s="10" t="s">
        <v>441</v>
      </c>
      <c r="K410" s="35" t="s">
        <v>442</v>
      </c>
      <c r="L410" s="35" t="s">
        <v>116</v>
      </c>
      <c r="M410" s="35" t="s">
        <v>443</v>
      </c>
      <c r="N410" s="35" t="s">
        <v>444</v>
      </c>
      <c r="O410" s="35" t="s">
        <v>195</v>
      </c>
      <c r="P410" s="33">
        <v>11</v>
      </c>
      <c r="Q410" s="33">
        <v>10</v>
      </c>
      <c r="R410" s="32" t="s">
        <v>481</v>
      </c>
      <c r="S410" s="36">
        <v>124</v>
      </c>
    </row>
    <row r="411" spans="1:19" ht="42" hidden="1" customHeight="1">
      <c r="A411" s="10" t="s">
        <v>111</v>
      </c>
      <c r="B411" s="10" t="s">
        <v>69</v>
      </c>
      <c r="C411" s="10" t="s">
        <v>309</v>
      </c>
      <c r="D411" s="10" t="s">
        <v>103</v>
      </c>
      <c r="E411" s="10" t="s">
        <v>478</v>
      </c>
      <c r="F411" s="11">
        <v>2430.71</v>
      </c>
      <c r="G411" s="21">
        <v>69.647936405491748</v>
      </c>
      <c r="H411" s="34" t="s">
        <v>33</v>
      </c>
      <c r="I411" s="10" t="s">
        <v>435</v>
      </c>
      <c r="J411" s="10" t="s">
        <v>441</v>
      </c>
      <c r="K411" s="35" t="s">
        <v>442</v>
      </c>
      <c r="L411" s="35" t="s">
        <v>116</v>
      </c>
      <c r="M411" s="35" t="s">
        <v>443</v>
      </c>
      <c r="N411" s="35" t="s">
        <v>444</v>
      </c>
      <c r="O411" s="35" t="s">
        <v>195</v>
      </c>
      <c r="P411" s="33">
        <v>7</v>
      </c>
      <c r="Q411" s="33">
        <v>6</v>
      </c>
      <c r="R411" s="32" t="s">
        <v>481</v>
      </c>
      <c r="S411" s="36">
        <v>50</v>
      </c>
    </row>
    <row r="412" spans="1:19" ht="42" hidden="1" customHeight="1">
      <c r="A412" s="10" t="s">
        <v>111</v>
      </c>
      <c r="B412" s="10" t="s">
        <v>69</v>
      </c>
      <c r="C412" s="10" t="s">
        <v>309</v>
      </c>
      <c r="D412" s="10" t="s">
        <v>103</v>
      </c>
      <c r="E412" s="10" t="s">
        <v>467</v>
      </c>
      <c r="F412" s="11">
        <v>7498.24</v>
      </c>
      <c r="G412" s="21">
        <v>67</v>
      </c>
      <c r="H412" s="34" t="s">
        <v>33</v>
      </c>
      <c r="I412" s="10" t="s">
        <v>447</v>
      </c>
      <c r="J412" s="10" t="s">
        <v>441</v>
      </c>
      <c r="K412" s="35" t="s">
        <v>453</v>
      </c>
      <c r="L412" s="35" t="s">
        <v>135</v>
      </c>
      <c r="M412" s="35" t="s">
        <v>454</v>
      </c>
      <c r="N412" s="35" t="s">
        <v>455</v>
      </c>
      <c r="O412" s="35" t="s">
        <v>195</v>
      </c>
      <c r="P412" s="33">
        <v>5</v>
      </c>
      <c r="Q412" s="33">
        <v>4</v>
      </c>
      <c r="R412" s="32" t="s">
        <v>456</v>
      </c>
      <c r="S412" s="36">
        <v>0</v>
      </c>
    </row>
    <row r="413" spans="1:19" ht="42" hidden="1" customHeight="1">
      <c r="A413" s="10" t="s">
        <v>111</v>
      </c>
      <c r="B413" s="10" t="s">
        <v>69</v>
      </c>
      <c r="C413" s="10" t="s">
        <v>309</v>
      </c>
      <c r="D413" s="10" t="s">
        <v>103</v>
      </c>
      <c r="E413" s="10" t="s">
        <v>475</v>
      </c>
      <c r="F413" s="11">
        <v>63061.1</v>
      </c>
      <c r="G413" s="21">
        <v>66.374275142507017</v>
      </c>
      <c r="H413" s="34" t="s">
        <v>33</v>
      </c>
      <c r="I413" s="10" t="s">
        <v>447</v>
      </c>
      <c r="J413" s="10" t="s">
        <v>471</v>
      </c>
      <c r="K413" s="35" t="s">
        <v>472</v>
      </c>
      <c r="L413" s="35" t="s">
        <v>174</v>
      </c>
      <c r="M413" s="35" t="s">
        <v>473</v>
      </c>
      <c r="N413" s="35" t="s">
        <v>137</v>
      </c>
      <c r="O413" s="35" t="s">
        <v>195</v>
      </c>
      <c r="P413" s="33">
        <v>6</v>
      </c>
      <c r="Q413" s="33">
        <v>5</v>
      </c>
      <c r="R413" s="32" t="s">
        <v>456</v>
      </c>
      <c r="S413" s="36">
        <v>0</v>
      </c>
    </row>
    <row r="414" spans="1:19" ht="42" hidden="1" customHeight="1">
      <c r="A414" s="10" t="s">
        <v>111</v>
      </c>
      <c r="B414" s="10" t="s">
        <v>60</v>
      </c>
      <c r="C414" s="10" t="s">
        <v>339</v>
      </c>
      <c r="D414" s="10" t="s">
        <v>103</v>
      </c>
      <c r="E414" s="10" t="s">
        <v>375</v>
      </c>
      <c r="F414" s="11">
        <v>12642.2</v>
      </c>
      <c r="G414" s="21">
        <v>95</v>
      </c>
      <c r="H414" s="34" t="s">
        <v>31</v>
      </c>
      <c r="I414" s="10" t="s">
        <v>435</v>
      </c>
      <c r="J414" s="10" t="s">
        <v>436</v>
      </c>
      <c r="K414" s="35" t="s">
        <v>437</v>
      </c>
      <c r="L414" s="35" t="s">
        <v>106</v>
      </c>
      <c r="M414" s="35" t="s">
        <v>438</v>
      </c>
      <c r="N414" s="35" t="s">
        <v>439</v>
      </c>
      <c r="O414" s="35" t="s">
        <v>125</v>
      </c>
      <c r="P414" s="33">
        <v>10</v>
      </c>
      <c r="Q414" s="33">
        <v>9</v>
      </c>
      <c r="R414" s="32" t="s">
        <v>440</v>
      </c>
      <c r="S414" s="36">
        <v>2461</v>
      </c>
    </row>
    <row r="415" spans="1:19" ht="42" hidden="1" customHeight="1">
      <c r="A415" s="10" t="s">
        <v>111</v>
      </c>
      <c r="B415" s="10" t="s">
        <v>60</v>
      </c>
      <c r="C415" s="10" t="s">
        <v>339</v>
      </c>
      <c r="D415" s="10" t="s">
        <v>103</v>
      </c>
      <c r="E415" s="10" t="s">
        <v>468</v>
      </c>
      <c r="F415" s="11">
        <v>13140.86</v>
      </c>
      <c r="G415" s="21">
        <v>93</v>
      </c>
      <c r="H415" s="34" t="s">
        <v>31</v>
      </c>
      <c r="I415" s="10" t="s">
        <v>435</v>
      </c>
      <c r="J415" s="10" t="s">
        <v>436</v>
      </c>
      <c r="K415" s="35" t="s">
        <v>437</v>
      </c>
      <c r="L415" s="35" t="s">
        <v>106</v>
      </c>
      <c r="M415" s="35" t="s">
        <v>438</v>
      </c>
      <c r="N415" s="35" t="s">
        <v>439</v>
      </c>
      <c r="O415" s="35" t="s">
        <v>125</v>
      </c>
      <c r="P415" s="33">
        <v>7</v>
      </c>
      <c r="Q415" s="33">
        <v>6</v>
      </c>
      <c r="R415" s="32" t="s">
        <v>445</v>
      </c>
      <c r="S415" s="36">
        <v>265</v>
      </c>
    </row>
    <row r="416" spans="1:19" ht="42" hidden="1" customHeight="1">
      <c r="A416" s="10" t="s">
        <v>111</v>
      </c>
      <c r="B416" s="10" t="s">
        <v>60</v>
      </c>
      <c r="C416" s="10" t="s">
        <v>339</v>
      </c>
      <c r="D416" s="10" t="s">
        <v>103</v>
      </c>
      <c r="E416" s="10" t="s">
        <v>151</v>
      </c>
      <c r="F416" s="11">
        <v>15640.03</v>
      </c>
      <c r="G416" s="21">
        <v>86.216129184412011</v>
      </c>
      <c r="H416" s="34" t="s">
        <v>31</v>
      </c>
      <c r="I416" s="10" t="s">
        <v>447</v>
      </c>
      <c r="J416" s="10" t="s">
        <v>436</v>
      </c>
      <c r="K416" s="35" t="s">
        <v>448</v>
      </c>
      <c r="L416" s="35" t="s">
        <v>152</v>
      </c>
      <c r="M416" s="35" t="s">
        <v>449</v>
      </c>
      <c r="N416" s="35" t="s">
        <v>450</v>
      </c>
      <c r="O416" s="35" t="s">
        <v>125</v>
      </c>
      <c r="P416" s="33">
        <v>5</v>
      </c>
      <c r="Q416" s="33">
        <v>4</v>
      </c>
      <c r="R416" s="32" t="s">
        <v>451</v>
      </c>
      <c r="S416" s="36">
        <v>175</v>
      </c>
    </row>
    <row r="417" spans="1:19" ht="42" hidden="1" customHeight="1">
      <c r="A417" s="10" t="s">
        <v>111</v>
      </c>
      <c r="B417" s="10" t="s">
        <v>60</v>
      </c>
      <c r="C417" s="10" t="s">
        <v>339</v>
      </c>
      <c r="D417" s="10" t="s">
        <v>103</v>
      </c>
      <c r="E417" s="10" t="s">
        <v>458</v>
      </c>
      <c r="F417" s="11">
        <v>11797.94</v>
      </c>
      <c r="G417" s="21">
        <v>79.75</v>
      </c>
      <c r="H417" s="34" t="s">
        <v>33</v>
      </c>
      <c r="I417" s="10" t="s">
        <v>447</v>
      </c>
      <c r="J417" s="10" t="s">
        <v>436</v>
      </c>
      <c r="K417" s="35" t="s">
        <v>448</v>
      </c>
      <c r="L417" s="35" t="s">
        <v>152</v>
      </c>
      <c r="M417" s="35" t="s">
        <v>449</v>
      </c>
      <c r="N417" s="35" t="s">
        <v>450</v>
      </c>
      <c r="O417" s="35" t="s">
        <v>195</v>
      </c>
      <c r="P417" s="33">
        <v>7</v>
      </c>
      <c r="Q417" s="33">
        <v>6</v>
      </c>
      <c r="R417" s="32" t="s">
        <v>451</v>
      </c>
      <c r="S417" s="36">
        <v>114</v>
      </c>
    </row>
    <row r="418" spans="1:19" ht="42" hidden="1" customHeight="1">
      <c r="A418" s="10" t="s">
        <v>111</v>
      </c>
      <c r="B418" s="10" t="s">
        <v>60</v>
      </c>
      <c r="C418" s="10" t="s">
        <v>339</v>
      </c>
      <c r="D418" s="10" t="s">
        <v>103</v>
      </c>
      <c r="E418" s="10" t="s">
        <v>459</v>
      </c>
      <c r="F418" s="11">
        <v>2564.25</v>
      </c>
      <c r="G418" s="21">
        <v>79.25</v>
      </c>
      <c r="H418" s="34" t="s">
        <v>33</v>
      </c>
      <c r="I418" s="10" t="s">
        <v>435</v>
      </c>
      <c r="J418" s="10" t="s">
        <v>436</v>
      </c>
      <c r="K418" s="35" t="s">
        <v>437</v>
      </c>
      <c r="L418" s="35" t="s">
        <v>106</v>
      </c>
      <c r="M418" s="35" t="s">
        <v>438</v>
      </c>
      <c r="N418" s="35" t="s">
        <v>439</v>
      </c>
      <c r="O418" s="35" t="s">
        <v>195</v>
      </c>
      <c r="P418" s="33">
        <v>5</v>
      </c>
      <c r="Q418" s="33">
        <v>4</v>
      </c>
      <c r="R418" s="32" t="s">
        <v>445</v>
      </c>
      <c r="S418" s="36">
        <v>72</v>
      </c>
    </row>
    <row r="419" spans="1:19" ht="42" hidden="1" customHeight="1">
      <c r="A419" s="10" t="s">
        <v>111</v>
      </c>
      <c r="B419" s="10" t="s">
        <v>60</v>
      </c>
      <c r="C419" s="10" t="s">
        <v>339</v>
      </c>
      <c r="D419" s="10" t="s">
        <v>103</v>
      </c>
      <c r="E419" s="10" t="s">
        <v>469</v>
      </c>
      <c r="F419" s="11">
        <v>3993.64</v>
      </c>
      <c r="G419" s="21">
        <v>76.950967292390857</v>
      </c>
      <c r="H419" s="34" t="s">
        <v>33</v>
      </c>
      <c r="I419" s="10" t="s">
        <v>435</v>
      </c>
      <c r="J419" s="10" t="s">
        <v>441</v>
      </c>
      <c r="K419" s="35" t="s">
        <v>442</v>
      </c>
      <c r="L419" s="35" t="s">
        <v>116</v>
      </c>
      <c r="M419" s="35" t="s">
        <v>443</v>
      </c>
      <c r="N419" s="35" t="s">
        <v>444</v>
      </c>
      <c r="O419" s="35" t="s">
        <v>195</v>
      </c>
      <c r="P419" s="33">
        <v>3</v>
      </c>
      <c r="Q419" s="33">
        <v>2</v>
      </c>
      <c r="R419" s="32" t="s">
        <v>445</v>
      </c>
      <c r="S419" s="36">
        <v>90</v>
      </c>
    </row>
    <row r="420" spans="1:19" ht="42" hidden="1" customHeight="1">
      <c r="A420" s="10" t="s">
        <v>111</v>
      </c>
      <c r="B420" s="10" t="s">
        <v>60</v>
      </c>
      <c r="C420" s="10" t="s">
        <v>339</v>
      </c>
      <c r="D420" s="10" t="s">
        <v>103</v>
      </c>
      <c r="E420" s="10" t="s">
        <v>464</v>
      </c>
      <c r="F420" s="11">
        <v>5323.56</v>
      </c>
      <c r="G420" s="21">
        <v>73.949799091371716</v>
      </c>
      <c r="H420" s="34" t="s">
        <v>33</v>
      </c>
      <c r="I420" s="10" t="s">
        <v>447</v>
      </c>
      <c r="J420" s="10" t="s">
        <v>436</v>
      </c>
      <c r="K420" s="35" t="s">
        <v>448</v>
      </c>
      <c r="L420" s="35" t="s">
        <v>152</v>
      </c>
      <c r="M420" s="35" t="s">
        <v>449</v>
      </c>
      <c r="N420" s="35" t="s">
        <v>450</v>
      </c>
      <c r="O420" s="35" t="s">
        <v>195</v>
      </c>
      <c r="P420" s="33">
        <v>3</v>
      </c>
      <c r="Q420" s="33">
        <v>2</v>
      </c>
      <c r="R420" s="32" t="s">
        <v>451</v>
      </c>
      <c r="S420" s="36">
        <v>59</v>
      </c>
    </row>
    <row r="421" spans="1:19" ht="42" hidden="1" customHeight="1">
      <c r="A421" s="10" t="s">
        <v>111</v>
      </c>
      <c r="B421" s="10" t="s">
        <v>60</v>
      </c>
      <c r="C421" s="10" t="s">
        <v>339</v>
      </c>
      <c r="D421" s="10" t="s">
        <v>103</v>
      </c>
      <c r="E421" s="10" t="s">
        <v>115</v>
      </c>
      <c r="F421" s="11">
        <v>210</v>
      </c>
      <c r="G421" s="21">
        <v>73.529969712371766</v>
      </c>
      <c r="H421" s="34" t="s">
        <v>33</v>
      </c>
      <c r="I421" s="10" t="s">
        <v>435</v>
      </c>
      <c r="J421" s="10" t="s">
        <v>441</v>
      </c>
      <c r="K421" s="35" t="s">
        <v>442</v>
      </c>
      <c r="L421" s="35" t="s">
        <v>116</v>
      </c>
      <c r="M421" s="35" t="s">
        <v>443</v>
      </c>
      <c r="N421" s="35" t="s">
        <v>444</v>
      </c>
      <c r="O421" s="35" t="s">
        <v>195</v>
      </c>
      <c r="P421" s="33">
        <v>7</v>
      </c>
      <c r="Q421" s="33">
        <v>6</v>
      </c>
      <c r="R421" s="32" t="s">
        <v>445</v>
      </c>
      <c r="S421" s="36">
        <v>43</v>
      </c>
    </row>
    <row r="422" spans="1:19" ht="42" hidden="1" customHeight="1">
      <c r="A422" s="10" t="s">
        <v>111</v>
      </c>
      <c r="B422" s="10" t="s">
        <v>60</v>
      </c>
      <c r="C422" s="10" t="s">
        <v>339</v>
      </c>
      <c r="D422" s="10" t="s">
        <v>103</v>
      </c>
      <c r="E422" s="10" t="s">
        <v>213</v>
      </c>
      <c r="F422" s="11">
        <v>105.8</v>
      </c>
      <c r="G422" s="21">
        <v>72.5</v>
      </c>
      <c r="H422" s="34" t="s">
        <v>33</v>
      </c>
      <c r="I422" s="10" t="s">
        <v>447</v>
      </c>
      <c r="J422" s="10" t="s">
        <v>436</v>
      </c>
      <c r="K422" s="35" t="s">
        <v>448</v>
      </c>
      <c r="L422" s="35" t="s">
        <v>152</v>
      </c>
      <c r="M422" s="35" t="s">
        <v>449</v>
      </c>
      <c r="N422" s="35" t="s">
        <v>450</v>
      </c>
      <c r="O422" s="35" t="s">
        <v>195</v>
      </c>
      <c r="P422" s="33">
        <v>11</v>
      </c>
      <c r="Q422" s="33">
        <v>10</v>
      </c>
      <c r="R422" s="32" t="s">
        <v>451</v>
      </c>
      <c r="S422" s="36">
        <v>21</v>
      </c>
    </row>
    <row r="423" spans="1:19" ht="42" hidden="1" customHeight="1">
      <c r="A423" s="10" t="s">
        <v>111</v>
      </c>
      <c r="B423" s="10" t="s">
        <v>60</v>
      </c>
      <c r="C423" s="10" t="s">
        <v>339</v>
      </c>
      <c r="D423" s="10" t="s">
        <v>103</v>
      </c>
      <c r="E423" s="10" t="s">
        <v>467</v>
      </c>
      <c r="F423" s="11">
        <v>4551.0200000000004</v>
      </c>
      <c r="G423" s="21">
        <v>67</v>
      </c>
      <c r="H423" s="34" t="s">
        <v>33</v>
      </c>
      <c r="I423" s="10" t="s">
        <v>447</v>
      </c>
      <c r="J423" s="10" t="s">
        <v>441</v>
      </c>
      <c r="K423" s="35" t="s">
        <v>453</v>
      </c>
      <c r="L423" s="35" t="s">
        <v>135</v>
      </c>
      <c r="M423" s="35" t="s">
        <v>454</v>
      </c>
      <c r="N423" s="35" t="s">
        <v>455</v>
      </c>
      <c r="O423" s="35" t="s">
        <v>195</v>
      </c>
      <c r="P423" s="33">
        <v>6</v>
      </c>
      <c r="Q423" s="33">
        <v>5</v>
      </c>
      <c r="R423" s="32" t="s">
        <v>456</v>
      </c>
      <c r="S423" s="36">
        <v>0</v>
      </c>
    </row>
    <row r="424" spans="1:19" ht="42" hidden="1" customHeight="1">
      <c r="A424" s="10" t="s">
        <v>111</v>
      </c>
      <c r="B424" s="10" t="s">
        <v>60</v>
      </c>
      <c r="C424" s="10" t="s">
        <v>339</v>
      </c>
      <c r="D424" s="10" t="s">
        <v>103</v>
      </c>
      <c r="E424" s="10" t="s">
        <v>452</v>
      </c>
      <c r="F424" s="11">
        <v>2259.9299999999998</v>
      </c>
      <c r="G424" s="21">
        <v>65</v>
      </c>
      <c r="H424" s="34" t="s">
        <v>33</v>
      </c>
      <c r="I424" s="10" t="s">
        <v>447</v>
      </c>
      <c r="J424" s="10" t="s">
        <v>441</v>
      </c>
      <c r="K424" s="35" t="s">
        <v>453</v>
      </c>
      <c r="L424" s="35" t="s">
        <v>135</v>
      </c>
      <c r="M424" s="35" t="s">
        <v>454</v>
      </c>
      <c r="N424" s="35" t="s">
        <v>455</v>
      </c>
      <c r="O424" s="35" t="s">
        <v>195</v>
      </c>
      <c r="P424" s="33">
        <v>3</v>
      </c>
      <c r="Q424" s="33">
        <v>2</v>
      </c>
      <c r="R424" s="32" t="s">
        <v>456</v>
      </c>
      <c r="S424" s="36">
        <v>0</v>
      </c>
    </row>
    <row r="425" spans="1:19" ht="42" hidden="1" customHeight="1">
      <c r="A425" s="10" t="s">
        <v>119</v>
      </c>
      <c r="B425" s="10" t="s">
        <v>186</v>
      </c>
      <c r="C425" s="10" t="s">
        <v>187</v>
      </c>
      <c r="D425" s="10" t="s">
        <v>103</v>
      </c>
      <c r="E425" s="10" t="s">
        <v>375</v>
      </c>
      <c r="F425" s="11">
        <v>19914</v>
      </c>
      <c r="G425" s="21">
        <v>95</v>
      </c>
      <c r="H425" s="34" t="s">
        <v>31</v>
      </c>
      <c r="I425" s="10" t="s">
        <v>435</v>
      </c>
      <c r="J425" s="10" t="s">
        <v>436</v>
      </c>
      <c r="K425" s="35" t="s">
        <v>437</v>
      </c>
      <c r="L425" s="35" t="s">
        <v>106</v>
      </c>
      <c r="M425" s="35" t="s">
        <v>438</v>
      </c>
      <c r="N425" s="35" t="s">
        <v>439</v>
      </c>
      <c r="O425" s="35" t="s">
        <v>125</v>
      </c>
      <c r="P425" s="33">
        <v>2</v>
      </c>
      <c r="Q425" s="33">
        <v>1</v>
      </c>
      <c r="R425" s="32" t="s">
        <v>460</v>
      </c>
      <c r="S425" s="36">
        <v>3373</v>
      </c>
    </row>
    <row r="426" spans="1:19" ht="42" hidden="1" customHeight="1">
      <c r="A426" s="10" t="s">
        <v>119</v>
      </c>
      <c r="B426" s="10" t="s">
        <v>186</v>
      </c>
      <c r="C426" s="10" t="s">
        <v>187</v>
      </c>
      <c r="D426" s="10" t="s">
        <v>103</v>
      </c>
      <c r="E426" s="10" t="s">
        <v>213</v>
      </c>
      <c r="F426" s="11">
        <v>41526.65</v>
      </c>
      <c r="G426" s="21">
        <v>91.25</v>
      </c>
      <c r="H426" s="34" t="s">
        <v>31</v>
      </c>
      <c r="I426" s="10" t="s">
        <v>447</v>
      </c>
      <c r="J426" s="10" t="s">
        <v>436</v>
      </c>
      <c r="K426" s="35" t="s">
        <v>448</v>
      </c>
      <c r="L426" s="35" t="s">
        <v>152</v>
      </c>
      <c r="M426" s="35" t="s">
        <v>449</v>
      </c>
      <c r="N426" s="35" t="s">
        <v>450</v>
      </c>
      <c r="O426" s="35" t="s">
        <v>125</v>
      </c>
      <c r="P426" s="33">
        <v>2</v>
      </c>
      <c r="Q426" s="33">
        <v>1</v>
      </c>
      <c r="R426" s="32" t="s">
        <v>456</v>
      </c>
      <c r="S426" s="36">
        <v>0</v>
      </c>
    </row>
    <row r="427" spans="1:19" ht="42" hidden="1" customHeight="1">
      <c r="A427" s="10" t="s">
        <v>119</v>
      </c>
      <c r="B427" s="10" t="s">
        <v>186</v>
      </c>
      <c r="C427" s="10" t="s">
        <v>187</v>
      </c>
      <c r="D427" s="10" t="s">
        <v>103</v>
      </c>
      <c r="E427" s="10" t="s">
        <v>466</v>
      </c>
      <c r="F427" s="11">
        <v>27595.59</v>
      </c>
      <c r="G427" s="21">
        <v>84.25</v>
      </c>
      <c r="H427" s="34" t="s">
        <v>31</v>
      </c>
      <c r="I427" s="10" t="s">
        <v>447</v>
      </c>
      <c r="J427" s="10" t="s">
        <v>436</v>
      </c>
      <c r="K427" s="35" t="s">
        <v>448</v>
      </c>
      <c r="L427" s="35" t="s">
        <v>152</v>
      </c>
      <c r="M427" s="35" t="s">
        <v>449</v>
      </c>
      <c r="N427" s="35" t="s">
        <v>450</v>
      </c>
      <c r="O427" s="35" t="s">
        <v>125</v>
      </c>
      <c r="P427" s="33">
        <v>2</v>
      </c>
      <c r="Q427" s="33">
        <v>1</v>
      </c>
      <c r="R427" s="32" t="s">
        <v>456</v>
      </c>
      <c r="S427" s="36">
        <v>0</v>
      </c>
    </row>
    <row r="428" spans="1:19" ht="42" hidden="1" customHeight="1">
      <c r="A428" s="10" t="s">
        <v>119</v>
      </c>
      <c r="B428" s="10" t="s">
        <v>186</v>
      </c>
      <c r="C428" s="10" t="s">
        <v>187</v>
      </c>
      <c r="D428" s="10" t="s">
        <v>103</v>
      </c>
      <c r="E428" s="10" t="s">
        <v>512</v>
      </c>
      <c r="F428" s="11">
        <v>16007.17</v>
      </c>
      <c r="G428" s="21">
        <v>83</v>
      </c>
      <c r="H428" s="34" t="s">
        <v>31</v>
      </c>
      <c r="I428" s="10" t="s">
        <v>435</v>
      </c>
      <c r="J428" s="10" t="s">
        <v>441</v>
      </c>
      <c r="K428" s="35" t="s">
        <v>442</v>
      </c>
      <c r="L428" s="35" t="s">
        <v>116</v>
      </c>
      <c r="M428" s="35" t="s">
        <v>443</v>
      </c>
      <c r="N428" s="35" t="s">
        <v>444</v>
      </c>
      <c r="O428" s="35" t="s">
        <v>125</v>
      </c>
      <c r="P428" s="33">
        <v>11</v>
      </c>
      <c r="Q428" s="33">
        <v>10</v>
      </c>
      <c r="R428" s="32" t="s">
        <v>461</v>
      </c>
      <c r="S428" s="36">
        <v>127</v>
      </c>
    </row>
    <row r="429" spans="1:19" ht="42" hidden="1" customHeight="1">
      <c r="A429" s="10" t="s">
        <v>119</v>
      </c>
      <c r="B429" s="10" t="s">
        <v>186</v>
      </c>
      <c r="C429" s="10" t="s">
        <v>187</v>
      </c>
      <c r="D429" s="10" t="s">
        <v>103</v>
      </c>
      <c r="E429" s="10" t="s">
        <v>151</v>
      </c>
      <c r="F429" s="11">
        <v>14007.33</v>
      </c>
      <c r="G429" s="21">
        <v>79.966129184412011</v>
      </c>
      <c r="H429" s="34" t="s">
        <v>33</v>
      </c>
      <c r="I429" s="10" t="s">
        <v>447</v>
      </c>
      <c r="J429" s="10" t="s">
        <v>436</v>
      </c>
      <c r="K429" s="35" t="s">
        <v>448</v>
      </c>
      <c r="L429" s="35" t="s">
        <v>152</v>
      </c>
      <c r="M429" s="35" t="s">
        <v>449</v>
      </c>
      <c r="N429" s="35" t="s">
        <v>450</v>
      </c>
      <c r="O429" s="35" t="s">
        <v>195</v>
      </c>
      <c r="P429" s="33">
        <v>11</v>
      </c>
      <c r="Q429" s="33">
        <v>10</v>
      </c>
      <c r="R429" s="32" t="s">
        <v>456</v>
      </c>
      <c r="S429" s="36">
        <v>0</v>
      </c>
    </row>
    <row r="430" spans="1:19" ht="42" hidden="1" customHeight="1">
      <c r="A430" s="10" t="s">
        <v>119</v>
      </c>
      <c r="B430" s="10" t="s">
        <v>186</v>
      </c>
      <c r="C430" s="10" t="s">
        <v>187</v>
      </c>
      <c r="D430" s="10" t="s">
        <v>103</v>
      </c>
      <c r="E430" s="10" t="s">
        <v>469</v>
      </c>
      <c r="F430" s="11">
        <v>12514.78</v>
      </c>
      <c r="G430" s="21">
        <v>79.950967292390857</v>
      </c>
      <c r="H430" s="34" t="s">
        <v>33</v>
      </c>
      <c r="I430" s="10" t="s">
        <v>447</v>
      </c>
      <c r="J430" s="10" t="s">
        <v>436</v>
      </c>
      <c r="K430" s="35" t="s">
        <v>448</v>
      </c>
      <c r="L430" s="35" t="s">
        <v>152</v>
      </c>
      <c r="M430" s="35" t="s">
        <v>449</v>
      </c>
      <c r="N430" s="35" t="s">
        <v>450</v>
      </c>
      <c r="O430" s="35" t="s">
        <v>195</v>
      </c>
      <c r="P430" s="33">
        <v>2</v>
      </c>
      <c r="Q430" s="33">
        <v>1</v>
      </c>
      <c r="R430" s="32" t="s">
        <v>456</v>
      </c>
      <c r="S430" s="36">
        <v>0</v>
      </c>
    </row>
    <row r="431" spans="1:19" ht="42" hidden="1" customHeight="1">
      <c r="A431" s="10" t="s">
        <v>119</v>
      </c>
      <c r="B431" s="10" t="s">
        <v>186</v>
      </c>
      <c r="C431" s="10" t="s">
        <v>187</v>
      </c>
      <c r="D431" s="10" t="s">
        <v>103</v>
      </c>
      <c r="E431" s="10" t="s">
        <v>515</v>
      </c>
      <c r="F431" s="11">
        <v>17042.560000000001</v>
      </c>
      <c r="G431" s="21">
        <v>74.410067757145313</v>
      </c>
      <c r="H431" s="34" t="s">
        <v>33</v>
      </c>
      <c r="I431" s="10" t="s">
        <v>447</v>
      </c>
      <c r="J431" s="10" t="s">
        <v>441</v>
      </c>
      <c r="K431" s="35" t="s">
        <v>453</v>
      </c>
      <c r="L431" s="35" t="s">
        <v>135</v>
      </c>
      <c r="M431" s="35" t="s">
        <v>454</v>
      </c>
      <c r="N431" s="35" t="s">
        <v>455</v>
      </c>
      <c r="O431" s="35" t="s">
        <v>195</v>
      </c>
      <c r="P431" s="33">
        <v>11</v>
      </c>
      <c r="Q431" s="33">
        <v>10</v>
      </c>
      <c r="R431" s="32" t="s">
        <v>456</v>
      </c>
      <c r="S431" s="36">
        <v>0</v>
      </c>
    </row>
    <row r="432" spans="1:19" ht="42" hidden="1" customHeight="1">
      <c r="A432" s="10" t="s">
        <v>119</v>
      </c>
      <c r="B432" s="10" t="s">
        <v>186</v>
      </c>
      <c r="C432" s="10" t="s">
        <v>187</v>
      </c>
      <c r="D432" s="10" t="s">
        <v>103</v>
      </c>
      <c r="E432" s="10" t="s">
        <v>446</v>
      </c>
      <c r="F432" s="11">
        <v>7054.81</v>
      </c>
      <c r="G432" s="21">
        <v>72.462101858847163</v>
      </c>
      <c r="H432" s="34" t="s">
        <v>33</v>
      </c>
      <c r="I432" s="10" t="s">
        <v>447</v>
      </c>
      <c r="J432" s="10" t="s">
        <v>436</v>
      </c>
      <c r="K432" s="35" t="s">
        <v>448</v>
      </c>
      <c r="L432" s="35" t="s">
        <v>152</v>
      </c>
      <c r="M432" s="35" t="s">
        <v>449</v>
      </c>
      <c r="N432" s="35" t="s">
        <v>450</v>
      </c>
      <c r="O432" s="35" t="s">
        <v>195</v>
      </c>
      <c r="P432" s="33">
        <v>2</v>
      </c>
      <c r="Q432" s="33">
        <v>1</v>
      </c>
      <c r="R432" s="32" t="s">
        <v>456</v>
      </c>
      <c r="S432" s="36">
        <v>0</v>
      </c>
    </row>
    <row r="433" spans="1:19" ht="42" hidden="1" customHeight="1">
      <c r="A433" s="10" t="s">
        <v>119</v>
      </c>
      <c r="B433" s="10" t="s">
        <v>186</v>
      </c>
      <c r="C433" s="10" t="s">
        <v>187</v>
      </c>
      <c r="D433" s="10" t="s">
        <v>103</v>
      </c>
      <c r="E433" s="10" t="s">
        <v>193</v>
      </c>
      <c r="F433" s="11">
        <v>3848.46</v>
      </c>
      <c r="G433" s="21">
        <v>70.085273425396053</v>
      </c>
      <c r="H433" s="34" t="s">
        <v>33</v>
      </c>
      <c r="I433" s="10" t="s">
        <v>447</v>
      </c>
      <c r="J433" s="10" t="s">
        <v>441</v>
      </c>
      <c r="K433" s="35" t="s">
        <v>453</v>
      </c>
      <c r="L433" s="35" t="s">
        <v>135</v>
      </c>
      <c r="M433" s="35" t="s">
        <v>454</v>
      </c>
      <c r="N433" s="35" t="s">
        <v>455</v>
      </c>
      <c r="O433" s="35" t="s">
        <v>195</v>
      </c>
      <c r="P433" s="33">
        <v>2</v>
      </c>
      <c r="Q433" s="33">
        <v>1</v>
      </c>
      <c r="R433" s="32" t="s">
        <v>456</v>
      </c>
      <c r="S433" s="36">
        <v>0</v>
      </c>
    </row>
    <row r="434" spans="1:19" ht="42" hidden="1" customHeight="1">
      <c r="A434" s="10" t="s">
        <v>215</v>
      </c>
      <c r="B434" s="10" t="s">
        <v>60</v>
      </c>
      <c r="C434" s="10" t="s">
        <v>313</v>
      </c>
      <c r="D434" s="10" t="s">
        <v>149</v>
      </c>
      <c r="E434" s="10" t="s">
        <v>314</v>
      </c>
      <c r="F434" s="11">
        <v>2076.83</v>
      </c>
      <c r="G434" s="21">
        <v>66.25</v>
      </c>
      <c r="H434" s="34" t="s">
        <v>33</v>
      </c>
      <c r="I434" s="10" t="s">
        <v>447</v>
      </c>
      <c r="J434" s="10" t="s">
        <v>436</v>
      </c>
      <c r="K434" s="35" t="s">
        <v>448</v>
      </c>
      <c r="L434" s="35" t="s">
        <v>152</v>
      </c>
      <c r="M434" s="35" t="s">
        <v>449</v>
      </c>
      <c r="N434" s="35" t="s">
        <v>450</v>
      </c>
      <c r="O434" s="35" t="s">
        <v>195</v>
      </c>
      <c r="P434" s="33">
        <v>6</v>
      </c>
      <c r="Q434" s="33">
        <v>5</v>
      </c>
      <c r="R434" s="32" t="s">
        <v>463</v>
      </c>
      <c r="S434" s="36">
        <v>0</v>
      </c>
    </row>
    <row r="435" spans="1:19" ht="42" hidden="1" customHeight="1">
      <c r="A435" s="10" t="s">
        <v>111</v>
      </c>
      <c r="B435" s="10" t="s">
        <v>73</v>
      </c>
      <c r="C435" s="10" t="s">
        <v>418</v>
      </c>
      <c r="D435" s="10" t="s">
        <v>103</v>
      </c>
      <c r="E435" s="10" t="s">
        <v>375</v>
      </c>
      <c r="F435" s="11">
        <v>82142.48</v>
      </c>
      <c r="G435" s="21">
        <v>95</v>
      </c>
      <c r="H435" s="34" t="s">
        <v>31</v>
      </c>
      <c r="I435" s="10" t="s">
        <v>435</v>
      </c>
      <c r="J435" s="10" t="s">
        <v>436</v>
      </c>
      <c r="K435" s="35" t="s">
        <v>437</v>
      </c>
      <c r="L435" s="35" t="s">
        <v>106</v>
      </c>
      <c r="M435" s="35" t="s">
        <v>438</v>
      </c>
      <c r="N435" s="35" t="s">
        <v>439</v>
      </c>
      <c r="O435" s="35" t="s">
        <v>125</v>
      </c>
      <c r="P435" s="33">
        <v>8</v>
      </c>
      <c r="Q435" s="33">
        <v>7</v>
      </c>
      <c r="R435" s="32" t="s">
        <v>493</v>
      </c>
      <c r="S435" s="36">
        <v>3898</v>
      </c>
    </row>
    <row r="436" spans="1:19" ht="42" hidden="1" customHeight="1">
      <c r="A436" s="10" t="s">
        <v>111</v>
      </c>
      <c r="B436" s="10" t="s">
        <v>73</v>
      </c>
      <c r="C436" s="10" t="s">
        <v>418</v>
      </c>
      <c r="D436" s="10" t="s">
        <v>103</v>
      </c>
      <c r="E436" s="10" t="s">
        <v>151</v>
      </c>
      <c r="F436" s="11">
        <v>175532.21</v>
      </c>
      <c r="G436" s="21">
        <v>91.216129184411997</v>
      </c>
      <c r="H436" s="34" t="s">
        <v>31</v>
      </c>
      <c r="I436" s="10" t="s">
        <v>447</v>
      </c>
      <c r="J436" s="10" t="s">
        <v>436</v>
      </c>
      <c r="K436" s="35" t="s">
        <v>448</v>
      </c>
      <c r="L436" s="35" t="s">
        <v>152</v>
      </c>
      <c r="M436" s="35" t="s">
        <v>449</v>
      </c>
      <c r="N436" s="35" t="s">
        <v>450</v>
      </c>
      <c r="O436" s="35" t="s">
        <v>125</v>
      </c>
      <c r="P436" s="33">
        <v>5</v>
      </c>
      <c r="Q436" s="33">
        <v>4</v>
      </c>
      <c r="R436" s="32" t="s">
        <v>483</v>
      </c>
      <c r="S436" s="36">
        <v>1138</v>
      </c>
    </row>
    <row r="437" spans="1:19" ht="42" hidden="1" customHeight="1">
      <c r="A437" s="10" t="s">
        <v>111</v>
      </c>
      <c r="B437" s="10" t="s">
        <v>73</v>
      </c>
      <c r="C437" s="10" t="s">
        <v>418</v>
      </c>
      <c r="D437" s="10" t="s">
        <v>103</v>
      </c>
      <c r="E437" s="10" t="s">
        <v>464</v>
      </c>
      <c r="F437" s="11">
        <v>58434.43</v>
      </c>
      <c r="G437" s="21">
        <v>86.498742920880659</v>
      </c>
      <c r="H437" s="34" t="s">
        <v>31</v>
      </c>
      <c r="I437" s="10" t="s">
        <v>447</v>
      </c>
      <c r="J437" s="10" t="s">
        <v>436</v>
      </c>
      <c r="K437" s="35" t="s">
        <v>448</v>
      </c>
      <c r="L437" s="35" t="s">
        <v>152</v>
      </c>
      <c r="M437" s="35" t="s">
        <v>449</v>
      </c>
      <c r="N437" s="35" t="s">
        <v>450</v>
      </c>
      <c r="O437" s="35" t="s">
        <v>125</v>
      </c>
      <c r="P437" s="33">
        <v>6</v>
      </c>
      <c r="Q437" s="33">
        <v>5</v>
      </c>
      <c r="R437" s="32" t="s">
        <v>483</v>
      </c>
      <c r="S437" s="36">
        <v>373</v>
      </c>
    </row>
    <row r="438" spans="1:19" ht="42" hidden="1" customHeight="1">
      <c r="A438" s="10" t="s">
        <v>111</v>
      </c>
      <c r="B438" s="10" t="s">
        <v>73</v>
      </c>
      <c r="C438" s="10" t="s">
        <v>418</v>
      </c>
      <c r="D438" s="10" t="s">
        <v>103</v>
      </c>
      <c r="E438" s="10" t="s">
        <v>193</v>
      </c>
      <c r="F438" s="11">
        <v>37504.949999999997</v>
      </c>
      <c r="G438" s="21">
        <v>86.420557831819593</v>
      </c>
      <c r="H438" s="34" t="s">
        <v>31</v>
      </c>
      <c r="I438" s="10" t="s">
        <v>435</v>
      </c>
      <c r="J438" s="10" t="s">
        <v>441</v>
      </c>
      <c r="K438" s="35" t="s">
        <v>442</v>
      </c>
      <c r="L438" s="35" t="s">
        <v>116</v>
      </c>
      <c r="M438" s="35" t="s">
        <v>443</v>
      </c>
      <c r="N438" s="35" t="s">
        <v>444</v>
      </c>
      <c r="O438" s="35" t="s">
        <v>125</v>
      </c>
      <c r="P438" s="33">
        <v>8</v>
      </c>
      <c r="Q438" s="33">
        <v>7</v>
      </c>
      <c r="R438" s="32" t="s">
        <v>461</v>
      </c>
      <c r="S438" s="36">
        <v>66</v>
      </c>
    </row>
    <row r="439" spans="1:19" ht="42" hidden="1" customHeight="1">
      <c r="A439" s="10" t="s">
        <v>111</v>
      </c>
      <c r="B439" s="10" t="s">
        <v>73</v>
      </c>
      <c r="C439" s="10" t="s">
        <v>418</v>
      </c>
      <c r="D439" s="10" t="s">
        <v>103</v>
      </c>
      <c r="E439" s="10" t="s">
        <v>213</v>
      </c>
      <c r="F439" s="11">
        <v>54387.77</v>
      </c>
      <c r="G439" s="21">
        <v>80</v>
      </c>
      <c r="H439" s="34" t="s">
        <v>31</v>
      </c>
      <c r="I439" s="10" t="s">
        <v>447</v>
      </c>
      <c r="J439" s="10" t="s">
        <v>436</v>
      </c>
      <c r="K439" s="35" t="s">
        <v>448</v>
      </c>
      <c r="L439" s="35" t="s">
        <v>152</v>
      </c>
      <c r="M439" s="35" t="s">
        <v>449</v>
      </c>
      <c r="N439" s="35" t="s">
        <v>450</v>
      </c>
      <c r="O439" s="35" t="s">
        <v>125</v>
      </c>
      <c r="P439" s="33">
        <v>2</v>
      </c>
      <c r="Q439" s="33">
        <v>1</v>
      </c>
      <c r="R439" s="32" t="s">
        <v>483</v>
      </c>
      <c r="S439" s="36">
        <v>324</v>
      </c>
    </row>
    <row r="440" spans="1:19" ht="42" hidden="1" customHeight="1">
      <c r="A440" s="10" t="s">
        <v>111</v>
      </c>
      <c r="B440" s="10" t="s">
        <v>73</v>
      </c>
      <c r="C440" s="10" t="s">
        <v>418</v>
      </c>
      <c r="D440" s="10" t="s">
        <v>103</v>
      </c>
      <c r="E440" s="10" t="s">
        <v>446</v>
      </c>
      <c r="F440" s="11">
        <v>42443.01</v>
      </c>
      <c r="G440" s="21">
        <v>79.962101858847163</v>
      </c>
      <c r="H440" s="34" t="s">
        <v>33</v>
      </c>
      <c r="I440" s="10" t="s">
        <v>447</v>
      </c>
      <c r="J440" s="10" t="s">
        <v>436</v>
      </c>
      <c r="K440" s="35" t="s">
        <v>448</v>
      </c>
      <c r="L440" s="35" t="s">
        <v>152</v>
      </c>
      <c r="M440" s="35" t="s">
        <v>449</v>
      </c>
      <c r="N440" s="35" t="s">
        <v>450</v>
      </c>
      <c r="O440" s="35" t="s">
        <v>195</v>
      </c>
      <c r="P440" s="33">
        <v>12</v>
      </c>
      <c r="Q440" s="33">
        <v>11</v>
      </c>
      <c r="R440" s="32" t="s">
        <v>456</v>
      </c>
      <c r="S440" s="36">
        <v>0</v>
      </c>
    </row>
    <row r="441" spans="1:19" ht="42" hidden="1" customHeight="1">
      <c r="A441" s="10" t="s">
        <v>111</v>
      </c>
      <c r="B441" s="10" t="s">
        <v>73</v>
      </c>
      <c r="C441" s="10" t="s">
        <v>418</v>
      </c>
      <c r="D441" s="10" t="s">
        <v>103</v>
      </c>
      <c r="E441" s="10" t="s">
        <v>468</v>
      </c>
      <c r="F441" s="11">
        <v>21564.71</v>
      </c>
      <c r="G441" s="21">
        <v>79.25</v>
      </c>
      <c r="H441" s="34" t="s">
        <v>33</v>
      </c>
      <c r="I441" s="10" t="s">
        <v>435</v>
      </c>
      <c r="J441" s="10" t="s">
        <v>436</v>
      </c>
      <c r="K441" s="35" t="s">
        <v>437</v>
      </c>
      <c r="L441" s="35" t="s">
        <v>106</v>
      </c>
      <c r="M441" s="35" t="s">
        <v>438</v>
      </c>
      <c r="N441" s="35" t="s">
        <v>439</v>
      </c>
      <c r="O441" s="35" t="s">
        <v>195</v>
      </c>
      <c r="P441" s="33">
        <v>2</v>
      </c>
      <c r="Q441" s="33">
        <v>1</v>
      </c>
      <c r="R441" s="32" t="s">
        <v>461</v>
      </c>
      <c r="S441" s="36">
        <v>41</v>
      </c>
    </row>
    <row r="442" spans="1:19" ht="42" hidden="1" customHeight="1">
      <c r="A442" s="10" t="s">
        <v>111</v>
      </c>
      <c r="B442" s="10" t="s">
        <v>73</v>
      </c>
      <c r="C442" s="10" t="s">
        <v>418</v>
      </c>
      <c r="D442" s="10" t="s">
        <v>103</v>
      </c>
      <c r="E442" s="10" t="s">
        <v>465</v>
      </c>
      <c r="F442" s="11">
        <v>15388.62</v>
      </c>
      <c r="G442" s="21">
        <v>79.25</v>
      </c>
      <c r="H442" s="34" t="s">
        <v>33</v>
      </c>
      <c r="I442" s="10" t="s">
        <v>435</v>
      </c>
      <c r="J442" s="10" t="s">
        <v>436</v>
      </c>
      <c r="K442" s="35" t="s">
        <v>437</v>
      </c>
      <c r="L442" s="35" t="s">
        <v>106</v>
      </c>
      <c r="M442" s="35" t="s">
        <v>438</v>
      </c>
      <c r="N442" s="35" t="s">
        <v>439</v>
      </c>
      <c r="O442" s="35" t="s">
        <v>195</v>
      </c>
      <c r="P442" s="33">
        <v>8</v>
      </c>
      <c r="Q442" s="33">
        <v>7</v>
      </c>
      <c r="R442" s="32" t="s">
        <v>461</v>
      </c>
      <c r="S442" s="36">
        <v>35</v>
      </c>
    </row>
    <row r="443" spans="1:19" ht="42" hidden="1" customHeight="1">
      <c r="A443" s="10" t="s">
        <v>111</v>
      </c>
      <c r="B443" s="10" t="s">
        <v>73</v>
      </c>
      <c r="C443" s="10" t="s">
        <v>418</v>
      </c>
      <c r="D443" s="10" t="s">
        <v>103</v>
      </c>
      <c r="E443" s="10" t="s">
        <v>482</v>
      </c>
      <c r="F443" s="11">
        <v>47525.79</v>
      </c>
      <c r="G443" s="21">
        <v>77.793408911434938</v>
      </c>
      <c r="H443" s="34" t="s">
        <v>33</v>
      </c>
      <c r="I443" s="10" t="s">
        <v>447</v>
      </c>
      <c r="J443" s="10" t="s">
        <v>441</v>
      </c>
      <c r="K443" s="35" t="s">
        <v>453</v>
      </c>
      <c r="L443" s="35" t="s">
        <v>135</v>
      </c>
      <c r="M443" s="35" t="s">
        <v>454</v>
      </c>
      <c r="N443" s="35" t="s">
        <v>455</v>
      </c>
      <c r="O443" s="35" t="s">
        <v>195</v>
      </c>
      <c r="P443" s="33">
        <v>6</v>
      </c>
      <c r="Q443" s="33">
        <v>5</v>
      </c>
      <c r="R443" s="32" t="s">
        <v>456</v>
      </c>
      <c r="S443" s="36">
        <v>0</v>
      </c>
    </row>
    <row r="444" spans="1:19" ht="42" hidden="1" customHeight="1">
      <c r="A444" s="10" t="s">
        <v>111</v>
      </c>
      <c r="B444" s="10" t="s">
        <v>73</v>
      </c>
      <c r="C444" s="10" t="s">
        <v>418</v>
      </c>
      <c r="D444" s="10" t="s">
        <v>103</v>
      </c>
      <c r="E444" s="10" t="s">
        <v>225</v>
      </c>
      <c r="F444" s="11">
        <v>5690.65</v>
      </c>
      <c r="G444" s="21">
        <v>73.6828293081916</v>
      </c>
      <c r="H444" s="34" t="s">
        <v>33</v>
      </c>
      <c r="I444" s="10" t="s">
        <v>435</v>
      </c>
      <c r="J444" s="10" t="s">
        <v>441</v>
      </c>
      <c r="K444" s="35" t="s">
        <v>442</v>
      </c>
      <c r="L444" s="35" t="s">
        <v>116</v>
      </c>
      <c r="M444" s="35" t="s">
        <v>443</v>
      </c>
      <c r="N444" s="35" t="s">
        <v>444</v>
      </c>
      <c r="O444" s="35" t="s">
        <v>195</v>
      </c>
      <c r="P444" s="33">
        <v>6</v>
      </c>
      <c r="Q444" s="33">
        <v>5</v>
      </c>
      <c r="R444" s="32" t="s">
        <v>461</v>
      </c>
      <c r="S444" s="36">
        <v>25</v>
      </c>
    </row>
    <row r="445" spans="1:19" ht="42" hidden="1" customHeight="1">
      <c r="A445" s="10" t="s">
        <v>111</v>
      </c>
      <c r="B445" s="10" t="s">
        <v>73</v>
      </c>
      <c r="C445" s="10" t="s">
        <v>418</v>
      </c>
      <c r="D445" s="10" t="s">
        <v>103</v>
      </c>
      <c r="E445" s="10" t="s">
        <v>462</v>
      </c>
      <c r="F445" s="11">
        <v>7197.72</v>
      </c>
      <c r="G445" s="21">
        <v>72.183644672963055</v>
      </c>
      <c r="H445" s="34" t="s">
        <v>33</v>
      </c>
      <c r="I445" s="10" t="s">
        <v>447</v>
      </c>
      <c r="J445" s="10" t="s">
        <v>441</v>
      </c>
      <c r="K445" s="35" t="s">
        <v>453</v>
      </c>
      <c r="L445" s="35" t="s">
        <v>135</v>
      </c>
      <c r="M445" s="35" t="s">
        <v>454</v>
      </c>
      <c r="N445" s="35" t="s">
        <v>455</v>
      </c>
      <c r="O445" s="35" t="s">
        <v>195</v>
      </c>
      <c r="P445" s="33">
        <v>2</v>
      </c>
      <c r="Q445" s="33">
        <v>1</v>
      </c>
      <c r="R445" s="32" t="s">
        <v>456</v>
      </c>
      <c r="S445" s="36">
        <v>0</v>
      </c>
    </row>
    <row r="446" spans="1:19" ht="42" hidden="1" customHeight="1">
      <c r="A446" s="10" t="s">
        <v>111</v>
      </c>
      <c r="B446" s="10" t="s">
        <v>73</v>
      </c>
      <c r="C446" s="10" t="s">
        <v>418</v>
      </c>
      <c r="D446" s="10" t="s">
        <v>103</v>
      </c>
      <c r="E446" s="10" t="s">
        <v>469</v>
      </c>
      <c r="F446" s="11">
        <v>16285.06</v>
      </c>
      <c r="G446" s="21">
        <v>69.450967292390857</v>
      </c>
      <c r="H446" s="34" t="s">
        <v>33</v>
      </c>
      <c r="I446" s="10" t="s">
        <v>447</v>
      </c>
      <c r="J446" s="10" t="s">
        <v>441</v>
      </c>
      <c r="K446" s="35" t="s">
        <v>453</v>
      </c>
      <c r="L446" s="35" t="s">
        <v>135</v>
      </c>
      <c r="M446" s="35" t="s">
        <v>454</v>
      </c>
      <c r="N446" s="35" t="s">
        <v>455</v>
      </c>
      <c r="O446" s="35" t="s">
        <v>195</v>
      </c>
      <c r="P446" s="33">
        <v>1</v>
      </c>
      <c r="Q446" s="33">
        <v>1</v>
      </c>
      <c r="R446" s="32" t="s">
        <v>456</v>
      </c>
      <c r="S446" s="36">
        <v>0</v>
      </c>
    </row>
    <row r="447" spans="1:19" ht="42" hidden="1" customHeight="1">
      <c r="A447" s="10" t="s">
        <v>111</v>
      </c>
      <c r="B447" s="10" t="s">
        <v>73</v>
      </c>
      <c r="C447" s="10" t="s">
        <v>418</v>
      </c>
      <c r="D447" s="10" t="s">
        <v>103</v>
      </c>
      <c r="E447" s="10" t="s">
        <v>467</v>
      </c>
      <c r="F447" s="11">
        <v>3782.58</v>
      </c>
      <c r="G447" s="21">
        <v>67</v>
      </c>
      <c r="H447" s="34" t="s">
        <v>33</v>
      </c>
      <c r="I447" s="10" t="s">
        <v>447</v>
      </c>
      <c r="J447" s="10" t="s">
        <v>441</v>
      </c>
      <c r="K447" s="35" t="s">
        <v>453</v>
      </c>
      <c r="L447" s="35" t="s">
        <v>135</v>
      </c>
      <c r="M447" s="35" t="s">
        <v>454</v>
      </c>
      <c r="N447" s="35" t="s">
        <v>455</v>
      </c>
      <c r="O447" s="35" t="s">
        <v>195</v>
      </c>
      <c r="P447" s="33">
        <v>5</v>
      </c>
      <c r="Q447" s="33">
        <v>4</v>
      </c>
      <c r="R447" s="32" t="s">
        <v>456</v>
      </c>
      <c r="S447" s="36">
        <v>0</v>
      </c>
    </row>
    <row r="448" spans="1:19" ht="42" hidden="1" customHeight="1">
      <c r="A448" s="10" t="s">
        <v>111</v>
      </c>
      <c r="B448" s="10" t="s">
        <v>73</v>
      </c>
      <c r="C448" s="10" t="s">
        <v>418</v>
      </c>
      <c r="D448" s="10" t="s">
        <v>103</v>
      </c>
      <c r="E448" s="10" t="s">
        <v>458</v>
      </c>
      <c r="F448" s="11">
        <v>2651.81</v>
      </c>
      <c r="G448" s="21">
        <v>66</v>
      </c>
      <c r="H448" s="34" t="s">
        <v>33</v>
      </c>
      <c r="I448" s="10" t="s">
        <v>447</v>
      </c>
      <c r="J448" s="10" t="s">
        <v>436</v>
      </c>
      <c r="K448" s="35" t="s">
        <v>448</v>
      </c>
      <c r="L448" s="35" t="s">
        <v>152</v>
      </c>
      <c r="M448" s="35" t="s">
        <v>449</v>
      </c>
      <c r="N448" s="35" t="s">
        <v>450</v>
      </c>
      <c r="O448" s="35" t="s">
        <v>195</v>
      </c>
      <c r="P448" s="33">
        <v>1</v>
      </c>
      <c r="Q448" s="33">
        <v>1</v>
      </c>
      <c r="R448" s="32" t="s">
        <v>456</v>
      </c>
      <c r="S448" s="36">
        <v>0</v>
      </c>
    </row>
    <row r="449" spans="1:19" ht="42" hidden="1" customHeight="1">
      <c r="A449" s="10" t="s">
        <v>215</v>
      </c>
      <c r="B449" s="10" t="s">
        <v>60</v>
      </c>
      <c r="C449" s="10" t="s">
        <v>391</v>
      </c>
      <c r="D449" s="10" t="s">
        <v>127</v>
      </c>
      <c r="E449" s="10" t="s">
        <v>151</v>
      </c>
      <c r="F449" s="11">
        <v>47183.22</v>
      </c>
      <c r="G449" s="21">
        <v>87.466129184412011</v>
      </c>
      <c r="H449" s="34" t="s">
        <v>31</v>
      </c>
      <c r="I449" s="10" t="s">
        <v>447</v>
      </c>
      <c r="J449" s="10" t="s">
        <v>436</v>
      </c>
      <c r="K449" s="35" t="s">
        <v>448</v>
      </c>
      <c r="L449" s="35" t="s">
        <v>152</v>
      </c>
      <c r="M449" s="35" t="s">
        <v>449</v>
      </c>
      <c r="N449" s="35" t="s">
        <v>450</v>
      </c>
      <c r="O449" s="35" t="s">
        <v>125</v>
      </c>
      <c r="P449" s="33">
        <v>10</v>
      </c>
      <c r="Q449" s="33">
        <v>9</v>
      </c>
      <c r="R449" s="32" t="s">
        <v>451</v>
      </c>
      <c r="S449" s="36">
        <v>748</v>
      </c>
    </row>
    <row r="450" spans="1:19" ht="42" hidden="1" customHeight="1">
      <c r="A450" s="10" t="s">
        <v>215</v>
      </c>
      <c r="B450" s="10" t="s">
        <v>60</v>
      </c>
      <c r="C450" s="10" t="s">
        <v>391</v>
      </c>
      <c r="D450" s="10" t="s">
        <v>127</v>
      </c>
      <c r="E450" s="10" t="s">
        <v>464</v>
      </c>
      <c r="F450" s="11">
        <v>2213.38</v>
      </c>
      <c r="G450" s="21">
        <v>82.748742920880659</v>
      </c>
      <c r="H450" s="34" t="s">
        <v>31</v>
      </c>
      <c r="I450" s="10" t="s">
        <v>447</v>
      </c>
      <c r="J450" s="10" t="s">
        <v>436</v>
      </c>
      <c r="K450" s="35" t="s">
        <v>448</v>
      </c>
      <c r="L450" s="35" t="s">
        <v>152</v>
      </c>
      <c r="M450" s="35" t="s">
        <v>449</v>
      </c>
      <c r="N450" s="35" t="s">
        <v>450</v>
      </c>
      <c r="O450" s="35" t="s">
        <v>125</v>
      </c>
      <c r="P450" s="33">
        <v>12</v>
      </c>
      <c r="Q450" s="33">
        <v>11</v>
      </c>
      <c r="R450" s="32" t="s">
        <v>451</v>
      </c>
      <c r="S450" s="36">
        <v>52</v>
      </c>
    </row>
    <row r="451" spans="1:19" ht="42" hidden="1" customHeight="1">
      <c r="A451" s="10" t="s">
        <v>101</v>
      </c>
      <c r="B451" s="10" t="s">
        <v>60</v>
      </c>
      <c r="C451" s="10" t="s">
        <v>237</v>
      </c>
      <c r="D451" s="10" t="s">
        <v>127</v>
      </c>
      <c r="E451" s="10" t="s">
        <v>213</v>
      </c>
      <c r="F451" s="11">
        <v>12162.25</v>
      </c>
      <c r="G451" s="21">
        <v>87.5</v>
      </c>
      <c r="H451" s="34" t="s">
        <v>31</v>
      </c>
      <c r="I451" s="10" t="s">
        <v>447</v>
      </c>
      <c r="J451" s="10" t="s">
        <v>436</v>
      </c>
      <c r="K451" s="35" t="s">
        <v>448</v>
      </c>
      <c r="L451" s="35" t="s">
        <v>152</v>
      </c>
      <c r="M451" s="35" t="s">
        <v>449</v>
      </c>
      <c r="N451" s="35" t="s">
        <v>450</v>
      </c>
      <c r="O451" s="35" t="s">
        <v>125</v>
      </c>
      <c r="P451" s="33">
        <v>4</v>
      </c>
      <c r="Q451" s="33">
        <v>3</v>
      </c>
      <c r="R451" s="32" t="s">
        <v>456</v>
      </c>
      <c r="S451" s="36">
        <v>0</v>
      </c>
    </row>
    <row r="452" spans="1:19" ht="42" hidden="1" customHeight="1">
      <c r="A452" s="10" t="s">
        <v>101</v>
      </c>
      <c r="B452" s="10" t="s">
        <v>60</v>
      </c>
      <c r="C452" s="10" t="s">
        <v>237</v>
      </c>
      <c r="D452" s="10" t="s">
        <v>127</v>
      </c>
      <c r="E452" s="10" t="s">
        <v>457</v>
      </c>
      <c r="F452" s="11">
        <v>7849.1</v>
      </c>
      <c r="G452" s="21">
        <v>84</v>
      </c>
      <c r="H452" s="34" t="s">
        <v>31</v>
      </c>
      <c r="I452" s="10" t="s">
        <v>447</v>
      </c>
      <c r="J452" s="10" t="s">
        <v>441</v>
      </c>
      <c r="K452" s="35" t="s">
        <v>453</v>
      </c>
      <c r="L452" s="35" t="s">
        <v>135</v>
      </c>
      <c r="M452" s="35" t="s">
        <v>454</v>
      </c>
      <c r="N452" s="35" t="s">
        <v>455</v>
      </c>
      <c r="O452" s="35" t="s">
        <v>125</v>
      </c>
      <c r="P452" s="33">
        <v>4</v>
      </c>
      <c r="Q452" s="33">
        <v>3</v>
      </c>
      <c r="R452" s="32" t="s">
        <v>456</v>
      </c>
      <c r="S452" s="36">
        <v>0</v>
      </c>
    </row>
    <row r="453" spans="1:19" ht="42" hidden="1" customHeight="1">
      <c r="A453" s="10" t="s">
        <v>101</v>
      </c>
      <c r="B453" s="10" t="s">
        <v>60</v>
      </c>
      <c r="C453" s="10" t="s">
        <v>237</v>
      </c>
      <c r="D453" s="10" t="s">
        <v>127</v>
      </c>
      <c r="E453" s="10" t="s">
        <v>115</v>
      </c>
      <c r="F453" s="11">
        <v>3143.81</v>
      </c>
      <c r="G453" s="21">
        <v>83.529969712371766</v>
      </c>
      <c r="H453" s="34" t="s">
        <v>31</v>
      </c>
      <c r="I453" s="10" t="s">
        <v>435</v>
      </c>
      <c r="J453" s="10" t="s">
        <v>441</v>
      </c>
      <c r="K453" s="35" t="s">
        <v>442</v>
      </c>
      <c r="L453" s="35" t="s">
        <v>116</v>
      </c>
      <c r="M453" s="35" t="s">
        <v>443</v>
      </c>
      <c r="N453" s="35" t="s">
        <v>444</v>
      </c>
      <c r="O453" s="35" t="s">
        <v>125</v>
      </c>
      <c r="P453" s="33">
        <v>6</v>
      </c>
      <c r="Q453" s="33">
        <v>5</v>
      </c>
      <c r="R453" s="32" t="s">
        <v>476</v>
      </c>
      <c r="S453" s="36">
        <v>2200</v>
      </c>
    </row>
    <row r="454" spans="1:19" ht="42" hidden="1" customHeight="1">
      <c r="A454" s="10" t="s">
        <v>101</v>
      </c>
      <c r="B454" s="10" t="s">
        <v>60</v>
      </c>
      <c r="C454" s="10" t="s">
        <v>237</v>
      </c>
      <c r="D454" s="10" t="s">
        <v>127</v>
      </c>
      <c r="E454" s="10" t="s">
        <v>225</v>
      </c>
      <c r="F454" s="11">
        <v>1943.83</v>
      </c>
      <c r="G454" s="21">
        <v>77.4328293081916</v>
      </c>
      <c r="H454" s="34" t="s">
        <v>33</v>
      </c>
      <c r="I454" s="10" t="s">
        <v>435</v>
      </c>
      <c r="J454" s="10" t="s">
        <v>441</v>
      </c>
      <c r="K454" s="35" t="s">
        <v>442</v>
      </c>
      <c r="L454" s="35" t="s">
        <v>116</v>
      </c>
      <c r="M454" s="35" t="s">
        <v>443</v>
      </c>
      <c r="N454" s="35" t="s">
        <v>444</v>
      </c>
      <c r="O454" s="35" t="s">
        <v>195</v>
      </c>
      <c r="P454" s="33">
        <v>5</v>
      </c>
      <c r="Q454" s="33">
        <v>4</v>
      </c>
      <c r="R454" s="32" t="s">
        <v>456</v>
      </c>
      <c r="S454" s="36">
        <v>0</v>
      </c>
    </row>
    <row r="455" spans="1:19" ht="42" hidden="1" customHeight="1">
      <c r="A455" s="10" t="s">
        <v>101</v>
      </c>
      <c r="B455" s="10" t="s">
        <v>60</v>
      </c>
      <c r="C455" s="10" t="s">
        <v>237</v>
      </c>
      <c r="D455" s="10" t="s">
        <v>127</v>
      </c>
      <c r="E455" s="10" t="s">
        <v>193</v>
      </c>
      <c r="F455" s="11">
        <v>1387.61</v>
      </c>
      <c r="G455" s="21">
        <v>73.835273425396053</v>
      </c>
      <c r="H455" s="34" t="s">
        <v>33</v>
      </c>
      <c r="I455" s="10" t="s">
        <v>435</v>
      </c>
      <c r="J455" s="10" t="s">
        <v>441</v>
      </c>
      <c r="K455" s="35" t="s">
        <v>442</v>
      </c>
      <c r="L455" s="35" t="s">
        <v>116</v>
      </c>
      <c r="M455" s="35" t="s">
        <v>443</v>
      </c>
      <c r="N455" s="35" t="s">
        <v>444</v>
      </c>
      <c r="O455" s="35" t="s">
        <v>195</v>
      </c>
      <c r="P455" s="33">
        <v>5</v>
      </c>
      <c r="Q455" s="33">
        <v>4</v>
      </c>
      <c r="R455" s="32" t="s">
        <v>456</v>
      </c>
      <c r="S455" s="36">
        <v>0</v>
      </c>
    </row>
    <row r="456" spans="1:19" ht="42" hidden="1" customHeight="1">
      <c r="A456" s="10" t="s">
        <v>101</v>
      </c>
      <c r="B456" s="10" t="s">
        <v>60</v>
      </c>
      <c r="C456" s="10" t="s">
        <v>237</v>
      </c>
      <c r="D456" s="10" t="s">
        <v>127</v>
      </c>
      <c r="E456" s="10" t="s">
        <v>462</v>
      </c>
      <c r="F456" s="11">
        <v>502.84</v>
      </c>
      <c r="G456" s="21">
        <v>65.102031083007802</v>
      </c>
      <c r="H456" s="34" t="s">
        <v>33</v>
      </c>
      <c r="I456" s="10" t="s">
        <v>447</v>
      </c>
      <c r="J456" s="10" t="s">
        <v>441</v>
      </c>
      <c r="K456" s="35" t="s">
        <v>453</v>
      </c>
      <c r="L456" s="35" t="s">
        <v>135</v>
      </c>
      <c r="M456" s="35" t="s">
        <v>454</v>
      </c>
      <c r="N456" s="35" t="s">
        <v>455</v>
      </c>
      <c r="O456" s="35" t="s">
        <v>195</v>
      </c>
      <c r="P456" s="33">
        <v>5</v>
      </c>
      <c r="Q456" s="33">
        <v>4</v>
      </c>
      <c r="R456" s="32" t="s">
        <v>456</v>
      </c>
      <c r="S456" s="36">
        <v>0</v>
      </c>
    </row>
    <row r="457" spans="1:19" ht="42" hidden="1" customHeight="1">
      <c r="A457" s="10" t="s">
        <v>101</v>
      </c>
      <c r="B457" s="10" t="s">
        <v>60</v>
      </c>
      <c r="C457" s="10" t="s">
        <v>191</v>
      </c>
      <c r="D457" s="10" t="s">
        <v>149</v>
      </c>
      <c r="E457" s="10" t="s">
        <v>193</v>
      </c>
      <c r="F457" s="11">
        <v>151.97999999999999</v>
      </c>
      <c r="G457" s="21">
        <v>81.835273425396053</v>
      </c>
      <c r="H457" s="34" t="s">
        <v>31</v>
      </c>
      <c r="I457" s="10" t="s">
        <v>435</v>
      </c>
      <c r="J457" s="10" t="s">
        <v>436</v>
      </c>
      <c r="K457" s="35" t="s">
        <v>437</v>
      </c>
      <c r="L457" s="35" t="s">
        <v>106</v>
      </c>
      <c r="M457" s="35" t="s">
        <v>438</v>
      </c>
      <c r="N457" s="35" t="s">
        <v>439</v>
      </c>
      <c r="O457" s="35" t="s">
        <v>195</v>
      </c>
      <c r="P457" s="33">
        <v>2</v>
      </c>
      <c r="Q457" s="33">
        <v>1</v>
      </c>
      <c r="R457" s="32" t="s">
        <v>514</v>
      </c>
      <c r="S457" s="36">
        <v>300</v>
      </c>
    </row>
    <row r="458" spans="1:19" ht="42" hidden="1" customHeight="1">
      <c r="A458" s="10" t="s">
        <v>111</v>
      </c>
      <c r="B458" s="10" t="s">
        <v>60</v>
      </c>
      <c r="C458" s="10" t="s">
        <v>196</v>
      </c>
      <c r="D458" s="10" t="s">
        <v>127</v>
      </c>
      <c r="E458" s="10" t="s">
        <v>151</v>
      </c>
      <c r="F458" s="11">
        <v>5971.57</v>
      </c>
      <c r="G458" s="21">
        <v>82.466129184412011</v>
      </c>
      <c r="H458" s="34" t="s">
        <v>31</v>
      </c>
      <c r="I458" s="10" t="s">
        <v>447</v>
      </c>
      <c r="J458" s="10" t="s">
        <v>436</v>
      </c>
      <c r="K458" s="35" t="s">
        <v>448</v>
      </c>
      <c r="L458" s="35" t="s">
        <v>152</v>
      </c>
      <c r="M458" s="35" t="s">
        <v>449</v>
      </c>
      <c r="N458" s="35" t="s">
        <v>450</v>
      </c>
      <c r="O458" s="35" t="s">
        <v>125</v>
      </c>
      <c r="P458" s="33">
        <v>12</v>
      </c>
      <c r="Q458" s="33">
        <v>11</v>
      </c>
      <c r="R458" s="32" t="s">
        <v>451</v>
      </c>
      <c r="S458" s="36">
        <v>580</v>
      </c>
    </row>
    <row r="459" spans="1:19" ht="42" hidden="1" customHeight="1">
      <c r="A459" s="10" t="s">
        <v>111</v>
      </c>
      <c r="B459" s="10" t="s">
        <v>60</v>
      </c>
      <c r="C459" s="10" t="s">
        <v>196</v>
      </c>
      <c r="D459" s="10" t="s">
        <v>127</v>
      </c>
      <c r="E459" s="10" t="s">
        <v>467</v>
      </c>
      <c r="F459" s="11">
        <v>35636.800000000003</v>
      </c>
      <c r="G459" s="21">
        <v>82</v>
      </c>
      <c r="H459" s="34" t="s">
        <v>31</v>
      </c>
      <c r="I459" s="10" t="s">
        <v>447</v>
      </c>
      <c r="J459" s="10" t="s">
        <v>441</v>
      </c>
      <c r="K459" s="35" t="s">
        <v>453</v>
      </c>
      <c r="L459" s="35" t="s">
        <v>135</v>
      </c>
      <c r="M459" s="35" t="s">
        <v>454</v>
      </c>
      <c r="N459" s="35" t="s">
        <v>455</v>
      </c>
      <c r="O459" s="35" t="s">
        <v>125</v>
      </c>
      <c r="P459" s="33">
        <v>6</v>
      </c>
      <c r="Q459" s="33">
        <v>5</v>
      </c>
      <c r="R459" s="32" t="s">
        <v>492</v>
      </c>
      <c r="S459" s="36">
        <v>1403</v>
      </c>
    </row>
    <row r="460" spans="1:19" ht="42" hidden="1" customHeight="1">
      <c r="A460" s="10" t="s">
        <v>111</v>
      </c>
      <c r="B460" s="10" t="s">
        <v>60</v>
      </c>
      <c r="C460" s="10" t="s">
        <v>196</v>
      </c>
      <c r="D460" s="10" t="s">
        <v>127</v>
      </c>
      <c r="E460" s="10" t="s">
        <v>446</v>
      </c>
      <c r="F460" s="11">
        <v>2938.88</v>
      </c>
      <c r="G460" s="21">
        <v>68.712101858847163</v>
      </c>
      <c r="H460" s="34" t="s">
        <v>33</v>
      </c>
      <c r="I460" s="10" t="s">
        <v>447</v>
      </c>
      <c r="J460" s="10" t="s">
        <v>436</v>
      </c>
      <c r="K460" s="35" t="s">
        <v>448</v>
      </c>
      <c r="L460" s="35" t="s">
        <v>152</v>
      </c>
      <c r="M460" s="35" t="s">
        <v>449</v>
      </c>
      <c r="N460" s="35" t="s">
        <v>450</v>
      </c>
      <c r="O460" s="35" t="s">
        <v>195</v>
      </c>
      <c r="P460" s="33">
        <v>5</v>
      </c>
      <c r="Q460" s="33">
        <v>4</v>
      </c>
      <c r="R460" s="32" t="s">
        <v>451</v>
      </c>
      <c r="S460" s="36">
        <v>220</v>
      </c>
    </row>
    <row r="461" spans="1:19" ht="42" hidden="1" customHeight="1">
      <c r="A461" s="10" t="s">
        <v>111</v>
      </c>
      <c r="B461" s="10" t="s">
        <v>60</v>
      </c>
      <c r="C461" s="10" t="s">
        <v>196</v>
      </c>
      <c r="D461" s="10" t="s">
        <v>127</v>
      </c>
      <c r="E461" s="10" t="s">
        <v>477</v>
      </c>
      <c r="F461" s="11">
        <v>20569.650000000001</v>
      </c>
      <c r="G461" s="21">
        <v>68.172323946491119</v>
      </c>
      <c r="H461" s="34" t="s">
        <v>33</v>
      </c>
      <c r="I461" s="10" t="s">
        <v>447</v>
      </c>
      <c r="J461" s="10" t="s">
        <v>471</v>
      </c>
      <c r="K461" s="35" t="s">
        <v>472</v>
      </c>
      <c r="L461" s="35" t="s">
        <v>174</v>
      </c>
      <c r="M461" s="35" t="s">
        <v>473</v>
      </c>
      <c r="N461" s="35" t="s">
        <v>137</v>
      </c>
      <c r="O461" s="35" t="s">
        <v>195</v>
      </c>
      <c r="P461" s="33">
        <v>3</v>
      </c>
      <c r="Q461" s="33">
        <v>2</v>
      </c>
      <c r="R461" s="32" t="s">
        <v>492</v>
      </c>
      <c r="S461" s="36">
        <v>597</v>
      </c>
    </row>
    <row r="462" spans="1:19" ht="42" hidden="1" customHeight="1">
      <c r="A462" s="10" t="s">
        <v>111</v>
      </c>
      <c r="B462" s="10" t="s">
        <v>60</v>
      </c>
      <c r="C462" s="10" t="s">
        <v>199</v>
      </c>
      <c r="D462" s="10" t="s">
        <v>149</v>
      </c>
      <c r="E462" s="10" t="s">
        <v>151</v>
      </c>
      <c r="F462" s="11">
        <v>5545.24</v>
      </c>
      <c r="G462" s="21">
        <v>73.716129184412011</v>
      </c>
      <c r="H462" s="34" t="s">
        <v>33</v>
      </c>
      <c r="I462" s="10" t="s">
        <v>447</v>
      </c>
      <c r="J462" s="10" t="s">
        <v>436</v>
      </c>
      <c r="K462" s="35" t="s">
        <v>448</v>
      </c>
      <c r="L462" s="35" t="s">
        <v>152</v>
      </c>
      <c r="M462" s="35" t="s">
        <v>449</v>
      </c>
      <c r="N462" s="35" t="s">
        <v>450</v>
      </c>
      <c r="O462" s="35" t="s">
        <v>195</v>
      </c>
      <c r="P462" s="33">
        <v>2</v>
      </c>
      <c r="Q462" s="33">
        <v>1</v>
      </c>
      <c r="R462" s="32" t="s">
        <v>463</v>
      </c>
      <c r="S462" s="36">
        <v>0</v>
      </c>
    </row>
    <row r="463" spans="1:19" ht="42" hidden="1" customHeight="1">
      <c r="A463" s="10" t="s">
        <v>101</v>
      </c>
      <c r="B463" s="10" t="s">
        <v>60</v>
      </c>
      <c r="C463" s="10" t="s">
        <v>342</v>
      </c>
      <c r="D463" s="10" t="s">
        <v>103</v>
      </c>
      <c r="E463" s="10" t="s">
        <v>375</v>
      </c>
      <c r="F463" s="11">
        <v>7376.91</v>
      </c>
      <c r="G463" s="21">
        <v>88.75</v>
      </c>
      <c r="H463" s="34" t="s">
        <v>31</v>
      </c>
      <c r="I463" s="10" t="s">
        <v>435</v>
      </c>
      <c r="J463" s="10" t="s">
        <v>436</v>
      </c>
      <c r="K463" s="35" t="s">
        <v>437</v>
      </c>
      <c r="L463" s="35" t="s">
        <v>106</v>
      </c>
      <c r="M463" s="35" t="s">
        <v>438</v>
      </c>
      <c r="N463" s="35" t="s">
        <v>439</v>
      </c>
      <c r="O463" s="35" t="s">
        <v>125</v>
      </c>
      <c r="P463" s="33">
        <v>6</v>
      </c>
      <c r="Q463" s="33">
        <v>5</v>
      </c>
      <c r="R463" s="32" t="s">
        <v>460</v>
      </c>
      <c r="S463" s="36">
        <v>2364</v>
      </c>
    </row>
    <row r="464" spans="1:19" ht="42" hidden="1" customHeight="1">
      <c r="A464" s="10" t="s">
        <v>101</v>
      </c>
      <c r="B464" s="10" t="s">
        <v>60</v>
      </c>
      <c r="C464" s="10" t="s">
        <v>342</v>
      </c>
      <c r="D464" s="10" t="s">
        <v>103</v>
      </c>
      <c r="E464" s="10" t="s">
        <v>457</v>
      </c>
      <c r="F464" s="11">
        <v>30293.58</v>
      </c>
      <c r="G464" s="21">
        <v>87.75</v>
      </c>
      <c r="H464" s="34" t="s">
        <v>31</v>
      </c>
      <c r="I464" s="10" t="s">
        <v>447</v>
      </c>
      <c r="J464" s="10" t="s">
        <v>441</v>
      </c>
      <c r="K464" s="35" t="s">
        <v>453</v>
      </c>
      <c r="L464" s="35" t="s">
        <v>135</v>
      </c>
      <c r="M464" s="35" t="s">
        <v>454</v>
      </c>
      <c r="N464" s="35" t="s">
        <v>455</v>
      </c>
      <c r="O464" s="35" t="s">
        <v>125</v>
      </c>
      <c r="P464" s="33">
        <v>5</v>
      </c>
      <c r="Q464" s="33">
        <v>4</v>
      </c>
      <c r="R464" s="32" t="s">
        <v>456</v>
      </c>
      <c r="S464" s="36">
        <v>0</v>
      </c>
    </row>
    <row r="465" spans="1:19" ht="42" hidden="1" customHeight="1">
      <c r="A465" s="10" t="s">
        <v>101</v>
      </c>
      <c r="B465" s="10" t="s">
        <v>60</v>
      </c>
      <c r="C465" s="10" t="s">
        <v>342</v>
      </c>
      <c r="D465" s="10" t="s">
        <v>103</v>
      </c>
      <c r="E465" s="10" t="s">
        <v>464</v>
      </c>
      <c r="F465" s="11">
        <v>17589.5</v>
      </c>
      <c r="G465" s="21">
        <v>86.498742920880659</v>
      </c>
      <c r="H465" s="34" t="s">
        <v>31</v>
      </c>
      <c r="I465" s="10" t="s">
        <v>447</v>
      </c>
      <c r="J465" s="10" t="s">
        <v>436</v>
      </c>
      <c r="K465" s="35" t="s">
        <v>448</v>
      </c>
      <c r="L465" s="35" t="s">
        <v>152</v>
      </c>
      <c r="M465" s="35" t="s">
        <v>449</v>
      </c>
      <c r="N465" s="35" t="s">
        <v>450</v>
      </c>
      <c r="O465" s="35" t="s">
        <v>125</v>
      </c>
      <c r="P465" s="33">
        <v>5</v>
      </c>
      <c r="Q465" s="33">
        <v>4</v>
      </c>
      <c r="R465" s="32" t="s">
        <v>456</v>
      </c>
      <c r="S465" s="36">
        <v>0</v>
      </c>
    </row>
    <row r="466" spans="1:19" ht="42" hidden="1" customHeight="1">
      <c r="A466" s="10" t="s">
        <v>101</v>
      </c>
      <c r="B466" s="10" t="s">
        <v>60</v>
      </c>
      <c r="C466" s="10" t="s">
        <v>342</v>
      </c>
      <c r="D466" s="10" t="s">
        <v>103</v>
      </c>
      <c r="E466" s="10" t="s">
        <v>467</v>
      </c>
      <c r="F466" s="11">
        <v>23621.73</v>
      </c>
      <c r="G466" s="21">
        <v>80.75</v>
      </c>
      <c r="H466" s="34" t="s">
        <v>31</v>
      </c>
      <c r="I466" s="10" t="s">
        <v>447</v>
      </c>
      <c r="J466" s="10" t="s">
        <v>441</v>
      </c>
      <c r="K466" s="35" t="s">
        <v>453</v>
      </c>
      <c r="L466" s="35" t="s">
        <v>135</v>
      </c>
      <c r="M466" s="35" t="s">
        <v>454</v>
      </c>
      <c r="N466" s="35" t="s">
        <v>455</v>
      </c>
      <c r="O466" s="35" t="s">
        <v>125</v>
      </c>
      <c r="P466" s="33">
        <v>7</v>
      </c>
      <c r="Q466" s="33">
        <v>6</v>
      </c>
      <c r="R466" s="32" t="s">
        <v>456</v>
      </c>
      <c r="S466" s="36">
        <v>0</v>
      </c>
    </row>
    <row r="467" spans="1:19" ht="42" hidden="1" customHeight="1">
      <c r="A467" s="10" t="s">
        <v>101</v>
      </c>
      <c r="B467" s="10" t="s">
        <v>60</v>
      </c>
      <c r="C467" s="10" t="s">
        <v>342</v>
      </c>
      <c r="D467" s="10" t="s">
        <v>103</v>
      </c>
      <c r="E467" s="10" t="s">
        <v>193</v>
      </c>
      <c r="F467" s="11">
        <v>1438.17</v>
      </c>
      <c r="G467" s="21">
        <v>80.173009889844849</v>
      </c>
      <c r="H467" s="34" t="s">
        <v>31</v>
      </c>
      <c r="I467" s="10" t="s">
        <v>435</v>
      </c>
      <c r="J467" s="10" t="s">
        <v>436</v>
      </c>
      <c r="K467" s="35" t="s">
        <v>437</v>
      </c>
      <c r="L467" s="35" t="s">
        <v>106</v>
      </c>
      <c r="M467" s="35" t="s">
        <v>438</v>
      </c>
      <c r="N467" s="35" t="s">
        <v>439</v>
      </c>
      <c r="O467" s="35" t="s">
        <v>125</v>
      </c>
      <c r="P467" s="33">
        <v>6</v>
      </c>
      <c r="Q467" s="33">
        <v>5</v>
      </c>
      <c r="R467" s="32" t="s">
        <v>461</v>
      </c>
      <c r="S467" s="36">
        <v>45</v>
      </c>
    </row>
    <row r="468" spans="1:19" ht="42" hidden="1" customHeight="1">
      <c r="A468" s="10" t="s">
        <v>101</v>
      </c>
      <c r="B468" s="10" t="s">
        <v>60</v>
      </c>
      <c r="C468" s="10" t="s">
        <v>342</v>
      </c>
      <c r="D468" s="10" t="s">
        <v>103</v>
      </c>
      <c r="E468" s="10" t="s">
        <v>468</v>
      </c>
      <c r="F468" s="11">
        <v>350.5</v>
      </c>
      <c r="G468" s="21">
        <v>79.25</v>
      </c>
      <c r="H468" s="34" t="s">
        <v>33</v>
      </c>
      <c r="I468" s="10" t="s">
        <v>435</v>
      </c>
      <c r="J468" s="10" t="s">
        <v>436</v>
      </c>
      <c r="K468" s="35" t="s">
        <v>437</v>
      </c>
      <c r="L468" s="35" t="s">
        <v>106</v>
      </c>
      <c r="M468" s="35" t="s">
        <v>438</v>
      </c>
      <c r="N468" s="35" t="s">
        <v>439</v>
      </c>
      <c r="O468" s="35" t="s">
        <v>195</v>
      </c>
      <c r="P468" s="33">
        <v>6</v>
      </c>
      <c r="Q468" s="33">
        <v>5</v>
      </c>
      <c r="R468" s="32" t="s">
        <v>461</v>
      </c>
      <c r="S468" s="36">
        <v>25</v>
      </c>
    </row>
    <row r="469" spans="1:19" ht="42" hidden="1" customHeight="1">
      <c r="A469" s="10" t="s">
        <v>101</v>
      </c>
      <c r="B469" s="10" t="s">
        <v>60</v>
      </c>
      <c r="C469" s="10" t="s">
        <v>342</v>
      </c>
      <c r="D469" s="10" t="s">
        <v>103</v>
      </c>
      <c r="E469" s="10" t="s">
        <v>181</v>
      </c>
      <c r="F469" s="11">
        <v>255.38</v>
      </c>
      <c r="G469" s="21">
        <v>73.75</v>
      </c>
      <c r="H469" s="34" t="s">
        <v>33</v>
      </c>
      <c r="I469" s="10" t="s">
        <v>435</v>
      </c>
      <c r="J469" s="10" t="s">
        <v>441</v>
      </c>
      <c r="K469" s="35" t="s">
        <v>442</v>
      </c>
      <c r="L469" s="35" t="s">
        <v>116</v>
      </c>
      <c r="M469" s="35" t="s">
        <v>443</v>
      </c>
      <c r="N469" s="35" t="s">
        <v>444</v>
      </c>
      <c r="O469" s="35" t="s">
        <v>195</v>
      </c>
      <c r="P469" s="33">
        <v>6</v>
      </c>
      <c r="Q469" s="33">
        <v>5</v>
      </c>
      <c r="R469" s="32" t="s">
        <v>461</v>
      </c>
      <c r="S469" s="36">
        <v>24</v>
      </c>
    </row>
    <row r="470" spans="1:19" ht="42" hidden="1" customHeight="1">
      <c r="A470" s="10" t="s">
        <v>101</v>
      </c>
      <c r="B470" s="10" t="s">
        <v>60</v>
      </c>
      <c r="C470" s="10" t="s">
        <v>342</v>
      </c>
      <c r="D470" s="10" t="s">
        <v>103</v>
      </c>
      <c r="E470" s="10" t="s">
        <v>115</v>
      </c>
      <c r="F470" s="11">
        <v>1602.34</v>
      </c>
      <c r="G470" s="21">
        <v>73.529969712371766</v>
      </c>
      <c r="H470" s="34" t="s">
        <v>33</v>
      </c>
      <c r="I470" s="10" t="s">
        <v>435</v>
      </c>
      <c r="J470" s="10" t="s">
        <v>441</v>
      </c>
      <c r="K470" s="35" t="s">
        <v>442</v>
      </c>
      <c r="L470" s="35" t="s">
        <v>116</v>
      </c>
      <c r="M470" s="35" t="s">
        <v>443</v>
      </c>
      <c r="N470" s="35" t="s">
        <v>444</v>
      </c>
      <c r="O470" s="35" t="s">
        <v>195</v>
      </c>
      <c r="P470" s="33">
        <v>8</v>
      </c>
      <c r="Q470" s="33">
        <v>7</v>
      </c>
      <c r="R470" s="32" t="s">
        <v>461</v>
      </c>
      <c r="S470" s="36">
        <v>42</v>
      </c>
    </row>
    <row r="471" spans="1:19" ht="42" hidden="1" customHeight="1">
      <c r="A471" s="10" t="s">
        <v>101</v>
      </c>
      <c r="B471" s="10" t="s">
        <v>60</v>
      </c>
      <c r="C471" s="10" t="s">
        <v>342</v>
      </c>
      <c r="D471" s="10" t="s">
        <v>103</v>
      </c>
      <c r="E471" s="10" t="s">
        <v>452</v>
      </c>
      <c r="F471" s="11">
        <v>6267.87</v>
      </c>
      <c r="G471" s="21">
        <v>72.5</v>
      </c>
      <c r="H471" s="34" t="s">
        <v>33</v>
      </c>
      <c r="I471" s="10" t="s">
        <v>447</v>
      </c>
      <c r="J471" s="10" t="s">
        <v>441</v>
      </c>
      <c r="K471" s="35" t="s">
        <v>453</v>
      </c>
      <c r="L471" s="35" t="s">
        <v>135</v>
      </c>
      <c r="M471" s="35" t="s">
        <v>454</v>
      </c>
      <c r="N471" s="35" t="s">
        <v>455</v>
      </c>
      <c r="O471" s="35" t="s">
        <v>195</v>
      </c>
      <c r="P471" s="33">
        <v>6</v>
      </c>
      <c r="Q471" s="33">
        <v>5</v>
      </c>
      <c r="R471" s="32" t="s">
        <v>456</v>
      </c>
      <c r="S471" s="36">
        <v>0</v>
      </c>
    </row>
    <row r="472" spans="1:19" ht="42" hidden="1" customHeight="1">
      <c r="A472" s="10" t="s">
        <v>101</v>
      </c>
      <c r="B472" s="10" t="s">
        <v>60</v>
      </c>
      <c r="C472" s="10" t="s">
        <v>342</v>
      </c>
      <c r="D472" s="10" t="s">
        <v>103</v>
      </c>
      <c r="E472" s="10" t="s">
        <v>213</v>
      </c>
      <c r="F472" s="11">
        <v>558.29999999999995</v>
      </c>
      <c r="G472" s="21">
        <v>72.5</v>
      </c>
      <c r="H472" s="34" t="s">
        <v>33</v>
      </c>
      <c r="I472" s="10" t="s">
        <v>447</v>
      </c>
      <c r="J472" s="10" t="s">
        <v>436</v>
      </c>
      <c r="K472" s="35" t="s">
        <v>448</v>
      </c>
      <c r="L472" s="35" t="s">
        <v>152</v>
      </c>
      <c r="M472" s="35" t="s">
        <v>449</v>
      </c>
      <c r="N472" s="35" t="s">
        <v>450</v>
      </c>
      <c r="O472" s="35" t="s">
        <v>195</v>
      </c>
      <c r="P472" s="33">
        <v>5</v>
      </c>
      <c r="Q472" s="33">
        <v>4</v>
      </c>
      <c r="R472" s="32" t="s">
        <v>456</v>
      </c>
      <c r="S472" s="36">
        <v>0</v>
      </c>
    </row>
    <row r="473" spans="1:19" ht="42" hidden="1" customHeight="1">
      <c r="A473" s="10" t="s">
        <v>101</v>
      </c>
      <c r="B473" s="10" t="s">
        <v>60</v>
      </c>
      <c r="C473" s="10" t="s">
        <v>342</v>
      </c>
      <c r="D473" s="10" t="s">
        <v>103</v>
      </c>
      <c r="E473" s="10" t="s">
        <v>446</v>
      </c>
      <c r="F473" s="11">
        <v>969.83</v>
      </c>
      <c r="G473" s="21">
        <v>72.462101858847163</v>
      </c>
      <c r="H473" s="34" t="s">
        <v>33</v>
      </c>
      <c r="I473" s="10" t="s">
        <v>447</v>
      </c>
      <c r="J473" s="10" t="s">
        <v>436</v>
      </c>
      <c r="K473" s="35" t="s">
        <v>448</v>
      </c>
      <c r="L473" s="35" t="s">
        <v>152</v>
      </c>
      <c r="M473" s="35" t="s">
        <v>449</v>
      </c>
      <c r="N473" s="35" t="s">
        <v>450</v>
      </c>
      <c r="O473" s="35" t="s">
        <v>195</v>
      </c>
      <c r="P473" s="33">
        <v>5</v>
      </c>
      <c r="Q473" s="33">
        <v>4</v>
      </c>
      <c r="R473" s="32" t="s">
        <v>456</v>
      </c>
      <c r="S473" s="36">
        <v>0</v>
      </c>
    </row>
    <row r="474" spans="1:19" ht="42" hidden="1" customHeight="1">
      <c r="A474" s="10" t="s">
        <v>101</v>
      </c>
      <c r="B474" s="10" t="s">
        <v>60</v>
      </c>
      <c r="C474" s="10" t="s">
        <v>342</v>
      </c>
      <c r="D474" s="10" t="s">
        <v>103</v>
      </c>
      <c r="E474" s="10" t="s">
        <v>462</v>
      </c>
      <c r="F474" s="11">
        <v>1286.5</v>
      </c>
      <c r="G474" s="21">
        <v>68.852031083007802</v>
      </c>
      <c r="H474" s="34" t="s">
        <v>33</v>
      </c>
      <c r="I474" s="10" t="s">
        <v>447</v>
      </c>
      <c r="J474" s="10" t="s">
        <v>441</v>
      </c>
      <c r="K474" s="35" t="s">
        <v>453</v>
      </c>
      <c r="L474" s="35" t="s">
        <v>135</v>
      </c>
      <c r="M474" s="35" t="s">
        <v>454</v>
      </c>
      <c r="N474" s="35" t="s">
        <v>455</v>
      </c>
      <c r="O474" s="35" t="s">
        <v>195</v>
      </c>
      <c r="P474" s="33">
        <v>1</v>
      </c>
      <c r="Q474" s="33">
        <v>1</v>
      </c>
      <c r="R474" s="32" t="s">
        <v>456</v>
      </c>
      <c r="S474" s="36">
        <v>0</v>
      </c>
    </row>
    <row r="475" spans="1:19" ht="42" hidden="1" customHeight="1">
      <c r="A475" s="10" t="s">
        <v>275</v>
      </c>
      <c r="B475" s="10" t="s">
        <v>71</v>
      </c>
      <c r="C475" s="10" t="s">
        <v>316</v>
      </c>
      <c r="D475" s="10" t="s">
        <v>103</v>
      </c>
      <c r="E475" s="10" t="s">
        <v>375</v>
      </c>
      <c r="F475" s="11">
        <v>123718.96</v>
      </c>
      <c r="G475" s="21">
        <v>95</v>
      </c>
      <c r="H475" s="34" t="s">
        <v>31</v>
      </c>
      <c r="I475" s="10" t="s">
        <v>435</v>
      </c>
      <c r="J475" s="10" t="s">
        <v>436</v>
      </c>
      <c r="K475" s="35" t="s">
        <v>437</v>
      </c>
      <c r="L475" s="35" t="s">
        <v>106</v>
      </c>
      <c r="M475" s="35" t="s">
        <v>438</v>
      </c>
      <c r="N475" s="35" t="s">
        <v>439</v>
      </c>
      <c r="O475" s="35" t="s">
        <v>125</v>
      </c>
      <c r="P475" s="33">
        <v>6</v>
      </c>
      <c r="Q475" s="33">
        <v>5</v>
      </c>
      <c r="R475" s="32" t="s">
        <v>493</v>
      </c>
      <c r="S475" s="36">
        <v>3810</v>
      </c>
    </row>
    <row r="476" spans="1:19" ht="42" hidden="1" customHeight="1">
      <c r="A476" s="10" t="s">
        <v>275</v>
      </c>
      <c r="B476" s="10" t="s">
        <v>71</v>
      </c>
      <c r="C476" s="10" t="s">
        <v>316</v>
      </c>
      <c r="D476" s="10" t="s">
        <v>103</v>
      </c>
      <c r="E476" s="10" t="s">
        <v>151</v>
      </c>
      <c r="F476" s="11">
        <v>428014.6</v>
      </c>
      <c r="G476" s="21">
        <v>91.07338045068704</v>
      </c>
      <c r="H476" s="34" t="s">
        <v>31</v>
      </c>
      <c r="I476" s="10" t="s">
        <v>447</v>
      </c>
      <c r="J476" s="10" t="s">
        <v>436</v>
      </c>
      <c r="K476" s="35" t="s">
        <v>448</v>
      </c>
      <c r="L476" s="35" t="s">
        <v>152</v>
      </c>
      <c r="M476" s="35" t="s">
        <v>449</v>
      </c>
      <c r="N476" s="35" t="s">
        <v>450</v>
      </c>
      <c r="O476" s="35" t="s">
        <v>125</v>
      </c>
      <c r="P476" s="33">
        <v>7</v>
      </c>
      <c r="Q476" s="33">
        <v>6</v>
      </c>
      <c r="R476" s="32" t="s">
        <v>483</v>
      </c>
      <c r="S476" s="36">
        <v>1426</v>
      </c>
    </row>
    <row r="477" spans="1:19" ht="42" hidden="1" customHeight="1">
      <c r="A477" s="10" t="s">
        <v>275</v>
      </c>
      <c r="B477" s="10" t="s">
        <v>71</v>
      </c>
      <c r="C477" s="10" t="s">
        <v>316</v>
      </c>
      <c r="D477" s="10" t="s">
        <v>103</v>
      </c>
      <c r="E477" s="10" t="s">
        <v>213</v>
      </c>
      <c r="F477" s="11">
        <v>87891.19</v>
      </c>
      <c r="G477" s="21">
        <v>86.25</v>
      </c>
      <c r="H477" s="34" t="s">
        <v>31</v>
      </c>
      <c r="I477" s="10" t="s">
        <v>447</v>
      </c>
      <c r="J477" s="10" t="s">
        <v>436</v>
      </c>
      <c r="K477" s="35" t="s">
        <v>448</v>
      </c>
      <c r="L477" s="35" t="s">
        <v>152</v>
      </c>
      <c r="M477" s="35" t="s">
        <v>449</v>
      </c>
      <c r="N477" s="35" t="s">
        <v>450</v>
      </c>
      <c r="O477" s="35" t="s">
        <v>125</v>
      </c>
      <c r="P477" s="33">
        <v>6</v>
      </c>
      <c r="Q477" s="33">
        <v>5</v>
      </c>
      <c r="R477" s="32" t="s">
        <v>483</v>
      </c>
      <c r="S477" s="36">
        <v>294</v>
      </c>
    </row>
    <row r="478" spans="1:19" ht="42" hidden="1" customHeight="1">
      <c r="A478" s="10" t="s">
        <v>275</v>
      </c>
      <c r="B478" s="10" t="s">
        <v>71</v>
      </c>
      <c r="C478" s="10" t="s">
        <v>316</v>
      </c>
      <c r="D478" s="10" t="s">
        <v>103</v>
      </c>
      <c r="E478" s="10" t="s">
        <v>193</v>
      </c>
      <c r="F478" s="11">
        <v>74241.100000000006</v>
      </c>
      <c r="G478" s="21">
        <v>80.585273425396053</v>
      </c>
      <c r="H478" s="34" t="s">
        <v>31</v>
      </c>
      <c r="I478" s="10" t="s">
        <v>447</v>
      </c>
      <c r="J478" s="10" t="s">
        <v>436</v>
      </c>
      <c r="K478" s="35" t="s">
        <v>448</v>
      </c>
      <c r="L478" s="35" t="s">
        <v>152</v>
      </c>
      <c r="M478" s="35" t="s">
        <v>449</v>
      </c>
      <c r="N478" s="35" t="s">
        <v>450</v>
      </c>
      <c r="O478" s="35" t="s">
        <v>125</v>
      </c>
      <c r="P478" s="33">
        <v>6</v>
      </c>
      <c r="Q478" s="33">
        <v>5</v>
      </c>
      <c r="R478" s="32" t="s">
        <v>483</v>
      </c>
      <c r="S478" s="36">
        <v>236</v>
      </c>
    </row>
    <row r="479" spans="1:19" ht="42" hidden="1" customHeight="1">
      <c r="A479" s="10" t="s">
        <v>275</v>
      </c>
      <c r="B479" s="10" t="s">
        <v>71</v>
      </c>
      <c r="C479" s="10" t="s">
        <v>316</v>
      </c>
      <c r="D479" s="10" t="s">
        <v>103</v>
      </c>
      <c r="E479" s="10" t="s">
        <v>459</v>
      </c>
      <c r="F479" s="11">
        <v>36010.03</v>
      </c>
      <c r="G479" s="21">
        <v>79.25</v>
      </c>
      <c r="H479" s="34" t="s">
        <v>33</v>
      </c>
      <c r="I479" s="10" t="s">
        <v>435</v>
      </c>
      <c r="J479" s="10" t="s">
        <v>436</v>
      </c>
      <c r="K479" s="35" t="s">
        <v>437</v>
      </c>
      <c r="L479" s="35" t="s">
        <v>106</v>
      </c>
      <c r="M479" s="35" t="s">
        <v>438</v>
      </c>
      <c r="N479" s="35" t="s">
        <v>439</v>
      </c>
      <c r="O479" s="35" t="s">
        <v>195</v>
      </c>
      <c r="P479" s="33">
        <v>6</v>
      </c>
      <c r="Q479" s="33">
        <v>5</v>
      </c>
      <c r="R479" s="32" t="s">
        <v>461</v>
      </c>
      <c r="S479" s="36">
        <v>51</v>
      </c>
    </row>
    <row r="480" spans="1:19" ht="42" hidden="1" customHeight="1">
      <c r="A480" s="10" t="s">
        <v>275</v>
      </c>
      <c r="B480" s="10" t="s">
        <v>71</v>
      </c>
      <c r="C480" s="10" t="s">
        <v>316</v>
      </c>
      <c r="D480" s="10" t="s">
        <v>103</v>
      </c>
      <c r="E480" s="10" t="s">
        <v>465</v>
      </c>
      <c r="F480" s="11">
        <v>29994.29</v>
      </c>
      <c r="G480" s="21">
        <v>79.25</v>
      </c>
      <c r="H480" s="34" t="s">
        <v>33</v>
      </c>
      <c r="I480" s="10" t="s">
        <v>435</v>
      </c>
      <c r="J480" s="10" t="s">
        <v>436</v>
      </c>
      <c r="K480" s="35" t="s">
        <v>437</v>
      </c>
      <c r="L480" s="35" t="s">
        <v>106</v>
      </c>
      <c r="M480" s="35" t="s">
        <v>438</v>
      </c>
      <c r="N480" s="35" t="s">
        <v>439</v>
      </c>
      <c r="O480" s="35" t="s">
        <v>195</v>
      </c>
      <c r="P480" s="33">
        <v>1</v>
      </c>
      <c r="Q480" s="33">
        <v>1</v>
      </c>
      <c r="R480" s="32" t="s">
        <v>461</v>
      </c>
      <c r="S480" s="36">
        <v>46</v>
      </c>
    </row>
    <row r="481" spans="1:19" ht="42" hidden="1" customHeight="1">
      <c r="A481" s="10" t="s">
        <v>275</v>
      </c>
      <c r="B481" s="10" t="s">
        <v>71</v>
      </c>
      <c r="C481" s="10" t="s">
        <v>316</v>
      </c>
      <c r="D481" s="10" t="s">
        <v>103</v>
      </c>
      <c r="E481" s="10" t="s">
        <v>468</v>
      </c>
      <c r="F481" s="11">
        <v>20007.39</v>
      </c>
      <c r="G481" s="21">
        <v>79.25</v>
      </c>
      <c r="H481" s="34" t="s">
        <v>33</v>
      </c>
      <c r="I481" s="10" t="s">
        <v>435</v>
      </c>
      <c r="J481" s="10" t="s">
        <v>436</v>
      </c>
      <c r="K481" s="35" t="s">
        <v>437</v>
      </c>
      <c r="L481" s="35" t="s">
        <v>106</v>
      </c>
      <c r="M481" s="35" t="s">
        <v>438</v>
      </c>
      <c r="N481" s="35" t="s">
        <v>439</v>
      </c>
      <c r="O481" s="35" t="s">
        <v>195</v>
      </c>
      <c r="P481" s="33">
        <v>1</v>
      </c>
      <c r="Q481" s="33">
        <v>1</v>
      </c>
      <c r="R481" s="32" t="s">
        <v>461</v>
      </c>
      <c r="S481" s="36">
        <v>37</v>
      </c>
    </row>
    <row r="482" spans="1:19" ht="42" hidden="1" customHeight="1">
      <c r="A482" s="10" t="s">
        <v>275</v>
      </c>
      <c r="B482" s="10" t="s">
        <v>71</v>
      </c>
      <c r="C482" s="10" t="s">
        <v>316</v>
      </c>
      <c r="D482" s="10" t="s">
        <v>103</v>
      </c>
      <c r="E482" s="10" t="s">
        <v>464</v>
      </c>
      <c r="F482" s="11">
        <v>14928.86</v>
      </c>
      <c r="G482" s="21">
        <v>72.748742920880659</v>
      </c>
      <c r="H482" s="34" t="s">
        <v>33</v>
      </c>
      <c r="I482" s="10" t="s">
        <v>447</v>
      </c>
      <c r="J482" s="10" t="s">
        <v>436</v>
      </c>
      <c r="K482" s="35" t="s">
        <v>448</v>
      </c>
      <c r="L482" s="35" t="s">
        <v>152</v>
      </c>
      <c r="M482" s="35" t="s">
        <v>449</v>
      </c>
      <c r="N482" s="35" t="s">
        <v>450</v>
      </c>
      <c r="O482" s="35" t="s">
        <v>195</v>
      </c>
      <c r="P482" s="33">
        <v>12</v>
      </c>
      <c r="Q482" s="33">
        <v>11</v>
      </c>
      <c r="R482" s="32" t="s">
        <v>456</v>
      </c>
      <c r="S482" s="36">
        <v>0</v>
      </c>
    </row>
    <row r="483" spans="1:19" ht="42" hidden="1" customHeight="1">
      <c r="A483" s="10" t="s">
        <v>275</v>
      </c>
      <c r="B483" s="10" t="s">
        <v>71</v>
      </c>
      <c r="C483" s="10" t="s">
        <v>316</v>
      </c>
      <c r="D483" s="10" t="s">
        <v>103</v>
      </c>
      <c r="E483" s="10" t="s">
        <v>469</v>
      </c>
      <c r="F483" s="11">
        <v>17032.45</v>
      </c>
      <c r="G483" s="21">
        <v>69.450967292390857</v>
      </c>
      <c r="H483" s="34" t="s">
        <v>33</v>
      </c>
      <c r="I483" s="10" t="s">
        <v>447</v>
      </c>
      <c r="J483" s="10" t="s">
        <v>441</v>
      </c>
      <c r="K483" s="35" t="s">
        <v>453</v>
      </c>
      <c r="L483" s="35" t="s">
        <v>135</v>
      </c>
      <c r="M483" s="35" t="s">
        <v>454</v>
      </c>
      <c r="N483" s="35" t="s">
        <v>455</v>
      </c>
      <c r="O483" s="35" t="s">
        <v>195</v>
      </c>
      <c r="P483" s="33">
        <v>6</v>
      </c>
      <c r="Q483" s="33">
        <v>5</v>
      </c>
      <c r="R483" s="32" t="s">
        <v>456</v>
      </c>
      <c r="S483" s="36">
        <v>0</v>
      </c>
    </row>
    <row r="484" spans="1:19" ht="42" hidden="1" customHeight="1">
      <c r="A484" s="10" t="s">
        <v>275</v>
      </c>
      <c r="B484" s="10" t="s">
        <v>71</v>
      </c>
      <c r="C484" s="10" t="s">
        <v>316</v>
      </c>
      <c r="D484" s="10" t="s">
        <v>103</v>
      </c>
      <c r="E484" s="10" t="s">
        <v>115</v>
      </c>
      <c r="F484" s="11">
        <v>42155.31</v>
      </c>
      <c r="G484" s="21">
        <v>69.029969712371766</v>
      </c>
      <c r="H484" s="34" t="s">
        <v>33</v>
      </c>
      <c r="I484" s="10" t="s">
        <v>447</v>
      </c>
      <c r="J484" s="10" t="s">
        <v>436</v>
      </c>
      <c r="K484" s="35" t="s">
        <v>448</v>
      </c>
      <c r="L484" s="35" t="s">
        <v>152</v>
      </c>
      <c r="M484" s="35" t="s">
        <v>449</v>
      </c>
      <c r="N484" s="35" t="s">
        <v>450</v>
      </c>
      <c r="O484" s="35" t="s">
        <v>195</v>
      </c>
      <c r="P484" s="33">
        <v>12</v>
      </c>
      <c r="Q484" s="33">
        <v>11</v>
      </c>
      <c r="R484" s="32" t="s">
        <v>456</v>
      </c>
      <c r="S484" s="36">
        <v>0</v>
      </c>
    </row>
    <row r="485" spans="1:19" ht="42" hidden="1" customHeight="1">
      <c r="A485" s="10" t="s">
        <v>275</v>
      </c>
      <c r="B485" s="10" t="s">
        <v>71</v>
      </c>
      <c r="C485" s="10" t="s">
        <v>316</v>
      </c>
      <c r="D485" s="10" t="s">
        <v>103</v>
      </c>
      <c r="E485" s="10" t="s">
        <v>462</v>
      </c>
      <c r="F485" s="11">
        <v>18377.12</v>
      </c>
      <c r="G485" s="21">
        <v>68.852031083007802</v>
      </c>
      <c r="H485" s="34" t="s">
        <v>33</v>
      </c>
      <c r="I485" s="10" t="s">
        <v>447</v>
      </c>
      <c r="J485" s="10" t="s">
        <v>441</v>
      </c>
      <c r="K485" s="35" t="s">
        <v>453</v>
      </c>
      <c r="L485" s="35" t="s">
        <v>135</v>
      </c>
      <c r="M485" s="35" t="s">
        <v>454</v>
      </c>
      <c r="N485" s="35" t="s">
        <v>455</v>
      </c>
      <c r="O485" s="35" t="s">
        <v>195</v>
      </c>
      <c r="P485" s="33">
        <v>6</v>
      </c>
      <c r="Q485" s="33">
        <v>5</v>
      </c>
      <c r="R485" s="32" t="s">
        <v>456</v>
      </c>
      <c r="S485" s="36">
        <v>0</v>
      </c>
    </row>
    <row r="486" spans="1:19" ht="42" hidden="1" customHeight="1">
      <c r="A486" s="10" t="s">
        <v>275</v>
      </c>
      <c r="B486" s="10" t="s">
        <v>71</v>
      </c>
      <c r="C486" s="10" t="s">
        <v>316</v>
      </c>
      <c r="D486" s="10" t="s">
        <v>103</v>
      </c>
      <c r="E486" s="10" t="s">
        <v>458</v>
      </c>
      <c r="F486" s="11">
        <v>3502.39</v>
      </c>
      <c r="G486" s="21">
        <v>66</v>
      </c>
      <c r="H486" s="34" t="s">
        <v>33</v>
      </c>
      <c r="I486" s="10" t="s">
        <v>447</v>
      </c>
      <c r="J486" s="10" t="s">
        <v>436</v>
      </c>
      <c r="K486" s="35" t="s">
        <v>448</v>
      </c>
      <c r="L486" s="35" t="s">
        <v>152</v>
      </c>
      <c r="M486" s="35" t="s">
        <v>449</v>
      </c>
      <c r="N486" s="35" t="s">
        <v>450</v>
      </c>
      <c r="O486" s="35" t="s">
        <v>195</v>
      </c>
      <c r="P486" s="33">
        <v>6</v>
      </c>
      <c r="Q486" s="33">
        <v>5</v>
      </c>
      <c r="R486" s="32" t="s">
        <v>456</v>
      </c>
      <c r="S486" s="36">
        <v>0</v>
      </c>
    </row>
    <row r="487" spans="1:19" ht="42" hidden="1" customHeight="1">
      <c r="A487" s="10" t="s">
        <v>275</v>
      </c>
      <c r="B487" s="10" t="s">
        <v>67</v>
      </c>
      <c r="C487" s="10" t="s">
        <v>285</v>
      </c>
      <c r="D487" s="10" t="s">
        <v>103</v>
      </c>
      <c r="E487" s="10" t="s">
        <v>468</v>
      </c>
      <c r="F487" s="11">
        <v>137395.78</v>
      </c>
      <c r="G487" s="21">
        <v>93</v>
      </c>
      <c r="H487" s="34" t="s">
        <v>31</v>
      </c>
      <c r="I487" s="10" t="s">
        <v>435</v>
      </c>
      <c r="J487" s="10" t="s">
        <v>436</v>
      </c>
      <c r="K487" s="35" t="s">
        <v>437</v>
      </c>
      <c r="L487" s="35" t="s">
        <v>106</v>
      </c>
      <c r="M487" s="35" t="s">
        <v>438</v>
      </c>
      <c r="N487" s="35" t="s">
        <v>439</v>
      </c>
      <c r="O487" s="35" t="s">
        <v>125</v>
      </c>
      <c r="P487" s="33">
        <v>5</v>
      </c>
      <c r="Q487" s="33">
        <v>4</v>
      </c>
      <c r="R487" s="32" t="s">
        <v>493</v>
      </c>
      <c r="S487" s="36">
        <v>4202</v>
      </c>
    </row>
    <row r="488" spans="1:19" ht="42" hidden="1" customHeight="1">
      <c r="A488" s="10" t="s">
        <v>275</v>
      </c>
      <c r="B488" s="10" t="s">
        <v>67</v>
      </c>
      <c r="C488" s="10" t="s">
        <v>285</v>
      </c>
      <c r="D488" s="10" t="s">
        <v>103</v>
      </c>
      <c r="E488" s="10" t="s">
        <v>213</v>
      </c>
      <c r="F488" s="11">
        <v>194840.17</v>
      </c>
      <c r="G488" s="21">
        <v>91.25</v>
      </c>
      <c r="H488" s="34" t="s">
        <v>31</v>
      </c>
      <c r="I488" s="10" t="s">
        <v>447</v>
      </c>
      <c r="J488" s="10" t="s">
        <v>436</v>
      </c>
      <c r="K488" s="35" t="s">
        <v>448</v>
      </c>
      <c r="L488" s="35" t="s">
        <v>152</v>
      </c>
      <c r="M488" s="35" t="s">
        <v>449</v>
      </c>
      <c r="N488" s="35" t="s">
        <v>450</v>
      </c>
      <c r="O488" s="35" t="s">
        <v>125</v>
      </c>
      <c r="P488" s="33">
        <v>7</v>
      </c>
      <c r="Q488" s="33">
        <v>6</v>
      </c>
      <c r="R488" s="32" t="s">
        <v>483</v>
      </c>
      <c r="S488" s="36">
        <v>1136</v>
      </c>
    </row>
    <row r="489" spans="1:19" ht="42" hidden="1" customHeight="1">
      <c r="A489" s="10" t="s">
        <v>275</v>
      </c>
      <c r="B489" s="10" t="s">
        <v>67</v>
      </c>
      <c r="C489" s="10" t="s">
        <v>285</v>
      </c>
      <c r="D489" s="10" t="s">
        <v>103</v>
      </c>
      <c r="E489" s="10" t="s">
        <v>465</v>
      </c>
      <c r="F489" s="11">
        <v>49202.41</v>
      </c>
      <c r="G489" s="21">
        <v>86.75</v>
      </c>
      <c r="H489" s="34" t="s">
        <v>31</v>
      </c>
      <c r="I489" s="10" t="s">
        <v>435</v>
      </c>
      <c r="J489" s="10" t="s">
        <v>436</v>
      </c>
      <c r="K489" s="35" t="s">
        <v>437</v>
      </c>
      <c r="L489" s="35" t="s">
        <v>106</v>
      </c>
      <c r="M489" s="35" t="s">
        <v>438</v>
      </c>
      <c r="N489" s="35" t="s">
        <v>439</v>
      </c>
      <c r="O489" s="35" t="s">
        <v>125</v>
      </c>
      <c r="P489" s="33">
        <v>9</v>
      </c>
      <c r="Q489" s="33">
        <v>8</v>
      </c>
      <c r="R489" s="32" t="s">
        <v>494</v>
      </c>
      <c r="S489" s="36">
        <v>361</v>
      </c>
    </row>
    <row r="490" spans="1:19" ht="42" hidden="1" customHeight="1">
      <c r="A490" s="10" t="s">
        <v>275</v>
      </c>
      <c r="B490" s="10" t="s">
        <v>67</v>
      </c>
      <c r="C490" s="10" t="s">
        <v>285</v>
      </c>
      <c r="D490" s="10" t="s">
        <v>103</v>
      </c>
      <c r="E490" s="10" t="s">
        <v>467</v>
      </c>
      <c r="F490" s="11">
        <v>153840.75</v>
      </c>
      <c r="G490" s="21">
        <v>85.75</v>
      </c>
      <c r="H490" s="34" t="s">
        <v>31</v>
      </c>
      <c r="I490" s="10" t="s">
        <v>447</v>
      </c>
      <c r="J490" s="10" t="s">
        <v>441</v>
      </c>
      <c r="K490" s="35" t="s">
        <v>453</v>
      </c>
      <c r="L490" s="35" t="s">
        <v>135</v>
      </c>
      <c r="M490" s="35" t="s">
        <v>454</v>
      </c>
      <c r="N490" s="35" t="s">
        <v>455</v>
      </c>
      <c r="O490" s="35" t="s">
        <v>125</v>
      </c>
      <c r="P490" s="33">
        <v>5</v>
      </c>
      <c r="Q490" s="33">
        <v>4</v>
      </c>
      <c r="R490" s="32" t="s">
        <v>456</v>
      </c>
      <c r="S490" s="36">
        <v>0</v>
      </c>
    </row>
    <row r="491" spans="1:19" ht="42" hidden="1" customHeight="1">
      <c r="A491" s="10" t="s">
        <v>275</v>
      </c>
      <c r="B491" s="10" t="s">
        <v>67</v>
      </c>
      <c r="C491" s="10" t="s">
        <v>285</v>
      </c>
      <c r="D491" s="10" t="s">
        <v>103</v>
      </c>
      <c r="E491" s="10" t="s">
        <v>193</v>
      </c>
      <c r="F491" s="11">
        <v>26559.78</v>
      </c>
      <c r="G491" s="21">
        <v>80.585273425396053</v>
      </c>
      <c r="H491" s="34" t="s">
        <v>31</v>
      </c>
      <c r="I491" s="10" t="s">
        <v>435</v>
      </c>
      <c r="J491" s="10" t="s">
        <v>436</v>
      </c>
      <c r="K491" s="35" t="s">
        <v>437</v>
      </c>
      <c r="L491" s="35" t="s">
        <v>106</v>
      </c>
      <c r="M491" s="35" t="s">
        <v>438</v>
      </c>
      <c r="N491" s="35" t="s">
        <v>439</v>
      </c>
      <c r="O491" s="35" t="s">
        <v>125</v>
      </c>
      <c r="P491" s="33">
        <v>4</v>
      </c>
      <c r="Q491" s="33">
        <v>3</v>
      </c>
      <c r="R491" s="32" t="s">
        <v>494</v>
      </c>
      <c r="S491" s="36">
        <v>201</v>
      </c>
    </row>
  </sheetData>
  <autoFilter ref="A4:S491" xr:uid="{00000000-0001-0000-0200-000000000000}">
    <filterColumn colId="0">
      <filters>
        <filter val="Pedro"/>
      </filters>
    </filterColumn>
  </autoFilter>
  <mergeCells count="1">
    <mergeCell ref="A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2:Q733"/>
  <sheetViews>
    <sheetView workbookViewId="0">
      <pane xSplit="5" ySplit="4" topLeftCell="F5" activePane="bottomRight" state="frozen"/>
      <selection pane="topRight"/>
      <selection pane="bottomLeft"/>
      <selection pane="bottomRight" activeCell="A28" sqref="A28"/>
    </sheetView>
  </sheetViews>
  <sheetFormatPr baseColWidth="10" defaultColWidth="9" defaultRowHeight="14"/>
  <cols>
    <col min="1" max="1" width="12" customWidth="1"/>
    <col min="2" max="2" width="18" customWidth="1"/>
    <col min="3" max="3" width="38" customWidth="1"/>
    <col min="4" max="4" width="24" customWidth="1"/>
    <col min="5" max="5" width="28" customWidth="1"/>
    <col min="6" max="7" width="15" customWidth="1"/>
    <col min="8" max="8" width="11" customWidth="1"/>
    <col min="9" max="11" width="12" customWidth="1"/>
    <col min="12" max="12" width="15" customWidth="1"/>
    <col min="13" max="14" width="12" customWidth="1"/>
    <col min="15" max="15" width="10" customWidth="1"/>
    <col min="16" max="16" width="22" customWidth="1"/>
    <col min="17" max="17" width="24" customWidth="1"/>
  </cols>
  <sheetData>
    <row r="2" spans="1:17" ht="24" customHeight="1">
      <c r="A2" s="42" t="s">
        <v>516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6">
      <c r="A4" s="9" t="s">
        <v>45</v>
      </c>
      <c r="B4" s="9" t="s">
        <v>46</v>
      </c>
      <c r="C4" s="9" t="s">
        <v>47</v>
      </c>
      <c r="D4" s="9" t="s">
        <v>48</v>
      </c>
      <c r="E4" s="9" t="s">
        <v>422</v>
      </c>
      <c r="F4" s="9" t="s">
        <v>29</v>
      </c>
      <c r="G4" s="9" t="s">
        <v>517</v>
      </c>
      <c r="H4" s="9" t="s">
        <v>518</v>
      </c>
      <c r="I4" s="9" t="s">
        <v>519</v>
      </c>
      <c r="J4" s="9" t="s">
        <v>520</v>
      </c>
      <c r="K4" s="9" t="s">
        <v>521</v>
      </c>
      <c r="L4" s="9" t="s">
        <v>522</v>
      </c>
      <c r="M4" s="9" t="s">
        <v>523</v>
      </c>
      <c r="N4" s="9" t="s">
        <v>524</v>
      </c>
      <c r="O4" s="9" t="s">
        <v>424</v>
      </c>
      <c r="P4" s="9" t="s">
        <v>425</v>
      </c>
      <c r="Q4" s="9" t="s">
        <v>426</v>
      </c>
    </row>
    <row r="5" spans="1:17">
      <c r="A5" s="10" t="s">
        <v>119</v>
      </c>
      <c r="B5" s="10" t="s">
        <v>360</v>
      </c>
      <c r="C5" s="10" t="s">
        <v>361</v>
      </c>
      <c r="D5" s="10" t="s">
        <v>103</v>
      </c>
      <c r="E5" s="10" t="s">
        <v>375</v>
      </c>
      <c r="F5" s="11">
        <v>54520.41</v>
      </c>
      <c r="G5" s="11">
        <v>360957.46</v>
      </c>
      <c r="H5" s="12">
        <v>0.15104386588663737</v>
      </c>
      <c r="I5" s="10">
        <v>1</v>
      </c>
      <c r="J5" s="21">
        <v>100</v>
      </c>
      <c r="K5" s="21">
        <v>99.999999999999986</v>
      </c>
      <c r="L5" s="21">
        <v>100</v>
      </c>
      <c r="M5" s="21">
        <v>100</v>
      </c>
      <c r="N5" s="21">
        <f>J5*Supuestos!$B$7+K5*Supuestos!$B$8+L5*Supuestos!$B$9+M5*Supuestos!$B$10</f>
        <v>100</v>
      </c>
      <c r="O5" s="34" t="str">
        <f t="shared" ref="O5:O68" si="0">IF(N5&gt;=80,"A",IF(N5&gt;=65,"B",IF(N5&gt;=50,"C","D")))</f>
        <v>A</v>
      </c>
      <c r="P5" s="10" t="s">
        <v>435</v>
      </c>
      <c r="Q5" s="10" t="s">
        <v>436</v>
      </c>
    </row>
    <row r="6" spans="1:17">
      <c r="A6" s="10" t="s">
        <v>111</v>
      </c>
      <c r="B6" s="10" t="s">
        <v>60</v>
      </c>
      <c r="C6" s="10" t="s">
        <v>377</v>
      </c>
      <c r="D6" s="10" t="s">
        <v>103</v>
      </c>
      <c r="E6" s="10" t="s">
        <v>375</v>
      </c>
      <c r="F6" s="11">
        <v>17487.759999999998</v>
      </c>
      <c r="G6" s="11">
        <v>67968.179999999993</v>
      </c>
      <c r="H6" s="12">
        <v>0.25729334966133705</v>
      </c>
      <c r="I6" s="10">
        <v>1</v>
      </c>
      <c r="J6" s="21">
        <v>100</v>
      </c>
      <c r="K6" s="21">
        <v>100.00000000000003</v>
      </c>
      <c r="L6" s="21">
        <v>100</v>
      </c>
      <c r="M6" s="21">
        <v>100</v>
      </c>
      <c r="N6" s="21">
        <f>J6*Supuestos!$B$7+K6*Supuestos!$B$8+L6*Supuestos!$B$9+M6*Supuestos!$B$10</f>
        <v>100</v>
      </c>
      <c r="O6" s="34" t="str">
        <f t="shared" si="0"/>
        <v>A</v>
      </c>
      <c r="P6" s="10" t="s">
        <v>435</v>
      </c>
      <c r="Q6" s="10" t="s">
        <v>436</v>
      </c>
    </row>
    <row r="7" spans="1:17">
      <c r="A7" s="10" t="s">
        <v>275</v>
      </c>
      <c r="B7" s="10" t="s">
        <v>406</v>
      </c>
      <c r="C7" s="10" t="s">
        <v>407</v>
      </c>
      <c r="D7" s="10" t="s">
        <v>127</v>
      </c>
      <c r="E7" s="10" t="s">
        <v>375</v>
      </c>
      <c r="F7" s="11">
        <v>154003.92000000001</v>
      </c>
      <c r="G7" s="11">
        <v>324829.33</v>
      </c>
      <c r="H7" s="12">
        <v>0.47410718852111577</v>
      </c>
      <c r="I7" s="10">
        <v>1</v>
      </c>
      <c r="J7" s="21">
        <v>85</v>
      </c>
      <c r="K7" s="21">
        <v>99.999999999999986</v>
      </c>
      <c r="L7" s="21">
        <v>100</v>
      </c>
      <c r="M7" s="21">
        <v>100</v>
      </c>
      <c r="N7" s="21">
        <f>J7*Supuestos!$B$7+K7*Supuestos!$B$8+L7*Supuestos!$B$9+M7*Supuestos!$B$10</f>
        <v>96.25</v>
      </c>
      <c r="O7" s="34" t="str">
        <f t="shared" si="0"/>
        <v>A</v>
      </c>
      <c r="P7" s="10" t="s">
        <v>435</v>
      </c>
      <c r="Q7" s="10" t="s">
        <v>436</v>
      </c>
    </row>
    <row r="8" spans="1:17">
      <c r="A8" s="10" t="s">
        <v>275</v>
      </c>
      <c r="B8" s="10" t="s">
        <v>67</v>
      </c>
      <c r="C8" s="10" t="s">
        <v>373</v>
      </c>
      <c r="D8" s="10" t="s">
        <v>127</v>
      </c>
      <c r="E8" s="10" t="s">
        <v>375</v>
      </c>
      <c r="F8" s="11">
        <v>54573.47</v>
      </c>
      <c r="G8" s="11">
        <v>117128.89</v>
      </c>
      <c r="H8" s="12">
        <v>0.46592662172763288</v>
      </c>
      <c r="I8" s="10">
        <v>1</v>
      </c>
      <c r="J8" s="21">
        <v>85</v>
      </c>
      <c r="K8" s="21">
        <v>100</v>
      </c>
      <c r="L8" s="21">
        <v>100</v>
      </c>
      <c r="M8" s="21">
        <v>100</v>
      </c>
      <c r="N8" s="21">
        <f>J8*Supuestos!$B$7+K8*Supuestos!$B$8+L8*Supuestos!$B$9+M8*Supuestos!$B$10</f>
        <v>96.25</v>
      </c>
      <c r="O8" s="34" t="str">
        <f t="shared" si="0"/>
        <v>A</v>
      </c>
      <c r="P8" s="10" t="s">
        <v>435</v>
      </c>
      <c r="Q8" s="10" t="s">
        <v>436</v>
      </c>
    </row>
    <row r="9" spans="1:17">
      <c r="A9" s="10" t="s">
        <v>275</v>
      </c>
      <c r="B9" s="10" t="s">
        <v>276</v>
      </c>
      <c r="C9" s="10" t="s">
        <v>277</v>
      </c>
      <c r="D9" s="10" t="s">
        <v>127</v>
      </c>
      <c r="E9" s="10" t="s">
        <v>193</v>
      </c>
      <c r="F9" s="11">
        <v>29697.91</v>
      </c>
      <c r="G9" s="11">
        <v>77674.73</v>
      </c>
      <c r="H9" s="12">
        <v>0.38233683605693319</v>
      </c>
      <c r="I9" s="10">
        <v>1</v>
      </c>
      <c r="J9" s="21">
        <v>85</v>
      </c>
      <c r="K9" s="21">
        <v>100</v>
      </c>
      <c r="L9" s="21">
        <v>100</v>
      </c>
      <c r="M9" s="21">
        <v>96.676367126980296</v>
      </c>
      <c r="N9" s="21">
        <f>J9*Supuestos!$B$7+K9*Supuestos!$B$8+L9*Supuestos!$B$9+M9*Supuestos!$B$10</f>
        <v>95.585273425396053</v>
      </c>
      <c r="O9" s="34" t="str">
        <f t="shared" si="0"/>
        <v>A</v>
      </c>
      <c r="P9" s="10" t="s">
        <v>435</v>
      </c>
      <c r="Q9" s="10" t="s">
        <v>436</v>
      </c>
    </row>
    <row r="10" spans="1:17">
      <c r="A10" s="10" t="s">
        <v>101</v>
      </c>
      <c r="B10" s="10" t="s">
        <v>60</v>
      </c>
      <c r="C10" s="10" t="s">
        <v>239</v>
      </c>
      <c r="D10" s="10" t="s">
        <v>127</v>
      </c>
      <c r="E10" s="10" t="s">
        <v>193</v>
      </c>
      <c r="F10" s="11">
        <v>10309.219999999999</v>
      </c>
      <c r="G10" s="11">
        <v>45460.47</v>
      </c>
      <c r="H10" s="12">
        <v>0.22677324713910893</v>
      </c>
      <c r="I10" s="10">
        <v>1</v>
      </c>
      <c r="J10" s="21">
        <v>85</v>
      </c>
      <c r="K10" s="21">
        <v>100</v>
      </c>
      <c r="L10" s="21">
        <v>100</v>
      </c>
      <c r="M10" s="21">
        <v>96.676367126980296</v>
      </c>
      <c r="N10" s="21">
        <f>J10*Supuestos!$B$7+K10*Supuestos!$B$8+L10*Supuestos!$B$9+M10*Supuestos!$B$10</f>
        <v>95.585273425396053</v>
      </c>
      <c r="O10" s="34" t="str">
        <f t="shared" si="0"/>
        <v>A</v>
      </c>
      <c r="P10" s="10" t="s">
        <v>435</v>
      </c>
      <c r="Q10" s="10" t="s">
        <v>436</v>
      </c>
    </row>
    <row r="11" spans="1:17">
      <c r="A11" s="10" t="s">
        <v>101</v>
      </c>
      <c r="B11" s="10" t="s">
        <v>60</v>
      </c>
      <c r="C11" s="10" t="s">
        <v>220</v>
      </c>
      <c r="D11" s="10" t="s">
        <v>127</v>
      </c>
      <c r="E11" s="10" t="s">
        <v>193</v>
      </c>
      <c r="F11" s="11">
        <v>6937.54</v>
      </c>
      <c r="G11" s="11">
        <v>13875.87</v>
      </c>
      <c r="H11" s="12">
        <v>0.49997182939883944</v>
      </c>
      <c r="I11" s="10">
        <v>2</v>
      </c>
      <c r="J11" s="21">
        <v>85</v>
      </c>
      <c r="K11" s="21">
        <v>100</v>
      </c>
      <c r="L11" s="21">
        <v>100</v>
      </c>
      <c r="M11" s="21">
        <v>96.676367126980296</v>
      </c>
      <c r="N11" s="21">
        <f>J11*Supuestos!$B$7+K11*Supuestos!$B$8+L11*Supuestos!$B$9+M11*Supuestos!$B$10</f>
        <v>95.585273425396053</v>
      </c>
      <c r="O11" s="34" t="str">
        <f t="shared" si="0"/>
        <v>A</v>
      </c>
      <c r="P11" s="10" t="s">
        <v>435</v>
      </c>
      <c r="Q11" s="10" t="s">
        <v>436</v>
      </c>
    </row>
    <row r="12" spans="1:17">
      <c r="A12" s="10" t="s">
        <v>275</v>
      </c>
      <c r="B12" s="10" t="s">
        <v>71</v>
      </c>
      <c r="C12" s="10" t="s">
        <v>316</v>
      </c>
      <c r="D12" s="10" t="s">
        <v>103</v>
      </c>
      <c r="E12" s="10" t="s">
        <v>375</v>
      </c>
      <c r="F12" s="11">
        <v>123718.96</v>
      </c>
      <c r="G12" s="11">
        <v>1083764</v>
      </c>
      <c r="H12" s="12">
        <v>0.11415673168043276</v>
      </c>
      <c r="I12" s="10">
        <v>2</v>
      </c>
      <c r="J12" s="21">
        <v>100</v>
      </c>
      <c r="K12" s="21">
        <v>100</v>
      </c>
      <c r="L12" s="21">
        <v>80</v>
      </c>
      <c r="M12" s="21">
        <v>100</v>
      </c>
      <c r="N12" s="21">
        <f>J12*Supuestos!$B$7+K12*Supuestos!$B$8+L12*Supuestos!$B$9+M12*Supuestos!$B$10</f>
        <v>95</v>
      </c>
      <c r="O12" s="34" t="str">
        <f t="shared" si="0"/>
        <v>A</v>
      </c>
      <c r="P12" s="10" t="s">
        <v>435</v>
      </c>
      <c r="Q12" s="10" t="s">
        <v>436</v>
      </c>
    </row>
    <row r="13" spans="1:17">
      <c r="A13" s="10" t="s">
        <v>111</v>
      </c>
      <c r="B13" s="10" t="s">
        <v>73</v>
      </c>
      <c r="C13" s="10" t="s">
        <v>418</v>
      </c>
      <c r="D13" s="10" t="s">
        <v>103</v>
      </c>
      <c r="E13" s="10" t="s">
        <v>375</v>
      </c>
      <c r="F13" s="11">
        <v>82142.48</v>
      </c>
      <c r="G13" s="11">
        <v>642203.68000000005</v>
      </c>
      <c r="H13" s="12">
        <v>0.12790720341562861</v>
      </c>
      <c r="I13" s="10">
        <v>2</v>
      </c>
      <c r="J13" s="21">
        <v>100</v>
      </c>
      <c r="K13" s="21">
        <v>99.999999999999986</v>
      </c>
      <c r="L13" s="21">
        <v>80</v>
      </c>
      <c r="M13" s="21">
        <v>100</v>
      </c>
      <c r="N13" s="21">
        <f>J13*Supuestos!$B$7+K13*Supuestos!$B$8+L13*Supuestos!$B$9+M13*Supuestos!$B$10</f>
        <v>95</v>
      </c>
      <c r="O13" s="34" t="str">
        <f t="shared" si="0"/>
        <v>A</v>
      </c>
      <c r="P13" s="10" t="s">
        <v>435</v>
      </c>
      <c r="Q13" s="10" t="s">
        <v>436</v>
      </c>
    </row>
    <row r="14" spans="1:17">
      <c r="A14" s="10" t="s">
        <v>119</v>
      </c>
      <c r="B14" s="10" t="s">
        <v>186</v>
      </c>
      <c r="C14" s="10" t="s">
        <v>187</v>
      </c>
      <c r="D14" s="10" t="s">
        <v>103</v>
      </c>
      <c r="E14" s="10" t="s">
        <v>375</v>
      </c>
      <c r="F14" s="11">
        <v>19914</v>
      </c>
      <c r="G14" s="11">
        <v>159511.35999999999</v>
      </c>
      <c r="H14" s="12">
        <v>0.12484376069055243</v>
      </c>
      <c r="I14" s="10">
        <v>3</v>
      </c>
      <c r="J14" s="21">
        <v>100</v>
      </c>
      <c r="K14" s="21">
        <v>100</v>
      </c>
      <c r="L14" s="21">
        <v>80</v>
      </c>
      <c r="M14" s="21">
        <v>100</v>
      </c>
      <c r="N14" s="21">
        <f>J14*Supuestos!$B$7+K14*Supuestos!$B$8+L14*Supuestos!$B$9+M14*Supuestos!$B$10</f>
        <v>95</v>
      </c>
      <c r="O14" s="34" t="str">
        <f t="shared" si="0"/>
        <v>A</v>
      </c>
      <c r="P14" s="10" t="s">
        <v>435</v>
      </c>
      <c r="Q14" s="10" t="s">
        <v>436</v>
      </c>
    </row>
    <row r="15" spans="1:17">
      <c r="A15" s="10" t="s">
        <v>255</v>
      </c>
      <c r="B15" s="10" t="s">
        <v>60</v>
      </c>
      <c r="C15" s="10" t="s">
        <v>328</v>
      </c>
      <c r="D15" s="10" t="s">
        <v>103</v>
      </c>
      <c r="E15" s="10" t="s">
        <v>375</v>
      </c>
      <c r="F15" s="11">
        <v>13427.38</v>
      </c>
      <c r="G15" s="11">
        <v>132474.79999999999</v>
      </c>
      <c r="H15" s="12">
        <v>0.10135801939129481</v>
      </c>
      <c r="I15" s="10">
        <v>3</v>
      </c>
      <c r="J15" s="21">
        <v>100</v>
      </c>
      <c r="K15" s="21">
        <v>100.00000000000001</v>
      </c>
      <c r="L15" s="21">
        <v>80</v>
      </c>
      <c r="M15" s="21">
        <v>100</v>
      </c>
      <c r="N15" s="21">
        <f>J15*Supuestos!$B$7+K15*Supuestos!$B$8+L15*Supuestos!$B$9+M15*Supuestos!$B$10</f>
        <v>95</v>
      </c>
      <c r="O15" s="34" t="str">
        <f t="shared" si="0"/>
        <v>A</v>
      </c>
      <c r="P15" s="10" t="s">
        <v>435</v>
      </c>
      <c r="Q15" s="10" t="s">
        <v>436</v>
      </c>
    </row>
    <row r="16" spans="1:17">
      <c r="A16" s="10" t="s">
        <v>111</v>
      </c>
      <c r="B16" s="10" t="s">
        <v>60</v>
      </c>
      <c r="C16" s="10" t="s">
        <v>339</v>
      </c>
      <c r="D16" s="10" t="s">
        <v>103</v>
      </c>
      <c r="E16" s="10" t="s">
        <v>375</v>
      </c>
      <c r="F16" s="11">
        <v>12642.2</v>
      </c>
      <c r="G16" s="11">
        <v>114879.92</v>
      </c>
      <c r="H16" s="12">
        <v>0.11004712176751869</v>
      </c>
      <c r="I16" s="10">
        <v>4</v>
      </c>
      <c r="J16" s="21">
        <v>100</v>
      </c>
      <c r="K16" s="21">
        <v>100</v>
      </c>
      <c r="L16" s="21">
        <v>80</v>
      </c>
      <c r="M16" s="21">
        <v>100</v>
      </c>
      <c r="N16" s="21">
        <f>J16*Supuestos!$B$7+K16*Supuestos!$B$8+L16*Supuestos!$B$9+M16*Supuestos!$B$10</f>
        <v>95</v>
      </c>
      <c r="O16" s="34" t="str">
        <f t="shared" si="0"/>
        <v>A</v>
      </c>
      <c r="P16" s="10" t="s">
        <v>435</v>
      </c>
      <c r="Q16" s="10" t="s">
        <v>436</v>
      </c>
    </row>
    <row r="17" spans="1:17">
      <c r="A17" s="10" t="s">
        <v>101</v>
      </c>
      <c r="B17" s="10" t="s">
        <v>60</v>
      </c>
      <c r="C17" s="10" t="s">
        <v>102</v>
      </c>
      <c r="D17" s="10" t="s">
        <v>103</v>
      </c>
      <c r="E17" s="10" t="s">
        <v>375</v>
      </c>
      <c r="F17" s="11">
        <v>10761.87</v>
      </c>
      <c r="G17" s="11">
        <v>49663.71</v>
      </c>
      <c r="H17" s="12">
        <v>0.21669494859686894</v>
      </c>
      <c r="I17" s="10">
        <v>3</v>
      </c>
      <c r="J17" s="21">
        <v>100</v>
      </c>
      <c r="K17" s="21">
        <v>99.999999999999986</v>
      </c>
      <c r="L17" s="21">
        <v>80</v>
      </c>
      <c r="M17" s="21">
        <v>100</v>
      </c>
      <c r="N17" s="21">
        <f>J17*Supuestos!$B$7+K17*Supuestos!$B$8+L17*Supuestos!$B$9+M17*Supuestos!$B$10</f>
        <v>95</v>
      </c>
      <c r="O17" s="34" t="str">
        <f t="shared" si="0"/>
        <v>A</v>
      </c>
      <c r="P17" s="10" t="s">
        <v>435</v>
      </c>
      <c r="Q17" s="10" t="s">
        <v>436</v>
      </c>
    </row>
    <row r="18" spans="1:17">
      <c r="A18" s="10" t="s">
        <v>101</v>
      </c>
      <c r="B18" s="10" t="s">
        <v>60</v>
      </c>
      <c r="C18" s="10" t="s">
        <v>243</v>
      </c>
      <c r="D18" s="10" t="s">
        <v>103</v>
      </c>
      <c r="E18" s="10" t="s">
        <v>193</v>
      </c>
      <c r="F18" s="11">
        <v>10732.03</v>
      </c>
      <c r="G18" s="11">
        <v>114854.99</v>
      </c>
      <c r="H18" s="12">
        <v>9.3439843661039648E-2</v>
      </c>
      <c r="I18" s="10">
        <v>2</v>
      </c>
      <c r="J18" s="21">
        <v>100</v>
      </c>
      <c r="K18" s="21">
        <v>100</v>
      </c>
      <c r="L18" s="21">
        <v>80</v>
      </c>
      <c r="M18" s="21">
        <v>96.676367126980296</v>
      </c>
      <c r="N18" s="21">
        <f>J18*Supuestos!$B$7+K18*Supuestos!$B$8+L18*Supuestos!$B$9+M18*Supuestos!$B$10</f>
        <v>94.335273425396053</v>
      </c>
      <c r="O18" s="34" t="str">
        <f t="shared" si="0"/>
        <v>A</v>
      </c>
      <c r="P18" s="10" t="s">
        <v>435</v>
      </c>
      <c r="Q18" s="10" t="s">
        <v>436</v>
      </c>
    </row>
    <row r="19" spans="1:17">
      <c r="A19" s="10" t="s">
        <v>101</v>
      </c>
      <c r="B19" s="10" t="s">
        <v>60</v>
      </c>
      <c r="C19" s="10" t="s">
        <v>299</v>
      </c>
      <c r="D19" s="10" t="s">
        <v>127</v>
      </c>
      <c r="E19" s="10" t="s">
        <v>459</v>
      </c>
      <c r="F19" s="11">
        <v>15865.82</v>
      </c>
      <c r="G19" s="11">
        <v>26435.84</v>
      </c>
      <c r="H19" s="12">
        <v>0.60016324213066463</v>
      </c>
      <c r="I19" s="10">
        <v>1</v>
      </c>
      <c r="J19" s="21">
        <v>85</v>
      </c>
      <c r="K19" s="21">
        <v>99.999999999999986</v>
      </c>
      <c r="L19" s="21">
        <v>100</v>
      </c>
      <c r="M19" s="21">
        <v>90</v>
      </c>
      <c r="N19" s="21">
        <f>J19*Supuestos!$B$7+K19*Supuestos!$B$8+L19*Supuestos!$B$9+M19*Supuestos!$B$10</f>
        <v>94.25</v>
      </c>
      <c r="O19" s="34" t="str">
        <f t="shared" si="0"/>
        <v>A</v>
      </c>
      <c r="P19" s="10" t="s">
        <v>435</v>
      </c>
      <c r="Q19" s="10" t="s">
        <v>436</v>
      </c>
    </row>
    <row r="20" spans="1:17">
      <c r="A20" s="10" t="s">
        <v>101</v>
      </c>
      <c r="B20" s="10" t="s">
        <v>60</v>
      </c>
      <c r="C20" s="10" t="s">
        <v>204</v>
      </c>
      <c r="D20" s="10" t="s">
        <v>127</v>
      </c>
      <c r="E20" s="10" t="s">
        <v>459</v>
      </c>
      <c r="F20" s="11">
        <v>8732.83</v>
      </c>
      <c r="G20" s="11">
        <v>23377.47</v>
      </c>
      <c r="H20" s="12">
        <v>0.37355747645429138</v>
      </c>
      <c r="I20" s="10">
        <v>1</v>
      </c>
      <c r="J20" s="21">
        <v>85</v>
      </c>
      <c r="K20" s="21">
        <v>100.00000000000001</v>
      </c>
      <c r="L20" s="21">
        <v>100</v>
      </c>
      <c r="M20" s="21">
        <v>90</v>
      </c>
      <c r="N20" s="21">
        <f>J20*Supuestos!$B$7+K20*Supuestos!$B$8+L20*Supuestos!$B$9+M20*Supuestos!$B$10</f>
        <v>94.25</v>
      </c>
      <c r="O20" s="34" t="str">
        <f t="shared" si="0"/>
        <v>A</v>
      </c>
      <c r="P20" s="10" t="s">
        <v>435</v>
      </c>
      <c r="Q20" s="10" t="s">
        <v>436</v>
      </c>
    </row>
    <row r="21" spans="1:17">
      <c r="A21" s="10" t="s">
        <v>101</v>
      </c>
      <c r="B21" s="10" t="s">
        <v>60</v>
      </c>
      <c r="C21" s="10" t="s">
        <v>320</v>
      </c>
      <c r="D21" s="10" t="s">
        <v>127</v>
      </c>
      <c r="E21" s="10" t="s">
        <v>465</v>
      </c>
      <c r="F21" s="11">
        <v>4652.6000000000004</v>
      </c>
      <c r="G21" s="11">
        <v>19670.240000000002</v>
      </c>
      <c r="H21" s="12">
        <v>0.23652989507815186</v>
      </c>
      <c r="I21" s="10">
        <v>1</v>
      </c>
      <c r="J21" s="21">
        <v>85</v>
      </c>
      <c r="K21" s="21">
        <v>99.999999999999986</v>
      </c>
      <c r="L21" s="21">
        <v>100</v>
      </c>
      <c r="M21" s="21">
        <v>90</v>
      </c>
      <c r="N21" s="21">
        <f>J21*Supuestos!$B$7+K21*Supuestos!$B$8+L21*Supuestos!$B$9+M21*Supuestos!$B$10</f>
        <v>94.25</v>
      </c>
      <c r="O21" s="34" t="str">
        <f t="shared" si="0"/>
        <v>A</v>
      </c>
      <c r="P21" s="10" t="s">
        <v>435</v>
      </c>
      <c r="Q21" s="10" t="s">
        <v>436</v>
      </c>
    </row>
    <row r="22" spans="1:17">
      <c r="A22" s="10" t="s">
        <v>275</v>
      </c>
      <c r="B22" s="10" t="s">
        <v>67</v>
      </c>
      <c r="C22" s="10" t="s">
        <v>285</v>
      </c>
      <c r="D22" s="10" t="s">
        <v>103</v>
      </c>
      <c r="E22" s="10" t="s">
        <v>468</v>
      </c>
      <c r="F22" s="11">
        <v>137395.78</v>
      </c>
      <c r="G22" s="11">
        <v>564371.87</v>
      </c>
      <c r="H22" s="12">
        <v>0.24344903057196024</v>
      </c>
      <c r="I22" s="10">
        <v>3</v>
      </c>
      <c r="J22" s="21">
        <v>100</v>
      </c>
      <c r="K22" s="21">
        <v>99.999999999999986</v>
      </c>
      <c r="L22" s="21">
        <v>80</v>
      </c>
      <c r="M22" s="21">
        <v>90</v>
      </c>
      <c r="N22" s="21">
        <f>J22*Supuestos!$B$7+K22*Supuestos!$B$8+L22*Supuestos!$B$9+M22*Supuestos!$B$10</f>
        <v>93</v>
      </c>
      <c r="O22" s="34" t="str">
        <f t="shared" si="0"/>
        <v>A</v>
      </c>
      <c r="P22" s="10" t="s">
        <v>435</v>
      </c>
      <c r="Q22" s="10" t="s">
        <v>436</v>
      </c>
    </row>
    <row r="23" spans="1:17">
      <c r="A23" s="10" t="s">
        <v>255</v>
      </c>
      <c r="B23" s="10" t="s">
        <v>60</v>
      </c>
      <c r="C23" s="10" t="s">
        <v>328</v>
      </c>
      <c r="D23" s="10" t="s">
        <v>103</v>
      </c>
      <c r="E23" s="10" t="s">
        <v>468</v>
      </c>
      <c r="F23" s="11">
        <v>20754.3</v>
      </c>
      <c r="G23" s="11">
        <v>132474.79999999999</v>
      </c>
      <c r="H23" s="12">
        <v>0.15666604924489916</v>
      </c>
      <c r="I23" s="10">
        <v>2</v>
      </c>
      <c r="J23" s="21">
        <v>100</v>
      </c>
      <c r="K23" s="21">
        <v>99.999999999999986</v>
      </c>
      <c r="L23" s="21">
        <v>80</v>
      </c>
      <c r="M23" s="21">
        <v>90</v>
      </c>
      <c r="N23" s="21">
        <f>J23*Supuestos!$B$7+K23*Supuestos!$B$8+L23*Supuestos!$B$9+M23*Supuestos!$B$10</f>
        <v>93</v>
      </c>
      <c r="O23" s="34" t="str">
        <f t="shared" si="0"/>
        <v>A</v>
      </c>
      <c r="P23" s="10" t="s">
        <v>435</v>
      </c>
      <c r="Q23" s="10" t="s">
        <v>436</v>
      </c>
    </row>
    <row r="24" spans="1:17">
      <c r="A24" s="10" t="s">
        <v>111</v>
      </c>
      <c r="B24" s="10" t="s">
        <v>60</v>
      </c>
      <c r="C24" s="10" t="s">
        <v>339</v>
      </c>
      <c r="D24" s="10" t="s">
        <v>103</v>
      </c>
      <c r="E24" s="10" t="s">
        <v>468</v>
      </c>
      <c r="F24" s="11">
        <v>13140.86</v>
      </c>
      <c r="G24" s="11">
        <v>114879.92</v>
      </c>
      <c r="H24" s="12">
        <v>0.11438774279890039</v>
      </c>
      <c r="I24" s="10">
        <v>3</v>
      </c>
      <c r="J24" s="21">
        <v>100</v>
      </c>
      <c r="K24" s="21">
        <v>100</v>
      </c>
      <c r="L24" s="21">
        <v>80</v>
      </c>
      <c r="M24" s="21">
        <v>90</v>
      </c>
      <c r="N24" s="21">
        <f>J24*Supuestos!$B$7+K24*Supuestos!$B$8+L24*Supuestos!$B$9+M24*Supuestos!$B$10</f>
        <v>93</v>
      </c>
      <c r="O24" s="34" t="str">
        <f t="shared" si="0"/>
        <v>A</v>
      </c>
      <c r="P24" s="10" t="s">
        <v>435</v>
      </c>
      <c r="Q24" s="10" t="s">
        <v>436</v>
      </c>
    </row>
    <row r="25" spans="1:17">
      <c r="A25" s="10" t="s">
        <v>101</v>
      </c>
      <c r="B25" s="10" t="s">
        <v>60</v>
      </c>
      <c r="C25" s="10" t="s">
        <v>102</v>
      </c>
      <c r="D25" s="10" t="s">
        <v>103</v>
      </c>
      <c r="E25" s="10" t="s">
        <v>193</v>
      </c>
      <c r="F25" s="11">
        <v>8004.21</v>
      </c>
      <c r="G25" s="11">
        <v>49663.71</v>
      </c>
      <c r="H25" s="12">
        <v>0.16116816568675776</v>
      </c>
      <c r="I25" s="10">
        <v>4</v>
      </c>
      <c r="J25" s="21">
        <v>100</v>
      </c>
      <c r="K25" s="21">
        <v>89.999999999999986</v>
      </c>
      <c r="L25" s="21">
        <v>80</v>
      </c>
      <c r="M25" s="21">
        <v>96.676367126980296</v>
      </c>
      <c r="N25" s="21">
        <f>J25*Supuestos!$B$7+K25*Supuestos!$B$8+L25*Supuestos!$B$9+M25*Supuestos!$B$10</f>
        <v>91.335273425396053</v>
      </c>
      <c r="O25" s="34" t="str">
        <f t="shared" si="0"/>
        <v>A</v>
      </c>
      <c r="P25" s="10" t="s">
        <v>435</v>
      </c>
      <c r="Q25" s="10" t="s">
        <v>441</v>
      </c>
    </row>
    <row r="26" spans="1:17">
      <c r="A26" s="10" t="s">
        <v>119</v>
      </c>
      <c r="B26" s="10" t="s">
        <v>120</v>
      </c>
      <c r="C26" s="10" t="s">
        <v>121</v>
      </c>
      <c r="D26" s="10" t="s">
        <v>103</v>
      </c>
      <c r="E26" s="10" t="s">
        <v>213</v>
      </c>
      <c r="F26" s="11">
        <v>1223813.77</v>
      </c>
      <c r="G26" s="11">
        <v>1945343.76</v>
      </c>
      <c r="H26" s="12">
        <v>0.62909898125466557</v>
      </c>
      <c r="I26" s="10">
        <v>1</v>
      </c>
      <c r="J26" s="21">
        <v>100</v>
      </c>
      <c r="K26" s="21">
        <v>75.000000000000071</v>
      </c>
      <c r="L26" s="21">
        <v>100</v>
      </c>
      <c r="M26" s="21">
        <v>93.75</v>
      </c>
      <c r="N26" s="21">
        <f>J26*Supuestos!$B$7+K26*Supuestos!$B$8+L26*Supuestos!$B$9+M26*Supuestos!$B$10</f>
        <v>91.250000000000028</v>
      </c>
      <c r="O26" s="34" t="str">
        <f t="shared" si="0"/>
        <v>A</v>
      </c>
      <c r="P26" s="10" t="s">
        <v>447</v>
      </c>
      <c r="Q26" s="10" t="s">
        <v>436</v>
      </c>
    </row>
    <row r="27" spans="1:17">
      <c r="A27" s="10" t="s">
        <v>275</v>
      </c>
      <c r="B27" s="10" t="s">
        <v>67</v>
      </c>
      <c r="C27" s="10" t="s">
        <v>285</v>
      </c>
      <c r="D27" s="10" t="s">
        <v>103</v>
      </c>
      <c r="E27" s="10" t="s">
        <v>213</v>
      </c>
      <c r="F27" s="11">
        <v>194840.17</v>
      </c>
      <c r="G27" s="11">
        <v>564371.87</v>
      </c>
      <c r="H27" s="12">
        <v>0.34523366471041828</v>
      </c>
      <c r="I27" s="10">
        <v>1</v>
      </c>
      <c r="J27" s="21">
        <v>100</v>
      </c>
      <c r="K27" s="21">
        <v>75</v>
      </c>
      <c r="L27" s="21">
        <v>100</v>
      </c>
      <c r="M27" s="21">
        <v>93.75</v>
      </c>
      <c r="N27" s="21">
        <f>J27*Supuestos!$B$7+K27*Supuestos!$B$8+L27*Supuestos!$B$9+M27*Supuestos!$B$10</f>
        <v>91.25</v>
      </c>
      <c r="O27" s="34" t="str">
        <f t="shared" si="0"/>
        <v>A</v>
      </c>
      <c r="P27" s="10" t="s">
        <v>447</v>
      </c>
      <c r="Q27" s="10" t="s">
        <v>436</v>
      </c>
    </row>
    <row r="28" spans="1:17">
      <c r="A28" s="10" t="s">
        <v>119</v>
      </c>
      <c r="B28" s="10" t="s">
        <v>383</v>
      </c>
      <c r="C28" s="10" t="s">
        <v>384</v>
      </c>
      <c r="D28" s="10" t="s">
        <v>103</v>
      </c>
      <c r="E28" s="10" t="s">
        <v>213</v>
      </c>
      <c r="F28" s="11">
        <v>173548.77</v>
      </c>
      <c r="G28" s="11">
        <v>574829.68000000005</v>
      </c>
      <c r="H28" s="12">
        <v>0.30191337847506516</v>
      </c>
      <c r="I28" s="10">
        <v>1</v>
      </c>
      <c r="J28" s="21">
        <v>100</v>
      </c>
      <c r="K28" s="21">
        <v>75.000000000000014</v>
      </c>
      <c r="L28" s="21">
        <v>100</v>
      </c>
      <c r="M28" s="21">
        <v>93.75</v>
      </c>
      <c r="N28" s="21">
        <f>J28*Supuestos!$B$7+K28*Supuestos!$B$8+L28*Supuestos!$B$9+M28*Supuestos!$B$10</f>
        <v>91.25</v>
      </c>
      <c r="O28" s="34" t="str">
        <f t="shared" si="0"/>
        <v>A</v>
      </c>
      <c r="P28" s="10" t="s">
        <v>447</v>
      </c>
      <c r="Q28" s="10" t="s">
        <v>436</v>
      </c>
    </row>
    <row r="29" spans="1:17">
      <c r="A29" s="10" t="s">
        <v>255</v>
      </c>
      <c r="B29" s="10" t="s">
        <v>60</v>
      </c>
      <c r="C29" s="10" t="s">
        <v>350</v>
      </c>
      <c r="D29" s="10" t="s">
        <v>103</v>
      </c>
      <c r="E29" s="10" t="s">
        <v>213</v>
      </c>
      <c r="F29" s="11">
        <v>140331.53</v>
      </c>
      <c r="G29" s="11">
        <v>313399.28999999998</v>
      </c>
      <c r="H29" s="12">
        <v>0.44777233975387853</v>
      </c>
      <c r="I29" s="10">
        <v>1</v>
      </c>
      <c r="J29" s="21">
        <v>100</v>
      </c>
      <c r="K29" s="21">
        <v>75</v>
      </c>
      <c r="L29" s="21">
        <v>100</v>
      </c>
      <c r="M29" s="21">
        <v>93.75</v>
      </c>
      <c r="N29" s="21">
        <f>J29*Supuestos!$B$7+K29*Supuestos!$B$8+L29*Supuestos!$B$9+M29*Supuestos!$B$10</f>
        <v>91.25</v>
      </c>
      <c r="O29" s="34" t="str">
        <f t="shared" si="0"/>
        <v>A</v>
      </c>
      <c r="P29" s="10" t="s">
        <v>447</v>
      </c>
      <c r="Q29" s="10" t="s">
        <v>436</v>
      </c>
    </row>
    <row r="30" spans="1:17">
      <c r="A30" s="10" t="s">
        <v>111</v>
      </c>
      <c r="B30" s="10" t="s">
        <v>60</v>
      </c>
      <c r="C30" s="10" t="s">
        <v>208</v>
      </c>
      <c r="D30" s="10" t="s">
        <v>103</v>
      </c>
      <c r="E30" s="10" t="s">
        <v>213</v>
      </c>
      <c r="F30" s="11">
        <v>47760.75</v>
      </c>
      <c r="G30" s="11">
        <v>201558.18</v>
      </c>
      <c r="H30" s="12">
        <v>0.23695762241262899</v>
      </c>
      <c r="I30" s="10">
        <v>1</v>
      </c>
      <c r="J30" s="21">
        <v>100</v>
      </c>
      <c r="K30" s="21">
        <v>75.000000000000014</v>
      </c>
      <c r="L30" s="21">
        <v>100</v>
      </c>
      <c r="M30" s="21">
        <v>93.75</v>
      </c>
      <c r="N30" s="21">
        <f>J30*Supuestos!$B$7+K30*Supuestos!$B$8+L30*Supuestos!$B$9+M30*Supuestos!$B$10</f>
        <v>91.25</v>
      </c>
      <c r="O30" s="34" t="str">
        <f t="shared" si="0"/>
        <v>A</v>
      </c>
      <c r="P30" s="10" t="s">
        <v>447</v>
      </c>
      <c r="Q30" s="10" t="s">
        <v>436</v>
      </c>
    </row>
    <row r="31" spans="1:17">
      <c r="A31" s="10" t="s">
        <v>119</v>
      </c>
      <c r="B31" s="10" t="s">
        <v>186</v>
      </c>
      <c r="C31" s="10" t="s">
        <v>187</v>
      </c>
      <c r="D31" s="10" t="s">
        <v>103</v>
      </c>
      <c r="E31" s="10" t="s">
        <v>213</v>
      </c>
      <c r="F31" s="11">
        <v>41526.65</v>
      </c>
      <c r="G31" s="11">
        <v>159511.35999999999</v>
      </c>
      <c r="H31" s="12">
        <v>0.26033665940278178</v>
      </c>
      <c r="I31" s="10">
        <v>1</v>
      </c>
      <c r="J31" s="21">
        <v>100</v>
      </c>
      <c r="K31" s="21">
        <v>75</v>
      </c>
      <c r="L31" s="21">
        <v>100</v>
      </c>
      <c r="M31" s="21">
        <v>93.75</v>
      </c>
      <c r="N31" s="21">
        <f>J31*Supuestos!$B$7+K31*Supuestos!$B$8+L31*Supuestos!$B$9+M31*Supuestos!$B$10</f>
        <v>91.25</v>
      </c>
      <c r="O31" s="34" t="str">
        <f t="shared" si="0"/>
        <v>A</v>
      </c>
      <c r="P31" s="10" t="s">
        <v>447</v>
      </c>
      <c r="Q31" s="10" t="s">
        <v>436</v>
      </c>
    </row>
    <row r="32" spans="1:17">
      <c r="A32" s="10" t="s">
        <v>215</v>
      </c>
      <c r="B32" s="10" t="s">
        <v>60</v>
      </c>
      <c r="C32" s="10" t="s">
        <v>216</v>
      </c>
      <c r="D32" s="10" t="s">
        <v>103</v>
      </c>
      <c r="E32" s="10" t="s">
        <v>151</v>
      </c>
      <c r="F32" s="11">
        <v>150146.1</v>
      </c>
      <c r="G32" s="11">
        <v>656576.77</v>
      </c>
      <c r="H32" s="12">
        <v>0.22868018856075745</v>
      </c>
      <c r="I32" s="10">
        <v>1</v>
      </c>
      <c r="J32" s="21">
        <v>100</v>
      </c>
      <c r="K32" s="21">
        <v>75</v>
      </c>
      <c r="L32" s="21">
        <v>100</v>
      </c>
      <c r="M32" s="21">
        <v>93.580645922060057</v>
      </c>
      <c r="N32" s="21">
        <f>J32*Supuestos!$B$7+K32*Supuestos!$B$8+L32*Supuestos!$B$9+M32*Supuestos!$B$10</f>
        <v>91.216129184412011</v>
      </c>
      <c r="O32" s="34" t="str">
        <f t="shared" si="0"/>
        <v>A</v>
      </c>
      <c r="P32" s="10" t="s">
        <v>447</v>
      </c>
      <c r="Q32" s="10" t="s">
        <v>436</v>
      </c>
    </row>
    <row r="33" spans="1:17">
      <c r="A33" s="10" t="s">
        <v>255</v>
      </c>
      <c r="B33" s="10" t="s">
        <v>60</v>
      </c>
      <c r="C33" s="10" t="s">
        <v>260</v>
      </c>
      <c r="D33" s="10" t="s">
        <v>103</v>
      </c>
      <c r="E33" s="10" t="s">
        <v>151</v>
      </c>
      <c r="F33" s="11">
        <v>112964.75</v>
      </c>
      <c r="G33" s="11">
        <v>164350.82</v>
      </c>
      <c r="H33" s="12">
        <v>0.68733915154306835</v>
      </c>
      <c r="I33" s="10">
        <v>1</v>
      </c>
      <c r="J33" s="21">
        <v>100</v>
      </c>
      <c r="K33" s="21">
        <v>75</v>
      </c>
      <c r="L33" s="21">
        <v>100</v>
      </c>
      <c r="M33" s="21">
        <v>93.580645922060057</v>
      </c>
      <c r="N33" s="21">
        <f>J33*Supuestos!$B$7+K33*Supuestos!$B$8+L33*Supuestos!$B$9+M33*Supuestos!$B$10</f>
        <v>91.216129184412011</v>
      </c>
      <c r="O33" s="34" t="str">
        <f t="shared" si="0"/>
        <v>A</v>
      </c>
      <c r="P33" s="10" t="s">
        <v>447</v>
      </c>
      <c r="Q33" s="10" t="s">
        <v>436</v>
      </c>
    </row>
    <row r="34" spans="1:17">
      <c r="A34" s="10" t="s">
        <v>215</v>
      </c>
      <c r="B34" s="10" t="s">
        <v>60</v>
      </c>
      <c r="C34" s="10" t="s">
        <v>410</v>
      </c>
      <c r="D34" s="10" t="s">
        <v>103</v>
      </c>
      <c r="E34" s="10" t="s">
        <v>151</v>
      </c>
      <c r="F34" s="11">
        <v>109198.01</v>
      </c>
      <c r="G34" s="11">
        <v>273779.84999999998</v>
      </c>
      <c r="H34" s="12">
        <v>0.39885335662591398</v>
      </c>
      <c r="I34" s="10">
        <v>1</v>
      </c>
      <c r="J34" s="21">
        <v>100</v>
      </c>
      <c r="K34" s="21">
        <v>75</v>
      </c>
      <c r="L34" s="21">
        <v>100</v>
      </c>
      <c r="M34" s="21">
        <v>93.580645922060057</v>
      </c>
      <c r="N34" s="21">
        <f>J34*Supuestos!$B$7+K34*Supuestos!$B$8+L34*Supuestos!$B$9+M34*Supuestos!$B$10</f>
        <v>91.216129184412011</v>
      </c>
      <c r="O34" s="34" t="str">
        <f t="shared" si="0"/>
        <v>A</v>
      </c>
      <c r="P34" s="10" t="s">
        <v>447</v>
      </c>
      <c r="Q34" s="10" t="s">
        <v>436</v>
      </c>
    </row>
    <row r="35" spans="1:17">
      <c r="A35" s="10" t="s">
        <v>215</v>
      </c>
      <c r="B35" s="10" t="s">
        <v>60</v>
      </c>
      <c r="C35" s="10" t="s">
        <v>332</v>
      </c>
      <c r="D35" s="10" t="s">
        <v>103</v>
      </c>
      <c r="E35" s="10" t="s">
        <v>151</v>
      </c>
      <c r="F35" s="11">
        <v>104668.26</v>
      </c>
      <c r="G35" s="11">
        <v>251755.6</v>
      </c>
      <c r="H35" s="12">
        <v>0.41575344477531279</v>
      </c>
      <c r="I35" s="10">
        <v>1</v>
      </c>
      <c r="J35" s="21">
        <v>100</v>
      </c>
      <c r="K35" s="21">
        <v>75</v>
      </c>
      <c r="L35" s="21">
        <v>100</v>
      </c>
      <c r="M35" s="21">
        <v>93.580645922060057</v>
      </c>
      <c r="N35" s="21">
        <f>J35*Supuestos!$B$7+K35*Supuestos!$B$8+L35*Supuestos!$B$9+M35*Supuestos!$B$10</f>
        <v>91.216129184412011</v>
      </c>
      <c r="O35" s="34" t="str">
        <f t="shared" si="0"/>
        <v>A</v>
      </c>
      <c r="P35" s="10" t="s">
        <v>447</v>
      </c>
      <c r="Q35" s="10" t="s">
        <v>436</v>
      </c>
    </row>
    <row r="36" spans="1:17">
      <c r="A36" s="10" t="s">
        <v>255</v>
      </c>
      <c r="B36" s="10" t="s">
        <v>60</v>
      </c>
      <c r="C36" s="10" t="s">
        <v>256</v>
      </c>
      <c r="D36" s="10" t="s">
        <v>103</v>
      </c>
      <c r="E36" s="10" t="s">
        <v>151</v>
      </c>
      <c r="F36" s="11">
        <v>81539.77</v>
      </c>
      <c r="G36" s="11">
        <v>351341.95</v>
      </c>
      <c r="H36" s="12">
        <v>0.23208095585583027</v>
      </c>
      <c r="I36" s="10">
        <v>1</v>
      </c>
      <c r="J36" s="21">
        <v>100</v>
      </c>
      <c r="K36" s="21">
        <v>75.000000000000014</v>
      </c>
      <c r="L36" s="21">
        <v>100</v>
      </c>
      <c r="M36" s="21">
        <v>93.580645922060057</v>
      </c>
      <c r="N36" s="21">
        <f>J36*Supuestos!$B$7+K36*Supuestos!$B$8+L36*Supuestos!$B$9+M36*Supuestos!$B$10</f>
        <v>91.216129184412011</v>
      </c>
      <c r="O36" s="34" t="str">
        <f t="shared" si="0"/>
        <v>A</v>
      </c>
      <c r="P36" s="10" t="s">
        <v>447</v>
      </c>
      <c r="Q36" s="10" t="s">
        <v>436</v>
      </c>
    </row>
    <row r="37" spans="1:17">
      <c r="A37" s="10" t="s">
        <v>255</v>
      </c>
      <c r="B37" s="10" t="s">
        <v>60</v>
      </c>
      <c r="C37" s="10" t="s">
        <v>392</v>
      </c>
      <c r="D37" s="10" t="s">
        <v>103</v>
      </c>
      <c r="E37" s="10" t="s">
        <v>151</v>
      </c>
      <c r="F37" s="11">
        <v>64439.16</v>
      </c>
      <c r="G37" s="11">
        <v>180471.74</v>
      </c>
      <c r="H37" s="12">
        <v>0.35705956936465899</v>
      </c>
      <c r="I37" s="10">
        <v>1</v>
      </c>
      <c r="J37" s="21">
        <v>100</v>
      </c>
      <c r="K37" s="21">
        <v>75.000000000000028</v>
      </c>
      <c r="L37" s="21">
        <v>100</v>
      </c>
      <c r="M37" s="21">
        <v>93.580645922060057</v>
      </c>
      <c r="N37" s="21">
        <f>J37*Supuestos!$B$7+K37*Supuestos!$B$8+L37*Supuestos!$B$9+M37*Supuestos!$B$10</f>
        <v>91.216129184412011</v>
      </c>
      <c r="O37" s="34" t="str">
        <f t="shared" si="0"/>
        <v>A</v>
      </c>
      <c r="P37" s="10" t="s">
        <v>447</v>
      </c>
      <c r="Q37" s="10" t="s">
        <v>436</v>
      </c>
    </row>
    <row r="38" spans="1:17">
      <c r="A38" s="10" t="s">
        <v>111</v>
      </c>
      <c r="B38" s="10" t="s">
        <v>402</v>
      </c>
      <c r="C38" s="10" t="s">
        <v>403</v>
      </c>
      <c r="D38" s="10" t="s">
        <v>103</v>
      </c>
      <c r="E38" s="10" t="s">
        <v>151</v>
      </c>
      <c r="F38" s="11">
        <v>33691.1</v>
      </c>
      <c r="G38" s="11">
        <v>121345.92</v>
      </c>
      <c r="H38" s="12">
        <v>0.2776451079539129</v>
      </c>
      <c r="I38" s="10">
        <v>2</v>
      </c>
      <c r="J38" s="21">
        <v>100</v>
      </c>
      <c r="K38" s="21">
        <v>75</v>
      </c>
      <c r="L38" s="21">
        <v>100</v>
      </c>
      <c r="M38" s="21">
        <v>93.580645922060057</v>
      </c>
      <c r="N38" s="21">
        <f>J38*Supuestos!$B$7+K38*Supuestos!$B$8+L38*Supuestos!$B$9+M38*Supuestos!$B$10</f>
        <v>91.216129184412011</v>
      </c>
      <c r="O38" s="34" t="str">
        <f t="shared" si="0"/>
        <v>A</v>
      </c>
      <c r="P38" s="10" t="s">
        <v>447</v>
      </c>
      <c r="Q38" s="10" t="s">
        <v>436</v>
      </c>
    </row>
    <row r="39" spans="1:17">
      <c r="A39" s="10" t="s">
        <v>101</v>
      </c>
      <c r="B39" s="10" t="s">
        <v>60</v>
      </c>
      <c r="C39" s="10" t="s">
        <v>200</v>
      </c>
      <c r="D39" s="10" t="s">
        <v>103</v>
      </c>
      <c r="E39" s="10" t="s">
        <v>151</v>
      </c>
      <c r="F39" s="11">
        <v>2254.66</v>
      </c>
      <c r="G39" s="11">
        <v>8807.1</v>
      </c>
      <c r="H39" s="12">
        <v>0.25600511300086987</v>
      </c>
      <c r="I39" s="10">
        <v>2</v>
      </c>
      <c r="J39" s="21">
        <v>100</v>
      </c>
      <c r="K39" s="21">
        <v>75</v>
      </c>
      <c r="L39" s="21">
        <v>100</v>
      </c>
      <c r="M39" s="21">
        <v>93.580645922060057</v>
      </c>
      <c r="N39" s="21">
        <f>J39*Supuestos!$B$7+K39*Supuestos!$B$8+L39*Supuestos!$B$9+M39*Supuestos!$B$10</f>
        <v>91.216129184412011</v>
      </c>
      <c r="O39" s="34" t="str">
        <f t="shared" si="0"/>
        <v>A</v>
      </c>
      <c r="P39" s="10" t="s">
        <v>447</v>
      </c>
      <c r="Q39" s="10" t="s">
        <v>436</v>
      </c>
    </row>
    <row r="40" spans="1:17">
      <c r="A40" s="10" t="s">
        <v>111</v>
      </c>
      <c r="B40" s="10" t="s">
        <v>73</v>
      </c>
      <c r="C40" s="10" t="s">
        <v>418</v>
      </c>
      <c r="D40" s="10" t="s">
        <v>103</v>
      </c>
      <c r="E40" s="10" t="s">
        <v>151</v>
      </c>
      <c r="F40" s="11">
        <v>175532.21</v>
      </c>
      <c r="G40" s="11">
        <v>642203.68000000005</v>
      </c>
      <c r="H40" s="12">
        <v>0.27332793708841291</v>
      </c>
      <c r="I40" s="10">
        <v>1</v>
      </c>
      <c r="J40" s="21">
        <v>100</v>
      </c>
      <c r="K40" s="21">
        <v>74.999999999999972</v>
      </c>
      <c r="L40" s="21">
        <v>100</v>
      </c>
      <c r="M40" s="21">
        <v>93.580645922060057</v>
      </c>
      <c r="N40" s="21">
        <f>J40*Supuestos!$B$7+K40*Supuestos!$B$8+L40*Supuestos!$B$9+M40*Supuestos!$B$10</f>
        <v>91.216129184411997</v>
      </c>
      <c r="O40" s="34" t="str">
        <f t="shared" si="0"/>
        <v>A</v>
      </c>
      <c r="P40" s="10" t="s">
        <v>447</v>
      </c>
      <c r="Q40" s="10" t="s">
        <v>436</v>
      </c>
    </row>
    <row r="41" spans="1:17">
      <c r="A41" s="10" t="s">
        <v>255</v>
      </c>
      <c r="B41" s="10" t="s">
        <v>60</v>
      </c>
      <c r="C41" s="10" t="s">
        <v>328</v>
      </c>
      <c r="D41" s="10" t="s">
        <v>103</v>
      </c>
      <c r="E41" s="10" t="s">
        <v>446</v>
      </c>
      <c r="F41" s="11">
        <v>65562.28</v>
      </c>
      <c r="G41" s="11">
        <v>132474.79999999999</v>
      </c>
      <c r="H41" s="12">
        <v>0.49490379504818155</v>
      </c>
      <c r="I41" s="10">
        <v>1</v>
      </c>
      <c r="J41" s="21">
        <v>100</v>
      </c>
      <c r="K41" s="21">
        <v>74.999999999999986</v>
      </c>
      <c r="L41" s="21">
        <v>100</v>
      </c>
      <c r="M41" s="21">
        <v>93.560509294235828</v>
      </c>
      <c r="N41" s="21">
        <f>J41*Supuestos!$B$7+K41*Supuestos!$B$8+L41*Supuestos!$B$9+M41*Supuestos!$B$10</f>
        <v>91.212101858847163</v>
      </c>
      <c r="O41" s="34" t="str">
        <f t="shared" si="0"/>
        <v>A</v>
      </c>
      <c r="P41" s="10" t="s">
        <v>447</v>
      </c>
      <c r="Q41" s="10" t="s">
        <v>436</v>
      </c>
    </row>
    <row r="42" spans="1:17">
      <c r="A42" s="10" t="s">
        <v>101</v>
      </c>
      <c r="B42" s="10" t="s">
        <v>60</v>
      </c>
      <c r="C42" s="10" t="s">
        <v>102</v>
      </c>
      <c r="D42" s="10" t="s">
        <v>103</v>
      </c>
      <c r="E42" s="10" t="s">
        <v>446</v>
      </c>
      <c r="F42" s="11">
        <v>14909.75</v>
      </c>
      <c r="G42" s="11">
        <v>49663.71</v>
      </c>
      <c r="H42" s="12">
        <v>0.30021422288861649</v>
      </c>
      <c r="I42" s="10">
        <v>1</v>
      </c>
      <c r="J42" s="21">
        <v>100</v>
      </c>
      <c r="K42" s="21">
        <v>75</v>
      </c>
      <c r="L42" s="21">
        <v>100</v>
      </c>
      <c r="M42" s="21">
        <v>93.560509294235828</v>
      </c>
      <c r="N42" s="21">
        <f>J42*Supuestos!$B$7+K42*Supuestos!$B$8+L42*Supuestos!$B$9+M42*Supuestos!$B$10</f>
        <v>91.212101858847163</v>
      </c>
      <c r="O42" s="34" t="str">
        <f t="shared" si="0"/>
        <v>A</v>
      </c>
      <c r="P42" s="10" t="s">
        <v>447</v>
      </c>
      <c r="Q42" s="10" t="s">
        <v>436</v>
      </c>
    </row>
    <row r="43" spans="1:17">
      <c r="A43" s="10" t="s">
        <v>111</v>
      </c>
      <c r="B43" s="10" t="s">
        <v>69</v>
      </c>
      <c r="C43" s="10" t="s">
        <v>309</v>
      </c>
      <c r="D43" s="10" t="s">
        <v>103</v>
      </c>
      <c r="E43" s="10" t="s">
        <v>482</v>
      </c>
      <c r="F43" s="11">
        <v>114518.46</v>
      </c>
      <c r="G43" s="11">
        <v>712220.68</v>
      </c>
      <c r="H43" s="12">
        <v>0.16079070216889271</v>
      </c>
      <c r="I43" s="10">
        <v>1</v>
      </c>
      <c r="J43" s="21">
        <v>100</v>
      </c>
      <c r="K43" s="21">
        <v>75</v>
      </c>
      <c r="L43" s="21">
        <v>100</v>
      </c>
      <c r="M43" s="21">
        <v>93.52249900213674</v>
      </c>
      <c r="N43" s="21">
        <f>J43*Supuestos!$B$7+K43*Supuestos!$B$8+L43*Supuestos!$B$9+M43*Supuestos!$B$10</f>
        <v>91.204499800427357</v>
      </c>
      <c r="O43" s="34" t="str">
        <f t="shared" si="0"/>
        <v>A</v>
      </c>
      <c r="P43" s="10" t="s">
        <v>447</v>
      </c>
      <c r="Q43" s="10" t="s">
        <v>436</v>
      </c>
    </row>
    <row r="44" spans="1:17">
      <c r="A44" s="10" t="s">
        <v>111</v>
      </c>
      <c r="B44" s="10" t="s">
        <v>65</v>
      </c>
      <c r="C44" s="10" t="s">
        <v>144</v>
      </c>
      <c r="D44" s="10" t="s">
        <v>103</v>
      </c>
      <c r="E44" s="10" t="s">
        <v>469</v>
      </c>
      <c r="F44" s="11">
        <v>1270306.42</v>
      </c>
      <c r="G44" s="11">
        <v>2550637.33</v>
      </c>
      <c r="H44" s="12">
        <v>0.49803490208133899</v>
      </c>
      <c r="I44" s="10">
        <v>1</v>
      </c>
      <c r="J44" s="21">
        <v>100</v>
      </c>
      <c r="K44" s="21">
        <v>75</v>
      </c>
      <c r="L44" s="21">
        <v>100</v>
      </c>
      <c r="M44" s="21">
        <v>93.504836461954255</v>
      </c>
      <c r="N44" s="21">
        <f>J44*Supuestos!$B$7+K44*Supuestos!$B$8+L44*Supuestos!$B$9+M44*Supuestos!$B$10</f>
        <v>91.200967292390857</v>
      </c>
      <c r="O44" s="34" t="str">
        <f t="shared" si="0"/>
        <v>A</v>
      </c>
      <c r="P44" s="10" t="s">
        <v>447</v>
      </c>
      <c r="Q44" s="10" t="s">
        <v>436</v>
      </c>
    </row>
    <row r="45" spans="1:17">
      <c r="A45" s="10" t="s">
        <v>111</v>
      </c>
      <c r="B45" s="10" t="s">
        <v>65</v>
      </c>
      <c r="C45" s="10" t="s">
        <v>138</v>
      </c>
      <c r="D45" s="10" t="s">
        <v>103</v>
      </c>
      <c r="E45" s="10" t="s">
        <v>469</v>
      </c>
      <c r="F45" s="11">
        <v>910011.57</v>
      </c>
      <c r="G45" s="11">
        <v>1574650.7</v>
      </c>
      <c r="H45" s="12">
        <v>0.57791329110079348</v>
      </c>
      <c r="I45" s="10">
        <v>1</v>
      </c>
      <c r="J45" s="21">
        <v>100</v>
      </c>
      <c r="K45" s="21">
        <v>75.000000000000014</v>
      </c>
      <c r="L45" s="21">
        <v>100</v>
      </c>
      <c r="M45" s="21">
        <v>93.504836461954255</v>
      </c>
      <c r="N45" s="21">
        <f>J45*Supuestos!$B$7+K45*Supuestos!$B$8+L45*Supuestos!$B$9+M45*Supuestos!$B$10</f>
        <v>91.200967292390857</v>
      </c>
      <c r="O45" s="34" t="str">
        <f t="shared" si="0"/>
        <v>A</v>
      </c>
      <c r="P45" s="10" t="s">
        <v>447</v>
      </c>
      <c r="Q45" s="10" t="s">
        <v>436</v>
      </c>
    </row>
    <row r="46" spans="1:17">
      <c r="A46" s="10" t="s">
        <v>275</v>
      </c>
      <c r="B46" s="10" t="s">
        <v>71</v>
      </c>
      <c r="C46" s="10" t="s">
        <v>316</v>
      </c>
      <c r="D46" s="10" t="s">
        <v>103</v>
      </c>
      <c r="E46" s="10" t="s">
        <v>151</v>
      </c>
      <c r="F46" s="11">
        <v>428014.6</v>
      </c>
      <c r="G46" s="11">
        <v>1083764</v>
      </c>
      <c r="H46" s="12">
        <v>0.39493340077178779</v>
      </c>
      <c r="I46" s="10">
        <v>1</v>
      </c>
      <c r="J46" s="21">
        <v>100</v>
      </c>
      <c r="K46" s="21">
        <v>74.524170887583423</v>
      </c>
      <c r="L46" s="21">
        <v>100</v>
      </c>
      <c r="M46" s="21">
        <v>93.580645922060057</v>
      </c>
      <c r="N46" s="21">
        <f>J46*Supuestos!$B$7+K46*Supuestos!$B$8+L46*Supuestos!$B$9+M46*Supuestos!$B$10</f>
        <v>91.07338045068704</v>
      </c>
      <c r="O46" s="34" t="str">
        <f t="shared" si="0"/>
        <v>A</v>
      </c>
      <c r="P46" s="10" t="s">
        <v>447</v>
      </c>
      <c r="Q46" s="10" t="s">
        <v>436</v>
      </c>
    </row>
    <row r="47" spans="1:17">
      <c r="A47" s="10" t="s">
        <v>165</v>
      </c>
      <c r="B47" s="10" t="s">
        <v>60</v>
      </c>
      <c r="C47" s="10" t="s">
        <v>247</v>
      </c>
      <c r="D47" s="10" t="s">
        <v>103</v>
      </c>
      <c r="E47" s="10" t="s">
        <v>446</v>
      </c>
      <c r="F47" s="11">
        <v>59074.35</v>
      </c>
      <c r="G47" s="11">
        <v>125931.16</v>
      </c>
      <c r="H47" s="12">
        <v>0.46910035220443635</v>
      </c>
      <c r="I47" s="10">
        <v>1</v>
      </c>
      <c r="J47" s="21">
        <v>100</v>
      </c>
      <c r="K47" s="21">
        <v>73.997753768569353</v>
      </c>
      <c r="L47" s="21">
        <v>100</v>
      </c>
      <c r="M47" s="21">
        <v>93.560509294235828</v>
      </c>
      <c r="N47" s="21">
        <f>J47*Supuestos!$B$7+K47*Supuestos!$B$8+L47*Supuestos!$B$9+M47*Supuestos!$B$10</f>
        <v>90.911427989417973</v>
      </c>
      <c r="O47" s="34" t="str">
        <f t="shared" si="0"/>
        <v>A</v>
      </c>
      <c r="P47" s="10" t="s">
        <v>447</v>
      </c>
      <c r="Q47" s="10" t="s">
        <v>436</v>
      </c>
    </row>
    <row r="48" spans="1:17">
      <c r="A48" s="10" t="s">
        <v>101</v>
      </c>
      <c r="B48" s="10" t="s">
        <v>60</v>
      </c>
      <c r="C48" s="10" t="s">
        <v>346</v>
      </c>
      <c r="D48" s="10" t="s">
        <v>127</v>
      </c>
      <c r="E48" s="10" t="s">
        <v>193</v>
      </c>
      <c r="F48" s="11">
        <v>8344.91</v>
      </c>
      <c r="G48" s="11">
        <v>41126.71</v>
      </c>
      <c r="H48" s="12">
        <v>0.20290732064008826</v>
      </c>
      <c r="I48" s="10">
        <v>2</v>
      </c>
      <c r="J48" s="21">
        <v>85</v>
      </c>
      <c r="K48" s="21">
        <v>100.00000000000001</v>
      </c>
      <c r="L48" s="21">
        <v>80</v>
      </c>
      <c r="M48" s="21">
        <v>96.676367126980296</v>
      </c>
      <c r="N48" s="21">
        <f>J48*Supuestos!$B$7+K48*Supuestos!$B$8+L48*Supuestos!$B$9+M48*Supuestos!$B$10</f>
        <v>90.585273425396053</v>
      </c>
      <c r="O48" s="34" t="str">
        <f t="shared" si="0"/>
        <v>A</v>
      </c>
      <c r="P48" s="10" t="s">
        <v>435</v>
      </c>
      <c r="Q48" s="10" t="s">
        <v>436</v>
      </c>
    </row>
    <row r="49" spans="1:17">
      <c r="A49" s="10" t="s">
        <v>101</v>
      </c>
      <c r="B49" s="10" t="s">
        <v>60</v>
      </c>
      <c r="C49" s="10" t="s">
        <v>320</v>
      </c>
      <c r="D49" s="10" t="s">
        <v>127</v>
      </c>
      <c r="E49" s="10" t="s">
        <v>193</v>
      </c>
      <c r="F49" s="11">
        <v>3451.57</v>
      </c>
      <c r="G49" s="11">
        <v>19670.240000000002</v>
      </c>
      <c r="H49" s="12">
        <v>0.17547180209871965</v>
      </c>
      <c r="I49" s="10">
        <v>2</v>
      </c>
      <c r="J49" s="21">
        <v>85</v>
      </c>
      <c r="K49" s="21">
        <v>99.999999999999986</v>
      </c>
      <c r="L49" s="21">
        <v>80</v>
      </c>
      <c r="M49" s="21">
        <v>96.676367126980296</v>
      </c>
      <c r="N49" s="21">
        <f>J49*Supuestos!$B$7+K49*Supuestos!$B$8+L49*Supuestos!$B$9+M49*Supuestos!$B$10</f>
        <v>90.585273425396053</v>
      </c>
      <c r="O49" s="34" t="str">
        <f t="shared" si="0"/>
        <v>A</v>
      </c>
      <c r="P49" s="10" t="s">
        <v>435</v>
      </c>
      <c r="Q49" s="10" t="s">
        <v>436</v>
      </c>
    </row>
    <row r="50" spans="1:17">
      <c r="A50" s="10" t="s">
        <v>275</v>
      </c>
      <c r="B50" s="10" t="s">
        <v>276</v>
      </c>
      <c r="C50" s="10" t="s">
        <v>277</v>
      </c>
      <c r="D50" s="10" t="s">
        <v>127</v>
      </c>
      <c r="E50" s="10" t="s">
        <v>464</v>
      </c>
      <c r="F50" s="11">
        <v>8355.2800000000007</v>
      </c>
      <c r="G50" s="11">
        <v>77674.73</v>
      </c>
      <c r="H50" s="12">
        <v>0.1075675668984261</v>
      </c>
      <c r="I50" s="10">
        <v>4</v>
      </c>
      <c r="J50" s="21">
        <v>85</v>
      </c>
      <c r="K50" s="21">
        <v>100</v>
      </c>
      <c r="L50" s="21">
        <v>80</v>
      </c>
      <c r="M50" s="21">
        <v>94.993714604403294</v>
      </c>
      <c r="N50" s="21">
        <f>J50*Supuestos!$B$7+K50*Supuestos!$B$8+L50*Supuestos!$B$9+M50*Supuestos!$B$10</f>
        <v>90.248742920880659</v>
      </c>
      <c r="O50" s="34" t="str">
        <f t="shared" si="0"/>
        <v>A</v>
      </c>
      <c r="P50" s="10" t="s">
        <v>502</v>
      </c>
      <c r="Q50" s="10" t="s">
        <v>436</v>
      </c>
    </row>
    <row r="51" spans="1:17">
      <c r="A51" s="10" t="s">
        <v>275</v>
      </c>
      <c r="B51" s="10" t="s">
        <v>406</v>
      </c>
      <c r="C51" s="10" t="s">
        <v>407</v>
      </c>
      <c r="D51" s="10" t="s">
        <v>127</v>
      </c>
      <c r="E51" s="10" t="s">
        <v>465</v>
      </c>
      <c r="F51" s="11">
        <v>40392.089999999997</v>
      </c>
      <c r="G51" s="11">
        <v>324829.33</v>
      </c>
      <c r="H51" s="12">
        <v>0.12434865415616428</v>
      </c>
      <c r="I51" s="10">
        <v>2</v>
      </c>
      <c r="J51" s="21">
        <v>85</v>
      </c>
      <c r="K51" s="21">
        <v>99.999999999999986</v>
      </c>
      <c r="L51" s="21">
        <v>80</v>
      </c>
      <c r="M51" s="21">
        <v>90</v>
      </c>
      <c r="N51" s="21">
        <f>J51*Supuestos!$B$7+K51*Supuestos!$B$8+L51*Supuestos!$B$9+M51*Supuestos!$B$10</f>
        <v>89.25</v>
      </c>
      <c r="O51" s="34" t="str">
        <f t="shared" si="0"/>
        <v>A</v>
      </c>
      <c r="P51" s="10" t="s">
        <v>435</v>
      </c>
      <c r="Q51" s="10" t="s">
        <v>436</v>
      </c>
    </row>
    <row r="52" spans="1:17">
      <c r="A52" s="10" t="s">
        <v>275</v>
      </c>
      <c r="B52" s="10" t="s">
        <v>276</v>
      </c>
      <c r="C52" s="10" t="s">
        <v>277</v>
      </c>
      <c r="D52" s="10" t="s">
        <v>127</v>
      </c>
      <c r="E52" s="10" t="s">
        <v>468</v>
      </c>
      <c r="F52" s="11">
        <v>18906.64</v>
      </c>
      <c r="G52" s="11">
        <v>77674.73</v>
      </c>
      <c r="H52" s="12">
        <v>0.24340792060527638</v>
      </c>
      <c r="I52" s="10">
        <v>2</v>
      </c>
      <c r="J52" s="21">
        <v>85</v>
      </c>
      <c r="K52" s="21">
        <v>100</v>
      </c>
      <c r="L52" s="21">
        <v>80</v>
      </c>
      <c r="M52" s="21">
        <v>90</v>
      </c>
      <c r="N52" s="21">
        <f>J52*Supuestos!$B$7+K52*Supuestos!$B$8+L52*Supuestos!$B$9+M52*Supuestos!$B$10</f>
        <v>89.25</v>
      </c>
      <c r="O52" s="34" t="str">
        <f t="shared" si="0"/>
        <v>A</v>
      </c>
      <c r="P52" s="10" t="s">
        <v>435</v>
      </c>
      <c r="Q52" s="10" t="s">
        <v>436</v>
      </c>
    </row>
    <row r="53" spans="1:17">
      <c r="A53" s="10" t="s">
        <v>275</v>
      </c>
      <c r="B53" s="10" t="s">
        <v>276</v>
      </c>
      <c r="C53" s="10" t="s">
        <v>277</v>
      </c>
      <c r="D53" s="10" t="s">
        <v>127</v>
      </c>
      <c r="E53" s="10" t="s">
        <v>465</v>
      </c>
      <c r="F53" s="11">
        <v>9969.36</v>
      </c>
      <c r="G53" s="11">
        <v>77674.73</v>
      </c>
      <c r="H53" s="12">
        <v>0.12834748661770812</v>
      </c>
      <c r="I53" s="10">
        <v>3</v>
      </c>
      <c r="J53" s="21">
        <v>85</v>
      </c>
      <c r="K53" s="21">
        <v>100</v>
      </c>
      <c r="L53" s="21">
        <v>80</v>
      </c>
      <c r="M53" s="21">
        <v>90</v>
      </c>
      <c r="N53" s="21">
        <f>J53*Supuestos!$B$7+K53*Supuestos!$B$8+L53*Supuestos!$B$9+M53*Supuestos!$B$10</f>
        <v>89.25</v>
      </c>
      <c r="O53" s="34" t="str">
        <f t="shared" si="0"/>
        <v>A</v>
      </c>
      <c r="P53" s="10" t="s">
        <v>435</v>
      </c>
      <c r="Q53" s="10" t="s">
        <v>436</v>
      </c>
    </row>
    <row r="54" spans="1:17">
      <c r="A54" s="10" t="s">
        <v>101</v>
      </c>
      <c r="B54" s="10" t="s">
        <v>60</v>
      </c>
      <c r="C54" s="10" t="s">
        <v>346</v>
      </c>
      <c r="D54" s="10" t="s">
        <v>127</v>
      </c>
      <c r="E54" s="10" t="s">
        <v>465</v>
      </c>
      <c r="F54" s="11">
        <v>3285.57</v>
      </c>
      <c r="G54" s="11">
        <v>41126.71</v>
      </c>
      <c r="H54" s="12">
        <v>7.9889062681675851E-2</v>
      </c>
      <c r="I54" s="10">
        <v>3</v>
      </c>
      <c r="J54" s="21">
        <v>85</v>
      </c>
      <c r="K54" s="21">
        <v>100</v>
      </c>
      <c r="L54" s="21">
        <v>80</v>
      </c>
      <c r="M54" s="21">
        <v>90</v>
      </c>
      <c r="N54" s="21">
        <f>J54*Supuestos!$B$7+K54*Supuestos!$B$8+L54*Supuestos!$B$9+M54*Supuestos!$B$10</f>
        <v>89.25</v>
      </c>
      <c r="O54" s="34" t="str">
        <f t="shared" si="0"/>
        <v>A</v>
      </c>
      <c r="P54" s="10" t="s">
        <v>435</v>
      </c>
      <c r="Q54" s="10" t="s">
        <v>436</v>
      </c>
    </row>
    <row r="55" spans="1:17">
      <c r="A55" s="10" t="s">
        <v>101</v>
      </c>
      <c r="B55" s="10" t="s">
        <v>60</v>
      </c>
      <c r="C55" s="10" t="s">
        <v>320</v>
      </c>
      <c r="D55" s="10" t="s">
        <v>127</v>
      </c>
      <c r="E55" s="10" t="s">
        <v>459</v>
      </c>
      <c r="F55" s="11">
        <v>1865.96</v>
      </c>
      <c r="G55" s="11">
        <v>19670.240000000002</v>
      </c>
      <c r="H55" s="12">
        <v>9.486208318215722E-2</v>
      </c>
      <c r="I55" s="10">
        <v>3</v>
      </c>
      <c r="J55" s="21">
        <v>85</v>
      </c>
      <c r="K55" s="21">
        <v>99.999999999999972</v>
      </c>
      <c r="L55" s="21">
        <v>80</v>
      </c>
      <c r="M55" s="21">
        <v>90</v>
      </c>
      <c r="N55" s="21">
        <f>J55*Supuestos!$B$7+K55*Supuestos!$B$8+L55*Supuestos!$B$9+M55*Supuestos!$B$10</f>
        <v>89.249999999999986</v>
      </c>
      <c r="O55" s="34" t="str">
        <f t="shared" si="0"/>
        <v>A</v>
      </c>
      <c r="P55" s="10" t="s">
        <v>435</v>
      </c>
      <c r="Q55" s="10" t="s">
        <v>436</v>
      </c>
    </row>
    <row r="56" spans="1:17">
      <c r="A56" s="10" t="s">
        <v>101</v>
      </c>
      <c r="B56" s="10" t="s">
        <v>60</v>
      </c>
      <c r="C56" s="10" t="s">
        <v>243</v>
      </c>
      <c r="D56" s="10" t="s">
        <v>103</v>
      </c>
      <c r="E56" s="10" t="s">
        <v>462</v>
      </c>
      <c r="F56" s="11">
        <v>20002.39</v>
      </c>
      <c r="G56" s="11">
        <v>114854.99</v>
      </c>
      <c r="H56" s="12">
        <v>0.17415343241786488</v>
      </c>
      <c r="I56" s="10">
        <v>1</v>
      </c>
      <c r="J56" s="21">
        <v>100</v>
      </c>
      <c r="K56" s="21">
        <v>69.450941154399345</v>
      </c>
      <c r="L56" s="21">
        <v>100</v>
      </c>
      <c r="M56" s="21">
        <v>90.510155415039009</v>
      </c>
      <c r="N56" s="21">
        <f>J56*Supuestos!$B$7+K56*Supuestos!$B$8+L56*Supuestos!$B$9+M56*Supuestos!$B$10</f>
        <v>88.937313429327602</v>
      </c>
      <c r="O56" s="34" t="str">
        <f t="shared" si="0"/>
        <v>A</v>
      </c>
      <c r="P56" s="10" t="s">
        <v>447</v>
      </c>
      <c r="Q56" s="10" t="s">
        <v>441</v>
      </c>
    </row>
    <row r="57" spans="1:17">
      <c r="A57" s="10" t="s">
        <v>255</v>
      </c>
      <c r="B57" s="10" t="s">
        <v>60</v>
      </c>
      <c r="C57" s="10" t="s">
        <v>350</v>
      </c>
      <c r="D57" s="10" t="s">
        <v>103</v>
      </c>
      <c r="E57" s="10" t="s">
        <v>375</v>
      </c>
      <c r="F57" s="11">
        <v>22256.12</v>
      </c>
      <c r="G57" s="11">
        <v>313399.28999999998</v>
      </c>
      <c r="H57" s="12">
        <v>7.1015208153852177E-2</v>
      </c>
      <c r="I57" s="10">
        <v>4</v>
      </c>
      <c r="J57" s="21">
        <v>100</v>
      </c>
      <c r="K57" s="21">
        <v>100</v>
      </c>
      <c r="L57" s="21">
        <v>55</v>
      </c>
      <c r="M57" s="21">
        <v>100</v>
      </c>
      <c r="N57" s="21">
        <f>J57*Supuestos!$B$7+K57*Supuestos!$B$8+L57*Supuestos!$B$9+M57*Supuestos!$B$10</f>
        <v>88.75</v>
      </c>
      <c r="O57" s="34" t="str">
        <f t="shared" si="0"/>
        <v>A</v>
      </c>
      <c r="P57" s="10" t="s">
        <v>435</v>
      </c>
      <c r="Q57" s="10" t="s">
        <v>436</v>
      </c>
    </row>
    <row r="58" spans="1:17">
      <c r="A58" s="10" t="s">
        <v>101</v>
      </c>
      <c r="B58" s="10" t="s">
        <v>60</v>
      </c>
      <c r="C58" s="10" t="s">
        <v>243</v>
      </c>
      <c r="D58" s="10" t="s">
        <v>103</v>
      </c>
      <c r="E58" s="10" t="s">
        <v>375</v>
      </c>
      <c r="F58" s="11">
        <v>8781.52</v>
      </c>
      <c r="G58" s="11">
        <v>114854.99</v>
      </c>
      <c r="H58" s="12">
        <v>7.6457421488503208E-2</v>
      </c>
      <c r="I58" s="10">
        <v>6</v>
      </c>
      <c r="J58" s="21">
        <v>100</v>
      </c>
      <c r="K58" s="21">
        <v>100</v>
      </c>
      <c r="L58" s="21">
        <v>55</v>
      </c>
      <c r="M58" s="21">
        <v>100</v>
      </c>
      <c r="N58" s="21">
        <f>J58*Supuestos!$B$7+K58*Supuestos!$B$8+L58*Supuestos!$B$9+M58*Supuestos!$B$10</f>
        <v>88.75</v>
      </c>
      <c r="O58" s="34" t="str">
        <f t="shared" si="0"/>
        <v>A</v>
      </c>
      <c r="P58" s="10" t="s">
        <v>435</v>
      </c>
      <c r="Q58" s="10" t="s">
        <v>436</v>
      </c>
    </row>
    <row r="59" spans="1:17">
      <c r="A59" s="10" t="s">
        <v>101</v>
      </c>
      <c r="B59" s="10" t="s">
        <v>60</v>
      </c>
      <c r="C59" s="10" t="s">
        <v>342</v>
      </c>
      <c r="D59" s="10" t="s">
        <v>103</v>
      </c>
      <c r="E59" s="10" t="s">
        <v>375</v>
      </c>
      <c r="F59" s="11">
        <v>7376.91</v>
      </c>
      <c r="G59" s="11">
        <v>95640.54</v>
      </c>
      <c r="H59" s="12">
        <v>7.7131581442645022E-2</v>
      </c>
      <c r="I59" s="10">
        <v>4</v>
      </c>
      <c r="J59" s="21">
        <v>100</v>
      </c>
      <c r="K59" s="21">
        <v>100</v>
      </c>
      <c r="L59" s="21">
        <v>55</v>
      </c>
      <c r="M59" s="21">
        <v>100</v>
      </c>
      <c r="N59" s="21">
        <f>J59*Supuestos!$B$7+K59*Supuestos!$B$8+L59*Supuestos!$B$9+M59*Supuestos!$B$10</f>
        <v>88.75</v>
      </c>
      <c r="O59" s="34" t="str">
        <f t="shared" si="0"/>
        <v>A</v>
      </c>
      <c r="P59" s="10" t="s">
        <v>435</v>
      </c>
      <c r="Q59" s="10" t="s">
        <v>436</v>
      </c>
    </row>
    <row r="60" spans="1:17">
      <c r="A60" s="10" t="s">
        <v>111</v>
      </c>
      <c r="B60" s="10" t="s">
        <v>60</v>
      </c>
      <c r="C60" s="10" t="s">
        <v>126</v>
      </c>
      <c r="D60" s="10" t="s">
        <v>127</v>
      </c>
      <c r="E60" s="10" t="s">
        <v>225</v>
      </c>
      <c r="F60" s="11">
        <v>13175.65</v>
      </c>
      <c r="G60" s="11">
        <v>46119.99</v>
      </c>
      <c r="H60" s="12">
        <v>0.28568199796587185</v>
      </c>
      <c r="I60" s="10">
        <v>2</v>
      </c>
      <c r="J60" s="21">
        <v>85</v>
      </c>
      <c r="K60" s="21">
        <v>90.000000000000014</v>
      </c>
      <c r="L60" s="21">
        <v>100</v>
      </c>
      <c r="M60" s="21">
        <v>77.164146540957958</v>
      </c>
      <c r="N60" s="21">
        <f>J60*Supuestos!$B$7+K60*Supuestos!$B$8+L60*Supuestos!$B$9+M60*Supuestos!$B$10</f>
        <v>88.6828293081916</v>
      </c>
      <c r="O60" s="34" t="str">
        <f t="shared" si="0"/>
        <v>A</v>
      </c>
      <c r="P60" s="10" t="s">
        <v>435</v>
      </c>
      <c r="Q60" s="10" t="s">
        <v>441</v>
      </c>
    </row>
    <row r="61" spans="1:17">
      <c r="A61" s="10" t="s">
        <v>101</v>
      </c>
      <c r="B61" s="10" t="s">
        <v>60</v>
      </c>
      <c r="C61" s="10" t="s">
        <v>220</v>
      </c>
      <c r="D61" s="10" t="s">
        <v>127</v>
      </c>
      <c r="E61" s="10" t="s">
        <v>225</v>
      </c>
      <c r="F61" s="11">
        <v>6938.33</v>
      </c>
      <c r="G61" s="11">
        <v>13875.87</v>
      </c>
      <c r="H61" s="12">
        <v>0.50002817060116056</v>
      </c>
      <c r="I61" s="10">
        <v>1</v>
      </c>
      <c r="J61" s="21">
        <v>85</v>
      </c>
      <c r="K61" s="21">
        <v>90</v>
      </c>
      <c r="L61" s="21">
        <v>100</v>
      </c>
      <c r="M61" s="21">
        <v>77.164146540957958</v>
      </c>
      <c r="N61" s="21">
        <f>J61*Supuestos!$B$7+K61*Supuestos!$B$8+L61*Supuestos!$B$9+M61*Supuestos!$B$10</f>
        <v>88.6828293081916</v>
      </c>
      <c r="O61" s="34" t="str">
        <f t="shared" si="0"/>
        <v>A</v>
      </c>
      <c r="P61" s="10" t="s">
        <v>435</v>
      </c>
      <c r="Q61" s="10" t="s">
        <v>441</v>
      </c>
    </row>
    <row r="62" spans="1:17">
      <c r="A62" s="10" t="s">
        <v>119</v>
      </c>
      <c r="B62" s="10" t="s">
        <v>360</v>
      </c>
      <c r="C62" s="10" t="s">
        <v>361</v>
      </c>
      <c r="D62" s="10" t="s">
        <v>103</v>
      </c>
      <c r="E62" s="10" t="s">
        <v>193</v>
      </c>
      <c r="F62" s="11">
        <v>25710.19</v>
      </c>
      <c r="G62" s="11">
        <v>360957.46</v>
      </c>
      <c r="H62" s="12">
        <v>7.1227755480960636E-2</v>
      </c>
      <c r="I62" s="10">
        <v>5</v>
      </c>
      <c r="J62" s="21">
        <v>100</v>
      </c>
      <c r="K62" s="21">
        <v>100</v>
      </c>
      <c r="L62" s="21">
        <v>55</v>
      </c>
      <c r="M62" s="21">
        <v>96.676367126980296</v>
      </c>
      <c r="N62" s="21">
        <f>J62*Supuestos!$B$7+K62*Supuestos!$B$8+L62*Supuestos!$B$9+M62*Supuestos!$B$10</f>
        <v>88.085273425396053</v>
      </c>
      <c r="O62" s="34" t="str">
        <f t="shared" si="0"/>
        <v>A</v>
      </c>
      <c r="P62" s="10" t="s">
        <v>435</v>
      </c>
      <c r="Q62" s="10" t="s">
        <v>436</v>
      </c>
    </row>
    <row r="63" spans="1:17">
      <c r="A63" s="10" t="s">
        <v>255</v>
      </c>
      <c r="B63" s="10" t="s">
        <v>60</v>
      </c>
      <c r="C63" s="10" t="s">
        <v>350</v>
      </c>
      <c r="D63" s="10" t="s">
        <v>103</v>
      </c>
      <c r="E63" s="10" t="s">
        <v>193</v>
      </c>
      <c r="F63" s="11">
        <v>16650.34</v>
      </c>
      <c r="G63" s="11">
        <v>313399.28999999998</v>
      </c>
      <c r="H63" s="12">
        <v>5.3128207031535792E-2</v>
      </c>
      <c r="I63" s="10">
        <v>5</v>
      </c>
      <c r="J63" s="21">
        <v>100</v>
      </c>
      <c r="K63" s="21">
        <v>98.952009524399983</v>
      </c>
      <c r="L63" s="21">
        <v>55</v>
      </c>
      <c r="M63" s="21">
        <v>96.676367126980296</v>
      </c>
      <c r="N63" s="21">
        <f>J63*Supuestos!$B$7+K63*Supuestos!$B$8+L63*Supuestos!$B$9+M63*Supuestos!$B$10</f>
        <v>87.770876282716046</v>
      </c>
      <c r="O63" s="34" t="str">
        <f t="shared" si="0"/>
        <v>A</v>
      </c>
      <c r="P63" s="10" t="s">
        <v>435</v>
      </c>
      <c r="Q63" s="10" t="s">
        <v>436</v>
      </c>
    </row>
    <row r="64" spans="1:17">
      <c r="A64" s="10" t="s">
        <v>165</v>
      </c>
      <c r="B64" s="10" t="s">
        <v>60</v>
      </c>
      <c r="C64" s="10" t="s">
        <v>166</v>
      </c>
      <c r="D64" s="10" t="s">
        <v>103</v>
      </c>
      <c r="E64" s="10" t="s">
        <v>457</v>
      </c>
      <c r="F64" s="11">
        <v>301001.61</v>
      </c>
      <c r="G64" s="11">
        <v>929838.13</v>
      </c>
      <c r="H64" s="12">
        <v>0.32371398714471478</v>
      </c>
      <c r="I64" s="10">
        <v>1</v>
      </c>
      <c r="J64" s="21">
        <v>100</v>
      </c>
      <c r="K64" s="21">
        <v>65.000000000000014</v>
      </c>
      <c r="L64" s="21">
        <v>100</v>
      </c>
      <c r="M64" s="21">
        <v>91.25</v>
      </c>
      <c r="N64" s="21">
        <f>J64*Supuestos!$B$7+K64*Supuestos!$B$8+L64*Supuestos!$B$9+M64*Supuestos!$B$10</f>
        <v>87.75</v>
      </c>
      <c r="O64" s="34" t="str">
        <f t="shared" si="0"/>
        <v>A</v>
      </c>
      <c r="P64" s="10" t="s">
        <v>447</v>
      </c>
      <c r="Q64" s="10" t="s">
        <v>441</v>
      </c>
    </row>
    <row r="65" spans="1:17">
      <c r="A65" s="10" t="s">
        <v>165</v>
      </c>
      <c r="B65" s="10" t="s">
        <v>60</v>
      </c>
      <c r="C65" s="10" t="s">
        <v>302</v>
      </c>
      <c r="D65" s="10" t="s">
        <v>103</v>
      </c>
      <c r="E65" s="10" t="s">
        <v>457</v>
      </c>
      <c r="F65" s="11">
        <v>103892.26</v>
      </c>
      <c r="G65" s="11">
        <v>357771.85</v>
      </c>
      <c r="H65" s="12">
        <v>0.29038689647539673</v>
      </c>
      <c r="I65" s="10">
        <v>1</v>
      </c>
      <c r="J65" s="21">
        <v>100</v>
      </c>
      <c r="K65" s="21">
        <v>65.000000000000014</v>
      </c>
      <c r="L65" s="21">
        <v>100</v>
      </c>
      <c r="M65" s="21">
        <v>91.25</v>
      </c>
      <c r="N65" s="21">
        <f>J65*Supuestos!$B$7+K65*Supuestos!$B$8+L65*Supuestos!$B$9+M65*Supuestos!$B$10</f>
        <v>87.75</v>
      </c>
      <c r="O65" s="34" t="str">
        <f t="shared" si="0"/>
        <v>A</v>
      </c>
      <c r="P65" s="10" t="s">
        <v>447</v>
      </c>
      <c r="Q65" s="10" t="s">
        <v>441</v>
      </c>
    </row>
    <row r="66" spans="1:17">
      <c r="A66" s="10" t="s">
        <v>101</v>
      </c>
      <c r="B66" s="10" t="s">
        <v>60</v>
      </c>
      <c r="C66" s="10" t="s">
        <v>342</v>
      </c>
      <c r="D66" s="10" t="s">
        <v>103</v>
      </c>
      <c r="E66" s="10" t="s">
        <v>457</v>
      </c>
      <c r="F66" s="11">
        <v>30293.58</v>
      </c>
      <c r="G66" s="11">
        <v>95640.54</v>
      </c>
      <c r="H66" s="12">
        <v>0.31674410341757092</v>
      </c>
      <c r="I66" s="10">
        <v>1</v>
      </c>
      <c r="J66" s="21">
        <v>100</v>
      </c>
      <c r="K66" s="21">
        <v>65</v>
      </c>
      <c r="L66" s="21">
        <v>100</v>
      </c>
      <c r="M66" s="21">
        <v>91.25</v>
      </c>
      <c r="N66" s="21">
        <f>J66*Supuestos!$B$7+K66*Supuestos!$B$8+L66*Supuestos!$B$9+M66*Supuestos!$B$10</f>
        <v>87.75</v>
      </c>
      <c r="O66" s="34" t="str">
        <f t="shared" si="0"/>
        <v>A</v>
      </c>
      <c r="P66" s="10" t="s">
        <v>447</v>
      </c>
      <c r="Q66" s="10" t="s">
        <v>441</v>
      </c>
    </row>
    <row r="67" spans="1:17">
      <c r="A67" s="10" t="s">
        <v>101</v>
      </c>
      <c r="B67" s="10" t="s">
        <v>60</v>
      </c>
      <c r="C67" s="10" t="s">
        <v>200</v>
      </c>
      <c r="D67" s="10" t="s">
        <v>103</v>
      </c>
      <c r="E67" s="10" t="s">
        <v>457</v>
      </c>
      <c r="F67" s="11">
        <v>3350.62</v>
      </c>
      <c r="G67" s="11">
        <v>8807.1</v>
      </c>
      <c r="H67" s="12">
        <v>0.38044513880258735</v>
      </c>
      <c r="I67" s="10">
        <v>1</v>
      </c>
      <c r="J67" s="21">
        <v>100</v>
      </c>
      <c r="K67" s="21">
        <v>64.999999999999986</v>
      </c>
      <c r="L67" s="21">
        <v>100</v>
      </c>
      <c r="M67" s="21">
        <v>91.25</v>
      </c>
      <c r="N67" s="21">
        <f>J67*Supuestos!$B$7+K67*Supuestos!$B$8+L67*Supuestos!$B$9+M67*Supuestos!$B$10</f>
        <v>87.75</v>
      </c>
      <c r="O67" s="34" t="str">
        <f t="shared" si="0"/>
        <v>A</v>
      </c>
      <c r="P67" s="10" t="s">
        <v>447</v>
      </c>
      <c r="Q67" s="10" t="s">
        <v>441</v>
      </c>
    </row>
    <row r="68" spans="1:17">
      <c r="A68" s="10" t="s">
        <v>101</v>
      </c>
      <c r="B68" s="10" t="s">
        <v>60</v>
      </c>
      <c r="C68" s="10" t="s">
        <v>299</v>
      </c>
      <c r="D68" s="10" t="s">
        <v>127</v>
      </c>
      <c r="E68" s="10" t="s">
        <v>193</v>
      </c>
      <c r="F68" s="11">
        <v>3755.06</v>
      </c>
      <c r="G68" s="11">
        <v>26435.84</v>
      </c>
      <c r="H68" s="12">
        <v>0.14204431195807751</v>
      </c>
      <c r="I68" s="10">
        <v>2</v>
      </c>
      <c r="J68" s="21">
        <v>85</v>
      </c>
      <c r="K68" s="21">
        <v>90</v>
      </c>
      <c r="L68" s="21">
        <v>80</v>
      </c>
      <c r="M68" s="21">
        <v>96.676367126980296</v>
      </c>
      <c r="N68" s="21">
        <f>J68*Supuestos!$B$7+K68*Supuestos!$B$8+L68*Supuestos!$B$9+M68*Supuestos!$B$10</f>
        <v>87.585273425396053</v>
      </c>
      <c r="O68" s="34" t="str">
        <f t="shared" si="0"/>
        <v>A</v>
      </c>
      <c r="P68" s="10" t="s">
        <v>435</v>
      </c>
      <c r="Q68" s="10" t="s">
        <v>441</v>
      </c>
    </row>
    <row r="69" spans="1:17">
      <c r="A69" s="10" t="s">
        <v>119</v>
      </c>
      <c r="B69" s="10" t="s">
        <v>75</v>
      </c>
      <c r="C69" s="10" t="s">
        <v>400</v>
      </c>
      <c r="D69" s="10" t="s">
        <v>127</v>
      </c>
      <c r="E69" s="10" t="s">
        <v>213</v>
      </c>
      <c r="F69" s="11">
        <v>561068.03</v>
      </c>
      <c r="G69" s="11">
        <v>752313.74</v>
      </c>
      <c r="H69" s="12">
        <v>0.74578995795322156</v>
      </c>
      <c r="I69" s="10">
        <v>1</v>
      </c>
      <c r="J69" s="21">
        <v>85</v>
      </c>
      <c r="K69" s="21">
        <v>75.000000000000028</v>
      </c>
      <c r="L69" s="21">
        <v>100</v>
      </c>
      <c r="M69" s="21">
        <v>93.75</v>
      </c>
      <c r="N69" s="21">
        <f>J69*Supuestos!$B$7+K69*Supuestos!$B$8+L69*Supuestos!$B$9+M69*Supuestos!$B$10</f>
        <v>87.5</v>
      </c>
      <c r="O69" s="34" t="str">
        <f t="shared" ref="O69:O132" si="1">IF(N69&gt;=80,"A",IF(N69&gt;=65,"B",IF(N69&gt;=50,"C","D")))</f>
        <v>A</v>
      </c>
      <c r="P69" s="10" t="s">
        <v>447</v>
      </c>
      <c r="Q69" s="10" t="s">
        <v>436</v>
      </c>
    </row>
    <row r="70" spans="1:17">
      <c r="A70" s="10" t="s">
        <v>119</v>
      </c>
      <c r="B70" s="10" t="s">
        <v>156</v>
      </c>
      <c r="C70" s="10" t="s">
        <v>157</v>
      </c>
      <c r="D70" s="10" t="s">
        <v>127</v>
      </c>
      <c r="E70" s="10" t="s">
        <v>213</v>
      </c>
      <c r="F70" s="11">
        <v>102052.27</v>
      </c>
      <c r="G70" s="11">
        <v>141693.75</v>
      </c>
      <c r="H70" s="12">
        <v>0.72023122550135388</v>
      </c>
      <c r="I70" s="10">
        <v>1</v>
      </c>
      <c r="J70" s="21">
        <v>85</v>
      </c>
      <c r="K70" s="21">
        <v>74.999999999999986</v>
      </c>
      <c r="L70" s="21">
        <v>100</v>
      </c>
      <c r="M70" s="21">
        <v>93.75</v>
      </c>
      <c r="N70" s="21">
        <f>J70*Supuestos!$B$7+K70*Supuestos!$B$8+L70*Supuestos!$B$9+M70*Supuestos!$B$10</f>
        <v>87.5</v>
      </c>
      <c r="O70" s="34" t="str">
        <f t="shared" si="1"/>
        <v>A</v>
      </c>
      <c r="P70" s="10" t="s">
        <v>447</v>
      </c>
      <c r="Q70" s="10" t="s">
        <v>436</v>
      </c>
    </row>
    <row r="71" spans="1:17">
      <c r="A71" s="10" t="s">
        <v>275</v>
      </c>
      <c r="B71" s="10" t="s">
        <v>67</v>
      </c>
      <c r="C71" s="10" t="s">
        <v>373</v>
      </c>
      <c r="D71" s="10" t="s">
        <v>127</v>
      </c>
      <c r="E71" s="10" t="s">
        <v>213</v>
      </c>
      <c r="F71" s="11">
        <v>47962.14</v>
      </c>
      <c r="G71" s="11">
        <v>117128.89</v>
      </c>
      <c r="H71" s="12">
        <v>0.40948169414432428</v>
      </c>
      <c r="I71" s="10">
        <v>2</v>
      </c>
      <c r="J71" s="21">
        <v>85</v>
      </c>
      <c r="K71" s="21">
        <v>75</v>
      </c>
      <c r="L71" s="21">
        <v>100</v>
      </c>
      <c r="M71" s="21">
        <v>93.75</v>
      </c>
      <c r="N71" s="21">
        <f>J71*Supuestos!$B$7+K71*Supuestos!$B$8+L71*Supuestos!$B$9+M71*Supuestos!$B$10</f>
        <v>87.5</v>
      </c>
      <c r="O71" s="34" t="str">
        <f t="shared" si="1"/>
        <v>A</v>
      </c>
      <c r="P71" s="10" t="s">
        <v>447</v>
      </c>
      <c r="Q71" s="10" t="s">
        <v>436</v>
      </c>
    </row>
    <row r="72" spans="1:17">
      <c r="A72" s="10" t="s">
        <v>215</v>
      </c>
      <c r="B72" s="10" t="s">
        <v>60</v>
      </c>
      <c r="C72" s="10" t="s">
        <v>332</v>
      </c>
      <c r="D72" s="10" t="s">
        <v>103</v>
      </c>
      <c r="E72" s="10" t="s">
        <v>181</v>
      </c>
      <c r="F72" s="11">
        <v>23580.1</v>
      </c>
      <c r="G72" s="11">
        <v>251755.6</v>
      </c>
      <c r="H72" s="12">
        <v>9.366265798714285E-2</v>
      </c>
      <c r="I72" s="10">
        <v>3</v>
      </c>
      <c r="J72" s="21">
        <v>100</v>
      </c>
      <c r="K72" s="21">
        <v>90</v>
      </c>
      <c r="L72" s="21">
        <v>80</v>
      </c>
      <c r="M72" s="21">
        <v>77.5</v>
      </c>
      <c r="N72" s="21">
        <f>J72*Supuestos!$B$7+K72*Supuestos!$B$8+L72*Supuestos!$B$9+M72*Supuestos!$B$10</f>
        <v>87.5</v>
      </c>
      <c r="O72" s="34" t="str">
        <f t="shared" si="1"/>
        <v>A</v>
      </c>
      <c r="P72" s="10" t="s">
        <v>435</v>
      </c>
      <c r="Q72" s="10" t="s">
        <v>441</v>
      </c>
    </row>
    <row r="73" spans="1:17">
      <c r="A73" s="10" t="s">
        <v>101</v>
      </c>
      <c r="B73" s="10" t="s">
        <v>60</v>
      </c>
      <c r="C73" s="10" t="s">
        <v>237</v>
      </c>
      <c r="D73" s="10" t="s">
        <v>127</v>
      </c>
      <c r="E73" s="10" t="s">
        <v>213</v>
      </c>
      <c r="F73" s="11">
        <v>12162.25</v>
      </c>
      <c r="G73" s="11">
        <v>28274.28</v>
      </c>
      <c r="H73" s="12">
        <v>0.43015248038695214</v>
      </c>
      <c r="I73" s="10">
        <v>1</v>
      </c>
      <c r="J73" s="21">
        <v>85</v>
      </c>
      <c r="K73" s="21">
        <v>75</v>
      </c>
      <c r="L73" s="21">
        <v>100</v>
      </c>
      <c r="M73" s="21">
        <v>93.75</v>
      </c>
      <c r="N73" s="21">
        <f>J73*Supuestos!$B$7+K73*Supuestos!$B$8+L73*Supuestos!$B$9+M73*Supuestos!$B$10</f>
        <v>87.5</v>
      </c>
      <c r="O73" s="34" t="str">
        <f t="shared" si="1"/>
        <v>A</v>
      </c>
      <c r="P73" s="10" t="s">
        <v>447</v>
      </c>
      <c r="Q73" s="10" t="s">
        <v>436</v>
      </c>
    </row>
    <row r="74" spans="1:17">
      <c r="A74" s="10" t="s">
        <v>215</v>
      </c>
      <c r="B74" s="10" t="s">
        <v>60</v>
      </c>
      <c r="C74" s="10" t="s">
        <v>391</v>
      </c>
      <c r="D74" s="10" t="s">
        <v>127</v>
      </c>
      <c r="E74" s="10" t="s">
        <v>151</v>
      </c>
      <c r="F74" s="11">
        <v>47183.22</v>
      </c>
      <c r="G74" s="11">
        <v>49396.6</v>
      </c>
      <c r="H74" s="12">
        <v>0.95519156586844034</v>
      </c>
      <c r="I74" s="10">
        <v>1</v>
      </c>
      <c r="J74" s="21">
        <v>85</v>
      </c>
      <c r="K74" s="21">
        <v>74.999999999999986</v>
      </c>
      <c r="L74" s="21">
        <v>100</v>
      </c>
      <c r="M74" s="21">
        <v>93.580645922060057</v>
      </c>
      <c r="N74" s="21">
        <f>J74*Supuestos!$B$7+K74*Supuestos!$B$8+L74*Supuestos!$B$9+M74*Supuestos!$B$10</f>
        <v>87.466129184412011</v>
      </c>
      <c r="O74" s="34" t="str">
        <f t="shared" si="1"/>
        <v>A</v>
      </c>
      <c r="P74" s="10" t="s">
        <v>447</v>
      </c>
      <c r="Q74" s="10" t="s">
        <v>436</v>
      </c>
    </row>
    <row r="75" spans="1:17">
      <c r="A75" s="10" t="s">
        <v>101</v>
      </c>
      <c r="B75" s="10" t="s">
        <v>60</v>
      </c>
      <c r="C75" s="10" t="s">
        <v>346</v>
      </c>
      <c r="D75" s="10" t="s">
        <v>127</v>
      </c>
      <c r="E75" s="10" t="s">
        <v>446</v>
      </c>
      <c r="F75" s="11">
        <v>20105.86</v>
      </c>
      <c r="G75" s="11">
        <v>41126.71</v>
      </c>
      <c r="H75" s="12">
        <v>0.48887601195928104</v>
      </c>
      <c r="I75" s="10">
        <v>1</v>
      </c>
      <c r="J75" s="21">
        <v>85</v>
      </c>
      <c r="K75" s="21">
        <v>75</v>
      </c>
      <c r="L75" s="21">
        <v>100</v>
      </c>
      <c r="M75" s="21">
        <v>93.560509294235828</v>
      </c>
      <c r="N75" s="21">
        <f>J75*Supuestos!$B$7+K75*Supuestos!$B$8+L75*Supuestos!$B$9+M75*Supuestos!$B$10</f>
        <v>87.462101858847163</v>
      </c>
      <c r="O75" s="34" t="str">
        <f t="shared" si="1"/>
        <v>A</v>
      </c>
      <c r="P75" s="10" t="s">
        <v>447</v>
      </c>
      <c r="Q75" s="10" t="s">
        <v>436</v>
      </c>
    </row>
    <row r="76" spans="1:17">
      <c r="A76" s="10" t="s">
        <v>101</v>
      </c>
      <c r="B76" s="10" t="s">
        <v>60</v>
      </c>
      <c r="C76" s="10" t="s">
        <v>224</v>
      </c>
      <c r="D76" s="10" t="s">
        <v>127</v>
      </c>
      <c r="E76" s="10" t="s">
        <v>462</v>
      </c>
      <c r="F76" s="11">
        <v>15079.66</v>
      </c>
      <c r="G76" s="11">
        <v>22669.16</v>
      </c>
      <c r="H76" s="12">
        <v>0.66520596572947288</v>
      </c>
      <c r="I76" s="10">
        <v>1</v>
      </c>
      <c r="J76" s="21">
        <v>85</v>
      </c>
      <c r="K76" s="21">
        <v>75.602007382522515</v>
      </c>
      <c r="L76" s="21">
        <v>100</v>
      </c>
      <c r="M76" s="21">
        <v>90.510155415039009</v>
      </c>
      <c r="N76" s="21">
        <f>J76*Supuestos!$B$7+K76*Supuestos!$B$8+L76*Supuestos!$B$9+M76*Supuestos!$B$10</f>
        <v>87.032633297764562</v>
      </c>
      <c r="O76" s="34" t="str">
        <f t="shared" si="1"/>
        <v>A</v>
      </c>
      <c r="P76" s="10" t="s">
        <v>447</v>
      </c>
      <c r="Q76" s="10" t="s">
        <v>441</v>
      </c>
    </row>
    <row r="77" spans="1:17">
      <c r="A77" s="10" t="s">
        <v>165</v>
      </c>
      <c r="B77" s="10" t="s">
        <v>60</v>
      </c>
      <c r="C77" s="10" t="s">
        <v>166</v>
      </c>
      <c r="D77" s="10" t="s">
        <v>103</v>
      </c>
      <c r="E77" s="10" t="s">
        <v>459</v>
      </c>
      <c r="F77" s="11">
        <v>63201.85</v>
      </c>
      <c r="G77" s="11">
        <v>929838.13</v>
      </c>
      <c r="H77" s="12">
        <v>6.7970806900359226E-2</v>
      </c>
      <c r="I77" s="10">
        <v>5</v>
      </c>
      <c r="J77" s="21">
        <v>100</v>
      </c>
      <c r="K77" s="21">
        <v>100</v>
      </c>
      <c r="L77" s="21">
        <v>55</v>
      </c>
      <c r="M77" s="21">
        <v>90</v>
      </c>
      <c r="N77" s="21">
        <f>J77*Supuestos!$B$7+K77*Supuestos!$B$8+L77*Supuestos!$B$9+M77*Supuestos!$B$10</f>
        <v>86.75</v>
      </c>
      <c r="O77" s="34" t="str">
        <f t="shared" si="1"/>
        <v>A</v>
      </c>
      <c r="P77" s="10" t="s">
        <v>435</v>
      </c>
      <c r="Q77" s="10" t="s">
        <v>436</v>
      </c>
    </row>
    <row r="78" spans="1:17">
      <c r="A78" s="10" t="s">
        <v>275</v>
      </c>
      <c r="B78" s="10" t="s">
        <v>67</v>
      </c>
      <c r="C78" s="10" t="s">
        <v>285</v>
      </c>
      <c r="D78" s="10" t="s">
        <v>103</v>
      </c>
      <c r="E78" s="10" t="s">
        <v>465</v>
      </c>
      <c r="F78" s="11">
        <v>49202.41</v>
      </c>
      <c r="G78" s="11">
        <v>564371.87</v>
      </c>
      <c r="H78" s="12">
        <v>8.7180832152042517E-2</v>
      </c>
      <c r="I78" s="10">
        <v>4</v>
      </c>
      <c r="J78" s="21">
        <v>100</v>
      </c>
      <c r="K78" s="21">
        <v>100</v>
      </c>
      <c r="L78" s="21">
        <v>55</v>
      </c>
      <c r="M78" s="21">
        <v>90</v>
      </c>
      <c r="N78" s="21">
        <f>J78*Supuestos!$B$7+K78*Supuestos!$B$8+L78*Supuestos!$B$9+M78*Supuestos!$B$10</f>
        <v>86.75</v>
      </c>
      <c r="O78" s="34" t="str">
        <f t="shared" si="1"/>
        <v>A</v>
      </c>
      <c r="P78" s="10" t="s">
        <v>435</v>
      </c>
      <c r="Q78" s="10" t="s">
        <v>436</v>
      </c>
    </row>
    <row r="79" spans="1:17">
      <c r="A79" s="10" t="s">
        <v>101</v>
      </c>
      <c r="B79" s="10" t="s">
        <v>60</v>
      </c>
      <c r="C79" s="10" t="s">
        <v>132</v>
      </c>
      <c r="D79" s="10" t="s">
        <v>127</v>
      </c>
      <c r="E79" s="10" t="s">
        <v>462</v>
      </c>
      <c r="F79" s="11">
        <v>1722.16</v>
      </c>
      <c r="G79" s="11">
        <v>5681.95</v>
      </c>
      <c r="H79" s="12">
        <v>0.3030939560993956</v>
      </c>
      <c r="I79" s="10">
        <v>2</v>
      </c>
      <c r="J79" s="21">
        <v>85</v>
      </c>
      <c r="K79" s="21">
        <v>73.889931301637262</v>
      </c>
      <c r="L79" s="21">
        <v>100</v>
      </c>
      <c r="M79" s="21">
        <v>90.510155415039009</v>
      </c>
      <c r="N79" s="21">
        <f>J79*Supuestos!$B$7+K79*Supuestos!$B$8+L79*Supuestos!$B$9+M79*Supuestos!$B$10</f>
        <v>86.51901047349898</v>
      </c>
      <c r="O79" s="34" t="str">
        <f t="shared" si="1"/>
        <v>A</v>
      </c>
      <c r="P79" s="10" t="s">
        <v>447</v>
      </c>
      <c r="Q79" s="10" t="s">
        <v>441</v>
      </c>
    </row>
    <row r="80" spans="1:17">
      <c r="A80" s="10" t="s">
        <v>119</v>
      </c>
      <c r="B80" s="10" t="s">
        <v>120</v>
      </c>
      <c r="C80" s="10" t="s">
        <v>121</v>
      </c>
      <c r="D80" s="10" t="s">
        <v>103</v>
      </c>
      <c r="E80" s="10" t="s">
        <v>484</v>
      </c>
      <c r="F80" s="11">
        <v>240532.37</v>
      </c>
      <c r="G80" s="11">
        <v>1945343.76</v>
      </c>
      <c r="H80" s="12">
        <v>0.12364517544320282</v>
      </c>
      <c r="I80" s="10">
        <v>3</v>
      </c>
      <c r="J80" s="21">
        <v>100</v>
      </c>
      <c r="K80" s="21">
        <v>90</v>
      </c>
      <c r="L80" s="21">
        <v>80</v>
      </c>
      <c r="M80" s="21">
        <v>72.5</v>
      </c>
      <c r="N80" s="21">
        <f>J80*Supuestos!$B$7+K80*Supuestos!$B$8+L80*Supuestos!$B$9+M80*Supuestos!$B$10</f>
        <v>86.5</v>
      </c>
      <c r="O80" s="34" t="str">
        <f t="shared" si="1"/>
        <v>A</v>
      </c>
      <c r="P80" s="10" t="s">
        <v>435</v>
      </c>
      <c r="Q80" s="10" t="s">
        <v>441</v>
      </c>
    </row>
    <row r="81" spans="1:17">
      <c r="A81" s="10" t="s">
        <v>215</v>
      </c>
      <c r="B81" s="10" t="s">
        <v>60</v>
      </c>
      <c r="C81" s="10" t="s">
        <v>216</v>
      </c>
      <c r="D81" s="10" t="s">
        <v>103</v>
      </c>
      <c r="E81" s="10" t="s">
        <v>464</v>
      </c>
      <c r="F81" s="11">
        <v>95654.720000000001</v>
      </c>
      <c r="G81" s="11">
        <v>656576.77</v>
      </c>
      <c r="H81" s="12">
        <v>0.14568702609743284</v>
      </c>
      <c r="I81" s="10">
        <v>2</v>
      </c>
      <c r="J81" s="21">
        <v>100</v>
      </c>
      <c r="K81" s="21">
        <v>74.999999999999986</v>
      </c>
      <c r="L81" s="21">
        <v>80</v>
      </c>
      <c r="M81" s="21">
        <v>94.993714604403294</v>
      </c>
      <c r="N81" s="21">
        <f>J81*Supuestos!$B$7+K81*Supuestos!$B$8+L81*Supuestos!$B$9+M81*Supuestos!$B$10</f>
        <v>86.498742920880659</v>
      </c>
      <c r="O81" s="34" t="str">
        <f t="shared" si="1"/>
        <v>A</v>
      </c>
      <c r="P81" s="10" t="s">
        <v>447</v>
      </c>
      <c r="Q81" s="10" t="s">
        <v>436</v>
      </c>
    </row>
    <row r="82" spans="1:17">
      <c r="A82" s="10" t="s">
        <v>111</v>
      </c>
      <c r="B82" s="10" t="s">
        <v>73</v>
      </c>
      <c r="C82" s="10" t="s">
        <v>418</v>
      </c>
      <c r="D82" s="10" t="s">
        <v>103</v>
      </c>
      <c r="E82" s="10" t="s">
        <v>464</v>
      </c>
      <c r="F82" s="11">
        <v>58434.43</v>
      </c>
      <c r="G82" s="11">
        <v>642203.68000000005</v>
      </c>
      <c r="H82" s="12">
        <v>9.0990499534739061E-2</v>
      </c>
      <c r="I82" s="10">
        <v>3</v>
      </c>
      <c r="J82" s="21">
        <v>100</v>
      </c>
      <c r="K82" s="21">
        <v>75.000000000000014</v>
      </c>
      <c r="L82" s="21">
        <v>80</v>
      </c>
      <c r="M82" s="21">
        <v>94.993714604403294</v>
      </c>
      <c r="N82" s="21">
        <f>J82*Supuestos!$B$7+K82*Supuestos!$B$8+L82*Supuestos!$B$9+M82*Supuestos!$B$10</f>
        <v>86.498742920880659</v>
      </c>
      <c r="O82" s="34" t="str">
        <f t="shared" si="1"/>
        <v>A</v>
      </c>
      <c r="P82" s="10" t="s">
        <v>447</v>
      </c>
      <c r="Q82" s="10" t="s">
        <v>436</v>
      </c>
    </row>
    <row r="83" spans="1:17">
      <c r="A83" s="10" t="s">
        <v>215</v>
      </c>
      <c r="B83" s="10" t="s">
        <v>60</v>
      </c>
      <c r="C83" s="10" t="s">
        <v>332</v>
      </c>
      <c r="D83" s="10" t="s">
        <v>103</v>
      </c>
      <c r="E83" s="10" t="s">
        <v>464</v>
      </c>
      <c r="F83" s="11">
        <v>52758.92</v>
      </c>
      <c r="G83" s="11">
        <v>251755.6</v>
      </c>
      <c r="H83" s="12">
        <v>0.20956404128282854</v>
      </c>
      <c r="I83" s="10">
        <v>2</v>
      </c>
      <c r="J83" s="21">
        <v>100</v>
      </c>
      <c r="K83" s="21">
        <v>75</v>
      </c>
      <c r="L83" s="21">
        <v>80</v>
      </c>
      <c r="M83" s="21">
        <v>94.993714604403294</v>
      </c>
      <c r="N83" s="21">
        <f>J83*Supuestos!$B$7+K83*Supuestos!$B$8+L83*Supuestos!$B$9+M83*Supuestos!$B$10</f>
        <v>86.498742920880659</v>
      </c>
      <c r="O83" s="34" t="str">
        <f t="shared" si="1"/>
        <v>A</v>
      </c>
      <c r="P83" s="10" t="s">
        <v>447</v>
      </c>
      <c r="Q83" s="10" t="s">
        <v>436</v>
      </c>
    </row>
    <row r="84" spans="1:17">
      <c r="A84" s="10" t="s">
        <v>215</v>
      </c>
      <c r="B84" s="10" t="s">
        <v>60</v>
      </c>
      <c r="C84" s="10" t="s">
        <v>410</v>
      </c>
      <c r="D84" s="10" t="s">
        <v>103</v>
      </c>
      <c r="E84" s="10" t="s">
        <v>464</v>
      </c>
      <c r="F84" s="11">
        <v>27333.02</v>
      </c>
      <c r="G84" s="11">
        <v>273779.84999999998</v>
      </c>
      <c r="H84" s="12">
        <v>9.9835745674086804E-2</v>
      </c>
      <c r="I84" s="10">
        <v>3</v>
      </c>
      <c r="J84" s="21">
        <v>100</v>
      </c>
      <c r="K84" s="21">
        <v>74.999999999999986</v>
      </c>
      <c r="L84" s="21">
        <v>80</v>
      </c>
      <c r="M84" s="21">
        <v>94.993714604403294</v>
      </c>
      <c r="N84" s="21">
        <f>J84*Supuestos!$B$7+K84*Supuestos!$B$8+L84*Supuestos!$B$9+M84*Supuestos!$B$10</f>
        <v>86.498742920880659</v>
      </c>
      <c r="O84" s="34" t="str">
        <f t="shared" si="1"/>
        <v>A</v>
      </c>
      <c r="P84" s="10" t="s">
        <v>447</v>
      </c>
      <c r="Q84" s="10" t="s">
        <v>436</v>
      </c>
    </row>
    <row r="85" spans="1:17">
      <c r="A85" s="10" t="s">
        <v>101</v>
      </c>
      <c r="B85" s="10" t="s">
        <v>60</v>
      </c>
      <c r="C85" s="10" t="s">
        <v>342</v>
      </c>
      <c r="D85" s="10" t="s">
        <v>103</v>
      </c>
      <c r="E85" s="10" t="s">
        <v>464</v>
      </c>
      <c r="F85" s="11">
        <v>17589.5</v>
      </c>
      <c r="G85" s="11">
        <v>95640.54</v>
      </c>
      <c r="H85" s="12">
        <v>0.18391255587053396</v>
      </c>
      <c r="I85" s="10">
        <v>3</v>
      </c>
      <c r="J85" s="21">
        <v>100</v>
      </c>
      <c r="K85" s="21">
        <v>74.999999999999986</v>
      </c>
      <c r="L85" s="21">
        <v>80</v>
      </c>
      <c r="M85" s="21">
        <v>94.993714604403294</v>
      </c>
      <c r="N85" s="21">
        <f>J85*Supuestos!$B$7+K85*Supuestos!$B$8+L85*Supuestos!$B$9+M85*Supuestos!$B$10</f>
        <v>86.498742920880659</v>
      </c>
      <c r="O85" s="34" t="str">
        <f t="shared" si="1"/>
        <v>A</v>
      </c>
      <c r="P85" s="10" t="s">
        <v>447</v>
      </c>
      <c r="Q85" s="10" t="s">
        <v>436</v>
      </c>
    </row>
    <row r="86" spans="1:17">
      <c r="A86" s="10" t="s">
        <v>111</v>
      </c>
      <c r="B86" s="10" t="s">
        <v>60</v>
      </c>
      <c r="C86" s="10" t="s">
        <v>377</v>
      </c>
      <c r="D86" s="10" t="s">
        <v>103</v>
      </c>
      <c r="E86" s="10" t="s">
        <v>464</v>
      </c>
      <c r="F86" s="11">
        <v>7155.92</v>
      </c>
      <c r="G86" s="11">
        <v>67968.179999999993</v>
      </c>
      <c r="H86" s="12">
        <v>0.10528341790002137</v>
      </c>
      <c r="I86" s="10">
        <v>5</v>
      </c>
      <c r="J86" s="21">
        <v>100</v>
      </c>
      <c r="K86" s="21">
        <v>75</v>
      </c>
      <c r="L86" s="21">
        <v>80</v>
      </c>
      <c r="M86" s="21">
        <v>94.993714604403294</v>
      </c>
      <c r="N86" s="21">
        <f>J86*Supuestos!$B$7+K86*Supuestos!$B$8+L86*Supuestos!$B$9+M86*Supuestos!$B$10</f>
        <v>86.498742920880659</v>
      </c>
      <c r="O86" s="34" t="str">
        <f t="shared" si="1"/>
        <v>A</v>
      </c>
      <c r="P86" s="10" t="s">
        <v>447</v>
      </c>
      <c r="Q86" s="10" t="s">
        <v>436</v>
      </c>
    </row>
    <row r="87" spans="1:17">
      <c r="A87" s="10" t="s">
        <v>111</v>
      </c>
      <c r="B87" s="10" t="s">
        <v>69</v>
      </c>
      <c r="C87" s="10" t="s">
        <v>309</v>
      </c>
      <c r="D87" s="10" t="s">
        <v>103</v>
      </c>
      <c r="E87" s="10" t="s">
        <v>151</v>
      </c>
      <c r="F87" s="11">
        <v>82474.460000000006</v>
      </c>
      <c r="G87" s="11">
        <v>712220.68</v>
      </c>
      <c r="H87" s="12">
        <v>0.11579902314292619</v>
      </c>
      <c r="I87" s="10">
        <v>2</v>
      </c>
      <c r="J87" s="21">
        <v>100</v>
      </c>
      <c r="K87" s="21">
        <v>75.735001371624918</v>
      </c>
      <c r="L87" s="21">
        <v>80</v>
      </c>
      <c r="M87" s="21">
        <v>93.580645922060057</v>
      </c>
      <c r="N87" s="21">
        <f>J87*Supuestos!$B$7+K87*Supuestos!$B$8+L87*Supuestos!$B$9+M87*Supuestos!$B$10</f>
        <v>86.43662959589949</v>
      </c>
      <c r="O87" s="34" t="str">
        <f t="shared" si="1"/>
        <v>A</v>
      </c>
      <c r="P87" s="10" t="s">
        <v>447</v>
      </c>
      <c r="Q87" s="10" t="s">
        <v>436</v>
      </c>
    </row>
    <row r="88" spans="1:17">
      <c r="A88" s="10" t="s">
        <v>111</v>
      </c>
      <c r="B88" s="10" t="s">
        <v>73</v>
      </c>
      <c r="C88" s="10" t="s">
        <v>418</v>
      </c>
      <c r="D88" s="10" t="s">
        <v>103</v>
      </c>
      <c r="E88" s="10" t="s">
        <v>193</v>
      </c>
      <c r="F88" s="11">
        <v>37504.949999999997</v>
      </c>
      <c r="G88" s="11">
        <v>642203.68000000005</v>
      </c>
      <c r="H88" s="12">
        <v>5.8400400496618168E-2</v>
      </c>
      <c r="I88" s="10">
        <v>7</v>
      </c>
      <c r="J88" s="21">
        <v>100</v>
      </c>
      <c r="K88" s="21">
        <v>94.450948021411762</v>
      </c>
      <c r="L88" s="21">
        <v>55</v>
      </c>
      <c r="M88" s="21">
        <v>96.676367126980296</v>
      </c>
      <c r="N88" s="21">
        <f>J88*Supuestos!$B$7+K88*Supuestos!$B$8+L88*Supuestos!$B$9+M88*Supuestos!$B$10</f>
        <v>86.420557831819593</v>
      </c>
      <c r="O88" s="34" t="str">
        <f t="shared" si="1"/>
        <v>A</v>
      </c>
      <c r="P88" s="10" t="s">
        <v>435</v>
      </c>
      <c r="Q88" s="10" t="s">
        <v>441</v>
      </c>
    </row>
    <row r="89" spans="1:17">
      <c r="A89" s="10" t="s">
        <v>101</v>
      </c>
      <c r="B89" s="10" t="s">
        <v>60</v>
      </c>
      <c r="C89" s="10" t="s">
        <v>299</v>
      </c>
      <c r="D89" s="10" t="s">
        <v>127</v>
      </c>
      <c r="E89" s="10" t="s">
        <v>462</v>
      </c>
      <c r="F89" s="11">
        <v>3439.85</v>
      </c>
      <c r="G89" s="11">
        <v>26435.84</v>
      </c>
      <c r="H89" s="12">
        <v>0.13012053893561401</v>
      </c>
      <c r="I89" s="10">
        <v>3</v>
      </c>
      <c r="J89" s="21">
        <v>85</v>
      </c>
      <c r="K89" s="21">
        <v>90</v>
      </c>
      <c r="L89" s="21">
        <v>80</v>
      </c>
      <c r="M89" s="21">
        <v>90.510155415039009</v>
      </c>
      <c r="N89" s="21">
        <f>J89*Supuestos!$B$7+K89*Supuestos!$B$8+L89*Supuestos!$B$9+M89*Supuestos!$B$10</f>
        <v>86.352031083007802</v>
      </c>
      <c r="O89" s="34" t="str">
        <f t="shared" si="1"/>
        <v>A</v>
      </c>
      <c r="P89" s="10" t="s">
        <v>435</v>
      </c>
      <c r="Q89" s="10" t="s">
        <v>441</v>
      </c>
    </row>
    <row r="90" spans="1:17">
      <c r="A90" s="10" t="s">
        <v>111</v>
      </c>
      <c r="B90" s="10" t="s">
        <v>65</v>
      </c>
      <c r="C90" s="10" t="s">
        <v>144</v>
      </c>
      <c r="D90" s="10" t="s">
        <v>103</v>
      </c>
      <c r="E90" s="10" t="s">
        <v>213</v>
      </c>
      <c r="F90" s="11">
        <v>276601.13</v>
      </c>
      <c r="G90" s="11">
        <v>2550637.33</v>
      </c>
      <c r="H90" s="12">
        <v>0.10844392919322046</v>
      </c>
      <c r="I90" s="10">
        <v>3</v>
      </c>
      <c r="J90" s="21">
        <v>100</v>
      </c>
      <c r="K90" s="21">
        <v>75</v>
      </c>
      <c r="L90" s="21">
        <v>80</v>
      </c>
      <c r="M90" s="21">
        <v>93.75</v>
      </c>
      <c r="N90" s="21">
        <f>J90*Supuestos!$B$7+K90*Supuestos!$B$8+L90*Supuestos!$B$9+M90*Supuestos!$B$10</f>
        <v>86.25</v>
      </c>
      <c r="O90" s="34" t="str">
        <f t="shared" si="1"/>
        <v>A</v>
      </c>
      <c r="P90" s="10" t="s">
        <v>447</v>
      </c>
      <c r="Q90" s="10" t="s">
        <v>436</v>
      </c>
    </row>
    <row r="91" spans="1:17">
      <c r="A91" s="10" t="s">
        <v>165</v>
      </c>
      <c r="B91" s="10" t="s">
        <v>60</v>
      </c>
      <c r="C91" s="10" t="s">
        <v>166</v>
      </c>
      <c r="D91" s="10" t="s">
        <v>103</v>
      </c>
      <c r="E91" s="10" t="s">
        <v>213</v>
      </c>
      <c r="F91" s="11">
        <v>111821.03</v>
      </c>
      <c r="G91" s="11">
        <v>929838.13</v>
      </c>
      <c r="H91" s="12">
        <v>0.12025859614147692</v>
      </c>
      <c r="I91" s="10">
        <v>2</v>
      </c>
      <c r="J91" s="21">
        <v>100</v>
      </c>
      <c r="K91" s="21">
        <v>74.999999999999986</v>
      </c>
      <c r="L91" s="21">
        <v>80</v>
      </c>
      <c r="M91" s="21">
        <v>93.75</v>
      </c>
      <c r="N91" s="21">
        <f>J91*Supuestos!$B$7+K91*Supuestos!$B$8+L91*Supuestos!$B$9+M91*Supuestos!$B$10</f>
        <v>86.25</v>
      </c>
      <c r="O91" s="34" t="str">
        <f t="shared" si="1"/>
        <v>A</v>
      </c>
      <c r="P91" s="10" t="s">
        <v>447</v>
      </c>
      <c r="Q91" s="10" t="s">
        <v>436</v>
      </c>
    </row>
    <row r="92" spans="1:17">
      <c r="A92" s="10" t="s">
        <v>275</v>
      </c>
      <c r="B92" s="10" t="s">
        <v>71</v>
      </c>
      <c r="C92" s="10" t="s">
        <v>316</v>
      </c>
      <c r="D92" s="10" t="s">
        <v>103</v>
      </c>
      <c r="E92" s="10" t="s">
        <v>213</v>
      </c>
      <c r="F92" s="11">
        <v>87891.19</v>
      </c>
      <c r="G92" s="11">
        <v>1083764</v>
      </c>
      <c r="H92" s="12">
        <v>8.1098088973813334E-2</v>
      </c>
      <c r="I92" s="10">
        <v>3</v>
      </c>
      <c r="J92" s="21">
        <v>100</v>
      </c>
      <c r="K92" s="21">
        <v>75</v>
      </c>
      <c r="L92" s="21">
        <v>80</v>
      </c>
      <c r="M92" s="21">
        <v>93.75</v>
      </c>
      <c r="N92" s="21">
        <f>J92*Supuestos!$B$7+K92*Supuestos!$B$8+L92*Supuestos!$B$9+M92*Supuestos!$B$10</f>
        <v>86.25</v>
      </c>
      <c r="O92" s="34" t="str">
        <f t="shared" si="1"/>
        <v>A</v>
      </c>
      <c r="P92" s="10" t="s">
        <v>447</v>
      </c>
      <c r="Q92" s="10" t="s">
        <v>436</v>
      </c>
    </row>
    <row r="93" spans="1:17">
      <c r="A93" s="10" t="s">
        <v>165</v>
      </c>
      <c r="B93" s="10" t="s">
        <v>60</v>
      </c>
      <c r="C93" s="10" t="s">
        <v>302</v>
      </c>
      <c r="D93" s="10" t="s">
        <v>103</v>
      </c>
      <c r="E93" s="10" t="s">
        <v>213</v>
      </c>
      <c r="F93" s="11">
        <v>74132.740000000005</v>
      </c>
      <c r="G93" s="11">
        <v>357771.85</v>
      </c>
      <c r="H93" s="12">
        <v>0.20720674033562356</v>
      </c>
      <c r="I93" s="10">
        <v>2</v>
      </c>
      <c r="J93" s="21">
        <v>100</v>
      </c>
      <c r="K93" s="21">
        <v>75</v>
      </c>
      <c r="L93" s="21">
        <v>80</v>
      </c>
      <c r="M93" s="21">
        <v>93.75</v>
      </c>
      <c r="N93" s="21">
        <f>J93*Supuestos!$B$7+K93*Supuestos!$B$8+L93*Supuestos!$B$9+M93*Supuestos!$B$10</f>
        <v>86.25</v>
      </c>
      <c r="O93" s="34" t="str">
        <f t="shared" si="1"/>
        <v>A</v>
      </c>
      <c r="P93" s="10" t="s">
        <v>447</v>
      </c>
      <c r="Q93" s="10" t="s">
        <v>436</v>
      </c>
    </row>
    <row r="94" spans="1:17">
      <c r="A94" s="10" t="s">
        <v>255</v>
      </c>
      <c r="B94" s="10" t="s">
        <v>60</v>
      </c>
      <c r="C94" s="10" t="s">
        <v>256</v>
      </c>
      <c r="D94" s="10" t="s">
        <v>103</v>
      </c>
      <c r="E94" s="10" t="s">
        <v>213</v>
      </c>
      <c r="F94" s="11">
        <v>61160.15</v>
      </c>
      <c r="G94" s="11">
        <v>351341.95</v>
      </c>
      <c r="H94" s="12">
        <v>0.17407584414506058</v>
      </c>
      <c r="I94" s="10">
        <v>2</v>
      </c>
      <c r="J94" s="21">
        <v>100</v>
      </c>
      <c r="K94" s="21">
        <v>75.000000000000014</v>
      </c>
      <c r="L94" s="21">
        <v>80</v>
      </c>
      <c r="M94" s="21">
        <v>93.75</v>
      </c>
      <c r="N94" s="21">
        <f>J94*Supuestos!$B$7+K94*Supuestos!$B$8+L94*Supuestos!$B$9+M94*Supuestos!$B$10</f>
        <v>86.25</v>
      </c>
      <c r="O94" s="34" t="str">
        <f t="shared" si="1"/>
        <v>A</v>
      </c>
      <c r="P94" s="10" t="s">
        <v>447</v>
      </c>
      <c r="Q94" s="10" t="s">
        <v>436</v>
      </c>
    </row>
    <row r="95" spans="1:17">
      <c r="A95" s="10" t="s">
        <v>111</v>
      </c>
      <c r="B95" s="10" t="s">
        <v>60</v>
      </c>
      <c r="C95" s="10" t="s">
        <v>377</v>
      </c>
      <c r="D95" s="10" t="s">
        <v>103</v>
      </c>
      <c r="E95" s="10" t="s">
        <v>213</v>
      </c>
      <c r="F95" s="11">
        <v>13626.58</v>
      </c>
      <c r="G95" s="11">
        <v>67968.179999999993</v>
      </c>
      <c r="H95" s="12">
        <v>0.20048477914636845</v>
      </c>
      <c r="I95" s="10">
        <v>2</v>
      </c>
      <c r="J95" s="21">
        <v>100</v>
      </c>
      <c r="K95" s="21">
        <v>75</v>
      </c>
      <c r="L95" s="21">
        <v>80</v>
      </c>
      <c r="M95" s="21">
        <v>93.75</v>
      </c>
      <c r="N95" s="21">
        <f>J95*Supuestos!$B$7+K95*Supuestos!$B$8+L95*Supuestos!$B$9+M95*Supuestos!$B$10</f>
        <v>86.25</v>
      </c>
      <c r="O95" s="34" t="str">
        <f t="shared" si="1"/>
        <v>A</v>
      </c>
      <c r="P95" s="10" t="s">
        <v>447</v>
      </c>
      <c r="Q95" s="10" t="s">
        <v>436</v>
      </c>
    </row>
    <row r="96" spans="1:17">
      <c r="A96" s="10" t="s">
        <v>111</v>
      </c>
      <c r="B96" s="10" t="s">
        <v>402</v>
      </c>
      <c r="C96" s="10" t="s">
        <v>403</v>
      </c>
      <c r="D96" s="10" t="s">
        <v>103</v>
      </c>
      <c r="E96" s="10" t="s">
        <v>213</v>
      </c>
      <c r="F96" s="11">
        <v>13551.62</v>
      </c>
      <c r="G96" s="11">
        <v>121345.92</v>
      </c>
      <c r="H96" s="12">
        <v>0.1116775635360559</v>
      </c>
      <c r="I96" s="10">
        <v>4</v>
      </c>
      <c r="J96" s="21">
        <v>100</v>
      </c>
      <c r="K96" s="21">
        <v>75</v>
      </c>
      <c r="L96" s="21">
        <v>80</v>
      </c>
      <c r="M96" s="21">
        <v>93.75</v>
      </c>
      <c r="N96" s="21">
        <f>J96*Supuestos!$B$7+K96*Supuestos!$B$8+L96*Supuestos!$B$9+M96*Supuestos!$B$10</f>
        <v>86.25</v>
      </c>
      <c r="O96" s="34" t="str">
        <f t="shared" si="1"/>
        <v>A</v>
      </c>
      <c r="P96" s="10" t="s">
        <v>447</v>
      </c>
      <c r="Q96" s="10" t="s">
        <v>436</v>
      </c>
    </row>
    <row r="97" spans="1:17">
      <c r="A97" s="10" t="s">
        <v>101</v>
      </c>
      <c r="B97" s="10" t="s">
        <v>60</v>
      </c>
      <c r="C97" s="10" t="s">
        <v>200</v>
      </c>
      <c r="D97" s="10" t="s">
        <v>103</v>
      </c>
      <c r="E97" s="10" t="s">
        <v>213</v>
      </c>
      <c r="F97" s="11">
        <v>2101.4299999999998</v>
      </c>
      <c r="G97" s="11">
        <v>8807.1</v>
      </c>
      <c r="H97" s="12">
        <v>0.23860670726294675</v>
      </c>
      <c r="I97" s="10">
        <v>3</v>
      </c>
      <c r="J97" s="21">
        <v>100</v>
      </c>
      <c r="K97" s="21">
        <v>75</v>
      </c>
      <c r="L97" s="21">
        <v>80</v>
      </c>
      <c r="M97" s="21">
        <v>93.75</v>
      </c>
      <c r="N97" s="21">
        <f>J97*Supuestos!$B$7+K97*Supuestos!$B$8+L97*Supuestos!$B$9+M97*Supuestos!$B$10</f>
        <v>86.25</v>
      </c>
      <c r="O97" s="34" t="str">
        <f t="shared" si="1"/>
        <v>A</v>
      </c>
      <c r="P97" s="10" t="s">
        <v>447</v>
      </c>
      <c r="Q97" s="10" t="s">
        <v>436</v>
      </c>
    </row>
    <row r="98" spans="1:17">
      <c r="A98" s="10" t="s">
        <v>119</v>
      </c>
      <c r="B98" s="10" t="s">
        <v>171</v>
      </c>
      <c r="C98" s="10" t="s">
        <v>231</v>
      </c>
      <c r="D98" s="10" t="s">
        <v>103</v>
      </c>
      <c r="E98" s="10" t="s">
        <v>213</v>
      </c>
      <c r="F98" s="11">
        <v>1290.8800000000001</v>
      </c>
      <c r="G98" s="11">
        <v>52325.68</v>
      </c>
      <c r="H98" s="12">
        <v>2.4670109007458408E-2</v>
      </c>
      <c r="I98" s="10">
        <v>2</v>
      </c>
      <c r="J98" s="21">
        <v>100</v>
      </c>
      <c r="K98" s="21">
        <v>75</v>
      </c>
      <c r="L98" s="21">
        <v>80</v>
      </c>
      <c r="M98" s="21">
        <v>93.75</v>
      </c>
      <c r="N98" s="21">
        <f>J98*Supuestos!$B$7+K98*Supuestos!$B$8+L98*Supuestos!$B$9+M98*Supuestos!$B$10</f>
        <v>86.25</v>
      </c>
      <c r="O98" s="34" t="str">
        <f t="shared" si="1"/>
        <v>A</v>
      </c>
      <c r="P98" s="10" t="s">
        <v>447</v>
      </c>
      <c r="Q98" s="10" t="s">
        <v>436</v>
      </c>
    </row>
    <row r="99" spans="1:17">
      <c r="A99" s="10" t="s">
        <v>111</v>
      </c>
      <c r="B99" s="10" t="s">
        <v>65</v>
      </c>
      <c r="C99" s="10" t="s">
        <v>138</v>
      </c>
      <c r="D99" s="10" t="s">
        <v>103</v>
      </c>
      <c r="E99" s="10" t="s">
        <v>151</v>
      </c>
      <c r="F99" s="11">
        <v>251359.49</v>
      </c>
      <c r="G99" s="11">
        <v>1574650.7</v>
      </c>
      <c r="H99" s="12">
        <v>0.15962873145251541</v>
      </c>
      <c r="I99" s="10">
        <v>3</v>
      </c>
      <c r="J99" s="21">
        <v>100</v>
      </c>
      <c r="K99" s="21">
        <v>75</v>
      </c>
      <c r="L99" s="21">
        <v>80</v>
      </c>
      <c r="M99" s="21">
        <v>93.580645922060057</v>
      </c>
      <c r="N99" s="21">
        <f>J99*Supuestos!$B$7+K99*Supuestos!$B$8+L99*Supuestos!$B$9+M99*Supuestos!$B$10</f>
        <v>86.216129184412011</v>
      </c>
      <c r="O99" s="34" t="str">
        <f t="shared" si="1"/>
        <v>A</v>
      </c>
      <c r="P99" s="10" t="s">
        <v>447</v>
      </c>
      <c r="Q99" s="10" t="s">
        <v>436</v>
      </c>
    </row>
    <row r="100" spans="1:17">
      <c r="A100" s="10" t="s">
        <v>255</v>
      </c>
      <c r="B100" s="10" t="s">
        <v>60</v>
      </c>
      <c r="C100" s="10" t="s">
        <v>350</v>
      </c>
      <c r="D100" s="10" t="s">
        <v>103</v>
      </c>
      <c r="E100" s="10" t="s">
        <v>151</v>
      </c>
      <c r="F100" s="11">
        <v>64974.7</v>
      </c>
      <c r="G100" s="11">
        <v>313399.28999999998</v>
      </c>
      <c r="H100" s="12">
        <v>0.20732241802090509</v>
      </c>
      <c r="I100" s="10">
        <v>2</v>
      </c>
      <c r="J100" s="21">
        <v>100</v>
      </c>
      <c r="K100" s="21">
        <v>75</v>
      </c>
      <c r="L100" s="21">
        <v>80</v>
      </c>
      <c r="M100" s="21">
        <v>93.580645922060057</v>
      </c>
      <c r="N100" s="21">
        <f>J100*Supuestos!$B$7+K100*Supuestos!$B$8+L100*Supuestos!$B$9+M100*Supuestos!$B$10</f>
        <v>86.216129184412011</v>
      </c>
      <c r="O100" s="34" t="str">
        <f t="shared" si="1"/>
        <v>A</v>
      </c>
      <c r="P100" s="10" t="s">
        <v>447</v>
      </c>
      <c r="Q100" s="10" t="s">
        <v>436</v>
      </c>
    </row>
    <row r="101" spans="1:17">
      <c r="A101" s="10" t="s">
        <v>119</v>
      </c>
      <c r="B101" s="10" t="s">
        <v>383</v>
      </c>
      <c r="C101" s="10" t="s">
        <v>384</v>
      </c>
      <c r="D101" s="10" t="s">
        <v>103</v>
      </c>
      <c r="E101" s="10" t="s">
        <v>151</v>
      </c>
      <c r="F101" s="11">
        <v>48699.88</v>
      </c>
      <c r="G101" s="11">
        <v>574829.68000000005</v>
      </c>
      <c r="H101" s="12">
        <v>8.4720535387361462E-2</v>
      </c>
      <c r="I101" s="10">
        <v>3</v>
      </c>
      <c r="J101" s="21">
        <v>100</v>
      </c>
      <c r="K101" s="21">
        <v>74.999999999999986</v>
      </c>
      <c r="L101" s="21">
        <v>80</v>
      </c>
      <c r="M101" s="21">
        <v>93.580645922060057</v>
      </c>
      <c r="N101" s="21">
        <f>J101*Supuestos!$B$7+K101*Supuestos!$B$8+L101*Supuestos!$B$9+M101*Supuestos!$B$10</f>
        <v>86.216129184412011</v>
      </c>
      <c r="O101" s="34" t="str">
        <f t="shared" si="1"/>
        <v>A</v>
      </c>
      <c r="P101" s="10" t="s">
        <v>447</v>
      </c>
      <c r="Q101" s="10" t="s">
        <v>436</v>
      </c>
    </row>
    <row r="102" spans="1:17">
      <c r="A102" s="10" t="s">
        <v>111</v>
      </c>
      <c r="B102" s="10" t="s">
        <v>60</v>
      </c>
      <c r="C102" s="10" t="s">
        <v>208</v>
      </c>
      <c r="D102" s="10" t="s">
        <v>103</v>
      </c>
      <c r="E102" s="10" t="s">
        <v>151</v>
      </c>
      <c r="F102" s="11">
        <v>42663.26</v>
      </c>
      <c r="G102" s="11">
        <v>201558.18</v>
      </c>
      <c r="H102" s="12">
        <v>0.2116672345431351</v>
      </c>
      <c r="I102" s="10">
        <v>2</v>
      </c>
      <c r="J102" s="21">
        <v>100</v>
      </c>
      <c r="K102" s="21">
        <v>75</v>
      </c>
      <c r="L102" s="21">
        <v>80</v>
      </c>
      <c r="M102" s="21">
        <v>93.580645922060057</v>
      </c>
      <c r="N102" s="21">
        <f>J102*Supuestos!$B$7+K102*Supuestos!$B$8+L102*Supuestos!$B$9+M102*Supuestos!$B$10</f>
        <v>86.216129184412011</v>
      </c>
      <c r="O102" s="34" t="str">
        <f t="shared" si="1"/>
        <v>A</v>
      </c>
      <c r="P102" s="10" t="s">
        <v>447</v>
      </c>
      <c r="Q102" s="10" t="s">
        <v>436</v>
      </c>
    </row>
    <row r="103" spans="1:17">
      <c r="A103" s="10" t="s">
        <v>111</v>
      </c>
      <c r="B103" s="10" t="s">
        <v>60</v>
      </c>
      <c r="C103" s="10" t="s">
        <v>339</v>
      </c>
      <c r="D103" s="10" t="s">
        <v>103</v>
      </c>
      <c r="E103" s="10" t="s">
        <v>151</v>
      </c>
      <c r="F103" s="11">
        <v>15640.03</v>
      </c>
      <c r="G103" s="11">
        <v>114879.92</v>
      </c>
      <c r="H103" s="12">
        <v>0.13614245571395303</v>
      </c>
      <c r="I103" s="10">
        <v>2</v>
      </c>
      <c r="J103" s="21">
        <v>100</v>
      </c>
      <c r="K103" s="21">
        <v>75.000000000000014</v>
      </c>
      <c r="L103" s="21">
        <v>80</v>
      </c>
      <c r="M103" s="21">
        <v>93.580645922060057</v>
      </c>
      <c r="N103" s="21">
        <f>J103*Supuestos!$B$7+K103*Supuestos!$B$8+L103*Supuestos!$B$9+M103*Supuestos!$B$10</f>
        <v>86.216129184412011</v>
      </c>
      <c r="O103" s="34" t="str">
        <f t="shared" si="1"/>
        <v>A</v>
      </c>
      <c r="P103" s="10" t="s">
        <v>447</v>
      </c>
      <c r="Q103" s="10" t="s">
        <v>436</v>
      </c>
    </row>
    <row r="104" spans="1:17">
      <c r="A104" s="10" t="s">
        <v>165</v>
      </c>
      <c r="B104" s="10" t="s">
        <v>60</v>
      </c>
      <c r="C104" s="10" t="s">
        <v>166</v>
      </c>
      <c r="D104" s="10" t="s">
        <v>103</v>
      </c>
      <c r="E104" s="10" t="s">
        <v>446</v>
      </c>
      <c r="F104" s="11">
        <v>100632.58</v>
      </c>
      <c r="G104" s="11">
        <v>929838.13</v>
      </c>
      <c r="H104" s="12">
        <v>0.10822591075686409</v>
      </c>
      <c r="I104" s="10">
        <v>3</v>
      </c>
      <c r="J104" s="21">
        <v>100</v>
      </c>
      <c r="K104" s="21">
        <v>74.999999999999986</v>
      </c>
      <c r="L104" s="21">
        <v>80</v>
      </c>
      <c r="M104" s="21">
        <v>93.560509294235828</v>
      </c>
      <c r="N104" s="21">
        <f>J104*Supuestos!$B$7+K104*Supuestos!$B$8+L104*Supuestos!$B$9+M104*Supuestos!$B$10</f>
        <v>86.212101858847163</v>
      </c>
      <c r="O104" s="34" t="str">
        <f t="shared" si="1"/>
        <v>A</v>
      </c>
      <c r="P104" s="10" t="s">
        <v>447</v>
      </c>
      <c r="Q104" s="10" t="s">
        <v>436</v>
      </c>
    </row>
    <row r="105" spans="1:17">
      <c r="A105" s="10" t="s">
        <v>119</v>
      </c>
      <c r="B105" s="10" t="s">
        <v>360</v>
      </c>
      <c r="C105" s="10" t="s">
        <v>361</v>
      </c>
      <c r="D105" s="10" t="s">
        <v>103</v>
      </c>
      <c r="E105" s="10" t="s">
        <v>446</v>
      </c>
      <c r="F105" s="11">
        <v>51373.48</v>
      </c>
      <c r="G105" s="11">
        <v>360957.46</v>
      </c>
      <c r="H105" s="12">
        <v>0.14232558826923028</v>
      </c>
      <c r="I105" s="10">
        <v>3</v>
      </c>
      <c r="J105" s="21">
        <v>100</v>
      </c>
      <c r="K105" s="21">
        <v>74.999999999999986</v>
      </c>
      <c r="L105" s="21">
        <v>80</v>
      </c>
      <c r="M105" s="21">
        <v>93.560509294235828</v>
      </c>
      <c r="N105" s="21">
        <f>J105*Supuestos!$B$7+K105*Supuestos!$B$8+L105*Supuestos!$B$9+M105*Supuestos!$B$10</f>
        <v>86.212101858847163</v>
      </c>
      <c r="O105" s="34" t="str">
        <f t="shared" si="1"/>
        <v>A</v>
      </c>
      <c r="P105" s="10" t="s">
        <v>447</v>
      </c>
      <c r="Q105" s="10" t="s">
        <v>436</v>
      </c>
    </row>
    <row r="106" spans="1:17">
      <c r="A106" s="10" t="s">
        <v>111</v>
      </c>
      <c r="B106" s="10" t="s">
        <v>60</v>
      </c>
      <c r="C106" s="10" t="s">
        <v>208</v>
      </c>
      <c r="D106" s="10" t="s">
        <v>103</v>
      </c>
      <c r="E106" s="10" t="s">
        <v>446</v>
      </c>
      <c r="F106" s="11">
        <v>27583.81</v>
      </c>
      <c r="G106" s="11">
        <v>201558.18</v>
      </c>
      <c r="H106" s="12">
        <v>0.13685285245045686</v>
      </c>
      <c r="I106" s="10">
        <v>4</v>
      </c>
      <c r="J106" s="21">
        <v>100</v>
      </c>
      <c r="K106" s="21">
        <v>75</v>
      </c>
      <c r="L106" s="21">
        <v>80</v>
      </c>
      <c r="M106" s="21">
        <v>93.560509294235828</v>
      </c>
      <c r="N106" s="21">
        <f>J106*Supuestos!$B$7+K106*Supuestos!$B$8+L106*Supuestos!$B$9+M106*Supuestos!$B$10</f>
        <v>86.212101858847163</v>
      </c>
      <c r="O106" s="34" t="str">
        <f t="shared" si="1"/>
        <v>A</v>
      </c>
      <c r="P106" s="10" t="s">
        <v>447</v>
      </c>
      <c r="Q106" s="10" t="s">
        <v>436</v>
      </c>
    </row>
    <row r="107" spans="1:17">
      <c r="A107" s="10" t="s">
        <v>111</v>
      </c>
      <c r="B107" s="10" t="s">
        <v>60</v>
      </c>
      <c r="C107" s="10" t="s">
        <v>377</v>
      </c>
      <c r="D107" s="10" t="s">
        <v>103</v>
      </c>
      <c r="E107" s="10" t="s">
        <v>446</v>
      </c>
      <c r="F107" s="11">
        <v>9044.5</v>
      </c>
      <c r="G107" s="11">
        <v>67968.179999999993</v>
      </c>
      <c r="H107" s="12">
        <v>0.13306965192059803</v>
      </c>
      <c r="I107" s="10">
        <v>4</v>
      </c>
      <c r="J107" s="21">
        <v>100</v>
      </c>
      <c r="K107" s="21">
        <v>75</v>
      </c>
      <c r="L107" s="21">
        <v>80</v>
      </c>
      <c r="M107" s="21">
        <v>93.560509294235828</v>
      </c>
      <c r="N107" s="21">
        <f>J107*Supuestos!$B$7+K107*Supuestos!$B$8+L107*Supuestos!$B$9+M107*Supuestos!$B$10</f>
        <v>86.212101858847163</v>
      </c>
      <c r="O107" s="34" t="str">
        <f t="shared" si="1"/>
        <v>A</v>
      </c>
      <c r="P107" s="10" t="s">
        <v>447</v>
      </c>
      <c r="Q107" s="10" t="s">
        <v>436</v>
      </c>
    </row>
    <row r="108" spans="1:17">
      <c r="A108" s="10" t="s">
        <v>111</v>
      </c>
      <c r="B108" s="10" t="s">
        <v>65</v>
      </c>
      <c r="C108" s="10" t="s">
        <v>144</v>
      </c>
      <c r="D108" s="10" t="s">
        <v>103</v>
      </c>
      <c r="E108" s="10" t="s">
        <v>482</v>
      </c>
      <c r="F108" s="11">
        <v>574576.18000000005</v>
      </c>
      <c r="G108" s="11">
        <v>2550637.33</v>
      </c>
      <c r="H108" s="12">
        <v>0.22526768877418796</v>
      </c>
      <c r="I108" s="10">
        <v>2</v>
      </c>
      <c r="J108" s="21">
        <v>100</v>
      </c>
      <c r="K108" s="21">
        <v>75</v>
      </c>
      <c r="L108" s="21">
        <v>80</v>
      </c>
      <c r="M108" s="21">
        <v>93.52249900213674</v>
      </c>
      <c r="N108" s="21">
        <f>J108*Supuestos!$B$7+K108*Supuestos!$B$8+L108*Supuestos!$B$9+M108*Supuestos!$B$10</f>
        <v>86.204499800427357</v>
      </c>
      <c r="O108" s="34" t="str">
        <f t="shared" si="1"/>
        <v>A</v>
      </c>
      <c r="P108" s="10" t="s">
        <v>447</v>
      </c>
      <c r="Q108" s="10" t="s">
        <v>436</v>
      </c>
    </row>
    <row r="109" spans="1:17">
      <c r="A109" s="10" t="s">
        <v>111</v>
      </c>
      <c r="B109" s="10" t="s">
        <v>65</v>
      </c>
      <c r="C109" s="10" t="s">
        <v>138</v>
      </c>
      <c r="D109" s="10" t="s">
        <v>103</v>
      </c>
      <c r="E109" s="10" t="s">
        <v>482</v>
      </c>
      <c r="F109" s="11">
        <v>259896.88</v>
      </c>
      <c r="G109" s="11">
        <v>1574650.7</v>
      </c>
      <c r="H109" s="12">
        <v>0.16505049564445884</v>
      </c>
      <c r="I109" s="10">
        <v>2</v>
      </c>
      <c r="J109" s="21">
        <v>100</v>
      </c>
      <c r="K109" s="21">
        <v>74.999999999999986</v>
      </c>
      <c r="L109" s="21">
        <v>80</v>
      </c>
      <c r="M109" s="21">
        <v>93.52249900213674</v>
      </c>
      <c r="N109" s="21">
        <f>J109*Supuestos!$B$7+K109*Supuestos!$B$8+L109*Supuestos!$B$9+M109*Supuestos!$B$10</f>
        <v>86.204499800427357</v>
      </c>
      <c r="O109" s="34" t="str">
        <f t="shared" si="1"/>
        <v>A</v>
      </c>
      <c r="P109" s="10" t="s">
        <v>447</v>
      </c>
      <c r="Q109" s="10" t="s">
        <v>436</v>
      </c>
    </row>
    <row r="110" spans="1:17">
      <c r="A110" s="10" t="s">
        <v>275</v>
      </c>
      <c r="B110" s="10" t="s">
        <v>67</v>
      </c>
      <c r="C110" s="10" t="s">
        <v>285</v>
      </c>
      <c r="D110" s="10" t="s">
        <v>103</v>
      </c>
      <c r="E110" s="10" t="s">
        <v>467</v>
      </c>
      <c r="F110" s="11">
        <v>153840.75</v>
      </c>
      <c r="G110" s="11">
        <v>564371.87</v>
      </c>
      <c r="H110" s="12">
        <v>0.27258755789094574</v>
      </c>
      <c r="I110" s="10">
        <v>2</v>
      </c>
      <c r="J110" s="21">
        <v>100</v>
      </c>
      <c r="K110" s="21">
        <v>65</v>
      </c>
      <c r="L110" s="21">
        <v>100</v>
      </c>
      <c r="M110" s="21">
        <v>81.25</v>
      </c>
      <c r="N110" s="21">
        <f>J110*Supuestos!$B$7+K110*Supuestos!$B$8+L110*Supuestos!$B$9+M110*Supuestos!$B$10</f>
        <v>85.75</v>
      </c>
      <c r="O110" s="34" t="str">
        <f t="shared" si="1"/>
        <v>A</v>
      </c>
      <c r="P110" s="10" t="s">
        <v>447</v>
      </c>
      <c r="Q110" s="10" t="s">
        <v>441</v>
      </c>
    </row>
    <row r="111" spans="1:17">
      <c r="A111" s="10" t="s">
        <v>111</v>
      </c>
      <c r="B111" s="10" t="s">
        <v>60</v>
      </c>
      <c r="C111" s="10" t="s">
        <v>180</v>
      </c>
      <c r="D111" s="10" t="s">
        <v>113</v>
      </c>
      <c r="E111" s="10" t="s">
        <v>464</v>
      </c>
      <c r="F111" s="11">
        <v>14549.77</v>
      </c>
      <c r="G111" s="11">
        <v>49477.3</v>
      </c>
      <c r="H111" s="12">
        <v>0.29406950095879519</v>
      </c>
      <c r="I111" s="10">
        <v>2</v>
      </c>
      <c r="J111" s="21">
        <v>75</v>
      </c>
      <c r="K111" s="21">
        <v>75</v>
      </c>
      <c r="L111" s="21">
        <v>100</v>
      </c>
      <c r="M111" s="21">
        <v>94.993714604403294</v>
      </c>
      <c r="N111" s="21">
        <f>J111*Supuestos!$B$7+K111*Supuestos!$B$8+L111*Supuestos!$B$9+M111*Supuestos!$B$10</f>
        <v>85.248742920880659</v>
      </c>
      <c r="O111" s="34" t="str">
        <f t="shared" si="1"/>
        <v>A</v>
      </c>
      <c r="P111" s="10" t="s">
        <v>447</v>
      </c>
      <c r="Q111" s="10" t="s">
        <v>436</v>
      </c>
    </row>
    <row r="112" spans="1:17">
      <c r="A112" s="10" t="s">
        <v>111</v>
      </c>
      <c r="B112" s="10" t="s">
        <v>69</v>
      </c>
      <c r="C112" s="10" t="s">
        <v>309</v>
      </c>
      <c r="D112" s="10" t="s">
        <v>103</v>
      </c>
      <c r="E112" s="10" t="s">
        <v>469</v>
      </c>
      <c r="F112" s="11">
        <v>82358.720000000001</v>
      </c>
      <c r="G112" s="11">
        <v>712220.68</v>
      </c>
      <c r="H112" s="12">
        <v>0.1156365136421045</v>
      </c>
      <c r="I112" s="10">
        <v>3</v>
      </c>
      <c r="J112" s="21">
        <v>100</v>
      </c>
      <c r="K112" s="21">
        <v>71.531563228982833</v>
      </c>
      <c r="L112" s="21">
        <v>80</v>
      </c>
      <c r="M112" s="21">
        <v>93.504836461954255</v>
      </c>
      <c r="N112" s="21">
        <f>J112*Supuestos!$B$7+K112*Supuestos!$B$8+L112*Supuestos!$B$9+M112*Supuestos!$B$10</f>
        <v>85.160436261085707</v>
      </c>
      <c r="O112" s="34" t="str">
        <f t="shared" si="1"/>
        <v>A</v>
      </c>
      <c r="P112" s="10" t="s">
        <v>447</v>
      </c>
      <c r="Q112" s="10" t="s">
        <v>436</v>
      </c>
    </row>
    <row r="113" spans="1:17">
      <c r="A113" s="10" t="s">
        <v>119</v>
      </c>
      <c r="B113" s="10" t="s">
        <v>383</v>
      </c>
      <c r="C113" s="10" t="s">
        <v>384</v>
      </c>
      <c r="D113" s="10" t="s">
        <v>103</v>
      </c>
      <c r="E113" s="10" t="s">
        <v>482</v>
      </c>
      <c r="F113" s="11">
        <v>59542.19</v>
      </c>
      <c r="G113" s="11">
        <v>574829.68000000005</v>
      </c>
      <c r="H113" s="12">
        <v>0.10358231499443225</v>
      </c>
      <c r="I113" s="10">
        <v>2</v>
      </c>
      <c r="J113" s="21">
        <v>100</v>
      </c>
      <c r="K113" s="21">
        <v>71.332765654695478</v>
      </c>
      <c r="L113" s="21">
        <v>80</v>
      </c>
      <c r="M113" s="21">
        <v>93.52249900213674</v>
      </c>
      <c r="N113" s="21">
        <f>J113*Supuestos!$B$7+K113*Supuestos!$B$8+L113*Supuestos!$B$9+M113*Supuestos!$B$10</f>
        <v>85.104329496835987</v>
      </c>
      <c r="O113" s="34" t="str">
        <f t="shared" si="1"/>
        <v>A</v>
      </c>
      <c r="P113" s="10" t="s">
        <v>447</v>
      </c>
      <c r="Q113" s="10" t="s">
        <v>436</v>
      </c>
    </row>
    <row r="114" spans="1:17">
      <c r="A114" s="10" t="s">
        <v>119</v>
      </c>
      <c r="B114" s="10" t="s">
        <v>396</v>
      </c>
      <c r="C114" s="10" t="s">
        <v>397</v>
      </c>
      <c r="D114" s="10" t="s">
        <v>113</v>
      </c>
      <c r="E114" s="10" t="s">
        <v>213</v>
      </c>
      <c r="F114" s="11">
        <v>131816.15</v>
      </c>
      <c r="G114" s="11">
        <v>186817.82</v>
      </c>
      <c r="H114" s="12">
        <v>0.70558658609839453</v>
      </c>
      <c r="I114" s="10">
        <v>1</v>
      </c>
      <c r="J114" s="21">
        <v>75</v>
      </c>
      <c r="K114" s="21">
        <v>74.999999999999986</v>
      </c>
      <c r="L114" s="21">
        <v>100</v>
      </c>
      <c r="M114" s="21">
        <v>93.75</v>
      </c>
      <c r="N114" s="21">
        <f>J114*Supuestos!$B$7+K114*Supuestos!$B$8+L114*Supuestos!$B$9+M114*Supuestos!$B$10</f>
        <v>85</v>
      </c>
      <c r="O114" s="34" t="str">
        <f t="shared" si="1"/>
        <v>A</v>
      </c>
      <c r="P114" s="10" t="s">
        <v>447</v>
      </c>
      <c r="Q114" s="10" t="s">
        <v>436</v>
      </c>
    </row>
    <row r="115" spans="1:17">
      <c r="A115" s="10" t="s">
        <v>111</v>
      </c>
      <c r="B115" s="10" t="s">
        <v>60</v>
      </c>
      <c r="C115" s="10" t="s">
        <v>180</v>
      </c>
      <c r="D115" s="10" t="s">
        <v>113</v>
      </c>
      <c r="E115" s="10" t="s">
        <v>151</v>
      </c>
      <c r="F115" s="11">
        <v>25389.19</v>
      </c>
      <c r="G115" s="11">
        <v>49477.3</v>
      </c>
      <c r="H115" s="12">
        <v>0.51314819800858813</v>
      </c>
      <c r="I115" s="10">
        <v>1</v>
      </c>
      <c r="J115" s="21">
        <v>75</v>
      </c>
      <c r="K115" s="21">
        <v>75</v>
      </c>
      <c r="L115" s="21">
        <v>100</v>
      </c>
      <c r="M115" s="21">
        <v>93.580645922060057</v>
      </c>
      <c r="N115" s="21">
        <f>J115*Supuestos!$B$7+K115*Supuestos!$B$8+L115*Supuestos!$B$9+M115*Supuestos!$B$10</f>
        <v>84.966129184412011</v>
      </c>
      <c r="O115" s="34" t="str">
        <f t="shared" si="1"/>
        <v>A</v>
      </c>
      <c r="P115" s="10" t="s">
        <v>447</v>
      </c>
      <c r="Q115" s="10" t="s">
        <v>436</v>
      </c>
    </row>
    <row r="116" spans="1:17">
      <c r="A116" s="10" t="s">
        <v>111</v>
      </c>
      <c r="B116" s="10" t="s">
        <v>60</v>
      </c>
      <c r="C116" s="10" t="s">
        <v>357</v>
      </c>
      <c r="D116" s="10" t="s">
        <v>113</v>
      </c>
      <c r="E116" s="10" t="s">
        <v>151</v>
      </c>
      <c r="F116" s="11">
        <v>11320.22</v>
      </c>
      <c r="G116" s="11">
        <v>17053.509999999998</v>
      </c>
      <c r="H116" s="12">
        <v>0.66380606594051417</v>
      </c>
      <c r="I116" s="10">
        <v>1</v>
      </c>
      <c r="J116" s="21">
        <v>75</v>
      </c>
      <c r="K116" s="21">
        <v>75</v>
      </c>
      <c r="L116" s="21">
        <v>100</v>
      </c>
      <c r="M116" s="21">
        <v>93.580645922060057</v>
      </c>
      <c r="N116" s="21">
        <f>J116*Supuestos!$B$7+K116*Supuestos!$B$8+L116*Supuestos!$B$9+M116*Supuestos!$B$10</f>
        <v>84.966129184412011</v>
      </c>
      <c r="O116" s="34" t="str">
        <f t="shared" si="1"/>
        <v>A</v>
      </c>
      <c r="P116" s="10" t="s">
        <v>447</v>
      </c>
      <c r="Q116" s="10" t="s">
        <v>436</v>
      </c>
    </row>
    <row r="117" spans="1:17">
      <c r="A117" s="10" t="s">
        <v>111</v>
      </c>
      <c r="B117" s="10" t="s">
        <v>60</v>
      </c>
      <c r="C117" s="10" t="s">
        <v>389</v>
      </c>
      <c r="D117" s="10" t="s">
        <v>113</v>
      </c>
      <c r="E117" s="10" t="s">
        <v>151</v>
      </c>
      <c r="F117" s="11">
        <v>6285.54</v>
      </c>
      <c r="G117" s="11">
        <v>6285.54</v>
      </c>
      <c r="H117" s="12">
        <v>1</v>
      </c>
      <c r="I117" s="10">
        <v>1</v>
      </c>
      <c r="J117" s="21">
        <v>75</v>
      </c>
      <c r="K117" s="21">
        <v>75</v>
      </c>
      <c r="L117" s="21">
        <v>100</v>
      </c>
      <c r="M117" s="21">
        <v>93.580645922060057</v>
      </c>
      <c r="N117" s="21">
        <f>J117*Supuestos!$B$7+K117*Supuestos!$B$8+L117*Supuestos!$B$9+M117*Supuestos!$B$10</f>
        <v>84.966129184412011</v>
      </c>
      <c r="O117" s="34" t="str">
        <f t="shared" si="1"/>
        <v>A</v>
      </c>
      <c r="P117" s="10" t="s">
        <v>447</v>
      </c>
      <c r="Q117" s="10" t="s">
        <v>436</v>
      </c>
    </row>
    <row r="118" spans="1:17">
      <c r="A118" s="10" t="s">
        <v>111</v>
      </c>
      <c r="B118" s="10" t="s">
        <v>227</v>
      </c>
      <c r="C118" s="10" t="s">
        <v>228</v>
      </c>
      <c r="D118" s="10" t="s">
        <v>113</v>
      </c>
      <c r="E118" s="10" t="s">
        <v>469</v>
      </c>
      <c r="F118" s="11">
        <v>98046.399999999994</v>
      </c>
      <c r="G118" s="11">
        <v>112293.14</v>
      </c>
      <c r="H118" s="12">
        <v>0.8731289665908275</v>
      </c>
      <c r="I118" s="10">
        <v>1</v>
      </c>
      <c r="J118" s="21">
        <v>75</v>
      </c>
      <c r="K118" s="21">
        <v>75</v>
      </c>
      <c r="L118" s="21">
        <v>100</v>
      </c>
      <c r="M118" s="21">
        <v>93.504836461954255</v>
      </c>
      <c r="N118" s="21">
        <f>J118*Supuestos!$B$7+K118*Supuestos!$B$8+L118*Supuestos!$B$9+M118*Supuestos!$B$10</f>
        <v>84.950967292390857</v>
      </c>
      <c r="O118" s="34" t="str">
        <f t="shared" si="1"/>
        <v>A</v>
      </c>
      <c r="P118" s="10" t="s">
        <v>447</v>
      </c>
      <c r="Q118" s="10" t="s">
        <v>436</v>
      </c>
    </row>
    <row r="119" spans="1:17">
      <c r="A119" s="10" t="s">
        <v>111</v>
      </c>
      <c r="B119" s="10" t="s">
        <v>227</v>
      </c>
      <c r="C119" s="10" t="s">
        <v>228</v>
      </c>
      <c r="D119" s="10" t="s">
        <v>113</v>
      </c>
      <c r="E119" s="10" t="s">
        <v>482</v>
      </c>
      <c r="F119" s="11">
        <v>7077.27</v>
      </c>
      <c r="G119" s="11">
        <v>112293.14</v>
      </c>
      <c r="H119" s="12">
        <v>6.3024991668824887E-2</v>
      </c>
      <c r="I119" s="10">
        <v>2</v>
      </c>
      <c r="J119" s="21">
        <v>75</v>
      </c>
      <c r="K119" s="21">
        <v>90</v>
      </c>
      <c r="L119" s="21">
        <v>80</v>
      </c>
      <c r="M119" s="21">
        <v>93.52249900213674</v>
      </c>
      <c r="N119" s="21">
        <f>J119*Supuestos!$B$7+K119*Supuestos!$B$8+L119*Supuestos!$B$9+M119*Supuestos!$B$10</f>
        <v>84.454499800427357</v>
      </c>
      <c r="O119" s="34" t="str">
        <f t="shared" si="1"/>
        <v>A</v>
      </c>
      <c r="P119" s="10" t="s">
        <v>435</v>
      </c>
      <c r="Q119" s="10" t="s">
        <v>441</v>
      </c>
    </row>
    <row r="120" spans="1:17">
      <c r="A120" s="10" t="s">
        <v>119</v>
      </c>
      <c r="B120" s="10" t="s">
        <v>186</v>
      </c>
      <c r="C120" s="10" t="s">
        <v>187</v>
      </c>
      <c r="D120" s="10" t="s">
        <v>103</v>
      </c>
      <c r="E120" s="10" t="s">
        <v>466</v>
      </c>
      <c r="F120" s="11">
        <v>27595.59</v>
      </c>
      <c r="G120" s="11">
        <v>159511.35999999999</v>
      </c>
      <c r="H120" s="12">
        <v>0.17300078868708138</v>
      </c>
      <c r="I120" s="10">
        <v>2</v>
      </c>
      <c r="J120" s="21">
        <v>100</v>
      </c>
      <c r="K120" s="21">
        <v>74.999999999999986</v>
      </c>
      <c r="L120" s="21">
        <v>80</v>
      </c>
      <c r="M120" s="21">
        <v>83.75</v>
      </c>
      <c r="N120" s="21">
        <f>J120*Supuestos!$B$7+K120*Supuestos!$B$8+L120*Supuestos!$B$9+M120*Supuestos!$B$10</f>
        <v>84.25</v>
      </c>
      <c r="O120" s="34" t="str">
        <f t="shared" si="1"/>
        <v>A</v>
      </c>
      <c r="P120" s="10" t="s">
        <v>447</v>
      </c>
      <c r="Q120" s="10" t="s">
        <v>436</v>
      </c>
    </row>
    <row r="121" spans="1:17">
      <c r="A121" s="10" t="s">
        <v>111</v>
      </c>
      <c r="B121" s="10" t="s">
        <v>227</v>
      </c>
      <c r="C121" s="10" t="s">
        <v>228</v>
      </c>
      <c r="D121" s="10" t="s">
        <v>113</v>
      </c>
      <c r="E121" s="10" t="s">
        <v>115</v>
      </c>
      <c r="F121" s="11">
        <v>5612.79</v>
      </c>
      <c r="G121" s="11">
        <v>112293.14</v>
      </c>
      <c r="H121" s="12">
        <v>4.9983337649763912E-2</v>
      </c>
      <c r="I121" s="10">
        <v>3</v>
      </c>
      <c r="J121" s="21">
        <v>75</v>
      </c>
      <c r="K121" s="21">
        <v>100</v>
      </c>
      <c r="L121" s="21">
        <v>80</v>
      </c>
      <c r="M121" s="21">
        <v>76.399848561858846</v>
      </c>
      <c r="N121" s="21">
        <f>J121*Supuestos!$B$7+K121*Supuestos!$B$8+L121*Supuestos!$B$9+M121*Supuestos!$B$10</f>
        <v>84.029969712371766</v>
      </c>
      <c r="O121" s="34" t="str">
        <f t="shared" si="1"/>
        <v>A</v>
      </c>
      <c r="P121" s="10" t="s">
        <v>502</v>
      </c>
      <c r="Q121" s="10" t="s">
        <v>436</v>
      </c>
    </row>
    <row r="122" spans="1:17">
      <c r="A122" s="10" t="s">
        <v>101</v>
      </c>
      <c r="B122" s="10" t="s">
        <v>60</v>
      </c>
      <c r="C122" s="10" t="s">
        <v>237</v>
      </c>
      <c r="D122" s="10" t="s">
        <v>127</v>
      </c>
      <c r="E122" s="10" t="s">
        <v>457</v>
      </c>
      <c r="F122" s="11">
        <v>7849.1</v>
      </c>
      <c r="G122" s="11">
        <v>28274.28</v>
      </c>
      <c r="H122" s="12">
        <v>0.27760573349849571</v>
      </c>
      <c r="I122" s="10">
        <v>2</v>
      </c>
      <c r="J122" s="21">
        <v>85</v>
      </c>
      <c r="K122" s="21">
        <v>65</v>
      </c>
      <c r="L122" s="21">
        <v>100</v>
      </c>
      <c r="M122" s="21">
        <v>91.25</v>
      </c>
      <c r="N122" s="21">
        <f>J122*Supuestos!$B$7+K122*Supuestos!$B$8+L122*Supuestos!$B$9+M122*Supuestos!$B$10</f>
        <v>84</v>
      </c>
      <c r="O122" s="34" t="str">
        <f t="shared" si="1"/>
        <v>A</v>
      </c>
      <c r="P122" s="10" t="s">
        <v>447</v>
      </c>
      <c r="Q122" s="10" t="s">
        <v>441</v>
      </c>
    </row>
    <row r="123" spans="1:17">
      <c r="A123" s="10" t="s">
        <v>101</v>
      </c>
      <c r="B123" s="10" t="s">
        <v>60</v>
      </c>
      <c r="C123" s="10" t="s">
        <v>224</v>
      </c>
      <c r="D123" s="10" t="s">
        <v>127</v>
      </c>
      <c r="E123" s="10" t="s">
        <v>225</v>
      </c>
      <c r="F123" s="11">
        <v>827.96</v>
      </c>
      <c r="G123" s="11">
        <v>22669.16</v>
      </c>
      <c r="H123" s="12">
        <v>3.6523654388655284E-2</v>
      </c>
      <c r="I123" s="10">
        <v>3</v>
      </c>
      <c r="J123" s="21">
        <v>85</v>
      </c>
      <c r="K123" s="21">
        <v>90</v>
      </c>
      <c r="L123" s="21">
        <v>80</v>
      </c>
      <c r="M123" s="21">
        <v>77.164146540957958</v>
      </c>
      <c r="N123" s="21">
        <f>J123*Supuestos!$B$7+K123*Supuestos!$B$8+L123*Supuestos!$B$9+M123*Supuestos!$B$10</f>
        <v>83.6828293081916</v>
      </c>
      <c r="O123" s="34" t="str">
        <f t="shared" si="1"/>
        <v>A</v>
      </c>
      <c r="P123" s="10" t="s">
        <v>435</v>
      </c>
      <c r="Q123" s="10" t="s">
        <v>441</v>
      </c>
    </row>
    <row r="124" spans="1:17">
      <c r="A124" s="10" t="s">
        <v>101</v>
      </c>
      <c r="B124" s="10" t="s">
        <v>60</v>
      </c>
      <c r="C124" s="10" t="s">
        <v>237</v>
      </c>
      <c r="D124" s="10" t="s">
        <v>127</v>
      </c>
      <c r="E124" s="10" t="s">
        <v>115</v>
      </c>
      <c r="F124" s="11">
        <v>3143.81</v>
      </c>
      <c r="G124" s="11">
        <v>28274.28</v>
      </c>
      <c r="H124" s="12">
        <v>0.11118975992449712</v>
      </c>
      <c r="I124" s="10">
        <v>3</v>
      </c>
      <c r="J124" s="21">
        <v>85</v>
      </c>
      <c r="K124" s="21">
        <v>90</v>
      </c>
      <c r="L124" s="21">
        <v>80</v>
      </c>
      <c r="M124" s="21">
        <v>76.399848561858846</v>
      </c>
      <c r="N124" s="21">
        <f>J124*Supuestos!$B$7+K124*Supuestos!$B$8+L124*Supuestos!$B$9+M124*Supuestos!$B$10</f>
        <v>83.529969712371766</v>
      </c>
      <c r="O124" s="34" t="str">
        <f t="shared" si="1"/>
        <v>A</v>
      </c>
      <c r="P124" s="10" t="s">
        <v>435</v>
      </c>
      <c r="Q124" s="10" t="s">
        <v>441</v>
      </c>
    </row>
    <row r="125" spans="1:17">
      <c r="A125" s="10" t="s">
        <v>111</v>
      </c>
      <c r="B125" s="10" t="s">
        <v>161</v>
      </c>
      <c r="C125" s="10" t="s">
        <v>414</v>
      </c>
      <c r="D125" s="10" t="s">
        <v>127</v>
      </c>
      <c r="E125" s="10" t="s">
        <v>269</v>
      </c>
      <c r="F125" s="11">
        <v>120215.42</v>
      </c>
      <c r="G125" s="11">
        <v>300503.03000000003</v>
      </c>
      <c r="H125" s="12">
        <v>0.40004728634745124</v>
      </c>
      <c r="I125" s="10">
        <v>1</v>
      </c>
      <c r="J125" s="21">
        <v>85</v>
      </c>
      <c r="K125" s="21">
        <v>75.000000000000014</v>
      </c>
      <c r="L125" s="21">
        <v>100</v>
      </c>
      <c r="M125" s="21">
        <v>73.75</v>
      </c>
      <c r="N125" s="21">
        <f>J125*Supuestos!$B$7+K125*Supuestos!$B$8+L125*Supuestos!$B$9+M125*Supuestos!$B$10</f>
        <v>83.5</v>
      </c>
      <c r="O125" s="34" t="str">
        <f t="shared" si="1"/>
        <v>A</v>
      </c>
      <c r="P125" s="10" t="s">
        <v>447</v>
      </c>
      <c r="Q125" s="10" t="s">
        <v>436</v>
      </c>
    </row>
    <row r="126" spans="1:17">
      <c r="A126" s="10" t="s">
        <v>111</v>
      </c>
      <c r="B126" s="10" t="s">
        <v>161</v>
      </c>
      <c r="C126" s="10" t="s">
        <v>268</v>
      </c>
      <c r="D126" s="10" t="s">
        <v>127</v>
      </c>
      <c r="E126" s="10" t="s">
        <v>269</v>
      </c>
      <c r="F126" s="11">
        <v>12639.12</v>
      </c>
      <c r="G126" s="11">
        <v>21676.53</v>
      </c>
      <c r="H126" s="12">
        <v>0.58307846780615602</v>
      </c>
      <c r="I126" s="10">
        <v>1</v>
      </c>
      <c r="J126" s="21">
        <v>85</v>
      </c>
      <c r="K126" s="21">
        <v>75</v>
      </c>
      <c r="L126" s="21">
        <v>100</v>
      </c>
      <c r="M126" s="21">
        <v>73.75</v>
      </c>
      <c r="N126" s="21">
        <f>J126*Supuestos!$B$7+K126*Supuestos!$B$8+L126*Supuestos!$B$9+M126*Supuestos!$B$10</f>
        <v>83.5</v>
      </c>
      <c r="O126" s="34" t="str">
        <f t="shared" si="1"/>
        <v>A</v>
      </c>
      <c r="P126" s="10" t="s">
        <v>447</v>
      </c>
      <c r="Q126" s="10" t="s">
        <v>436</v>
      </c>
    </row>
    <row r="127" spans="1:17">
      <c r="A127" s="10" t="s">
        <v>111</v>
      </c>
      <c r="B127" s="10" t="s">
        <v>161</v>
      </c>
      <c r="C127" s="10" t="s">
        <v>162</v>
      </c>
      <c r="D127" s="10" t="s">
        <v>127</v>
      </c>
      <c r="E127" s="10" t="s">
        <v>269</v>
      </c>
      <c r="F127" s="11">
        <v>9600.86</v>
      </c>
      <c r="G127" s="11">
        <v>25365.64</v>
      </c>
      <c r="H127" s="12">
        <v>0.37849859519914392</v>
      </c>
      <c r="I127" s="10">
        <v>1</v>
      </c>
      <c r="J127" s="21">
        <v>85</v>
      </c>
      <c r="K127" s="21">
        <v>74.999999999999986</v>
      </c>
      <c r="L127" s="21">
        <v>100</v>
      </c>
      <c r="M127" s="21">
        <v>73.75</v>
      </c>
      <c r="N127" s="21">
        <f>J127*Supuestos!$B$7+K127*Supuestos!$B$8+L127*Supuestos!$B$9+M127*Supuestos!$B$10</f>
        <v>83.5</v>
      </c>
      <c r="O127" s="34" t="str">
        <f t="shared" si="1"/>
        <v>A</v>
      </c>
      <c r="P127" s="10" t="s">
        <v>447</v>
      </c>
      <c r="Q127" s="10" t="s">
        <v>436</v>
      </c>
    </row>
    <row r="128" spans="1:17">
      <c r="A128" s="10" t="s">
        <v>165</v>
      </c>
      <c r="B128" s="10" t="s">
        <v>60</v>
      </c>
      <c r="C128" s="10" t="s">
        <v>302</v>
      </c>
      <c r="D128" s="10" t="s">
        <v>103</v>
      </c>
      <c r="E128" s="10" t="s">
        <v>482</v>
      </c>
      <c r="F128" s="11">
        <v>42575.29</v>
      </c>
      <c r="G128" s="11">
        <v>357771.85</v>
      </c>
      <c r="H128" s="12">
        <v>0.11900121643172953</v>
      </c>
      <c r="I128" s="10">
        <v>3</v>
      </c>
      <c r="J128" s="21">
        <v>100</v>
      </c>
      <c r="K128" s="21">
        <v>65</v>
      </c>
      <c r="L128" s="21">
        <v>80</v>
      </c>
      <c r="M128" s="21">
        <v>93.52249900213674</v>
      </c>
      <c r="N128" s="21">
        <f>J128*Supuestos!$B$7+K128*Supuestos!$B$8+L128*Supuestos!$B$9+M128*Supuestos!$B$10</f>
        <v>83.204499800427357</v>
      </c>
      <c r="O128" s="34" t="str">
        <f t="shared" si="1"/>
        <v>A</v>
      </c>
      <c r="P128" s="10" t="s">
        <v>447</v>
      </c>
      <c r="Q128" s="10" t="s">
        <v>441</v>
      </c>
    </row>
    <row r="129" spans="1:17">
      <c r="A129" s="10" t="s">
        <v>255</v>
      </c>
      <c r="B129" s="10" t="s">
        <v>60</v>
      </c>
      <c r="C129" s="10" t="s">
        <v>350</v>
      </c>
      <c r="D129" s="10" t="s">
        <v>103</v>
      </c>
      <c r="E129" s="10" t="s">
        <v>469</v>
      </c>
      <c r="F129" s="11">
        <v>46743.95</v>
      </c>
      <c r="G129" s="11">
        <v>313399.28999999998</v>
      </c>
      <c r="H129" s="12">
        <v>0.14915142461213199</v>
      </c>
      <c r="I129" s="10">
        <v>3</v>
      </c>
      <c r="J129" s="21">
        <v>100</v>
      </c>
      <c r="K129" s="21">
        <v>65.000000000000028</v>
      </c>
      <c r="L129" s="21">
        <v>80</v>
      </c>
      <c r="M129" s="21">
        <v>93.504836461954255</v>
      </c>
      <c r="N129" s="21">
        <f>J129*Supuestos!$B$7+K129*Supuestos!$B$8+L129*Supuestos!$B$9+M129*Supuestos!$B$10</f>
        <v>83.200967292390857</v>
      </c>
      <c r="O129" s="34" t="str">
        <f t="shared" si="1"/>
        <v>A</v>
      </c>
      <c r="P129" s="10" t="s">
        <v>447</v>
      </c>
      <c r="Q129" s="10" t="s">
        <v>441</v>
      </c>
    </row>
    <row r="130" spans="1:17">
      <c r="A130" s="10" t="s">
        <v>119</v>
      </c>
      <c r="B130" s="10" t="s">
        <v>186</v>
      </c>
      <c r="C130" s="10" t="s">
        <v>187</v>
      </c>
      <c r="D130" s="10" t="s">
        <v>103</v>
      </c>
      <c r="E130" s="10" t="s">
        <v>512</v>
      </c>
      <c r="F130" s="11">
        <v>16007.17</v>
      </c>
      <c r="G130" s="11">
        <v>159511.35999999999</v>
      </c>
      <c r="H130" s="12">
        <v>0.10035126602606727</v>
      </c>
      <c r="I130" s="10">
        <v>5</v>
      </c>
      <c r="J130" s="21">
        <v>100</v>
      </c>
      <c r="K130" s="21">
        <v>90</v>
      </c>
      <c r="L130" s="21">
        <v>80</v>
      </c>
      <c r="M130" s="21">
        <v>55</v>
      </c>
      <c r="N130" s="21">
        <f>J130*Supuestos!$B$7+K130*Supuestos!$B$8+L130*Supuestos!$B$9+M130*Supuestos!$B$10</f>
        <v>83</v>
      </c>
      <c r="O130" s="34" t="str">
        <f t="shared" si="1"/>
        <v>A</v>
      </c>
      <c r="P130" s="10" t="s">
        <v>435</v>
      </c>
      <c r="Q130" s="10" t="s">
        <v>441</v>
      </c>
    </row>
    <row r="131" spans="1:17">
      <c r="A131" s="10" t="s">
        <v>165</v>
      </c>
      <c r="B131" s="10" t="s">
        <v>60</v>
      </c>
      <c r="C131" s="10" t="s">
        <v>166</v>
      </c>
      <c r="D131" s="10" t="s">
        <v>103</v>
      </c>
      <c r="E131" s="10" t="s">
        <v>480</v>
      </c>
      <c r="F131" s="11">
        <v>65275.41</v>
      </c>
      <c r="G131" s="11">
        <v>929838.13</v>
      </c>
      <c r="H131" s="12">
        <v>7.0200827523202933E-2</v>
      </c>
      <c r="I131" s="10">
        <v>4</v>
      </c>
      <c r="J131" s="21">
        <v>100</v>
      </c>
      <c r="K131" s="21">
        <v>99.999999999999986</v>
      </c>
      <c r="L131" s="21">
        <v>55</v>
      </c>
      <c r="M131" s="21">
        <v>70</v>
      </c>
      <c r="N131" s="21">
        <f>J131*Supuestos!$B$7+K131*Supuestos!$B$8+L131*Supuestos!$B$9+M131*Supuestos!$B$10</f>
        <v>82.75</v>
      </c>
      <c r="O131" s="34" t="str">
        <f t="shared" si="1"/>
        <v>A</v>
      </c>
      <c r="P131" s="10" t="s">
        <v>435</v>
      </c>
      <c r="Q131" s="10" t="s">
        <v>436</v>
      </c>
    </row>
    <row r="132" spans="1:17">
      <c r="A132" s="10" t="s">
        <v>111</v>
      </c>
      <c r="B132" s="10" t="s">
        <v>60</v>
      </c>
      <c r="C132" s="10" t="s">
        <v>208</v>
      </c>
      <c r="D132" s="10" t="s">
        <v>103</v>
      </c>
      <c r="E132" s="10" t="s">
        <v>457</v>
      </c>
      <c r="F132" s="11">
        <v>33993.07</v>
      </c>
      <c r="G132" s="11">
        <v>201558.18</v>
      </c>
      <c r="H132" s="12">
        <v>0.16865141039136083</v>
      </c>
      <c r="I132" s="10">
        <v>3</v>
      </c>
      <c r="J132" s="21">
        <v>100</v>
      </c>
      <c r="K132" s="21">
        <v>65.000000000000014</v>
      </c>
      <c r="L132" s="21">
        <v>80</v>
      </c>
      <c r="M132" s="21">
        <v>91.25</v>
      </c>
      <c r="N132" s="21">
        <f>J132*Supuestos!$B$7+K132*Supuestos!$B$8+L132*Supuestos!$B$9+M132*Supuestos!$B$10</f>
        <v>82.75</v>
      </c>
      <c r="O132" s="34" t="str">
        <f t="shared" si="1"/>
        <v>A</v>
      </c>
      <c r="P132" s="10" t="s">
        <v>447</v>
      </c>
      <c r="Q132" s="10" t="s">
        <v>441</v>
      </c>
    </row>
    <row r="133" spans="1:17">
      <c r="A133" s="10" t="s">
        <v>255</v>
      </c>
      <c r="B133" s="10" t="s">
        <v>60</v>
      </c>
      <c r="C133" s="10" t="s">
        <v>260</v>
      </c>
      <c r="D133" s="10" t="s">
        <v>103</v>
      </c>
      <c r="E133" s="10" t="s">
        <v>457</v>
      </c>
      <c r="F133" s="11">
        <v>14466.88</v>
      </c>
      <c r="G133" s="11">
        <v>164350.82</v>
      </c>
      <c r="H133" s="12">
        <v>8.8024386527159465E-2</v>
      </c>
      <c r="I133" s="10">
        <v>3</v>
      </c>
      <c r="J133" s="21">
        <v>100</v>
      </c>
      <c r="K133" s="21">
        <v>65</v>
      </c>
      <c r="L133" s="21">
        <v>80</v>
      </c>
      <c r="M133" s="21">
        <v>91.25</v>
      </c>
      <c r="N133" s="21">
        <f>J133*Supuestos!$B$7+K133*Supuestos!$B$8+L133*Supuestos!$B$9+M133*Supuestos!$B$10</f>
        <v>82.75</v>
      </c>
      <c r="O133" s="34" t="str">
        <f t="shared" ref="O133:O196" si="2">IF(N133&gt;=80,"A",IF(N133&gt;=65,"B",IF(N133&gt;=50,"C","D")))</f>
        <v>A</v>
      </c>
      <c r="P133" s="10" t="s">
        <v>447</v>
      </c>
      <c r="Q133" s="10" t="s">
        <v>441</v>
      </c>
    </row>
    <row r="134" spans="1:17">
      <c r="A134" s="10" t="s">
        <v>101</v>
      </c>
      <c r="B134" s="10" t="s">
        <v>60</v>
      </c>
      <c r="C134" s="10" t="s">
        <v>243</v>
      </c>
      <c r="D134" s="10" t="s">
        <v>103</v>
      </c>
      <c r="E134" s="10" t="s">
        <v>457</v>
      </c>
      <c r="F134" s="11">
        <v>10235.73</v>
      </c>
      <c r="G134" s="11">
        <v>114854.99</v>
      </c>
      <c r="H134" s="12">
        <v>8.9118725375235339E-2</v>
      </c>
      <c r="I134" s="10">
        <v>3</v>
      </c>
      <c r="J134" s="21">
        <v>100</v>
      </c>
      <c r="K134" s="21">
        <v>65</v>
      </c>
      <c r="L134" s="21">
        <v>80</v>
      </c>
      <c r="M134" s="21">
        <v>91.25</v>
      </c>
      <c r="N134" s="21">
        <f>J134*Supuestos!$B$7+K134*Supuestos!$B$8+L134*Supuestos!$B$9+M134*Supuestos!$B$10</f>
        <v>82.75</v>
      </c>
      <c r="O134" s="34" t="str">
        <f t="shared" si="2"/>
        <v>A</v>
      </c>
      <c r="P134" s="10" t="s">
        <v>447</v>
      </c>
      <c r="Q134" s="10" t="s">
        <v>441</v>
      </c>
    </row>
    <row r="135" spans="1:17">
      <c r="A135" s="10" t="s">
        <v>111</v>
      </c>
      <c r="B135" s="10" t="s">
        <v>161</v>
      </c>
      <c r="C135" s="10" t="s">
        <v>414</v>
      </c>
      <c r="D135" s="10" t="s">
        <v>127</v>
      </c>
      <c r="E135" s="10" t="s">
        <v>464</v>
      </c>
      <c r="F135" s="11">
        <v>66880.13</v>
      </c>
      <c r="G135" s="11">
        <v>300503.03000000003</v>
      </c>
      <c r="H135" s="12">
        <v>0.22256058970848308</v>
      </c>
      <c r="I135" s="10">
        <v>3</v>
      </c>
      <c r="J135" s="21">
        <v>85</v>
      </c>
      <c r="K135" s="21">
        <v>75</v>
      </c>
      <c r="L135" s="21">
        <v>80</v>
      </c>
      <c r="M135" s="21">
        <v>94.993714604403294</v>
      </c>
      <c r="N135" s="21">
        <f>J135*Supuestos!$B$7+K135*Supuestos!$B$8+L135*Supuestos!$B$9+M135*Supuestos!$B$10</f>
        <v>82.748742920880659</v>
      </c>
      <c r="O135" s="34" t="str">
        <f t="shared" si="2"/>
        <v>A</v>
      </c>
      <c r="P135" s="10" t="s">
        <v>447</v>
      </c>
      <c r="Q135" s="10" t="s">
        <v>436</v>
      </c>
    </row>
    <row r="136" spans="1:17">
      <c r="A136" s="10" t="s">
        <v>215</v>
      </c>
      <c r="B136" s="10" t="s">
        <v>60</v>
      </c>
      <c r="C136" s="10" t="s">
        <v>391</v>
      </c>
      <c r="D136" s="10" t="s">
        <v>127</v>
      </c>
      <c r="E136" s="10" t="s">
        <v>464</v>
      </c>
      <c r="F136" s="11">
        <v>2213.38</v>
      </c>
      <c r="G136" s="11">
        <v>49396.6</v>
      </c>
      <c r="H136" s="12">
        <v>4.4808434131559625E-2</v>
      </c>
      <c r="I136" s="10">
        <v>2</v>
      </c>
      <c r="J136" s="21">
        <v>85</v>
      </c>
      <c r="K136" s="21">
        <v>75</v>
      </c>
      <c r="L136" s="21">
        <v>80</v>
      </c>
      <c r="M136" s="21">
        <v>94.993714604403294</v>
      </c>
      <c r="N136" s="21">
        <f>J136*Supuestos!$B$7+K136*Supuestos!$B$8+L136*Supuestos!$B$9+M136*Supuestos!$B$10</f>
        <v>82.748742920880659</v>
      </c>
      <c r="O136" s="34" t="str">
        <f t="shared" si="2"/>
        <v>A</v>
      </c>
      <c r="P136" s="10" t="s">
        <v>447</v>
      </c>
      <c r="Q136" s="10" t="s">
        <v>436</v>
      </c>
    </row>
    <row r="137" spans="1:17">
      <c r="A137" s="10" t="s">
        <v>165</v>
      </c>
      <c r="B137" s="10" t="s">
        <v>60</v>
      </c>
      <c r="C137" s="10" t="s">
        <v>247</v>
      </c>
      <c r="D137" s="10" t="s">
        <v>103</v>
      </c>
      <c r="E137" s="10" t="s">
        <v>462</v>
      </c>
      <c r="F137" s="11">
        <v>22508.58</v>
      </c>
      <c r="G137" s="11">
        <v>125931.16</v>
      </c>
      <c r="H137" s="12">
        <v>0.17873717778271545</v>
      </c>
      <c r="I137" s="10">
        <v>3</v>
      </c>
      <c r="J137" s="21">
        <v>100</v>
      </c>
      <c r="K137" s="21">
        <v>65</v>
      </c>
      <c r="L137" s="21">
        <v>80</v>
      </c>
      <c r="M137" s="21">
        <v>90.510155415039009</v>
      </c>
      <c r="N137" s="21">
        <f>J137*Supuestos!$B$7+K137*Supuestos!$B$8+L137*Supuestos!$B$9+M137*Supuestos!$B$10</f>
        <v>82.602031083007802</v>
      </c>
      <c r="O137" s="34" t="str">
        <f t="shared" si="2"/>
        <v>A</v>
      </c>
      <c r="P137" s="10" t="s">
        <v>447</v>
      </c>
      <c r="Q137" s="10" t="s">
        <v>441</v>
      </c>
    </row>
    <row r="138" spans="1:17">
      <c r="A138" s="10" t="s">
        <v>275</v>
      </c>
      <c r="B138" s="10" t="s">
        <v>406</v>
      </c>
      <c r="C138" s="10" t="s">
        <v>407</v>
      </c>
      <c r="D138" s="10" t="s">
        <v>127</v>
      </c>
      <c r="E138" s="10" t="s">
        <v>213</v>
      </c>
      <c r="F138" s="11">
        <v>38063.96</v>
      </c>
      <c r="G138" s="11">
        <v>324829.33</v>
      </c>
      <c r="H138" s="12">
        <v>0.11718141074093417</v>
      </c>
      <c r="I138" s="10">
        <v>3</v>
      </c>
      <c r="J138" s="21">
        <v>85</v>
      </c>
      <c r="K138" s="21">
        <v>75</v>
      </c>
      <c r="L138" s="21">
        <v>80</v>
      </c>
      <c r="M138" s="21">
        <v>93.75</v>
      </c>
      <c r="N138" s="21">
        <f>J138*Supuestos!$B$7+K138*Supuestos!$B$8+L138*Supuestos!$B$9+M138*Supuestos!$B$10</f>
        <v>82.5</v>
      </c>
      <c r="O138" s="34" t="str">
        <f t="shared" si="2"/>
        <v>A</v>
      </c>
      <c r="P138" s="10" t="s">
        <v>447</v>
      </c>
      <c r="Q138" s="10" t="s">
        <v>436</v>
      </c>
    </row>
    <row r="139" spans="1:17">
      <c r="A139" s="10" t="s">
        <v>101</v>
      </c>
      <c r="B139" s="10" t="s">
        <v>60</v>
      </c>
      <c r="C139" s="10" t="s">
        <v>239</v>
      </c>
      <c r="D139" s="10" t="s">
        <v>127</v>
      </c>
      <c r="E139" s="10" t="s">
        <v>213</v>
      </c>
      <c r="F139" s="11">
        <v>6659.63</v>
      </c>
      <c r="G139" s="11">
        <v>45460.47</v>
      </c>
      <c r="H139" s="12">
        <v>0.14649282741752764</v>
      </c>
      <c r="I139" s="10">
        <v>3</v>
      </c>
      <c r="J139" s="21">
        <v>85</v>
      </c>
      <c r="K139" s="21">
        <v>75</v>
      </c>
      <c r="L139" s="21">
        <v>80</v>
      </c>
      <c r="M139" s="21">
        <v>93.75</v>
      </c>
      <c r="N139" s="21">
        <f>J139*Supuestos!$B$7+K139*Supuestos!$B$8+L139*Supuestos!$B$9+M139*Supuestos!$B$10</f>
        <v>82.5</v>
      </c>
      <c r="O139" s="34" t="str">
        <f t="shared" si="2"/>
        <v>A</v>
      </c>
      <c r="P139" s="10" t="s">
        <v>447</v>
      </c>
      <c r="Q139" s="10" t="s">
        <v>436</v>
      </c>
    </row>
    <row r="140" spans="1:17">
      <c r="A140" s="10" t="s">
        <v>101</v>
      </c>
      <c r="B140" s="10" t="s">
        <v>60</v>
      </c>
      <c r="C140" s="10" t="s">
        <v>204</v>
      </c>
      <c r="D140" s="10" t="s">
        <v>127</v>
      </c>
      <c r="E140" s="10" t="s">
        <v>213</v>
      </c>
      <c r="F140" s="11">
        <v>1874.54</v>
      </c>
      <c r="G140" s="11">
        <v>23377.47</v>
      </c>
      <c r="H140" s="12">
        <v>8.0185803237569908E-2</v>
      </c>
      <c r="I140" s="10">
        <v>3</v>
      </c>
      <c r="J140" s="21">
        <v>85</v>
      </c>
      <c r="K140" s="21">
        <v>74.999999999999986</v>
      </c>
      <c r="L140" s="21">
        <v>80</v>
      </c>
      <c r="M140" s="21">
        <v>93.75</v>
      </c>
      <c r="N140" s="21">
        <f>J140*Supuestos!$B$7+K140*Supuestos!$B$8+L140*Supuestos!$B$9+M140*Supuestos!$B$10</f>
        <v>82.5</v>
      </c>
      <c r="O140" s="34" t="str">
        <f t="shared" si="2"/>
        <v>A</v>
      </c>
      <c r="P140" s="10" t="s">
        <v>447</v>
      </c>
      <c r="Q140" s="10" t="s">
        <v>436</v>
      </c>
    </row>
    <row r="141" spans="1:17">
      <c r="A141" s="10" t="s">
        <v>119</v>
      </c>
      <c r="B141" s="10" t="s">
        <v>75</v>
      </c>
      <c r="C141" s="10" t="s">
        <v>400</v>
      </c>
      <c r="D141" s="10" t="s">
        <v>127</v>
      </c>
      <c r="E141" s="10" t="s">
        <v>151</v>
      </c>
      <c r="F141" s="11">
        <v>118698.29</v>
      </c>
      <c r="G141" s="11">
        <v>752313.74</v>
      </c>
      <c r="H141" s="12">
        <v>0.15777764788069765</v>
      </c>
      <c r="I141" s="10">
        <v>2</v>
      </c>
      <c r="J141" s="21">
        <v>85</v>
      </c>
      <c r="K141" s="21">
        <v>74.999999999999986</v>
      </c>
      <c r="L141" s="21">
        <v>80</v>
      </c>
      <c r="M141" s="21">
        <v>93.580645922060057</v>
      </c>
      <c r="N141" s="21">
        <f>J141*Supuestos!$B$7+K141*Supuestos!$B$8+L141*Supuestos!$B$9+M141*Supuestos!$B$10</f>
        <v>82.466129184412011</v>
      </c>
      <c r="O141" s="34" t="str">
        <f t="shared" si="2"/>
        <v>A</v>
      </c>
      <c r="P141" s="10" t="s">
        <v>447</v>
      </c>
      <c r="Q141" s="10" t="s">
        <v>436</v>
      </c>
    </row>
    <row r="142" spans="1:17">
      <c r="A142" s="10" t="s">
        <v>111</v>
      </c>
      <c r="B142" s="10" t="s">
        <v>60</v>
      </c>
      <c r="C142" s="10" t="s">
        <v>126</v>
      </c>
      <c r="D142" s="10" t="s">
        <v>127</v>
      </c>
      <c r="E142" s="10" t="s">
        <v>151</v>
      </c>
      <c r="F142" s="11">
        <v>7269.54</v>
      </c>
      <c r="G142" s="11">
        <v>46119.99</v>
      </c>
      <c r="H142" s="12">
        <v>0.15762233020680302</v>
      </c>
      <c r="I142" s="10">
        <v>3</v>
      </c>
      <c r="J142" s="21">
        <v>85</v>
      </c>
      <c r="K142" s="21">
        <v>75</v>
      </c>
      <c r="L142" s="21">
        <v>80</v>
      </c>
      <c r="M142" s="21">
        <v>93.580645922060057</v>
      </c>
      <c r="N142" s="21">
        <f>J142*Supuestos!$B$7+K142*Supuestos!$B$8+L142*Supuestos!$B$9+M142*Supuestos!$B$10</f>
        <v>82.466129184412011</v>
      </c>
      <c r="O142" s="34" t="str">
        <f t="shared" si="2"/>
        <v>A</v>
      </c>
      <c r="P142" s="10" t="s">
        <v>447</v>
      </c>
      <c r="Q142" s="10" t="s">
        <v>436</v>
      </c>
    </row>
    <row r="143" spans="1:17">
      <c r="A143" s="10" t="s">
        <v>111</v>
      </c>
      <c r="B143" s="10" t="s">
        <v>60</v>
      </c>
      <c r="C143" s="10" t="s">
        <v>196</v>
      </c>
      <c r="D143" s="10" t="s">
        <v>127</v>
      </c>
      <c r="E143" s="10" t="s">
        <v>151</v>
      </c>
      <c r="F143" s="11">
        <v>5971.57</v>
      </c>
      <c r="G143" s="11">
        <v>65116.91</v>
      </c>
      <c r="H143" s="12">
        <v>9.1705405509239696E-2</v>
      </c>
      <c r="I143" s="10">
        <v>3</v>
      </c>
      <c r="J143" s="21">
        <v>85</v>
      </c>
      <c r="K143" s="21">
        <v>74.999999999999986</v>
      </c>
      <c r="L143" s="21">
        <v>80</v>
      </c>
      <c r="M143" s="21">
        <v>93.580645922060057</v>
      </c>
      <c r="N143" s="21">
        <f>J143*Supuestos!$B$7+K143*Supuestos!$B$8+L143*Supuestos!$B$9+M143*Supuestos!$B$10</f>
        <v>82.466129184412011</v>
      </c>
      <c r="O143" s="34" t="str">
        <f t="shared" si="2"/>
        <v>A</v>
      </c>
      <c r="P143" s="10" t="s">
        <v>447</v>
      </c>
      <c r="Q143" s="10" t="s">
        <v>436</v>
      </c>
    </row>
    <row r="144" spans="1:17">
      <c r="A144" s="10" t="s">
        <v>101</v>
      </c>
      <c r="B144" s="10" t="s">
        <v>60</v>
      </c>
      <c r="C144" s="10" t="s">
        <v>204</v>
      </c>
      <c r="D144" s="10" t="s">
        <v>127</v>
      </c>
      <c r="E144" s="10" t="s">
        <v>151</v>
      </c>
      <c r="F144" s="11">
        <v>1952.95</v>
      </c>
      <c r="G144" s="11">
        <v>23377.47</v>
      </c>
      <c r="H144" s="12">
        <v>8.3539665545959291E-2</v>
      </c>
      <c r="I144" s="10">
        <v>2</v>
      </c>
      <c r="J144" s="21">
        <v>85</v>
      </c>
      <c r="K144" s="21">
        <v>75</v>
      </c>
      <c r="L144" s="21">
        <v>80</v>
      </c>
      <c r="M144" s="21">
        <v>93.580645922060057</v>
      </c>
      <c r="N144" s="21">
        <f>J144*Supuestos!$B$7+K144*Supuestos!$B$8+L144*Supuestos!$B$9+M144*Supuestos!$B$10</f>
        <v>82.466129184412011</v>
      </c>
      <c r="O144" s="34" t="str">
        <f t="shared" si="2"/>
        <v>A</v>
      </c>
      <c r="P144" s="10" t="s">
        <v>447</v>
      </c>
      <c r="Q144" s="10" t="s">
        <v>436</v>
      </c>
    </row>
    <row r="145" spans="1:17">
      <c r="A145" s="10" t="s">
        <v>101</v>
      </c>
      <c r="B145" s="10" t="s">
        <v>60</v>
      </c>
      <c r="C145" s="10" t="s">
        <v>239</v>
      </c>
      <c r="D145" s="10" t="s">
        <v>127</v>
      </c>
      <c r="E145" s="10" t="s">
        <v>446</v>
      </c>
      <c r="F145" s="11">
        <v>7960.64</v>
      </c>
      <c r="G145" s="11">
        <v>45460.47</v>
      </c>
      <c r="H145" s="12">
        <v>0.17511120093845112</v>
      </c>
      <c r="I145" s="10">
        <v>2</v>
      </c>
      <c r="J145" s="21">
        <v>85</v>
      </c>
      <c r="K145" s="21">
        <v>75</v>
      </c>
      <c r="L145" s="21">
        <v>80</v>
      </c>
      <c r="M145" s="21">
        <v>93.560509294235828</v>
      </c>
      <c r="N145" s="21">
        <f>J145*Supuestos!$B$7+K145*Supuestos!$B$8+L145*Supuestos!$B$9+M145*Supuestos!$B$10</f>
        <v>82.462101858847163</v>
      </c>
      <c r="O145" s="34" t="str">
        <f t="shared" si="2"/>
        <v>A</v>
      </c>
      <c r="P145" s="10" t="s">
        <v>447</v>
      </c>
      <c r="Q145" s="10" t="s">
        <v>436</v>
      </c>
    </row>
    <row r="146" spans="1:17">
      <c r="A146" s="10" t="s">
        <v>111</v>
      </c>
      <c r="B146" s="10" t="s">
        <v>60</v>
      </c>
      <c r="C146" s="10" t="s">
        <v>196</v>
      </c>
      <c r="D146" s="10" t="s">
        <v>127</v>
      </c>
      <c r="E146" s="10" t="s">
        <v>467</v>
      </c>
      <c r="F146" s="11">
        <v>35636.800000000003</v>
      </c>
      <c r="G146" s="11">
        <v>65116.91</v>
      </c>
      <c r="H146" s="12">
        <v>0.54727419416804335</v>
      </c>
      <c r="I146" s="10">
        <v>1</v>
      </c>
      <c r="J146" s="21">
        <v>85</v>
      </c>
      <c r="K146" s="21">
        <v>64.999999999999986</v>
      </c>
      <c r="L146" s="21">
        <v>100</v>
      </c>
      <c r="M146" s="21">
        <v>81.25</v>
      </c>
      <c r="N146" s="21">
        <f>J146*Supuestos!$B$7+K146*Supuestos!$B$8+L146*Supuestos!$B$9+M146*Supuestos!$B$10</f>
        <v>82</v>
      </c>
      <c r="O146" s="34" t="str">
        <f t="shared" si="2"/>
        <v>A</v>
      </c>
      <c r="P146" s="10" t="s">
        <v>447</v>
      </c>
      <c r="Q146" s="10" t="s">
        <v>441</v>
      </c>
    </row>
    <row r="147" spans="1:17">
      <c r="A147" s="10" t="s">
        <v>101</v>
      </c>
      <c r="B147" s="10" t="s">
        <v>60</v>
      </c>
      <c r="C147" s="10" t="s">
        <v>281</v>
      </c>
      <c r="D147" s="10" t="s">
        <v>149</v>
      </c>
      <c r="E147" s="10" t="s">
        <v>193</v>
      </c>
      <c r="F147" s="11">
        <v>4964.6400000000003</v>
      </c>
      <c r="G147" s="11">
        <v>13695.07</v>
      </c>
      <c r="H147" s="12">
        <v>0.36251265384410464</v>
      </c>
      <c r="I147" s="10">
        <v>1</v>
      </c>
      <c r="J147" s="21">
        <v>30</v>
      </c>
      <c r="K147" s="21">
        <v>99.999999999999986</v>
      </c>
      <c r="L147" s="21">
        <v>100</v>
      </c>
      <c r="M147" s="21">
        <v>96.676367126980296</v>
      </c>
      <c r="N147" s="21">
        <f>J147*Supuestos!$B$7+K147*Supuestos!$B$8+L147*Supuestos!$B$9+M147*Supuestos!$B$10</f>
        <v>81.835273425396053</v>
      </c>
      <c r="O147" s="34" t="str">
        <f t="shared" si="2"/>
        <v>A</v>
      </c>
      <c r="P147" s="10" t="s">
        <v>435</v>
      </c>
      <c r="Q147" s="10" t="s">
        <v>436</v>
      </c>
    </row>
    <row r="148" spans="1:17">
      <c r="A148" s="10" t="s">
        <v>101</v>
      </c>
      <c r="B148" s="10" t="s">
        <v>60</v>
      </c>
      <c r="C148" s="10" t="s">
        <v>191</v>
      </c>
      <c r="D148" s="10" t="s">
        <v>149</v>
      </c>
      <c r="E148" s="10" t="s">
        <v>193</v>
      </c>
      <c r="F148" s="11">
        <v>151.97999999999999</v>
      </c>
      <c r="G148" s="11">
        <v>151.97999999999999</v>
      </c>
      <c r="H148" s="12">
        <v>1</v>
      </c>
      <c r="I148" s="10">
        <v>1</v>
      </c>
      <c r="J148" s="21">
        <v>30</v>
      </c>
      <c r="K148" s="21">
        <v>100</v>
      </c>
      <c r="L148" s="21">
        <v>100</v>
      </c>
      <c r="M148" s="21">
        <v>96.676367126980296</v>
      </c>
      <c r="N148" s="21">
        <f>J148*Supuestos!$B$7+K148*Supuestos!$B$8+L148*Supuestos!$B$9+M148*Supuestos!$B$10</f>
        <v>81.835273425396053</v>
      </c>
      <c r="O148" s="34" t="str">
        <f t="shared" si="2"/>
        <v>A</v>
      </c>
      <c r="P148" s="10" t="s">
        <v>435</v>
      </c>
      <c r="Q148" s="10" t="s">
        <v>436</v>
      </c>
    </row>
    <row r="149" spans="1:17">
      <c r="A149" s="10" t="s">
        <v>111</v>
      </c>
      <c r="B149" s="10" t="s">
        <v>60</v>
      </c>
      <c r="C149" s="10" t="s">
        <v>357</v>
      </c>
      <c r="D149" s="10" t="s">
        <v>113</v>
      </c>
      <c r="E149" s="10" t="s">
        <v>457</v>
      </c>
      <c r="F149" s="11">
        <v>5154.7700000000004</v>
      </c>
      <c r="G149" s="11">
        <v>17053.509999999998</v>
      </c>
      <c r="H149" s="12">
        <v>0.30227014339677999</v>
      </c>
      <c r="I149" s="10">
        <v>2</v>
      </c>
      <c r="J149" s="21">
        <v>75</v>
      </c>
      <c r="K149" s="21">
        <v>64.999999999999986</v>
      </c>
      <c r="L149" s="21">
        <v>100</v>
      </c>
      <c r="M149" s="21">
        <v>91.25</v>
      </c>
      <c r="N149" s="21">
        <f>J149*Supuestos!$B$7+K149*Supuestos!$B$8+L149*Supuestos!$B$9+M149*Supuestos!$B$10</f>
        <v>81.5</v>
      </c>
      <c r="O149" s="34" t="str">
        <f t="shared" si="2"/>
        <v>A</v>
      </c>
      <c r="P149" s="10" t="s">
        <v>447</v>
      </c>
      <c r="Q149" s="10" t="s">
        <v>441</v>
      </c>
    </row>
    <row r="150" spans="1:17">
      <c r="A150" s="10" t="s">
        <v>215</v>
      </c>
      <c r="B150" s="10" t="s">
        <v>60</v>
      </c>
      <c r="C150" s="10" t="s">
        <v>216</v>
      </c>
      <c r="D150" s="10" t="s">
        <v>103</v>
      </c>
      <c r="E150" s="10" t="s">
        <v>181</v>
      </c>
      <c r="F150" s="11">
        <v>52363.95</v>
      </c>
      <c r="G150" s="11">
        <v>656576.77</v>
      </c>
      <c r="H150" s="12">
        <v>7.9752971720917956E-2</v>
      </c>
      <c r="I150" s="10">
        <v>5</v>
      </c>
      <c r="J150" s="21">
        <v>100</v>
      </c>
      <c r="K150" s="21">
        <v>90</v>
      </c>
      <c r="L150" s="21">
        <v>55</v>
      </c>
      <c r="M150" s="21">
        <v>77.5</v>
      </c>
      <c r="N150" s="21">
        <f>J150*Supuestos!$B$7+K150*Supuestos!$B$8+L150*Supuestos!$B$9+M150*Supuestos!$B$10</f>
        <v>81.25</v>
      </c>
      <c r="O150" s="34" t="str">
        <f t="shared" si="2"/>
        <v>A</v>
      </c>
      <c r="P150" s="10" t="s">
        <v>435</v>
      </c>
      <c r="Q150" s="10" t="s">
        <v>441</v>
      </c>
    </row>
    <row r="151" spans="1:17">
      <c r="A151" s="10" t="s">
        <v>111</v>
      </c>
      <c r="B151" s="10" t="s">
        <v>69</v>
      </c>
      <c r="C151" s="10" t="s">
        <v>309</v>
      </c>
      <c r="D151" s="10" t="s">
        <v>103</v>
      </c>
      <c r="E151" s="10" t="s">
        <v>375</v>
      </c>
      <c r="F151" s="11">
        <v>31056.44</v>
      </c>
      <c r="G151" s="11">
        <v>712220.68</v>
      </c>
      <c r="H151" s="12">
        <v>4.3605080537440263E-2</v>
      </c>
      <c r="I151" s="10">
        <v>9</v>
      </c>
      <c r="J151" s="21">
        <v>100</v>
      </c>
      <c r="K151" s="21">
        <v>100.00000000000001</v>
      </c>
      <c r="L151" s="21">
        <v>25</v>
      </c>
      <c r="M151" s="21">
        <v>100</v>
      </c>
      <c r="N151" s="21">
        <f>J151*Supuestos!$B$7+K151*Supuestos!$B$8+L151*Supuestos!$B$9+M151*Supuestos!$B$10</f>
        <v>81.25</v>
      </c>
      <c r="O151" s="34" t="str">
        <f t="shared" si="2"/>
        <v>A</v>
      </c>
      <c r="P151" s="10" t="s">
        <v>435</v>
      </c>
      <c r="Q151" s="10" t="s">
        <v>436</v>
      </c>
    </row>
    <row r="152" spans="1:17">
      <c r="A152" s="10" t="s">
        <v>165</v>
      </c>
      <c r="B152" s="10" t="s">
        <v>60</v>
      </c>
      <c r="C152" s="10" t="s">
        <v>166</v>
      </c>
      <c r="D152" s="10" t="s">
        <v>103</v>
      </c>
      <c r="E152" s="10" t="s">
        <v>375</v>
      </c>
      <c r="F152" s="11">
        <v>22267.87</v>
      </c>
      <c r="G152" s="11">
        <v>929838.13</v>
      </c>
      <c r="H152" s="12">
        <v>2.3948118330775627E-2</v>
      </c>
      <c r="I152" s="10">
        <v>10</v>
      </c>
      <c r="J152" s="21">
        <v>100</v>
      </c>
      <c r="K152" s="21">
        <v>100</v>
      </c>
      <c r="L152" s="21">
        <v>25</v>
      </c>
      <c r="M152" s="21">
        <v>100</v>
      </c>
      <c r="N152" s="21">
        <f>J152*Supuestos!$B$7+K152*Supuestos!$B$8+L152*Supuestos!$B$9+M152*Supuestos!$B$10</f>
        <v>81.25</v>
      </c>
      <c r="O152" s="34" t="str">
        <f t="shared" si="2"/>
        <v>A</v>
      </c>
      <c r="P152" s="10" t="s">
        <v>435</v>
      </c>
      <c r="Q152" s="10" t="s">
        <v>436</v>
      </c>
    </row>
    <row r="153" spans="1:17">
      <c r="A153" s="10" t="s">
        <v>215</v>
      </c>
      <c r="B153" s="10" t="s">
        <v>60</v>
      </c>
      <c r="C153" s="10" t="s">
        <v>216</v>
      </c>
      <c r="D153" s="10" t="s">
        <v>103</v>
      </c>
      <c r="E153" s="10" t="s">
        <v>375</v>
      </c>
      <c r="F153" s="11">
        <v>21500.5</v>
      </c>
      <c r="G153" s="11">
        <v>656576.77</v>
      </c>
      <c r="H153" s="12">
        <v>3.2746355355345924E-2</v>
      </c>
      <c r="I153" s="10">
        <v>10</v>
      </c>
      <c r="J153" s="21">
        <v>100</v>
      </c>
      <c r="K153" s="21">
        <v>100.00000000000001</v>
      </c>
      <c r="L153" s="21">
        <v>25</v>
      </c>
      <c r="M153" s="21">
        <v>100</v>
      </c>
      <c r="N153" s="21">
        <f>J153*Supuestos!$B$7+K153*Supuestos!$B$8+L153*Supuestos!$B$9+M153*Supuestos!$B$10</f>
        <v>81.25</v>
      </c>
      <c r="O153" s="34" t="str">
        <f t="shared" si="2"/>
        <v>A</v>
      </c>
      <c r="P153" s="10" t="s">
        <v>435</v>
      </c>
      <c r="Q153" s="10" t="s">
        <v>436</v>
      </c>
    </row>
    <row r="154" spans="1:17">
      <c r="A154" s="10" t="s">
        <v>255</v>
      </c>
      <c r="B154" s="10" t="s">
        <v>60</v>
      </c>
      <c r="C154" s="10" t="s">
        <v>256</v>
      </c>
      <c r="D154" s="10" t="s">
        <v>103</v>
      </c>
      <c r="E154" s="10" t="s">
        <v>375</v>
      </c>
      <c r="F154" s="11">
        <v>10928.54</v>
      </c>
      <c r="G154" s="11">
        <v>351341.95</v>
      </c>
      <c r="H154" s="12">
        <v>3.1105150909401934E-2</v>
      </c>
      <c r="I154" s="10">
        <v>11</v>
      </c>
      <c r="J154" s="21">
        <v>100</v>
      </c>
      <c r="K154" s="21">
        <v>99.999999999999986</v>
      </c>
      <c r="L154" s="21">
        <v>25</v>
      </c>
      <c r="M154" s="21">
        <v>100</v>
      </c>
      <c r="N154" s="21">
        <f>J154*Supuestos!$B$7+K154*Supuestos!$B$8+L154*Supuestos!$B$9+M154*Supuestos!$B$10</f>
        <v>81.25</v>
      </c>
      <c r="O154" s="34" t="str">
        <f t="shared" si="2"/>
        <v>A</v>
      </c>
      <c r="P154" s="10" t="s">
        <v>435</v>
      </c>
      <c r="Q154" s="10" t="s">
        <v>436</v>
      </c>
    </row>
    <row r="155" spans="1:17">
      <c r="A155" s="10" t="s">
        <v>111</v>
      </c>
      <c r="B155" s="10" t="s">
        <v>60</v>
      </c>
      <c r="C155" s="10" t="s">
        <v>180</v>
      </c>
      <c r="D155" s="10" t="s">
        <v>113</v>
      </c>
      <c r="E155" s="10" t="s">
        <v>181</v>
      </c>
      <c r="F155" s="11">
        <v>8753</v>
      </c>
      <c r="G155" s="11">
        <v>49477.3</v>
      </c>
      <c r="H155" s="12">
        <v>0.17690940554698101</v>
      </c>
      <c r="I155" s="10">
        <v>3</v>
      </c>
      <c r="J155" s="21">
        <v>75</v>
      </c>
      <c r="K155" s="21">
        <v>90</v>
      </c>
      <c r="L155" s="21">
        <v>80</v>
      </c>
      <c r="M155" s="21">
        <v>77.5</v>
      </c>
      <c r="N155" s="21">
        <f>J155*Supuestos!$B$7+K155*Supuestos!$B$8+L155*Supuestos!$B$9+M155*Supuestos!$B$10</f>
        <v>81.25</v>
      </c>
      <c r="O155" s="34" t="str">
        <f t="shared" si="2"/>
        <v>A</v>
      </c>
      <c r="P155" s="10" t="s">
        <v>435</v>
      </c>
      <c r="Q155" s="10" t="s">
        <v>441</v>
      </c>
    </row>
    <row r="156" spans="1:17">
      <c r="A156" s="10" t="s">
        <v>255</v>
      </c>
      <c r="B156" s="10" t="s">
        <v>60</v>
      </c>
      <c r="C156" s="10" t="s">
        <v>392</v>
      </c>
      <c r="D156" s="10" t="s">
        <v>103</v>
      </c>
      <c r="E156" s="10" t="s">
        <v>375</v>
      </c>
      <c r="F156" s="11">
        <v>6462.95</v>
      </c>
      <c r="G156" s="11">
        <v>180471.74</v>
      </c>
      <c r="H156" s="12">
        <v>3.5811418804631491E-2</v>
      </c>
      <c r="I156" s="10">
        <v>9</v>
      </c>
      <c r="J156" s="21">
        <v>100</v>
      </c>
      <c r="K156" s="21">
        <v>100</v>
      </c>
      <c r="L156" s="21">
        <v>25</v>
      </c>
      <c r="M156" s="21">
        <v>100</v>
      </c>
      <c r="N156" s="21">
        <f>J156*Supuestos!$B$7+K156*Supuestos!$B$8+L156*Supuestos!$B$9+M156*Supuestos!$B$10</f>
        <v>81.25</v>
      </c>
      <c r="O156" s="34" t="str">
        <f t="shared" si="2"/>
        <v>A</v>
      </c>
      <c r="P156" s="10" t="s">
        <v>435</v>
      </c>
      <c r="Q156" s="10" t="s">
        <v>436</v>
      </c>
    </row>
    <row r="157" spans="1:17">
      <c r="A157" s="10" t="s">
        <v>111</v>
      </c>
      <c r="B157" s="10" t="s">
        <v>60</v>
      </c>
      <c r="C157" s="10" t="s">
        <v>208</v>
      </c>
      <c r="D157" s="10" t="s">
        <v>103</v>
      </c>
      <c r="E157" s="10" t="s">
        <v>225</v>
      </c>
      <c r="F157" s="11">
        <v>17867.39</v>
      </c>
      <c r="G157" s="11">
        <v>201558.18</v>
      </c>
      <c r="H157" s="12">
        <v>8.8646333811494102E-2</v>
      </c>
      <c r="I157" s="10">
        <v>5</v>
      </c>
      <c r="J157" s="21">
        <v>100</v>
      </c>
      <c r="K157" s="21">
        <v>90</v>
      </c>
      <c r="L157" s="21">
        <v>55</v>
      </c>
      <c r="M157" s="21">
        <v>77.164146540957958</v>
      </c>
      <c r="N157" s="21">
        <f>J157*Supuestos!$B$7+K157*Supuestos!$B$8+L157*Supuestos!$B$9+M157*Supuestos!$B$10</f>
        <v>81.1828293081916</v>
      </c>
      <c r="O157" s="34" t="str">
        <f t="shared" si="2"/>
        <v>A</v>
      </c>
      <c r="P157" s="10" t="s">
        <v>435</v>
      </c>
      <c r="Q157" s="10" t="s">
        <v>441</v>
      </c>
    </row>
    <row r="158" spans="1:17">
      <c r="A158" s="10" t="s">
        <v>101</v>
      </c>
      <c r="B158" s="10" t="s">
        <v>60</v>
      </c>
      <c r="C158" s="10" t="s">
        <v>243</v>
      </c>
      <c r="D158" s="10" t="s">
        <v>103</v>
      </c>
      <c r="E158" s="10" t="s">
        <v>225</v>
      </c>
      <c r="F158" s="11">
        <v>8165.57</v>
      </c>
      <c r="G158" s="11">
        <v>114854.99</v>
      </c>
      <c r="H158" s="12">
        <v>7.1094591134001739E-2</v>
      </c>
      <c r="I158" s="10">
        <v>9</v>
      </c>
      <c r="J158" s="21">
        <v>100</v>
      </c>
      <c r="K158" s="21">
        <v>90</v>
      </c>
      <c r="L158" s="21">
        <v>55</v>
      </c>
      <c r="M158" s="21">
        <v>77.164146540957958</v>
      </c>
      <c r="N158" s="21">
        <f>J158*Supuestos!$B$7+K158*Supuestos!$B$8+L158*Supuestos!$B$9+M158*Supuestos!$B$10</f>
        <v>81.1828293081916</v>
      </c>
      <c r="O158" s="34" t="str">
        <f t="shared" si="2"/>
        <v>A</v>
      </c>
      <c r="P158" s="10" t="s">
        <v>435</v>
      </c>
      <c r="Q158" s="10" t="s">
        <v>441</v>
      </c>
    </row>
    <row r="159" spans="1:17">
      <c r="A159" s="10" t="s">
        <v>215</v>
      </c>
      <c r="B159" s="10" t="s">
        <v>60</v>
      </c>
      <c r="C159" s="10" t="s">
        <v>332</v>
      </c>
      <c r="D159" s="10" t="s">
        <v>103</v>
      </c>
      <c r="E159" s="10" t="s">
        <v>115</v>
      </c>
      <c r="F159" s="11">
        <v>12876.93</v>
      </c>
      <c r="G159" s="11">
        <v>251755.6</v>
      </c>
      <c r="H159" s="12">
        <v>5.1148522796454536E-2</v>
      </c>
      <c r="I159" s="10">
        <v>4</v>
      </c>
      <c r="J159" s="21">
        <v>100</v>
      </c>
      <c r="K159" s="21">
        <v>89.999999999999986</v>
      </c>
      <c r="L159" s="21">
        <v>55</v>
      </c>
      <c r="M159" s="21">
        <v>76.399848561858846</v>
      </c>
      <c r="N159" s="21">
        <f>J159*Supuestos!$B$7+K159*Supuestos!$B$8+L159*Supuestos!$B$9+M159*Supuestos!$B$10</f>
        <v>81.029969712371766</v>
      </c>
      <c r="O159" s="34" t="str">
        <f t="shared" si="2"/>
        <v>A</v>
      </c>
      <c r="P159" s="10" t="s">
        <v>435</v>
      </c>
      <c r="Q159" s="10" t="s">
        <v>441</v>
      </c>
    </row>
    <row r="160" spans="1:17">
      <c r="A160" s="10" t="s">
        <v>101</v>
      </c>
      <c r="B160" s="10" t="s">
        <v>60</v>
      </c>
      <c r="C160" s="10" t="s">
        <v>243</v>
      </c>
      <c r="D160" s="10" t="s">
        <v>103</v>
      </c>
      <c r="E160" s="10" t="s">
        <v>115</v>
      </c>
      <c r="F160" s="11">
        <v>9225.25</v>
      </c>
      <c r="G160" s="11">
        <v>114854.99</v>
      </c>
      <c r="H160" s="12">
        <v>8.0320842327172987E-2</v>
      </c>
      <c r="I160" s="10">
        <v>4</v>
      </c>
      <c r="J160" s="21">
        <v>100</v>
      </c>
      <c r="K160" s="21">
        <v>90.000000000000014</v>
      </c>
      <c r="L160" s="21">
        <v>55</v>
      </c>
      <c r="M160" s="21">
        <v>76.399848561858846</v>
      </c>
      <c r="N160" s="21">
        <f>J160*Supuestos!$B$7+K160*Supuestos!$B$8+L160*Supuestos!$B$9+M160*Supuestos!$B$10</f>
        <v>81.029969712371766</v>
      </c>
      <c r="O160" s="34" t="str">
        <f t="shared" si="2"/>
        <v>A</v>
      </c>
      <c r="P160" s="10" t="s">
        <v>435</v>
      </c>
      <c r="Q160" s="10" t="s">
        <v>441</v>
      </c>
    </row>
    <row r="161" spans="1:17">
      <c r="A161" s="10" t="s">
        <v>111</v>
      </c>
      <c r="B161" s="10" t="s">
        <v>60</v>
      </c>
      <c r="C161" s="10" t="s">
        <v>112</v>
      </c>
      <c r="D161" s="10" t="s">
        <v>113</v>
      </c>
      <c r="E161" s="10" t="s">
        <v>115</v>
      </c>
      <c r="F161" s="11">
        <v>1663.63</v>
      </c>
      <c r="G161" s="11">
        <v>24653.35</v>
      </c>
      <c r="H161" s="12">
        <v>6.7481076441557084E-2</v>
      </c>
      <c r="I161" s="10">
        <v>2</v>
      </c>
      <c r="J161" s="21">
        <v>75</v>
      </c>
      <c r="K161" s="21">
        <v>89.999999999999986</v>
      </c>
      <c r="L161" s="21">
        <v>80</v>
      </c>
      <c r="M161" s="21">
        <v>76.399848561858846</v>
      </c>
      <c r="N161" s="21">
        <f>J161*Supuestos!$B$7+K161*Supuestos!$B$8+L161*Supuestos!$B$9+M161*Supuestos!$B$10</f>
        <v>81.029969712371766</v>
      </c>
      <c r="O161" s="34" t="str">
        <f t="shared" si="2"/>
        <v>A</v>
      </c>
      <c r="P161" s="10" t="s">
        <v>435</v>
      </c>
      <c r="Q161" s="10" t="s">
        <v>441</v>
      </c>
    </row>
    <row r="162" spans="1:17">
      <c r="A162" s="10" t="s">
        <v>255</v>
      </c>
      <c r="B162" s="10" t="s">
        <v>60</v>
      </c>
      <c r="C162" s="10" t="s">
        <v>256</v>
      </c>
      <c r="D162" s="10" t="s">
        <v>103</v>
      </c>
      <c r="E162" s="10" t="s">
        <v>467</v>
      </c>
      <c r="F162" s="11">
        <v>42799.19</v>
      </c>
      <c r="G162" s="11">
        <v>351341.95</v>
      </c>
      <c r="H162" s="12">
        <v>0.1218163342402372</v>
      </c>
      <c r="I162" s="10">
        <v>3</v>
      </c>
      <c r="J162" s="21">
        <v>100</v>
      </c>
      <c r="K162" s="21">
        <v>65</v>
      </c>
      <c r="L162" s="21">
        <v>80</v>
      </c>
      <c r="M162" s="21">
        <v>81.25</v>
      </c>
      <c r="N162" s="21">
        <f>J162*Supuestos!$B$7+K162*Supuestos!$B$8+L162*Supuestos!$B$9+M162*Supuestos!$B$10</f>
        <v>80.75</v>
      </c>
      <c r="O162" s="34" t="str">
        <f t="shared" si="2"/>
        <v>A</v>
      </c>
      <c r="P162" s="10" t="s">
        <v>447</v>
      </c>
      <c r="Q162" s="10" t="s">
        <v>441</v>
      </c>
    </row>
    <row r="163" spans="1:17">
      <c r="A163" s="10" t="s">
        <v>101</v>
      </c>
      <c r="B163" s="10" t="s">
        <v>60</v>
      </c>
      <c r="C163" s="10" t="s">
        <v>342</v>
      </c>
      <c r="D163" s="10" t="s">
        <v>103</v>
      </c>
      <c r="E163" s="10" t="s">
        <v>467</v>
      </c>
      <c r="F163" s="11">
        <v>23621.73</v>
      </c>
      <c r="G163" s="11">
        <v>95640.54</v>
      </c>
      <c r="H163" s="12">
        <v>0.24698454425665617</v>
      </c>
      <c r="I163" s="10">
        <v>2</v>
      </c>
      <c r="J163" s="21">
        <v>100</v>
      </c>
      <c r="K163" s="21">
        <v>64.999999999999986</v>
      </c>
      <c r="L163" s="21">
        <v>80</v>
      </c>
      <c r="M163" s="21">
        <v>81.25</v>
      </c>
      <c r="N163" s="21">
        <f>J163*Supuestos!$B$7+K163*Supuestos!$B$8+L163*Supuestos!$B$9+M163*Supuestos!$B$10</f>
        <v>80.75</v>
      </c>
      <c r="O163" s="34" t="str">
        <f t="shared" si="2"/>
        <v>A</v>
      </c>
      <c r="P163" s="10" t="s">
        <v>447</v>
      </c>
      <c r="Q163" s="10" t="s">
        <v>441</v>
      </c>
    </row>
    <row r="164" spans="1:17">
      <c r="A164" s="10" t="s">
        <v>111</v>
      </c>
      <c r="B164" s="10" t="s">
        <v>60</v>
      </c>
      <c r="C164" s="10" t="s">
        <v>377</v>
      </c>
      <c r="D164" s="10" t="s">
        <v>103</v>
      </c>
      <c r="E164" s="10" t="s">
        <v>467</v>
      </c>
      <c r="F164" s="11">
        <v>10339.76</v>
      </c>
      <c r="G164" s="11">
        <v>67968.179999999993</v>
      </c>
      <c r="H164" s="12">
        <v>0.15212648732956621</v>
      </c>
      <c r="I164" s="10">
        <v>3</v>
      </c>
      <c r="J164" s="21">
        <v>100</v>
      </c>
      <c r="K164" s="21">
        <v>65</v>
      </c>
      <c r="L164" s="21">
        <v>80</v>
      </c>
      <c r="M164" s="21">
        <v>81.25</v>
      </c>
      <c r="N164" s="21">
        <f>J164*Supuestos!$B$7+K164*Supuestos!$B$8+L164*Supuestos!$B$9+M164*Supuestos!$B$10</f>
        <v>80.75</v>
      </c>
      <c r="O164" s="34" t="str">
        <f t="shared" si="2"/>
        <v>A</v>
      </c>
      <c r="P164" s="10" t="s">
        <v>447</v>
      </c>
      <c r="Q164" s="10" t="s">
        <v>441</v>
      </c>
    </row>
    <row r="165" spans="1:17">
      <c r="A165" s="10" t="s">
        <v>275</v>
      </c>
      <c r="B165" s="10" t="s">
        <v>71</v>
      </c>
      <c r="C165" s="10" t="s">
        <v>316</v>
      </c>
      <c r="D165" s="10" t="s">
        <v>103</v>
      </c>
      <c r="E165" s="10" t="s">
        <v>193</v>
      </c>
      <c r="F165" s="11">
        <v>74241.100000000006</v>
      </c>
      <c r="G165" s="11">
        <v>1083764</v>
      </c>
      <c r="H165" s="12">
        <v>6.8503012716959161E-2</v>
      </c>
      <c r="I165" s="10">
        <v>5</v>
      </c>
      <c r="J165" s="21">
        <v>100</v>
      </c>
      <c r="K165" s="21">
        <v>75.000000000000014</v>
      </c>
      <c r="L165" s="21">
        <v>55</v>
      </c>
      <c r="M165" s="21">
        <v>96.676367126980296</v>
      </c>
      <c r="N165" s="21">
        <f>J165*Supuestos!$B$7+K165*Supuestos!$B$8+L165*Supuestos!$B$9+M165*Supuestos!$B$10</f>
        <v>80.585273425396053</v>
      </c>
      <c r="O165" s="34" t="str">
        <f t="shared" si="2"/>
        <v>A</v>
      </c>
      <c r="P165" s="10" t="s">
        <v>447</v>
      </c>
      <c r="Q165" s="10" t="s">
        <v>436</v>
      </c>
    </row>
    <row r="166" spans="1:17">
      <c r="A166" s="10" t="s">
        <v>275</v>
      </c>
      <c r="B166" s="10" t="s">
        <v>67</v>
      </c>
      <c r="C166" s="10" t="s">
        <v>285</v>
      </c>
      <c r="D166" s="10" t="s">
        <v>103</v>
      </c>
      <c r="E166" s="10" t="s">
        <v>193</v>
      </c>
      <c r="F166" s="11">
        <v>26559.78</v>
      </c>
      <c r="G166" s="11">
        <v>564371.87</v>
      </c>
      <c r="H166" s="12">
        <v>4.7060779144022055E-2</v>
      </c>
      <c r="I166" s="10">
        <v>5</v>
      </c>
      <c r="J166" s="21">
        <v>100</v>
      </c>
      <c r="K166" s="21">
        <v>100</v>
      </c>
      <c r="L166" s="21">
        <v>25</v>
      </c>
      <c r="M166" s="21">
        <v>96.676367126980296</v>
      </c>
      <c r="N166" s="21">
        <f>J166*Supuestos!$B$7+K166*Supuestos!$B$8+L166*Supuestos!$B$9+M166*Supuestos!$B$10</f>
        <v>80.585273425396053</v>
      </c>
      <c r="O166" s="34" t="str">
        <f t="shared" si="2"/>
        <v>A</v>
      </c>
      <c r="P166" s="10" t="s">
        <v>435</v>
      </c>
      <c r="Q166" s="10" t="s">
        <v>436</v>
      </c>
    </row>
    <row r="167" spans="1:17">
      <c r="A167" s="10" t="s">
        <v>165</v>
      </c>
      <c r="B167" s="10" t="s">
        <v>60</v>
      </c>
      <c r="C167" s="10" t="s">
        <v>166</v>
      </c>
      <c r="D167" s="10" t="s">
        <v>103</v>
      </c>
      <c r="E167" s="10" t="s">
        <v>193</v>
      </c>
      <c r="F167" s="11">
        <v>15889.77</v>
      </c>
      <c r="G167" s="11">
        <v>929838.13</v>
      </c>
      <c r="H167" s="12">
        <v>1.7088752776562261E-2</v>
      </c>
      <c r="I167" s="10">
        <v>11</v>
      </c>
      <c r="J167" s="21">
        <v>100</v>
      </c>
      <c r="K167" s="21">
        <v>99.999999999999986</v>
      </c>
      <c r="L167" s="21">
        <v>25</v>
      </c>
      <c r="M167" s="21">
        <v>96.676367126980296</v>
      </c>
      <c r="N167" s="21">
        <f>J167*Supuestos!$B$7+K167*Supuestos!$B$8+L167*Supuestos!$B$9+M167*Supuestos!$B$10</f>
        <v>80.585273425396053</v>
      </c>
      <c r="O167" s="34" t="str">
        <f t="shared" si="2"/>
        <v>A</v>
      </c>
      <c r="P167" s="10" t="s">
        <v>435</v>
      </c>
      <c r="Q167" s="10" t="s">
        <v>436</v>
      </c>
    </row>
    <row r="168" spans="1:17">
      <c r="A168" s="10" t="s">
        <v>215</v>
      </c>
      <c r="B168" s="10" t="s">
        <v>60</v>
      </c>
      <c r="C168" s="10" t="s">
        <v>332</v>
      </c>
      <c r="D168" s="10" t="s">
        <v>103</v>
      </c>
      <c r="E168" s="10" t="s">
        <v>193</v>
      </c>
      <c r="F168" s="11">
        <v>5373.04</v>
      </c>
      <c r="G168" s="11">
        <v>251755.6</v>
      </c>
      <c r="H168" s="12">
        <v>2.134228330096602E-2</v>
      </c>
      <c r="I168" s="10">
        <v>8</v>
      </c>
      <c r="J168" s="21">
        <v>100</v>
      </c>
      <c r="K168" s="21">
        <v>100</v>
      </c>
      <c r="L168" s="21">
        <v>25</v>
      </c>
      <c r="M168" s="21">
        <v>96.676367126980296</v>
      </c>
      <c r="N168" s="21">
        <f>J168*Supuestos!$B$7+K168*Supuestos!$B$8+L168*Supuestos!$B$9+M168*Supuestos!$B$10</f>
        <v>80.585273425396053</v>
      </c>
      <c r="O168" s="34" t="str">
        <f t="shared" si="2"/>
        <v>A</v>
      </c>
      <c r="P168" s="10" t="s">
        <v>435</v>
      </c>
      <c r="Q168" s="10" t="s">
        <v>436</v>
      </c>
    </row>
    <row r="169" spans="1:17">
      <c r="A169" s="10" t="s">
        <v>215</v>
      </c>
      <c r="B169" s="10" t="s">
        <v>60</v>
      </c>
      <c r="C169" s="10" t="s">
        <v>216</v>
      </c>
      <c r="D169" s="10" t="s">
        <v>103</v>
      </c>
      <c r="E169" s="10" t="s">
        <v>193</v>
      </c>
      <c r="F169" s="11">
        <v>4759.34</v>
      </c>
      <c r="G169" s="11">
        <v>656576.77</v>
      </c>
      <c r="H169" s="12">
        <v>7.2487174979252904E-3</v>
      </c>
      <c r="I169" s="10">
        <v>17</v>
      </c>
      <c r="J169" s="21">
        <v>100</v>
      </c>
      <c r="K169" s="21">
        <v>100.00000000000001</v>
      </c>
      <c r="L169" s="21">
        <v>25</v>
      </c>
      <c r="M169" s="21">
        <v>96.676367126980296</v>
      </c>
      <c r="N169" s="21">
        <f>J169*Supuestos!$B$7+K169*Supuestos!$B$8+L169*Supuestos!$B$9+M169*Supuestos!$B$10</f>
        <v>80.585273425396053</v>
      </c>
      <c r="O169" s="34" t="str">
        <f t="shared" si="2"/>
        <v>A</v>
      </c>
      <c r="P169" s="10" t="s">
        <v>435</v>
      </c>
      <c r="Q169" s="10" t="s">
        <v>436</v>
      </c>
    </row>
    <row r="170" spans="1:17">
      <c r="A170" s="10" t="s">
        <v>215</v>
      </c>
      <c r="B170" s="10" t="s">
        <v>60</v>
      </c>
      <c r="C170" s="10" t="s">
        <v>410</v>
      </c>
      <c r="D170" s="10" t="s">
        <v>103</v>
      </c>
      <c r="E170" s="10" t="s">
        <v>193</v>
      </c>
      <c r="F170" s="11">
        <v>4531.74</v>
      </c>
      <c r="G170" s="11">
        <v>273779.84999999998</v>
      </c>
      <c r="H170" s="12">
        <v>1.655248321313153E-2</v>
      </c>
      <c r="I170" s="10">
        <v>12</v>
      </c>
      <c r="J170" s="21">
        <v>100</v>
      </c>
      <c r="K170" s="21">
        <v>99.999999999999986</v>
      </c>
      <c r="L170" s="21">
        <v>25</v>
      </c>
      <c r="M170" s="21">
        <v>96.676367126980296</v>
      </c>
      <c r="N170" s="21">
        <f>J170*Supuestos!$B$7+K170*Supuestos!$B$8+L170*Supuestos!$B$9+M170*Supuestos!$B$10</f>
        <v>80.585273425396053</v>
      </c>
      <c r="O170" s="34" t="str">
        <f t="shared" si="2"/>
        <v>A</v>
      </c>
      <c r="P170" s="10" t="s">
        <v>435</v>
      </c>
      <c r="Q170" s="10" t="s">
        <v>436</v>
      </c>
    </row>
    <row r="171" spans="1:17">
      <c r="A171" s="10" t="s">
        <v>255</v>
      </c>
      <c r="B171" s="10" t="s">
        <v>60</v>
      </c>
      <c r="C171" s="10" t="s">
        <v>256</v>
      </c>
      <c r="D171" s="10" t="s">
        <v>103</v>
      </c>
      <c r="E171" s="10" t="s">
        <v>193</v>
      </c>
      <c r="F171" s="11">
        <v>2547.15</v>
      </c>
      <c r="G171" s="11">
        <v>351341.95</v>
      </c>
      <c r="H171" s="12">
        <v>7.2497855376978514E-3</v>
      </c>
      <c r="I171" s="10">
        <v>20</v>
      </c>
      <c r="J171" s="21">
        <v>100</v>
      </c>
      <c r="K171" s="21">
        <v>100.00000000000001</v>
      </c>
      <c r="L171" s="21">
        <v>25</v>
      </c>
      <c r="M171" s="21">
        <v>96.676367126980296</v>
      </c>
      <c r="N171" s="21">
        <f>J171*Supuestos!$B$7+K171*Supuestos!$B$8+L171*Supuestos!$B$9+M171*Supuestos!$B$10</f>
        <v>80.585273425396053</v>
      </c>
      <c r="O171" s="34" t="str">
        <f t="shared" si="2"/>
        <v>A</v>
      </c>
      <c r="P171" s="10" t="s">
        <v>435</v>
      </c>
      <c r="Q171" s="10" t="s">
        <v>436</v>
      </c>
    </row>
    <row r="172" spans="1:17">
      <c r="A172" s="10" t="s">
        <v>111</v>
      </c>
      <c r="B172" s="10" t="s">
        <v>65</v>
      </c>
      <c r="C172" s="10" t="s">
        <v>138</v>
      </c>
      <c r="D172" s="10" t="s">
        <v>103</v>
      </c>
      <c r="E172" s="10" t="s">
        <v>464</v>
      </c>
      <c r="F172" s="11">
        <v>46196.63</v>
      </c>
      <c r="G172" s="11">
        <v>1574650.7</v>
      </c>
      <c r="H172" s="12">
        <v>2.9337700056887715E-2</v>
      </c>
      <c r="I172" s="10">
        <v>5</v>
      </c>
      <c r="J172" s="21">
        <v>100</v>
      </c>
      <c r="K172" s="21">
        <v>99.999999999999986</v>
      </c>
      <c r="L172" s="21">
        <v>25</v>
      </c>
      <c r="M172" s="21">
        <v>94.993714604403294</v>
      </c>
      <c r="N172" s="21">
        <f>J172*Supuestos!$B$7+K172*Supuestos!$B$8+L172*Supuestos!$B$9+M172*Supuestos!$B$10</f>
        <v>80.248742920880659</v>
      </c>
      <c r="O172" s="34" t="str">
        <f t="shared" si="2"/>
        <v>A</v>
      </c>
      <c r="P172" s="10" t="s">
        <v>502</v>
      </c>
      <c r="Q172" s="10" t="s">
        <v>436</v>
      </c>
    </row>
    <row r="173" spans="1:17">
      <c r="A173" s="10" t="s">
        <v>111</v>
      </c>
      <c r="B173" s="10" t="s">
        <v>65</v>
      </c>
      <c r="C173" s="10" t="s">
        <v>144</v>
      </c>
      <c r="D173" s="10" t="s">
        <v>103</v>
      </c>
      <c r="E173" s="10" t="s">
        <v>464</v>
      </c>
      <c r="F173" s="11">
        <v>20904.419999999998</v>
      </c>
      <c r="G173" s="11">
        <v>2550637.33</v>
      </c>
      <c r="H173" s="12">
        <v>8.1957644999215828E-3</v>
      </c>
      <c r="I173" s="10">
        <v>8</v>
      </c>
      <c r="J173" s="21">
        <v>100</v>
      </c>
      <c r="K173" s="21">
        <v>100</v>
      </c>
      <c r="L173" s="21">
        <v>25</v>
      </c>
      <c r="M173" s="21">
        <v>94.993714604403294</v>
      </c>
      <c r="N173" s="21">
        <f>J173*Supuestos!$B$7+K173*Supuestos!$B$8+L173*Supuestos!$B$9+M173*Supuestos!$B$10</f>
        <v>80.248742920880659</v>
      </c>
      <c r="O173" s="34" t="str">
        <f t="shared" si="2"/>
        <v>A</v>
      </c>
      <c r="P173" s="10" t="s">
        <v>502</v>
      </c>
      <c r="Q173" s="10" t="s">
        <v>436</v>
      </c>
    </row>
    <row r="174" spans="1:17">
      <c r="A174" s="10" t="s">
        <v>255</v>
      </c>
      <c r="B174" s="10" t="s">
        <v>60</v>
      </c>
      <c r="C174" s="10" t="s">
        <v>392</v>
      </c>
      <c r="D174" s="10" t="s">
        <v>103</v>
      </c>
      <c r="E174" s="10" t="s">
        <v>464</v>
      </c>
      <c r="F174" s="11">
        <v>10281.01</v>
      </c>
      <c r="G174" s="11">
        <v>180471.74</v>
      </c>
      <c r="H174" s="12">
        <v>5.6967413705900902E-2</v>
      </c>
      <c r="I174" s="10">
        <v>7</v>
      </c>
      <c r="J174" s="21">
        <v>100</v>
      </c>
      <c r="K174" s="21">
        <v>75</v>
      </c>
      <c r="L174" s="21">
        <v>55</v>
      </c>
      <c r="M174" s="21">
        <v>94.993714604403294</v>
      </c>
      <c r="N174" s="21">
        <f>J174*Supuestos!$B$7+K174*Supuestos!$B$8+L174*Supuestos!$B$9+M174*Supuestos!$B$10</f>
        <v>80.248742920880659</v>
      </c>
      <c r="O174" s="34" t="str">
        <f t="shared" si="2"/>
        <v>A</v>
      </c>
      <c r="P174" s="10" t="s">
        <v>447</v>
      </c>
      <c r="Q174" s="10" t="s">
        <v>436</v>
      </c>
    </row>
    <row r="175" spans="1:17">
      <c r="A175" s="10" t="s">
        <v>111</v>
      </c>
      <c r="B175" s="10" t="s">
        <v>60</v>
      </c>
      <c r="C175" s="10" t="s">
        <v>357</v>
      </c>
      <c r="D175" s="10" t="s">
        <v>113</v>
      </c>
      <c r="E175" s="10" t="s">
        <v>464</v>
      </c>
      <c r="F175" s="11">
        <v>578.52</v>
      </c>
      <c r="G175" s="11">
        <v>17053.509999999998</v>
      </c>
      <c r="H175" s="12">
        <v>3.392379066270583E-2</v>
      </c>
      <c r="I175" s="10">
        <v>3</v>
      </c>
      <c r="J175" s="21">
        <v>75</v>
      </c>
      <c r="K175" s="21">
        <v>75</v>
      </c>
      <c r="L175" s="21">
        <v>80</v>
      </c>
      <c r="M175" s="21">
        <v>94.993714604403294</v>
      </c>
      <c r="N175" s="21">
        <f>J175*Supuestos!$B$7+K175*Supuestos!$B$8+L175*Supuestos!$B$9+M175*Supuestos!$B$10</f>
        <v>80.248742920880659</v>
      </c>
      <c r="O175" s="34" t="str">
        <f t="shared" si="2"/>
        <v>A</v>
      </c>
      <c r="P175" s="10" t="s">
        <v>447</v>
      </c>
      <c r="Q175" s="10" t="s">
        <v>436</v>
      </c>
    </row>
    <row r="176" spans="1:17">
      <c r="A176" s="10" t="s">
        <v>101</v>
      </c>
      <c r="B176" s="10" t="s">
        <v>60</v>
      </c>
      <c r="C176" s="10" t="s">
        <v>342</v>
      </c>
      <c r="D176" s="10" t="s">
        <v>103</v>
      </c>
      <c r="E176" s="10" t="s">
        <v>193</v>
      </c>
      <c r="F176" s="11">
        <v>1438.17</v>
      </c>
      <c r="G176" s="11">
        <v>95640.54</v>
      </c>
      <c r="H176" s="12">
        <v>1.5037225224871739E-2</v>
      </c>
      <c r="I176" s="10">
        <v>8</v>
      </c>
      <c r="J176" s="21">
        <v>100</v>
      </c>
      <c r="K176" s="21">
        <v>98.625788214829299</v>
      </c>
      <c r="L176" s="21">
        <v>25</v>
      </c>
      <c r="M176" s="21">
        <v>96.676367126980296</v>
      </c>
      <c r="N176" s="21">
        <f>J176*Supuestos!$B$7+K176*Supuestos!$B$8+L176*Supuestos!$B$9+M176*Supuestos!$B$10</f>
        <v>80.173009889844849</v>
      </c>
      <c r="O176" s="34" t="str">
        <f t="shared" si="2"/>
        <v>A</v>
      </c>
      <c r="P176" s="10" t="s">
        <v>435</v>
      </c>
      <c r="Q176" s="10" t="s">
        <v>436</v>
      </c>
    </row>
    <row r="177" spans="1:17">
      <c r="A177" s="10" t="s">
        <v>165</v>
      </c>
      <c r="B177" s="10" t="s">
        <v>60</v>
      </c>
      <c r="C177" s="10" t="s">
        <v>247</v>
      </c>
      <c r="D177" s="10" t="s">
        <v>103</v>
      </c>
      <c r="E177" s="10" t="s">
        <v>475</v>
      </c>
      <c r="F177" s="11">
        <v>23398.93</v>
      </c>
      <c r="G177" s="11">
        <v>125931.16</v>
      </c>
      <c r="H177" s="12">
        <v>0.18580728500957103</v>
      </c>
      <c r="I177" s="10">
        <v>2</v>
      </c>
      <c r="J177" s="21">
        <v>100</v>
      </c>
      <c r="K177" s="21">
        <v>65</v>
      </c>
      <c r="L177" s="21">
        <v>80</v>
      </c>
      <c r="M177" s="21">
        <v>77.637143099450157</v>
      </c>
      <c r="N177" s="21">
        <f>J177*Supuestos!$B$7+K177*Supuestos!$B$8+L177*Supuestos!$B$9+M177*Supuestos!$B$10</f>
        <v>80.027428619890031</v>
      </c>
      <c r="O177" s="34" t="str">
        <f t="shared" si="2"/>
        <v>A</v>
      </c>
      <c r="P177" s="10" t="s">
        <v>447</v>
      </c>
      <c r="Q177" s="10" t="s">
        <v>441</v>
      </c>
    </row>
    <row r="178" spans="1:17">
      <c r="A178" s="10" t="s">
        <v>111</v>
      </c>
      <c r="B178" s="10" t="s">
        <v>73</v>
      </c>
      <c r="C178" s="10" t="s">
        <v>418</v>
      </c>
      <c r="D178" s="10" t="s">
        <v>103</v>
      </c>
      <c r="E178" s="10" t="s">
        <v>213</v>
      </c>
      <c r="F178" s="11">
        <v>54387.77</v>
      </c>
      <c r="G178" s="11">
        <v>642203.68000000005</v>
      </c>
      <c r="H178" s="12">
        <v>8.4689280675812592E-2</v>
      </c>
      <c r="I178" s="10">
        <v>4</v>
      </c>
      <c r="J178" s="21">
        <v>100</v>
      </c>
      <c r="K178" s="21">
        <v>75</v>
      </c>
      <c r="L178" s="21">
        <v>55</v>
      </c>
      <c r="M178" s="21">
        <v>93.75</v>
      </c>
      <c r="N178" s="21">
        <f>J178*Supuestos!$B$7+K178*Supuestos!$B$8+L178*Supuestos!$B$9+M178*Supuestos!$B$10</f>
        <v>80</v>
      </c>
      <c r="O178" s="34" t="str">
        <f t="shared" si="2"/>
        <v>A</v>
      </c>
      <c r="P178" s="10" t="s">
        <v>447</v>
      </c>
      <c r="Q178" s="10" t="s">
        <v>436</v>
      </c>
    </row>
    <row r="179" spans="1:17">
      <c r="A179" s="10" t="s">
        <v>255</v>
      </c>
      <c r="B179" s="10" t="s">
        <v>60</v>
      </c>
      <c r="C179" s="10" t="s">
        <v>392</v>
      </c>
      <c r="D179" s="10" t="s">
        <v>103</v>
      </c>
      <c r="E179" s="10" t="s">
        <v>213</v>
      </c>
      <c r="F179" s="11">
        <v>11384.24</v>
      </c>
      <c r="G179" s="11">
        <v>180471.74</v>
      </c>
      <c r="H179" s="12">
        <v>6.3080449391245977E-2</v>
      </c>
      <c r="I179" s="10">
        <v>6</v>
      </c>
      <c r="J179" s="21">
        <v>100</v>
      </c>
      <c r="K179" s="21">
        <v>75.000000000000014</v>
      </c>
      <c r="L179" s="21">
        <v>55</v>
      </c>
      <c r="M179" s="21">
        <v>93.75</v>
      </c>
      <c r="N179" s="21">
        <f>J179*Supuestos!$B$7+K179*Supuestos!$B$8+L179*Supuestos!$B$9+M179*Supuestos!$B$10</f>
        <v>80</v>
      </c>
      <c r="O179" s="34" t="str">
        <f t="shared" si="2"/>
        <v>A</v>
      </c>
      <c r="P179" s="10" t="s">
        <v>447</v>
      </c>
      <c r="Q179" s="10" t="s">
        <v>436</v>
      </c>
    </row>
    <row r="180" spans="1:17">
      <c r="A180" s="10" t="s">
        <v>101</v>
      </c>
      <c r="B180" s="10" t="s">
        <v>60</v>
      </c>
      <c r="C180" s="10" t="s">
        <v>243</v>
      </c>
      <c r="D180" s="10" t="s">
        <v>103</v>
      </c>
      <c r="E180" s="10" t="s">
        <v>213</v>
      </c>
      <c r="F180" s="11">
        <v>8777.98</v>
      </c>
      <c r="G180" s="11">
        <v>114854.99</v>
      </c>
      <c r="H180" s="12">
        <v>7.6426647256014849E-2</v>
      </c>
      <c r="I180" s="10">
        <v>7</v>
      </c>
      <c r="J180" s="21">
        <v>100</v>
      </c>
      <c r="K180" s="21">
        <v>75</v>
      </c>
      <c r="L180" s="21">
        <v>55</v>
      </c>
      <c r="M180" s="21">
        <v>93.75</v>
      </c>
      <c r="N180" s="21">
        <f>J180*Supuestos!$B$7+K180*Supuestos!$B$8+L180*Supuestos!$B$9+M180*Supuestos!$B$10</f>
        <v>80</v>
      </c>
      <c r="O180" s="34" t="str">
        <f t="shared" si="2"/>
        <v>A</v>
      </c>
      <c r="P180" s="10" t="s">
        <v>447</v>
      </c>
      <c r="Q180" s="10" t="s">
        <v>436</v>
      </c>
    </row>
    <row r="181" spans="1:17">
      <c r="A181" s="10" t="s">
        <v>111</v>
      </c>
      <c r="B181" s="10" t="s">
        <v>65</v>
      </c>
      <c r="C181" s="10" t="s">
        <v>144</v>
      </c>
      <c r="D181" s="10" t="s">
        <v>103</v>
      </c>
      <c r="E181" s="10" t="s">
        <v>151</v>
      </c>
      <c r="F181" s="11">
        <v>188515.33</v>
      </c>
      <c r="G181" s="11">
        <v>2550637.33</v>
      </c>
      <c r="H181" s="12">
        <v>7.3909109165430101E-2</v>
      </c>
      <c r="I181" s="10">
        <v>4</v>
      </c>
      <c r="J181" s="21">
        <v>100</v>
      </c>
      <c r="K181" s="21">
        <v>75</v>
      </c>
      <c r="L181" s="21">
        <v>55</v>
      </c>
      <c r="M181" s="21">
        <v>93.580645922060057</v>
      </c>
      <c r="N181" s="21">
        <f>J181*Supuestos!$B$7+K181*Supuestos!$B$8+L181*Supuestos!$B$9+M181*Supuestos!$B$10</f>
        <v>79.966129184412011</v>
      </c>
      <c r="O181" s="34" t="str">
        <f t="shared" si="2"/>
        <v>B</v>
      </c>
      <c r="P181" s="10" t="s">
        <v>447</v>
      </c>
      <c r="Q181" s="10" t="s">
        <v>436</v>
      </c>
    </row>
    <row r="182" spans="1:17">
      <c r="A182" s="10" t="s">
        <v>165</v>
      </c>
      <c r="B182" s="10" t="s">
        <v>60</v>
      </c>
      <c r="C182" s="10" t="s">
        <v>302</v>
      </c>
      <c r="D182" s="10" t="s">
        <v>103</v>
      </c>
      <c r="E182" s="10" t="s">
        <v>151</v>
      </c>
      <c r="F182" s="11">
        <v>27263.38</v>
      </c>
      <c r="G182" s="11">
        <v>357771.85</v>
      </c>
      <c r="H182" s="12">
        <v>7.6203269377733238E-2</v>
      </c>
      <c r="I182" s="10">
        <v>5</v>
      </c>
      <c r="J182" s="21">
        <v>100</v>
      </c>
      <c r="K182" s="21">
        <v>75.000000000000014</v>
      </c>
      <c r="L182" s="21">
        <v>55</v>
      </c>
      <c r="M182" s="21">
        <v>93.580645922060057</v>
      </c>
      <c r="N182" s="21">
        <f>J182*Supuestos!$B$7+K182*Supuestos!$B$8+L182*Supuestos!$B$9+M182*Supuestos!$B$10</f>
        <v>79.966129184412011</v>
      </c>
      <c r="O182" s="34" t="str">
        <f t="shared" si="2"/>
        <v>B</v>
      </c>
      <c r="P182" s="10" t="s">
        <v>447</v>
      </c>
      <c r="Q182" s="10" t="s">
        <v>436</v>
      </c>
    </row>
    <row r="183" spans="1:17">
      <c r="A183" s="10" t="s">
        <v>119</v>
      </c>
      <c r="B183" s="10" t="s">
        <v>396</v>
      </c>
      <c r="C183" s="10" t="s">
        <v>397</v>
      </c>
      <c r="D183" s="10" t="s">
        <v>113</v>
      </c>
      <c r="E183" s="10" t="s">
        <v>151</v>
      </c>
      <c r="F183" s="11">
        <v>24513.52</v>
      </c>
      <c r="G183" s="11">
        <v>186817.82</v>
      </c>
      <c r="H183" s="12">
        <v>0.13121617712724082</v>
      </c>
      <c r="I183" s="10">
        <v>2</v>
      </c>
      <c r="J183" s="21">
        <v>75</v>
      </c>
      <c r="K183" s="21">
        <v>75</v>
      </c>
      <c r="L183" s="21">
        <v>80</v>
      </c>
      <c r="M183" s="21">
        <v>93.580645922060057</v>
      </c>
      <c r="N183" s="21">
        <f>J183*Supuestos!$B$7+K183*Supuestos!$B$8+L183*Supuestos!$B$9+M183*Supuestos!$B$10</f>
        <v>79.966129184412011</v>
      </c>
      <c r="O183" s="34" t="str">
        <f t="shared" si="2"/>
        <v>B</v>
      </c>
      <c r="P183" s="10" t="s">
        <v>447</v>
      </c>
      <c r="Q183" s="10" t="s">
        <v>436</v>
      </c>
    </row>
    <row r="184" spans="1:17">
      <c r="A184" s="10" t="s">
        <v>119</v>
      </c>
      <c r="B184" s="10" t="s">
        <v>186</v>
      </c>
      <c r="C184" s="10" t="s">
        <v>187</v>
      </c>
      <c r="D184" s="10" t="s">
        <v>103</v>
      </c>
      <c r="E184" s="10" t="s">
        <v>151</v>
      </c>
      <c r="F184" s="11">
        <v>14007.33</v>
      </c>
      <c r="G184" s="11">
        <v>159511.35999999999</v>
      </c>
      <c r="H184" s="12">
        <v>8.7814023286298129E-2</v>
      </c>
      <c r="I184" s="10">
        <v>6</v>
      </c>
      <c r="J184" s="21">
        <v>100</v>
      </c>
      <c r="K184" s="21">
        <v>75</v>
      </c>
      <c r="L184" s="21">
        <v>55</v>
      </c>
      <c r="M184" s="21">
        <v>93.580645922060057</v>
      </c>
      <c r="N184" s="21">
        <f>J184*Supuestos!$B$7+K184*Supuestos!$B$8+L184*Supuestos!$B$9+M184*Supuestos!$B$10</f>
        <v>79.966129184412011</v>
      </c>
      <c r="O184" s="34" t="str">
        <f t="shared" si="2"/>
        <v>B</v>
      </c>
      <c r="P184" s="10" t="s">
        <v>447</v>
      </c>
      <c r="Q184" s="10" t="s">
        <v>436</v>
      </c>
    </row>
    <row r="185" spans="1:17">
      <c r="A185" s="10" t="s">
        <v>101</v>
      </c>
      <c r="B185" s="10" t="s">
        <v>60</v>
      </c>
      <c r="C185" s="10" t="s">
        <v>243</v>
      </c>
      <c r="D185" s="10" t="s">
        <v>103</v>
      </c>
      <c r="E185" s="10" t="s">
        <v>151</v>
      </c>
      <c r="F185" s="11">
        <v>9018.65</v>
      </c>
      <c r="G185" s="11">
        <v>114854.99</v>
      </c>
      <c r="H185" s="12">
        <v>7.8522059141567471E-2</v>
      </c>
      <c r="I185" s="10">
        <v>5</v>
      </c>
      <c r="J185" s="21">
        <v>100</v>
      </c>
      <c r="K185" s="21">
        <v>75</v>
      </c>
      <c r="L185" s="21">
        <v>55</v>
      </c>
      <c r="M185" s="21">
        <v>93.580645922060057</v>
      </c>
      <c r="N185" s="21">
        <f>J185*Supuestos!$B$7+K185*Supuestos!$B$8+L185*Supuestos!$B$9+M185*Supuestos!$B$10</f>
        <v>79.966129184412011</v>
      </c>
      <c r="O185" s="34" t="str">
        <f t="shared" si="2"/>
        <v>B</v>
      </c>
      <c r="P185" s="10" t="s">
        <v>447</v>
      </c>
      <c r="Q185" s="10" t="s">
        <v>436</v>
      </c>
    </row>
    <row r="186" spans="1:17">
      <c r="A186" s="10" t="s">
        <v>255</v>
      </c>
      <c r="B186" s="10" t="s">
        <v>60</v>
      </c>
      <c r="C186" s="10" t="s">
        <v>328</v>
      </c>
      <c r="D186" s="10" t="s">
        <v>103</v>
      </c>
      <c r="E186" s="10" t="s">
        <v>151</v>
      </c>
      <c r="F186" s="11">
        <v>8452.58</v>
      </c>
      <c r="G186" s="11">
        <v>132474.79999999999</v>
      </c>
      <c r="H186" s="12">
        <v>6.3805168222185404E-2</v>
      </c>
      <c r="I186" s="10">
        <v>4</v>
      </c>
      <c r="J186" s="21">
        <v>100</v>
      </c>
      <c r="K186" s="21">
        <v>74.999999999999986</v>
      </c>
      <c r="L186" s="21">
        <v>55</v>
      </c>
      <c r="M186" s="21">
        <v>93.580645922060057</v>
      </c>
      <c r="N186" s="21">
        <f>J186*Supuestos!$B$7+K186*Supuestos!$B$8+L186*Supuestos!$B$9+M186*Supuestos!$B$10</f>
        <v>79.966129184412011</v>
      </c>
      <c r="O186" s="34" t="str">
        <f t="shared" si="2"/>
        <v>B</v>
      </c>
      <c r="P186" s="10" t="s">
        <v>447</v>
      </c>
      <c r="Q186" s="10" t="s">
        <v>436</v>
      </c>
    </row>
    <row r="187" spans="1:17">
      <c r="A187" s="10" t="s">
        <v>111</v>
      </c>
      <c r="B187" s="10" t="s">
        <v>73</v>
      </c>
      <c r="C187" s="10" t="s">
        <v>418</v>
      </c>
      <c r="D187" s="10" t="s">
        <v>103</v>
      </c>
      <c r="E187" s="10" t="s">
        <v>446</v>
      </c>
      <c r="F187" s="11">
        <v>42443.01</v>
      </c>
      <c r="G187" s="11">
        <v>642203.68000000005</v>
      </c>
      <c r="H187" s="12">
        <v>6.6089635611282047E-2</v>
      </c>
      <c r="I187" s="10">
        <v>6</v>
      </c>
      <c r="J187" s="21">
        <v>100</v>
      </c>
      <c r="K187" s="21">
        <v>74.999999999999986</v>
      </c>
      <c r="L187" s="21">
        <v>55</v>
      </c>
      <c r="M187" s="21">
        <v>93.560509294235828</v>
      </c>
      <c r="N187" s="21">
        <f>J187*Supuestos!$B$7+K187*Supuestos!$B$8+L187*Supuestos!$B$9+M187*Supuestos!$B$10</f>
        <v>79.962101858847163</v>
      </c>
      <c r="O187" s="34" t="str">
        <f t="shared" si="2"/>
        <v>B</v>
      </c>
      <c r="P187" s="10" t="s">
        <v>447</v>
      </c>
      <c r="Q187" s="10" t="s">
        <v>436</v>
      </c>
    </row>
    <row r="188" spans="1:17">
      <c r="A188" s="10" t="s">
        <v>165</v>
      </c>
      <c r="B188" s="10" t="s">
        <v>60</v>
      </c>
      <c r="C188" s="10" t="s">
        <v>302</v>
      </c>
      <c r="D188" s="10" t="s">
        <v>103</v>
      </c>
      <c r="E188" s="10" t="s">
        <v>446</v>
      </c>
      <c r="F188" s="11">
        <v>20724.55</v>
      </c>
      <c r="G188" s="11">
        <v>357771.85</v>
      </c>
      <c r="H188" s="12">
        <v>5.7926721535771074E-2</v>
      </c>
      <c r="I188" s="10">
        <v>6</v>
      </c>
      <c r="J188" s="21">
        <v>100</v>
      </c>
      <c r="K188" s="21">
        <v>75</v>
      </c>
      <c r="L188" s="21">
        <v>55</v>
      </c>
      <c r="M188" s="21">
        <v>93.560509294235828</v>
      </c>
      <c r="N188" s="21">
        <f>J188*Supuestos!$B$7+K188*Supuestos!$B$8+L188*Supuestos!$B$9+M188*Supuestos!$B$10</f>
        <v>79.962101858847163</v>
      </c>
      <c r="O188" s="34" t="str">
        <f t="shared" si="2"/>
        <v>B</v>
      </c>
      <c r="P188" s="10" t="s">
        <v>447</v>
      </c>
      <c r="Q188" s="10" t="s">
        <v>436</v>
      </c>
    </row>
    <row r="189" spans="1:17">
      <c r="A189" s="10" t="s">
        <v>255</v>
      </c>
      <c r="B189" s="10" t="s">
        <v>60</v>
      </c>
      <c r="C189" s="10" t="s">
        <v>256</v>
      </c>
      <c r="D189" s="10" t="s">
        <v>103</v>
      </c>
      <c r="E189" s="10" t="s">
        <v>446</v>
      </c>
      <c r="F189" s="11">
        <v>17592.52</v>
      </c>
      <c r="G189" s="11">
        <v>351341.95</v>
      </c>
      <c r="H189" s="12">
        <v>5.0072354499667696E-2</v>
      </c>
      <c r="I189" s="10">
        <v>4</v>
      </c>
      <c r="J189" s="21">
        <v>100</v>
      </c>
      <c r="K189" s="21">
        <v>75</v>
      </c>
      <c r="L189" s="21">
        <v>55</v>
      </c>
      <c r="M189" s="21">
        <v>93.560509294235828</v>
      </c>
      <c r="N189" s="21">
        <f>J189*Supuestos!$B$7+K189*Supuestos!$B$8+L189*Supuestos!$B$9+M189*Supuestos!$B$10</f>
        <v>79.962101858847163</v>
      </c>
      <c r="O189" s="34" t="str">
        <f t="shared" si="2"/>
        <v>B</v>
      </c>
      <c r="P189" s="10" t="s">
        <v>447</v>
      </c>
      <c r="Q189" s="10" t="s">
        <v>436</v>
      </c>
    </row>
    <row r="190" spans="1:17">
      <c r="A190" s="10" t="s">
        <v>255</v>
      </c>
      <c r="B190" s="10" t="s">
        <v>60</v>
      </c>
      <c r="C190" s="10" t="s">
        <v>392</v>
      </c>
      <c r="D190" s="10" t="s">
        <v>103</v>
      </c>
      <c r="E190" s="10" t="s">
        <v>446</v>
      </c>
      <c r="F190" s="11">
        <v>13748.37</v>
      </c>
      <c r="G190" s="11">
        <v>180471.74</v>
      </c>
      <c r="H190" s="12">
        <v>7.6180155724713872E-2</v>
      </c>
      <c r="I190" s="10">
        <v>5</v>
      </c>
      <c r="J190" s="21">
        <v>100</v>
      </c>
      <c r="K190" s="21">
        <v>74.999999999999986</v>
      </c>
      <c r="L190" s="21">
        <v>55</v>
      </c>
      <c r="M190" s="21">
        <v>93.560509294235828</v>
      </c>
      <c r="N190" s="21">
        <f>J190*Supuestos!$B$7+K190*Supuestos!$B$8+L190*Supuestos!$B$9+M190*Supuestos!$B$10</f>
        <v>79.962101858847163</v>
      </c>
      <c r="O190" s="34" t="str">
        <f t="shared" si="2"/>
        <v>B</v>
      </c>
      <c r="P190" s="10" t="s">
        <v>447</v>
      </c>
      <c r="Q190" s="10" t="s">
        <v>436</v>
      </c>
    </row>
    <row r="191" spans="1:17">
      <c r="A191" s="10" t="s">
        <v>101</v>
      </c>
      <c r="B191" s="10" t="s">
        <v>60</v>
      </c>
      <c r="C191" s="10" t="s">
        <v>243</v>
      </c>
      <c r="D191" s="10" t="s">
        <v>103</v>
      </c>
      <c r="E191" s="10" t="s">
        <v>446</v>
      </c>
      <c r="F191" s="11">
        <v>8514.2999999999993</v>
      </c>
      <c r="G191" s="11">
        <v>114854.99</v>
      </c>
      <c r="H191" s="12">
        <v>7.4130831874386807E-2</v>
      </c>
      <c r="I191" s="10">
        <v>8</v>
      </c>
      <c r="J191" s="21">
        <v>100</v>
      </c>
      <c r="K191" s="21">
        <v>74.999999999999986</v>
      </c>
      <c r="L191" s="21">
        <v>55</v>
      </c>
      <c r="M191" s="21">
        <v>93.560509294235828</v>
      </c>
      <c r="N191" s="21">
        <f>J191*Supuestos!$B$7+K191*Supuestos!$B$8+L191*Supuestos!$B$9+M191*Supuestos!$B$10</f>
        <v>79.962101858847163</v>
      </c>
      <c r="O191" s="34" t="str">
        <f t="shared" si="2"/>
        <v>B</v>
      </c>
      <c r="P191" s="10" t="s">
        <v>447</v>
      </c>
      <c r="Q191" s="10" t="s">
        <v>436</v>
      </c>
    </row>
    <row r="192" spans="1:17">
      <c r="A192" s="10" t="s">
        <v>119</v>
      </c>
      <c r="B192" s="10" t="s">
        <v>186</v>
      </c>
      <c r="C192" s="10" t="s">
        <v>187</v>
      </c>
      <c r="D192" s="10" t="s">
        <v>103</v>
      </c>
      <c r="E192" s="10" t="s">
        <v>469</v>
      </c>
      <c r="F192" s="11">
        <v>12514.78</v>
      </c>
      <c r="G192" s="11">
        <v>159511.35999999999</v>
      </c>
      <c r="H192" s="12">
        <v>7.8457014658967178E-2</v>
      </c>
      <c r="I192" s="10">
        <v>7</v>
      </c>
      <c r="J192" s="21">
        <v>100</v>
      </c>
      <c r="K192" s="21">
        <v>75</v>
      </c>
      <c r="L192" s="21">
        <v>55</v>
      </c>
      <c r="M192" s="21">
        <v>93.504836461954255</v>
      </c>
      <c r="N192" s="21">
        <f>J192*Supuestos!$B$7+K192*Supuestos!$B$8+L192*Supuestos!$B$9+M192*Supuestos!$B$10</f>
        <v>79.950967292390857</v>
      </c>
      <c r="O192" s="34" t="str">
        <f t="shared" si="2"/>
        <v>B</v>
      </c>
      <c r="P192" s="10" t="s">
        <v>447</v>
      </c>
      <c r="Q192" s="10" t="s">
        <v>436</v>
      </c>
    </row>
    <row r="193" spans="1:17">
      <c r="A193" s="10" t="s">
        <v>111</v>
      </c>
      <c r="B193" s="10" t="s">
        <v>60</v>
      </c>
      <c r="C193" s="10" t="s">
        <v>339</v>
      </c>
      <c r="D193" s="10" t="s">
        <v>103</v>
      </c>
      <c r="E193" s="10" t="s">
        <v>458</v>
      </c>
      <c r="F193" s="11">
        <v>11797.94</v>
      </c>
      <c r="G193" s="11">
        <v>114879.92</v>
      </c>
      <c r="H193" s="12">
        <v>0.10269802859287966</v>
      </c>
      <c r="I193" s="10">
        <v>5</v>
      </c>
      <c r="J193" s="21">
        <v>100</v>
      </c>
      <c r="K193" s="21">
        <v>75.000000000000014</v>
      </c>
      <c r="L193" s="21">
        <v>80</v>
      </c>
      <c r="M193" s="21">
        <v>61.25</v>
      </c>
      <c r="N193" s="21">
        <f>J193*Supuestos!$B$7+K193*Supuestos!$B$8+L193*Supuestos!$B$9+M193*Supuestos!$B$10</f>
        <v>79.75</v>
      </c>
      <c r="O193" s="34" t="str">
        <f t="shared" si="2"/>
        <v>B</v>
      </c>
      <c r="P193" s="10" t="s">
        <v>447</v>
      </c>
      <c r="Q193" s="10" t="s">
        <v>436</v>
      </c>
    </row>
    <row r="194" spans="1:17">
      <c r="A194" s="10" t="s">
        <v>111</v>
      </c>
      <c r="B194" s="10" t="s">
        <v>69</v>
      </c>
      <c r="C194" s="10" t="s">
        <v>309</v>
      </c>
      <c r="D194" s="10" t="s">
        <v>103</v>
      </c>
      <c r="E194" s="10" t="s">
        <v>464</v>
      </c>
      <c r="F194" s="11">
        <v>27463.5</v>
      </c>
      <c r="G194" s="11">
        <v>712220.68</v>
      </c>
      <c r="H194" s="12">
        <v>3.8560380936460879E-2</v>
      </c>
      <c r="I194" s="10">
        <v>11</v>
      </c>
      <c r="J194" s="21">
        <v>100</v>
      </c>
      <c r="K194" s="21">
        <v>98.330396910550149</v>
      </c>
      <c r="L194" s="21">
        <v>25</v>
      </c>
      <c r="M194" s="21">
        <v>94.993714604403294</v>
      </c>
      <c r="N194" s="21">
        <f>J194*Supuestos!$B$7+K194*Supuestos!$B$8+L194*Supuestos!$B$9+M194*Supuestos!$B$10</f>
        <v>79.747861994045707</v>
      </c>
      <c r="O194" s="34" t="str">
        <f t="shared" si="2"/>
        <v>B</v>
      </c>
      <c r="P194" s="10" t="s">
        <v>502</v>
      </c>
      <c r="Q194" s="10" t="s">
        <v>436</v>
      </c>
    </row>
    <row r="195" spans="1:17">
      <c r="A195" s="10" t="s">
        <v>119</v>
      </c>
      <c r="B195" s="10" t="s">
        <v>75</v>
      </c>
      <c r="C195" s="10" t="s">
        <v>400</v>
      </c>
      <c r="D195" s="10" t="s">
        <v>127</v>
      </c>
      <c r="E195" s="10" t="s">
        <v>469</v>
      </c>
      <c r="F195" s="11">
        <v>37648.620000000003</v>
      </c>
      <c r="G195" s="11">
        <v>752313.74</v>
      </c>
      <c r="H195" s="12">
        <v>5.0043769232475381E-2</v>
      </c>
      <c r="I195" s="10">
        <v>3</v>
      </c>
      <c r="J195" s="21">
        <v>85</v>
      </c>
      <c r="K195" s="21">
        <v>64.999999999999986</v>
      </c>
      <c r="L195" s="21">
        <v>80</v>
      </c>
      <c r="M195" s="21">
        <v>93.504836461954255</v>
      </c>
      <c r="N195" s="21">
        <f>J195*Supuestos!$B$7+K195*Supuestos!$B$8+L195*Supuestos!$B$9+M195*Supuestos!$B$10</f>
        <v>79.450967292390857</v>
      </c>
      <c r="O195" s="34" t="str">
        <f t="shared" si="2"/>
        <v>B</v>
      </c>
      <c r="P195" s="10" t="s">
        <v>447</v>
      </c>
      <c r="Q195" s="10" t="s">
        <v>441</v>
      </c>
    </row>
    <row r="196" spans="1:17">
      <c r="A196" s="10" t="s">
        <v>275</v>
      </c>
      <c r="B196" s="10" t="s">
        <v>71</v>
      </c>
      <c r="C196" s="10" t="s">
        <v>316</v>
      </c>
      <c r="D196" s="10" t="s">
        <v>103</v>
      </c>
      <c r="E196" s="10" t="s">
        <v>459</v>
      </c>
      <c r="F196" s="11">
        <v>36010.03</v>
      </c>
      <c r="G196" s="11">
        <v>1083764</v>
      </c>
      <c r="H196" s="12">
        <v>3.32268155861596E-2</v>
      </c>
      <c r="I196" s="10">
        <v>7</v>
      </c>
      <c r="J196" s="21">
        <v>100</v>
      </c>
      <c r="K196" s="21">
        <v>100</v>
      </c>
      <c r="L196" s="21">
        <v>25</v>
      </c>
      <c r="M196" s="21">
        <v>90</v>
      </c>
      <c r="N196" s="21">
        <f>J196*Supuestos!$B$7+K196*Supuestos!$B$8+L196*Supuestos!$B$9+M196*Supuestos!$B$10</f>
        <v>79.25</v>
      </c>
      <c r="O196" s="34" t="str">
        <f t="shared" si="2"/>
        <v>B</v>
      </c>
      <c r="P196" s="10" t="s">
        <v>435</v>
      </c>
      <c r="Q196" s="10" t="s">
        <v>436</v>
      </c>
    </row>
    <row r="197" spans="1:17">
      <c r="A197" s="10" t="s">
        <v>275</v>
      </c>
      <c r="B197" s="10" t="s">
        <v>71</v>
      </c>
      <c r="C197" s="10" t="s">
        <v>316</v>
      </c>
      <c r="D197" s="10" t="s">
        <v>103</v>
      </c>
      <c r="E197" s="10" t="s">
        <v>465</v>
      </c>
      <c r="F197" s="11">
        <v>29994.29</v>
      </c>
      <c r="G197" s="11">
        <v>1083764</v>
      </c>
      <c r="H197" s="12">
        <v>2.7676033331563876E-2</v>
      </c>
      <c r="I197" s="10">
        <v>9</v>
      </c>
      <c r="J197" s="21">
        <v>100</v>
      </c>
      <c r="K197" s="21">
        <v>100</v>
      </c>
      <c r="L197" s="21">
        <v>25</v>
      </c>
      <c r="M197" s="21">
        <v>90</v>
      </c>
      <c r="N197" s="21">
        <f>J197*Supuestos!$B$7+K197*Supuestos!$B$8+L197*Supuestos!$B$9+M197*Supuestos!$B$10</f>
        <v>79.25</v>
      </c>
      <c r="O197" s="34" t="str">
        <f t="shared" ref="O197:O260" si="3">IF(N197&gt;=80,"A",IF(N197&gt;=65,"B",IF(N197&gt;=50,"C","D")))</f>
        <v>B</v>
      </c>
      <c r="P197" s="10" t="s">
        <v>435</v>
      </c>
      <c r="Q197" s="10" t="s">
        <v>436</v>
      </c>
    </row>
    <row r="198" spans="1:17">
      <c r="A198" s="10" t="s">
        <v>111</v>
      </c>
      <c r="B198" s="10" t="s">
        <v>73</v>
      </c>
      <c r="C198" s="10" t="s">
        <v>418</v>
      </c>
      <c r="D198" s="10" t="s">
        <v>103</v>
      </c>
      <c r="E198" s="10" t="s">
        <v>468</v>
      </c>
      <c r="F198" s="11">
        <v>21564.71</v>
      </c>
      <c r="G198" s="11">
        <v>642203.68000000005</v>
      </c>
      <c r="H198" s="12">
        <v>3.3579232063024572E-2</v>
      </c>
      <c r="I198" s="10">
        <v>8</v>
      </c>
      <c r="J198" s="21">
        <v>100</v>
      </c>
      <c r="K198" s="21">
        <v>100</v>
      </c>
      <c r="L198" s="21">
        <v>25</v>
      </c>
      <c r="M198" s="21">
        <v>90</v>
      </c>
      <c r="N198" s="21">
        <f>J198*Supuestos!$B$7+K198*Supuestos!$B$8+L198*Supuestos!$B$9+M198*Supuestos!$B$10</f>
        <v>79.25</v>
      </c>
      <c r="O198" s="34" t="str">
        <f t="shared" si="3"/>
        <v>B</v>
      </c>
      <c r="P198" s="10" t="s">
        <v>435</v>
      </c>
      <c r="Q198" s="10" t="s">
        <v>436</v>
      </c>
    </row>
    <row r="199" spans="1:17">
      <c r="A199" s="10" t="s">
        <v>275</v>
      </c>
      <c r="B199" s="10" t="s">
        <v>71</v>
      </c>
      <c r="C199" s="10" t="s">
        <v>316</v>
      </c>
      <c r="D199" s="10" t="s">
        <v>103</v>
      </c>
      <c r="E199" s="10" t="s">
        <v>468</v>
      </c>
      <c r="F199" s="11">
        <v>20007.39</v>
      </c>
      <c r="G199" s="11">
        <v>1083764</v>
      </c>
      <c r="H199" s="12">
        <v>1.8461025163824734E-2</v>
      </c>
      <c r="I199" s="10">
        <v>11</v>
      </c>
      <c r="J199" s="21">
        <v>100</v>
      </c>
      <c r="K199" s="21">
        <v>100</v>
      </c>
      <c r="L199" s="21">
        <v>25</v>
      </c>
      <c r="M199" s="21">
        <v>90</v>
      </c>
      <c r="N199" s="21">
        <f>J199*Supuestos!$B$7+K199*Supuestos!$B$8+L199*Supuestos!$B$9+M199*Supuestos!$B$10</f>
        <v>79.25</v>
      </c>
      <c r="O199" s="34" t="str">
        <f t="shared" si="3"/>
        <v>B</v>
      </c>
      <c r="P199" s="10" t="s">
        <v>435</v>
      </c>
      <c r="Q199" s="10" t="s">
        <v>436</v>
      </c>
    </row>
    <row r="200" spans="1:17">
      <c r="A200" s="10" t="s">
        <v>111</v>
      </c>
      <c r="B200" s="10" t="s">
        <v>73</v>
      </c>
      <c r="C200" s="10" t="s">
        <v>418</v>
      </c>
      <c r="D200" s="10" t="s">
        <v>103</v>
      </c>
      <c r="E200" s="10" t="s">
        <v>465</v>
      </c>
      <c r="F200" s="11">
        <v>15388.62</v>
      </c>
      <c r="G200" s="11">
        <v>642203.68000000005</v>
      </c>
      <c r="H200" s="12">
        <v>2.3962210119220406E-2</v>
      </c>
      <c r="I200" s="10">
        <v>11</v>
      </c>
      <c r="J200" s="21">
        <v>100</v>
      </c>
      <c r="K200" s="21">
        <v>100</v>
      </c>
      <c r="L200" s="21">
        <v>25</v>
      </c>
      <c r="M200" s="21">
        <v>90</v>
      </c>
      <c r="N200" s="21">
        <f>J200*Supuestos!$B$7+K200*Supuestos!$B$8+L200*Supuestos!$B$9+M200*Supuestos!$B$10</f>
        <v>79.25</v>
      </c>
      <c r="O200" s="34" t="str">
        <f t="shared" si="3"/>
        <v>B</v>
      </c>
      <c r="P200" s="10" t="s">
        <v>435</v>
      </c>
      <c r="Q200" s="10" t="s">
        <v>436</v>
      </c>
    </row>
    <row r="201" spans="1:17">
      <c r="A201" s="10" t="s">
        <v>255</v>
      </c>
      <c r="B201" s="10" t="s">
        <v>60</v>
      </c>
      <c r="C201" s="10" t="s">
        <v>256</v>
      </c>
      <c r="D201" s="10" t="s">
        <v>103</v>
      </c>
      <c r="E201" s="10" t="s">
        <v>465</v>
      </c>
      <c r="F201" s="11">
        <v>14603.29</v>
      </c>
      <c r="G201" s="11">
        <v>351341.95</v>
      </c>
      <c r="H201" s="12">
        <v>4.1564329460194727E-2</v>
      </c>
      <c r="I201" s="10">
        <v>5</v>
      </c>
      <c r="J201" s="21">
        <v>100</v>
      </c>
      <c r="K201" s="21">
        <v>99.999999999999986</v>
      </c>
      <c r="L201" s="21">
        <v>25</v>
      </c>
      <c r="M201" s="21">
        <v>90</v>
      </c>
      <c r="N201" s="21">
        <f>J201*Supuestos!$B$7+K201*Supuestos!$B$8+L201*Supuestos!$B$9+M201*Supuestos!$B$10</f>
        <v>79.25</v>
      </c>
      <c r="O201" s="34" t="str">
        <f t="shared" si="3"/>
        <v>B</v>
      </c>
      <c r="P201" s="10" t="s">
        <v>435</v>
      </c>
      <c r="Q201" s="10" t="s">
        <v>436</v>
      </c>
    </row>
    <row r="202" spans="1:17">
      <c r="A202" s="10" t="s">
        <v>255</v>
      </c>
      <c r="B202" s="10" t="s">
        <v>60</v>
      </c>
      <c r="C202" s="10" t="s">
        <v>256</v>
      </c>
      <c r="D202" s="10" t="s">
        <v>103</v>
      </c>
      <c r="E202" s="10" t="s">
        <v>468</v>
      </c>
      <c r="F202" s="11">
        <v>12477.57</v>
      </c>
      <c r="G202" s="11">
        <v>351341.95</v>
      </c>
      <c r="H202" s="12">
        <v>3.5514039868188171E-2</v>
      </c>
      <c r="I202" s="10">
        <v>7</v>
      </c>
      <c r="J202" s="21">
        <v>100</v>
      </c>
      <c r="K202" s="21">
        <v>100</v>
      </c>
      <c r="L202" s="21">
        <v>25</v>
      </c>
      <c r="M202" s="21">
        <v>90</v>
      </c>
      <c r="N202" s="21">
        <f>J202*Supuestos!$B$7+K202*Supuestos!$B$8+L202*Supuestos!$B$9+M202*Supuestos!$B$10</f>
        <v>79.25</v>
      </c>
      <c r="O202" s="34" t="str">
        <f t="shared" si="3"/>
        <v>B</v>
      </c>
      <c r="P202" s="10" t="s">
        <v>435</v>
      </c>
      <c r="Q202" s="10" t="s">
        <v>436</v>
      </c>
    </row>
    <row r="203" spans="1:17">
      <c r="A203" s="10" t="s">
        <v>215</v>
      </c>
      <c r="B203" s="10" t="s">
        <v>60</v>
      </c>
      <c r="C203" s="10" t="s">
        <v>332</v>
      </c>
      <c r="D203" s="10" t="s">
        <v>103</v>
      </c>
      <c r="E203" s="10" t="s">
        <v>468</v>
      </c>
      <c r="F203" s="11">
        <v>11220.18</v>
      </c>
      <c r="G203" s="11">
        <v>251755.6</v>
      </c>
      <c r="H203" s="12">
        <v>4.4567751726652304E-2</v>
      </c>
      <c r="I203" s="10">
        <v>5</v>
      </c>
      <c r="J203" s="21">
        <v>100</v>
      </c>
      <c r="K203" s="21">
        <v>99.999999999999986</v>
      </c>
      <c r="L203" s="21">
        <v>25</v>
      </c>
      <c r="M203" s="21">
        <v>90</v>
      </c>
      <c r="N203" s="21">
        <f>J203*Supuestos!$B$7+K203*Supuestos!$B$8+L203*Supuestos!$B$9+M203*Supuestos!$B$10</f>
        <v>79.25</v>
      </c>
      <c r="O203" s="34" t="str">
        <f t="shared" si="3"/>
        <v>B</v>
      </c>
      <c r="P203" s="10" t="s">
        <v>435</v>
      </c>
      <c r="Q203" s="10" t="s">
        <v>436</v>
      </c>
    </row>
    <row r="204" spans="1:17">
      <c r="A204" s="10" t="s">
        <v>215</v>
      </c>
      <c r="B204" s="10" t="s">
        <v>60</v>
      </c>
      <c r="C204" s="10" t="s">
        <v>216</v>
      </c>
      <c r="D204" s="10" t="s">
        <v>103</v>
      </c>
      <c r="E204" s="10" t="s">
        <v>459</v>
      </c>
      <c r="F204" s="11">
        <v>7578.39</v>
      </c>
      <c r="G204" s="11">
        <v>656576.77</v>
      </c>
      <c r="H204" s="12">
        <v>1.1542277601246549E-2</v>
      </c>
      <c r="I204" s="10">
        <v>14</v>
      </c>
      <c r="J204" s="21">
        <v>100</v>
      </c>
      <c r="K204" s="21">
        <v>100</v>
      </c>
      <c r="L204" s="21">
        <v>25</v>
      </c>
      <c r="M204" s="21">
        <v>90</v>
      </c>
      <c r="N204" s="21">
        <f>J204*Supuestos!$B$7+K204*Supuestos!$B$8+L204*Supuestos!$B$9+M204*Supuestos!$B$10</f>
        <v>79.25</v>
      </c>
      <c r="O204" s="34" t="str">
        <f t="shared" si="3"/>
        <v>B</v>
      </c>
      <c r="P204" s="10" t="s">
        <v>435</v>
      </c>
      <c r="Q204" s="10" t="s">
        <v>436</v>
      </c>
    </row>
    <row r="205" spans="1:17">
      <c r="A205" s="10" t="s">
        <v>165</v>
      </c>
      <c r="B205" s="10" t="s">
        <v>60</v>
      </c>
      <c r="C205" s="10" t="s">
        <v>166</v>
      </c>
      <c r="D205" s="10" t="s">
        <v>103</v>
      </c>
      <c r="E205" s="10" t="s">
        <v>465</v>
      </c>
      <c r="F205" s="11">
        <v>5311.96</v>
      </c>
      <c r="G205" s="11">
        <v>929838.13</v>
      </c>
      <c r="H205" s="12">
        <v>5.7127749089123407E-3</v>
      </c>
      <c r="I205" s="10">
        <v>18</v>
      </c>
      <c r="J205" s="21">
        <v>100</v>
      </c>
      <c r="K205" s="21">
        <v>100</v>
      </c>
      <c r="L205" s="21">
        <v>25</v>
      </c>
      <c r="M205" s="21">
        <v>90</v>
      </c>
      <c r="N205" s="21">
        <f>J205*Supuestos!$B$7+K205*Supuestos!$B$8+L205*Supuestos!$B$9+M205*Supuestos!$B$10</f>
        <v>79.25</v>
      </c>
      <c r="O205" s="34" t="str">
        <f t="shared" si="3"/>
        <v>B</v>
      </c>
      <c r="P205" s="10" t="s">
        <v>435</v>
      </c>
      <c r="Q205" s="10" t="s">
        <v>436</v>
      </c>
    </row>
    <row r="206" spans="1:17">
      <c r="A206" s="10" t="s">
        <v>101</v>
      </c>
      <c r="B206" s="10" t="s">
        <v>60</v>
      </c>
      <c r="C206" s="10" t="s">
        <v>243</v>
      </c>
      <c r="D206" s="10" t="s">
        <v>103</v>
      </c>
      <c r="E206" s="10" t="s">
        <v>468</v>
      </c>
      <c r="F206" s="11">
        <v>4892.97</v>
      </c>
      <c r="G206" s="11">
        <v>114854.99</v>
      </c>
      <c r="H206" s="12">
        <v>4.2601302787040551E-2</v>
      </c>
      <c r="I206" s="10">
        <v>11</v>
      </c>
      <c r="J206" s="21">
        <v>100</v>
      </c>
      <c r="K206" s="21">
        <v>100</v>
      </c>
      <c r="L206" s="21">
        <v>25</v>
      </c>
      <c r="M206" s="21">
        <v>90</v>
      </c>
      <c r="N206" s="21">
        <f>J206*Supuestos!$B$7+K206*Supuestos!$B$8+L206*Supuestos!$B$9+M206*Supuestos!$B$10</f>
        <v>79.25</v>
      </c>
      <c r="O206" s="34" t="str">
        <f t="shared" si="3"/>
        <v>B</v>
      </c>
      <c r="P206" s="10" t="s">
        <v>435</v>
      </c>
      <c r="Q206" s="10" t="s">
        <v>436</v>
      </c>
    </row>
    <row r="207" spans="1:17">
      <c r="A207" s="10" t="s">
        <v>119</v>
      </c>
      <c r="B207" s="10" t="s">
        <v>360</v>
      </c>
      <c r="C207" s="10" t="s">
        <v>361</v>
      </c>
      <c r="D207" s="10" t="s">
        <v>103</v>
      </c>
      <c r="E207" s="10" t="s">
        <v>465</v>
      </c>
      <c r="F207" s="11">
        <v>4804.21</v>
      </c>
      <c r="G207" s="11">
        <v>360957.46</v>
      </c>
      <c r="H207" s="12">
        <v>1.3309639883162114E-2</v>
      </c>
      <c r="I207" s="10">
        <v>17</v>
      </c>
      <c r="J207" s="21">
        <v>100</v>
      </c>
      <c r="K207" s="21">
        <v>100.00000000000001</v>
      </c>
      <c r="L207" s="21">
        <v>25</v>
      </c>
      <c r="M207" s="21">
        <v>90</v>
      </c>
      <c r="N207" s="21">
        <f>J207*Supuestos!$B$7+K207*Supuestos!$B$8+L207*Supuestos!$B$9+M207*Supuestos!$B$10</f>
        <v>79.25</v>
      </c>
      <c r="O207" s="34" t="str">
        <f t="shared" si="3"/>
        <v>B</v>
      </c>
      <c r="P207" s="10" t="s">
        <v>435</v>
      </c>
      <c r="Q207" s="10" t="s">
        <v>436</v>
      </c>
    </row>
    <row r="208" spans="1:17">
      <c r="A208" s="10" t="s">
        <v>215</v>
      </c>
      <c r="B208" s="10" t="s">
        <v>60</v>
      </c>
      <c r="C208" s="10" t="s">
        <v>410</v>
      </c>
      <c r="D208" s="10" t="s">
        <v>103</v>
      </c>
      <c r="E208" s="10" t="s">
        <v>459</v>
      </c>
      <c r="F208" s="11">
        <v>3695.23</v>
      </c>
      <c r="G208" s="11">
        <v>273779.84999999998</v>
      </c>
      <c r="H208" s="12">
        <v>1.3497079468786951E-2</v>
      </c>
      <c r="I208" s="10">
        <v>14</v>
      </c>
      <c r="J208" s="21">
        <v>100</v>
      </c>
      <c r="K208" s="21">
        <v>99.999999999999986</v>
      </c>
      <c r="L208" s="21">
        <v>25</v>
      </c>
      <c r="M208" s="21">
        <v>90</v>
      </c>
      <c r="N208" s="21">
        <f>J208*Supuestos!$B$7+K208*Supuestos!$B$8+L208*Supuestos!$B$9+M208*Supuestos!$B$10</f>
        <v>79.25</v>
      </c>
      <c r="O208" s="34" t="str">
        <f t="shared" si="3"/>
        <v>B</v>
      </c>
      <c r="P208" s="10" t="s">
        <v>435</v>
      </c>
      <c r="Q208" s="10" t="s">
        <v>436</v>
      </c>
    </row>
    <row r="209" spans="1:17">
      <c r="A209" s="10" t="s">
        <v>255</v>
      </c>
      <c r="B209" s="10" t="s">
        <v>60</v>
      </c>
      <c r="C209" s="10" t="s">
        <v>328</v>
      </c>
      <c r="D209" s="10" t="s">
        <v>103</v>
      </c>
      <c r="E209" s="10" t="s">
        <v>459</v>
      </c>
      <c r="F209" s="11">
        <v>2932</v>
      </c>
      <c r="G209" s="11">
        <v>132474.79999999999</v>
      </c>
      <c r="H209" s="12">
        <v>2.2132507723002404E-2</v>
      </c>
      <c r="I209" s="10">
        <v>5</v>
      </c>
      <c r="J209" s="21">
        <v>100</v>
      </c>
      <c r="K209" s="21">
        <v>100</v>
      </c>
      <c r="L209" s="21">
        <v>25</v>
      </c>
      <c r="M209" s="21">
        <v>90</v>
      </c>
      <c r="N209" s="21">
        <f>J209*Supuestos!$B$7+K209*Supuestos!$B$8+L209*Supuestos!$B$9+M209*Supuestos!$B$10</f>
        <v>79.25</v>
      </c>
      <c r="O209" s="34" t="str">
        <f t="shared" si="3"/>
        <v>B</v>
      </c>
      <c r="P209" s="10" t="s">
        <v>435</v>
      </c>
      <c r="Q209" s="10" t="s">
        <v>436</v>
      </c>
    </row>
    <row r="210" spans="1:17">
      <c r="A210" s="10" t="s">
        <v>101</v>
      </c>
      <c r="B210" s="10" t="s">
        <v>60</v>
      </c>
      <c r="C210" s="10" t="s">
        <v>243</v>
      </c>
      <c r="D210" s="10" t="s">
        <v>103</v>
      </c>
      <c r="E210" s="10" t="s">
        <v>465</v>
      </c>
      <c r="F210" s="11">
        <v>2756.93</v>
      </c>
      <c r="G210" s="11">
        <v>114854.99</v>
      </c>
      <c r="H210" s="12">
        <v>2.4003590859983218E-2</v>
      </c>
      <c r="I210" s="10">
        <v>12</v>
      </c>
      <c r="J210" s="21">
        <v>100</v>
      </c>
      <c r="K210" s="21">
        <v>100</v>
      </c>
      <c r="L210" s="21">
        <v>25</v>
      </c>
      <c r="M210" s="21">
        <v>90</v>
      </c>
      <c r="N210" s="21">
        <f>J210*Supuestos!$B$7+K210*Supuestos!$B$8+L210*Supuestos!$B$9+M210*Supuestos!$B$10</f>
        <v>79.25</v>
      </c>
      <c r="O210" s="34" t="str">
        <f t="shared" si="3"/>
        <v>B</v>
      </c>
      <c r="P210" s="10" t="s">
        <v>435</v>
      </c>
      <c r="Q210" s="10" t="s">
        <v>436</v>
      </c>
    </row>
    <row r="211" spans="1:17">
      <c r="A211" s="10" t="s">
        <v>111</v>
      </c>
      <c r="B211" s="10" t="s">
        <v>60</v>
      </c>
      <c r="C211" s="10" t="s">
        <v>339</v>
      </c>
      <c r="D211" s="10" t="s">
        <v>103</v>
      </c>
      <c r="E211" s="10" t="s">
        <v>459</v>
      </c>
      <c r="F211" s="11">
        <v>2564.25</v>
      </c>
      <c r="G211" s="11">
        <v>114879.92</v>
      </c>
      <c r="H211" s="12">
        <v>2.2321121576427901E-2</v>
      </c>
      <c r="I211" s="10">
        <v>9</v>
      </c>
      <c r="J211" s="21">
        <v>100</v>
      </c>
      <c r="K211" s="21">
        <v>99.999999999999986</v>
      </c>
      <c r="L211" s="21">
        <v>25</v>
      </c>
      <c r="M211" s="21">
        <v>90</v>
      </c>
      <c r="N211" s="21">
        <f>J211*Supuestos!$B$7+K211*Supuestos!$B$8+L211*Supuestos!$B$9+M211*Supuestos!$B$10</f>
        <v>79.25</v>
      </c>
      <c r="O211" s="34" t="str">
        <f t="shared" si="3"/>
        <v>B</v>
      </c>
      <c r="P211" s="10" t="s">
        <v>435</v>
      </c>
      <c r="Q211" s="10" t="s">
        <v>436</v>
      </c>
    </row>
    <row r="212" spans="1:17">
      <c r="A212" s="10" t="s">
        <v>215</v>
      </c>
      <c r="B212" s="10" t="s">
        <v>60</v>
      </c>
      <c r="C212" s="10" t="s">
        <v>216</v>
      </c>
      <c r="D212" s="10" t="s">
        <v>103</v>
      </c>
      <c r="E212" s="10" t="s">
        <v>468</v>
      </c>
      <c r="F212" s="11">
        <v>2445.42</v>
      </c>
      <c r="G212" s="11">
        <v>656576.77</v>
      </c>
      <c r="H212" s="12">
        <v>3.7244962603091942E-3</v>
      </c>
      <c r="I212" s="10">
        <v>23</v>
      </c>
      <c r="J212" s="21">
        <v>100</v>
      </c>
      <c r="K212" s="21">
        <v>100</v>
      </c>
      <c r="L212" s="21">
        <v>25</v>
      </c>
      <c r="M212" s="21">
        <v>90</v>
      </c>
      <c r="N212" s="21">
        <f>J212*Supuestos!$B$7+K212*Supuestos!$B$8+L212*Supuestos!$B$9+M212*Supuestos!$B$10</f>
        <v>79.25</v>
      </c>
      <c r="O212" s="34" t="str">
        <f t="shared" si="3"/>
        <v>B</v>
      </c>
      <c r="P212" s="10" t="s">
        <v>435</v>
      </c>
      <c r="Q212" s="10" t="s">
        <v>436</v>
      </c>
    </row>
    <row r="213" spans="1:17">
      <c r="A213" s="10" t="s">
        <v>111</v>
      </c>
      <c r="B213" s="10" t="s">
        <v>60</v>
      </c>
      <c r="C213" s="10" t="s">
        <v>208</v>
      </c>
      <c r="D213" s="10" t="s">
        <v>103</v>
      </c>
      <c r="E213" s="10" t="s">
        <v>465</v>
      </c>
      <c r="F213" s="11">
        <v>2391.63</v>
      </c>
      <c r="G213" s="11">
        <v>201558.18</v>
      </c>
      <c r="H213" s="12">
        <v>1.1865710769330377E-2</v>
      </c>
      <c r="I213" s="10">
        <v>10</v>
      </c>
      <c r="J213" s="21">
        <v>100</v>
      </c>
      <c r="K213" s="21">
        <v>100</v>
      </c>
      <c r="L213" s="21">
        <v>25</v>
      </c>
      <c r="M213" s="21">
        <v>90</v>
      </c>
      <c r="N213" s="21">
        <f>J213*Supuestos!$B$7+K213*Supuestos!$B$8+L213*Supuestos!$B$9+M213*Supuestos!$B$10</f>
        <v>79.25</v>
      </c>
      <c r="O213" s="34" t="str">
        <f t="shared" si="3"/>
        <v>B</v>
      </c>
      <c r="P213" s="10" t="s">
        <v>435</v>
      </c>
      <c r="Q213" s="10" t="s">
        <v>436</v>
      </c>
    </row>
    <row r="214" spans="1:17">
      <c r="A214" s="10" t="s">
        <v>215</v>
      </c>
      <c r="B214" s="10" t="s">
        <v>60</v>
      </c>
      <c r="C214" s="10" t="s">
        <v>332</v>
      </c>
      <c r="D214" s="10" t="s">
        <v>103</v>
      </c>
      <c r="E214" s="10" t="s">
        <v>459</v>
      </c>
      <c r="F214" s="11">
        <v>1777.25</v>
      </c>
      <c r="G214" s="11">
        <v>251755.6</v>
      </c>
      <c r="H214" s="12">
        <v>7.0594406992098438E-3</v>
      </c>
      <c r="I214" s="10">
        <v>15</v>
      </c>
      <c r="J214" s="21">
        <v>100</v>
      </c>
      <c r="K214" s="21">
        <v>100</v>
      </c>
      <c r="L214" s="21">
        <v>25</v>
      </c>
      <c r="M214" s="21">
        <v>90</v>
      </c>
      <c r="N214" s="21">
        <f>J214*Supuestos!$B$7+K214*Supuestos!$B$8+L214*Supuestos!$B$9+M214*Supuestos!$B$10</f>
        <v>79.25</v>
      </c>
      <c r="O214" s="34" t="str">
        <f t="shared" si="3"/>
        <v>B</v>
      </c>
      <c r="P214" s="10" t="s">
        <v>435</v>
      </c>
      <c r="Q214" s="10" t="s">
        <v>436</v>
      </c>
    </row>
    <row r="215" spans="1:17">
      <c r="A215" s="10" t="s">
        <v>215</v>
      </c>
      <c r="B215" s="10" t="s">
        <v>60</v>
      </c>
      <c r="C215" s="10" t="s">
        <v>410</v>
      </c>
      <c r="D215" s="10" t="s">
        <v>103</v>
      </c>
      <c r="E215" s="10" t="s">
        <v>468</v>
      </c>
      <c r="F215" s="11">
        <v>414.35</v>
      </c>
      <c r="G215" s="11">
        <v>273779.84999999998</v>
      </c>
      <c r="H215" s="12">
        <v>1.5134242845818941E-3</v>
      </c>
      <c r="I215" s="10">
        <v>19</v>
      </c>
      <c r="J215" s="21">
        <v>100</v>
      </c>
      <c r="K215" s="21">
        <v>100</v>
      </c>
      <c r="L215" s="21">
        <v>25</v>
      </c>
      <c r="M215" s="21">
        <v>90</v>
      </c>
      <c r="N215" s="21">
        <f>J215*Supuestos!$B$7+K215*Supuestos!$B$8+L215*Supuestos!$B$9+M215*Supuestos!$B$10</f>
        <v>79.25</v>
      </c>
      <c r="O215" s="34" t="str">
        <f t="shared" si="3"/>
        <v>B</v>
      </c>
      <c r="P215" s="10" t="s">
        <v>435</v>
      </c>
      <c r="Q215" s="10" t="s">
        <v>436</v>
      </c>
    </row>
    <row r="216" spans="1:17">
      <c r="A216" s="10" t="s">
        <v>101</v>
      </c>
      <c r="B216" s="10" t="s">
        <v>60</v>
      </c>
      <c r="C216" s="10" t="s">
        <v>342</v>
      </c>
      <c r="D216" s="10" t="s">
        <v>103</v>
      </c>
      <c r="E216" s="10" t="s">
        <v>468</v>
      </c>
      <c r="F216" s="11">
        <v>350.5</v>
      </c>
      <c r="G216" s="11">
        <v>95640.54</v>
      </c>
      <c r="H216" s="12">
        <v>3.6647582676401559E-3</v>
      </c>
      <c r="I216" s="10">
        <v>14</v>
      </c>
      <c r="J216" s="21">
        <v>100</v>
      </c>
      <c r="K216" s="21">
        <v>100</v>
      </c>
      <c r="L216" s="21">
        <v>25</v>
      </c>
      <c r="M216" s="21">
        <v>90</v>
      </c>
      <c r="N216" s="21">
        <f>J216*Supuestos!$B$7+K216*Supuestos!$B$8+L216*Supuestos!$B$9+M216*Supuestos!$B$10</f>
        <v>79.25</v>
      </c>
      <c r="O216" s="34" t="str">
        <f t="shared" si="3"/>
        <v>B</v>
      </c>
      <c r="P216" s="10" t="s">
        <v>435</v>
      </c>
      <c r="Q216" s="10" t="s">
        <v>436</v>
      </c>
    </row>
    <row r="217" spans="1:17">
      <c r="A217" s="10" t="s">
        <v>165</v>
      </c>
      <c r="B217" s="10" t="s">
        <v>60</v>
      </c>
      <c r="C217" s="10" t="s">
        <v>166</v>
      </c>
      <c r="D217" s="10" t="s">
        <v>103</v>
      </c>
      <c r="E217" s="10" t="s">
        <v>468</v>
      </c>
      <c r="F217" s="11">
        <v>308.8</v>
      </c>
      <c r="G217" s="11">
        <v>929838.13</v>
      </c>
      <c r="H217" s="12">
        <v>3.3210548798376789E-4</v>
      </c>
      <c r="I217" s="10">
        <v>28</v>
      </c>
      <c r="J217" s="21">
        <v>100</v>
      </c>
      <c r="K217" s="21">
        <v>100</v>
      </c>
      <c r="L217" s="21">
        <v>25</v>
      </c>
      <c r="M217" s="21">
        <v>90</v>
      </c>
      <c r="N217" s="21">
        <f>J217*Supuestos!$B$7+K217*Supuestos!$B$8+L217*Supuestos!$B$9+M217*Supuestos!$B$10</f>
        <v>79.25</v>
      </c>
      <c r="O217" s="34" t="str">
        <f t="shared" si="3"/>
        <v>B</v>
      </c>
      <c r="P217" s="10" t="s">
        <v>435</v>
      </c>
      <c r="Q217" s="10" t="s">
        <v>436</v>
      </c>
    </row>
    <row r="218" spans="1:17">
      <c r="A218" s="10" t="s">
        <v>255</v>
      </c>
      <c r="B218" s="10" t="s">
        <v>60</v>
      </c>
      <c r="C218" s="10" t="s">
        <v>392</v>
      </c>
      <c r="D218" s="10" t="s">
        <v>103</v>
      </c>
      <c r="E218" s="10" t="s">
        <v>468</v>
      </c>
      <c r="F218" s="11">
        <v>134.99</v>
      </c>
      <c r="G218" s="11">
        <v>180471.74</v>
      </c>
      <c r="H218" s="12">
        <v>7.4797244205022061E-4</v>
      </c>
      <c r="I218" s="10">
        <v>24</v>
      </c>
      <c r="J218" s="21">
        <v>100</v>
      </c>
      <c r="K218" s="21">
        <v>100.00000000000001</v>
      </c>
      <c r="L218" s="21">
        <v>25</v>
      </c>
      <c r="M218" s="21">
        <v>90</v>
      </c>
      <c r="N218" s="21">
        <f>J218*Supuestos!$B$7+K218*Supuestos!$B$8+L218*Supuestos!$B$9+M218*Supuestos!$B$10</f>
        <v>79.25</v>
      </c>
      <c r="O218" s="34" t="str">
        <f t="shared" si="3"/>
        <v>B</v>
      </c>
      <c r="P218" s="10" t="s">
        <v>435</v>
      </c>
      <c r="Q218" s="10" t="s">
        <v>436</v>
      </c>
    </row>
    <row r="219" spans="1:17">
      <c r="A219" s="10" t="s">
        <v>101</v>
      </c>
      <c r="B219" s="10" t="s">
        <v>60</v>
      </c>
      <c r="C219" s="10" t="s">
        <v>102</v>
      </c>
      <c r="D219" s="10" t="s">
        <v>103</v>
      </c>
      <c r="E219" s="10" t="s">
        <v>452</v>
      </c>
      <c r="F219" s="11">
        <v>11596.75</v>
      </c>
      <c r="G219" s="11">
        <v>49663.71</v>
      </c>
      <c r="H219" s="12">
        <v>0.23350559052843456</v>
      </c>
      <c r="I219" s="10">
        <v>2</v>
      </c>
      <c r="J219" s="21">
        <v>100</v>
      </c>
      <c r="K219" s="21">
        <v>64.999999999999986</v>
      </c>
      <c r="L219" s="21">
        <v>80</v>
      </c>
      <c r="M219" s="21">
        <v>71.25</v>
      </c>
      <c r="N219" s="21">
        <f>J219*Supuestos!$B$7+K219*Supuestos!$B$8+L219*Supuestos!$B$9+M219*Supuestos!$B$10</f>
        <v>78.75</v>
      </c>
      <c r="O219" s="34" t="str">
        <f t="shared" si="3"/>
        <v>B</v>
      </c>
      <c r="P219" s="10" t="s">
        <v>447</v>
      </c>
      <c r="Q219" s="10" t="s">
        <v>441</v>
      </c>
    </row>
    <row r="220" spans="1:17">
      <c r="A220" s="10" t="s">
        <v>119</v>
      </c>
      <c r="B220" s="10" t="s">
        <v>383</v>
      </c>
      <c r="C220" s="10" t="s">
        <v>384</v>
      </c>
      <c r="D220" s="10" t="s">
        <v>103</v>
      </c>
      <c r="E220" s="10" t="s">
        <v>193</v>
      </c>
      <c r="F220" s="11">
        <v>31670.87</v>
      </c>
      <c r="G220" s="11">
        <v>574829.68000000005</v>
      </c>
      <c r="H220" s="12">
        <v>5.5096092526430218E-2</v>
      </c>
      <c r="I220" s="10">
        <v>7</v>
      </c>
      <c r="J220" s="21">
        <v>100</v>
      </c>
      <c r="K220" s="21">
        <v>68.143601912892947</v>
      </c>
      <c r="L220" s="21">
        <v>55</v>
      </c>
      <c r="M220" s="21">
        <v>96.676367126980296</v>
      </c>
      <c r="N220" s="21">
        <f>J220*Supuestos!$B$7+K220*Supuestos!$B$8+L220*Supuestos!$B$9+M220*Supuestos!$B$10</f>
        <v>78.528353999263942</v>
      </c>
      <c r="O220" s="34" t="str">
        <f t="shared" si="3"/>
        <v>B</v>
      </c>
      <c r="P220" s="10" t="s">
        <v>447</v>
      </c>
      <c r="Q220" s="10" t="s">
        <v>441</v>
      </c>
    </row>
    <row r="221" spans="1:17">
      <c r="A221" s="10" t="s">
        <v>119</v>
      </c>
      <c r="B221" s="10" t="s">
        <v>120</v>
      </c>
      <c r="C221" s="10" t="s">
        <v>121</v>
      </c>
      <c r="D221" s="10" t="s">
        <v>103</v>
      </c>
      <c r="E221" s="10" t="s">
        <v>485</v>
      </c>
      <c r="F221" s="11">
        <v>137442.48000000001</v>
      </c>
      <c r="G221" s="11">
        <v>1945343.76</v>
      </c>
      <c r="H221" s="12">
        <v>7.0652028306507103E-2</v>
      </c>
      <c r="I221" s="10">
        <v>4</v>
      </c>
      <c r="J221" s="21">
        <v>100</v>
      </c>
      <c r="K221" s="21">
        <v>90</v>
      </c>
      <c r="L221" s="21">
        <v>55</v>
      </c>
      <c r="M221" s="21">
        <v>62.5</v>
      </c>
      <c r="N221" s="21">
        <f>J221*Supuestos!$B$7+K221*Supuestos!$B$8+L221*Supuestos!$B$9+M221*Supuestos!$B$10</f>
        <v>78.25</v>
      </c>
      <c r="O221" s="34" t="str">
        <f t="shared" si="3"/>
        <v>B</v>
      </c>
      <c r="P221" s="10" t="s">
        <v>435</v>
      </c>
      <c r="Q221" s="10" t="s">
        <v>441</v>
      </c>
    </row>
    <row r="222" spans="1:17">
      <c r="A222" s="10" t="s">
        <v>165</v>
      </c>
      <c r="B222" s="10" t="s">
        <v>60</v>
      </c>
      <c r="C222" s="10" t="s">
        <v>166</v>
      </c>
      <c r="D222" s="10" t="s">
        <v>103</v>
      </c>
      <c r="E222" s="10" t="s">
        <v>466</v>
      </c>
      <c r="F222" s="11">
        <v>59739.29</v>
      </c>
      <c r="G222" s="11">
        <v>929838.13</v>
      </c>
      <c r="H222" s="12">
        <v>6.4246975217676777E-2</v>
      </c>
      <c r="I222" s="10">
        <v>6</v>
      </c>
      <c r="J222" s="21">
        <v>100</v>
      </c>
      <c r="K222" s="21">
        <v>75</v>
      </c>
      <c r="L222" s="21">
        <v>55</v>
      </c>
      <c r="M222" s="21">
        <v>83.75</v>
      </c>
      <c r="N222" s="21">
        <f>J222*Supuestos!$B$7+K222*Supuestos!$B$8+L222*Supuestos!$B$9+M222*Supuestos!$B$10</f>
        <v>78</v>
      </c>
      <c r="O222" s="34" t="str">
        <f t="shared" si="3"/>
        <v>B</v>
      </c>
      <c r="P222" s="10" t="s">
        <v>447</v>
      </c>
      <c r="Q222" s="10" t="s">
        <v>436</v>
      </c>
    </row>
    <row r="223" spans="1:17">
      <c r="A223" s="10" t="s">
        <v>111</v>
      </c>
      <c r="B223" s="10" t="s">
        <v>69</v>
      </c>
      <c r="C223" s="10" t="s">
        <v>309</v>
      </c>
      <c r="D223" s="10" t="s">
        <v>103</v>
      </c>
      <c r="E223" s="10" t="s">
        <v>466</v>
      </c>
      <c r="F223" s="11">
        <v>35935.07</v>
      </c>
      <c r="G223" s="11">
        <v>712220.68</v>
      </c>
      <c r="H223" s="12">
        <v>5.045496473799093E-2</v>
      </c>
      <c r="I223" s="10">
        <v>7</v>
      </c>
      <c r="J223" s="21">
        <v>100</v>
      </c>
      <c r="K223" s="21">
        <v>75</v>
      </c>
      <c r="L223" s="21">
        <v>55</v>
      </c>
      <c r="M223" s="21">
        <v>83.75</v>
      </c>
      <c r="N223" s="21">
        <f>J223*Supuestos!$B$7+K223*Supuestos!$B$8+L223*Supuestos!$B$9+M223*Supuestos!$B$10</f>
        <v>78</v>
      </c>
      <c r="O223" s="34" t="str">
        <f t="shared" si="3"/>
        <v>B</v>
      </c>
      <c r="P223" s="10" t="s">
        <v>447</v>
      </c>
      <c r="Q223" s="10" t="s">
        <v>436</v>
      </c>
    </row>
    <row r="224" spans="1:17">
      <c r="A224" s="10" t="s">
        <v>111</v>
      </c>
      <c r="B224" s="10" t="s">
        <v>73</v>
      </c>
      <c r="C224" s="10" t="s">
        <v>418</v>
      </c>
      <c r="D224" s="10" t="s">
        <v>103</v>
      </c>
      <c r="E224" s="10" t="s">
        <v>482</v>
      </c>
      <c r="F224" s="11">
        <v>47525.79</v>
      </c>
      <c r="G224" s="11">
        <v>642203.68000000005</v>
      </c>
      <c r="H224" s="12">
        <v>7.4004225549013883E-2</v>
      </c>
      <c r="I224" s="10">
        <v>5</v>
      </c>
      <c r="J224" s="21">
        <v>100</v>
      </c>
      <c r="K224" s="21">
        <v>67.796363703358622</v>
      </c>
      <c r="L224" s="21">
        <v>55</v>
      </c>
      <c r="M224" s="21">
        <v>93.52249900213674</v>
      </c>
      <c r="N224" s="21">
        <f>J224*Supuestos!$B$7+K224*Supuestos!$B$8+L224*Supuestos!$B$9+M224*Supuestos!$B$10</f>
        <v>77.793408911434938</v>
      </c>
      <c r="O224" s="34" t="str">
        <f t="shared" si="3"/>
        <v>B</v>
      </c>
      <c r="P224" s="10" t="s">
        <v>447</v>
      </c>
      <c r="Q224" s="10" t="s">
        <v>441</v>
      </c>
    </row>
    <row r="225" spans="1:17">
      <c r="A225" s="10" t="s">
        <v>111</v>
      </c>
      <c r="B225" s="10" t="s">
        <v>65</v>
      </c>
      <c r="C225" s="10" t="s">
        <v>144</v>
      </c>
      <c r="D225" s="10" t="s">
        <v>103</v>
      </c>
      <c r="E225" s="10" t="s">
        <v>193</v>
      </c>
      <c r="F225" s="11">
        <v>82664.7</v>
      </c>
      <c r="G225" s="11">
        <v>2550637.33</v>
      </c>
      <c r="H225" s="12">
        <v>3.2409427967922087E-2</v>
      </c>
      <c r="I225" s="10">
        <v>5</v>
      </c>
      <c r="J225" s="21">
        <v>100</v>
      </c>
      <c r="K225" s="21">
        <v>90.000000000000014</v>
      </c>
      <c r="L225" s="21">
        <v>25</v>
      </c>
      <c r="M225" s="21">
        <v>96.676367126980296</v>
      </c>
      <c r="N225" s="21">
        <f>J225*Supuestos!$B$7+K225*Supuestos!$B$8+L225*Supuestos!$B$9+M225*Supuestos!$B$10</f>
        <v>77.585273425396053</v>
      </c>
      <c r="O225" s="34" t="str">
        <f t="shared" si="3"/>
        <v>B</v>
      </c>
      <c r="P225" s="10" t="s">
        <v>502</v>
      </c>
      <c r="Q225" s="10" t="s">
        <v>441</v>
      </c>
    </row>
    <row r="226" spans="1:17">
      <c r="A226" s="10" t="s">
        <v>111</v>
      </c>
      <c r="B226" s="10" t="s">
        <v>65</v>
      </c>
      <c r="C226" s="10" t="s">
        <v>138</v>
      </c>
      <c r="D226" s="10" t="s">
        <v>103</v>
      </c>
      <c r="E226" s="10" t="s">
        <v>193</v>
      </c>
      <c r="F226" s="11">
        <v>52805.96</v>
      </c>
      <c r="G226" s="11">
        <v>1574650.7</v>
      </c>
      <c r="H226" s="12">
        <v>3.3535031130030576E-2</v>
      </c>
      <c r="I226" s="10">
        <v>4</v>
      </c>
      <c r="J226" s="21">
        <v>100</v>
      </c>
      <c r="K226" s="21">
        <v>89.999999999999986</v>
      </c>
      <c r="L226" s="21">
        <v>25</v>
      </c>
      <c r="M226" s="21">
        <v>96.676367126980296</v>
      </c>
      <c r="N226" s="21">
        <f>J226*Supuestos!$B$7+K226*Supuestos!$B$8+L226*Supuestos!$B$9+M226*Supuestos!$B$10</f>
        <v>77.585273425396053</v>
      </c>
      <c r="O226" s="34" t="str">
        <f t="shared" si="3"/>
        <v>B</v>
      </c>
      <c r="P226" s="10" t="s">
        <v>502</v>
      </c>
      <c r="Q226" s="10" t="s">
        <v>441</v>
      </c>
    </row>
    <row r="227" spans="1:17">
      <c r="A227" s="10" t="s">
        <v>111</v>
      </c>
      <c r="B227" s="10" t="s">
        <v>69</v>
      </c>
      <c r="C227" s="10" t="s">
        <v>309</v>
      </c>
      <c r="D227" s="10" t="s">
        <v>103</v>
      </c>
      <c r="E227" s="10" t="s">
        <v>193</v>
      </c>
      <c r="F227" s="11">
        <v>42865.38</v>
      </c>
      <c r="G227" s="11">
        <v>712220.68</v>
      </c>
      <c r="H227" s="12">
        <v>6.0185527908037662E-2</v>
      </c>
      <c r="I227" s="10">
        <v>5</v>
      </c>
      <c r="J227" s="21">
        <v>100</v>
      </c>
      <c r="K227" s="21">
        <v>65</v>
      </c>
      <c r="L227" s="21">
        <v>55</v>
      </c>
      <c r="M227" s="21">
        <v>96.676367126980296</v>
      </c>
      <c r="N227" s="21">
        <f>J227*Supuestos!$B$7+K227*Supuestos!$B$8+L227*Supuestos!$B$9+M227*Supuestos!$B$10</f>
        <v>77.585273425396053</v>
      </c>
      <c r="O227" s="34" t="str">
        <f t="shared" si="3"/>
        <v>B</v>
      </c>
      <c r="P227" s="10" t="s">
        <v>447</v>
      </c>
      <c r="Q227" s="10" t="s">
        <v>441</v>
      </c>
    </row>
    <row r="228" spans="1:17">
      <c r="A228" s="10" t="s">
        <v>119</v>
      </c>
      <c r="B228" s="10" t="s">
        <v>383</v>
      </c>
      <c r="C228" s="10" t="s">
        <v>384</v>
      </c>
      <c r="D228" s="10" t="s">
        <v>103</v>
      </c>
      <c r="E228" s="10" t="s">
        <v>469</v>
      </c>
      <c r="F228" s="11">
        <v>38331.25</v>
      </c>
      <c r="G228" s="11">
        <v>574829.68000000005</v>
      </c>
      <c r="H228" s="12">
        <v>6.6682786295931162E-2</v>
      </c>
      <c r="I228" s="10">
        <v>4</v>
      </c>
      <c r="J228" s="21">
        <v>100</v>
      </c>
      <c r="K228" s="21">
        <v>66.841818295538303</v>
      </c>
      <c r="L228" s="21">
        <v>55</v>
      </c>
      <c r="M228" s="21">
        <v>93.504836461954255</v>
      </c>
      <c r="N228" s="21">
        <f>J228*Supuestos!$B$7+K228*Supuestos!$B$8+L228*Supuestos!$B$9+M228*Supuestos!$B$10</f>
        <v>77.503512781052351</v>
      </c>
      <c r="O228" s="34" t="str">
        <f t="shared" si="3"/>
        <v>B</v>
      </c>
      <c r="P228" s="10" t="s">
        <v>447</v>
      </c>
      <c r="Q228" s="10" t="s">
        <v>441</v>
      </c>
    </row>
    <row r="229" spans="1:17">
      <c r="A229" s="10" t="s">
        <v>101</v>
      </c>
      <c r="B229" s="10" t="s">
        <v>60</v>
      </c>
      <c r="C229" s="10" t="s">
        <v>204</v>
      </c>
      <c r="D229" s="10" t="s">
        <v>127</v>
      </c>
      <c r="E229" s="10" t="s">
        <v>375</v>
      </c>
      <c r="F229" s="11">
        <v>674.84</v>
      </c>
      <c r="G229" s="11">
        <v>23377.47</v>
      </c>
      <c r="H229" s="12">
        <v>2.8866899455287569E-2</v>
      </c>
      <c r="I229" s="10">
        <v>10</v>
      </c>
      <c r="J229" s="21">
        <v>85</v>
      </c>
      <c r="K229" s="21">
        <v>100</v>
      </c>
      <c r="L229" s="21">
        <v>25</v>
      </c>
      <c r="M229" s="21">
        <v>100</v>
      </c>
      <c r="N229" s="21">
        <f>J229*Supuestos!$B$7+K229*Supuestos!$B$8+L229*Supuestos!$B$9+M229*Supuestos!$B$10</f>
        <v>77.5</v>
      </c>
      <c r="O229" s="34" t="str">
        <f t="shared" si="3"/>
        <v>B</v>
      </c>
      <c r="P229" s="10" t="s">
        <v>435</v>
      </c>
      <c r="Q229" s="10" t="s">
        <v>436</v>
      </c>
    </row>
    <row r="230" spans="1:17">
      <c r="A230" s="10" t="s">
        <v>101</v>
      </c>
      <c r="B230" s="10" t="s">
        <v>60</v>
      </c>
      <c r="C230" s="10" t="s">
        <v>320</v>
      </c>
      <c r="D230" s="10" t="s">
        <v>127</v>
      </c>
      <c r="E230" s="10" t="s">
        <v>375</v>
      </c>
      <c r="F230" s="11">
        <v>155.31</v>
      </c>
      <c r="G230" s="11">
        <v>19670.240000000002</v>
      </c>
      <c r="H230" s="12">
        <v>7.8958998905879138E-3</v>
      </c>
      <c r="I230" s="10">
        <v>18</v>
      </c>
      <c r="J230" s="21">
        <v>85</v>
      </c>
      <c r="K230" s="21">
        <v>100</v>
      </c>
      <c r="L230" s="21">
        <v>25</v>
      </c>
      <c r="M230" s="21">
        <v>100</v>
      </c>
      <c r="N230" s="21">
        <f>J230*Supuestos!$B$7+K230*Supuestos!$B$8+L230*Supuestos!$B$9+M230*Supuestos!$B$10</f>
        <v>77.5</v>
      </c>
      <c r="O230" s="34" t="str">
        <f t="shared" si="3"/>
        <v>B</v>
      </c>
      <c r="P230" s="10" t="s">
        <v>435</v>
      </c>
      <c r="Q230" s="10" t="s">
        <v>436</v>
      </c>
    </row>
    <row r="231" spans="1:17">
      <c r="A231" s="10" t="s">
        <v>101</v>
      </c>
      <c r="B231" s="10" t="s">
        <v>60</v>
      </c>
      <c r="C231" s="10" t="s">
        <v>239</v>
      </c>
      <c r="D231" s="10" t="s">
        <v>127</v>
      </c>
      <c r="E231" s="10" t="s">
        <v>225</v>
      </c>
      <c r="F231" s="11">
        <v>4178.8900000000003</v>
      </c>
      <c r="G231" s="11">
        <v>45460.47</v>
      </c>
      <c r="H231" s="12">
        <v>9.192363553257174E-2</v>
      </c>
      <c r="I231" s="10">
        <v>5</v>
      </c>
      <c r="J231" s="21">
        <v>85</v>
      </c>
      <c r="K231" s="21">
        <v>90.000000000000014</v>
      </c>
      <c r="L231" s="21">
        <v>55</v>
      </c>
      <c r="M231" s="21">
        <v>77.164146540957958</v>
      </c>
      <c r="N231" s="21">
        <f>J231*Supuestos!$B$7+K231*Supuestos!$B$8+L231*Supuestos!$B$9+M231*Supuestos!$B$10</f>
        <v>77.4328293081916</v>
      </c>
      <c r="O231" s="34" t="str">
        <f t="shared" si="3"/>
        <v>B</v>
      </c>
      <c r="P231" s="10" t="s">
        <v>435</v>
      </c>
      <c r="Q231" s="10" t="s">
        <v>441</v>
      </c>
    </row>
    <row r="232" spans="1:17">
      <c r="A232" s="10" t="s">
        <v>101</v>
      </c>
      <c r="B232" s="10" t="s">
        <v>60</v>
      </c>
      <c r="C232" s="10" t="s">
        <v>237</v>
      </c>
      <c r="D232" s="10" t="s">
        <v>127</v>
      </c>
      <c r="E232" s="10" t="s">
        <v>225</v>
      </c>
      <c r="F232" s="11">
        <v>1943.83</v>
      </c>
      <c r="G232" s="11">
        <v>28274.28</v>
      </c>
      <c r="H232" s="12">
        <v>6.8748894001061767E-2</v>
      </c>
      <c r="I232" s="10">
        <v>4</v>
      </c>
      <c r="J232" s="21">
        <v>85</v>
      </c>
      <c r="K232" s="21">
        <v>90.000000000000014</v>
      </c>
      <c r="L232" s="21">
        <v>55</v>
      </c>
      <c r="M232" s="21">
        <v>77.164146540957958</v>
      </c>
      <c r="N232" s="21">
        <f>J232*Supuestos!$B$7+K232*Supuestos!$B$8+L232*Supuestos!$B$9+M232*Supuestos!$B$10</f>
        <v>77.4328293081916</v>
      </c>
      <c r="O232" s="34" t="str">
        <f t="shared" si="3"/>
        <v>B</v>
      </c>
      <c r="P232" s="10" t="s">
        <v>435</v>
      </c>
      <c r="Q232" s="10" t="s">
        <v>441</v>
      </c>
    </row>
    <row r="233" spans="1:17">
      <c r="A233" s="10" t="s">
        <v>111</v>
      </c>
      <c r="B233" s="10" t="s">
        <v>60</v>
      </c>
      <c r="C233" s="10" t="s">
        <v>126</v>
      </c>
      <c r="D233" s="10" t="s">
        <v>127</v>
      </c>
      <c r="E233" s="10" t="s">
        <v>467</v>
      </c>
      <c r="F233" s="11">
        <v>4707.59</v>
      </c>
      <c r="G233" s="11">
        <v>46119.99</v>
      </c>
      <c r="H233" s="12">
        <v>0.10207255057068598</v>
      </c>
      <c r="I233" s="10">
        <v>4</v>
      </c>
      <c r="J233" s="21">
        <v>85</v>
      </c>
      <c r="K233" s="21">
        <v>65</v>
      </c>
      <c r="L233" s="21">
        <v>80</v>
      </c>
      <c r="M233" s="21">
        <v>81.25</v>
      </c>
      <c r="N233" s="21">
        <f>J233*Supuestos!$B$7+K233*Supuestos!$B$8+L233*Supuestos!$B$9+M233*Supuestos!$B$10</f>
        <v>77</v>
      </c>
      <c r="O233" s="34" t="str">
        <f t="shared" si="3"/>
        <v>B</v>
      </c>
      <c r="P233" s="10" t="s">
        <v>447</v>
      </c>
      <c r="Q233" s="10" t="s">
        <v>441</v>
      </c>
    </row>
    <row r="234" spans="1:17">
      <c r="A234" s="10" t="s">
        <v>101</v>
      </c>
      <c r="B234" s="10" t="s">
        <v>60</v>
      </c>
      <c r="C234" s="10" t="s">
        <v>224</v>
      </c>
      <c r="D234" s="10" t="s">
        <v>127</v>
      </c>
      <c r="E234" s="10" t="s">
        <v>467</v>
      </c>
      <c r="F234" s="11">
        <v>4701.96</v>
      </c>
      <c r="G234" s="11">
        <v>22669.16</v>
      </c>
      <c r="H234" s="12">
        <v>0.2074164676020977</v>
      </c>
      <c r="I234" s="10">
        <v>2</v>
      </c>
      <c r="J234" s="21">
        <v>85</v>
      </c>
      <c r="K234" s="21">
        <v>65</v>
      </c>
      <c r="L234" s="21">
        <v>80</v>
      </c>
      <c r="M234" s="21">
        <v>81.25</v>
      </c>
      <c r="N234" s="21">
        <f>J234*Supuestos!$B$7+K234*Supuestos!$B$8+L234*Supuestos!$B$9+M234*Supuestos!$B$10</f>
        <v>77</v>
      </c>
      <c r="O234" s="34" t="str">
        <f t="shared" si="3"/>
        <v>B</v>
      </c>
      <c r="P234" s="10" t="s">
        <v>447</v>
      </c>
      <c r="Q234" s="10" t="s">
        <v>441</v>
      </c>
    </row>
    <row r="235" spans="1:17">
      <c r="A235" s="10" t="s">
        <v>101</v>
      </c>
      <c r="B235" s="10" t="s">
        <v>60</v>
      </c>
      <c r="C235" s="10" t="s">
        <v>132</v>
      </c>
      <c r="D235" s="10" t="s">
        <v>127</v>
      </c>
      <c r="E235" s="10" t="s">
        <v>467</v>
      </c>
      <c r="F235" s="11">
        <v>40.24</v>
      </c>
      <c r="G235" s="11">
        <v>5681.95</v>
      </c>
      <c r="H235" s="12">
        <v>7.0813344462891782E-3</v>
      </c>
      <c r="I235" s="10">
        <v>3</v>
      </c>
      <c r="J235" s="21">
        <v>85</v>
      </c>
      <c r="K235" s="21">
        <v>65</v>
      </c>
      <c r="L235" s="21">
        <v>80</v>
      </c>
      <c r="M235" s="21">
        <v>81.25</v>
      </c>
      <c r="N235" s="21">
        <f>J235*Supuestos!$B$7+K235*Supuestos!$B$8+L235*Supuestos!$B$9+M235*Supuestos!$B$10</f>
        <v>77</v>
      </c>
      <c r="O235" s="34" t="str">
        <f t="shared" si="3"/>
        <v>B</v>
      </c>
      <c r="P235" s="10" t="s">
        <v>447</v>
      </c>
      <c r="Q235" s="10" t="s">
        <v>441</v>
      </c>
    </row>
    <row r="236" spans="1:17">
      <c r="A236" s="10" t="s">
        <v>119</v>
      </c>
      <c r="B236" s="10" t="s">
        <v>383</v>
      </c>
      <c r="C236" s="10" t="s">
        <v>384</v>
      </c>
      <c r="D236" s="10" t="s">
        <v>103</v>
      </c>
      <c r="E236" s="10" t="s">
        <v>446</v>
      </c>
      <c r="F236" s="11">
        <v>35023.89</v>
      </c>
      <c r="G236" s="11">
        <v>574829.68000000005</v>
      </c>
      <c r="H236" s="12">
        <v>6.0929152162143514E-2</v>
      </c>
      <c r="I236" s="10">
        <v>6</v>
      </c>
      <c r="J236" s="21">
        <v>100</v>
      </c>
      <c r="K236" s="21">
        <v>64.999999999999986</v>
      </c>
      <c r="L236" s="21">
        <v>55</v>
      </c>
      <c r="M236" s="21">
        <v>93.560509294235828</v>
      </c>
      <c r="N236" s="21">
        <f>J236*Supuestos!$B$7+K236*Supuestos!$B$8+L236*Supuestos!$B$9+M236*Supuestos!$B$10</f>
        <v>76.962101858847163</v>
      </c>
      <c r="O236" s="34" t="str">
        <f t="shared" si="3"/>
        <v>B</v>
      </c>
      <c r="P236" s="10" t="s">
        <v>447</v>
      </c>
      <c r="Q236" s="10" t="s">
        <v>441</v>
      </c>
    </row>
    <row r="237" spans="1:17">
      <c r="A237" s="10" t="s">
        <v>165</v>
      </c>
      <c r="B237" s="10" t="s">
        <v>60</v>
      </c>
      <c r="C237" s="10" t="s">
        <v>302</v>
      </c>
      <c r="D237" s="10" t="s">
        <v>103</v>
      </c>
      <c r="E237" s="10" t="s">
        <v>469</v>
      </c>
      <c r="F237" s="11">
        <v>32884.93</v>
      </c>
      <c r="G237" s="11">
        <v>357771.85</v>
      </c>
      <c r="H237" s="12">
        <v>9.191591444575524E-2</v>
      </c>
      <c r="I237" s="10">
        <v>4</v>
      </c>
      <c r="J237" s="21">
        <v>100</v>
      </c>
      <c r="K237" s="21">
        <v>65.000000000000014</v>
      </c>
      <c r="L237" s="21">
        <v>55</v>
      </c>
      <c r="M237" s="21">
        <v>93.504836461954255</v>
      </c>
      <c r="N237" s="21">
        <f>J237*Supuestos!$B$7+K237*Supuestos!$B$8+L237*Supuestos!$B$9+M237*Supuestos!$B$10</f>
        <v>76.950967292390857</v>
      </c>
      <c r="O237" s="34" t="str">
        <f t="shared" si="3"/>
        <v>B</v>
      </c>
      <c r="P237" s="10" t="s">
        <v>447</v>
      </c>
      <c r="Q237" s="10" t="s">
        <v>441</v>
      </c>
    </row>
    <row r="238" spans="1:17">
      <c r="A238" s="10" t="s">
        <v>111</v>
      </c>
      <c r="B238" s="10" t="s">
        <v>60</v>
      </c>
      <c r="C238" s="10" t="s">
        <v>339</v>
      </c>
      <c r="D238" s="10" t="s">
        <v>103</v>
      </c>
      <c r="E238" s="10" t="s">
        <v>469</v>
      </c>
      <c r="F238" s="11">
        <v>3993.64</v>
      </c>
      <c r="G238" s="11">
        <v>114879.92</v>
      </c>
      <c r="H238" s="12">
        <v>3.476360433875475E-2</v>
      </c>
      <c r="I238" s="10">
        <v>8</v>
      </c>
      <c r="J238" s="21">
        <v>100</v>
      </c>
      <c r="K238" s="21">
        <v>90</v>
      </c>
      <c r="L238" s="21">
        <v>25</v>
      </c>
      <c r="M238" s="21">
        <v>93.504836461954255</v>
      </c>
      <c r="N238" s="21">
        <f>J238*Supuestos!$B$7+K238*Supuestos!$B$8+L238*Supuestos!$B$9+M238*Supuestos!$B$10</f>
        <v>76.950967292390857</v>
      </c>
      <c r="O238" s="34" t="str">
        <f t="shared" si="3"/>
        <v>B</v>
      </c>
      <c r="P238" s="10" t="s">
        <v>435</v>
      </c>
      <c r="Q238" s="10" t="s">
        <v>441</v>
      </c>
    </row>
    <row r="239" spans="1:17">
      <c r="A239" s="10" t="s">
        <v>101</v>
      </c>
      <c r="B239" s="10" t="s">
        <v>60</v>
      </c>
      <c r="C239" s="10" t="s">
        <v>289</v>
      </c>
      <c r="D239" s="10" t="s">
        <v>149</v>
      </c>
      <c r="E239" s="10" t="s">
        <v>193</v>
      </c>
      <c r="F239" s="11">
        <v>5097.43</v>
      </c>
      <c r="G239" s="11">
        <v>22969.31</v>
      </c>
      <c r="H239" s="12">
        <v>0.22192371400694336</v>
      </c>
      <c r="I239" s="10">
        <v>2</v>
      </c>
      <c r="J239" s="21">
        <v>30</v>
      </c>
      <c r="K239" s="21">
        <v>100</v>
      </c>
      <c r="L239" s="21">
        <v>80</v>
      </c>
      <c r="M239" s="21">
        <v>96.676367126980296</v>
      </c>
      <c r="N239" s="21">
        <f>J239*Supuestos!$B$7+K239*Supuestos!$B$8+L239*Supuestos!$B$9+M239*Supuestos!$B$10</f>
        <v>76.835273425396053</v>
      </c>
      <c r="O239" s="34" t="str">
        <f t="shared" si="3"/>
        <v>B</v>
      </c>
      <c r="P239" s="10" t="s">
        <v>435</v>
      </c>
      <c r="Q239" s="10" t="s">
        <v>436</v>
      </c>
    </row>
    <row r="240" spans="1:17">
      <c r="A240" s="10" t="s">
        <v>101</v>
      </c>
      <c r="B240" s="10" t="s">
        <v>60</v>
      </c>
      <c r="C240" s="10" t="s">
        <v>204</v>
      </c>
      <c r="D240" s="10" t="s">
        <v>127</v>
      </c>
      <c r="E240" s="10" t="s">
        <v>193</v>
      </c>
      <c r="F240" s="11">
        <v>345.55</v>
      </c>
      <c r="G240" s="11">
        <v>23377.47</v>
      </c>
      <c r="H240" s="12">
        <v>1.4781243696984603E-2</v>
      </c>
      <c r="I240" s="10">
        <v>14</v>
      </c>
      <c r="J240" s="21">
        <v>85</v>
      </c>
      <c r="K240" s="21">
        <v>99.999999999999986</v>
      </c>
      <c r="L240" s="21">
        <v>25</v>
      </c>
      <c r="M240" s="21">
        <v>96.676367126980296</v>
      </c>
      <c r="N240" s="21">
        <f>J240*Supuestos!$B$7+K240*Supuestos!$B$8+L240*Supuestos!$B$9+M240*Supuestos!$B$10</f>
        <v>76.835273425396053</v>
      </c>
      <c r="O240" s="34" t="str">
        <f t="shared" si="3"/>
        <v>B</v>
      </c>
      <c r="P240" s="10" t="s">
        <v>435</v>
      </c>
      <c r="Q240" s="10" t="s">
        <v>436</v>
      </c>
    </row>
    <row r="241" spans="1:17">
      <c r="A241" s="10" t="s">
        <v>165</v>
      </c>
      <c r="B241" s="10" t="s">
        <v>60</v>
      </c>
      <c r="C241" s="10" t="s">
        <v>166</v>
      </c>
      <c r="D241" s="10" t="s">
        <v>103</v>
      </c>
      <c r="E241" s="10" t="s">
        <v>225</v>
      </c>
      <c r="F241" s="11">
        <v>2689.33</v>
      </c>
      <c r="G241" s="11">
        <v>929838.13</v>
      </c>
      <c r="H241" s="12">
        <v>2.8922604523143325E-3</v>
      </c>
      <c r="I241" s="10">
        <v>25</v>
      </c>
      <c r="J241" s="21">
        <v>100</v>
      </c>
      <c r="K241" s="21">
        <v>100</v>
      </c>
      <c r="L241" s="21">
        <v>25</v>
      </c>
      <c r="M241" s="21">
        <v>77.164146540957958</v>
      </c>
      <c r="N241" s="21">
        <f>J241*Supuestos!$B$7+K241*Supuestos!$B$8+L241*Supuestos!$B$9+M241*Supuestos!$B$10</f>
        <v>76.6828293081916</v>
      </c>
      <c r="O241" s="34" t="str">
        <f t="shared" si="3"/>
        <v>B</v>
      </c>
      <c r="P241" s="10" t="s">
        <v>435</v>
      </c>
      <c r="Q241" s="10" t="s">
        <v>436</v>
      </c>
    </row>
    <row r="242" spans="1:17">
      <c r="A242" s="10" t="s">
        <v>255</v>
      </c>
      <c r="B242" s="10" t="s">
        <v>60</v>
      </c>
      <c r="C242" s="10" t="s">
        <v>392</v>
      </c>
      <c r="D242" s="10" t="s">
        <v>103</v>
      </c>
      <c r="E242" s="10" t="s">
        <v>457</v>
      </c>
      <c r="F242" s="11">
        <v>17880.509999999998</v>
      </c>
      <c r="G242" s="11">
        <v>180471.74</v>
      </c>
      <c r="H242" s="12">
        <v>9.9076487432461988E-2</v>
      </c>
      <c r="I242" s="10">
        <v>4</v>
      </c>
      <c r="J242" s="21">
        <v>100</v>
      </c>
      <c r="K242" s="21">
        <v>65</v>
      </c>
      <c r="L242" s="21">
        <v>55</v>
      </c>
      <c r="M242" s="21">
        <v>91.25</v>
      </c>
      <c r="N242" s="21">
        <f>J242*Supuestos!$B$7+K242*Supuestos!$B$8+L242*Supuestos!$B$9+M242*Supuestos!$B$10</f>
        <v>76.5</v>
      </c>
      <c r="O242" s="34" t="str">
        <f t="shared" si="3"/>
        <v>B</v>
      </c>
      <c r="P242" s="10" t="s">
        <v>447</v>
      </c>
      <c r="Q242" s="10" t="s">
        <v>441</v>
      </c>
    </row>
    <row r="243" spans="1:17">
      <c r="A243" s="10" t="s">
        <v>101</v>
      </c>
      <c r="B243" s="10" t="s">
        <v>60</v>
      </c>
      <c r="C243" s="10" t="s">
        <v>320</v>
      </c>
      <c r="D243" s="10" t="s">
        <v>127</v>
      </c>
      <c r="E243" s="10" t="s">
        <v>464</v>
      </c>
      <c r="F243" s="11">
        <v>1802.17</v>
      </c>
      <c r="G243" s="11">
        <v>19670.240000000002</v>
      </c>
      <c r="H243" s="12">
        <v>9.1618935039177479E-2</v>
      </c>
      <c r="I243" s="10">
        <v>4</v>
      </c>
      <c r="J243" s="21">
        <v>85</v>
      </c>
      <c r="K243" s="21">
        <v>75</v>
      </c>
      <c r="L243" s="21">
        <v>55</v>
      </c>
      <c r="M243" s="21">
        <v>94.993714604403294</v>
      </c>
      <c r="N243" s="21">
        <f>J243*Supuestos!$B$7+K243*Supuestos!$B$8+L243*Supuestos!$B$9+M243*Supuestos!$B$10</f>
        <v>76.498742920880659</v>
      </c>
      <c r="O243" s="34" t="str">
        <f t="shared" si="3"/>
        <v>B</v>
      </c>
      <c r="P243" s="10" t="s">
        <v>447</v>
      </c>
      <c r="Q243" s="10" t="s">
        <v>436</v>
      </c>
    </row>
    <row r="244" spans="1:17">
      <c r="A244" s="10" t="s">
        <v>215</v>
      </c>
      <c r="B244" s="10" t="s">
        <v>60</v>
      </c>
      <c r="C244" s="10" t="s">
        <v>410</v>
      </c>
      <c r="D244" s="10" t="s">
        <v>103</v>
      </c>
      <c r="E244" s="10" t="s">
        <v>462</v>
      </c>
      <c r="F244" s="11">
        <v>8266.3799999999992</v>
      </c>
      <c r="G244" s="11">
        <v>273779.84999999998</v>
      </c>
      <c r="H244" s="12">
        <v>3.0193528356788301E-2</v>
      </c>
      <c r="I244" s="10">
        <v>8</v>
      </c>
      <c r="J244" s="21">
        <v>100</v>
      </c>
      <c r="K244" s="21">
        <v>90</v>
      </c>
      <c r="L244" s="21">
        <v>25</v>
      </c>
      <c r="M244" s="21">
        <v>90.510155415039009</v>
      </c>
      <c r="N244" s="21">
        <f>J244*Supuestos!$B$7+K244*Supuestos!$B$8+L244*Supuestos!$B$9+M244*Supuestos!$B$10</f>
        <v>76.352031083007802</v>
      </c>
      <c r="O244" s="34" t="str">
        <f t="shared" si="3"/>
        <v>B</v>
      </c>
      <c r="P244" s="10" t="s">
        <v>435</v>
      </c>
      <c r="Q244" s="10" t="s">
        <v>441</v>
      </c>
    </row>
    <row r="245" spans="1:17">
      <c r="A245" s="10" t="s">
        <v>215</v>
      </c>
      <c r="B245" s="10" t="s">
        <v>60</v>
      </c>
      <c r="C245" s="10" t="s">
        <v>332</v>
      </c>
      <c r="D245" s="10" t="s">
        <v>103</v>
      </c>
      <c r="E245" s="10" t="s">
        <v>462</v>
      </c>
      <c r="F245" s="11">
        <v>8216.44</v>
      </c>
      <c r="G245" s="11">
        <v>251755.6</v>
      </c>
      <c r="H245" s="12">
        <v>3.2636560332816228E-2</v>
      </c>
      <c r="I245" s="10">
        <v>7</v>
      </c>
      <c r="J245" s="21">
        <v>100</v>
      </c>
      <c r="K245" s="21">
        <v>90</v>
      </c>
      <c r="L245" s="21">
        <v>25</v>
      </c>
      <c r="M245" s="21">
        <v>90.510155415039009</v>
      </c>
      <c r="N245" s="21">
        <f>J245*Supuestos!$B$7+K245*Supuestos!$B$8+L245*Supuestos!$B$9+M245*Supuestos!$B$10</f>
        <v>76.352031083007802</v>
      </c>
      <c r="O245" s="34" t="str">
        <f t="shared" si="3"/>
        <v>B</v>
      </c>
      <c r="P245" s="10" t="s">
        <v>435</v>
      </c>
      <c r="Q245" s="10" t="s">
        <v>441</v>
      </c>
    </row>
    <row r="246" spans="1:17">
      <c r="A246" s="10" t="s">
        <v>111</v>
      </c>
      <c r="B246" s="10" t="s">
        <v>60</v>
      </c>
      <c r="C246" s="10" t="s">
        <v>377</v>
      </c>
      <c r="D246" s="10" t="s">
        <v>103</v>
      </c>
      <c r="E246" s="10" t="s">
        <v>462</v>
      </c>
      <c r="F246" s="11">
        <v>3420.61</v>
      </c>
      <c r="G246" s="11">
        <v>67968.179999999993</v>
      </c>
      <c r="H246" s="12">
        <v>5.0326700656928645E-2</v>
      </c>
      <c r="I246" s="10">
        <v>6</v>
      </c>
      <c r="J246" s="21">
        <v>100</v>
      </c>
      <c r="K246" s="21">
        <v>65</v>
      </c>
      <c r="L246" s="21">
        <v>55</v>
      </c>
      <c r="M246" s="21">
        <v>90.510155415039009</v>
      </c>
      <c r="N246" s="21">
        <f>J246*Supuestos!$B$7+K246*Supuestos!$B$8+L246*Supuestos!$B$9+M246*Supuestos!$B$10</f>
        <v>76.352031083007802</v>
      </c>
      <c r="O246" s="34" t="str">
        <f t="shared" si="3"/>
        <v>B</v>
      </c>
      <c r="P246" s="10" t="s">
        <v>447</v>
      </c>
      <c r="Q246" s="10" t="s">
        <v>441</v>
      </c>
    </row>
    <row r="247" spans="1:17">
      <c r="A247" s="10" t="s">
        <v>111</v>
      </c>
      <c r="B247" s="10" t="s">
        <v>60</v>
      </c>
      <c r="C247" s="10" t="s">
        <v>126</v>
      </c>
      <c r="D247" s="10" t="s">
        <v>127</v>
      </c>
      <c r="E247" s="10" t="s">
        <v>446</v>
      </c>
      <c r="F247" s="11">
        <v>2576.34</v>
      </c>
      <c r="G247" s="11">
        <v>46119.99</v>
      </c>
      <c r="H247" s="12">
        <v>5.5861679285795003E-2</v>
      </c>
      <c r="I247" s="10">
        <v>5</v>
      </c>
      <c r="J247" s="21">
        <v>85</v>
      </c>
      <c r="K247" s="21">
        <v>75</v>
      </c>
      <c r="L247" s="21">
        <v>55</v>
      </c>
      <c r="M247" s="21">
        <v>93.560509294235828</v>
      </c>
      <c r="N247" s="21">
        <f>J247*Supuestos!$B$7+K247*Supuestos!$B$8+L247*Supuestos!$B$9+M247*Supuestos!$B$10</f>
        <v>76.212101858847163</v>
      </c>
      <c r="O247" s="34" t="str">
        <f t="shared" si="3"/>
        <v>B</v>
      </c>
      <c r="P247" s="10" t="s">
        <v>447</v>
      </c>
      <c r="Q247" s="10" t="s">
        <v>436</v>
      </c>
    </row>
    <row r="248" spans="1:17">
      <c r="A248" s="10" t="s">
        <v>101</v>
      </c>
      <c r="B248" s="10" t="s">
        <v>60</v>
      </c>
      <c r="C248" s="10" t="s">
        <v>204</v>
      </c>
      <c r="D248" s="10" t="s">
        <v>127</v>
      </c>
      <c r="E248" s="10" t="s">
        <v>446</v>
      </c>
      <c r="F248" s="11">
        <v>1304.95</v>
      </c>
      <c r="G248" s="11">
        <v>23377.47</v>
      </c>
      <c r="H248" s="12">
        <v>5.5820932079200684E-2</v>
      </c>
      <c r="I248" s="10">
        <v>8</v>
      </c>
      <c r="J248" s="21">
        <v>85</v>
      </c>
      <c r="K248" s="21">
        <v>75</v>
      </c>
      <c r="L248" s="21">
        <v>55</v>
      </c>
      <c r="M248" s="21">
        <v>93.560509294235828</v>
      </c>
      <c r="N248" s="21">
        <f>J248*Supuestos!$B$7+K248*Supuestos!$B$8+L248*Supuestos!$B$9+M248*Supuestos!$B$10</f>
        <v>76.212101858847163</v>
      </c>
      <c r="O248" s="34" t="str">
        <f t="shared" si="3"/>
        <v>B</v>
      </c>
      <c r="P248" s="10" t="s">
        <v>447</v>
      </c>
      <c r="Q248" s="10" t="s">
        <v>436</v>
      </c>
    </row>
    <row r="249" spans="1:17">
      <c r="A249" s="10" t="s">
        <v>119</v>
      </c>
      <c r="B249" s="10" t="s">
        <v>120</v>
      </c>
      <c r="C249" s="10" t="s">
        <v>121</v>
      </c>
      <c r="D249" s="10" t="s">
        <v>103</v>
      </c>
      <c r="E249" s="10" t="s">
        <v>486</v>
      </c>
      <c r="F249" s="11">
        <v>343555.13</v>
      </c>
      <c r="G249" s="11">
        <v>1945343.76</v>
      </c>
      <c r="H249" s="12">
        <v>0.17660381499562447</v>
      </c>
      <c r="I249" s="10">
        <v>2</v>
      </c>
      <c r="J249" s="21">
        <v>100</v>
      </c>
      <c r="K249" s="21">
        <v>60</v>
      </c>
      <c r="L249" s="21">
        <v>80</v>
      </c>
      <c r="M249" s="21">
        <v>65</v>
      </c>
      <c r="N249" s="21">
        <f>J249*Supuestos!$B$7+K249*Supuestos!$B$8+L249*Supuestos!$B$9+M249*Supuestos!$B$10</f>
        <v>76</v>
      </c>
      <c r="O249" s="34" t="str">
        <f t="shared" si="3"/>
        <v>B</v>
      </c>
      <c r="P249" s="10" t="s">
        <v>435</v>
      </c>
      <c r="Q249" s="10" t="s">
        <v>471</v>
      </c>
    </row>
    <row r="250" spans="1:17">
      <c r="A250" s="10" t="s">
        <v>101</v>
      </c>
      <c r="B250" s="10" t="s">
        <v>60</v>
      </c>
      <c r="C250" s="10" t="s">
        <v>299</v>
      </c>
      <c r="D250" s="10" t="s">
        <v>127</v>
      </c>
      <c r="E250" s="10" t="s">
        <v>458</v>
      </c>
      <c r="F250" s="11">
        <v>3375.11</v>
      </c>
      <c r="G250" s="11">
        <v>26435.84</v>
      </c>
      <c r="H250" s="12">
        <v>0.12767190697564379</v>
      </c>
      <c r="I250" s="10">
        <v>4</v>
      </c>
      <c r="J250" s="21">
        <v>85</v>
      </c>
      <c r="K250" s="21">
        <v>75</v>
      </c>
      <c r="L250" s="21">
        <v>80</v>
      </c>
      <c r="M250" s="21">
        <v>61.25</v>
      </c>
      <c r="N250" s="21">
        <f>J250*Supuestos!$B$7+K250*Supuestos!$B$8+L250*Supuestos!$B$9+M250*Supuestos!$B$10</f>
        <v>76</v>
      </c>
      <c r="O250" s="34" t="str">
        <f t="shared" si="3"/>
        <v>B</v>
      </c>
      <c r="P250" s="10" t="s">
        <v>447</v>
      </c>
      <c r="Q250" s="10" t="s">
        <v>436</v>
      </c>
    </row>
    <row r="251" spans="1:17">
      <c r="A251" s="10" t="s">
        <v>101</v>
      </c>
      <c r="B251" s="10" t="s">
        <v>60</v>
      </c>
      <c r="C251" s="10" t="s">
        <v>204</v>
      </c>
      <c r="D251" s="10" t="s">
        <v>127</v>
      </c>
      <c r="E251" s="10" t="s">
        <v>462</v>
      </c>
      <c r="F251" s="11">
        <v>1563.51</v>
      </c>
      <c r="G251" s="11">
        <v>23377.47</v>
      </c>
      <c r="H251" s="12">
        <v>6.688122619394285E-2</v>
      </c>
      <c r="I251" s="10">
        <v>5</v>
      </c>
      <c r="J251" s="21">
        <v>85</v>
      </c>
      <c r="K251" s="21">
        <v>76.246208206940238</v>
      </c>
      <c r="L251" s="21">
        <v>55</v>
      </c>
      <c r="M251" s="21">
        <v>90.510155415039009</v>
      </c>
      <c r="N251" s="21">
        <f>J251*Supuestos!$B$7+K251*Supuestos!$B$8+L251*Supuestos!$B$9+M251*Supuestos!$B$10</f>
        <v>75.975893545089875</v>
      </c>
      <c r="O251" s="34" t="str">
        <f t="shared" si="3"/>
        <v>B</v>
      </c>
      <c r="P251" s="10" t="s">
        <v>447</v>
      </c>
      <c r="Q251" s="10" t="s">
        <v>441</v>
      </c>
    </row>
    <row r="252" spans="1:17">
      <c r="A252" s="10" t="s">
        <v>215</v>
      </c>
      <c r="B252" s="10" t="s">
        <v>60</v>
      </c>
      <c r="C252" s="10" t="s">
        <v>216</v>
      </c>
      <c r="D252" s="10" t="s">
        <v>103</v>
      </c>
      <c r="E252" s="10" t="s">
        <v>462</v>
      </c>
      <c r="F252" s="11">
        <v>16706.7</v>
      </c>
      <c r="G252" s="11">
        <v>656576.77</v>
      </c>
      <c r="H252" s="12">
        <v>2.5445159509588113E-2</v>
      </c>
      <c r="I252" s="10">
        <v>12</v>
      </c>
      <c r="J252" s="21">
        <v>100</v>
      </c>
      <c r="K252" s="21">
        <v>88.645140718712312</v>
      </c>
      <c r="L252" s="21">
        <v>25</v>
      </c>
      <c r="M252" s="21">
        <v>90.510155415039009</v>
      </c>
      <c r="N252" s="21">
        <f>J252*Supuestos!$B$7+K252*Supuestos!$B$8+L252*Supuestos!$B$9+M252*Supuestos!$B$10</f>
        <v>75.945573298621497</v>
      </c>
      <c r="O252" s="34" t="str">
        <f t="shared" si="3"/>
        <v>B</v>
      </c>
      <c r="P252" s="10" t="s">
        <v>435</v>
      </c>
      <c r="Q252" s="10" t="s">
        <v>441</v>
      </c>
    </row>
    <row r="253" spans="1:17">
      <c r="A253" s="10" t="s">
        <v>101</v>
      </c>
      <c r="B253" s="10" t="s">
        <v>60</v>
      </c>
      <c r="C253" s="10" t="s">
        <v>239</v>
      </c>
      <c r="D253" s="10" t="s">
        <v>127</v>
      </c>
      <c r="E253" s="10" t="s">
        <v>468</v>
      </c>
      <c r="F253" s="11">
        <v>148.02000000000001</v>
      </c>
      <c r="G253" s="11">
        <v>45460.47</v>
      </c>
      <c r="H253" s="12">
        <v>3.2559631443315504E-3</v>
      </c>
      <c r="I253" s="10">
        <v>14</v>
      </c>
      <c r="J253" s="21">
        <v>85</v>
      </c>
      <c r="K253" s="21">
        <v>100</v>
      </c>
      <c r="L253" s="21">
        <v>25</v>
      </c>
      <c r="M253" s="21">
        <v>90</v>
      </c>
      <c r="N253" s="21">
        <f>J253*Supuestos!$B$7+K253*Supuestos!$B$8+L253*Supuestos!$B$9+M253*Supuestos!$B$10</f>
        <v>75.5</v>
      </c>
      <c r="O253" s="34" t="str">
        <f t="shared" si="3"/>
        <v>B</v>
      </c>
      <c r="P253" s="10" t="s">
        <v>435</v>
      </c>
      <c r="Q253" s="10" t="s">
        <v>436</v>
      </c>
    </row>
    <row r="254" spans="1:17">
      <c r="A254" s="10" t="s">
        <v>101</v>
      </c>
      <c r="B254" s="10" t="s">
        <v>60</v>
      </c>
      <c r="C254" s="10" t="s">
        <v>336</v>
      </c>
      <c r="D254" s="10" t="s">
        <v>149</v>
      </c>
      <c r="E254" s="10" t="s">
        <v>459</v>
      </c>
      <c r="F254" s="11">
        <v>122.17</v>
      </c>
      <c r="G254" s="11">
        <v>2849.08</v>
      </c>
      <c r="H254" s="12">
        <v>4.2879356077929212E-2</v>
      </c>
      <c r="I254" s="10">
        <v>2</v>
      </c>
      <c r="J254" s="21">
        <v>30</v>
      </c>
      <c r="K254" s="21">
        <v>100</v>
      </c>
      <c r="L254" s="21">
        <v>80</v>
      </c>
      <c r="M254" s="21">
        <v>90</v>
      </c>
      <c r="N254" s="21">
        <f>J254*Supuestos!$B$7+K254*Supuestos!$B$8+L254*Supuestos!$B$9+M254*Supuestos!$B$10</f>
        <v>75.5</v>
      </c>
      <c r="O254" s="34" t="str">
        <f t="shared" si="3"/>
        <v>B</v>
      </c>
      <c r="P254" s="10" t="s">
        <v>435</v>
      </c>
      <c r="Q254" s="10" t="s">
        <v>436</v>
      </c>
    </row>
    <row r="255" spans="1:17">
      <c r="A255" s="10" t="s">
        <v>165</v>
      </c>
      <c r="B255" s="10" t="s">
        <v>60</v>
      </c>
      <c r="C255" s="10" t="s">
        <v>302</v>
      </c>
      <c r="D255" s="10" t="s">
        <v>103</v>
      </c>
      <c r="E255" s="10" t="s">
        <v>480</v>
      </c>
      <c r="F255" s="11">
        <v>6983.93</v>
      </c>
      <c r="G255" s="11">
        <v>357771.85</v>
      </c>
      <c r="H255" s="12">
        <v>1.9520623392499058E-2</v>
      </c>
      <c r="I255" s="10">
        <v>9</v>
      </c>
      <c r="J255" s="21">
        <v>100</v>
      </c>
      <c r="K255" s="21">
        <v>100</v>
      </c>
      <c r="L255" s="21">
        <v>25</v>
      </c>
      <c r="M255" s="21">
        <v>70</v>
      </c>
      <c r="N255" s="21">
        <f>J255*Supuestos!$B$7+K255*Supuestos!$B$8+L255*Supuestos!$B$9+M255*Supuestos!$B$10</f>
        <v>75.25</v>
      </c>
      <c r="O255" s="34" t="str">
        <f t="shared" si="3"/>
        <v>B</v>
      </c>
      <c r="P255" s="10" t="s">
        <v>435</v>
      </c>
      <c r="Q255" s="10" t="s">
        <v>436</v>
      </c>
    </row>
    <row r="256" spans="1:17">
      <c r="A256" s="10" t="s">
        <v>165</v>
      </c>
      <c r="B256" s="10" t="s">
        <v>60</v>
      </c>
      <c r="C256" s="10" t="s">
        <v>247</v>
      </c>
      <c r="D256" s="10" t="s">
        <v>103</v>
      </c>
      <c r="E256" s="10" t="s">
        <v>480</v>
      </c>
      <c r="F256" s="11">
        <v>2923.24</v>
      </c>
      <c r="G256" s="11">
        <v>125931.16</v>
      </c>
      <c r="H256" s="12">
        <v>2.3213028984363216E-2</v>
      </c>
      <c r="I256" s="10">
        <v>6</v>
      </c>
      <c r="J256" s="21">
        <v>100</v>
      </c>
      <c r="K256" s="21">
        <v>100</v>
      </c>
      <c r="L256" s="21">
        <v>25</v>
      </c>
      <c r="M256" s="21">
        <v>70</v>
      </c>
      <c r="N256" s="21">
        <f>J256*Supuestos!$B$7+K256*Supuestos!$B$8+L256*Supuestos!$B$9+M256*Supuestos!$B$10</f>
        <v>75.25</v>
      </c>
      <c r="O256" s="34" t="str">
        <f t="shared" si="3"/>
        <v>B</v>
      </c>
      <c r="P256" s="10" t="s">
        <v>435</v>
      </c>
      <c r="Q256" s="10" t="s">
        <v>436</v>
      </c>
    </row>
    <row r="257" spans="1:17">
      <c r="A257" s="10" t="s">
        <v>111</v>
      </c>
      <c r="B257" s="10" t="s">
        <v>227</v>
      </c>
      <c r="C257" s="10" t="s">
        <v>228</v>
      </c>
      <c r="D257" s="10" t="s">
        <v>113</v>
      </c>
      <c r="E257" s="10" t="s">
        <v>375</v>
      </c>
      <c r="F257" s="11">
        <v>1556.69</v>
      </c>
      <c r="G257" s="11">
        <v>112293.14</v>
      </c>
      <c r="H257" s="12">
        <v>1.3862704090583777E-2</v>
      </c>
      <c r="I257" s="10">
        <v>4</v>
      </c>
      <c r="J257" s="21">
        <v>75</v>
      </c>
      <c r="K257" s="21">
        <v>100.00000000000001</v>
      </c>
      <c r="L257" s="21">
        <v>25</v>
      </c>
      <c r="M257" s="21">
        <v>100</v>
      </c>
      <c r="N257" s="21">
        <f>J257*Supuestos!$B$7+K257*Supuestos!$B$8+L257*Supuestos!$B$9+M257*Supuestos!$B$10</f>
        <v>75</v>
      </c>
      <c r="O257" s="34" t="str">
        <f t="shared" si="3"/>
        <v>B</v>
      </c>
      <c r="P257" s="10" t="s">
        <v>435</v>
      </c>
      <c r="Q257" s="10" t="s">
        <v>436</v>
      </c>
    </row>
    <row r="258" spans="1:17">
      <c r="A258" s="10" t="s">
        <v>101</v>
      </c>
      <c r="B258" s="10" t="s">
        <v>60</v>
      </c>
      <c r="C258" s="10" t="s">
        <v>282</v>
      </c>
      <c r="D258" s="10" t="s">
        <v>149</v>
      </c>
      <c r="E258" s="10" t="s">
        <v>225</v>
      </c>
      <c r="F258" s="11">
        <v>10250.74</v>
      </c>
      <c r="G258" s="11">
        <v>25285.58</v>
      </c>
      <c r="H258" s="12">
        <v>0.40539872040102892</v>
      </c>
      <c r="I258" s="10">
        <v>1</v>
      </c>
      <c r="J258" s="21">
        <v>30</v>
      </c>
      <c r="K258" s="21">
        <v>90.000000000000014</v>
      </c>
      <c r="L258" s="21">
        <v>100</v>
      </c>
      <c r="M258" s="21">
        <v>77.164146540957958</v>
      </c>
      <c r="N258" s="21">
        <f>J258*Supuestos!$B$7+K258*Supuestos!$B$8+L258*Supuestos!$B$9+M258*Supuestos!$B$10</f>
        <v>74.9328293081916</v>
      </c>
      <c r="O258" s="34" t="str">
        <f t="shared" si="3"/>
        <v>B</v>
      </c>
      <c r="P258" s="10" t="s">
        <v>435</v>
      </c>
      <c r="Q258" s="10" t="s">
        <v>441</v>
      </c>
    </row>
    <row r="259" spans="1:17">
      <c r="A259" s="10" t="s">
        <v>101</v>
      </c>
      <c r="B259" s="10" t="s">
        <v>60</v>
      </c>
      <c r="C259" s="10" t="s">
        <v>252</v>
      </c>
      <c r="D259" s="10" t="s">
        <v>149</v>
      </c>
      <c r="E259" s="10" t="s">
        <v>225</v>
      </c>
      <c r="F259" s="11">
        <v>7173.61</v>
      </c>
      <c r="G259" s="11">
        <v>10705.5</v>
      </c>
      <c r="H259" s="12">
        <v>0.67008649772927364</v>
      </c>
      <c r="I259" s="10">
        <v>1</v>
      </c>
      <c r="J259" s="21">
        <v>30</v>
      </c>
      <c r="K259" s="21">
        <v>90</v>
      </c>
      <c r="L259" s="21">
        <v>100</v>
      </c>
      <c r="M259" s="21">
        <v>77.164146540957958</v>
      </c>
      <c r="N259" s="21">
        <f>J259*Supuestos!$B$7+K259*Supuestos!$B$8+L259*Supuestos!$B$9+M259*Supuestos!$B$10</f>
        <v>74.9328293081916</v>
      </c>
      <c r="O259" s="34" t="str">
        <f t="shared" si="3"/>
        <v>B</v>
      </c>
      <c r="P259" s="10" t="s">
        <v>435</v>
      </c>
      <c r="Q259" s="10" t="s">
        <v>441</v>
      </c>
    </row>
    <row r="260" spans="1:17">
      <c r="A260" s="10" t="s">
        <v>101</v>
      </c>
      <c r="B260" s="10" t="s">
        <v>60</v>
      </c>
      <c r="C260" s="10" t="s">
        <v>252</v>
      </c>
      <c r="D260" s="10" t="s">
        <v>149</v>
      </c>
      <c r="E260" s="10" t="s">
        <v>462</v>
      </c>
      <c r="F260" s="11">
        <v>3531.89</v>
      </c>
      <c r="G260" s="11">
        <v>10705.5</v>
      </c>
      <c r="H260" s="12">
        <v>0.32991350227072641</v>
      </c>
      <c r="I260" s="10">
        <v>2</v>
      </c>
      <c r="J260" s="21">
        <v>30</v>
      </c>
      <c r="K260" s="21">
        <v>80.607384233981634</v>
      </c>
      <c r="L260" s="21">
        <v>100</v>
      </c>
      <c r="M260" s="21">
        <v>90.510155415039009</v>
      </c>
      <c r="N260" s="21">
        <f>J260*Supuestos!$B$7+K260*Supuestos!$B$8+L260*Supuestos!$B$9+M260*Supuestos!$B$10</f>
        <v>74.784246353202292</v>
      </c>
      <c r="O260" s="34" t="str">
        <f t="shared" si="3"/>
        <v>B</v>
      </c>
      <c r="P260" s="10" t="s">
        <v>435</v>
      </c>
      <c r="Q260" s="10" t="s">
        <v>441</v>
      </c>
    </row>
    <row r="261" spans="1:17">
      <c r="A261" s="10" t="s">
        <v>215</v>
      </c>
      <c r="B261" s="10" t="s">
        <v>60</v>
      </c>
      <c r="C261" s="10" t="s">
        <v>234</v>
      </c>
      <c r="D261" s="10" t="s">
        <v>149</v>
      </c>
      <c r="E261" s="10" t="s">
        <v>115</v>
      </c>
      <c r="F261" s="11">
        <v>9244.74</v>
      </c>
      <c r="G261" s="11">
        <v>17848.16</v>
      </c>
      <c r="H261" s="12">
        <v>0.51796607397846695</v>
      </c>
      <c r="I261" s="10">
        <v>1</v>
      </c>
      <c r="J261" s="21">
        <v>30</v>
      </c>
      <c r="K261" s="21">
        <v>90</v>
      </c>
      <c r="L261" s="21">
        <v>100</v>
      </c>
      <c r="M261" s="21">
        <v>76.399848561858846</v>
      </c>
      <c r="N261" s="21">
        <f>J261*Supuestos!$B$7+K261*Supuestos!$B$8+L261*Supuestos!$B$9+M261*Supuestos!$B$10</f>
        <v>74.779969712371766</v>
      </c>
      <c r="O261" s="34" t="str">
        <f t="shared" ref="O261:O324" si="4">IF(N261&gt;=80,"A",IF(N261&gt;=65,"B",IF(N261&gt;=50,"C","D")))</f>
        <v>B</v>
      </c>
      <c r="P261" s="10" t="s">
        <v>435</v>
      </c>
      <c r="Q261" s="10" t="s">
        <v>441</v>
      </c>
    </row>
    <row r="262" spans="1:17">
      <c r="A262" s="10" t="s">
        <v>275</v>
      </c>
      <c r="B262" s="10" t="s">
        <v>406</v>
      </c>
      <c r="C262" s="10" t="s">
        <v>407</v>
      </c>
      <c r="D262" s="10" t="s">
        <v>127</v>
      </c>
      <c r="E262" s="10" t="s">
        <v>193</v>
      </c>
      <c r="F262" s="11">
        <v>32162.62</v>
      </c>
      <c r="G262" s="11">
        <v>324829.33</v>
      </c>
      <c r="H262" s="12">
        <v>9.9013903714116627E-2</v>
      </c>
      <c r="I262" s="10">
        <v>4</v>
      </c>
      <c r="J262" s="21">
        <v>85</v>
      </c>
      <c r="K262" s="21">
        <v>68.100600223847138</v>
      </c>
      <c r="L262" s="21">
        <v>55</v>
      </c>
      <c r="M262" s="21">
        <v>96.676367126980296</v>
      </c>
      <c r="N262" s="21">
        <f>J262*Supuestos!$B$7+K262*Supuestos!$B$8+L262*Supuestos!$B$9+M262*Supuestos!$B$10</f>
        <v>74.765453492550193</v>
      </c>
      <c r="O262" s="34" t="str">
        <f t="shared" si="4"/>
        <v>B</v>
      </c>
      <c r="P262" s="10" t="s">
        <v>447</v>
      </c>
      <c r="Q262" s="10" t="s">
        <v>441</v>
      </c>
    </row>
    <row r="263" spans="1:17">
      <c r="A263" s="10" t="s">
        <v>101</v>
      </c>
      <c r="B263" s="10" t="s">
        <v>60</v>
      </c>
      <c r="C263" s="10" t="s">
        <v>364</v>
      </c>
      <c r="D263" s="10" t="s">
        <v>149</v>
      </c>
      <c r="E263" s="10" t="s">
        <v>193</v>
      </c>
      <c r="F263" s="11">
        <v>1828.12</v>
      </c>
      <c r="G263" s="11">
        <v>9858.02</v>
      </c>
      <c r="H263" s="12">
        <v>0.18544502894604672</v>
      </c>
      <c r="I263" s="10">
        <v>3</v>
      </c>
      <c r="J263" s="21">
        <v>30</v>
      </c>
      <c r="K263" s="21">
        <v>92.993499828942873</v>
      </c>
      <c r="L263" s="21">
        <v>80</v>
      </c>
      <c r="M263" s="21">
        <v>96.676367126980296</v>
      </c>
      <c r="N263" s="21">
        <f>J263*Supuestos!$B$7+K263*Supuestos!$B$8+L263*Supuestos!$B$9+M263*Supuestos!$B$10</f>
        <v>74.733323374078921</v>
      </c>
      <c r="O263" s="34" t="str">
        <f t="shared" si="4"/>
        <v>B</v>
      </c>
      <c r="P263" s="10" t="s">
        <v>435</v>
      </c>
      <c r="Q263" s="10" t="s">
        <v>441</v>
      </c>
    </row>
    <row r="264" spans="1:17">
      <c r="A264" s="10" t="s">
        <v>119</v>
      </c>
      <c r="B264" s="10" t="s">
        <v>186</v>
      </c>
      <c r="C264" s="10" t="s">
        <v>187</v>
      </c>
      <c r="D264" s="10" t="s">
        <v>103</v>
      </c>
      <c r="E264" s="10" t="s">
        <v>515</v>
      </c>
      <c r="F264" s="11">
        <v>17042.560000000001</v>
      </c>
      <c r="G264" s="11">
        <v>159511.35999999999</v>
      </c>
      <c r="H264" s="12">
        <v>0.10684229989752755</v>
      </c>
      <c r="I264" s="10">
        <v>4</v>
      </c>
      <c r="J264" s="21">
        <v>100</v>
      </c>
      <c r="K264" s="21">
        <v>55.981118919613202</v>
      </c>
      <c r="L264" s="21">
        <v>80</v>
      </c>
      <c r="M264" s="21">
        <v>63.078660406306753</v>
      </c>
      <c r="N264" s="21">
        <f>J264*Supuestos!$B$7+K264*Supuestos!$B$8+L264*Supuestos!$B$9+M264*Supuestos!$B$10</f>
        <v>74.410067757145313</v>
      </c>
      <c r="O264" s="34" t="str">
        <f t="shared" si="4"/>
        <v>B</v>
      </c>
      <c r="P264" s="10" t="s">
        <v>447</v>
      </c>
      <c r="Q264" s="10" t="s">
        <v>441</v>
      </c>
    </row>
    <row r="265" spans="1:17">
      <c r="A265" s="10" t="s">
        <v>111</v>
      </c>
      <c r="B265" s="10" t="s">
        <v>60</v>
      </c>
      <c r="C265" s="10" t="s">
        <v>180</v>
      </c>
      <c r="D265" s="10" t="s">
        <v>113</v>
      </c>
      <c r="E265" s="10" t="s">
        <v>193</v>
      </c>
      <c r="F265" s="11">
        <v>194.09</v>
      </c>
      <c r="G265" s="11">
        <v>49477.3</v>
      </c>
      <c r="H265" s="12">
        <v>3.9228227806872408E-3</v>
      </c>
      <c r="I265" s="10">
        <v>5</v>
      </c>
      <c r="J265" s="21">
        <v>75</v>
      </c>
      <c r="K265" s="21">
        <v>99.999999999999986</v>
      </c>
      <c r="L265" s="21">
        <v>25</v>
      </c>
      <c r="M265" s="21">
        <v>96.676367126980296</v>
      </c>
      <c r="N265" s="21">
        <f>J265*Supuestos!$B$7+K265*Supuestos!$B$8+L265*Supuestos!$B$9+M265*Supuestos!$B$10</f>
        <v>74.335273425396053</v>
      </c>
      <c r="O265" s="34" t="str">
        <f t="shared" si="4"/>
        <v>B</v>
      </c>
      <c r="P265" s="10" t="s">
        <v>435</v>
      </c>
      <c r="Q265" s="10" t="s">
        <v>436</v>
      </c>
    </row>
    <row r="266" spans="1:17">
      <c r="A266" s="10" t="s">
        <v>101</v>
      </c>
      <c r="B266" s="10" t="s">
        <v>60</v>
      </c>
      <c r="C266" s="10" t="s">
        <v>346</v>
      </c>
      <c r="D266" s="10" t="s">
        <v>127</v>
      </c>
      <c r="E266" s="10" t="s">
        <v>479</v>
      </c>
      <c r="F266" s="11">
        <v>3240.49</v>
      </c>
      <c r="G266" s="11">
        <v>41126.71</v>
      </c>
      <c r="H266" s="12">
        <v>7.8792869166135718E-2</v>
      </c>
      <c r="I266" s="10">
        <v>4</v>
      </c>
      <c r="J266" s="21">
        <v>85</v>
      </c>
      <c r="K266" s="21">
        <v>90</v>
      </c>
      <c r="L266" s="21">
        <v>55</v>
      </c>
      <c r="M266" s="21">
        <v>59.999999999999986</v>
      </c>
      <c r="N266" s="21">
        <f>J266*Supuestos!$B$7+K266*Supuestos!$B$8+L266*Supuestos!$B$9+M266*Supuestos!$B$10</f>
        <v>74</v>
      </c>
      <c r="O266" s="34" t="str">
        <f t="shared" si="4"/>
        <v>B</v>
      </c>
      <c r="P266" s="10" t="s">
        <v>435</v>
      </c>
      <c r="Q266" s="10" t="s">
        <v>441</v>
      </c>
    </row>
    <row r="267" spans="1:17">
      <c r="A267" s="10" t="s">
        <v>101</v>
      </c>
      <c r="B267" s="10" t="s">
        <v>60</v>
      </c>
      <c r="C267" s="10" t="s">
        <v>239</v>
      </c>
      <c r="D267" s="10" t="s">
        <v>127</v>
      </c>
      <c r="E267" s="10" t="s">
        <v>479</v>
      </c>
      <c r="F267" s="11">
        <v>2903.23</v>
      </c>
      <c r="G267" s="11">
        <v>45460.47</v>
      </c>
      <c r="H267" s="12">
        <v>6.3862736264734071E-2</v>
      </c>
      <c r="I267" s="10">
        <v>6</v>
      </c>
      <c r="J267" s="21">
        <v>85</v>
      </c>
      <c r="K267" s="21">
        <v>90</v>
      </c>
      <c r="L267" s="21">
        <v>55</v>
      </c>
      <c r="M267" s="21">
        <v>59.999999999999986</v>
      </c>
      <c r="N267" s="21">
        <f>J267*Supuestos!$B$7+K267*Supuestos!$B$8+L267*Supuestos!$B$9+M267*Supuestos!$B$10</f>
        <v>74</v>
      </c>
      <c r="O267" s="34" t="str">
        <f t="shared" si="4"/>
        <v>B</v>
      </c>
      <c r="P267" s="10" t="s">
        <v>435</v>
      </c>
      <c r="Q267" s="10" t="s">
        <v>441</v>
      </c>
    </row>
    <row r="268" spans="1:17">
      <c r="A268" s="10" t="s">
        <v>111</v>
      </c>
      <c r="B268" s="10" t="s">
        <v>60</v>
      </c>
      <c r="C268" s="10" t="s">
        <v>370</v>
      </c>
      <c r="D268" s="10" t="s">
        <v>149</v>
      </c>
      <c r="E268" s="10" t="s">
        <v>464</v>
      </c>
      <c r="F268" s="11">
        <v>11204.25</v>
      </c>
      <c r="G268" s="11">
        <v>17057.150000000001</v>
      </c>
      <c r="H268" s="12">
        <v>0.65686533553182502</v>
      </c>
      <c r="I268" s="10">
        <v>1</v>
      </c>
      <c r="J268" s="21">
        <v>30</v>
      </c>
      <c r="K268" s="21">
        <v>75</v>
      </c>
      <c r="L268" s="21">
        <v>100</v>
      </c>
      <c r="M268" s="21">
        <v>94.993714604403294</v>
      </c>
      <c r="N268" s="21">
        <f>J268*Supuestos!$B$7+K268*Supuestos!$B$8+L268*Supuestos!$B$9+M268*Supuestos!$B$10</f>
        <v>73.998742920880659</v>
      </c>
      <c r="O268" s="34" t="str">
        <f t="shared" si="4"/>
        <v>B</v>
      </c>
      <c r="P268" s="10" t="s">
        <v>447</v>
      </c>
      <c r="Q268" s="10" t="s">
        <v>436</v>
      </c>
    </row>
    <row r="269" spans="1:17">
      <c r="A269" s="10" t="s">
        <v>111</v>
      </c>
      <c r="B269" s="10" t="s">
        <v>60</v>
      </c>
      <c r="C269" s="10" t="s">
        <v>339</v>
      </c>
      <c r="D269" s="10" t="s">
        <v>103</v>
      </c>
      <c r="E269" s="10" t="s">
        <v>464</v>
      </c>
      <c r="F269" s="11">
        <v>5323.56</v>
      </c>
      <c r="G269" s="11">
        <v>114879.92</v>
      </c>
      <c r="H269" s="12">
        <v>4.6340190909196034E-2</v>
      </c>
      <c r="I269" s="10">
        <v>6</v>
      </c>
      <c r="J269" s="21">
        <v>100</v>
      </c>
      <c r="K269" s="21">
        <v>79.003520568303514</v>
      </c>
      <c r="L269" s="21">
        <v>25</v>
      </c>
      <c r="M269" s="21">
        <v>94.993714604403294</v>
      </c>
      <c r="N269" s="21">
        <f>J269*Supuestos!$B$7+K269*Supuestos!$B$8+L269*Supuestos!$B$9+M269*Supuestos!$B$10</f>
        <v>73.949799091371716</v>
      </c>
      <c r="O269" s="34" t="str">
        <f t="shared" si="4"/>
        <v>B</v>
      </c>
      <c r="P269" s="10" t="s">
        <v>447</v>
      </c>
      <c r="Q269" s="10" t="s">
        <v>436</v>
      </c>
    </row>
    <row r="270" spans="1:17">
      <c r="A270" s="10" t="s">
        <v>101</v>
      </c>
      <c r="B270" s="10" t="s">
        <v>60</v>
      </c>
      <c r="C270" s="10" t="s">
        <v>237</v>
      </c>
      <c r="D270" s="10" t="s">
        <v>127</v>
      </c>
      <c r="E270" s="10" t="s">
        <v>193</v>
      </c>
      <c r="F270" s="11">
        <v>1387.61</v>
      </c>
      <c r="G270" s="11">
        <v>28274.28</v>
      </c>
      <c r="H270" s="12">
        <v>4.9076859552881477E-2</v>
      </c>
      <c r="I270" s="10">
        <v>5</v>
      </c>
      <c r="J270" s="21">
        <v>85</v>
      </c>
      <c r="K270" s="21">
        <v>90</v>
      </c>
      <c r="L270" s="21">
        <v>25</v>
      </c>
      <c r="M270" s="21">
        <v>96.676367126980296</v>
      </c>
      <c r="N270" s="21">
        <f>J270*Supuestos!$B$7+K270*Supuestos!$B$8+L270*Supuestos!$B$9+M270*Supuestos!$B$10</f>
        <v>73.835273425396053</v>
      </c>
      <c r="O270" s="34" t="str">
        <f t="shared" si="4"/>
        <v>B</v>
      </c>
      <c r="P270" s="10" t="s">
        <v>435</v>
      </c>
      <c r="Q270" s="10" t="s">
        <v>441</v>
      </c>
    </row>
    <row r="271" spans="1:17">
      <c r="A271" s="10" t="s">
        <v>111</v>
      </c>
      <c r="B271" s="10" t="s">
        <v>60</v>
      </c>
      <c r="C271" s="10" t="s">
        <v>367</v>
      </c>
      <c r="D271" s="10" t="s">
        <v>149</v>
      </c>
      <c r="E271" s="10" t="s">
        <v>193</v>
      </c>
      <c r="F271" s="11">
        <v>1093.8699999999999</v>
      </c>
      <c r="G271" s="11">
        <v>6313.99</v>
      </c>
      <c r="H271" s="12">
        <v>0.17324573579719948</v>
      </c>
      <c r="I271" s="10">
        <v>4</v>
      </c>
      <c r="J271" s="21">
        <v>30</v>
      </c>
      <c r="K271" s="21">
        <v>90</v>
      </c>
      <c r="L271" s="21">
        <v>80</v>
      </c>
      <c r="M271" s="21">
        <v>96.676367126980296</v>
      </c>
      <c r="N271" s="21">
        <f>J271*Supuestos!$B$7+K271*Supuestos!$B$8+L271*Supuestos!$B$9+M271*Supuestos!$B$10</f>
        <v>73.835273425396053</v>
      </c>
      <c r="O271" s="34" t="str">
        <f t="shared" si="4"/>
        <v>B</v>
      </c>
      <c r="P271" s="10" t="s">
        <v>435</v>
      </c>
      <c r="Q271" s="10" t="s">
        <v>441</v>
      </c>
    </row>
    <row r="272" spans="1:17">
      <c r="A272" s="10" t="s">
        <v>101</v>
      </c>
      <c r="B272" s="10" t="s">
        <v>60</v>
      </c>
      <c r="C272" s="10" t="s">
        <v>271</v>
      </c>
      <c r="D272" s="10" t="s">
        <v>149</v>
      </c>
      <c r="E272" s="10" t="s">
        <v>193</v>
      </c>
      <c r="F272" s="11">
        <v>640.44000000000005</v>
      </c>
      <c r="G272" s="11">
        <v>5062.1000000000004</v>
      </c>
      <c r="H272" s="12">
        <v>0.12651607190659556</v>
      </c>
      <c r="I272" s="10">
        <v>4</v>
      </c>
      <c r="J272" s="21">
        <v>30</v>
      </c>
      <c r="K272" s="21">
        <v>90</v>
      </c>
      <c r="L272" s="21">
        <v>80</v>
      </c>
      <c r="M272" s="21">
        <v>96.676367126980296</v>
      </c>
      <c r="N272" s="21">
        <f>J272*Supuestos!$B$7+K272*Supuestos!$B$8+L272*Supuestos!$B$9+M272*Supuestos!$B$10</f>
        <v>73.835273425396053</v>
      </c>
      <c r="O272" s="34" t="str">
        <f t="shared" si="4"/>
        <v>B</v>
      </c>
      <c r="P272" s="10" t="s">
        <v>435</v>
      </c>
      <c r="Q272" s="10" t="s">
        <v>441</v>
      </c>
    </row>
    <row r="273" spans="1:17">
      <c r="A273" s="10" t="s">
        <v>101</v>
      </c>
      <c r="B273" s="10" t="s">
        <v>60</v>
      </c>
      <c r="C273" s="10" t="s">
        <v>295</v>
      </c>
      <c r="D273" s="10" t="s">
        <v>149</v>
      </c>
      <c r="E273" s="10" t="s">
        <v>193</v>
      </c>
      <c r="F273" s="11">
        <v>592.9</v>
      </c>
      <c r="G273" s="11">
        <v>3541.37</v>
      </c>
      <c r="H273" s="12">
        <v>0.16742214634720667</v>
      </c>
      <c r="I273" s="10">
        <v>2</v>
      </c>
      <c r="J273" s="21">
        <v>30</v>
      </c>
      <c r="K273" s="21">
        <v>90</v>
      </c>
      <c r="L273" s="21">
        <v>80</v>
      </c>
      <c r="M273" s="21">
        <v>96.676367126980296</v>
      </c>
      <c r="N273" s="21">
        <f>J273*Supuestos!$B$7+K273*Supuestos!$B$8+L273*Supuestos!$B$9+M273*Supuestos!$B$10</f>
        <v>73.835273425396053</v>
      </c>
      <c r="O273" s="34" t="str">
        <f t="shared" si="4"/>
        <v>B</v>
      </c>
      <c r="P273" s="10" t="s">
        <v>435</v>
      </c>
      <c r="Q273" s="10" t="s">
        <v>441</v>
      </c>
    </row>
    <row r="274" spans="1:17">
      <c r="A274" s="10" t="s">
        <v>215</v>
      </c>
      <c r="B274" s="10" t="s">
        <v>60</v>
      </c>
      <c r="C274" s="10" t="s">
        <v>410</v>
      </c>
      <c r="D274" s="10" t="s">
        <v>103</v>
      </c>
      <c r="E274" s="10" t="s">
        <v>181</v>
      </c>
      <c r="F274" s="11">
        <v>11348.36</v>
      </c>
      <c r="G274" s="11">
        <v>273779.84999999998</v>
      </c>
      <c r="H274" s="12">
        <v>4.145069229243542E-2</v>
      </c>
      <c r="I274" s="10">
        <v>6</v>
      </c>
      <c r="J274" s="21">
        <v>100</v>
      </c>
      <c r="K274" s="21">
        <v>90</v>
      </c>
      <c r="L274" s="21">
        <v>25</v>
      </c>
      <c r="M274" s="21">
        <v>77.5</v>
      </c>
      <c r="N274" s="21">
        <f>J274*Supuestos!$B$7+K274*Supuestos!$B$8+L274*Supuestos!$B$9+M274*Supuestos!$B$10</f>
        <v>73.75</v>
      </c>
      <c r="O274" s="34" t="str">
        <f t="shared" si="4"/>
        <v>B</v>
      </c>
      <c r="P274" s="10" t="s">
        <v>435</v>
      </c>
      <c r="Q274" s="10" t="s">
        <v>441</v>
      </c>
    </row>
    <row r="275" spans="1:17">
      <c r="A275" s="10" t="s">
        <v>165</v>
      </c>
      <c r="B275" s="10" t="s">
        <v>60</v>
      </c>
      <c r="C275" s="10" t="s">
        <v>302</v>
      </c>
      <c r="D275" s="10" t="s">
        <v>103</v>
      </c>
      <c r="E275" s="10" t="s">
        <v>181</v>
      </c>
      <c r="F275" s="11">
        <v>6301.8</v>
      </c>
      <c r="G275" s="11">
        <v>357771.85</v>
      </c>
      <c r="H275" s="12">
        <v>1.7614012056968994E-2</v>
      </c>
      <c r="I275" s="10">
        <v>10</v>
      </c>
      <c r="J275" s="21">
        <v>100</v>
      </c>
      <c r="K275" s="21">
        <v>90</v>
      </c>
      <c r="L275" s="21">
        <v>25</v>
      </c>
      <c r="M275" s="21">
        <v>77.5</v>
      </c>
      <c r="N275" s="21">
        <f>J275*Supuestos!$B$7+K275*Supuestos!$B$8+L275*Supuestos!$B$9+M275*Supuestos!$B$10</f>
        <v>73.75</v>
      </c>
      <c r="O275" s="34" t="str">
        <f t="shared" si="4"/>
        <v>B</v>
      </c>
      <c r="P275" s="10" t="s">
        <v>435</v>
      </c>
      <c r="Q275" s="10" t="s">
        <v>441</v>
      </c>
    </row>
    <row r="276" spans="1:17">
      <c r="A276" s="10" t="s">
        <v>165</v>
      </c>
      <c r="B276" s="10" t="s">
        <v>60</v>
      </c>
      <c r="C276" s="10" t="s">
        <v>166</v>
      </c>
      <c r="D276" s="10" t="s">
        <v>103</v>
      </c>
      <c r="E276" s="10" t="s">
        <v>181</v>
      </c>
      <c r="F276" s="11">
        <v>2705.83</v>
      </c>
      <c r="G276" s="11">
        <v>929838.13</v>
      </c>
      <c r="H276" s="12">
        <v>2.9100063759422922E-3</v>
      </c>
      <c r="I276" s="10">
        <v>23</v>
      </c>
      <c r="J276" s="21">
        <v>100</v>
      </c>
      <c r="K276" s="21">
        <v>90</v>
      </c>
      <c r="L276" s="21">
        <v>25</v>
      </c>
      <c r="M276" s="21">
        <v>77.5</v>
      </c>
      <c r="N276" s="21">
        <f>J276*Supuestos!$B$7+K276*Supuestos!$B$8+L276*Supuestos!$B$9+M276*Supuestos!$B$10</f>
        <v>73.75</v>
      </c>
      <c r="O276" s="34" t="str">
        <f t="shared" si="4"/>
        <v>B</v>
      </c>
      <c r="P276" s="10" t="s">
        <v>435</v>
      </c>
      <c r="Q276" s="10" t="s">
        <v>441</v>
      </c>
    </row>
    <row r="277" spans="1:17">
      <c r="A277" s="10" t="s">
        <v>101</v>
      </c>
      <c r="B277" s="10" t="s">
        <v>60</v>
      </c>
      <c r="C277" s="10" t="s">
        <v>212</v>
      </c>
      <c r="D277" s="10" t="s">
        <v>149</v>
      </c>
      <c r="E277" s="10" t="s">
        <v>213</v>
      </c>
      <c r="F277" s="11">
        <v>2583.0100000000002</v>
      </c>
      <c r="G277" s="11">
        <v>2583.0100000000002</v>
      </c>
      <c r="H277" s="12">
        <v>1</v>
      </c>
      <c r="I277" s="10">
        <v>1</v>
      </c>
      <c r="J277" s="21">
        <v>30</v>
      </c>
      <c r="K277" s="21">
        <v>75</v>
      </c>
      <c r="L277" s="21">
        <v>100</v>
      </c>
      <c r="M277" s="21">
        <v>93.75</v>
      </c>
      <c r="N277" s="21">
        <f>J277*Supuestos!$B$7+K277*Supuestos!$B$8+L277*Supuestos!$B$9+M277*Supuestos!$B$10</f>
        <v>73.75</v>
      </c>
      <c r="O277" s="34" t="str">
        <f t="shared" si="4"/>
        <v>B</v>
      </c>
      <c r="P277" s="10" t="s">
        <v>447</v>
      </c>
      <c r="Q277" s="10" t="s">
        <v>436</v>
      </c>
    </row>
    <row r="278" spans="1:17">
      <c r="A278" s="10" t="s">
        <v>119</v>
      </c>
      <c r="B278" s="10" t="s">
        <v>171</v>
      </c>
      <c r="C278" s="10" t="s">
        <v>324</v>
      </c>
      <c r="D278" s="10" t="s">
        <v>149</v>
      </c>
      <c r="E278" s="10" t="s">
        <v>213</v>
      </c>
      <c r="F278" s="11">
        <v>2398.5100000000002</v>
      </c>
      <c r="G278" s="11">
        <v>2398.5100000000002</v>
      </c>
      <c r="H278" s="12">
        <v>1</v>
      </c>
      <c r="I278" s="10">
        <v>1</v>
      </c>
      <c r="J278" s="21">
        <v>30</v>
      </c>
      <c r="K278" s="21">
        <v>75</v>
      </c>
      <c r="L278" s="21">
        <v>100</v>
      </c>
      <c r="M278" s="21">
        <v>93.75</v>
      </c>
      <c r="N278" s="21">
        <f>J278*Supuestos!$B$7+K278*Supuestos!$B$8+L278*Supuestos!$B$9+M278*Supuestos!$B$10</f>
        <v>73.75</v>
      </c>
      <c r="O278" s="34" t="str">
        <f t="shared" si="4"/>
        <v>B</v>
      </c>
      <c r="P278" s="10" t="s">
        <v>447</v>
      </c>
      <c r="Q278" s="10" t="s">
        <v>436</v>
      </c>
    </row>
    <row r="279" spans="1:17">
      <c r="A279" s="10" t="s">
        <v>255</v>
      </c>
      <c r="B279" s="10" t="s">
        <v>60</v>
      </c>
      <c r="C279" s="10" t="s">
        <v>392</v>
      </c>
      <c r="D279" s="10" t="s">
        <v>103</v>
      </c>
      <c r="E279" s="10" t="s">
        <v>181</v>
      </c>
      <c r="F279" s="11">
        <v>2024.3</v>
      </c>
      <c r="G279" s="11">
        <v>180471.74</v>
      </c>
      <c r="H279" s="12">
        <v>1.1216698706266629E-2</v>
      </c>
      <c r="I279" s="10">
        <v>11</v>
      </c>
      <c r="J279" s="21">
        <v>100</v>
      </c>
      <c r="K279" s="21">
        <v>90</v>
      </c>
      <c r="L279" s="21">
        <v>25</v>
      </c>
      <c r="M279" s="21">
        <v>77.5</v>
      </c>
      <c r="N279" s="21">
        <f>J279*Supuestos!$B$7+K279*Supuestos!$B$8+L279*Supuestos!$B$9+M279*Supuestos!$B$10</f>
        <v>73.75</v>
      </c>
      <c r="O279" s="34" t="str">
        <f t="shared" si="4"/>
        <v>B</v>
      </c>
      <c r="P279" s="10" t="s">
        <v>435</v>
      </c>
      <c r="Q279" s="10" t="s">
        <v>441</v>
      </c>
    </row>
    <row r="280" spans="1:17">
      <c r="A280" s="10" t="s">
        <v>255</v>
      </c>
      <c r="B280" s="10" t="s">
        <v>60</v>
      </c>
      <c r="C280" s="10" t="s">
        <v>256</v>
      </c>
      <c r="D280" s="10" t="s">
        <v>103</v>
      </c>
      <c r="E280" s="10" t="s">
        <v>181</v>
      </c>
      <c r="F280" s="11">
        <v>1094.5</v>
      </c>
      <c r="G280" s="11">
        <v>351341.95</v>
      </c>
      <c r="H280" s="12">
        <v>3.1151885802024651E-3</v>
      </c>
      <c r="I280" s="10">
        <v>25</v>
      </c>
      <c r="J280" s="21">
        <v>100</v>
      </c>
      <c r="K280" s="21">
        <v>90</v>
      </c>
      <c r="L280" s="21">
        <v>25</v>
      </c>
      <c r="M280" s="21">
        <v>77.5</v>
      </c>
      <c r="N280" s="21">
        <f>J280*Supuestos!$B$7+K280*Supuestos!$B$8+L280*Supuestos!$B$9+M280*Supuestos!$B$10</f>
        <v>73.75</v>
      </c>
      <c r="O280" s="34" t="str">
        <f t="shared" si="4"/>
        <v>B</v>
      </c>
      <c r="P280" s="10" t="s">
        <v>435</v>
      </c>
      <c r="Q280" s="10" t="s">
        <v>441</v>
      </c>
    </row>
    <row r="281" spans="1:17">
      <c r="A281" s="10" t="s">
        <v>101</v>
      </c>
      <c r="B281" s="10" t="s">
        <v>60</v>
      </c>
      <c r="C281" s="10" t="s">
        <v>342</v>
      </c>
      <c r="D281" s="10" t="s">
        <v>103</v>
      </c>
      <c r="E281" s="10" t="s">
        <v>181</v>
      </c>
      <c r="F281" s="11">
        <v>255.38</v>
      </c>
      <c r="G281" s="11">
        <v>95640.54</v>
      </c>
      <c r="H281" s="12">
        <v>2.6702327898047236E-3</v>
      </c>
      <c r="I281" s="10">
        <v>17</v>
      </c>
      <c r="J281" s="21">
        <v>100</v>
      </c>
      <c r="K281" s="21">
        <v>90</v>
      </c>
      <c r="L281" s="21">
        <v>25</v>
      </c>
      <c r="M281" s="21">
        <v>77.5</v>
      </c>
      <c r="N281" s="21">
        <f>J281*Supuestos!$B$7+K281*Supuestos!$B$8+L281*Supuestos!$B$9+M281*Supuestos!$B$10</f>
        <v>73.75</v>
      </c>
      <c r="O281" s="34" t="str">
        <f t="shared" si="4"/>
        <v>B</v>
      </c>
      <c r="P281" s="10" t="s">
        <v>435</v>
      </c>
      <c r="Q281" s="10" t="s">
        <v>441</v>
      </c>
    </row>
    <row r="282" spans="1:17">
      <c r="A282" s="10" t="s">
        <v>111</v>
      </c>
      <c r="B282" s="10" t="s">
        <v>60</v>
      </c>
      <c r="C282" s="10" t="s">
        <v>176</v>
      </c>
      <c r="D282" s="10" t="s">
        <v>149</v>
      </c>
      <c r="E282" s="10" t="s">
        <v>151</v>
      </c>
      <c r="F282" s="11">
        <v>12083.24</v>
      </c>
      <c r="G282" s="11">
        <v>15832.88</v>
      </c>
      <c r="H282" s="12">
        <v>0.76317383403997574</v>
      </c>
      <c r="I282" s="10">
        <v>1</v>
      </c>
      <c r="J282" s="21">
        <v>30</v>
      </c>
      <c r="K282" s="21">
        <v>75</v>
      </c>
      <c r="L282" s="21">
        <v>100</v>
      </c>
      <c r="M282" s="21">
        <v>93.580645922060057</v>
      </c>
      <c r="N282" s="21">
        <f>J282*Supuestos!$B$7+K282*Supuestos!$B$8+L282*Supuestos!$B$9+M282*Supuestos!$B$10</f>
        <v>73.716129184412011</v>
      </c>
      <c r="O282" s="34" t="str">
        <f t="shared" si="4"/>
        <v>B</v>
      </c>
      <c r="P282" s="10" t="s">
        <v>447</v>
      </c>
      <c r="Q282" s="10" t="s">
        <v>436</v>
      </c>
    </row>
    <row r="283" spans="1:17">
      <c r="A283" s="10" t="s">
        <v>111</v>
      </c>
      <c r="B283" s="10" t="s">
        <v>60</v>
      </c>
      <c r="C283" s="10" t="s">
        <v>148</v>
      </c>
      <c r="D283" s="10" t="s">
        <v>149</v>
      </c>
      <c r="E283" s="10" t="s">
        <v>151</v>
      </c>
      <c r="F283" s="11">
        <v>5810.63</v>
      </c>
      <c r="G283" s="11">
        <v>5810.63</v>
      </c>
      <c r="H283" s="12">
        <v>1</v>
      </c>
      <c r="I283" s="10">
        <v>1</v>
      </c>
      <c r="J283" s="21">
        <v>30</v>
      </c>
      <c r="K283" s="21">
        <v>75</v>
      </c>
      <c r="L283" s="21">
        <v>100</v>
      </c>
      <c r="M283" s="21">
        <v>93.580645922060057</v>
      </c>
      <c r="N283" s="21">
        <f>J283*Supuestos!$B$7+K283*Supuestos!$B$8+L283*Supuestos!$B$9+M283*Supuestos!$B$10</f>
        <v>73.716129184412011</v>
      </c>
      <c r="O283" s="34" t="str">
        <f t="shared" si="4"/>
        <v>B</v>
      </c>
      <c r="P283" s="10" t="s">
        <v>447</v>
      </c>
      <c r="Q283" s="10" t="s">
        <v>436</v>
      </c>
    </row>
    <row r="284" spans="1:17">
      <c r="A284" s="10" t="s">
        <v>111</v>
      </c>
      <c r="B284" s="10" t="s">
        <v>60</v>
      </c>
      <c r="C284" s="10" t="s">
        <v>199</v>
      </c>
      <c r="D284" s="10" t="s">
        <v>149</v>
      </c>
      <c r="E284" s="10" t="s">
        <v>151</v>
      </c>
      <c r="F284" s="11">
        <v>5545.24</v>
      </c>
      <c r="G284" s="11">
        <v>13727.64</v>
      </c>
      <c r="H284" s="12">
        <v>0.40394698376178373</v>
      </c>
      <c r="I284" s="10">
        <v>1</v>
      </c>
      <c r="J284" s="21">
        <v>30</v>
      </c>
      <c r="K284" s="21">
        <v>75</v>
      </c>
      <c r="L284" s="21">
        <v>100</v>
      </c>
      <c r="M284" s="21">
        <v>93.580645922060057</v>
      </c>
      <c r="N284" s="21">
        <f>J284*Supuestos!$B$7+K284*Supuestos!$B$8+L284*Supuestos!$B$9+M284*Supuestos!$B$10</f>
        <v>73.716129184412011</v>
      </c>
      <c r="O284" s="34" t="str">
        <f t="shared" si="4"/>
        <v>B</v>
      </c>
      <c r="P284" s="10" t="s">
        <v>447</v>
      </c>
      <c r="Q284" s="10" t="s">
        <v>436</v>
      </c>
    </row>
    <row r="285" spans="1:17">
      <c r="A285" s="10" t="s">
        <v>101</v>
      </c>
      <c r="B285" s="10" t="s">
        <v>60</v>
      </c>
      <c r="C285" s="10" t="s">
        <v>306</v>
      </c>
      <c r="D285" s="10" t="s">
        <v>149</v>
      </c>
      <c r="E285" s="10" t="s">
        <v>151</v>
      </c>
      <c r="F285" s="11">
        <v>5528.77</v>
      </c>
      <c r="G285" s="11">
        <v>15953.57</v>
      </c>
      <c r="H285" s="12">
        <v>0.3465538667806165</v>
      </c>
      <c r="I285" s="10">
        <v>2</v>
      </c>
      <c r="J285" s="21">
        <v>30</v>
      </c>
      <c r="K285" s="21">
        <v>75</v>
      </c>
      <c r="L285" s="21">
        <v>100</v>
      </c>
      <c r="M285" s="21">
        <v>93.580645922060057</v>
      </c>
      <c r="N285" s="21">
        <f>J285*Supuestos!$B$7+K285*Supuestos!$B$8+L285*Supuestos!$B$9+M285*Supuestos!$B$10</f>
        <v>73.716129184412011</v>
      </c>
      <c r="O285" s="34" t="str">
        <f t="shared" si="4"/>
        <v>B</v>
      </c>
      <c r="P285" s="10" t="s">
        <v>447</v>
      </c>
      <c r="Q285" s="10" t="s">
        <v>436</v>
      </c>
    </row>
    <row r="286" spans="1:17">
      <c r="A286" s="10" t="s">
        <v>101</v>
      </c>
      <c r="B286" s="10" t="s">
        <v>60</v>
      </c>
      <c r="C286" s="10" t="s">
        <v>292</v>
      </c>
      <c r="D286" s="10" t="s">
        <v>149</v>
      </c>
      <c r="E286" s="10" t="s">
        <v>151</v>
      </c>
      <c r="F286" s="11">
        <v>87.56</v>
      </c>
      <c r="G286" s="11">
        <v>277.27</v>
      </c>
      <c r="H286" s="12">
        <v>0.31578947368421056</v>
      </c>
      <c r="I286" s="10">
        <v>3</v>
      </c>
      <c r="J286" s="21">
        <v>30</v>
      </c>
      <c r="K286" s="21">
        <v>75</v>
      </c>
      <c r="L286" s="21">
        <v>100</v>
      </c>
      <c r="M286" s="21">
        <v>93.580645922060057</v>
      </c>
      <c r="N286" s="21">
        <f>J286*Supuestos!$B$7+K286*Supuestos!$B$8+L286*Supuestos!$B$9+M286*Supuestos!$B$10</f>
        <v>73.716129184412011</v>
      </c>
      <c r="O286" s="34" t="str">
        <f t="shared" si="4"/>
        <v>B</v>
      </c>
      <c r="P286" s="10" t="s">
        <v>447</v>
      </c>
      <c r="Q286" s="10" t="s">
        <v>436</v>
      </c>
    </row>
    <row r="287" spans="1:17">
      <c r="A287" s="10" t="s">
        <v>101</v>
      </c>
      <c r="B287" s="10" t="s">
        <v>60</v>
      </c>
      <c r="C287" s="10" t="s">
        <v>282</v>
      </c>
      <c r="D287" s="10" t="s">
        <v>149</v>
      </c>
      <c r="E287" s="10" t="s">
        <v>446</v>
      </c>
      <c r="F287" s="11">
        <v>7073.99</v>
      </c>
      <c r="G287" s="11">
        <v>25285.58</v>
      </c>
      <c r="H287" s="12">
        <v>0.27976386781874546</v>
      </c>
      <c r="I287" s="10">
        <v>2</v>
      </c>
      <c r="J287" s="21">
        <v>30</v>
      </c>
      <c r="K287" s="21">
        <v>75</v>
      </c>
      <c r="L287" s="21">
        <v>100</v>
      </c>
      <c r="M287" s="21">
        <v>93.560509294235828</v>
      </c>
      <c r="N287" s="21">
        <f>J287*Supuestos!$B$7+K287*Supuestos!$B$8+L287*Supuestos!$B$9+M287*Supuestos!$B$10</f>
        <v>73.712101858847163</v>
      </c>
      <c r="O287" s="34" t="str">
        <f t="shared" si="4"/>
        <v>B</v>
      </c>
      <c r="P287" s="10" t="s">
        <v>447</v>
      </c>
      <c r="Q287" s="10" t="s">
        <v>436</v>
      </c>
    </row>
    <row r="288" spans="1:17">
      <c r="A288" s="10" t="s">
        <v>101</v>
      </c>
      <c r="B288" s="10" t="s">
        <v>60</v>
      </c>
      <c r="C288" s="10" t="s">
        <v>364</v>
      </c>
      <c r="D288" s="10" t="s">
        <v>149</v>
      </c>
      <c r="E288" s="10" t="s">
        <v>446</v>
      </c>
      <c r="F288" s="11">
        <v>3104.62</v>
      </c>
      <c r="G288" s="11">
        <v>9858.02</v>
      </c>
      <c r="H288" s="12">
        <v>0.31493298791932117</v>
      </c>
      <c r="I288" s="10">
        <v>1</v>
      </c>
      <c r="J288" s="21">
        <v>30</v>
      </c>
      <c r="K288" s="21">
        <v>75</v>
      </c>
      <c r="L288" s="21">
        <v>100</v>
      </c>
      <c r="M288" s="21">
        <v>93.560509294235828</v>
      </c>
      <c r="N288" s="21">
        <f>J288*Supuestos!$B$7+K288*Supuestos!$B$8+L288*Supuestos!$B$9+M288*Supuestos!$B$10</f>
        <v>73.712101858847163</v>
      </c>
      <c r="O288" s="34" t="str">
        <f t="shared" si="4"/>
        <v>B</v>
      </c>
      <c r="P288" s="10" t="s">
        <v>447</v>
      </c>
      <c r="Q288" s="10" t="s">
        <v>436</v>
      </c>
    </row>
    <row r="289" spans="1:17">
      <c r="A289" s="10" t="s">
        <v>101</v>
      </c>
      <c r="B289" s="10" t="s">
        <v>60</v>
      </c>
      <c r="C289" s="10" t="s">
        <v>183</v>
      </c>
      <c r="D289" s="10" t="s">
        <v>149</v>
      </c>
      <c r="E289" s="10" t="s">
        <v>446</v>
      </c>
      <c r="F289" s="11">
        <v>2507.86</v>
      </c>
      <c r="G289" s="11">
        <v>6614.7</v>
      </c>
      <c r="H289" s="12">
        <v>0.37913384958192686</v>
      </c>
      <c r="I289" s="10">
        <v>1</v>
      </c>
      <c r="J289" s="21">
        <v>30</v>
      </c>
      <c r="K289" s="21">
        <v>74.999999999999986</v>
      </c>
      <c r="L289" s="21">
        <v>100</v>
      </c>
      <c r="M289" s="21">
        <v>93.560509294235828</v>
      </c>
      <c r="N289" s="21">
        <f>J289*Supuestos!$B$7+K289*Supuestos!$B$8+L289*Supuestos!$B$9+M289*Supuestos!$B$10</f>
        <v>73.712101858847163</v>
      </c>
      <c r="O289" s="34" t="str">
        <f t="shared" si="4"/>
        <v>B</v>
      </c>
      <c r="P289" s="10" t="s">
        <v>447</v>
      </c>
      <c r="Q289" s="10" t="s">
        <v>436</v>
      </c>
    </row>
    <row r="290" spans="1:17">
      <c r="A290" s="10" t="s">
        <v>101</v>
      </c>
      <c r="B290" s="10" t="s">
        <v>60</v>
      </c>
      <c r="C290" s="10" t="s">
        <v>336</v>
      </c>
      <c r="D290" s="10" t="s">
        <v>149</v>
      </c>
      <c r="E290" s="10" t="s">
        <v>446</v>
      </c>
      <c r="F290" s="11">
        <v>2463.4</v>
      </c>
      <c r="G290" s="11">
        <v>2849.08</v>
      </c>
      <c r="H290" s="12">
        <v>0.86463001920790272</v>
      </c>
      <c r="I290" s="10">
        <v>1</v>
      </c>
      <c r="J290" s="21">
        <v>30</v>
      </c>
      <c r="K290" s="21">
        <v>75</v>
      </c>
      <c r="L290" s="21">
        <v>100</v>
      </c>
      <c r="M290" s="21">
        <v>93.560509294235828</v>
      </c>
      <c r="N290" s="21">
        <f>J290*Supuestos!$B$7+K290*Supuestos!$B$8+L290*Supuestos!$B$9+M290*Supuestos!$B$10</f>
        <v>73.712101858847163</v>
      </c>
      <c r="O290" s="34" t="str">
        <f t="shared" si="4"/>
        <v>B</v>
      </c>
      <c r="P290" s="10" t="s">
        <v>447</v>
      </c>
      <c r="Q290" s="10" t="s">
        <v>436</v>
      </c>
    </row>
    <row r="291" spans="1:17">
      <c r="A291" s="10" t="s">
        <v>101</v>
      </c>
      <c r="B291" s="10" t="s">
        <v>60</v>
      </c>
      <c r="C291" s="10" t="s">
        <v>292</v>
      </c>
      <c r="D291" s="10" t="s">
        <v>149</v>
      </c>
      <c r="E291" s="10" t="s">
        <v>446</v>
      </c>
      <c r="F291" s="11">
        <v>91.94</v>
      </c>
      <c r="G291" s="11">
        <v>277.27</v>
      </c>
      <c r="H291" s="12">
        <v>0.33157894736842103</v>
      </c>
      <c r="I291" s="10">
        <v>2</v>
      </c>
      <c r="J291" s="21">
        <v>30</v>
      </c>
      <c r="K291" s="21">
        <v>75</v>
      </c>
      <c r="L291" s="21">
        <v>100</v>
      </c>
      <c r="M291" s="21">
        <v>93.560509294235828</v>
      </c>
      <c r="N291" s="21">
        <f>J291*Supuestos!$B$7+K291*Supuestos!$B$8+L291*Supuestos!$B$9+M291*Supuestos!$B$10</f>
        <v>73.712101858847163</v>
      </c>
      <c r="O291" s="34" t="str">
        <f t="shared" si="4"/>
        <v>B</v>
      </c>
      <c r="P291" s="10" t="s">
        <v>447</v>
      </c>
      <c r="Q291" s="10" t="s">
        <v>436</v>
      </c>
    </row>
    <row r="292" spans="1:17">
      <c r="A292" s="10" t="s">
        <v>111</v>
      </c>
      <c r="B292" s="10" t="s">
        <v>73</v>
      </c>
      <c r="C292" s="10" t="s">
        <v>418</v>
      </c>
      <c r="D292" s="10" t="s">
        <v>103</v>
      </c>
      <c r="E292" s="10" t="s">
        <v>225</v>
      </c>
      <c r="F292" s="11">
        <v>5690.65</v>
      </c>
      <c r="G292" s="11">
        <v>642203.68000000005</v>
      </c>
      <c r="H292" s="12">
        <v>8.8611321346514903E-3</v>
      </c>
      <c r="I292" s="10">
        <v>18</v>
      </c>
      <c r="J292" s="21">
        <v>100</v>
      </c>
      <c r="K292" s="21">
        <v>90</v>
      </c>
      <c r="L292" s="21">
        <v>25</v>
      </c>
      <c r="M292" s="21">
        <v>77.164146540957958</v>
      </c>
      <c r="N292" s="21">
        <f>J292*Supuestos!$B$7+K292*Supuestos!$B$8+L292*Supuestos!$B$9+M292*Supuestos!$B$10</f>
        <v>73.6828293081916</v>
      </c>
      <c r="O292" s="34" t="str">
        <f t="shared" si="4"/>
        <v>B</v>
      </c>
      <c r="P292" s="10" t="s">
        <v>435</v>
      </c>
      <c r="Q292" s="10" t="s">
        <v>441</v>
      </c>
    </row>
    <row r="293" spans="1:17">
      <c r="A293" s="10" t="s">
        <v>255</v>
      </c>
      <c r="B293" s="10" t="s">
        <v>60</v>
      </c>
      <c r="C293" s="10" t="s">
        <v>256</v>
      </c>
      <c r="D293" s="10" t="s">
        <v>103</v>
      </c>
      <c r="E293" s="10" t="s">
        <v>225</v>
      </c>
      <c r="F293" s="11">
        <v>3001.84</v>
      </c>
      <c r="G293" s="11">
        <v>351341.95</v>
      </c>
      <c r="H293" s="12">
        <v>8.543923879301963E-3</v>
      </c>
      <c r="I293" s="10">
        <v>19</v>
      </c>
      <c r="J293" s="21">
        <v>100</v>
      </c>
      <c r="K293" s="21">
        <v>90</v>
      </c>
      <c r="L293" s="21">
        <v>25</v>
      </c>
      <c r="M293" s="21">
        <v>77.164146540957958</v>
      </c>
      <c r="N293" s="21">
        <f>J293*Supuestos!$B$7+K293*Supuestos!$B$8+L293*Supuestos!$B$9+M293*Supuestos!$B$10</f>
        <v>73.6828293081916</v>
      </c>
      <c r="O293" s="34" t="str">
        <f t="shared" si="4"/>
        <v>B</v>
      </c>
      <c r="P293" s="10" t="s">
        <v>435</v>
      </c>
      <c r="Q293" s="10" t="s">
        <v>441</v>
      </c>
    </row>
    <row r="294" spans="1:17">
      <c r="A294" s="10" t="s">
        <v>111</v>
      </c>
      <c r="B294" s="10" t="s">
        <v>60</v>
      </c>
      <c r="C294" s="10" t="s">
        <v>377</v>
      </c>
      <c r="D294" s="10" t="s">
        <v>103</v>
      </c>
      <c r="E294" s="10" t="s">
        <v>225</v>
      </c>
      <c r="F294" s="11">
        <v>2400.39</v>
      </c>
      <c r="G294" s="11">
        <v>67968.179999999993</v>
      </c>
      <c r="H294" s="12">
        <v>3.5316337179922684E-2</v>
      </c>
      <c r="I294" s="10">
        <v>8</v>
      </c>
      <c r="J294" s="21">
        <v>100</v>
      </c>
      <c r="K294" s="21">
        <v>90</v>
      </c>
      <c r="L294" s="21">
        <v>25</v>
      </c>
      <c r="M294" s="21">
        <v>77.164146540957958</v>
      </c>
      <c r="N294" s="21">
        <f>J294*Supuestos!$B$7+K294*Supuestos!$B$8+L294*Supuestos!$B$9+M294*Supuestos!$B$10</f>
        <v>73.6828293081916</v>
      </c>
      <c r="O294" s="34" t="str">
        <f t="shared" si="4"/>
        <v>B</v>
      </c>
      <c r="P294" s="10" t="s">
        <v>435</v>
      </c>
      <c r="Q294" s="10" t="s">
        <v>441</v>
      </c>
    </row>
    <row r="295" spans="1:17">
      <c r="A295" s="10" t="s">
        <v>255</v>
      </c>
      <c r="B295" s="10" t="s">
        <v>60</v>
      </c>
      <c r="C295" s="10" t="s">
        <v>328</v>
      </c>
      <c r="D295" s="10" t="s">
        <v>103</v>
      </c>
      <c r="E295" s="10" t="s">
        <v>225</v>
      </c>
      <c r="F295" s="11">
        <v>2313.2399999999998</v>
      </c>
      <c r="G295" s="11">
        <v>132474.79999999999</v>
      </c>
      <c r="H295" s="12">
        <v>1.7461768038569012E-2</v>
      </c>
      <c r="I295" s="10">
        <v>7</v>
      </c>
      <c r="J295" s="21">
        <v>100</v>
      </c>
      <c r="K295" s="21">
        <v>90</v>
      </c>
      <c r="L295" s="21">
        <v>25</v>
      </c>
      <c r="M295" s="21">
        <v>77.164146540957958</v>
      </c>
      <c r="N295" s="21">
        <f>J295*Supuestos!$B$7+K295*Supuestos!$B$8+L295*Supuestos!$B$9+M295*Supuestos!$B$10</f>
        <v>73.6828293081916</v>
      </c>
      <c r="O295" s="34" t="str">
        <f t="shared" si="4"/>
        <v>B</v>
      </c>
      <c r="P295" s="10" t="s">
        <v>435</v>
      </c>
      <c r="Q295" s="10" t="s">
        <v>441</v>
      </c>
    </row>
    <row r="296" spans="1:17">
      <c r="A296" s="10" t="s">
        <v>165</v>
      </c>
      <c r="B296" s="10" t="s">
        <v>60</v>
      </c>
      <c r="C296" s="10" t="s">
        <v>302</v>
      </c>
      <c r="D296" s="10" t="s">
        <v>103</v>
      </c>
      <c r="E296" s="10" t="s">
        <v>225</v>
      </c>
      <c r="F296" s="11">
        <v>707.98</v>
      </c>
      <c r="G296" s="11">
        <v>357771.85</v>
      </c>
      <c r="H296" s="12">
        <v>1.9788667773410979E-3</v>
      </c>
      <c r="I296" s="10">
        <v>17</v>
      </c>
      <c r="J296" s="21">
        <v>100</v>
      </c>
      <c r="K296" s="21">
        <v>90</v>
      </c>
      <c r="L296" s="21">
        <v>25</v>
      </c>
      <c r="M296" s="21">
        <v>77.164146540957958</v>
      </c>
      <c r="N296" s="21">
        <f>J296*Supuestos!$B$7+K296*Supuestos!$B$8+L296*Supuestos!$B$9+M296*Supuestos!$B$10</f>
        <v>73.6828293081916</v>
      </c>
      <c r="O296" s="34" t="str">
        <f t="shared" si="4"/>
        <v>B</v>
      </c>
      <c r="P296" s="10" t="s">
        <v>435</v>
      </c>
      <c r="Q296" s="10" t="s">
        <v>441</v>
      </c>
    </row>
    <row r="297" spans="1:17">
      <c r="A297" s="10" t="s">
        <v>255</v>
      </c>
      <c r="B297" s="10" t="s">
        <v>60</v>
      </c>
      <c r="C297" s="10" t="s">
        <v>392</v>
      </c>
      <c r="D297" s="10" t="s">
        <v>103</v>
      </c>
      <c r="E297" s="10" t="s">
        <v>225</v>
      </c>
      <c r="F297" s="11">
        <v>205.14</v>
      </c>
      <c r="G297" s="11">
        <v>180471.74</v>
      </c>
      <c r="H297" s="12">
        <v>1.1366870779574009E-3</v>
      </c>
      <c r="I297" s="10">
        <v>22</v>
      </c>
      <c r="J297" s="21">
        <v>100</v>
      </c>
      <c r="K297" s="21">
        <v>90.000000000000014</v>
      </c>
      <c r="L297" s="21">
        <v>25</v>
      </c>
      <c r="M297" s="21">
        <v>77.164146540957958</v>
      </c>
      <c r="N297" s="21">
        <f>J297*Supuestos!$B$7+K297*Supuestos!$B$8+L297*Supuestos!$B$9+M297*Supuestos!$B$10</f>
        <v>73.6828293081916</v>
      </c>
      <c r="O297" s="34" t="str">
        <f t="shared" si="4"/>
        <v>B</v>
      </c>
      <c r="P297" s="10" t="s">
        <v>435</v>
      </c>
      <c r="Q297" s="10" t="s">
        <v>441</v>
      </c>
    </row>
    <row r="298" spans="1:17">
      <c r="A298" s="10" t="s">
        <v>215</v>
      </c>
      <c r="B298" s="10" t="s">
        <v>60</v>
      </c>
      <c r="C298" s="10" t="s">
        <v>216</v>
      </c>
      <c r="D298" s="10" t="s">
        <v>103</v>
      </c>
      <c r="E298" s="10" t="s">
        <v>115</v>
      </c>
      <c r="F298" s="11">
        <v>30691.14</v>
      </c>
      <c r="G298" s="11">
        <v>656576.77</v>
      </c>
      <c r="H298" s="12">
        <v>4.6744174420625631E-2</v>
      </c>
      <c r="I298" s="10">
        <v>8</v>
      </c>
      <c r="J298" s="21">
        <v>100</v>
      </c>
      <c r="K298" s="21">
        <v>89.999999999999986</v>
      </c>
      <c r="L298" s="21">
        <v>25</v>
      </c>
      <c r="M298" s="21">
        <v>76.399848561858846</v>
      </c>
      <c r="N298" s="21">
        <f>J298*Supuestos!$B$7+K298*Supuestos!$B$8+L298*Supuestos!$B$9+M298*Supuestos!$B$10</f>
        <v>73.529969712371766</v>
      </c>
      <c r="O298" s="34" t="str">
        <f t="shared" si="4"/>
        <v>B</v>
      </c>
      <c r="P298" s="10" t="s">
        <v>435</v>
      </c>
      <c r="Q298" s="10" t="s">
        <v>441</v>
      </c>
    </row>
    <row r="299" spans="1:17">
      <c r="A299" s="10" t="s">
        <v>215</v>
      </c>
      <c r="B299" s="10" t="s">
        <v>60</v>
      </c>
      <c r="C299" s="10" t="s">
        <v>410</v>
      </c>
      <c r="D299" s="10" t="s">
        <v>103</v>
      </c>
      <c r="E299" s="10" t="s">
        <v>115</v>
      </c>
      <c r="F299" s="11">
        <v>10232.969999999999</v>
      </c>
      <c r="G299" s="11">
        <v>273779.84999999998</v>
      </c>
      <c r="H299" s="12">
        <v>3.7376630265474768E-2</v>
      </c>
      <c r="I299" s="10">
        <v>7</v>
      </c>
      <c r="J299" s="21">
        <v>100</v>
      </c>
      <c r="K299" s="21">
        <v>90</v>
      </c>
      <c r="L299" s="21">
        <v>25</v>
      </c>
      <c r="M299" s="21">
        <v>76.399848561858846</v>
      </c>
      <c r="N299" s="21">
        <f>J299*Supuestos!$B$7+K299*Supuestos!$B$8+L299*Supuestos!$B$9+M299*Supuestos!$B$10</f>
        <v>73.529969712371766</v>
      </c>
      <c r="O299" s="34" t="str">
        <f t="shared" si="4"/>
        <v>B</v>
      </c>
      <c r="P299" s="10" t="s">
        <v>435</v>
      </c>
      <c r="Q299" s="10" t="s">
        <v>441</v>
      </c>
    </row>
    <row r="300" spans="1:17">
      <c r="A300" s="10" t="s">
        <v>165</v>
      </c>
      <c r="B300" s="10" t="s">
        <v>60</v>
      </c>
      <c r="C300" s="10" t="s">
        <v>302</v>
      </c>
      <c r="D300" s="10" t="s">
        <v>103</v>
      </c>
      <c r="E300" s="10" t="s">
        <v>115</v>
      </c>
      <c r="F300" s="11">
        <v>3107.12</v>
      </c>
      <c r="G300" s="11">
        <v>357771.85</v>
      </c>
      <c r="H300" s="12">
        <v>8.6846379415464452E-3</v>
      </c>
      <c r="I300" s="10">
        <v>12</v>
      </c>
      <c r="J300" s="21">
        <v>100</v>
      </c>
      <c r="K300" s="21">
        <v>90</v>
      </c>
      <c r="L300" s="21">
        <v>25</v>
      </c>
      <c r="M300" s="21">
        <v>76.399848561858846</v>
      </c>
      <c r="N300" s="21">
        <f>J300*Supuestos!$B$7+K300*Supuestos!$B$8+L300*Supuestos!$B$9+M300*Supuestos!$B$10</f>
        <v>73.529969712371766</v>
      </c>
      <c r="O300" s="34" t="str">
        <f t="shared" si="4"/>
        <v>B</v>
      </c>
      <c r="P300" s="10" t="s">
        <v>435</v>
      </c>
      <c r="Q300" s="10" t="s">
        <v>441</v>
      </c>
    </row>
    <row r="301" spans="1:17">
      <c r="A301" s="10" t="s">
        <v>101</v>
      </c>
      <c r="B301" s="10" t="s">
        <v>60</v>
      </c>
      <c r="C301" s="10" t="s">
        <v>342</v>
      </c>
      <c r="D301" s="10" t="s">
        <v>103</v>
      </c>
      <c r="E301" s="10" t="s">
        <v>115</v>
      </c>
      <c r="F301" s="11">
        <v>1602.34</v>
      </c>
      <c r="G301" s="11">
        <v>95640.54</v>
      </c>
      <c r="H301" s="12">
        <v>1.6753803446889069E-2</v>
      </c>
      <c r="I301" s="10">
        <v>7</v>
      </c>
      <c r="J301" s="21">
        <v>100</v>
      </c>
      <c r="K301" s="21">
        <v>89.999999999999986</v>
      </c>
      <c r="L301" s="21">
        <v>25</v>
      </c>
      <c r="M301" s="21">
        <v>76.399848561858846</v>
      </c>
      <c r="N301" s="21">
        <f>J301*Supuestos!$B$7+K301*Supuestos!$B$8+L301*Supuestos!$B$9+M301*Supuestos!$B$10</f>
        <v>73.529969712371766</v>
      </c>
      <c r="O301" s="34" t="str">
        <f t="shared" si="4"/>
        <v>B</v>
      </c>
      <c r="P301" s="10" t="s">
        <v>435</v>
      </c>
      <c r="Q301" s="10" t="s">
        <v>441</v>
      </c>
    </row>
    <row r="302" spans="1:17">
      <c r="A302" s="10" t="s">
        <v>111</v>
      </c>
      <c r="B302" s="10" t="s">
        <v>60</v>
      </c>
      <c r="C302" s="10" t="s">
        <v>339</v>
      </c>
      <c r="D302" s="10" t="s">
        <v>103</v>
      </c>
      <c r="E302" s="10" t="s">
        <v>115</v>
      </c>
      <c r="F302" s="11">
        <v>210</v>
      </c>
      <c r="G302" s="11">
        <v>114879.92</v>
      </c>
      <c r="H302" s="12">
        <v>1.8279728263362461E-3</v>
      </c>
      <c r="I302" s="10">
        <v>15</v>
      </c>
      <c r="J302" s="21">
        <v>100</v>
      </c>
      <c r="K302" s="21">
        <v>90</v>
      </c>
      <c r="L302" s="21">
        <v>25</v>
      </c>
      <c r="M302" s="21">
        <v>76.399848561858846</v>
      </c>
      <c r="N302" s="21">
        <f>J302*Supuestos!$B$7+K302*Supuestos!$B$8+L302*Supuestos!$B$9+M302*Supuestos!$B$10</f>
        <v>73.529969712371766</v>
      </c>
      <c r="O302" s="34" t="str">
        <f t="shared" si="4"/>
        <v>B</v>
      </c>
      <c r="P302" s="10" t="s">
        <v>435</v>
      </c>
      <c r="Q302" s="10" t="s">
        <v>441</v>
      </c>
    </row>
    <row r="303" spans="1:17">
      <c r="A303" s="10" t="s">
        <v>101</v>
      </c>
      <c r="B303" s="10" t="s">
        <v>60</v>
      </c>
      <c r="C303" s="10" t="s">
        <v>200</v>
      </c>
      <c r="D303" s="10" t="s">
        <v>103</v>
      </c>
      <c r="E303" s="10" t="s">
        <v>458</v>
      </c>
      <c r="F303" s="11">
        <v>542.51</v>
      </c>
      <c r="G303" s="11">
        <v>8807.1</v>
      </c>
      <c r="H303" s="12">
        <v>6.159864126736142E-2</v>
      </c>
      <c r="I303" s="10">
        <v>4</v>
      </c>
      <c r="J303" s="21">
        <v>100</v>
      </c>
      <c r="K303" s="21">
        <v>75</v>
      </c>
      <c r="L303" s="21">
        <v>55</v>
      </c>
      <c r="M303" s="21">
        <v>61.25</v>
      </c>
      <c r="N303" s="21">
        <f>J303*Supuestos!$B$7+K303*Supuestos!$B$8+L303*Supuestos!$B$9+M303*Supuestos!$B$10</f>
        <v>73.5</v>
      </c>
      <c r="O303" s="34" t="str">
        <f t="shared" si="4"/>
        <v>B</v>
      </c>
      <c r="P303" s="10" t="s">
        <v>447</v>
      </c>
      <c r="Q303" s="10" t="s">
        <v>436</v>
      </c>
    </row>
    <row r="304" spans="1:17">
      <c r="A304" s="10" t="s">
        <v>119</v>
      </c>
      <c r="B304" s="10" t="s">
        <v>156</v>
      </c>
      <c r="C304" s="10" t="s">
        <v>157</v>
      </c>
      <c r="D304" s="10" t="s">
        <v>127</v>
      </c>
      <c r="E304" s="10" t="s">
        <v>462</v>
      </c>
      <c r="F304" s="11">
        <v>39641.49</v>
      </c>
      <c r="G304" s="11">
        <v>141693.75</v>
      </c>
      <c r="H304" s="12">
        <v>0.27976877449864634</v>
      </c>
      <c r="I304" s="10">
        <v>2</v>
      </c>
      <c r="J304" s="21">
        <v>85</v>
      </c>
      <c r="K304" s="21">
        <v>30</v>
      </c>
      <c r="L304" s="21">
        <v>100</v>
      </c>
      <c r="M304" s="21">
        <v>90.510155415039009</v>
      </c>
      <c r="N304" s="21">
        <f>J304*Supuestos!$B$7+K304*Supuestos!$B$8+L304*Supuestos!$B$9+M304*Supuestos!$B$10</f>
        <v>73.352031083007802</v>
      </c>
      <c r="O304" s="34" t="str">
        <f t="shared" si="4"/>
        <v>B</v>
      </c>
      <c r="P304" s="10" t="s">
        <v>447</v>
      </c>
      <c r="Q304" s="10" t="s">
        <v>471</v>
      </c>
    </row>
    <row r="305" spans="1:17">
      <c r="A305" s="10" t="s">
        <v>101</v>
      </c>
      <c r="B305" s="10" t="s">
        <v>60</v>
      </c>
      <c r="C305" s="10" t="s">
        <v>204</v>
      </c>
      <c r="D305" s="10" t="s">
        <v>127</v>
      </c>
      <c r="E305" s="10" t="s">
        <v>457</v>
      </c>
      <c r="F305" s="11">
        <v>1552.33</v>
      </c>
      <c r="G305" s="11">
        <v>23377.47</v>
      </c>
      <c r="H305" s="12">
        <v>6.640270547039176E-2</v>
      </c>
      <c r="I305" s="10">
        <v>6</v>
      </c>
      <c r="J305" s="21">
        <v>85</v>
      </c>
      <c r="K305" s="21">
        <v>65</v>
      </c>
      <c r="L305" s="21">
        <v>55</v>
      </c>
      <c r="M305" s="21">
        <v>91.25</v>
      </c>
      <c r="N305" s="21">
        <f>J305*Supuestos!$B$7+K305*Supuestos!$B$8+L305*Supuestos!$B$9+M305*Supuestos!$B$10</f>
        <v>72.75</v>
      </c>
      <c r="O305" s="34" t="str">
        <f t="shared" si="4"/>
        <v>B</v>
      </c>
      <c r="P305" s="10" t="s">
        <v>447</v>
      </c>
      <c r="Q305" s="10" t="s">
        <v>441</v>
      </c>
    </row>
    <row r="306" spans="1:17">
      <c r="A306" s="10" t="s">
        <v>101</v>
      </c>
      <c r="B306" s="10" t="s">
        <v>60</v>
      </c>
      <c r="C306" s="10" t="s">
        <v>320</v>
      </c>
      <c r="D306" s="10" t="s">
        <v>127</v>
      </c>
      <c r="E306" s="10" t="s">
        <v>457</v>
      </c>
      <c r="F306" s="11">
        <v>1523.9</v>
      </c>
      <c r="G306" s="11">
        <v>19670.240000000002</v>
      </c>
      <c r="H306" s="12">
        <v>7.7472556007013429E-2</v>
      </c>
      <c r="I306" s="10">
        <v>5</v>
      </c>
      <c r="J306" s="21">
        <v>85</v>
      </c>
      <c r="K306" s="21">
        <v>64.999999999999986</v>
      </c>
      <c r="L306" s="21">
        <v>55</v>
      </c>
      <c r="M306" s="21">
        <v>91.25</v>
      </c>
      <c r="N306" s="21">
        <f>J306*Supuestos!$B$7+K306*Supuestos!$B$8+L306*Supuestos!$B$9+M306*Supuestos!$B$10</f>
        <v>72.75</v>
      </c>
      <c r="O306" s="34" t="str">
        <f t="shared" si="4"/>
        <v>B</v>
      </c>
      <c r="P306" s="10" t="s">
        <v>447</v>
      </c>
      <c r="Q306" s="10" t="s">
        <v>441</v>
      </c>
    </row>
    <row r="307" spans="1:17">
      <c r="A307" s="10" t="s">
        <v>275</v>
      </c>
      <c r="B307" s="10" t="s">
        <v>71</v>
      </c>
      <c r="C307" s="10" t="s">
        <v>316</v>
      </c>
      <c r="D307" s="10" t="s">
        <v>103</v>
      </c>
      <c r="E307" s="10" t="s">
        <v>464</v>
      </c>
      <c r="F307" s="11">
        <v>14928.86</v>
      </c>
      <c r="G307" s="11">
        <v>1083764</v>
      </c>
      <c r="H307" s="12">
        <v>1.3775012189675785E-2</v>
      </c>
      <c r="I307" s="10">
        <v>14</v>
      </c>
      <c r="J307" s="21">
        <v>100</v>
      </c>
      <c r="K307" s="21">
        <v>75</v>
      </c>
      <c r="L307" s="21">
        <v>25</v>
      </c>
      <c r="M307" s="21">
        <v>94.993714604403294</v>
      </c>
      <c r="N307" s="21">
        <f>J307*Supuestos!$B$7+K307*Supuestos!$B$8+L307*Supuestos!$B$9+M307*Supuestos!$B$10</f>
        <v>72.748742920880659</v>
      </c>
      <c r="O307" s="34" t="str">
        <f t="shared" si="4"/>
        <v>B</v>
      </c>
      <c r="P307" s="10" t="s">
        <v>447</v>
      </c>
      <c r="Q307" s="10" t="s">
        <v>436</v>
      </c>
    </row>
    <row r="308" spans="1:17">
      <c r="A308" s="10" t="s">
        <v>165</v>
      </c>
      <c r="B308" s="10" t="s">
        <v>60</v>
      </c>
      <c r="C308" s="10" t="s">
        <v>302</v>
      </c>
      <c r="D308" s="10" t="s">
        <v>103</v>
      </c>
      <c r="E308" s="10" t="s">
        <v>464</v>
      </c>
      <c r="F308" s="11">
        <v>6084.77</v>
      </c>
      <c r="G308" s="11">
        <v>357771.85</v>
      </c>
      <c r="H308" s="12">
        <v>1.7007415968861784E-2</v>
      </c>
      <c r="I308" s="10">
        <v>11</v>
      </c>
      <c r="J308" s="21">
        <v>100</v>
      </c>
      <c r="K308" s="21">
        <v>75</v>
      </c>
      <c r="L308" s="21">
        <v>25</v>
      </c>
      <c r="M308" s="21">
        <v>94.993714604403294</v>
      </c>
      <c r="N308" s="21">
        <f>J308*Supuestos!$B$7+K308*Supuestos!$B$8+L308*Supuestos!$B$9+M308*Supuestos!$B$10</f>
        <v>72.748742920880659</v>
      </c>
      <c r="O308" s="34" t="str">
        <f t="shared" si="4"/>
        <v>B</v>
      </c>
      <c r="P308" s="10" t="s">
        <v>447</v>
      </c>
      <c r="Q308" s="10" t="s">
        <v>436</v>
      </c>
    </row>
    <row r="309" spans="1:17">
      <c r="A309" s="10" t="s">
        <v>255</v>
      </c>
      <c r="B309" s="10" t="s">
        <v>60</v>
      </c>
      <c r="C309" s="10" t="s">
        <v>260</v>
      </c>
      <c r="D309" s="10" t="s">
        <v>103</v>
      </c>
      <c r="E309" s="10" t="s">
        <v>464</v>
      </c>
      <c r="F309" s="11">
        <v>4552.8100000000004</v>
      </c>
      <c r="G309" s="11">
        <v>164350.82</v>
      </c>
      <c r="H309" s="12">
        <v>2.7701798448638803E-2</v>
      </c>
      <c r="I309" s="10">
        <v>5</v>
      </c>
      <c r="J309" s="21">
        <v>100</v>
      </c>
      <c r="K309" s="21">
        <v>75.000000000000014</v>
      </c>
      <c r="L309" s="21">
        <v>25</v>
      </c>
      <c r="M309" s="21">
        <v>94.993714604403294</v>
      </c>
      <c r="N309" s="21">
        <f>J309*Supuestos!$B$7+K309*Supuestos!$B$8+L309*Supuestos!$B$9+M309*Supuestos!$B$10</f>
        <v>72.748742920880659</v>
      </c>
      <c r="O309" s="34" t="str">
        <f t="shared" si="4"/>
        <v>B</v>
      </c>
      <c r="P309" s="10" t="s">
        <v>447</v>
      </c>
      <c r="Q309" s="10" t="s">
        <v>436</v>
      </c>
    </row>
    <row r="310" spans="1:17">
      <c r="A310" s="10" t="s">
        <v>165</v>
      </c>
      <c r="B310" s="10" t="s">
        <v>60</v>
      </c>
      <c r="C310" s="10" t="s">
        <v>247</v>
      </c>
      <c r="D310" s="10" t="s">
        <v>103</v>
      </c>
      <c r="E310" s="10" t="s">
        <v>464</v>
      </c>
      <c r="F310" s="11">
        <v>2858.65</v>
      </c>
      <c r="G310" s="11">
        <v>125931.16</v>
      </c>
      <c r="H310" s="12">
        <v>2.2700108563097454E-2</v>
      </c>
      <c r="I310" s="10">
        <v>7</v>
      </c>
      <c r="J310" s="21">
        <v>100</v>
      </c>
      <c r="K310" s="21">
        <v>75</v>
      </c>
      <c r="L310" s="21">
        <v>25</v>
      </c>
      <c r="M310" s="21">
        <v>94.993714604403294</v>
      </c>
      <c r="N310" s="21">
        <f>J310*Supuestos!$B$7+K310*Supuestos!$B$8+L310*Supuestos!$B$9+M310*Supuestos!$B$10</f>
        <v>72.748742920880659</v>
      </c>
      <c r="O310" s="34" t="str">
        <f t="shared" si="4"/>
        <v>B</v>
      </c>
      <c r="P310" s="10" t="s">
        <v>447</v>
      </c>
      <c r="Q310" s="10" t="s">
        <v>436</v>
      </c>
    </row>
    <row r="311" spans="1:17">
      <c r="A311" s="10" t="s">
        <v>275</v>
      </c>
      <c r="B311" s="10" t="s">
        <v>67</v>
      </c>
      <c r="C311" s="10" t="s">
        <v>373</v>
      </c>
      <c r="D311" s="10" t="s">
        <v>127</v>
      </c>
      <c r="E311" s="10" t="s">
        <v>462</v>
      </c>
      <c r="F311" s="11">
        <v>6462.74</v>
      </c>
      <c r="G311" s="11">
        <v>117128.89</v>
      </c>
      <c r="H311" s="12">
        <v>5.5176317256704709E-2</v>
      </c>
      <c r="I311" s="10">
        <v>4</v>
      </c>
      <c r="J311" s="21">
        <v>85</v>
      </c>
      <c r="K311" s="21">
        <v>65</v>
      </c>
      <c r="L311" s="21">
        <v>55</v>
      </c>
      <c r="M311" s="21">
        <v>90.510155415039009</v>
      </c>
      <c r="N311" s="21">
        <f>J311*Supuestos!$B$7+K311*Supuestos!$B$8+L311*Supuestos!$B$9+M311*Supuestos!$B$10</f>
        <v>72.602031083007802</v>
      </c>
      <c r="O311" s="34" t="str">
        <f t="shared" si="4"/>
        <v>B</v>
      </c>
      <c r="P311" s="10" t="s">
        <v>447</v>
      </c>
      <c r="Q311" s="10" t="s">
        <v>441</v>
      </c>
    </row>
    <row r="312" spans="1:17">
      <c r="A312" s="10" t="s">
        <v>101</v>
      </c>
      <c r="B312" s="10" t="s">
        <v>60</v>
      </c>
      <c r="C312" s="10" t="s">
        <v>320</v>
      </c>
      <c r="D312" s="10" t="s">
        <v>127</v>
      </c>
      <c r="E312" s="10" t="s">
        <v>462</v>
      </c>
      <c r="F312" s="11">
        <v>1158.26</v>
      </c>
      <c r="G312" s="11">
        <v>19670.240000000002</v>
      </c>
      <c r="H312" s="12">
        <v>5.8883629273545443E-2</v>
      </c>
      <c r="I312" s="10">
        <v>6</v>
      </c>
      <c r="J312" s="21">
        <v>85</v>
      </c>
      <c r="K312" s="21">
        <v>65</v>
      </c>
      <c r="L312" s="21">
        <v>55</v>
      </c>
      <c r="M312" s="21">
        <v>90.510155415039009</v>
      </c>
      <c r="N312" s="21">
        <f>J312*Supuestos!$B$7+K312*Supuestos!$B$8+L312*Supuestos!$B$9+M312*Supuestos!$B$10</f>
        <v>72.602031083007802</v>
      </c>
      <c r="O312" s="34" t="str">
        <f t="shared" si="4"/>
        <v>B</v>
      </c>
      <c r="P312" s="10" t="s">
        <v>447</v>
      </c>
      <c r="Q312" s="10" t="s">
        <v>441</v>
      </c>
    </row>
    <row r="313" spans="1:17">
      <c r="A313" s="10" t="s">
        <v>101</v>
      </c>
      <c r="B313" s="10" t="s">
        <v>60</v>
      </c>
      <c r="C313" s="10" t="s">
        <v>325</v>
      </c>
      <c r="D313" s="10" t="s">
        <v>149</v>
      </c>
      <c r="E313" s="10" t="s">
        <v>462</v>
      </c>
      <c r="F313" s="11">
        <v>555.01</v>
      </c>
      <c r="G313" s="11">
        <v>3886.23</v>
      </c>
      <c r="H313" s="12">
        <v>0.14281537669248762</v>
      </c>
      <c r="I313" s="10">
        <v>2</v>
      </c>
      <c r="J313" s="21">
        <v>30</v>
      </c>
      <c r="K313" s="21">
        <v>90</v>
      </c>
      <c r="L313" s="21">
        <v>80</v>
      </c>
      <c r="M313" s="21">
        <v>90.510155415039009</v>
      </c>
      <c r="N313" s="21">
        <f>J313*Supuestos!$B$7+K313*Supuestos!$B$8+L313*Supuestos!$B$9+M313*Supuestos!$B$10</f>
        <v>72.602031083007802</v>
      </c>
      <c r="O313" s="34" t="str">
        <f t="shared" si="4"/>
        <v>B</v>
      </c>
      <c r="P313" s="10" t="s">
        <v>435</v>
      </c>
      <c r="Q313" s="10" t="s">
        <v>441</v>
      </c>
    </row>
    <row r="314" spans="1:17">
      <c r="A314" s="10" t="s">
        <v>119</v>
      </c>
      <c r="B314" s="10" t="s">
        <v>171</v>
      </c>
      <c r="C314" s="10" t="s">
        <v>172</v>
      </c>
      <c r="D314" s="10" t="s">
        <v>103</v>
      </c>
      <c r="E314" s="10" t="s">
        <v>173</v>
      </c>
      <c r="F314" s="11">
        <v>150269.15</v>
      </c>
      <c r="G314" s="11">
        <v>150269.15</v>
      </c>
      <c r="H314" s="12">
        <v>1</v>
      </c>
      <c r="I314" s="10">
        <v>1</v>
      </c>
      <c r="J314" s="21">
        <v>100</v>
      </c>
      <c r="K314" s="21">
        <v>29.999999999999996</v>
      </c>
      <c r="L314" s="21">
        <v>100</v>
      </c>
      <c r="M314" s="21">
        <v>67.5</v>
      </c>
      <c r="N314" s="21">
        <f>J314*Supuestos!$B$7+K314*Supuestos!$B$8+L314*Supuestos!$B$9+M314*Supuestos!$B$10</f>
        <v>72.5</v>
      </c>
      <c r="O314" s="34" t="str">
        <f t="shared" si="4"/>
        <v>B</v>
      </c>
      <c r="P314" s="10" t="s">
        <v>447</v>
      </c>
      <c r="Q314" s="10" t="s">
        <v>471</v>
      </c>
    </row>
    <row r="315" spans="1:17">
      <c r="A315" s="10" t="s">
        <v>119</v>
      </c>
      <c r="B315" s="10" t="s">
        <v>171</v>
      </c>
      <c r="C315" s="10" t="s">
        <v>231</v>
      </c>
      <c r="D315" s="10" t="s">
        <v>103</v>
      </c>
      <c r="E315" s="10" t="s">
        <v>173</v>
      </c>
      <c r="F315" s="11">
        <v>51034.8</v>
      </c>
      <c r="G315" s="11">
        <v>52325.68</v>
      </c>
      <c r="H315" s="12">
        <v>0.97532989099254153</v>
      </c>
      <c r="I315" s="10">
        <v>1</v>
      </c>
      <c r="J315" s="21">
        <v>100</v>
      </c>
      <c r="K315" s="21">
        <v>30.000000000000004</v>
      </c>
      <c r="L315" s="21">
        <v>100</v>
      </c>
      <c r="M315" s="21">
        <v>67.5</v>
      </c>
      <c r="N315" s="21">
        <f>J315*Supuestos!$B$7+K315*Supuestos!$B$8+L315*Supuestos!$B$9+M315*Supuestos!$B$10</f>
        <v>72.5</v>
      </c>
      <c r="O315" s="34" t="str">
        <f t="shared" si="4"/>
        <v>B</v>
      </c>
      <c r="P315" s="10" t="s">
        <v>447</v>
      </c>
      <c r="Q315" s="10" t="s">
        <v>471</v>
      </c>
    </row>
    <row r="316" spans="1:17">
      <c r="A316" s="10" t="s">
        <v>111</v>
      </c>
      <c r="B316" s="10" t="s">
        <v>69</v>
      </c>
      <c r="C316" s="10" t="s">
        <v>309</v>
      </c>
      <c r="D316" s="10" t="s">
        <v>103</v>
      </c>
      <c r="E316" s="10" t="s">
        <v>213</v>
      </c>
      <c r="F316" s="11">
        <v>24813.77</v>
      </c>
      <c r="G316" s="11">
        <v>712220.68</v>
      </c>
      <c r="H316" s="12">
        <v>3.484000249922959E-2</v>
      </c>
      <c r="I316" s="10">
        <v>13</v>
      </c>
      <c r="J316" s="21">
        <v>100</v>
      </c>
      <c r="K316" s="21">
        <v>75</v>
      </c>
      <c r="L316" s="21">
        <v>25</v>
      </c>
      <c r="M316" s="21">
        <v>93.75</v>
      </c>
      <c r="N316" s="21">
        <f>J316*Supuestos!$B$7+K316*Supuestos!$B$8+L316*Supuestos!$B$9+M316*Supuestos!$B$10</f>
        <v>72.5</v>
      </c>
      <c r="O316" s="34" t="str">
        <f t="shared" si="4"/>
        <v>B</v>
      </c>
      <c r="P316" s="10" t="s">
        <v>447</v>
      </c>
      <c r="Q316" s="10" t="s">
        <v>436</v>
      </c>
    </row>
    <row r="317" spans="1:17">
      <c r="A317" s="10" t="s">
        <v>119</v>
      </c>
      <c r="B317" s="10" t="s">
        <v>360</v>
      </c>
      <c r="C317" s="10" t="s">
        <v>361</v>
      </c>
      <c r="D317" s="10" t="s">
        <v>103</v>
      </c>
      <c r="E317" s="10" t="s">
        <v>213</v>
      </c>
      <c r="F317" s="11">
        <v>7789.69</v>
      </c>
      <c r="G317" s="11">
        <v>360957.46</v>
      </c>
      <c r="H317" s="12">
        <v>2.1580624193814246E-2</v>
      </c>
      <c r="I317" s="10">
        <v>13</v>
      </c>
      <c r="J317" s="21">
        <v>100</v>
      </c>
      <c r="K317" s="21">
        <v>75</v>
      </c>
      <c r="L317" s="21">
        <v>25</v>
      </c>
      <c r="M317" s="21">
        <v>93.75</v>
      </c>
      <c r="N317" s="21">
        <f>J317*Supuestos!$B$7+K317*Supuestos!$B$8+L317*Supuestos!$B$9+M317*Supuestos!$B$10</f>
        <v>72.5</v>
      </c>
      <c r="O317" s="34" t="str">
        <f t="shared" si="4"/>
        <v>B</v>
      </c>
      <c r="P317" s="10" t="s">
        <v>447</v>
      </c>
      <c r="Q317" s="10" t="s">
        <v>436</v>
      </c>
    </row>
    <row r="318" spans="1:17">
      <c r="A318" s="10" t="s">
        <v>101</v>
      </c>
      <c r="B318" s="10" t="s">
        <v>60</v>
      </c>
      <c r="C318" s="10" t="s">
        <v>342</v>
      </c>
      <c r="D318" s="10" t="s">
        <v>103</v>
      </c>
      <c r="E318" s="10" t="s">
        <v>452</v>
      </c>
      <c r="F318" s="11">
        <v>6267.87</v>
      </c>
      <c r="G318" s="11">
        <v>95640.54</v>
      </c>
      <c r="H318" s="12">
        <v>6.5535686843817512E-2</v>
      </c>
      <c r="I318" s="10">
        <v>5</v>
      </c>
      <c r="J318" s="21">
        <v>100</v>
      </c>
      <c r="K318" s="21">
        <v>65</v>
      </c>
      <c r="L318" s="21">
        <v>55</v>
      </c>
      <c r="M318" s="21">
        <v>71.25</v>
      </c>
      <c r="N318" s="21">
        <f>J318*Supuestos!$B$7+K318*Supuestos!$B$8+L318*Supuestos!$B$9+M318*Supuestos!$B$10</f>
        <v>72.5</v>
      </c>
      <c r="O318" s="34" t="str">
        <f t="shared" si="4"/>
        <v>B</v>
      </c>
      <c r="P318" s="10" t="s">
        <v>447</v>
      </c>
      <c r="Q318" s="10" t="s">
        <v>441</v>
      </c>
    </row>
    <row r="319" spans="1:17">
      <c r="A319" s="10" t="s">
        <v>101</v>
      </c>
      <c r="B319" s="10" t="s">
        <v>60</v>
      </c>
      <c r="C319" s="10" t="s">
        <v>243</v>
      </c>
      <c r="D319" s="10" t="s">
        <v>103</v>
      </c>
      <c r="E319" s="10" t="s">
        <v>452</v>
      </c>
      <c r="F319" s="11">
        <v>6106.25</v>
      </c>
      <c r="G319" s="11">
        <v>114854.99</v>
      </c>
      <c r="H319" s="12">
        <v>5.3164843094232812E-2</v>
      </c>
      <c r="I319" s="10">
        <v>10</v>
      </c>
      <c r="J319" s="21">
        <v>100</v>
      </c>
      <c r="K319" s="21">
        <v>65.000000000000014</v>
      </c>
      <c r="L319" s="21">
        <v>55</v>
      </c>
      <c r="M319" s="21">
        <v>71.25</v>
      </c>
      <c r="N319" s="21">
        <f>J319*Supuestos!$B$7+K319*Supuestos!$B$8+L319*Supuestos!$B$9+M319*Supuestos!$B$10</f>
        <v>72.5</v>
      </c>
      <c r="O319" s="34" t="str">
        <f t="shared" si="4"/>
        <v>B</v>
      </c>
      <c r="P319" s="10" t="s">
        <v>447</v>
      </c>
      <c r="Q319" s="10" t="s">
        <v>441</v>
      </c>
    </row>
    <row r="320" spans="1:17">
      <c r="A320" s="10" t="s">
        <v>255</v>
      </c>
      <c r="B320" s="10" t="s">
        <v>60</v>
      </c>
      <c r="C320" s="10" t="s">
        <v>328</v>
      </c>
      <c r="D320" s="10" t="s">
        <v>103</v>
      </c>
      <c r="E320" s="10" t="s">
        <v>213</v>
      </c>
      <c r="F320" s="11">
        <v>1951.33</v>
      </c>
      <c r="G320" s="11">
        <v>132474.79999999999</v>
      </c>
      <c r="H320" s="12">
        <v>1.4729825958994774E-2</v>
      </c>
      <c r="I320" s="10">
        <v>8</v>
      </c>
      <c r="J320" s="21">
        <v>100</v>
      </c>
      <c r="K320" s="21">
        <v>75</v>
      </c>
      <c r="L320" s="21">
        <v>25</v>
      </c>
      <c r="M320" s="21">
        <v>93.75</v>
      </c>
      <c r="N320" s="21">
        <f>J320*Supuestos!$B$7+K320*Supuestos!$B$8+L320*Supuestos!$B$9+M320*Supuestos!$B$10</f>
        <v>72.5</v>
      </c>
      <c r="O320" s="34" t="str">
        <f t="shared" si="4"/>
        <v>B</v>
      </c>
      <c r="P320" s="10" t="s">
        <v>447</v>
      </c>
      <c r="Q320" s="10" t="s">
        <v>436</v>
      </c>
    </row>
    <row r="321" spans="1:17">
      <c r="A321" s="10" t="s">
        <v>101</v>
      </c>
      <c r="B321" s="10" t="s">
        <v>60</v>
      </c>
      <c r="C321" s="10" t="s">
        <v>342</v>
      </c>
      <c r="D321" s="10" t="s">
        <v>103</v>
      </c>
      <c r="E321" s="10" t="s">
        <v>213</v>
      </c>
      <c r="F321" s="11">
        <v>558.29999999999995</v>
      </c>
      <c r="G321" s="11">
        <v>95640.54</v>
      </c>
      <c r="H321" s="12">
        <v>5.83745584579351E-3</v>
      </c>
      <c r="I321" s="10">
        <v>12</v>
      </c>
      <c r="J321" s="21">
        <v>100</v>
      </c>
      <c r="K321" s="21">
        <v>74.999999999999986</v>
      </c>
      <c r="L321" s="21">
        <v>25</v>
      </c>
      <c r="M321" s="21">
        <v>93.75</v>
      </c>
      <c r="N321" s="21">
        <f>J321*Supuestos!$B$7+K321*Supuestos!$B$8+L321*Supuestos!$B$9+M321*Supuestos!$B$10</f>
        <v>72.5</v>
      </c>
      <c r="O321" s="34" t="str">
        <f t="shared" si="4"/>
        <v>B</v>
      </c>
      <c r="P321" s="10" t="s">
        <v>447</v>
      </c>
      <c r="Q321" s="10" t="s">
        <v>436</v>
      </c>
    </row>
    <row r="322" spans="1:17">
      <c r="A322" s="10" t="s">
        <v>111</v>
      </c>
      <c r="B322" s="10" t="s">
        <v>60</v>
      </c>
      <c r="C322" s="10" t="s">
        <v>339</v>
      </c>
      <c r="D322" s="10" t="s">
        <v>103</v>
      </c>
      <c r="E322" s="10" t="s">
        <v>213</v>
      </c>
      <c r="F322" s="11">
        <v>105.8</v>
      </c>
      <c r="G322" s="11">
        <v>114879.92</v>
      </c>
      <c r="H322" s="12">
        <v>9.2097310569407822E-4</v>
      </c>
      <c r="I322" s="10">
        <v>16</v>
      </c>
      <c r="J322" s="21">
        <v>100</v>
      </c>
      <c r="K322" s="21">
        <v>75</v>
      </c>
      <c r="L322" s="21">
        <v>25</v>
      </c>
      <c r="M322" s="21">
        <v>93.75</v>
      </c>
      <c r="N322" s="21">
        <f>J322*Supuestos!$B$7+K322*Supuestos!$B$8+L322*Supuestos!$B$9+M322*Supuestos!$B$10</f>
        <v>72.5</v>
      </c>
      <c r="O322" s="34" t="str">
        <f t="shared" si="4"/>
        <v>B</v>
      </c>
      <c r="P322" s="10" t="s">
        <v>447</v>
      </c>
      <c r="Q322" s="10" t="s">
        <v>436</v>
      </c>
    </row>
    <row r="323" spans="1:17">
      <c r="A323" s="10" t="s">
        <v>165</v>
      </c>
      <c r="B323" s="10" t="s">
        <v>60</v>
      </c>
      <c r="C323" s="10" t="s">
        <v>247</v>
      </c>
      <c r="D323" s="10" t="s">
        <v>103</v>
      </c>
      <c r="E323" s="10" t="s">
        <v>151</v>
      </c>
      <c r="F323" s="11">
        <v>4879.99</v>
      </c>
      <c r="G323" s="11">
        <v>125931.16</v>
      </c>
      <c r="H323" s="12">
        <v>3.8751289578232366E-2</v>
      </c>
      <c r="I323" s="10">
        <v>4</v>
      </c>
      <c r="J323" s="21">
        <v>100</v>
      </c>
      <c r="K323" s="21">
        <v>75</v>
      </c>
      <c r="L323" s="21">
        <v>25</v>
      </c>
      <c r="M323" s="21">
        <v>93.580645922060057</v>
      </c>
      <c r="N323" s="21">
        <f>J323*Supuestos!$B$7+K323*Supuestos!$B$8+L323*Supuestos!$B$9+M323*Supuestos!$B$10</f>
        <v>72.466129184412011</v>
      </c>
      <c r="O323" s="34" t="str">
        <f t="shared" si="4"/>
        <v>B</v>
      </c>
      <c r="P323" s="10" t="s">
        <v>447</v>
      </c>
      <c r="Q323" s="10" t="s">
        <v>436</v>
      </c>
    </row>
    <row r="324" spans="1:17">
      <c r="A324" s="10" t="s">
        <v>111</v>
      </c>
      <c r="B324" s="10" t="s">
        <v>60</v>
      </c>
      <c r="C324" s="10" t="s">
        <v>377</v>
      </c>
      <c r="D324" s="10" t="s">
        <v>103</v>
      </c>
      <c r="E324" s="10" t="s">
        <v>151</v>
      </c>
      <c r="F324" s="11">
        <v>2783.15</v>
      </c>
      <c r="G324" s="11">
        <v>67968.179999999993</v>
      </c>
      <c r="H324" s="12">
        <v>4.0947811477502857E-2</v>
      </c>
      <c r="I324" s="10">
        <v>7</v>
      </c>
      <c r="J324" s="21">
        <v>100</v>
      </c>
      <c r="K324" s="21">
        <v>75</v>
      </c>
      <c r="L324" s="21">
        <v>25</v>
      </c>
      <c r="M324" s="21">
        <v>93.580645922060057</v>
      </c>
      <c r="N324" s="21">
        <f>J324*Supuestos!$B$7+K324*Supuestos!$B$8+L324*Supuestos!$B$9+M324*Supuestos!$B$10</f>
        <v>72.466129184412011</v>
      </c>
      <c r="O324" s="34" t="str">
        <f t="shared" si="4"/>
        <v>B</v>
      </c>
      <c r="P324" s="10" t="s">
        <v>447</v>
      </c>
      <c r="Q324" s="10" t="s">
        <v>436</v>
      </c>
    </row>
    <row r="325" spans="1:17">
      <c r="A325" s="10" t="s">
        <v>111</v>
      </c>
      <c r="B325" s="10" t="s">
        <v>69</v>
      </c>
      <c r="C325" s="10" t="s">
        <v>309</v>
      </c>
      <c r="D325" s="10" t="s">
        <v>103</v>
      </c>
      <c r="E325" s="10" t="s">
        <v>446</v>
      </c>
      <c r="F325" s="11">
        <v>30452.44</v>
      </c>
      <c r="G325" s="11">
        <v>712220.68</v>
      </c>
      <c r="H325" s="12">
        <v>4.2757030153383453E-2</v>
      </c>
      <c r="I325" s="10">
        <v>10</v>
      </c>
      <c r="J325" s="21">
        <v>100</v>
      </c>
      <c r="K325" s="21">
        <v>74.999999999999986</v>
      </c>
      <c r="L325" s="21">
        <v>25</v>
      </c>
      <c r="M325" s="21">
        <v>93.560509294235828</v>
      </c>
      <c r="N325" s="21">
        <f>J325*Supuestos!$B$7+K325*Supuestos!$B$8+L325*Supuestos!$B$9+M325*Supuestos!$B$10</f>
        <v>72.462101858847163</v>
      </c>
      <c r="O325" s="34" t="str">
        <f t="shared" ref="O325:O388" si="5">IF(N325&gt;=80,"A",IF(N325&gt;=65,"B",IF(N325&gt;=50,"C","D")))</f>
        <v>B</v>
      </c>
      <c r="P325" s="10" t="s">
        <v>447</v>
      </c>
      <c r="Q325" s="10" t="s">
        <v>436</v>
      </c>
    </row>
    <row r="326" spans="1:17">
      <c r="A326" s="10" t="s">
        <v>215</v>
      </c>
      <c r="B326" s="10" t="s">
        <v>60</v>
      </c>
      <c r="C326" s="10" t="s">
        <v>410</v>
      </c>
      <c r="D326" s="10" t="s">
        <v>103</v>
      </c>
      <c r="E326" s="10" t="s">
        <v>446</v>
      </c>
      <c r="F326" s="11">
        <v>7876.48</v>
      </c>
      <c r="G326" s="11">
        <v>273779.84999999998</v>
      </c>
      <c r="H326" s="12">
        <v>2.8769381298609609E-2</v>
      </c>
      <c r="I326" s="10">
        <v>9</v>
      </c>
      <c r="J326" s="21">
        <v>100</v>
      </c>
      <c r="K326" s="21">
        <v>75.000000000000014</v>
      </c>
      <c r="L326" s="21">
        <v>25</v>
      </c>
      <c r="M326" s="21">
        <v>93.560509294235828</v>
      </c>
      <c r="N326" s="21">
        <f>J326*Supuestos!$B$7+K326*Supuestos!$B$8+L326*Supuestos!$B$9+M326*Supuestos!$B$10</f>
        <v>72.462101858847163</v>
      </c>
      <c r="O326" s="34" t="str">
        <f t="shared" si="5"/>
        <v>B</v>
      </c>
      <c r="P326" s="10" t="s">
        <v>447</v>
      </c>
      <c r="Q326" s="10" t="s">
        <v>436</v>
      </c>
    </row>
    <row r="327" spans="1:17">
      <c r="A327" s="10" t="s">
        <v>119</v>
      </c>
      <c r="B327" s="10" t="s">
        <v>186</v>
      </c>
      <c r="C327" s="10" t="s">
        <v>187</v>
      </c>
      <c r="D327" s="10" t="s">
        <v>103</v>
      </c>
      <c r="E327" s="10" t="s">
        <v>446</v>
      </c>
      <c r="F327" s="11">
        <v>7054.81</v>
      </c>
      <c r="G327" s="11">
        <v>159511.35999999999</v>
      </c>
      <c r="H327" s="12">
        <v>4.4227642446434269E-2</v>
      </c>
      <c r="I327" s="10">
        <v>8</v>
      </c>
      <c r="J327" s="21">
        <v>100</v>
      </c>
      <c r="K327" s="21">
        <v>75</v>
      </c>
      <c r="L327" s="21">
        <v>25</v>
      </c>
      <c r="M327" s="21">
        <v>93.560509294235828</v>
      </c>
      <c r="N327" s="21">
        <f>J327*Supuestos!$B$7+K327*Supuestos!$B$8+L327*Supuestos!$B$9+M327*Supuestos!$B$10</f>
        <v>72.462101858847163</v>
      </c>
      <c r="O327" s="34" t="str">
        <f t="shared" si="5"/>
        <v>B</v>
      </c>
      <c r="P327" s="10" t="s">
        <v>447</v>
      </c>
      <c r="Q327" s="10" t="s">
        <v>436</v>
      </c>
    </row>
    <row r="328" spans="1:17">
      <c r="A328" s="10" t="s">
        <v>215</v>
      </c>
      <c r="B328" s="10" t="s">
        <v>60</v>
      </c>
      <c r="C328" s="10" t="s">
        <v>216</v>
      </c>
      <c r="D328" s="10" t="s">
        <v>103</v>
      </c>
      <c r="E328" s="10" t="s">
        <v>446</v>
      </c>
      <c r="F328" s="11">
        <v>4101.6499999999996</v>
      </c>
      <c r="G328" s="11">
        <v>656576.77</v>
      </c>
      <c r="H328" s="12">
        <v>6.2470248655970362E-3</v>
      </c>
      <c r="I328" s="10">
        <v>19</v>
      </c>
      <c r="J328" s="21">
        <v>100</v>
      </c>
      <c r="K328" s="21">
        <v>75</v>
      </c>
      <c r="L328" s="21">
        <v>25</v>
      </c>
      <c r="M328" s="21">
        <v>93.560509294235828</v>
      </c>
      <c r="N328" s="21">
        <f>J328*Supuestos!$B$7+K328*Supuestos!$B$8+L328*Supuestos!$B$9+M328*Supuestos!$B$10</f>
        <v>72.462101858847163</v>
      </c>
      <c r="O328" s="34" t="str">
        <f t="shared" si="5"/>
        <v>B</v>
      </c>
      <c r="P328" s="10" t="s">
        <v>447</v>
      </c>
      <c r="Q328" s="10" t="s">
        <v>436</v>
      </c>
    </row>
    <row r="329" spans="1:17">
      <c r="A329" s="10" t="s">
        <v>255</v>
      </c>
      <c r="B329" s="10" t="s">
        <v>60</v>
      </c>
      <c r="C329" s="10" t="s">
        <v>260</v>
      </c>
      <c r="D329" s="10" t="s">
        <v>103</v>
      </c>
      <c r="E329" s="10" t="s">
        <v>446</v>
      </c>
      <c r="F329" s="11">
        <v>2561.9</v>
      </c>
      <c r="G329" s="11">
        <v>164350.82</v>
      </c>
      <c r="H329" s="12">
        <v>1.5588017349358942E-2</v>
      </c>
      <c r="I329" s="10">
        <v>6</v>
      </c>
      <c r="J329" s="21">
        <v>100</v>
      </c>
      <c r="K329" s="21">
        <v>74.999999999999986</v>
      </c>
      <c r="L329" s="21">
        <v>25</v>
      </c>
      <c r="M329" s="21">
        <v>93.560509294235828</v>
      </c>
      <c r="N329" s="21">
        <f>J329*Supuestos!$B$7+K329*Supuestos!$B$8+L329*Supuestos!$B$9+M329*Supuestos!$B$10</f>
        <v>72.462101858847163</v>
      </c>
      <c r="O329" s="34" t="str">
        <f t="shared" si="5"/>
        <v>B</v>
      </c>
      <c r="P329" s="10" t="s">
        <v>447</v>
      </c>
      <c r="Q329" s="10" t="s">
        <v>436</v>
      </c>
    </row>
    <row r="330" spans="1:17">
      <c r="A330" s="10" t="s">
        <v>215</v>
      </c>
      <c r="B330" s="10" t="s">
        <v>60</v>
      </c>
      <c r="C330" s="10" t="s">
        <v>332</v>
      </c>
      <c r="D330" s="10" t="s">
        <v>103</v>
      </c>
      <c r="E330" s="10" t="s">
        <v>446</v>
      </c>
      <c r="F330" s="11">
        <v>2534.6999999999998</v>
      </c>
      <c r="G330" s="11">
        <v>251755.6</v>
      </c>
      <c r="H330" s="12">
        <v>1.0068087376090096E-2</v>
      </c>
      <c r="I330" s="10">
        <v>13</v>
      </c>
      <c r="J330" s="21">
        <v>100</v>
      </c>
      <c r="K330" s="21">
        <v>75</v>
      </c>
      <c r="L330" s="21">
        <v>25</v>
      </c>
      <c r="M330" s="21">
        <v>93.560509294235828</v>
      </c>
      <c r="N330" s="21">
        <f>J330*Supuestos!$B$7+K330*Supuestos!$B$8+L330*Supuestos!$B$9+M330*Supuestos!$B$10</f>
        <v>72.462101858847163</v>
      </c>
      <c r="O330" s="34" t="str">
        <f t="shared" si="5"/>
        <v>B</v>
      </c>
      <c r="P330" s="10" t="s">
        <v>447</v>
      </c>
      <c r="Q330" s="10" t="s">
        <v>436</v>
      </c>
    </row>
    <row r="331" spans="1:17">
      <c r="A331" s="10" t="s">
        <v>101</v>
      </c>
      <c r="B331" s="10" t="s">
        <v>60</v>
      </c>
      <c r="C331" s="10" t="s">
        <v>342</v>
      </c>
      <c r="D331" s="10" t="s">
        <v>103</v>
      </c>
      <c r="E331" s="10" t="s">
        <v>446</v>
      </c>
      <c r="F331" s="11">
        <v>969.83</v>
      </c>
      <c r="G331" s="11">
        <v>95640.54</v>
      </c>
      <c r="H331" s="12">
        <v>1.0140345255650263E-2</v>
      </c>
      <c r="I331" s="10">
        <v>10</v>
      </c>
      <c r="J331" s="21">
        <v>100</v>
      </c>
      <c r="K331" s="21">
        <v>75</v>
      </c>
      <c r="L331" s="21">
        <v>25</v>
      </c>
      <c r="M331" s="21">
        <v>93.560509294235828</v>
      </c>
      <c r="N331" s="21">
        <f>J331*Supuestos!$B$7+K331*Supuestos!$B$8+L331*Supuestos!$B$9+M331*Supuestos!$B$10</f>
        <v>72.462101858847163</v>
      </c>
      <c r="O331" s="34" t="str">
        <f t="shared" si="5"/>
        <v>B</v>
      </c>
      <c r="P331" s="10" t="s">
        <v>447</v>
      </c>
      <c r="Q331" s="10" t="s">
        <v>436</v>
      </c>
    </row>
    <row r="332" spans="1:17">
      <c r="A332" s="10" t="s">
        <v>255</v>
      </c>
      <c r="B332" s="10" t="s">
        <v>60</v>
      </c>
      <c r="C332" s="10" t="s">
        <v>350</v>
      </c>
      <c r="D332" s="10" t="s">
        <v>103</v>
      </c>
      <c r="E332" s="10" t="s">
        <v>446</v>
      </c>
      <c r="F332" s="11">
        <v>592.63</v>
      </c>
      <c r="G332" s="11">
        <v>313399.28999999998</v>
      </c>
      <c r="H332" s="12">
        <v>1.8909849256856077E-3</v>
      </c>
      <c r="I332" s="10">
        <v>8</v>
      </c>
      <c r="J332" s="21">
        <v>100</v>
      </c>
      <c r="K332" s="21">
        <v>75</v>
      </c>
      <c r="L332" s="21">
        <v>25</v>
      </c>
      <c r="M332" s="21">
        <v>93.560509294235828</v>
      </c>
      <c r="N332" s="21">
        <f>J332*Supuestos!$B$7+K332*Supuestos!$B$8+L332*Supuestos!$B$9+M332*Supuestos!$B$10</f>
        <v>72.462101858847163</v>
      </c>
      <c r="O332" s="34" t="str">
        <f t="shared" si="5"/>
        <v>B</v>
      </c>
      <c r="P332" s="10" t="s">
        <v>447</v>
      </c>
      <c r="Q332" s="10" t="s">
        <v>436</v>
      </c>
    </row>
    <row r="333" spans="1:17">
      <c r="A333" s="10" t="s">
        <v>119</v>
      </c>
      <c r="B333" s="10" t="s">
        <v>360</v>
      </c>
      <c r="C333" s="10" t="s">
        <v>361</v>
      </c>
      <c r="D333" s="10" t="s">
        <v>103</v>
      </c>
      <c r="E333" s="10" t="s">
        <v>482</v>
      </c>
      <c r="F333" s="11">
        <v>9054</v>
      </c>
      <c r="G333" s="11">
        <v>360957.46</v>
      </c>
      <c r="H333" s="12">
        <v>2.5083281077384337E-2</v>
      </c>
      <c r="I333" s="10">
        <v>11</v>
      </c>
      <c r="J333" s="21">
        <v>100</v>
      </c>
      <c r="K333" s="21">
        <v>75</v>
      </c>
      <c r="L333" s="21">
        <v>25</v>
      </c>
      <c r="M333" s="21">
        <v>93.52249900213674</v>
      </c>
      <c r="N333" s="21">
        <f>J333*Supuestos!$B$7+K333*Supuestos!$B$8+L333*Supuestos!$B$9+M333*Supuestos!$B$10</f>
        <v>72.454499800427357</v>
      </c>
      <c r="O333" s="34" t="str">
        <f t="shared" si="5"/>
        <v>B</v>
      </c>
      <c r="P333" s="10" t="s">
        <v>447</v>
      </c>
      <c r="Q333" s="10" t="s">
        <v>436</v>
      </c>
    </row>
    <row r="334" spans="1:17">
      <c r="A334" s="10" t="s">
        <v>119</v>
      </c>
      <c r="B334" s="10" t="s">
        <v>360</v>
      </c>
      <c r="C334" s="10" t="s">
        <v>361</v>
      </c>
      <c r="D334" s="10" t="s">
        <v>103</v>
      </c>
      <c r="E334" s="10" t="s">
        <v>469</v>
      </c>
      <c r="F334" s="11">
        <v>4145.8900000000003</v>
      </c>
      <c r="G334" s="11">
        <v>360957.46</v>
      </c>
      <c r="H334" s="12">
        <v>1.1485812903924151E-2</v>
      </c>
      <c r="I334" s="10">
        <v>18</v>
      </c>
      <c r="J334" s="21">
        <v>100</v>
      </c>
      <c r="K334" s="21">
        <v>75</v>
      </c>
      <c r="L334" s="21">
        <v>25</v>
      </c>
      <c r="M334" s="21">
        <v>93.504836461954255</v>
      </c>
      <c r="N334" s="21">
        <f>J334*Supuestos!$B$7+K334*Supuestos!$B$8+L334*Supuestos!$B$9+M334*Supuestos!$B$10</f>
        <v>72.450967292390857</v>
      </c>
      <c r="O334" s="34" t="str">
        <f t="shared" si="5"/>
        <v>B</v>
      </c>
      <c r="P334" s="10" t="s">
        <v>447</v>
      </c>
      <c r="Q334" s="10" t="s">
        <v>436</v>
      </c>
    </row>
    <row r="335" spans="1:17">
      <c r="A335" s="10" t="s">
        <v>111</v>
      </c>
      <c r="B335" s="10" t="s">
        <v>402</v>
      </c>
      <c r="C335" s="10" t="s">
        <v>403</v>
      </c>
      <c r="D335" s="10" t="s">
        <v>103</v>
      </c>
      <c r="E335" s="10" t="s">
        <v>490</v>
      </c>
      <c r="F335" s="11">
        <v>29402.7</v>
      </c>
      <c r="G335" s="11">
        <v>121345.92</v>
      </c>
      <c r="H335" s="12">
        <v>0.24230478752135512</v>
      </c>
      <c r="I335" s="10">
        <v>3</v>
      </c>
      <c r="J335" s="21">
        <v>100</v>
      </c>
      <c r="K335" s="21">
        <v>60</v>
      </c>
      <c r="L335" s="21">
        <v>80</v>
      </c>
      <c r="M335" s="21">
        <v>47.222331828079561</v>
      </c>
      <c r="N335" s="21">
        <f>J335*Supuestos!$B$7+K335*Supuestos!$B$8+L335*Supuestos!$B$9+M335*Supuestos!$B$10</f>
        <v>72.444466365615909</v>
      </c>
      <c r="O335" s="34" t="str">
        <f t="shared" si="5"/>
        <v>B</v>
      </c>
      <c r="P335" s="10" t="s">
        <v>435</v>
      </c>
      <c r="Q335" s="10" t="s">
        <v>471</v>
      </c>
    </row>
    <row r="336" spans="1:17">
      <c r="A336" s="10" t="s">
        <v>101</v>
      </c>
      <c r="B336" s="10" t="s">
        <v>60</v>
      </c>
      <c r="C336" s="10" t="s">
        <v>289</v>
      </c>
      <c r="D336" s="10" t="s">
        <v>149</v>
      </c>
      <c r="E336" s="10" t="s">
        <v>462</v>
      </c>
      <c r="F336" s="11">
        <v>5172.8</v>
      </c>
      <c r="G336" s="11">
        <v>22969.31</v>
      </c>
      <c r="H336" s="12">
        <v>0.2252047831907604</v>
      </c>
      <c r="I336" s="10">
        <v>1</v>
      </c>
      <c r="J336" s="21">
        <v>30</v>
      </c>
      <c r="K336" s="21">
        <v>72.54659949622166</v>
      </c>
      <c r="L336" s="21">
        <v>100</v>
      </c>
      <c r="M336" s="21">
        <v>90.510155415039009</v>
      </c>
      <c r="N336" s="21">
        <f>J336*Supuestos!$B$7+K336*Supuestos!$B$8+L336*Supuestos!$B$9+M336*Supuestos!$B$10</f>
        <v>72.3660109318743</v>
      </c>
      <c r="O336" s="34" t="str">
        <f t="shared" si="5"/>
        <v>B</v>
      </c>
      <c r="P336" s="10" t="s">
        <v>447</v>
      </c>
      <c r="Q336" s="10" t="s">
        <v>441</v>
      </c>
    </row>
    <row r="337" spans="1:17">
      <c r="A337" s="10" t="s">
        <v>101</v>
      </c>
      <c r="B337" s="10" t="s">
        <v>60</v>
      </c>
      <c r="C337" s="10" t="s">
        <v>264</v>
      </c>
      <c r="D337" s="10" t="s">
        <v>149</v>
      </c>
      <c r="E337" s="10" t="s">
        <v>446</v>
      </c>
      <c r="F337" s="11">
        <v>6526.02</v>
      </c>
      <c r="G337" s="11">
        <v>17196.84</v>
      </c>
      <c r="H337" s="12">
        <v>0.37948968004989242</v>
      </c>
      <c r="I337" s="10">
        <v>1</v>
      </c>
      <c r="J337" s="21">
        <v>30</v>
      </c>
      <c r="K337" s="21">
        <v>70.144321553817093</v>
      </c>
      <c r="L337" s="21">
        <v>100</v>
      </c>
      <c r="M337" s="21">
        <v>93.560509294235828</v>
      </c>
      <c r="N337" s="21">
        <f>J337*Supuestos!$B$7+K337*Supuestos!$B$8+L337*Supuestos!$B$9+M337*Supuestos!$B$10</f>
        <v>72.255398324992285</v>
      </c>
      <c r="O337" s="34" t="str">
        <f t="shared" si="5"/>
        <v>B</v>
      </c>
      <c r="P337" s="10" t="s">
        <v>447</v>
      </c>
      <c r="Q337" s="10" t="s">
        <v>436</v>
      </c>
    </row>
    <row r="338" spans="1:17">
      <c r="A338" s="10" t="s">
        <v>111</v>
      </c>
      <c r="B338" s="10" t="s">
        <v>73</v>
      </c>
      <c r="C338" s="10" t="s">
        <v>418</v>
      </c>
      <c r="D338" s="10" t="s">
        <v>103</v>
      </c>
      <c r="E338" s="10" t="s">
        <v>462</v>
      </c>
      <c r="F338" s="11">
        <v>7197.72</v>
      </c>
      <c r="G338" s="11">
        <v>642203.68000000005</v>
      </c>
      <c r="H338" s="12">
        <v>1.1207847801546354E-2</v>
      </c>
      <c r="I338" s="10">
        <v>16</v>
      </c>
      <c r="J338" s="21">
        <v>100</v>
      </c>
      <c r="K338" s="21">
        <v>76.105378633184174</v>
      </c>
      <c r="L338" s="21">
        <v>25</v>
      </c>
      <c r="M338" s="21">
        <v>90.510155415039009</v>
      </c>
      <c r="N338" s="21">
        <f>J338*Supuestos!$B$7+K338*Supuestos!$B$8+L338*Supuestos!$B$9+M338*Supuestos!$B$10</f>
        <v>72.183644672963055</v>
      </c>
      <c r="O338" s="34" t="str">
        <f t="shared" si="5"/>
        <v>B</v>
      </c>
      <c r="P338" s="10" t="s">
        <v>447</v>
      </c>
      <c r="Q338" s="10" t="s">
        <v>441</v>
      </c>
    </row>
    <row r="339" spans="1:17">
      <c r="A339" s="10" t="s">
        <v>165</v>
      </c>
      <c r="B339" s="10" t="s">
        <v>60</v>
      </c>
      <c r="C339" s="10" t="s">
        <v>166</v>
      </c>
      <c r="D339" s="10" t="s">
        <v>103</v>
      </c>
      <c r="E339" s="10" t="s">
        <v>462</v>
      </c>
      <c r="F339" s="11">
        <v>6241.55</v>
      </c>
      <c r="G339" s="11">
        <v>929838.13</v>
      </c>
      <c r="H339" s="12">
        <v>6.7125105179720026E-3</v>
      </c>
      <c r="I339" s="10">
        <v>16</v>
      </c>
      <c r="J339" s="21">
        <v>100</v>
      </c>
      <c r="K339" s="21">
        <v>73.944437021944609</v>
      </c>
      <c r="L339" s="21">
        <v>25</v>
      </c>
      <c r="M339" s="21">
        <v>90.510155415039009</v>
      </c>
      <c r="N339" s="21">
        <f>J339*Supuestos!$B$7+K339*Supuestos!$B$8+L339*Supuestos!$B$9+M339*Supuestos!$B$10</f>
        <v>71.535362189591183</v>
      </c>
      <c r="O339" s="34" t="str">
        <f t="shared" si="5"/>
        <v>B</v>
      </c>
      <c r="P339" s="10" t="s">
        <v>447</v>
      </c>
      <c r="Q339" s="10" t="s">
        <v>441</v>
      </c>
    </row>
    <row r="340" spans="1:17">
      <c r="A340" s="10" t="s">
        <v>111</v>
      </c>
      <c r="B340" s="10" t="s">
        <v>69</v>
      </c>
      <c r="C340" s="10" t="s">
        <v>309</v>
      </c>
      <c r="D340" s="10" t="s">
        <v>103</v>
      </c>
      <c r="E340" s="10" t="s">
        <v>498</v>
      </c>
      <c r="F340" s="11">
        <v>41478.67</v>
      </c>
      <c r="G340" s="11">
        <v>712220.68</v>
      </c>
      <c r="H340" s="12">
        <v>5.8238510173497189E-2</v>
      </c>
      <c r="I340" s="10">
        <v>6</v>
      </c>
      <c r="J340" s="21">
        <v>100</v>
      </c>
      <c r="K340" s="21">
        <v>65.000000000000014</v>
      </c>
      <c r="L340" s="21">
        <v>55</v>
      </c>
      <c r="M340" s="21">
        <v>66.25</v>
      </c>
      <c r="N340" s="21">
        <f>J340*Supuestos!$B$7+K340*Supuestos!$B$8+L340*Supuestos!$B$9+M340*Supuestos!$B$10</f>
        <v>71.5</v>
      </c>
      <c r="O340" s="34" t="str">
        <f t="shared" si="5"/>
        <v>B</v>
      </c>
      <c r="P340" s="10" t="s">
        <v>447</v>
      </c>
      <c r="Q340" s="10" t="s">
        <v>441</v>
      </c>
    </row>
    <row r="341" spans="1:17">
      <c r="A341" s="10" t="s">
        <v>215</v>
      </c>
      <c r="B341" s="10" t="s">
        <v>60</v>
      </c>
      <c r="C341" s="10" t="s">
        <v>216</v>
      </c>
      <c r="D341" s="10" t="s">
        <v>103</v>
      </c>
      <c r="E341" s="10" t="s">
        <v>497</v>
      </c>
      <c r="F341" s="11">
        <v>35286.559999999998</v>
      </c>
      <c r="G341" s="11">
        <v>656576.77</v>
      </c>
      <c r="H341" s="12">
        <v>5.3743242712696856E-2</v>
      </c>
      <c r="I341" s="10">
        <v>6</v>
      </c>
      <c r="J341" s="21">
        <v>100</v>
      </c>
      <c r="K341" s="21">
        <v>65</v>
      </c>
      <c r="L341" s="21">
        <v>55</v>
      </c>
      <c r="M341" s="21">
        <v>66.25</v>
      </c>
      <c r="N341" s="21">
        <f>J341*Supuestos!$B$7+K341*Supuestos!$B$8+L341*Supuestos!$B$9+M341*Supuestos!$B$10</f>
        <v>71.5</v>
      </c>
      <c r="O341" s="34" t="str">
        <f t="shared" si="5"/>
        <v>B</v>
      </c>
      <c r="P341" s="10" t="s">
        <v>447</v>
      </c>
      <c r="Q341" s="10" t="s">
        <v>441</v>
      </c>
    </row>
    <row r="342" spans="1:17">
      <c r="A342" s="10" t="s">
        <v>215</v>
      </c>
      <c r="B342" s="10" t="s">
        <v>60</v>
      </c>
      <c r="C342" s="10" t="s">
        <v>216</v>
      </c>
      <c r="D342" s="10" t="s">
        <v>103</v>
      </c>
      <c r="E342" s="10" t="s">
        <v>498</v>
      </c>
      <c r="F342" s="11">
        <v>33662.82</v>
      </c>
      <c r="G342" s="11">
        <v>656576.77</v>
      </c>
      <c r="H342" s="12">
        <v>5.1270197779833007E-2</v>
      </c>
      <c r="I342" s="10">
        <v>7</v>
      </c>
      <c r="J342" s="21">
        <v>100</v>
      </c>
      <c r="K342" s="21">
        <v>65.000000000000014</v>
      </c>
      <c r="L342" s="21">
        <v>55</v>
      </c>
      <c r="M342" s="21">
        <v>66.25</v>
      </c>
      <c r="N342" s="21">
        <f>J342*Supuestos!$B$7+K342*Supuestos!$B$8+L342*Supuestos!$B$9+M342*Supuestos!$B$10</f>
        <v>71.5</v>
      </c>
      <c r="O342" s="34" t="str">
        <f t="shared" si="5"/>
        <v>B</v>
      </c>
      <c r="P342" s="10" t="s">
        <v>447</v>
      </c>
      <c r="Q342" s="10" t="s">
        <v>441</v>
      </c>
    </row>
    <row r="343" spans="1:17">
      <c r="A343" s="10" t="s">
        <v>215</v>
      </c>
      <c r="B343" s="10" t="s">
        <v>60</v>
      </c>
      <c r="C343" s="10" t="s">
        <v>410</v>
      </c>
      <c r="D343" s="10" t="s">
        <v>103</v>
      </c>
      <c r="E343" s="10" t="s">
        <v>497</v>
      </c>
      <c r="F343" s="11">
        <v>22500.720000000001</v>
      </c>
      <c r="G343" s="11">
        <v>273779.84999999998</v>
      </c>
      <c r="H343" s="12">
        <v>8.2185449232738045E-2</v>
      </c>
      <c r="I343" s="10">
        <v>4</v>
      </c>
      <c r="J343" s="21">
        <v>100</v>
      </c>
      <c r="K343" s="21">
        <v>65.000000000000014</v>
      </c>
      <c r="L343" s="21">
        <v>55</v>
      </c>
      <c r="M343" s="21">
        <v>66.25</v>
      </c>
      <c r="N343" s="21">
        <f>J343*Supuestos!$B$7+K343*Supuestos!$B$8+L343*Supuestos!$B$9+M343*Supuestos!$B$10</f>
        <v>71.5</v>
      </c>
      <c r="O343" s="34" t="str">
        <f t="shared" si="5"/>
        <v>B</v>
      </c>
      <c r="P343" s="10" t="s">
        <v>447</v>
      </c>
      <c r="Q343" s="10" t="s">
        <v>441</v>
      </c>
    </row>
    <row r="344" spans="1:17">
      <c r="A344" s="10" t="s">
        <v>101</v>
      </c>
      <c r="B344" s="10" t="s">
        <v>60</v>
      </c>
      <c r="C344" s="10" t="s">
        <v>306</v>
      </c>
      <c r="D344" s="10" t="s">
        <v>149</v>
      </c>
      <c r="E344" s="10" t="s">
        <v>193</v>
      </c>
      <c r="F344" s="11">
        <v>7048.54</v>
      </c>
      <c r="G344" s="11">
        <v>15953.57</v>
      </c>
      <c r="H344" s="12">
        <v>0.44181567045497611</v>
      </c>
      <c r="I344" s="10">
        <v>1</v>
      </c>
      <c r="J344" s="21">
        <v>30</v>
      </c>
      <c r="K344" s="21">
        <v>65</v>
      </c>
      <c r="L344" s="21">
        <v>100</v>
      </c>
      <c r="M344" s="21">
        <v>96.676367126980296</v>
      </c>
      <c r="N344" s="21">
        <f>J344*Supuestos!$B$7+K344*Supuestos!$B$8+L344*Supuestos!$B$9+M344*Supuestos!$B$10</f>
        <v>71.335273425396053</v>
      </c>
      <c r="O344" s="34" t="str">
        <f t="shared" si="5"/>
        <v>B</v>
      </c>
      <c r="P344" s="10" t="s">
        <v>447</v>
      </c>
      <c r="Q344" s="10" t="s">
        <v>441</v>
      </c>
    </row>
    <row r="345" spans="1:17">
      <c r="A345" s="10" t="s">
        <v>101</v>
      </c>
      <c r="B345" s="10" t="s">
        <v>60</v>
      </c>
      <c r="C345" s="10" t="s">
        <v>364</v>
      </c>
      <c r="D345" s="10" t="s">
        <v>149</v>
      </c>
      <c r="E345" s="10" t="s">
        <v>375</v>
      </c>
      <c r="F345" s="11">
        <v>533.70000000000005</v>
      </c>
      <c r="G345" s="11">
        <v>9858.02</v>
      </c>
      <c r="H345" s="12">
        <v>5.4138359459673817E-2</v>
      </c>
      <c r="I345" s="10">
        <v>4</v>
      </c>
      <c r="J345" s="21">
        <v>30</v>
      </c>
      <c r="K345" s="21">
        <v>100</v>
      </c>
      <c r="L345" s="21">
        <v>55</v>
      </c>
      <c r="M345" s="21">
        <v>100</v>
      </c>
      <c r="N345" s="21">
        <f>J345*Supuestos!$B$7+K345*Supuestos!$B$8+L345*Supuestos!$B$9+M345*Supuestos!$B$10</f>
        <v>71.25</v>
      </c>
      <c r="O345" s="34" t="str">
        <f t="shared" si="5"/>
        <v>B</v>
      </c>
      <c r="P345" s="10" t="s">
        <v>435</v>
      </c>
      <c r="Q345" s="10" t="s">
        <v>436</v>
      </c>
    </row>
    <row r="346" spans="1:17">
      <c r="A346" s="10" t="s">
        <v>165</v>
      </c>
      <c r="B346" s="10" t="s">
        <v>60</v>
      </c>
      <c r="C346" s="10" t="s">
        <v>166</v>
      </c>
      <c r="D346" s="10" t="s">
        <v>103</v>
      </c>
      <c r="E346" s="10" t="s">
        <v>151</v>
      </c>
      <c r="F346" s="11">
        <v>38426.83</v>
      </c>
      <c r="G346" s="11">
        <v>929838.13</v>
      </c>
      <c r="H346" s="12">
        <v>4.1326366151312764E-2</v>
      </c>
      <c r="I346" s="10">
        <v>7</v>
      </c>
      <c r="J346" s="21">
        <v>100</v>
      </c>
      <c r="K346" s="21">
        <v>70.588043814391057</v>
      </c>
      <c r="L346" s="21">
        <v>25</v>
      </c>
      <c r="M346" s="21">
        <v>93.580645922060057</v>
      </c>
      <c r="N346" s="21">
        <f>J346*Supuestos!$B$7+K346*Supuestos!$B$8+L346*Supuestos!$B$9+M346*Supuestos!$B$10</f>
        <v>71.14254232872932</v>
      </c>
      <c r="O346" s="34" t="str">
        <f t="shared" si="5"/>
        <v>B</v>
      </c>
      <c r="P346" s="10" t="s">
        <v>447</v>
      </c>
      <c r="Q346" s="10" t="s">
        <v>436</v>
      </c>
    </row>
    <row r="347" spans="1:17">
      <c r="A347" s="10" t="s">
        <v>119</v>
      </c>
      <c r="B347" s="10" t="s">
        <v>396</v>
      </c>
      <c r="C347" s="10" t="s">
        <v>397</v>
      </c>
      <c r="D347" s="10" t="s">
        <v>113</v>
      </c>
      <c r="E347" s="10" t="s">
        <v>462</v>
      </c>
      <c r="F347" s="11">
        <v>11650.4</v>
      </c>
      <c r="G347" s="11">
        <v>186817.82</v>
      </c>
      <c r="H347" s="12">
        <v>6.2362379777830698E-2</v>
      </c>
      <c r="I347" s="10">
        <v>3</v>
      </c>
      <c r="J347" s="21">
        <v>75</v>
      </c>
      <c r="K347" s="21">
        <v>46.878773454918942</v>
      </c>
      <c r="L347" s="21">
        <v>80</v>
      </c>
      <c r="M347" s="21">
        <v>90.510155415039009</v>
      </c>
      <c r="N347" s="21">
        <f>J347*Supuestos!$B$7+K347*Supuestos!$B$8+L347*Supuestos!$B$9+M347*Supuestos!$B$10</f>
        <v>70.915663119483483</v>
      </c>
      <c r="O347" s="34" t="str">
        <f t="shared" si="5"/>
        <v>B</v>
      </c>
      <c r="P347" s="10" t="s">
        <v>447</v>
      </c>
      <c r="Q347" s="10" t="s">
        <v>471</v>
      </c>
    </row>
    <row r="348" spans="1:17">
      <c r="A348" s="10" t="s">
        <v>119</v>
      </c>
      <c r="B348" s="10" t="s">
        <v>383</v>
      </c>
      <c r="C348" s="10" t="s">
        <v>384</v>
      </c>
      <c r="D348" s="10" t="s">
        <v>103</v>
      </c>
      <c r="E348" s="10" t="s">
        <v>466</v>
      </c>
      <c r="F348" s="11">
        <v>14666.25</v>
      </c>
      <c r="G348" s="11">
        <v>574829.68000000005</v>
      </c>
      <c r="H348" s="12">
        <v>2.5514082467897593E-2</v>
      </c>
      <c r="I348" s="10">
        <v>12</v>
      </c>
      <c r="J348" s="21">
        <v>100</v>
      </c>
      <c r="K348" s="21">
        <v>75</v>
      </c>
      <c r="L348" s="21">
        <v>25</v>
      </c>
      <c r="M348" s="21">
        <v>83.75</v>
      </c>
      <c r="N348" s="21">
        <f>J348*Supuestos!$B$7+K348*Supuestos!$B$8+L348*Supuestos!$B$9+M348*Supuestos!$B$10</f>
        <v>70.5</v>
      </c>
      <c r="O348" s="34" t="str">
        <f t="shared" si="5"/>
        <v>B</v>
      </c>
      <c r="P348" s="10" t="s">
        <v>447</v>
      </c>
      <c r="Q348" s="10" t="s">
        <v>436</v>
      </c>
    </row>
    <row r="349" spans="1:17">
      <c r="A349" s="10" t="s">
        <v>255</v>
      </c>
      <c r="B349" s="10" t="s">
        <v>60</v>
      </c>
      <c r="C349" s="10" t="s">
        <v>256</v>
      </c>
      <c r="D349" s="10" t="s">
        <v>103</v>
      </c>
      <c r="E349" s="10" t="s">
        <v>466</v>
      </c>
      <c r="F349" s="11">
        <v>7615.56</v>
      </c>
      <c r="G349" s="11">
        <v>351341.95</v>
      </c>
      <c r="H349" s="12">
        <v>2.1675630483362095E-2</v>
      </c>
      <c r="I349" s="10">
        <v>14</v>
      </c>
      <c r="J349" s="21">
        <v>100</v>
      </c>
      <c r="K349" s="21">
        <v>75.000000000000014</v>
      </c>
      <c r="L349" s="21">
        <v>25</v>
      </c>
      <c r="M349" s="21">
        <v>83.75</v>
      </c>
      <c r="N349" s="21">
        <f>J349*Supuestos!$B$7+K349*Supuestos!$B$8+L349*Supuestos!$B$9+M349*Supuestos!$B$10</f>
        <v>70.5</v>
      </c>
      <c r="O349" s="34" t="str">
        <f t="shared" si="5"/>
        <v>B</v>
      </c>
      <c r="P349" s="10" t="s">
        <v>447</v>
      </c>
      <c r="Q349" s="10" t="s">
        <v>436</v>
      </c>
    </row>
    <row r="350" spans="1:17">
      <c r="A350" s="10" t="s">
        <v>111</v>
      </c>
      <c r="B350" s="10" t="s">
        <v>60</v>
      </c>
      <c r="C350" s="10" t="s">
        <v>208</v>
      </c>
      <c r="D350" s="10" t="s">
        <v>103</v>
      </c>
      <c r="E350" s="10" t="s">
        <v>466</v>
      </c>
      <c r="F350" s="11">
        <v>5515.22</v>
      </c>
      <c r="G350" s="11">
        <v>201558.18</v>
      </c>
      <c r="H350" s="12">
        <v>2.7362916527426364E-2</v>
      </c>
      <c r="I350" s="10">
        <v>8</v>
      </c>
      <c r="J350" s="21">
        <v>100</v>
      </c>
      <c r="K350" s="21">
        <v>75</v>
      </c>
      <c r="L350" s="21">
        <v>25</v>
      </c>
      <c r="M350" s="21">
        <v>83.75</v>
      </c>
      <c r="N350" s="21">
        <f>J350*Supuestos!$B$7+K350*Supuestos!$B$8+L350*Supuestos!$B$9+M350*Supuestos!$B$10</f>
        <v>70.5</v>
      </c>
      <c r="O350" s="34" t="str">
        <f t="shared" si="5"/>
        <v>B</v>
      </c>
      <c r="P350" s="10" t="s">
        <v>447</v>
      </c>
      <c r="Q350" s="10" t="s">
        <v>436</v>
      </c>
    </row>
    <row r="351" spans="1:17">
      <c r="A351" s="10" t="s">
        <v>119</v>
      </c>
      <c r="B351" s="10" t="s">
        <v>360</v>
      </c>
      <c r="C351" s="10" t="s">
        <v>361</v>
      </c>
      <c r="D351" s="10" t="s">
        <v>103</v>
      </c>
      <c r="E351" s="10" t="s">
        <v>466</v>
      </c>
      <c r="F351" s="11">
        <v>3650.26</v>
      </c>
      <c r="G351" s="11">
        <v>360957.46</v>
      </c>
      <c r="H351" s="12">
        <v>1.0112715728536111E-2</v>
      </c>
      <c r="I351" s="10">
        <v>19</v>
      </c>
      <c r="J351" s="21">
        <v>100</v>
      </c>
      <c r="K351" s="21">
        <v>75</v>
      </c>
      <c r="L351" s="21">
        <v>25</v>
      </c>
      <c r="M351" s="21">
        <v>83.75</v>
      </c>
      <c r="N351" s="21">
        <f>J351*Supuestos!$B$7+K351*Supuestos!$B$8+L351*Supuestos!$B$9+M351*Supuestos!$B$10</f>
        <v>70.5</v>
      </c>
      <c r="O351" s="34" t="str">
        <f t="shared" si="5"/>
        <v>B</v>
      </c>
      <c r="P351" s="10" t="s">
        <v>447</v>
      </c>
      <c r="Q351" s="10" t="s">
        <v>436</v>
      </c>
    </row>
    <row r="352" spans="1:17">
      <c r="A352" s="10" t="s">
        <v>255</v>
      </c>
      <c r="B352" s="10" t="s">
        <v>60</v>
      </c>
      <c r="C352" s="10" t="s">
        <v>328</v>
      </c>
      <c r="D352" s="10" t="s">
        <v>103</v>
      </c>
      <c r="E352" s="10" t="s">
        <v>466</v>
      </c>
      <c r="F352" s="11">
        <v>1759.31</v>
      </c>
      <c r="G352" s="11">
        <v>132474.79999999999</v>
      </c>
      <c r="H352" s="12">
        <v>1.3280370168446468E-2</v>
      </c>
      <c r="I352" s="10">
        <v>12</v>
      </c>
      <c r="J352" s="21">
        <v>100</v>
      </c>
      <c r="K352" s="21">
        <v>75</v>
      </c>
      <c r="L352" s="21">
        <v>25</v>
      </c>
      <c r="M352" s="21">
        <v>83.75</v>
      </c>
      <c r="N352" s="21">
        <f>J352*Supuestos!$B$7+K352*Supuestos!$B$8+L352*Supuestos!$B$9+M352*Supuestos!$B$10</f>
        <v>70.5</v>
      </c>
      <c r="O352" s="34" t="str">
        <f t="shared" si="5"/>
        <v>B</v>
      </c>
      <c r="P352" s="10" t="s">
        <v>447</v>
      </c>
      <c r="Q352" s="10" t="s">
        <v>436</v>
      </c>
    </row>
    <row r="353" spans="1:17">
      <c r="A353" s="10" t="s">
        <v>255</v>
      </c>
      <c r="B353" s="10" t="s">
        <v>60</v>
      </c>
      <c r="C353" s="10" t="s">
        <v>392</v>
      </c>
      <c r="D353" s="10" t="s">
        <v>103</v>
      </c>
      <c r="E353" s="10" t="s">
        <v>466</v>
      </c>
      <c r="F353" s="11">
        <v>305.41000000000003</v>
      </c>
      <c r="G353" s="11">
        <v>180471.74</v>
      </c>
      <c r="H353" s="12">
        <v>1.6922659907049743E-3</v>
      </c>
      <c r="I353" s="10">
        <v>20</v>
      </c>
      <c r="J353" s="21">
        <v>100</v>
      </c>
      <c r="K353" s="21">
        <v>75</v>
      </c>
      <c r="L353" s="21">
        <v>25</v>
      </c>
      <c r="M353" s="21">
        <v>83.75</v>
      </c>
      <c r="N353" s="21">
        <f>J353*Supuestos!$B$7+K353*Supuestos!$B$8+L353*Supuestos!$B$9+M353*Supuestos!$B$10</f>
        <v>70.5</v>
      </c>
      <c r="O353" s="34" t="str">
        <f t="shared" si="5"/>
        <v>B</v>
      </c>
      <c r="P353" s="10" t="s">
        <v>447</v>
      </c>
      <c r="Q353" s="10" t="s">
        <v>436</v>
      </c>
    </row>
    <row r="354" spans="1:17">
      <c r="A354" s="10" t="s">
        <v>111</v>
      </c>
      <c r="B354" s="10" t="s">
        <v>69</v>
      </c>
      <c r="C354" s="10" t="s">
        <v>309</v>
      </c>
      <c r="D354" s="10" t="s">
        <v>103</v>
      </c>
      <c r="E354" s="10" t="s">
        <v>479</v>
      </c>
      <c r="F354" s="11">
        <v>20238.259999999998</v>
      </c>
      <c r="G354" s="11">
        <v>712220.68</v>
      </c>
      <c r="H354" s="12">
        <v>2.8415710617943183E-2</v>
      </c>
      <c r="I354" s="10">
        <v>14</v>
      </c>
      <c r="J354" s="21">
        <v>100</v>
      </c>
      <c r="K354" s="21">
        <v>90</v>
      </c>
      <c r="L354" s="21">
        <v>25</v>
      </c>
      <c r="M354" s="21">
        <v>59.999999999999986</v>
      </c>
      <c r="N354" s="21">
        <f>J354*Supuestos!$B$7+K354*Supuestos!$B$8+L354*Supuestos!$B$9+M354*Supuestos!$B$10</f>
        <v>70.25</v>
      </c>
      <c r="O354" s="34" t="str">
        <f t="shared" si="5"/>
        <v>B</v>
      </c>
      <c r="P354" s="10" t="s">
        <v>435</v>
      </c>
      <c r="Q354" s="10" t="s">
        <v>441</v>
      </c>
    </row>
    <row r="355" spans="1:17">
      <c r="A355" s="10" t="s">
        <v>215</v>
      </c>
      <c r="B355" s="10" t="s">
        <v>60</v>
      </c>
      <c r="C355" s="10" t="s">
        <v>332</v>
      </c>
      <c r="D355" s="10" t="s">
        <v>103</v>
      </c>
      <c r="E355" s="10" t="s">
        <v>479</v>
      </c>
      <c r="F355" s="11">
        <v>4985</v>
      </c>
      <c r="G355" s="11">
        <v>251755.6</v>
      </c>
      <c r="H355" s="12">
        <v>1.9800965180914485E-2</v>
      </c>
      <c r="I355" s="10">
        <v>9</v>
      </c>
      <c r="J355" s="21">
        <v>100</v>
      </c>
      <c r="K355" s="21">
        <v>89.999999999999986</v>
      </c>
      <c r="L355" s="21">
        <v>25</v>
      </c>
      <c r="M355" s="21">
        <v>59.999999999999986</v>
      </c>
      <c r="N355" s="21">
        <f>J355*Supuestos!$B$7+K355*Supuestos!$B$8+L355*Supuestos!$B$9+M355*Supuestos!$B$10</f>
        <v>70.25</v>
      </c>
      <c r="O355" s="34" t="str">
        <f t="shared" si="5"/>
        <v>B</v>
      </c>
      <c r="P355" s="10" t="s">
        <v>435</v>
      </c>
      <c r="Q355" s="10" t="s">
        <v>441</v>
      </c>
    </row>
    <row r="356" spans="1:17">
      <c r="A356" s="10" t="s">
        <v>255</v>
      </c>
      <c r="B356" s="10" t="s">
        <v>60</v>
      </c>
      <c r="C356" s="10" t="s">
        <v>256</v>
      </c>
      <c r="D356" s="10" t="s">
        <v>103</v>
      </c>
      <c r="E356" s="10" t="s">
        <v>479</v>
      </c>
      <c r="F356" s="11">
        <v>583.15</v>
      </c>
      <c r="G356" s="11">
        <v>351341.95</v>
      </c>
      <c r="H356" s="12">
        <v>1.659772475531874E-3</v>
      </c>
      <c r="I356" s="10">
        <v>27</v>
      </c>
      <c r="J356" s="21">
        <v>100</v>
      </c>
      <c r="K356" s="21">
        <v>90</v>
      </c>
      <c r="L356" s="21">
        <v>25</v>
      </c>
      <c r="M356" s="21">
        <v>59.999999999999986</v>
      </c>
      <c r="N356" s="21">
        <f>J356*Supuestos!$B$7+K356*Supuestos!$B$8+L356*Supuestos!$B$9+M356*Supuestos!$B$10</f>
        <v>70.25</v>
      </c>
      <c r="O356" s="34" t="str">
        <f t="shared" si="5"/>
        <v>B</v>
      </c>
      <c r="P356" s="10" t="s">
        <v>435</v>
      </c>
      <c r="Q356" s="10" t="s">
        <v>441</v>
      </c>
    </row>
    <row r="357" spans="1:17">
      <c r="A357" s="10" t="s">
        <v>101</v>
      </c>
      <c r="B357" s="10" t="s">
        <v>60</v>
      </c>
      <c r="C357" s="10" t="s">
        <v>354</v>
      </c>
      <c r="D357" s="10" t="s">
        <v>149</v>
      </c>
      <c r="E357" s="10" t="s">
        <v>457</v>
      </c>
      <c r="F357" s="11">
        <v>359.41</v>
      </c>
      <c r="G357" s="11">
        <v>1522.91</v>
      </c>
      <c r="H357" s="12">
        <v>0.23600273785078713</v>
      </c>
      <c r="I357" s="10">
        <v>1</v>
      </c>
      <c r="J357" s="21">
        <v>30</v>
      </c>
      <c r="K357" s="21">
        <v>65</v>
      </c>
      <c r="L357" s="21">
        <v>100</v>
      </c>
      <c r="M357" s="21">
        <v>91.25</v>
      </c>
      <c r="N357" s="21">
        <f>J357*Supuestos!$B$7+K357*Supuestos!$B$8+L357*Supuestos!$B$9+M357*Supuestos!$B$10</f>
        <v>70.25</v>
      </c>
      <c r="O357" s="34" t="str">
        <f t="shared" si="5"/>
        <v>B</v>
      </c>
      <c r="P357" s="10" t="s">
        <v>447</v>
      </c>
      <c r="Q357" s="10" t="s">
        <v>441</v>
      </c>
    </row>
    <row r="358" spans="1:17">
      <c r="A358" s="10" t="s">
        <v>215</v>
      </c>
      <c r="B358" s="10" t="s">
        <v>60</v>
      </c>
      <c r="C358" s="10" t="s">
        <v>216</v>
      </c>
      <c r="D358" s="10" t="s">
        <v>103</v>
      </c>
      <c r="E358" s="10" t="s">
        <v>479</v>
      </c>
      <c r="F358" s="11">
        <v>17127.71</v>
      </c>
      <c r="G358" s="11">
        <v>656576.77</v>
      </c>
      <c r="H358" s="12">
        <v>2.6086376040790438E-2</v>
      </c>
      <c r="I358" s="10">
        <v>11</v>
      </c>
      <c r="J358" s="21">
        <v>100</v>
      </c>
      <c r="K358" s="21">
        <v>89.999999999999957</v>
      </c>
      <c r="L358" s="21">
        <v>25</v>
      </c>
      <c r="M358" s="21">
        <v>59.999999999999986</v>
      </c>
      <c r="N358" s="21">
        <f>J358*Supuestos!$B$7+K358*Supuestos!$B$8+L358*Supuestos!$B$9+M358*Supuestos!$B$10</f>
        <v>70.249999999999986</v>
      </c>
      <c r="O358" s="34" t="str">
        <f t="shared" si="5"/>
        <v>B</v>
      </c>
      <c r="P358" s="10" t="s">
        <v>435</v>
      </c>
      <c r="Q358" s="10" t="s">
        <v>441</v>
      </c>
    </row>
    <row r="359" spans="1:17">
      <c r="A359" s="10" t="s">
        <v>111</v>
      </c>
      <c r="B359" s="10" t="s">
        <v>60</v>
      </c>
      <c r="C359" s="10" t="s">
        <v>367</v>
      </c>
      <c r="D359" s="10" t="s">
        <v>149</v>
      </c>
      <c r="E359" s="10" t="s">
        <v>462</v>
      </c>
      <c r="F359" s="11">
        <v>1984.81</v>
      </c>
      <c r="G359" s="11">
        <v>6313.99</v>
      </c>
      <c r="H359" s="12">
        <v>0.31435075325951056</v>
      </c>
      <c r="I359" s="10">
        <v>1</v>
      </c>
      <c r="J359" s="21">
        <v>30</v>
      </c>
      <c r="K359" s="21">
        <v>65</v>
      </c>
      <c r="L359" s="21">
        <v>100</v>
      </c>
      <c r="M359" s="21">
        <v>90.510155415039009</v>
      </c>
      <c r="N359" s="21">
        <f>J359*Supuestos!$B$7+K359*Supuestos!$B$8+L359*Supuestos!$B$9+M359*Supuestos!$B$10</f>
        <v>70.102031083007802</v>
      </c>
      <c r="O359" s="34" t="str">
        <f t="shared" si="5"/>
        <v>B</v>
      </c>
      <c r="P359" s="10" t="s">
        <v>447</v>
      </c>
      <c r="Q359" s="10" t="s">
        <v>441</v>
      </c>
    </row>
    <row r="360" spans="1:17">
      <c r="A360" s="10" t="s">
        <v>101</v>
      </c>
      <c r="B360" s="10" t="s">
        <v>60</v>
      </c>
      <c r="C360" s="10" t="s">
        <v>295</v>
      </c>
      <c r="D360" s="10" t="s">
        <v>149</v>
      </c>
      <c r="E360" s="10" t="s">
        <v>462</v>
      </c>
      <c r="F360" s="11">
        <v>615.41999999999996</v>
      </c>
      <c r="G360" s="11">
        <v>3541.37</v>
      </c>
      <c r="H360" s="12">
        <v>0.17377994937304994</v>
      </c>
      <c r="I360" s="10">
        <v>1</v>
      </c>
      <c r="J360" s="21">
        <v>30</v>
      </c>
      <c r="K360" s="21">
        <v>65</v>
      </c>
      <c r="L360" s="21">
        <v>100</v>
      </c>
      <c r="M360" s="21">
        <v>90.510155415039009</v>
      </c>
      <c r="N360" s="21">
        <f>J360*Supuestos!$B$7+K360*Supuestos!$B$8+L360*Supuestos!$B$9+M360*Supuestos!$B$10</f>
        <v>70.102031083007802</v>
      </c>
      <c r="O360" s="34" t="str">
        <f t="shared" si="5"/>
        <v>B</v>
      </c>
      <c r="P360" s="10" t="s">
        <v>447</v>
      </c>
      <c r="Q360" s="10" t="s">
        <v>441</v>
      </c>
    </row>
    <row r="361" spans="1:17">
      <c r="A361" s="10" t="s">
        <v>119</v>
      </c>
      <c r="B361" s="10" t="s">
        <v>186</v>
      </c>
      <c r="C361" s="10" t="s">
        <v>187</v>
      </c>
      <c r="D361" s="10" t="s">
        <v>103</v>
      </c>
      <c r="E361" s="10" t="s">
        <v>193</v>
      </c>
      <c r="F361" s="11">
        <v>3848.46</v>
      </c>
      <c r="G361" s="11">
        <v>159511.35999999999</v>
      </c>
      <c r="H361" s="12">
        <v>2.412654490429009E-2</v>
      </c>
      <c r="I361" s="10">
        <v>9</v>
      </c>
      <c r="J361" s="21">
        <v>100</v>
      </c>
      <c r="K361" s="21">
        <v>65</v>
      </c>
      <c r="L361" s="21">
        <v>25</v>
      </c>
      <c r="M361" s="21">
        <v>96.676367126980296</v>
      </c>
      <c r="N361" s="21">
        <f>J361*Supuestos!$B$7+K361*Supuestos!$B$8+L361*Supuestos!$B$9+M361*Supuestos!$B$10</f>
        <v>70.085273425396053</v>
      </c>
      <c r="O361" s="34" t="str">
        <f t="shared" si="5"/>
        <v>B</v>
      </c>
      <c r="P361" s="10" t="s">
        <v>447</v>
      </c>
      <c r="Q361" s="10" t="s">
        <v>441</v>
      </c>
    </row>
    <row r="362" spans="1:17">
      <c r="A362" s="10" t="s">
        <v>101</v>
      </c>
      <c r="B362" s="10" t="s">
        <v>60</v>
      </c>
      <c r="C362" s="10" t="s">
        <v>320</v>
      </c>
      <c r="D362" s="10" t="s">
        <v>127</v>
      </c>
      <c r="E362" s="10" t="s">
        <v>181</v>
      </c>
      <c r="F362" s="11">
        <v>279.62</v>
      </c>
      <c r="G362" s="11">
        <v>19670.240000000002</v>
      </c>
      <c r="H362" s="12">
        <v>1.421526943389401E-2</v>
      </c>
      <c r="I362" s="10">
        <v>15</v>
      </c>
      <c r="J362" s="21">
        <v>85</v>
      </c>
      <c r="K362" s="21">
        <v>90</v>
      </c>
      <c r="L362" s="21">
        <v>25</v>
      </c>
      <c r="M362" s="21">
        <v>77.5</v>
      </c>
      <c r="N362" s="21">
        <f>J362*Supuestos!$B$7+K362*Supuestos!$B$8+L362*Supuestos!$B$9+M362*Supuestos!$B$10</f>
        <v>70</v>
      </c>
      <c r="O362" s="34" t="str">
        <f t="shared" si="5"/>
        <v>B</v>
      </c>
      <c r="P362" s="10" t="s">
        <v>435</v>
      </c>
      <c r="Q362" s="10" t="s">
        <v>441</v>
      </c>
    </row>
    <row r="363" spans="1:17">
      <c r="A363" s="10" t="s">
        <v>101</v>
      </c>
      <c r="B363" s="10" t="s">
        <v>60</v>
      </c>
      <c r="C363" s="10" t="s">
        <v>289</v>
      </c>
      <c r="D363" s="10" t="s">
        <v>149</v>
      </c>
      <c r="E363" s="10" t="s">
        <v>225</v>
      </c>
      <c r="F363" s="11">
        <v>3381.94</v>
      </c>
      <c r="G363" s="11">
        <v>22969.31</v>
      </c>
      <c r="H363" s="12">
        <v>0.14723741235733248</v>
      </c>
      <c r="I363" s="10">
        <v>4</v>
      </c>
      <c r="J363" s="21">
        <v>30</v>
      </c>
      <c r="K363" s="21">
        <v>90</v>
      </c>
      <c r="L363" s="21">
        <v>80</v>
      </c>
      <c r="M363" s="21">
        <v>77.164146540957958</v>
      </c>
      <c r="N363" s="21">
        <f>J363*Supuestos!$B$7+K363*Supuestos!$B$8+L363*Supuestos!$B$9+M363*Supuestos!$B$10</f>
        <v>69.9328293081916</v>
      </c>
      <c r="O363" s="34" t="str">
        <f t="shared" si="5"/>
        <v>B</v>
      </c>
      <c r="P363" s="10" t="s">
        <v>435</v>
      </c>
      <c r="Q363" s="10" t="s">
        <v>441</v>
      </c>
    </row>
    <row r="364" spans="1:17">
      <c r="A364" s="10" t="s">
        <v>101</v>
      </c>
      <c r="B364" s="10" t="s">
        <v>60</v>
      </c>
      <c r="C364" s="10" t="s">
        <v>320</v>
      </c>
      <c r="D364" s="10" t="s">
        <v>127</v>
      </c>
      <c r="E364" s="10" t="s">
        <v>225</v>
      </c>
      <c r="F364" s="11">
        <v>454.89</v>
      </c>
      <c r="G364" s="11">
        <v>19670.240000000002</v>
      </c>
      <c r="H364" s="12">
        <v>2.3125977934580984E-2</v>
      </c>
      <c r="I364" s="10">
        <v>10</v>
      </c>
      <c r="J364" s="21">
        <v>85</v>
      </c>
      <c r="K364" s="21">
        <v>90</v>
      </c>
      <c r="L364" s="21">
        <v>25</v>
      </c>
      <c r="M364" s="21">
        <v>77.164146540957958</v>
      </c>
      <c r="N364" s="21">
        <f>J364*Supuestos!$B$7+K364*Supuestos!$B$8+L364*Supuestos!$B$9+M364*Supuestos!$B$10</f>
        <v>69.9328293081916</v>
      </c>
      <c r="O364" s="34" t="str">
        <f t="shared" si="5"/>
        <v>B</v>
      </c>
      <c r="P364" s="10" t="s">
        <v>435</v>
      </c>
      <c r="Q364" s="10" t="s">
        <v>441</v>
      </c>
    </row>
    <row r="365" spans="1:17">
      <c r="A365" s="10" t="s">
        <v>101</v>
      </c>
      <c r="B365" s="10" t="s">
        <v>60</v>
      </c>
      <c r="C365" s="10" t="s">
        <v>295</v>
      </c>
      <c r="D365" s="10" t="s">
        <v>149</v>
      </c>
      <c r="E365" s="10" t="s">
        <v>225</v>
      </c>
      <c r="F365" s="11">
        <v>435.3</v>
      </c>
      <c r="G365" s="11">
        <v>3541.37</v>
      </c>
      <c r="H365" s="12">
        <v>0.12291752516630364</v>
      </c>
      <c r="I365" s="10">
        <v>4</v>
      </c>
      <c r="J365" s="21">
        <v>30</v>
      </c>
      <c r="K365" s="21">
        <v>90</v>
      </c>
      <c r="L365" s="21">
        <v>80</v>
      </c>
      <c r="M365" s="21">
        <v>77.164146540957958</v>
      </c>
      <c r="N365" s="21">
        <f>J365*Supuestos!$B$7+K365*Supuestos!$B$8+L365*Supuestos!$B$9+M365*Supuestos!$B$10</f>
        <v>69.9328293081916</v>
      </c>
      <c r="O365" s="34" t="str">
        <f t="shared" si="5"/>
        <v>B</v>
      </c>
      <c r="P365" s="10" t="s">
        <v>435</v>
      </c>
      <c r="Q365" s="10" t="s">
        <v>441</v>
      </c>
    </row>
    <row r="366" spans="1:17">
      <c r="A366" s="10" t="s">
        <v>101</v>
      </c>
      <c r="B366" s="10" t="s">
        <v>60</v>
      </c>
      <c r="C366" s="10" t="s">
        <v>204</v>
      </c>
      <c r="D366" s="10" t="s">
        <v>127</v>
      </c>
      <c r="E366" s="10" t="s">
        <v>225</v>
      </c>
      <c r="F366" s="11">
        <v>185.02</v>
      </c>
      <c r="G366" s="11">
        <v>23377.47</v>
      </c>
      <c r="H366" s="12">
        <v>7.9145422510249371E-3</v>
      </c>
      <c r="I366" s="10">
        <v>15</v>
      </c>
      <c r="J366" s="21">
        <v>85</v>
      </c>
      <c r="K366" s="21">
        <v>90</v>
      </c>
      <c r="L366" s="21">
        <v>25</v>
      </c>
      <c r="M366" s="21">
        <v>77.164146540957958</v>
      </c>
      <c r="N366" s="21">
        <f>J366*Supuestos!$B$7+K366*Supuestos!$B$8+L366*Supuestos!$B$9+M366*Supuestos!$B$10</f>
        <v>69.9328293081916</v>
      </c>
      <c r="O366" s="34" t="str">
        <f t="shared" si="5"/>
        <v>B</v>
      </c>
      <c r="P366" s="10" t="s">
        <v>435</v>
      </c>
      <c r="Q366" s="10" t="s">
        <v>441</v>
      </c>
    </row>
    <row r="367" spans="1:17">
      <c r="A367" s="10" t="s">
        <v>165</v>
      </c>
      <c r="B367" s="10" t="s">
        <v>60</v>
      </c>
      <c r="C367" s="10" t="s">
        <v>166</v>
      </c>
      <c r="D367" s="10" t="s">
        <v>103</v>
      </c>
      <c r="E367" s="10" t="s">
        <v>482</v>
      </c>
      <c r="F367" s="11">
        <v>3288.15</v>
      </c>
      <c r="G367" s="11">
        <v>929838.13</v>
      </c>
      <c r="H367" s="12">
        <v>3.5362592360511586E-3</v>
      </c>
      <c r="I367" s="10">
        <v>20</v>
      </c>
      <c r="J367" s="21">
        <v>100</v>
      </c>
      <c r="K367" s="21">
        <v>66.462591180134865</v>
      </c>
      <c r="L367" s="21">
        <v>25</v>
      </c>
      <c r="M367" s="21">
        <v>93.52249900213674</v>
      </c>
      <c r="N367" s="21">
        <f>J367*Supuestos!$B$7+K367*Supuestos!$B$8+L367*Supuestos!$B$9+M367*Supuestos!$B$10</f>
        <v>69.893277154467796</v>
      </c>
      <c r="O367" s="34" t="str">
        <f t="shared" si="5"/>
        <v>B</v>
      </c>
      <c r="P367" s="10" t="s">
        <v>447</v>
      </c>
      <c r="Q367" s="10" t="s">
        <v>441</v>
      </c>
    </row>
    <row r="368" spans="1:17">
      <c r="A368" s="10" t="s">
        <v>101</v>
      </c>
      <c r="B368" s="10" t="s">
        <v>60</v>
      </c>
      <c r="C368" s="10" t="s">
        <v>320</v>
      </c>
      <c r="D368" s="10" t="s">
        <v>127</v>
      </c>
      <c r="E368" s="10" t="s">
        <v>115</v>
      </c>
      <c r="F368" s="11">
        <v>820.4</v>
      </c>
      <c r="G368" s="11">
        <v>19670.240000000002</v>
      </c>
      <c r="H368" s="12">
        <v>4.1707838985820256E-2</v>
      </c>
      <c r="I368" s="10">
        <v>7</v>
      </c>
      <c r="J368" s="21">
        <v>85</v>
      </c>
      <c r="K368" s="21">
        <v>90.000000000000014</v>
      </c>
      <c r="L368" s="21">
        <v>25</v>
      </c>
      <c r="M368" s="21">
        <v>76.399848561858846</v>
      </c>
      <c r="N368" s="21">
        <f>J368*Supuestos!$B$7+K368*Supuestos!$B$8+L368*Supuestos!$B$9+M368*Supuestos!$B$10</f>
        <v>69.779969712371766</v>
      </c>
      <c r="O368" s="34" t="str">
        <f t="shared" si="5"/>
        <v>B</v>
      </c>
      <c r="P368" s="10" t="s">
        <v>435</v>
      </c>
      <c r="Q368" s="10" t="s">
        <v>441</v>
      </c>
    </row>
    <row r="369" spans="1:17">
      <c r="A369" s="10" t="s">
        <v>101</v>
      </c>
      <c r="B369" s="10" t="s">
        <v>60</v>
      </c>
      <c r="C369" s="10" t="s">
        <v>204</v>
      </c>
      <c r="D369" s="10" t="s">
        <v>127</v>
      </c>
      <c r="E369" s="10" t="s">
        <v>115</v>
      </c>
      <c r="F369" s="11">
        <v>350.5</v>
      </c>
      <c r="G369" s="11">
        <v>23377.47</v>
      </c>
      <c r="H369" s="12">
        <v>1.4993041306519066E-2</v>
      </c>
      <c r="I369" s="10">
        <v>13</v>
      </c>
      <c r="J369" s="21">
        <v>85</v>
      </c>
      <c r="K369" s="21">
        <v>90</v>
      </c>
      <c r="L369" s="21">
        <v>25</v>
      </c>
      <c r="M369" s="21">
        <v>76.399848561858846</v>
      </c>
      <c r="N369" s="21">
        <f>J369*Supuestos!$B$7+K369*Supuestos!$B$8+L369*Supuestos!$B$9+M369*Supuestos!$B$10</f>
        <v>69.779969712371766</v>
      </c>
      <c r="O369" s="34" t="str">
        <f t="shared" si="5"/>
        <v>B</v>
      </c>
      <c r="P369" s="10" t="s">
        <v>435</v>
      </c>
      <c r="Q369" s="10" t="s">
        <v>441</v>
      </c>
    </row>
    <row r="370" spans="1:17">
      <c r="A370" s="10" t="s">
        <v>101</v>
      </c>
      <c r="B370" s="10" t="s">
        <v>60</v>
      </c>
      <c r="C370" s="10" t="s">
        <v>204</v>
      </c>
      <c r="D370" s="10" t="s">
        <v>127</v>
      </c>
      <c r="E370" s="10" t="s">
        <v>458</v>
      </c>
      <c r="F370" s="11">
        <v>1595.52</v>
      </c>
      <c r="G370" s="11">
        <v>23377.47</v>
      </c>
      <c r="H370" s="12">
        <v>6.8250107586091957E-2</v>
      </c>
      <c r="I370" s="10">
        <v>4</v>
      </c>
      <c r="J370" s="21">
        <v>85</v>
      </c>
      <c r="K370" s="21">
        <v>75.000000000000014</v>
      </c>
      <c r="L370" s="21">
        <v>55</v>
      </c>
      <c r="M370" s="21">
        <v>61.25</v>
      </c>
      <c r="N370" s="21">
        <f>J370*Supuestos!$B$7+K370*Supuestos!$B$8+L370*Supuestos!$B$9+M370*Supuestos!$B$10</f>
        <v>69.75</v>
      </c>
      <c r="O370" s="34" t="str">
        <f t="shared" si="5"/>
        <v>B</v>
      </c>
      <c r="P370" s="10" t="s">
        <v>447</v>
      </c>
      <c r="Q370" s="10" t="s">
        <v>436</v>
      </c>
    </row>
    <row r="371" spans="1:17">
      <c r="A371" s="10" t="s">
        <v>111</v>
      </c>
      <c r="B371" s="10" t="s">
        <v>69</v>
      </c>
      <c r="C371" s="10" t="s">
        <v>309</v>
      </c>
      <c r="D371" s="10" t="s">
        <v>103</v>
      </c>
      <c r="E371" s="10" t="s">
        <v>478</v>
      </c>
      <c r="F371" s="11">
        <v>2430.71</v>
      </c>
      <c r="G371" s="11">
        <v>712220.68</v>
      </c>
      <c r="H371" s="12">
        <v>3.4128604142952853E-3</v>
      </c>
      <c r="I371" s="10">
        <v>23</v>
      </c>
      <c r="J371" s="21">
        <v>100</v>
      </c>
      <c r="K371" s="21">
        <v>90</v>
      </c>
      <c r="L371" s="21">
        <v>25</v>
      </c>
      <c r="M371" s="21">
        <v>56.98968202745877</v>
      </c>
      <c r="N371" s="21">
        <f>J371*Supuestos!$B$7+K371*Supuestos!$B$8+L371*Supuestos!$B$9+M371*Supuestos!$B$10</f>
        <v>69.647936405491748</v>
      </c>
      <c r="O371" s="34" t="str">
        <f t="shared" si="5"/>
        <v>B</v>
      </c>
      <c r="P371" s="10" t="s">
        <v>435</v>
      </c>
      <c r="Q371" s="10" t="s">
        <v>441</v>
      </c>
    </row>
    <row r="372" spans="1:17">
      <c r="A372" s="10" t="s">
        <v>111</v>
      </c>
      <c r="B372" s="10" t="s">
        <v>402</v>
      </c>
      <c r="C372" s="10" t="s">
        <v>403</v>
      </c>
      <c r="D372" s="10" t="s">
        <v>103</v>
      </c>
      <c r="E372" s="10" t="s">
        <v>491</v>
      </c>
      <c r="F372" s="11">
        <v>40967.83</v>
      </c>
      <c r="G372" s="11">
        <v>121345.92</v>
      </c>
      <c r="H372" s="12">
        <v>0.33761196378675029</v>
      </c>
      <c r="I372" s="10">
        <v>1</v>
      </c>
      <c r="J372" s="21">
        <v>100</v>
      </c>
      <c r="K372" s="21">
        <v>29.999999999999996</v>
      </c>
      <c r="L372" s="21">
        <v>100</v>
      </c>
      <c r="M372" s="21">
        <v>52.5</v>
      </c>
      <c r="N372" s="21">
        <f>J372*Supuestos!$B$7+K372*Supuestos!$B$8+L372*Supuestos!$B$9+M372*Supuestos!$B$10</f>
        <v>69.5</v>
      </c>
      <c r="O372" s="34" t="str">
        <f t="shared" si="5"/>
        <v>B</v>
      </c>
      <c r="P372" s="10" t="s">
        <v>447</v>
      </c>
      <c r="Q372" s="10" t="s">
        <v>471</v>
      </c>
    </row>
    <row r="373" spans="1:17">
      <c r="A373" s="10" t="s">
        <v>255</v>
      </c>
      <c r="B373" s="10" t="s">
        <v>60</v>
      </c>
      <c r="C373" s="10" t="s">
        <v>256</v>
      </c>
      <c r="D373" s="10" t="s">
        <v>103</v>
      </c>
      <c r="E373" s="10" t="s">
        <v>482</v>
      </c>
      <c r="F373" s="11">
        <v>10929.95</v>
      </c>
      <c r="G373" s="11">
        <v>351341.95</v>
      </c>
      <c r="H373" s="12">
        <v>3.1109163215781874E-2</v>
      </c>
      <c r="I373" s="10">
        <v>10</v>
      </c>
      <c r="J373" s="21">
        <v>100</v>
      </c>
      <c r="K373" s="21">
        <v>65</v>
      </c>
      <c r="L373" s="21">
        <v>25</v>
      </c>
      <c r="M373" s="21">
        <v>93.52249900213674</v>
      </c>
      <c r="N373" s="21">
        <f>J373*Supuestos!$B$7+K373*Supuestos!$B$8+L373*Supuestos!$B$9+M373*Supuestos!$B$10</f>
        <v>69.454499800427357</v>
      </c>
      <c r="O373" s="34" t="str">
        <f t="shared" si="5"/>
        <v>B</v>
      </c>
      <c r="P373" s="10" t="s">
        <v>447</v>
      </c>
      <c r="Q373" s="10" t="s">
        <v>441</v>
      </c>
    </row>
    <row r="374" spans="1:17">
      <c r="A374" s="10" t="s">
        <v>255</v>
      </c>
      <c r="B374" s="10" t="s">
        <v>60</v>
      </c>
      <c r="C374" s="10" t="s">
        <v>328</v>
      </c>
      <c r="D374" s="10" t="s">
        <v>103</v>
      </c>
      <c r="E374" s="10" t="s">
        <v>482</v>
      </c>
      <c r="F374" s="11">
        <v>888.94</v>
      </c>
      <c r="G374" s="11">
        <v>132474.79999999999</v>
      </c>
      <c r="H374" s="12">
        <v>6.7102540479865068E-3</v>
      </c>
      <c r="I374" s="10">
        <v>16</v>
      </c>
      <c r="J374" s="21">
        <v>100</v>
      </c>
      <c r="K374" s="21">
        <v>65</v>
      </c>
      <c r="L374" s="21">
        <v>25</v>
      </c>
      <c r="M374" s="21">
        <v>93.52249900213674</v>
      </c>
      <c r="N374" s="21">
        <f>J374*Supuestos!$B$7+K374*Supuestos!$B$8+L374*Supuestos!$B$9+M374*Supuestos!$B$10</f>
        <v>69.454499800427357</v>
      </c>
      <c r="O374" s="34" t="str">
        <f t="shared" si="5"/>
        <v>B</v>
      </c>
      <c r="P374" s="10" t="s">
        <v>447</v>
      </c>
      <c r="Q374" s="10" t="s">
        <v>441</v>
      </c>
    </row>
    <row r="375" spans="1:17">
      <c r="A375" s="10" t="s">
        <v>165</v>
      </c>
      <c r="B375" s="10" t="s">
        <v>60</v>
      </c>
      <c r="C375" s="10" t="s">
        <v>247</v>
      </c>
      <c r="D375" s="10" t="s">
        <v>103</v>
      </c>
      <c r="E375" s="10" t="s">
        <v>482</v>
      </c>
      <c r="F375" s="11">
        <v>231.82</v>
      </c>
      <c r="G375" s="11">
        <v>125931.16</v>
      </c>
      <c r="H375" s="12">
        <v>1.8408849116111757E-3</v>
      </c>
      <c r="I375" s="10">
        <v>10</v>
      </c>
      <c r="J375" s="21">
        <v>100</v>
      </c>
      <c r="K375" s="21">
        <v>65</v>
      </c>
      <c r="L375" s="21">
        <v>25</v>
      </c>
      <c r="M375" s="21">
        <v>93.52249900213674</v>
      </c>
      <c r="N375" s="21">
        <f>J375*Supuestos!$B$7+K375*Supuestos!$B$8+L375*Supuestos!$B$9+M375*Supuestos!$B$10</f>
        <v>69.454499800427357</v>
      </c>
      <c r="O375" s="34" t="str">
        <f t="shared" si="5"/>
        <v>B</v>
      </c>
      <c r="P375" s="10" t="s">
        <v>447</v>
      </c>
      <c r="Q375" s="10" t="s">
        <v>441</v>
      </c>
    </row>
    <row r="376" spans="1:17">
      <c r="A376" s="10" t="s">
        <v>165</v>
      </c>
      <c r="B376" s="10" t="s">
        <v>60</v>
      </c>
      <c r="C376" s="10" t="s">
        <v>166</v>
      </c>
      <c r="D376" s="10" t="s">
        <v>103</v>
      </c>
      <c r="E376" s="10" t="s">
        <v>469</v>
      </c>
      <c r="F376" s="11">
        <v>33634</v>
      </c>
      <c r="G376" s="11">
        <v>929838.13</v>
      </c>
      <c r="H376" s="12">
        <v>3.6171892467632603E-2</v>
      </c>
      <c r="I376" s="10">
        <v>8</v>
      </c>
      <c r="J376" s="21">
        <v>100</v>
      </c>
      <c r="K376" s="21">
        <v>64.999999999999986</v>
      </c>
      <c r="L376" s="21">
        <v>25</v>
      </c>
      <c r="M376" s="21">
        <v>93.504836461954255</v>
      </c>
      <c r="N376" s="21">
        <f>J376*Supuestos!$B$7+K376*Supuestos!$B$8+L376*Supuestos!$B$9+M376*Supuestos!$B$10</f>
        <v>69.450967292390857</v>
      </c>
      <c r="O376" s="34" t="str">
        <f t="shared" si="5"/>
        <v>B</v>
      </c>
      <c r="P376" s="10" t="s">
        <v>447</v>
      </c>
      <c r="Q376" s="10" t="s">
        <v>441</v>
      </c>
    </row>
    <row r="377" spans="1:17">
      <c r="A377" s="10" t="s">
        <v>275</v>
      </c>
      <c r="B377" s="10" t="s">
        <v>71</v>
      </c>
      <c r="C377" s="10" t="s">
        <v>316</v>
      </c>
      <c r="D377" s="10" t="s">
        <v>103</v>
      </c>
      <c r="E377" s="10" t="s">
        <v>469</v>
      </c>
      <c r="F377" s="11">
        <v>17032.45</v>
      </c>
      <c r="G377" s="11">
        <v>1083764</v>
      </c>
      <c r="H377" s="12">
        <v>1.5716012877820991E-2</v>
      </c>
      <c r="I377" s="10">
        <v>13</v>
      </c>
      <c r="J377" s="21">
        <v>100</v>
      </c>
      <c r="K377" s="21">
        <v>65</v>
      </c>
      <c r="L377" s="21">
        <v>25</v>
      </c>
      <c r="M377" s="21">
        <v>93.504836461954255</v>
      </c>
      <c r="N377" s="21">
        <f>J377*Supuestos!$B$7+K377*Supuestos!$B$8+L377*Supuestos!$B$9+M377*Supuestos!$B$10</f>
        <v>69.450967292390857</v>
      </c>
      <c r="O377" s="34" t="str">
        <f t="shared" si="5"/>
        <v>B</v>
      </c>
      <c r="P377" s="10" t="s">
        <v>447</v>
      </c>
      <c r="Q377" s="10" t="s">
        <v>441</v>
      </c>
    </row>
    <row r="378" spans="1:17">
      <c r="A378" s="10" t="s">
        <v>111</v>
      </c>
      <c r="B378" s="10" t="s">
        <v>73</v>
      </c>
      <c r="C378" s="10" t="s">
        <v>418</v>
      </c>
      <c r="D378" s="10" t="s">
        <v>103</v>
      </c>
      <c r="E378" s="10" t="s">
        <v>469</v>
      </c>
      <c r="F378" s="11">
        <v>16285.06</v>
      </c>
      <c r="G378" s="11">
        <v>642203.68000000005</v>
      </c>
      <c r="H378" s="12">
        <v>2.5358098536380169E-2</v>
      </c>
      <c r="I378" s="10">
        <v>10</v>
      </c>
      <c r="J378" s="21">
        <v>100</v>
      </c>
      <c r="K378" s="21">
        <v>65</v>
      </c>
      <c r="L378" s="21">
        <v>25</v>
      </c>
      <c r="M378" s="21">
        <v>93.504836461954255</v>
      </c>
      <c r="N378" s="21">
        <f>J378*Supuestos!$B$7+K378*Supuestos!$B$8+L378*Supuestos!$B$9+M378*Supuestos!$B$10</f>
        <v>69.450967292390857</v>
      </c>
      <c r="O378" s="34" t="str">
        <f t="shared" si="5"/>
        <v>B</v>
      </c>
      <c r="P378" s="10" t="s">
        <v>447</v>
      </c>
      <c r="Q378" s="10" t="s">
        <v>441</v>
      </c>
    </row>
    <row r="379" spans="1:17">
      <c r="A379" s="10" t="s">
        <v>255</v>
      </c>
      <c r="B379" s="10" t="s">
        <v>60</v>
      </c>
      <c r="C379" s="10" t="s">
        <v>256</v>
      </c>
      <c r="D379" s="10" t="s">
        <v>103</v>
      </c>
      <c r="E379" s="10" t="s">
        <v>469</v>
      </c>
      <c r="F379" s="11">
        <v>12262.53</v>
      </c>
      <c r="G379" s="11">
        <v>351341.95</v>
      </c>
      <c r="H379" s="12">
        <v>3.4901979483335059E-2</v>
      </c>
      <c r="I379" s="10">
        <v>8</v>
      </c>
      <c r="J379" s="21">
        <v>100</v>
      </c>
      <c r="K379" s="21">
        <v>65</v>
      </c>
      <c r="L379" s="21">
        <v>25</v>
      </c>
      <c r="M379" s="21">
        <v>93.504836461954255</v>
      </c>
      <c r="N379" s="21">
        <f>J379*Supuestos!$B$7+K379*Supuestos!$B$8+L379*Supuestos!$B$9+M379*Supuestos!$B$10</f>
        <v>69.450967292390857</v>
      </c>
      <c r="O379" s="34" t="str">
        <f t="shared" si="5"/>
        <v>B</v>
      </c>
      <c r="P379" s="10" t="s">
        <v>447</v>
      </c>
      <c r="Q379" s="10" t="s">
        <v>441</v>
      </c>
    </row>
    <row r="380" spans="1:17">
      <c r="A380" s="10" t="s">
        <v>255</v>
      </c>
      <c r="B380" s="10" t="s">
        <v>60</v>
      </c>
      <c r="C380" s="10" t="s">
        <v>392</v>
      </c>
      <c r="D380" s="10" t="s">
        <v>103</v>
      </c>
      <c r="E380" s="10" t="s">
        <v>469</v>
      </c>
      <c r="F380" s="11">
        <v>930.63</v>
      </c>
      <c r="G380" s="11">
        <v>180471.74</v>
      </c>
      <c r="H380" s="12">
        <v>5.156677963416503E-3</v>
      </c>
      <c r="I380" s="10">
        <v>15</v>
      </c>
      <c r="J380" s="21">
        <v>100</v>
      </c>
      <c r="K380" s="21">
        <v>65</v>
      </c>
      <c r="L380" s="21">
        <v>25</v>
      </c>
      <c r="M380" s="21">
        <v>93.504836461954255</v>
      </c>
      <c r="N380" s="21">
        <f>J380*Supuestos!$B$7+K380*Supuestos!$B$8+L380*Supuestos!$B$9+M380*Supuestos!$B$10</f>
        <v>69.450967292390857</v>
      </c>
      <c r="O380" s="34" t="str">
        <f t="shared" si="5"/>
        <v>B</v>
      </c>
      <c r="P380" s="10" t="s">
        <v>447</v>
      </c>
      <c r="Q380" s="10" t="s">
        <v>441</v>
      </c>
    </row>
    <row r="381" spans="1:17">
      <c r="A381" s="10" t="s">
        <v>119</v>
      </c>
      <c r="B381" s="10" t="s">
        <v>383</v>
      </c>
      <c r="C381" s="10" t="s">
        <v>384</v>
      </c>
      <c r="D381" s="10" t="s">
        <v>103</v>
      </c>
      <c r="E381" s="10" t="s">
        <v>512</v>
      </c>
      <c r="F381" s="11">
        <v>12174.97</v>
      </c>
      <c r="G381" s="11">
        <v>574829.68000000005</v>
      </c>
      <c r="H381" s="12">
        <v>2.1180133846840362E-2</v>
      </c>
      <c r="I381" s="10">
        <v>14</v>
      </c>
      <c r="J381" s="21">
        <v>100</v>
      </c>
      <c r="K381" s="21">
        <v>90</v>
      </c>
      <c r="L381" s="21">
        <v>25</v>
      </c>
      <c r="M381" s="21">
        <v>55</v>
      </c>
      <c r="N381" s="21">
        <f>J381*Supuestos!$B$7+K381*Supuestos!$B$8+L381*Supuestos!$B$9+M381*Supuestos!$B$10</f>
        <v>69.25</v>
      </c>
      <c r="O381" s="34" t="str">
        <f t="shared" si="5"/>
        <v>B</v>
      </c>
      <c r="P381" s="10" t="s">
        <v>435</v>
      </c>
      <c r="Q381" s="10" t="s">
        <v>441</v>
      </c>
    </row>
    <row r="382" spans="1:17">
      <c r="A382" s="10" t="s">
        <v>275</v>
      </c>
      <c r="B382" s="10" t="s">
        <v>71</v>
      </c>
      <c r="C382" s="10" t="s">
        <v>316</v>
      </c>
      <c r="D382" s="10" t="s">
        <v>103</v>
      </c>
      <c r="E382" s="10" t="s">
        <v>115</v>
      </c>
      <c r="F382" s="11">
        <v>42155.31</v>
      </c>
      <c r="G382" s="11">
        <v>1083764</v>
      </c>
      <c r="H382" s="12">
        <v>3.8897131872606967E-2</v>
      </c>
      <c r="I382" s="10">
        <v>6</v>
      </c>
      <c r="J382" s="21">
        <v>100</v>
      </c>
      <c r="K382" s="21">
        <v>75</v>
      </c>
      <c r="L382" s="21">
        <v>25</v>
      </c>
      <c r="M382" s="21">
        <v>76.399848561858846</v>
      </c>
      <c r="N382" s="21">
        <f>J382*Supuestos!$B$7+K382*Supuestos!$B$8+L382*Supuestos!$B$9+M382*Supuestos!$B$10</f>
        <v>69.029969712371766</v>
      </c>
      <c r="O382" s="34" t="str">
        <f t="shared" si="5"/>
        <v>B</v>
      </c>
      <c r="P382" s="10" t="s">
        <v>447</v>
      </c>
      <c r="Q382" s="10" t="s">
        <v>436</v>
      </c>
    </row>
    <row r="383" spans="1:17">
      <c r="A383" s="10" t="s">
        <v>255</v>
      </c>
      <c r="B383" s="10" t="s">
        <v>60</v>
      </c>
      <c r="C383" s="10" t="s">
        <v>256</v>
      </c>
      <c r="D383" s="10" t="s">
        <v>103</v>
      </c>
      <c r="E383" s="10" t="s">
        <v>457</v>
      </c>
      <c r="F383" s="11">
        <v>11323.35</v>
      </c>
      <c r="G383" s="11">
        <v>351341.95</v>
      </c>
      <c r="H383" s="12">
        <v>3.2228850996894653E-2</v>
      </c>
      <c r="I383" s="10">
        <v>9</v>
      </c>
      <c r="J383" s="21">
        <v>100</v>
      </c>
      <c r="K383" s="21">
        <v>65</v>
      </c>
      <c r="L383" s="21">
        <v>25</v>
      </c>
      <c r="M383" s="21">
        <v>91.25</v>
      </c>
      <c r="N383" s="21">
        <f>J383*Supuestos!$B$7+K383*Supuestos!$B$8+L383*Supuestos!$B$9+M383*Supuestos!$B$10</f>
        <v>69</v>
      </c>
      <c r="O383" s="34" t="str">
        <f t="shared" si="5"/>
        <v>B</v>
      </c>
      <c r="P383" s="10" t="s">
        <v>447</v>
      </c>
      <c r="Q383" s="10" t="s">
        <v>441</v>
      </c>
    </row>
    <row r="384" spans="1:17">
      <c r="A384" s="10" t="s">
        <v>215</v>
      </c>
      <c r="B384" s="10" t="s">
        <v>60</v>
      </c>
      <c r="C384" s="10" t="s">
        <v>410</v>
      </c>
      <c r="D384" s="10" t="s">
        <v>103</v>
      </c>
      <c r="E384" s="10" t="s">
        <v>457</v>
      </c>
      <c r="F384" s="11">
        <v>7202.83</v>
      </c>
      <c r="G384" s="11">
        <v>273779.84999999998</v>
      </c>
      <c r="H384" s="12">
        <v>2.6308834733234931E-2</v>
      </c>
      <c r="I384" s="10">
        <v>10</v>
      </c>
      <c r="J384" s="21">
        <v>100</v>
      </c>
      <c r="K384" s="21">
        <v>65</v>
      </c>
      <c r="L384" s="21">
        <v>25</v>
      </c>
      <c r="M384" s="21">
        <v>91.25</v>
      </c>
      <c r="N384" s="21">
        <f>J384*Supuestos!$B$7+K384*Supuestos!$B$8+L384*Supuestos!$B$9+M384*Supuestos!$B$10</f>
        <v>69</v>
      </c>
      <c r="O384" s="34" t="str">
        <f t="shared" si="5"/>
        <v>B</v>
      </c>
      <c r="P384" s="10" t="s">
        <v>447</v>
      </c>
      <c r="Q384" s="10" t="s">
        <v>441</v>
      </c>
    </row>
    <row r="385" spans="1:17">
      <c r="A385" s="10" t="s">
        <v>215</v>
      </c>
      <c r="B385" s="10" t="s">
        <v>60</v>
      </c>
      <c r="C385" s="10" t="s">
        <v>332</v>
      </c>
      <c r="D385" s="10" t="s">
        <v>103</v>
      </c>
      <c r="E385" s="10" t="s">
        <v>457</v>
      </c>
      <c r="F385" s="11">
        <v>3114.83</v>
      </c>
      <c r="G385" s="11">
        <v>251755.6</v>
      </c>
      <c r="H385" s="12">
        <v>1.2372446156820441E-2</v>
      </c>
      <c r="I385" s="10">
        <v>12</v>
      </c>
      <c r="J385" s="21">
        <v>100</v>
      </c>
      <c r="K385" s="21">
        <v>65</v>
      </c>
      <c r="L385" s="21">
        <v>25</v>
      </c>
      <c r="M385" s="21">
        <v>91.25</v>
      </c>
      <c r="N385" s="21">
        <f>J385*Supuestos!$B$7+K385*Supuestos!$B$8+L385*Supuestos!$B$9+M385*Supuestos!$B$10</f>
        <v>69</v>
      </c>
      <c r="O385" s="34" t="str">
        <f t="shared" si="5"/>
        <v>B</v>
      </c>
      <c r="P385" s="10" t="s">
        <v>447</v>
      </c>
      <c r="Q385" s="10" t="s">
        <v>441</v>
      </c>
    </row>
    <row r="386" spans="1:17">
      <c r="A386" s="10" t="s">
        <v>215</v>
      </c>
      <c r="B386" s="10" t="s">
        <v>60</v>
      </c>
      <c r="C386" s="10" t="s">
        <v>216</v>
      </c>
      <c r="D386" s="10" t="s">
        <v>103</v>
      </c>
      <c r="E386" s="10" t="s">
        <v>457</v>
      </c>
      <c r="F386" s="11">
        <v>2849.44</v>
      </c>
      <c r="G386" s="11">
        <v>656576.77</v>
      </c>
      <c r="H386" s="12">
        <v>4.3398478163602788E-3</v>
      </c>
      <c r="I386" s="10">
        <v>22</v>
      </c>
      <c r="J386" s="21">
        <v>100</v>
      </c>
      <c r="K386" s="21">
        <v>65</v>
      </c>
      <c r="L386" s="21">
        <v>25</v>
      </c>
      <c r="M386" s="21">
        <v>91.25</v>
      </c>
      <c r="N386" s="21">
        <f>J386*Supuestos!$B$7+K386*Supuestos!$B$8+L386*Supuestos!$B$9+M386*Supuestos!$B$10</f>
        <v>69</v>
      </c>
      <c r="O386" s="34" t="str">
        <f t="shared" si="5"/>
        <v>B</v>
      </c>
      <c r="P386" s="10" t="s">
        <v>447</v>
      </c>
      <c r="Q386" s="10" t="s">
        <v>441</v>
      </c>
    </row>
    <row r="387" spans="1:17">
      <c r="A387" s="10" t="s">
        <v>255</v>
      </c>
      <c r="B387" s="10" t="s">
        <v>60</v>
      </c>
      <c r="C387" s="10" t="s">
        <v>328</v>
      </c>
      <c r="D387" s="10" t="s">
        <v>103</v>
      </c>
      <c r="E387" s="10" t="s">
        <v>457</v>
      </c>
      <c r="F387" s="11">
        <v>472.41</v>
      </c>
      <c r="G387" s="11">
        <v>132474.79999999999</v>
      </c>
      <c r="H387" s="12">
        <v>3.5660027375087771E-3</v>
      </c>
      <c r="I387" s="10">
        <v>19</v>
      </c>
      <c r="J387" s="21">
        <v>100</v>
      </c>
      <c r="K387" s="21">
        <v>65</v>
      </c>
      <c r="L387" s="21">
        <v>25</v>
      </c>
      <c r="M387" s="21">
        <v>91.25</v>
      </c>
      <c r="N387" s="21">
        <f>J387*Supuestos!$B$7+K387*Supuestos!$B$8+L387*Supuestos!$B$9+M387*Supuestos!$B$10</f>
        <v>69</v>
      </c>
      <c r="O387" s="34" t="str">
        <f t="shared" si="5"/>
        <v>B</v>
      </c>
      <c r="P387" s="10" t="s">
        <v>447</v>
      </c>
      <c r="Q387" s="10" t="s">
        <v>441</v>
      </c>
    </row>
    <row r="388" spans="1:17">
      <c r="A388" s="10" t="s">
        <v>111</v>
      </c>
      <c r="B388" s="10" t="s">
        <v>60</v>
      </c>
      <c r="C388" s="10" t="s">
        <v>176</v>
      </c>
      <c r="D388" s="10" t="s">
        <v>149</v>
      </c>
      <c r="E388" s="10" t="s">
        <v>464</v>
      </c>
      <c r="F388" s="11">
        <v>3749.64</v>
      </c>
      <c r="G388" s="11">
        <v>15832.88</v>
      </c>
      <c r="H388" s="12">
        <v>0.23682616596002423</v>
      </c>
      <c r="I388" s="10">
        <v>2</v>
      </c>
      <c r="J388" s="21">
        <v>30</v>
      </c>
      <c r="K388" s="21">
        <v>75</v>
      </c>
      <c r="L388" s="21">
        <v>80</v>
      </c>
      <c r="M388" s="21">
        <v>94.993714604403294</v>
      </c>
      <c r="N388" s="21">
        <f>J388*Supuestos!$B$7+K388*Supuestos!$B$8+L388*Supuestos!$B$9+M388*Supuestos!$B$10</f>
        <v>68.998742920880659</v>
      </c>
      <c r="O388" s="34" t="str">
        <f t="shared" si="5"/>
        <v>B</v>
      </c>
      <c r="P388" s="10" t="s">
        <v>447</v>
      </c>
      <c r="Q388" s="10" t="s">
        <v>436</v>
      </c>
    </row>
    <row r="389" spans="1:17">
      <c r="A389" s="10" t="s">
        <v>101</v>
      </c>
      <c r="B389" s="10" t="s">
        <v>60</v>
      </c>
      <c r="C389" s="10" t="s">
        <v>289</v>
      </c>
      <c r="D389" s="10" t="s">
        <v>149</v>
      </c>
      <c r="E389" s="10" t="s">
        <v>464</v>
      </c>
      <c r="F389" s="11">
        <v>3444.85</v>
      </c>
      <c r="G389" s="11">
        <v>22969.31</v>
      </c>
      <c r="H389" s="12">
        <v>0.14997617480883121</v>
      </c>
      <c r="I389" s="10">
        <v>3</v>
      </c>
      <c r="J389" s="21">
        <v>30</v>
      </c>
      <c r="K389" s="21">
        <v>75</v>
      </c>
      <c r="L389" s="21">
        <v>80</v>
      </c>
      <c r="M389" s="21">
        <v>94.993714604403294</v>
      </c>
      <c r="N389" s="21">
        <f>J389*Supuestos!$B$7+K389*Supuestos!$B$8+L389*Supuestos!$B$9+M389*Supuestos!$B$10</f>
        <v>68.998742920880659</v>
      </c>
      <c r="O389" s="34" t="str">
        <f t="shared" ref="O389:O452" si="6">IF(N389&gt;=80,"A",IF(N389&gt;=65,"B",IF(N389&gt;=50,"C","D")))</f>
        <v>B</v>
      </c>
      <c r="P389" s="10" t="s">
        <v>447</v>
      </c>
      <c r="Q389" s="10" t="s">
        <v>436</v>
      </c>
    </row>
    <row r="390" spans="1:17">
      <c r="A390" s="10" t="s">
        <v>111</v>
      </c>
      <c r="B390" s="10" t="s">
        <v>60</v>
      </c>
      <c r="C390" s="10" t="s">
        <v>367</v>
      </c>
      <c r="D390" s="10" t="s">
        <v>149</v>
      </c>
      <c r="E390" s="10" t="s">
        <v>464</v>
      </c>
      <c r="F390" s="11">
        <v>1271.3399999999999</v>
      </c>
      <c r="G390" s="11">
        <v>6313.99</v>
      </c>
      <c r="H390" s="12">
        <v>0.20135235531261139</v>
      </c>
      <c r="I390" s="10">
        <v>3</v>
      </c>
      <c r="J390" s="21">
        <v>30</v>
      </c>
      <c r="K390" s="21">
        <v>75</v>
      </c>
      <c r="L390" s="21">
        <v>80</v>
      </c>
      <c r="M390" s="21">
        <v>94.993714604403294</v>
      </c>
      <c r="N390" s="21">
        <f>J390*Supuestos!$B$7+K390*Supuestos!$B$8+L390*Supuestos!$B$9+M390*Supuestos!$B$10</f>
        <v>68.998742920880659</v>
      </c>
      <c r="O390" s="34" t="str">
        <f t="shared" si="6"/>
        <v>B</v>
      </c>
      <c r="P390" s="10" t="s">
        <v>447</v>
      </c>
      <c r="Q390" s="10" t="s">
        <v>436</v>
      </c>
    </row>
    <row r="391" spans="1:17">
      <c r="A391" s="10" t="s">
        <v>101</v>
      </c>
      <c r="B391" s="10" t="s">
        <v>60</v>
      </c>
      <c r="C391" s="10" t="s">
        <v>295</v>
      </c>
      <c r="D391" s="10" t="s">
        <v>149</v>
      </c>
      <c r="E391" s="10" t="s">
        <v>464</v>
      </c>
      <c r="F391" s="11">
        <v>382.76</v>
      </c>
      <c r="G391" s="11">
        <v>3541.37</v>
      </c>
      <c r="H391" s="12">
        <v>0.10808265143933599</v>
      </c>
      <c r="I391" s="10">
        <v>5</v>
      </c>
      <c r="J391" s="21">
        <v>30</v>
      </c>
      <c r="K391" s="21">
        <v>75</v>
      </c>
      <c r="L391" s="21">
        <v>80</v>
      </c>
      <c r="M391" s="21">
        <v>94.993714604403294</v>
      </c>
      <c r="N391" s="21">
        <f>J391*Supuestos!$B$7+K391*Supuestos!$B$8+L391*Supuestos!$B$9+M391*Supuestos!$B$10</f>
        <v>68.998742920880659</v>
      </c>
      <c r="O391" s="34" t="str">
        <f t="shared" si="6"/>
        <v>B</v>
      </c>
      <c r="P391" s="10" t="s">
        <v>447</v>
      </c>
      <c r="Q391" s="10" t="s">
        <v>436</v>
      </c>
    </row>
    <row r="392" spans="1:17">
      <c r="A392" s="10" t="s">
        <v>101</v>
      </c>
      <c r="B392" s="10" t="s">
        <v>60</v>
      </c>
      <c r="C392" s="10" t="s">
        <v>336</v>
      </c>
      <c r="D392" s="10" t="s">
        <v>149</v>
      </c>
      <c r="E392" s="10" t="s">
        <v>464</v>
      </c>
      <c r="F392" s="11">
        <v>101.32</v>
      </c>
      <c r="G392" s="11">
        <v>2849.08</v>
      </c>
      <c r="H392" s="12">
        <v>3.5562059818896916E-2</v>
      </c>
      <c r="I392" s="10">
        <v>3</v>
      </c>
      <c r="J392" s="21">
        <v>30</v>
      </c>
      <c r="K392" s="21">
        <v>75</v>
      </c>
      <c r="L392" s="21">
        <v>80</v>
      </c>
      <c r="M392" s="21">
        <v>94.993714604403294</v>
      </c>
      <c r="N392" s="21">
        <f>J392*Supuestos!$B$7+K392*Supuestos!$B$8+L392*Supuestos!$B$9+M392*Supuestos!$B$10</f>
        <v>68.998742920880659</v>
      </c>
      <c r="O392" s="34" t="str">
        <f t="shared" si="6"/>
        <v>B</v>
      </c>
      <c r="P392" s="10" t="s">
        <v>447</v>
      </c>
      <c r="Q392" s="10" t="s">
        <v>436</v>
      </c>
    </row>
    <row r="393" spans="1:17">
      <c r="A393" s="10" t="s">
        <v>255</v>
      </c>
      <c r="B393" s="10" t="s">
        <v>60</v>
      </c>
      <c r="C393" s="10" t="s">
        <v>256</v>
      </c>
      <c r="D393" s="10" t="s">
        <v>103</v>
      </c>
      <c r="E393" s="10" t="s">
        <v>462</v>
      </c>
      <c r="F393" s="11">
        <v>10517.95</v>
      </c>
      <c r="G393" s="11">
        <v>351341.95</v>
      </c>
      <c r="H393" s="12">
        <v>2.9936517228805668E-2</v>
      </c>
      <c r="I393" s="10">
        <v>12</v>
      </c>
      <c r="J393" s="21">
        <v>100</v>
      </c>
      <c r="K393" s="21">
        <v>65.486851298517877</v>
      </c>
      <c r="L393" s="21">
        <v>25</v>
      </c>
      <c r="M393" s="21">
        <v>90.510155415039009</v>
      </c>
      <c r="N393" s="21">
        <f>J393*Supuestos!$B$7+K393*Supuestos!$B$8+L393*Supuestos!$B$9+M393*Supuestos!$B$10</f>
        <v>68.998086472563159</v>
      </c>
      <c r="O393" s="34" t="str">
        <f t="shared" si="6"/>
        <v>B</v>
      </c>
      <c r="P393" s="10" t="s">
        <v>447</v>
      </c>
      <c r="Q393" s="10" t="s">
        <v>441</v>
      </c>
    </row>
    <row r="394" spans="1:17">
      <c r="A394" s="10" t="s">
        <v>111</v>
      </c>
      <c r="B394" s="10" t="s">
        <v>65</v>
      </c>
      <c r="C394" s="10" t="s">
        <v>144</v>
      </c>
      <c r="D394" s="10" t="s">
        <v>103</v>
      </c>
      <c r="E394" s="10" t="s">
        <v>462</v>
      </c>
      <c r="F394" s="11">
        <v>81616.42</v>
      </c>
      <c r="G394" s="11">
        <v>2550637.33</v>
      </c>
      <c r="H394" s="12">
        <v>3.1998441921295959E-2</v>
      </c>
      <c r="I394" s="10">
        <v>6</v>
      </c>
      <c r="J394" s="21">
        <v>100</v>
      </c>
      <c r="K394" s="21">
        <v>64.999999999999986</v>
      </c>
      <c r="L394" s="21">
        <v>25</v>
      </c>
      <c r="M394" s="21">
        <v>90.510155415039009</v>
      </c>
      <c r="N394" s="21">
        <f>J394*Supuestos!$B$7+K394*Supuestos!$B$8+L394*Supuestos!$B$9+M394*Supuestos!$B$10</f>
        <v>68.852031083007802</v>
      </c>
      <c r="O394" s="34" t="str">
        <f t="shared" si="6"/>
        <v>B</v>
      </c>
      <c r="P394" s="10" t="s">
        <v>447</v>
      </c>
      <c r="Q394" s="10" t="s">
        <v>441</v>
      </c>
    </row>
    <row r="395" spans="1:17">
      <c r="A395" s="10" t="s">
        <v>111</v>
      </c>
      <c r="B395" s="10" t="s">
        <v>65</v>
      </c>
      <c r="C395" s="10" t="s">
        <v>138</v>
      </c>
      <c r="D395" s="10" t="s">
        <v>103</v>
      </c>
      <c r="E395" s="10" t="s">
        <v>462</v>
      </c>
      <c r="F395" s="11">
        <v>37136.53</v>
      </c>
      <c r="G395" s="11">
        <v>1574650.7</v>
      </c>
      <c r="H395" s="12">
        <v>2.3583982472310108E-2</v>
      </c>
      <c r="I395" s="10">
        <v>6</v>
      </c>
      <c r="J395" s="21">
        <v>100</v>
      </c>
      <c r="K395" s="21">
        <v>65</v>
      </c>
      <c r="L395" s="21">
        <v>25</v>
      </c>
      <c r="M395" s="21">
        <v>90.510155415039009</v>
      </c>
      <c r="N395" s="21">
        <f>J395*Supuestos!$B$7+K395*Supuestos!$B$8+L395*Supuestos!$B$9+M395*Supuestos!$B$10</f>
        <v>68.852031083007802</v>
      </c>
      <c r="O395" s="34" t="str">
        <f t="shared" si="6"/>
        <v>B</v>
      </c>
      <c r="P395" s="10" t="s">
        <v>447</v>
      </c>
      <c r="Q395" s="10" t="s">
        <v>441</v>
      </c>
    </row>
    <row r="396" spans="1:17">
      <c r="A396" s="10" t="s">
        <v>119</v>
      </c>
      <c r="B396" s="10" t="s">
        <v>383</v>
      </c>
      <c r="C396" s="10" t="s">
        <v>384</v>
      </c>
      <c r="D396" s="10" t="s">
        <v>103</v>
      </c>
      <c r="E396" s="10" t="s">
        <v>462</v>
      </c>
      <c r="F396" s="11">
        <v>21076.87</v>
      </c>
      <c r="G396" s="11">
        <v>574829.68000000005</v>
      </c>
      <c r="H396" s="12">
        <v>3.6666293354718514E-2</v>
      </c>
      <c r="I396" s="10">
        <v>9</v>
      </c>
      <c r="J396" s="21">
        <v>100</v>
      </c>
      <c r="K396" s="21">
        <v>65</v>
      </c>
      <c r="L396" s="21">
        <v>25</v>
      </c>
      <c r="M396" s="21">
        <v>90.510155415039009</v>
      </c>
      <c r="N396" s="21">
        <f>J396*Supuestos!$B$7+K396*Supuestos!$B$8+L396*Supuestos!$B$9+M396*Supuestos!$B$10</f>
        <v>68.852031083007802</v>
      </c>
      <c r="O396" s="34" t="str">
        <f t="shared" si="6"/>
        <v>B</v>
      </c>
      <c r="P396" s="10" t="s">
        <v>447</v>
      </c>
      <c r="Q396" s="10" t="s">
        <v>441</v>
      </c>
    </row>
    <row r="397" spans="1:17">
      <c r="A397" s="10" t="s">
        <v>275</v>
      </c>
      <c r="B397" s="10" t="s">
        <v>71</v>
      </c>
      <c r="C397" s="10" t="s">
        <v>316</v>
      </c>
      <c r="D397" s="10" t="s">
        <v>103</v>
      </c>
      <c r="E397" s="10" t="s">
        <v>462</v>
      </c>
      <c r="F397" s="11">
        <v>18377.12</v>
      </c>
      <c r="G397" s="11">
        <v>1083764</v>
      </c>
      <c r="H397" s="12">
        <v>1.6956750736596332E-2</v>
      </c>
      <c r="I397" s="10">
        <v>12</v>
      </c>
      <c r="J397" s="21">
        <v>100</v>
      </c>
      <c r="K397" s="21">
        <v>65</v>
      </c>
      <c r="L397" s="21">
        <v>25</v>
      </c>
      <c r="M397" s="21">
        <v>90.510155415039009</v>
      </c>
      <c r="N397" s="21">
        <f>J397*Supuestos!$B$7+K397*Supuestos!$B$8+L397*Supuestos!$B$9+M397*Supuestos!$B$10</f>
        <v>68.852031083007802</v>
      </c>
      <c r="O397" s="34" t="str">
        <f t="shared" si="6"/>
        <v>B</v>
      </c>
      <c r="P397" s="10" t="s">
        <v>447</v>
      </c>
      <c r="Q397" s="10" t="s">
        <v>441</v>
      </c>
    </row>
    <row r="398" spans="1:17">
      <c r="A398" s="10" t="s">
        <v>165</v>
      </c>
      <c r="B398" s="10" t="s">
        <v>60</v>
      </c>
      <c r="C398" s="10" t="s">
        <v>302</v>
      </c>
      <c r="D398" s="10" t="s">
        <v>103</v>
      </c>
      <c r="E398" s="10" t="s">
        <v>462</v>
      </c>
      <c r="F398" s="11">
        <v>2597.4</v>
      </c>
      <c r="G398" s="11">
        <v>357771.85</v>
      </c>
      <c r="H398" s="12">
        <v>7.25992378648196E-3</v>
      </c>
      <c r="I398" s="10">
        <v>14</v>
      </c>
      <c r="J398" s="21">
        <v>100</v>
      </c>
      <c r="K398" s="21">
        <v>65.000000000000014</v>
      </c>
      <c r="L398" s="21">
        <v>25</v>
      </c>
      <c r="M398" s="21">
        <v>90.510155415039009</v>
      </c>
      <c r="N398" s="21">
        <f>J398*Supuestos!$B$7+K398*Supuestos!$B$8+L398*Supuestos!$B$9+M398*Supuestos!$B$10</f>
        <v>68.852031083007802</v>
      </c>
      <c r="O398" s="34" t="str">
        <f t="shared" si="6"/>
        <v>B</v>
      </c>
      <c r="P398" s="10" t="s">
        <v>447</v>
      </c>
      <c r="Q398" s="10" t="s">
        <v>441</v>
      </c>
    </row>
    <row r="399" spans="1:17">
      <c r="A399" s="10" t="s">
        <v>255</v>
      </c>
      <c r="B399" s="10" t="s">
        <v>60</v>
      </c>
      <c r="C399" s="10" t="s">
        <v>328</v>
      </c>
      <c r="D399" s="10" t="s">
        <v>103</v>
      </c>
      <c r="E399" s="10" t="s">
        <v>462</v>
      </c>
      <c r="F399" s="11">
        <v>1945.86</v>
      </c>
      <c r="G399" s="11">
        <v>132474.79999999999</v>
      </c>
      <c r="H399" s="12">
        <v>1.4688516350936695E-2</v>
      </c>
      <c r="I399" s="10">
        <v>9</v>
      </c>
      <c r="J399" s="21">
        <v>100</v>
      </c>
      <c r="K399" s="21">
        <v>65</v>
      </c>
      <c r="L399" s="21">
        <v>25</v>
      </c>
      <c r="M399" s="21">
        <v>90.510155415039009</v>
      </c>
      <c r="N399" s="21">
        <f>J399*Supuestos!$B$7+K399*Supuestos!$B$8+L399*Supuestos!$B$9+M399*Supuestos!$B$10</f>
        <v>68.852031083007802</v>
      </c>
      <c r="O399" s="34" t="str">
        <f t="shared" si="6"/>
        <v>B</v>
      </c>
      <c r="P399" s="10" t="s">
        <v>447</v>
      </c>
      <c r="Q399" s="10" t="s">
        <v>441</v>
      </c>
    </row>
    <row r="400" spans="1:17">
      <c r="A400" s="10" t="s">
        <v>101</v>
      </c>
      <c r="B400" s="10" t="s">
        <v>60</v>
      </c>
      <c r="C400" s="10" t="s">
        <v>342</v>
      </c>
      <c r="D400" s="10" t="s">
        <v>103</v>
      </c>
      <c r="E400" s="10" t="s">
        <v>462</v>
      </c>
      <c r="F400" s="11">
        <v>1286.5</v>
      </c>
      <c r="G400" s="11">
        <v>95640.54</v>
      </c>
      <c r="H400" s="12">
        <v>1.3451433915008118E-2</v>
      </c>
      <c r="I400" s="10">
        <v>9</v>
      </c>
      <c r="J400" s="21">
        <v>100</v>
      </c>
      <c r="K400" s="21">
        <v>65</v>
      </c>
      <c r="L400" s="21">
        <v>25</v>
      </c>
      <c r="M400" s="21">
        <v>90.510155415039009</v>
      </c>
      <c r="N400" s="21">
        <f>J400*Supuestos!$B$7+K400*Supuestos!$B$8+L400*Supuestos!$B$9+M400*Supuestos!$B$10</f>
        <v>68.852031083007802</v>
      </c>
      <c r="O400" s="34" t="str">
        <f t="shared" si="6"/>
        <v>B</v>
      </c>
      <c r="P400" s="10" t="s">
        <v>447</v>
      </c>
      <c r="Q400" s="10" t="s">
        <v>441</v>
      </c>
    </row>
    <row r="401" spans="1:17">
      <c r="A401" s="10" t="s">
        <v>275</v>
      </c>
      <c r="B401" s="10" t="s">
        <v>276</v>
      </c>
      <c r="C401" s="10" t="s">
        <v>277</v>
      </c>
      <c r="D401" s="10" t="s">
        <v>127</v>
      </c>
      <c r="E401" s="10" t="s">
        <v>213</v>
      </c>
      <c r="F401" s="11">
        <v>2434.25</v>
      </c>
      <c r="G401" s="11">
        <v>77674.73</v>
      </c>
      <c r="H401" s="12">
        <v>3.1339071722918499E-2</v>
      </c>
      <c r="I401" s="10">
        <v>7</v>
      </c>
      <c r="J401" s="21">
        <v>85</v>
      </c>
      <c r="K401" s="21">
        <v>75</v>
      </c>
      <c r="L401" s="21">
        <v>25</v>
      </c>
      <c r="M401" s="21">
        <v>93.75</v>
      </c>
      <c r="N401" s="21">
        <f>J401*Supuestos!$B$7+K401*Supuestos!$B$8+L401*Supuestos!$B$9+M401*Supuestos!$B$10</f>
        <v>68.75</v>
      </c>
      <c r="O401" s="34" t="str">
        <f t="shared" si="6"/>
        <v>B</v>
      </c>
      <c r="P401" s="10" t="s">
        <v>447</v>
      </c>
      <c r="Q401" s="10" t="s">
        <v>436</v>
      </c>
    </row>
    <row r="402" spans="1:17">
      <c r="A402" s="10" t="s">
        <v>101</v>
      </c>
      <c r="B402" s="10" t="s">
        <v>60</v>
      </c>
      <c r="C402" s="10" t="s">
        <v>346</v>
      </c>
      <c r="D402" s="10" t="s">
        <v>127</v>
      </c>
      <c r="E402" s="10" t="s">
        <v>213</v>
      </c>
      <c r="F402" s="11">
        <v>1296.25</v>
      </c>
      <c r="G402" s="11">
        <v>41126.71</v>
      </c>
      <c r="H402" s="12">
        <v>3.1518414942194803E-2</v>
      </c>
      <c r="I402" s="10">
        <v>6</v>
      </c>
      <c r="J402" s="21">
        <v>85</v>
      </c>
      <c r="K402" s="21">
        <v>75.000000000000014</v>
      </c>
      <c r="L402" s="21">
        <v>25</v>
      </c>
      <c r="M402" s="21">
        <v>93.75</v>
      </c>
      <c r="N402" s="21">
        <f>J402*Supuestos!$B$7+K402*Supuestos!$B$8+L402*Supuestos!$B$9+M402*Supuestos!$B$10</f>
        <v>68.75</v>
      </c>
      <c r="O402" s="34" t="str">
        <f t="shared" si="6"/>
        <v>B</v>
      </c>
      <c r="P402" s="10" t="s">
        <v>447</v>
      </c>
      <c r="Q402" s="10" t="s">
        <v>436</v>
      </c>
    </row>
    <row r="403" spans="1:17">
      <c r="A403" s="10" t="s">
        <v>101</v>
      </c>
      <c r="B403" s="10" t="s">
        <v>60</v>
      </c>
      <c r="C403" s="10" t="s">
        <v>271</v>
      </c>
      <c r="D403" s="10" t="s">
        <v>149</v>
      </c>
      <c r="E403" s="10" t="s">
        <v>213</v>
      </c>
      <c r="F403" s="11">
        <v>528.28</v>
      </c>
      <c r="G403" s="11">
        <v>5062.1000000000004</v>
      </c>
      <c r="H403" s="12">
        <v>0.10435928587607853</v>
      </c>
      <c r="I403" s="10">
        <v>5</v>
      </c>
      <c r="J403" s="21">
        <v>30</v>
      </c>
      <c r="K403" s="21">
        <v>75</v>
      </c>
      <c r="L403" s="21">
        <v>80</v>
      </c>
      <c r="M403" s="21">
        <v>93.75</v>
      </c>
      <c r="N403" s="21">
        <f>J403*Supuestos!$B$7+K403*Supuestos!$B$8+L403*Supuestos!$B$9+M403*Supuestos!$B$10</f>
        <v>68.75</v>
      </c>
      <c r="O403" s="34" t="str">
        <f t="shared" si="6"/>
        <v>B</v>
      </c>
      <c r="P403" s="10" t="s">
        <v>447</v>
      </c>
      <c r="Q403" s="10" t="s">
        <v>436</v>
      </c>
    </row>
    <row r="404" spans="1:17">
      <c r="A404" s="10" t="s">
        <v>119</v>
      </c>
      <c r="B404" s="10" t="s">
        <v>381</v>
      </c>
      <c r="C404" s="10" t="s">
        <v>382</v>
      </c>
      <c r="D404" s="10" t="s">
        <v>149</v>
      </c>
      <c r="E404" s="10" t="s">
        <v>213</v>
      </c>
      <c r="F404" s="11">
        <v>406.01</v>
      </c>
      <c r="G404" s="11">
        <v>75457.19</v>
      </c>
      <c r="H404" s="12">
        <v>5.3806145918952339E-3</v>
      </c>
      <c r="I404" s="10">
        <v>2</v>
      </c>
      <c r="J404" s="21">
        <v>30</v>
      </c>
      <c r="K404" s="21">
        <v>75</v>
      </c>
      <c r="L404" s="21">
        <v>80</v>
      </c>
      <c r="M404" s="21">
        <v>93.75</v>
      </c>
      <c r="N404" s="21">
        <f>J404*Supuestos!$B$7+K404*Supuestos!$B$8+L404*Supuestos!$B$9+M404*Supuestos!$B$10</f>
        <v>68.75</v>
      </c>
      <c r="O404" s="34" t="str">
        <f t="shared" si="6"/>
        <v>B</v>
      </c>
      <c r="P404" s="10" t="s">
        <v>447</v>
      </c>
      <c r="Q404" s="10" t="s">
        <v>436</v>
      </c>
    </row>
    <row r="405" spans="1:17">
      <c r="A405" s="10" t="s">
        <v>101</v>
      </c>
      <c r="B405" s="10" t="s">
        <v>60</v>
      </c>
      <c r="C405" s="10" t="s">
        <v>183</v>
      </c>
      <c r="D405" s="10" t="s">
        <v>149</v>
      </c>
      <c r="E405" s="10" t="s">
        <v>213</v>
      </c>
      <c r="F405" s="11">
        <v>388.39</v>
      </c>
      <c r="G405" s="11">
        <v>6614.7</v>
      </c>
      <c r="H405" s="12">
        <v>5.871618618987736E-2</v>
      </c>
      <c r="I405" s="10">
        <v>3</v>
      </c>
      <c r="J405" s="21">
        <v>30</v>
      </c>
      <c r="K405" s="21">
        <v>75</v>
      </c>
      <c r="L405" s="21">
        <v>80</v>
      </c>
      <c r="M405" s="21">
        <v>93.75</v>
      </c>
      <c r="N405" s="21">
        <f>J405*Supuestos!$B$7+K405*Supuestos!$B$8+L405*Supuestos!$B$9+M405*Supuestos!$B$10</f>
        <v>68.75</v>
      </c>
      <c r="O405" s="34" t="str">
        <f t="shared" si="6"/>
        <v>B</v>
      </c>
      <c r="P405" s="10" t="s">
        <v>447</v>
      </c>
      <c r="Q405" s="10" t="s">
        <v>436</v>
      </c>
    </row>
    <row r="406" spans="1:17">
      <c r="A406" s="10" t="s">
        <v>101</v>
      </c>
      <c r="B406" s="10" t="s">
        <v>60</v>
      </c>
      <c r="C406" s="10" t="s">
        <v>224</v>
      </c>
      <c r="D406" s="10" t="s">
        <v>127</v>
      </c>
      <c r="E406" s="10" t="s">
        <v>213</v>
      </c>
      <c r="F406" s="11">
        <v>385.26</v>
      </c>
      <c r="G406" s="11">
        <v>22669.16</v>
      </c>
      <c r="H406" s="12">
        <v>1.6995017829594599E-2</v>
      </c>
      <c r="I406" s="10">
        <v>6</v>
      </c>
      <c r="J406" s="21">
        <v>85</v>
      </c>
      <c r="K406" s="21">
        <v>75</v>
      </c>
      <c r="L406" s="21">
        <v>25</v>
      </c>
      <c r="M406" s="21">
        <v>93.75</v>
      </c>
      <c r="N406" s="21">
        <f>J406*Supuestos!$B$7+K406*Supuestos!$B$8+L406*Supuestos!$B$9+M406*Supuestos!$B$10</f>
        <v>68.75</v>
      </c>
      <c r="O406" s="34" t="str">
        <f t="shared" si="6"/>
        <v>B</v>
      </c>
      <c r="P406" s="10" t="s">
        <v>447</v>
      </c>
      <c r="Q406" s="10" t="s">
        <v>436</v>
      </c>
    </row>
    <row r="407" spans="1:17">
      <c r="A407" s="10" t="s">
        <v>101</v>
      </c>
      <c r="B407" s="10" t="s">
        <v>60</v>
      </c>
      <c r="C407" s="10" t="s">
        <v>354</v>
      </c>
      <c r="D407" s="10" t="s">
        <v>149</v>
      </c>
      <c r="E407" s="10" t="s">
        <v>213</v>
      </c>
      <c r="F407" s="11">
        <v>227.45</v>
      </c>
      <c r="G407" s="11">
        <v>1522.91</v>
      </c>
      <c r="H407" s="12">
        <v>0.14934976043805612</v>
      </c>
      <c r="I407" s="10">
        <v>3</v>
      </c>
      <c r="J407" s="21">
        <v>30</v>
      </c>
      <c r="K407" s="21">
        <v>75</v>
      </c>
      <c r="L407" s="21">
        <v>80</v>
      </c>
      <c r="M407" s="21">
        <v>93.75</v>
      </c>
      <c r="N407" s="21">
        <f>J407*Supuestos!$B$7+K407*Supuestos!$B$8+L407*Supuestos!$B$9+M407*Supuestos!$B$10</f>
        <v>68.75</v>
      </c>
      <c r="O407" s="34" t="str">
        <f t="shared" si="6"/>
        <v>B</v>
      </c>
      <c r="P407" s="10" t="s">
        <v>447</v>
      </c>
      <c r="Q407" s="10" t="s">
        <v>436</v>
      </c>
    </row>
    <row r="408" spans="1:17">
      <c r="A408" s="10" t="s">
        <v>101</v>
      </c>
      <c r="B408" s="10" t="s">
        <v>60</v>
      </c>
      <c r="C408" s="10" t="s">
        <v>320</v>
      </c>
      <c r="D408" s="10" t="s">
        <v>127</v>
      </c>
      <c r="E408" s="10" t="s">
        <v>213</v>
      </c>
      <c r="F408" s="11">
        <v>109.19</v>
      </c>
      <c r="G408" s="11">
        <v>19670.240000000002</v>
      </c>
      <c r="H408" s="12">
        <v>5.5509766009334497E-3</v>
      </c>
      <c r="I408" s="10">
        <v>20</v>
      </c>
      <c r="J408" s="21">
        <v>85</v>
      </c>
      <c r="K408" s="21">
        <v>75</v>
      </c>
      <c r="L408" s="21">
        <v>25</v>
      </c>
      <c r="M408" s="21">
        <v>93.75</v>
      </c>
      <c r="N408" s="21">
        <f>J408*Supuestos!$B$7+K408*Supuestos!$B$8+L408*Supuestos!$B$9+M408*Supuestos!$B$10</f>
        <v>68.75</v>
      </c>
      <c r="O408" s="34" t="str">
        <f t="shared" si="6"/>
        <v>B</v>
      </c>
      <c r="P408" s="10" t="s">
        <v>447</v>
      </c>
      <c r="Q408" s="10" t="s">
        <v>436</v>
      </c>
    </row>
    <row r="409" spans="1:17">
      <c r="A409" s="10" t="s">
        <v>101</v>
      </c>
      <c r="B409" s="10" t="s">
        <v>60</v>
      </c>
      <c r="C409" s="10" t="s">
        <v>282</v>
      </c>
      <c r="D409" s="10" t="s">
        <v>149</v>
      </c>
      <c r="E409" s="10" t="s">
        <v>151</v>
      </c>
      <c r="F409" s="11">
        <v>4692.37</v>
      </c>
      <c r="G409" s="11">
        <v>25285.58</v>
      </c>
      <c r="H409" s="12">
        <v>0.18557483015632209</v>
      </c>
      <c r="I409" s="10">
        <v>3</v>
      </c>
      <c r="J409" s="21">
        <v>30</v>
      </c>
      <c r="K409" s="21">
        <v>75</v>
      </c>
      <c r="L409" s="21">
        <v>80</v>
      </c>
      <c r="M409" s="21">
        <v>93.580645922060057</v>
      </c>
      <c r="N409" s="21">
        <f>J409*Supuestos!$B$7+K409*Supuestos!$B$8+L409*Supuestos!$B$9+M409*Supuestos!$B$10</f>
        <v>68.716129184412011</v>
      </c>
      <c r="O409" s="34" t="str">
        <f t="shared" si="6"/>
        <v>B</v>
      </c>
      <c r="P409" s="10" t="s">
        <v>447</v>
      </c>
      <c r="Q409" s="10" t="s">
        <v>436</v>
      </c>
    </row>
    <row r="410" spans="1:17">
      <c r="A410" s="10" t="s">
        <v>101</v>
      </c>
      <c r="B410" s="10" t="s">
        <v>60</v>
      </c>
      <c r="C410" s="10" t="s">
        <v>364</v>
      </c>
      <c r="D410" s="10" t="s">
        <v>149</v>
      </c>
      <c r="E410" s="10" t="s">
        <v>151</v>
      </c>
      <c r="F410" s="11">
        <v>2328.25</v>
      </c>
      <c r="G410" s="11">
        <v>9858.02</v>
      </c>
      <c r="H410" s="12">
        <v>0.23617859314282702</v>
      </c>
      <c r="I410" s="10">
        <v>2</v>
      </c>
      <c r="J410" s="21">
        <v>30</v>
      </c>
      <c r="K410" s="21">
        <v>74.999999999999986</v>
      </c>
      <c r="L410" s="21">
        <v>80</v>
      </c>
      <c r="M410" s="21">
        <v>93.580645922060057</v>
      </c>
      <c r="N410" s="21">
        <f>J410*Supuestos!$B$7+K410*Supuestos!$B$8+L410*Supuestos!$B$9+M410*Supuestos!$B$10</f>
        <v>68.716129184412011</v>
      </c>
      <c r="O410" s="34" t="str">
        <f t="shared" si="6"/>
        <v>B</v>
      </c>
      <c r="P410" s="10" t="s">
        <v>447</v>
      </c>
      <c r="Q410" s="10" t="s">
        <v>436</v>
      </c>
    </row>
    <row r="411" spans="1:17">
      <c r="A411" s="10" t="s">
        <v>101</v>
      </c>
      <c r="B411" s="10" t="s">
        <v>60</v>
      </c>
      <c r="C411" s="10" t="s">
        <v>264</v>
      </c>
      <c r="D411" s="10" t="s">
        <v>149</v>
      </c>
      <c r="E411" s="10" t="s">
        <v>151</v>
      </c>
      <c r="F411" s="11">
        <v>1920.06</v>
      </c>
      <c r="G411" s="11">
        <v>17196.84</v>
      </c>
      <c r="H411" s="12">
        <v>0.11165185204142797</v>
      </c>
      <c r="I411" s="10">
        <v>4</v>
      </c>
      <c r="J411" s="21">
        <v>30</v>
      </c>
      <c r="K411" s="21">
        <v>75</v>
      </c>
      <c r="L411" s="21">
        <v>80</v>
      </c>
      <c r="M411" s="21">
        <v>93.580645922060057</v>
      </c>
      <c r="N411" s="21">
        <f>J411*Supuestos!$B$7+K411*Supuestos!$B$8+L411*Supuestos!$B$9+M411*Supuestos!$B$10</f>
        <v>68.716129184412011</v>
      </c>
      <c r="O411" s="34" t="str">
        <f t="shared" si="6"/>
        <v>B</v>
      </c>
      <c r="P411" s="10" t="s">
        <v>447</v>
      </c>
      <c r="Q411" s="10" t="s">
        <v>436</v>
      </c>
    </row>
    <row r="412" spans="1:17">
      <c r="A412" s="10" t="s">
        <v>101</v>
      </c>
      <c r="B412" s="10" t="s">
        <v>60</v>
      </c>
      <c r="C412" s="10" t="s">
        <v>239</v>
      </c>
      <c r="D412" s="10" t="s">
        <v>127</v>
      </c>
      <c r="E412" s="10" t="s">
        <v>151</v>
      </c>
      <c r="F412" s="11">
        <v>1510.67</v>
      </c>
      <c r="G412" s="11">
        <v>45460.47</v>
      </c>
      <c r="H412" s="12">
        <v>3.3230313992411976E-2</v>
      </c>
      <c r="I412" s="10">
        <v>8</v>
      </c>
      <c r="J412" s="21">
        <v>85</v>
      </c>
      <c r="K412" s="21">
        <v>75</v>
      </c>
      <c r="L412" s="21">
        <v>25</v>
      </c>
      <c r="M412" s="21">
        <v>93.580645922060057</v>
      </c>
      <c r="N412" s="21">
        <f>J412*Supuestos!$B$7+K412*Supuestos!$B$8+L412*Supuestos!$B$9+M412*Supuestos!$B$10</f>
        <v>68.716129184412011</v>
      </c>
      <c r="O412" s="34" t="str">
        <f t="shared" si="6"/>
        <v>B</v>
      </c>
      <c r="P412" s="10" t="s">
        <v>447</v>
      </c>
      <c r="Q412" s="10" t="s">
        <v>436</v>
      </c>
    </row>
    <row r="413" spans="1:17">
      <c r="A413" s="10" t="s">
        <v>111</v>
      </c>
      <c r="B413" s="10" t="s">
        <v>60</v>
      </c>
      <c r="C413" s="10" t="s">
        <v>370</v>
      </c>
      <c r="D413" s="10" t="s">
        <v>149</v>
      </c>
      <c r="E413" s="10" t="s">
        <v>151</v>
      </c>
      <c r="F413" s="11">
        <v>1380.11</v>
      </c>
      <c r="G413" s="11">
        <v>17057.150000000001</v>
      </c>
      <c r="H413" s="12">
        <v>8.0910835493791383E-2</v>
      </c>
      <c r="I413" s="10">
        <v>3</v>
      </c>
      <c r="J413" s="21">
        <v>30</v>
      </c>
      <c r="K413" s="21">
        <v>75</v>
      </c>
      <c r="L413" s="21">
        <v>80</v>
      </c>
      <c r="M413" s="21">
        <v>93.580645922060057</v>
      </c>
      <c r="N413" s="21">
        <f>J413*Supuestos!$B$7+K413*Supuestos!$B$8+L413*Supuestos!$B$9+M413*Supuestos!$B$10</f>
        <v>68.716129184412011</v>
      </c>
      <c r="O413" s="34" t="str">
        <f t="shared" si="6"/>
        <v>B</v>
      </c>
      <c r="P413" s="10" t="s">
        <v>447</v>
      </c>
      <c r="Q413" s="10" t="s">
        <v>436</v>
      </c>
    </row>
    <row r="414" spans="1:17">
      <c r="A414" s="10" t="s">
        <v>101</v>
      </c>
      <c r="B414" s="10" t="s">
        <v>60</v>
      </c>
      <c r="C414" s="10" t="s">
        <v>346</v>
      </c>
      <c r="D414" s="10" t="s">
        <v>127</v>
      </c>
      <c r="E414" s="10" t="s">
        <v>151</v>
      </c>
      <c r="F414" s="11">
        <v>843.91</v>
      </c>
      <c r="G414" s="11">
        <v>41126.71</v>
      </c>
      <c r="H414" s="12">
        <v>2.051972879031877E-2</v>
      </c>
      <c r="I414" s="10">
        <v>9</v>
      </c>
      <c r="J414" s="21">
        <v>85</v>
      </c>
      <c r="K414" s="21">
        <v>75</v>
      </c>
      <c r="L414" s="21">
        <v>25</v>
      </c>
      <c r="M414" s="21">
        <v>93.580645922060057</v>
      </c>
      <c r="N414" s="21">
        <f>J414*Supuestos!$B$7+K414*Supuestos!$B$8+L414*Supuestos!$B$9+M414*Supuestos!$B$10</f>
        <v>68.716129184412011</v>
      </c>
      <c r="O414" s="34" t="str">
        <f t="shared" si="6"/>
        <v>B</v>
      </c>
      <c r="P414" s="10" t="s">
        <v>447</v>
      </c>
      <c r="Q414" s="10" t="s">
        <v>436</v>
      </c>
    </row>
    <row r="415" spans="1:17">
      <c r="A415" s="10" t="s">
        <v>101</v>
      </c>
      <c r="B415" s="10" t="s">
        <v>60</v>
      </c>
      <c r="C415" s="10" t="s">
        <v>320</v>
      </c>
      <c r="D415" s="10" t="s">
        <v>127</v>
      </c>
      <c r="E415" s="10" t="s">
        <v>151</v>
      </c>
      <c r="F415" s="11">
        <v>719.97</v>
      </c>
      <c r="G415" s="11">
        <v>19670.240000000002</v>
      </c>
      <c r="H415" s="12">
        <v>3.6602000365295789E-2</v>
      </c>
      <c r="I415" s="10">
        <v>8</v>
      </c>
      <c r="J415" s="21">
        <v>85</v>
      </c>
      <c r="K415" s="21">
        <v>75</v>
      </c>
      <c r="L415" s="21">
        <v>25</v>
      </c>
      <c r="M415" s="21">
        <v>93.580645922060057</v>
      </c>
      <c r="N415" s="21">
        <f>J415*Supuestos!$B$7+K415*Supuestos!$B$8+L415*Supuestos!$B$9+M415*Supuestos!$B$10</f>
        <v>68.716129184412011</v>
      </c>
      <c r="O415" s="34" t="str">
        <f t="shared" si="6"/>
        <v>B</v>
      </c>
      <c r="P415" s="10" t="s">
        <v>447</v>
      </c>
      <c r="Q415" s="10" t="s">
        <v>436</v>
      </c>
    </row>
    <row r="416" spans="1:17">
      <c r="A416" s="10" t="s">
        <v>111</v>
      </c>
      <c r="B416" s="10" t="s">
        <v>60</v>
      </c>
      <c r="C416" s="10" t="s">
        <v>196</v>
      </c>
      <c r="D416" s="10" t="s">
        <v>127</v>
      </c>
      <c r="E416" s="10" t="s">
        <v>446</v>
      </c>
      <c r="F416" s="11">
        <v>2938.88</v>
      </c>
      <c r="G416" s="11">
        <v>65116.91</v>
      </c>
      <c r="H416" s="12">
        <v>4.5132352376195776E-2</v>
      </c>
      <c r="I416" s="10">
        <v>4</v>
      </c>
      <c r="J416" s="21">
        <v>85</v>
      </c>
      <c r="K416" s="21">
        <v>75</v>
      </c>
      <c r="L416" s="21">
        <v>25</v>
      </c>
      <c r="M416" s="21">
        <v>93.560509294235828</v>
      </c>
      <c r="N416" s="21">
        <f>J416*Supuestos!$B$7+K416*Supuestos!$B$8+L416*Supuestos!$B$9+M416*Supuestos!$B$10</f>
        <v>68.712101858847163</v>
      </c>
      <c r="O416" s="34" t="str">
        <f t="shared" si="6"/>
        <v>B</v>
      </c>
      <c r="P416" s="10" t="s">
        <v>447</v>
      </c>
      <c r="Q416" s="10" t="s">
        <v>436</v>
      </c>
    </row>
    <row r="417" spans="1:17">
      <c r="A417" s="10" t="s">
        <v>101</v>
      </c>
      <c r="B417" s="10" t="s">
        <v>60</v>
      </c>
      <c r="C417" s="10" t="s">
        <v>271</v>
      </c>
      <c r="D417" s="10" t="s">
        <v>149</v>
      </c>
      <c r="E417" s="10" t="s">
        <v>446</v>
      </c>
      <c r="F417" s="11">
        <v>804.92</v>
      </c>
      <c r="G417" s="11">
        <v>5062.1000000000004</v>
      </c>
      <c r="H417" s="12">
        <v>0.15900994584354344</v>
      </c>
      <c r="I417" s="10">
        <v>2</v>
      </c>
      <c r="J417" s="21">
        <v>30</v>
      </c>
      <c r="K417" s="21">
        <v>75</v>
      </c>
      <c r="L417" s="21">
        <v>80</v>
      </c>
      <c r="M417" s="21">
        <v>93.560509294235828</v>
      </c>
      <c r="N417" s="21">
        <f>J417*Supuestos!$B$7+K417*Supuestos!$B$8+L417*Supuestos!$B$9+M417*Supuestos!$B$10</f>
        <v>68.712101858847163</v>
      </c>
      <c r="O417" s="34" t="str">
        <f t="shared" si="6"/>
        <v>B</v>
      </c>
      <c r="P417" s="10" t="s">
        <v>447</v>
      </c>
      <c r="Q417" s="10" t="s">
        <v>436</v>
      </c>
    </row>
    <row r="418" spans="1:17">
      <c r="A418" s="10" t="s">
        <v>101</v>
      </c>
      <c r="B418" s="10" t="s">
        <v>60</v>
      </c>
      <c r="C418" s="10" t="s">
        <v>224</v>
      </c>
      <c r="D418" s="10" t="s">
        <v>127</v>
      </c>
      <c r="E418" s="10" t="s">
        <v>446</v>
      </c>
      <c r="F418" s="11">
        <v>745.3</v>
      </c>
      <c r="G418" s="11">
        <v>22669.16</v>
      </c>
      <c r="H418" s="12">
        <v>3.2877266634632404E-2</v>
      </c>
      <c r="I418" s="10">
        <v>4</v>
      </c>
      <c r="J418" s="21">
        <v>85</v>
      </c>
      <c r="K418" s="21">
        <v>75</v>
      </c>
      <c r="L418" s="21">
        <v>25</v>
      </c>
      <c r="M418" s="21">
        <v>93.560509294235828</v>
      </c>
      <c r="N418" s="21">
        <f>J418*Supuestos!$B$7+K418*Supuestos!$B$8+L418*Supuestos!$B$9+M418*Supuestos!$B$10</f>
        <v>68.712101858847163</v>
      </c>
      <c r="O418" s="34" t="str">
        <f t="shared" si="6"/>
        <v>B</v>
      </c>
      <c r="P418" s="10" t="s">
        <v>447</v>
      </c>
      <c r="Q418" s="10" t="s">
        <v>436</v>
      </c>
    </row>
    <row r="419" spans="1:17">
      <c r="A419" s="10" t="s">
        <v>101</v>
      </c>
      <c r="B419" s="10" t="s">
        <v>60</v>
      </c>
      <c r="C419" s="10" t="s">
        <v>320</v>
      </c>
      <c r="D419" s="10" t="s">
        <v>127</v>
      </c>
      <c r="E419" s="10" t="s">
        <v>446</v>
      </c>
      <c r="F419" s="11">
        <v>631.58000000000004</v>
      </c>
      <c r="G419" s="11">
        <v>19670.240000000002</v>
      </c>
      <c r="H419" s="12">
        <v>3.2108226467833671E-2</v>
      </c>
      <c r="I419" s="10">
        <v>9</v>
      </c>
      <c r="J419" s="21">
        <v>85</v>
      </c>
      <c r="K419" s="21">
        <v>75.000000000000014</v>
      </c>
      <c r="L419" s="21">
        <v>25</v>
      </c>
      <c r="M419" s="21">
        <v>93.560509294235828</v>
      </c>
      <c r="N419" s="21">
        <f>J419*Supuestos!$B$7+K419*Supuestos!$B$8+L419*Supuestos!$B$9+M419*Supuestos!$B$10</f>
        <v>68.712101858847163</v>
      </c>
      <c r="O419" s="34" t="str">
        <f t="shared" si="6"/>
        <v>B</v>
      </c>
      <c r="P419" s="10" t="s">
        <v>447</v>
      </c>
      <c r="Q419" s="10" t="s">
        <v>436</v>
      </c>
    </row>
    <row r="420" spans="1:17">
      <c r="A420" s="10" t="s">
        <v>101</v>
      </c>
      <c r="B420" s="10" t="s">
        <v>60</v>
      </c>
      <c r="C420" s="10" t="s">
        <v>354</v>
      </c>
      <c r="D420" s="10" t="s">
        <v>149</v>
      </c>
      <c r="E420" s="10" t="s">
        <v>446</v>
      </c>
      <c r="F420" s="11">
        <v>283.52999999999997</v>
      </c>
      <c r="G420" s="11">
        <v>1522.91</v>
      </c>
      <c r="H420" s="12">
        <v>0.18617385352498286</v>
      </c>
      <c r="I420" s="10">
        <v>2</v>
      </c>
      <c r="J420" s="21">
        <v>30</v>
      </c>
      <c r="K420" s="21">
        <v>75</v>
      </c>
      <c r="L420" s="21">
        <v>80</v>
      </c>
      <c r="M420" s="21">
        <v>93.560509294235828</v>
      </c>
      <c r="N420" s="21">
        <f>J420*Supuestos!$B$7+K420*Supuestos!$B$8+L420*Supuestos!$B$9+M420*Supuestos!$B$10</f>
        <v>68.712101858847163</v>
      </c>
      <c r="O420" s="34" t="str">
        <f t="shared" si="6"/>
        <v>B</v>
      </c>
      <c r="P420" s="10" t="s">
        <v>447</v>
      </c>
      <c r="Q420" s="10" t="s">
        <v>436</v>
      </c>
    </row>
    <row r="421" spans="1:17">
      <c r="A421" s="10" t="s">
        <v>101</v>
      </c>
      <c r="B421" s="10" t="s">
        <v>60</v>
      </c>
      <c r="C421" s="10" t="s">
        <v>325</v>
      </c>
      <c r="D421" s="10" t="s">
        <v>149</v>
      </c>
      <c r="E421" s="10" t="s">
        <v>482</v>
      </c>
      <c r="F421" s="11">
        <v>534.99</v>
      </c>
      <c r="G421" s="11">
        <v>3886.23</v>
      </c>
      <c r="H421" s="12">
        <v>0.13766281140699096</v>
      </c>
      <c r="I421" s="10">
        <v>3</v>
      </c>
      <c r="J421" s="21">
        <v>30</v>
      </c>
      <c r="K421" s="21">
        <v>75</v>
      </c>
      <c r="L421" s="21">
        <v>80</v>
      </c>
      <c r="M421" s="21">
        <v>93.52249900213674</v>
      </c>
      <c r="N421" s="21">
        <f>J421*Supuestos!$B$7+K421*Supuestos!$B$8+L421*Supuestos!$B$9+M421*Supuestos!$B$10</f>
        <v>68.704499800427357</v>
      </c>
      <c r="O421" s="34" t="str">
        <f t="shared" si="6"/>
        <v>B</v>
      </c>
      <c r="P421" s="10" t="s">
        <v>447</v>
      </c>
      <c r="Q421" s="10" t="s">
        <v>436</v>
      </c>
    </row>
    <row r="422" spans="1:17">
      <c r="A422" s="10" t="s">
        <v>255</v>
      </c>
      <c r="B422" s="10" t="s">
        <v>60</v>
      </c>
      <c r="C422" s="10" t="s">
        <v>392</v>
      </c>
      <c r="D422" s="10" t="s">
        <v>103</v>
      </c>
      <c r="E422" s="10" t="s">
        <v>462</v>
      </c>
      <c r="F422" s="11">
        <v>6889.43</v>
      </c>
      <c r="G422" s="11">
        <v>180471.74</v>
      </c>
      <c r="H422" s="12">
        <v>3.817458334604467E-2</v>
      </c>
      <c r="I422" s="10">
        <v>8</v>
      </c>
      <c r="J422" s="21">
        <v>100</v>
      </c>
      <c r="K422" s="21">
        <v>63.998297234408611</v>
      </c>
      <c r="L422" s="21">
        <v>25</v>
      </c>
      <c r="M422" s="21">
        <v>90.510155415039009</v>
      </c>
      <c r="N422" s="21">
        <f>J422*Supuestos!$B$7+K422*Supuestos!$B$8+L422*Supuestos!$B$9+M422*Supuestos!$B$10</f>
        <v>68.551520253330381</v>
      </c>
      <c r="O422" s="34" t="str">
        <f t="shared" si="6"/>
        <v>B</v>
      </c>
      <c r="P422" s="10" t="s">
        <v>447</v>
      </c>
      <c r="Q422" s="10" t="s">
        <v>441</v>
      </c>
    </row>
    <row r="423" spans="1:17">
      <c r="A423" s="10" t="s">
        <v>111</v>
      </c>
      <c r="B423" s="10" t="s">
        <v>60</v>
      </c>
      <c r="C423" s="10" t="s">
        <v>196</v>
      </c>
      <c r="D423" s="10" t="s">
        <v>127</v>
      </c>
      <c r="E423" s="10" t="s">
        <v>477</v>
      </c>
      <c r="F423" s="11">
        <v>20569.650000000001</v>
      </c>
      <c r="G423" s="11">
        <v>65116.91</v>
      </c>
      <c r="H423" s="12">
        <v>0.3158880479465212</v>
      </c>
      <c r="I423" s="10">
        <v>2</v>
      </c>
      <c r="J423" s="21">
        <v>85</v>
      </c>
      <c r="K423" s="21">
        <v>29.999999999999996</v>
      </c>
      <c r="L423" s="21">
        <v>100</v>
      </c>
      <c r="M423" s="21">
        <v>64.611619732455594</v>
      </c>
      <c r="N423" s="21">
        <f>J423*Supuestos!$B$7+K423*Supuestos!$B$8+L423*Supuestos!$B$9+M423*Supuestos!$B$10</f>
        <v>68.172323946491119</v>
      </c>
      <c r="O423" s="34" t="str">
        <f t="shared" si="6"/>
        <v>B</v>
      </c>
      <c r="P423" s="10" t="s">
        <v>447</v>
      </c>
      <c r="Q423" s="10" t="s">
        <v>471</v>
      </c>
    </row>
    <row r="424" spans="1:17">
      <c r="A424" s="10" t="s">
        <v>111</v>
      </c>
      <c r="B424" s="10" t="s">
        <v>60</v>
      </c>
      <c r="C424" s="10" t="s">
        <v>126</v>
      </c>
      <c r="D424" s="10" t="s">
        <v>127</v>
      </c>
      <c r="E424" s="10" t="s">
        <v>477</v>
      </c>
      <c r="F424" s="11">
        <v>16029.68</v>
      </c>
      <c r="G424" s="11">
        <v>46119.99</v>
      </c>
      <c r="H424" s="12">
        <v>0.34756469657588429</v>
      </c>
      <c r="I424" s="10">
        <v>1</v>
      </c>
      <c r="J424" s="21">
        <v>85</v>
      </c>
      <c r="K424" s="21">
        <v>30</v>
      </c>
      <c r="L424" s="21">
        <v>100</v>
      </c>
      <c r="M424" s="21">
        <v>64.611619732455594</v>
      </c>
      <c r="N424" s="21">
        <f>J424*Supuestos!$B$7+K424*Supuestos!$B$8+L424*Supuestos!$B$9+M424*Supuestos!$B$10</f>
        <v>68.172323946491119</v>
      </c>
      <c r="O424" s="34" t="str">
        <f t="shared" si="6"/>
        <v>B</v>
      </c>
      <c r="P424" s="10" t="s">
        <v>447</v>
      </c>
      <c r="Q424" s="10" t="s">
        <v>471</v>
      </c>
    </row>
    <row r="425" spans="1:17">
      <c r="A425" s="10" t="s">
        <v>101</v>
      </c>
      <c r="B425" s="10" t="s">
        <v>60</v>
      </c>
      <c r="C425" s="10" t="s">
        <v>132</v>
      </c>
      <c r="D425" s="10" t="s">
        <v>127</v>
      </c>
      <c r="E425" s="10" t="s">
        <v>499</v>
      </c>
      <c r="F425" s="11">
        <v>3919.55</v>
      </c>
      <c r="G425" s="11">
        <v>5681.95</v>
      </c>
      <c r="H425" s="12">
        <v>0.68982470945431529</v>
      </c>
      <c r="I425" s="10">
        <v>1</v>
      </c>
      <c r="J425" s="21">
        <v>85</v>
      </c>
      <c r="K425" s="21">
        <v>30</v>
      </c>
      <c r="L425" s="21">
        <v>100</v>
      </c>
      <c r="M425" s="21">
        <v>62.5</v>
      </c>
      <c r="N425" s="21">
        <f>J425*Supuestos!$B$7+K425*Supuestos!$B$8+L425*Supuestos!$B$9+M425*Supuestos!$B$10</f>
        <v>67.75</v>
      </c>
      <c r="O425" s="34" t="str">
        <f t="shared" si="6"/>
        <v>B</v>
      </c>
      <c r="P425" s="10" t="s">
        <v>447</v>
      </c>
      <c r="Q425" s="10" t="s">
        <v>471</v>
      </c>
    </row>
    <row r="426" spans="1:17">
      <c r="A426" s="10" t="s">
        <v>101</v>
      </c>
      <c r="B426" s="10" t="s">
        <v>60</v>
      </c>
      <c r="C426" s="10" t="s">
        <v>354</v>
      </c>
      <c r="D426" s="10" t="s">
        <v>149</v>
      </c>
      <c r="E426" s="10" t="s">
        <v>193</v>
      </c>
      <c r="F426" s="11">
        <v>101.94</v>
      </c>
      <c r="G426" s="11">
        <v>1522.91</v>
      </c>
      <c r="H426" s="12">
        <v>6.6940451745379881E-2</v>
      </c>
      <c r="I426" s="10">
        <v>7</v>
      </c>
      <c r="J426" s="21">
        <v>30</v>
      </c>
      <c r="K426" s="21">
        <v>90</v>
      </c>
      <c r="L426" s="21">
        <v>55</v>
      </c>
      <c r="M426" s="21">
        <v>96.676367126980296</v>
      </c>
      <c r="N426" s="21">
        <f>J426*Supuestos!$B$7+K426*Supuestos!$B$8+L426*Supuestos!$B$9+M426*Supuestos!$B$10</f>
        <v>67.585273425396053</v>
      </c>
      <c r="O426" s="34" t="str">
        <f t="shared" si="6"/>
        <v>B</v>
      </c>
      <c r="P426" s="10" t="s">
        <v>435</v>
      </c>
      <c r="Q426" s="10" t="s">
        <v>441</v>
      </c>
    </row>
    <row r="427" spans="1:17">
      <c r="A427" s="10" t="s">
        <v>101</v>
      </c>
      <c r="B427" s="10" t="s">
        <v>60</v>
      </c>
      <c r="C427" s="10" t="s">
        <v>325</v>
      </c>
      <c r="D427" s="10" t="s">
        <v>149</v>
      </c>
      <c r="E427" s="10" t="s">
        <v>458</v>
      </c>
      <c r="F427" s="11">
        <v>1648</v>
      </c>
      <c r="G427" s="11">
        <v>3886.23</v>
      </c>
      <c r="H427" s="12">
        <v>0.42406068278866166</v>
      </c>
      <c r="I427" s="10">
        <v>1</v>
      </c>
      <c r="J427" s="21">
        <v>30</v>
      </c>
      <c r="K427" s="21">
        <v>75</v>
      </c>
      <c r="L427" s="21">
        <v>100</v>
      </c>
      <c r="M427" s="21">
        <v>61.25</v>
      </c>
      <c r="N427" s="21">
        <f>J427*Supuestos!$B$7+K427*Supuestos!$B$8+L427*Supuestos!$B$9+M427*Supuestos!$B$10</f>
        <v>67.25</v>
      </c>
      <c r="O427" s="34" t="str">
        <f t="shared" si="6"/>
        <v>B</v>
      </c>
      <c r="P427" s="10" t="s">
        <v>447</v>
      </c>
      <c r="Q427" s="10" t="s">
        <v>436</v>
      </c>
    </row>
    <row r="428" spans="1:17">
      <c r="A428" s="10" t="s">
        <v>165</v>
      </c>
      <c r="B428" s="10" t="s">
        <v>60</v>
      </c>
      <c r="C428" s="10" t="s">
        <v>302</v>
      </c>
      <c r="D428" s="10" t="s">
        <v>103</v>
      </c>
      <c r="E428" s="10" t="s">
        <v>467</v>
      </c>
      <c r="F428" s="11">
        <v>16270.47</v>
      </c>
      <c r="G428" s="11">
        <v>357771.85</v>
      </c>
      <c r="H428" s="12">
        <v>4.5477225452763857E-2</v>
      </c>
      <c r="I428" s="10">
        <v>7</v>
      </c>
      <c r="J428" s="21">
        <v>100</v>
      </c>
      <c r="K428" s="21">
        <v>65</v>
      </c>
      <c r="L428" s="21">
        <v>25</v>
      </c>
      <c r="M428" s="21">
        <v>81.25</v>
      </c>
      <c r="N428" s="21">
        <f>J428*Supuestos!$B$7+K428*Supuestos!$B$8+L428*Supuestos!$B$9+M428*Supuestos!$B$10</f>
        <v>67</v>
      </c>
      <c r="O428" s="34" t="str">
        <f t="shared" si="6"/>
        <v>B</v>
      </c>
      <c r="P428" s="10" t="s">
        <v>447</v>
      </c>
      <c r="Q428" s="10" t="s">
        <v>441</v>
      </c>
    </row>
    <row r="429" spans="1:17">
      <c r="A429" s="10" t="s">
        <v>111</v>
      </c>
      <c r="B429" s="10" t="s">
        <v>69</v>
      </c>
      <c r="C429" s="10" t="s">
        <v>309</v>
      </c>
      <c r="D429" s="10" t="s">
        <v>103</v>
      </c>
      <c r="E429" s="10" t="s">
        <v>467</v>
      </c>
      <c r="F429" s="11">
        <v>7498.24</v>
      </c>
      <c r="G429" s="11">
        <v>712220.68</v>
      </c>
      <c r="H429" s="12">
        <v>1.052797091809292E-2</v>
      </c>
      <c r="I429" s="10">
        <v>17</v>
      </c>
      <c r="J429" s="21">
        <v>100</v>
      </c>
      <c r="K429" s="21">
        <v>65</v>
      </c>
      <c r="L429" s="21">
        <v>25</v>
      </c>
      <c r="M429" s="21">
        <v>81.25</v>
      </c>
      <c r="N429" s="21">
        <f>J429*Supuestos!$B$7+K429*Supuestos!$B$8+L429*Supuestos!$B$9+M429*Supuestos!$B$10</f>
        <v>67</v>
      </c>
      <c r="O429" s="34" t="str">
        <f t="shared" si="6"/>
        <v>B</v>
      </c>
      <c r="P429" s="10" t="s">
        <v>447</v>
      </c>
      <c r="Q429" s="10" t="s">
        <v>441</v>
      </c>
    </row>
    <row r="430" spans="1:17">
      <c r="A430" s="10" t="s">
        <v>165</v>
      </c>
      <c r="B430" s="10" t="s">
        <v>60</v>
      </c>
      <c r="C430" s="10" t="s">
        <v>166</v>
      </c>
      <c r="D430" s="10" t="s">
        <v>103</v>
      </c>
      <c r="E430" s="10" t="s">
        <v>467</v>
      </c>
      <c r="F430" s="11">
        <v>5260.25</v>
      </c>
      <c r="G430" s="11">
        <v>929838.13</v>
      </c>
      <c r="H430" s="12">
        <v>5.6571717622321887E-3</v>
      </c>
      <c r="I430" s="10">
        <v>19</v>
      </c>
      <c r="J430" s="21">
        <v>100</v>
      </c>
      <c r="K430" s="21">
        <v>65</v>
      </c>
      <c r="L430" s="21">
        <v>25</v>
      </c>
      <c r="M430" s="21">
        <v>81.25</v>
      </c>
      <c r="N430" s="21">
        <f>J430*Supuestos!$B$7+K430*Supuestos!$B$8+L430*Supuestos!$B$9+M430*Supuestos!$B$10</f>
        <v>67</v>
      </c>
      <c r="O430" s="34" t="str">
        <f t="shared" si="6"/>
        <v>B</v>
      </c>
      <c r="P430" s="10" t="s">
        <v>447</v>
      </c>
      <c r="Q430" s="10" t="s">
        <v>441</v>
      </c>
    </row>
    <row r="431" spans="1:17">
      <c r="A431" s="10" t="s">
        <v>111</v>
      </c>
      <c r="B431" s="10" t="s">
        <v>60</v>
      </c>
      <c r="C431" s="10" t="s">
        <v>339</v>
      </c>
      <c r="D431" s="10" t="s">
        <v>103</v>
      </c>
      <c r="E431" s="10" t="s">
        <v>467</v>
      </c>
      <c r="F431" s="11">
        <v>4551.0200000000004</v>
      </c>
      <c r="G431" s="11">
        <v>114879.92</v>
      </c>
      <c r="H431" s="12">
        <v>3.9615453984830996E-2</v>
      </c>
      <c r="I431" s="10">
        <v>7</v>
      </c>
      <c r="J431" s="21">
        <v>100</v>
      </c>
      <c r="K431" s="21">
        <v>65</v>
      </c>
      <c r="L431" s="21">
        <v>25</v>
      </c>
      <c r="M431" s="21">
        <v>81.25</v>
      </c>
      <c r="N431" s="21">
        <f>J431*Supuestos!$B$7+K431*Supuestos!$B$8+L431*Supuestos!$B$9+M431*Supuestos!$B$10</f>
        <v>67</v>
      </c>
      <c r="O431" s="34" t="str">
        <f t="shared" si="6"/>
        <v>B</v>
      </c>
      <c r="P431" s="10" t="s">
        <v>447</v>
      </c>
      <c r="Q431" s="10" t="s">
        <v>441</v>
      </c>
    </row>
    <row r="432" spans="1:17">
      <c r="A432" s="10" t="s">
        <v>111</v>
      </c>
      <c r="B432" s="10" t="s">
        <v>73</v>
      </c>
      <c r="C432" s="10" t="s">
        <v>418</v>
      </c>
      <c r="D432" s="10" t="s">
        <v>103</v>
      </c>
      <c r="E432" s="10" t="s">
        <v>467</v>
      </c>
      <c r="F432" s="11">
        <v>3782.58</v>
      </c>
      <c r="G432" s="11">
        <v>642203.68000000005</v>
      </c>
      <c r="H432" s="12">
        <v>5.8899998699876045E-3</v>
      </c>
      <c r="I432" s="10">
        <v>19</v>
      </c>
      <c r="J432" s="21">
        <v>100</v>
      </c>
      <c r="K432" s="21">
        <v>65</v>
      </c>
      <c r="L432" s="21">
        <v>25</v>
      </c>
      <c r="M432" s="21">
        <v>81.25</v>
      </c>
      <c r="N432" s="21">
        <f>J432*Supuestos!$B$7+K432*Supuestos!$B$8+L432*Supuestos!$B$9+M432*Supuestos!$B$10</f>
        <v>67</v>
      </c>
      <c r="O432" s="34" t="str">
        <f t="shared" si="6"/>
        <v>B</v>
      </c>
      <c r="P432" s="10" t="s">
        <v>447</v>
      </c>
      <c r="Q432" s="10" t="s">
        <v>441</v>
      </c>
    </row>
    <row r="433" spans="1:17">
      <c r="A433" s="10" t="s">
        <v>255</v>
      </c>
      <c r="B433" s="10" t="s">
        <v>60</v>
      </c>
      <c r="C433" s="10" t="s">
        <v>328</v>
      </c>
      <c r="D433" s="10" t="s">
        <v>103</v>
      </c>
      <c r="E433" s="10" t="s">
        <v>467</v>
      </c>
      <c r="F433" s="11">
        <v>1559.81</v>
      </c>
      <c r="G433" s="11">
        <v>132474.79999999999</v>
      </c>
      <c r="H433" s="12">
        <v>1.177441857106826E-2</v>
      </c>
      <c r="I433" s="10">
        <v>14</v>
      </c>
      <c r="J433" s="21">
        <v>100</v>
      </c>
      <c r="K433" s="21">
        <v>65</v>
      </c>
      <c r="L433" s="21">
        <v>25</v>
      </c>
      <c r="M433" s="21">
        <v>81.25</v>
      </c>
      <c r="N433" s="21">
        <f>J433*Supuestos!$B$7+K433*Supuestos!$B$8+L433*Supuestos!$B$9+M433*Supuestos!$B$10</f>
        <v>67</v>
      </c>
      <c r="O433" s="34" t="str">
        <f t="shared" si="6"/>
        <v>B</v>
      </c>
      <c r="P433" s="10" t="s">
        <v>447</v>
      </c>
      <c r="Q433" s="10" t="s">
        <v>441</v>
      </c>
    </row>
    <row r="434" spans="1:17">
      <c r="A434" s="10" t="s">
        <v>101</v>
      </c>
      <c r="B434" s="10" t="s">
        <v>60</v>
      </c>
      <c r="C434" s="10" t="s">
        <v>243</v>
      </c>
      <c r="D434" s="10" t="s">
        <v>103</v>
      </c>
      <c r="E434" s="10" t="s">
        <v>467</v>
      </c>
      <c r="F434" s="11">
        <v>1194.1500000000001</v>
      </c>
      <c r="G434" s="11">
        <v>114854.99</v>
      </c>
      <c r="H434" s="12">
        <v>1.0397003115184895E-2</v>
      </c>
      <c r="I434" s="10">
        <v>16</v>
      </c>
      <c r="J434" s="21">
        <v>100</v>
      </c>
      <c r="K434" s="21">
        <v>65</v>
      </c>
      <c r="L434" s="21">
        <v>25</v>
      </c>
      <c r="M434" s="21">
        <v>81.25</v>
      </c>
      <c r="N434" s="21">
        <f>J434*Supuestos!$B$7+K434*Supuestos!$B$8+L434*Supuestos!$B$9+M434*Supuestos!$B$10</f>
        <v>67</v>
      </c>
      <c r="O434" s="34" t="str">
        <f t="shared" si="6"/>
        <v>B</v>
      </c>
      <c r="P434" s="10" t="s">
        <v>447</v>
      </c>
      <c r="Q434" s="10" t="s">
        <v>441</v>
      </c>
    </row>
    <row r="435" spans="1:17">
      <c r="A435" s="10" t="s">
        <v>111</v>
      </c>
      <c r="B435" s="10" t="s">
        <v>60</v>
      </c>
      <c r="C435" s="10" t="s">
        <v>208</v>
      </c>
      <c r="D435" s="10" t="s">
        <v>103</v>
      </c>
      <c r="E435" s="10" t="s">
        <v>467</v>
      </c>
      <c r="F435" s="11">
        <v>403.61</v>
      </c>
      <c r="G435" s="11">
        <v>201558.18</v>
      </c>
      <c r="H435" s="12">
        <v>2.002442124252408E-3</v>
      </c>
      <c r="I435" s="10">
        <v>13</v>
      </c>
      <c r="J435" s="21">
        <v>100</v>
      </c>
      <c r="K435" s="21">
        <v>65</v>
      </c>
      <c r="L435" s="21">
        <v>25</v>
      </c>
      <c r="M435" s="21">
        <v>81.25</v>
      </c>
      <c r="N435" s="21">
        <f>J435*Supuestos!$B$7+K435*Supuestos!$B$8+L435*Supuestos!$B$9+M435*Supuestos!$B$10</f>
        <v>67</v>
      </c>
      <c r="O435" s="34" t="str">
        <f t="shared" si="6"/>
        <v>B</v>
      </c>
      <c r="P435" s="10" t="s">
        <v>447</v>
      </c>
      <c r="Q435" s="10" t="s">
        <v>441</v>
      </c>
    </row>
    <row r="436" spans="1:17">
      <c r="A436" s="10" t="s">
        <v>255</v>
      </c>
      <c r="B436" s="10" t="s">
        <v>60</v>
      </c>
      <c r="C436" s="10" t="s">
        <v>260</v>
      </c>
      <c r="D436" s="10" t="s">
        <v>103</v>
      </c>
      <c r="E436" s="10" t="s">
        <v>467</v>
      </c>
      <c r="F436" s="11">
        <v>206.39</v>
      </c>
      <c r="G436" s="11">
        <v>164350.82</v>
      </c>
      <c r="H436" s="12">
        <v>1.2557938908241558E-3</v>
      </c>
      <c r="I436" s="10">
        <v>13</v>
      </c>
      <c r="J436" s="21">
        <v>100</v>
      </c>
      <c r="K436" s="21">
        <v>65</v>
      </c>
      <c r="L436" s="21">
        <v>25</v>
      </c>
      <c r="M436" s="21">
        <v>81.25</v>
      </c>
      <c r="N436" s="21">
        <f>J436*Supuestos!$B$7+K436*Supuestos!$B$8+L436*Supuestos!$B$9+M436*Supuestos!$B$10</f>
        <v>67</v>
      </c>
      <c r="O436" s="34" t="str">
        <f t="shared" si="6"/>
        <v>B</v>
      </c>
      <c r="P436" s="10" t="s">
        <v>447</v>
      </c>
      <c r="Q436" s="10" t="s">
        <v>441</v>
      </c>
    </row>
    <row r="437" spans="1:17">
      <c r="A437" s="10" t="s">
        <v>255</v>
      </c>
      <c r="B437" s="10" t="s">
        <v>60</v>
      </c>
      <c r="C437" s="10" t="s">
        <v>392</v>
      </c>
      <c r="D437" s="10" t="s">
        <v>103</v>
      </c>
      <c r="E437" s="10" t="s">
        <v>467</v>
      </c>
      <c r="F437" s="11">
        <v>185.54</v>
      </c>
      <c r="G437" s="11">
        <v>180471.74</v>
      </c>
      <c r="H437" s="12">
        <v>1.0281011172582186E-3</v>
      </c>
      <c r="I437" s="10">
        <v>23</v>
      </c>
      <c r="J437" s="21">
        <v>100</v>
      </c>
      <c r="K437" s="21">
        <v>65</v>
      </c>
      <c r="L437" s="21">
        <v>25</v>
      </c>
      <c r="M437" s="21">
        <v>81.25</v>
      </c>
      <c r="N437" s="21">
        <f>J437*Supuestos!$B$7+K437*Supuestos!$B$8+L437*Supuestos!$B$9+M437*Supuestos!$B$10</f>
        <v>67</v>
      </c>
      <c r="O437" s="34" t="str">
        <f t="shared" si="6"/>
        <v>B</v>
      </c>
      <c r="P437" s="10" t="s">
        <v>447</v>
      </c>
      <c r="Q437" s="10" t="s">
        <v>441</v>
      </c>
    </row>
    <row r="438" spans="1:17">
      <c r="A438" s="10" t="s">
        <v>101</v>
      </c>
      <c r="B438" s="10" t="s">
        <v>60</v>
      </c>
      <c r="C438" s="10" t="s">
        <v>264</v>
      </c>
      <c r="D438" s="10" t="s">
        <v>149</v>
      </c>
      <c r="E438" s="10" t="s">
        <v>466</v>
      </c>
      <c r="F438" s="11">
        <v>2322</v>
      </c>
      <c r="G438" s="11">
        <v>17196.84</v>
      </c>
      <c r="H438" s="12">
        <v>0.13502479131785283</v>
      </c>
      <c r="I438" s="10">
        <v>3</v>
      </c>
      <c r="J438" s="21">
        <v>30</v>
      </c>
      <c r="K438" s="21">
        <v>75</v>
      </c>
      <c r="L438" s="21">
        <v>80</v>
      </c>
      <c r="M438" s="21">
        <v>83.75</v>
      </c>
      <c r="N438" s="21">
        <f>J438*Supuestos!$B$7+K438*Supuestos!$B$8+L438*Supuestos!$B$9+M438*Supuestos!$B$10</f>
        <v>66.75</v>
      </c>
      <c r="O438" s="34" t="str">
        <f t="shared" si="6"/>
        <v>B</v>
      </c>
      <c r="P438" s="10" t="s">
        <v>447</v>
      </c>
      <c r="Q438" s="10" t="s">
        <v>436</v>
      </c>
    </row>
    <row r="439" spans="1:17">
      <c r="A439" s="10" t="s">
        <v>111</v>
      </c>
      <c r="B439" s="10" t="s">
        <v>60</v>
      </c>
      <c r="C439" s="10" t="s">
        <v>126</v>
      </c>
      <c r="D439" s="10" t="s">
        <v>127</v>
      </c>
      <c r="E439" s="10" t="s">
        <v>466</v>
      </c>
      <c r="F439" s="11">
        <v>109.66</v>
      </c>
      <c r="G439" s="11">
        <v>46119.99</v>
      </c>
      <c r="H439" s="12">
        <v>2.3776697931969714E-3</v>
      </c>
      <c r="I439" s="10">
        <v>7</v>
      </c>
      <c r="J439" s="21">
        <v>85</v>
      </c>
      <c r="K439" s="21">
        <v>74.999999999999986</v>
      </c>
      <c r="L439" s="21">
        <v>25</v>
      </c>
      <c r="M439" s="21">
        <v>83.75</v>
      </c>
      <c r="N439" s="21">
        <f>J439*Supuestos!$B$7+K439*Supuestos!$B$8+L439*Supuestos!$B$9+M439*Supuestos!$B$10</f>
        <v>66.75</v>
      </c>
      <c r="O439" s="34" t="str">
        <f t="shared" si="6"/>
        <v>B</v>
      </c>
      <c r="P439" s="10" t="s">
        <v>447</v>
      </c>
      <c r="Q439" s="10" t="s">
        <v>436</v>
      </c>
    </row>
    <row r="440" spans="1:17">
      <c r="A440" s="10" t="s">
        <v>215</v>
      </c>
      <c r="B440" s="10" t="s">
        <v>60</v>
      </c>
      <c r="C440" s="10" t="s">
        <v>410</v>
      </c>
      <c r="D440" s="10" t="s">
        <v>103</v>
      </c>
      <c r="E440" s="10" t="s">
        <v>500</v>
      </c>
      <c r="F440" s="11">
        <v>31091.49</v>
      </c>
      <c r="G440" s="11">
        <v>273779.84999999998</v>
      </c>
      <c r="H440" s="12">
        <v>0.11356385330724822</v>
      </c>
      <c r="I440" s="10">
        <v>2</v>
      </c>
      <c r="J440" s="21">
        <v>100</v>
      </c>
      <c r="K440" s="21">
        <v>29.999999999999993</v>
      </c>
      <c r="L440" s="21">
        <v>80</v>
      </c>
      <c r="M440" s="21">
        <v>62.5</v>
      </c>
      <c r="N440" s="21">
        <f>J440*Supuestos!$B$7+K440*Supuestos!$B$8+L440*Supuestos!$B$9+M440*Supuestos!$B$10</f>
        <v>66.5</v>
      </c>
      <c r="O440" s="34" t="str">
        <f t="shared" si="6"/>
        <v>B</v>
      </c>
      <c r="P440" s="10" t="s">
        <v>447</v>
      </c>
      <c r="Q440" s="10" t="s">
        <v>471</v>
      </c>
    </row>
    <row r="441" spans="1:17">
      <c r="A441" s="10" t="s">
        <v>101</v>
      </c>
      <c r="B441" s="10" t="s">
        <v>60</v>
      </c>
      <c r="C441" s="10" t="s">
        <v>320</v>
      </c>
      <c r="D441" s="10" t="s">
        <v>127</v>
      </c>
      <c r="E441" s="10" t="s">
        <v>479</v>
      </c>
      <c r="F441" s="11">
        <v>284.57</v>
      </c>
      <c r="G441" s="11">
        <v>19670.240000000002</v>
      </c>
      <c r="H441" s="12">
        <v>1.4466984363291949E-2</v>
      </c>
      <c r="I441" s="10">
        <v>14</v>
      </c>
      <c r="J441" s="21">
        <v>85</v>
      </c>
      <c r="K441" s="21">
        <v>90</v>
      </c>
      <c r="L441" s="21">
        <v>25</v>
      </c>
      <c r="M441" s="21">
        <v>59.999999999999986</v>
      </c>
      <c r="N441" s="21">
        <f>J441*Supuestos!$B$7+K441*Supuestos!$B$8+L441*Supuestos!$B$9+M441*Supuestos!$B$10</f>
        <v>66.5</v>
      </c>
      <c r="O441" s="34" t="str">
        <f t="shared" si="6"/>
        <v>B</v>
      </c>
      <c r="P441" s="10" t="s">
        <v>435</v>
      </c>
      <c r="Q441" s="10" t="s">
        <v>441</v>
      </c>
    </row>
    <row r="442" spans="1:17">
      <c r="A442" s="10" t="s">
        <v>111</v>
      </c>
      <c r="B442" s="10" t="s">
        <v>69</v>
      </c>
      <c r="C442" s="10" t="s">
        <v>309</v>
      </c>
      <c r="D442" s="10" t="s">
        <v>103</v>
      </c>
      <c r="E442" s="10" t="s">
        <v>475</v>
      </c>
      <c r="F442" s="11">
        <v>63061.1</v>
      </c>
      <c r="G442" s="11">
        <v>712220.68</v>
      </c>
      <c r="H442" s="12">
        <v>8.854151110199808E-2</v>
      </c>
      <c r="I442" s="10">
        <v>4</v>
      </c>
      <c r="J442" s="21">
        <v>100</v>
      </c>
      <c r="K442" s="21">
        <v>40.322821742056611</v>
      </c>
      <c r="L442" s="21">
        <v>55</v>
      </c>
      <c r="M442" s="21">
        <v>77.637143099450157</v>
      </c>
      <c r="N442" s="21">
        <f>J442*Supuestos!$B$7+K442*Supuestos!$B$8+L442*Supuestos!$B$9+M442*Supuestos!$B$10</f>
        <v>66.374275142507017</v>
      </c>
      <c r="O442" s="34" t="str">
        <f t="shared" si="6"/>
        <v>B</v>
      </c>
      <c r="P442" s="10" t="s">
        <v>447</v>
      </c>
      <c r="Q442" s="10" t="s">
        <v>471</v>
      </c>
    </row>
    <row r="443" spans="1:17">
      <c r="A443" s="10" t="s">
        <v>255</v>
      </c>
      <c r="B443" s="10" t="s">
        <v>60</v>
      </c>
      <c r="C443" s="10" t="s">
        <v>260</v>
      </c>
      <c r="D443" s="10" t="s">
        <v>103</v>
      </c>
      <c r="E443" s="10" t="s">
        <v>470</v>
      </c>
      <c r="F443" s="11">
        <v>17936.43</v>
      </c>
      <c r="G443" s="11">
        <v>164350.82</v>
      </c>
      <c r="H443" s="12">
        <v>0.10913500909302204</v>
      </c>
      <c r="I443" s="10">
        <v>2</v>
      </c>
      <c r="J443" s="21">
        <v>100</v>
      </c>
      <c r="K443" s="21">
        <v>31.090530095841114</v>
      </c>
      <c r="L443" s="21">
        <v>80</v>
      </c>
      <c r="M443" s="21">
        <v>59.990545989455306</v>
      </c>
      <c r="N443" s="21">
        <f>J443*Supuestos!$B$7+K443*Supuestos!$B$8+L443*Supuestos!$B$9+M443*Supuestos!$B$10</f>
        <v>66.325268226643402</v>
      </c>
      <c r="O443" s="34" t="str">
        <f t="shared" si="6"/>
        <v>B</v>
      </c>
      <c r="P443" s="10" t="s">
        <v>447</v>
      </c>
      <c r="Q443" s="10" t="s">
        <v>471</v>
      </c>
    </row>
    <row r="444" spans="1:17">
      <c r="A444" s="10" t="s">
        <v>165</v>
      </c>
      <c r="B444" s="10" t="s">
        <v>60</v>
      </c>
      <c r="C444" s="10" t="s">
        <v>166</v>
      </c>
      <c r="D444" s="10" t="s">
        <v>103</v>
      </c>
      <c r="E444" s="10" t="s">
        <v>475</v>
      </c>
      <c r="F444" s="11">
        <v>30709.45</v>
      </c>
      <c r="G444" s="11">
        <v>929838.13</v>
      </c>
      <c r="H444" s="12">
        <v>3.3026664436546317E-2</v>
      </c>
      <c r="I444" s="10">
        <v>9</v>
      </c>
      <c r="J444" s="21">
        <v>100</v>
      </c>
      <c r="K444" s="21">
        <v>65</v>
      </c>
      <c r="L444" s="21">
        <v>25</v>
      </c>
      <c r="M444" s="21">
        <v>77.637143099450157</v>
      </c>
      <c r="N444" s="21">
        <f>J444*Supuestos!$B$7+K444*Supuestos!$B$8+L444*Supuestos!$B$9+M444*Supuestos!$B$10</f>
        <v>66.277428619890031</v>
      </c>
      <c r="O444" s="34" t="str">
        <f t="shared" si="6"/>
        <v>B</v>
      </c>
      <c r="P444" s="10" t="s">
        <v>447</v>
      </c>
      <c r="Q444" s="10" t="s">
        <v>441</v>
      </c>
    </row>
    <row r="445" spans="1:17">
      <c r="A445" s="10" t="s">
        <v>119</v>
      </c>
      <c r="B445" s="10" t="s">
        <v>383</v>
      </c>
      <c r="C445" s="10" t="s">
        <v>384</v>
      </c>
      <c r="D445" s="10" t="s">
        <v>103</v>
      </c>
      <c r="E445" s="10" t="s">
        <v>475</v>
      </c>
      <c r="F445" s="11">
        <v>21614.74</v>
      </c>
      <c r="G445" s="11">
        <v>574829.68000000005</v>
      </c>
      <c r="H445" s="12">
        <v>3.7601991048637144E-2</v>
      </c>
      <c r="I445" s="10">
        <v>8</v>
      </c>
      <c r="J445" s="21">
        <v>100</v>
      </c>
      <c r="K445" s="21">
        <v>65</v>
      </c>
      <c r="L445" s="21">
        <v>25</v>
      </c>
      <c r="M445" s="21">
        <v>77.637143099450157</v>
      </c>
      <c r="N445" s="21">
        <f>J445*Supuestos!$B$7+K445*Supuestos!$B$8+L445*Supuestos!$B$9+M445*Supuestos!$B$10</f>
        <v>66.277428619890031</v>
      </c>
      <c r="O445" s="34" t="str">
        <f t="shared" si="6"/>
        <v>B</v>
      </c>
      <c r="P445" s="10" t="s">
        <v>447</v>
      </c>
      <c r="Q445" s="10" t="s">
        <v>441</v>
      </c>
    </row>
    <row r="446" spans="1:17">
      <c r="A446" s="10" t="s">
        <v>255</v>
      </c>
      <c r="B446" s="10" t="s">
        <v>60</v>
      </c>
      <c r="C446" s="10" t="s">
        <v>256</v>
      </c>
      <c r="D446" s="10" t="s">
        <v>103</v>
      </c>
      <c r="E446" s="10" t="s">
        <v>475</v>
      </c>
      <c r="F446" s="11">
        <v>12670.1</v>
      </c>
      <c r="G446" s="11">
        <v>351341.95</v>
      </c>
      <c r="H446" s="12">
        <v>3.6062016373677112E-2</v>
      </c>
      <c r="I446" s="10">
        <v>6</v>
      </c>
      <c r="J446" s="21">
        <v>100</v>
      </c>
      <c r="K446" s="21">
        <v>65</v>
      </c>
      <c r="L446" s="21">
        <v>25</v>
      </c>
      <c r="M446" s="21">
        <v>77.637143099450157</v>
      </c>
      <c r="N446" s="21">
        <f>J446*Supuestos!$B$7+K446*Supuestos!$B$8+L446*Supuestos!$B$9+M446*Supuestos!$B$10</f>
        <v>66.277428619890031</v>
      </c>
      <c r="O446" s="34" t="str">
        <f t="shared" si="6"/>
        <v>B</v>
      </c>
      <c r="P446" s="10" t="s">
        <v>447</v>
      </c>
      <c r="Q446" s="10" t="s">
        <v>441</v>
      </c>
    </row>
    <row r="447" spans="1:17">
      <c r="A447" s="10" t="s">
        <v>165</v>
      </c>
      <c r="B447" s="10" t="s">
        <v>60</v>
      </c>
      <c r="C447" s="10" t="s">
        <v>302</v>
      </c>
      <c r="D447" s="10" t="s">
        <v>103</v>
      </c>
      <c r="E447" s="10" t="s">
        <v>475</v>
      </c>
      <c r="F447" s="11">
        <v>2809.94</v>
      </c>
      <c r="G447" s="11">
        <v>357771.85</v>
      </c>
      <c r="H447" s="12">
        <v>7.8539917133074177E-3</v>
      </c>
      <c r="I447" s="10">
        <v>13</v>
      </c>
      <c r="J447" s="21">
        <v>100</v>
      </c>
      <c r="K447" s="21">
        <v>65</v>
      </c>
      <c r="L447" s="21">
        <v>25</v>
      </c>
      <c r="M447" s="21">
        <v>77.637143099450157</v>
      </c>
      <c r="N447" s="21">
        <f>J447*Supuestos!$B$7+K447*Supuestos!$B$8+L447*Supuestos!$B$9+M447*Supuestos!$B$10</f>
        <v>66.277428619890031</v>
      </c>
      <c r="O447" s="34" t="str">
        <f t="shared" si="6"/>
        <v>B</v>
      </c>
      <c r="P447" s="10" t="s">
        <v>447</v>
      </c>
      <c r="Q447" s="10" t="s">
        <v>441</v>
      </c>
    </row>
    <row r="448" spans="1:17">
      <c r="A448" s="10" t="s">
        <v>255</v>
      </c>
      <c r="B448" s="10" t="s">
        <v>60</v>
      </c>
      <c r="C448" s="10" t="s">
        <v>350</v>
      </c>
      <c r="D448" s="10" t="s">
        <v>103</v>
      </c>
      <c r="E448" s="10" t="s">
        <v>475</v>
      </c>
      <c r="F448" s="11">
        <v>372.65</v>
      </c>
      <c r="G448" s="11">
        <v>313399.28999999998</v>
      </c>
      <c r="H448" s="12">
        <v>1.1890581329943445E-3</v>
      </c>
      <c r="I448" s="10">
        <v>9</v>
      </c>
      <c r="J448" s="21">
        <v>100</v>
      </c>
      <c r="K448" s="21">
        <v>65</v>
      </c>
      <c r="L448" s="21">
        <v>25</v>
      </c>
      <c r="M448" s="21">
        <v>77.637143099450157</v>
      </c>
      <c r="N448" s="21">
        <f>J448*Supuestos!$B$7+K448*Supuestos!$B$8+L448*Supuestos!$B$9+M448*Supuestos!$B$10</f>
        <v>66.277428619890031</v>
      </c>
      <c r="O448" s="34" t="str">
        <f t="shared" si="6"/>
        <v>B</v>
      </c>
      <c r="P448" s="10" t="s">
        <v>447</v>
      </c>
      <c r="Q448" s="10" t="s">
        <v>441</v>
      </c>
    </row>
    <row r="449" spans="1:17">
      <c r="A449" s="10" t="s">
        <v>215</v>
      </c>
      <c r="B449" s="10" t="s">
        <v>60</v>
      </c>
      <c r="C449" s="10" t="s">
        <v>332</v>
      </c>
      <c r="D449" s="10" t="s">
        <v>103</v>
      </c>
      <c r="E449" s="10" t="s">
        <v>475</v>
      </c>
      <c r="F449" s="11">
        <v>168.87</v>
      </c>
      <c r="G449" s="11">
        <v>251755.6</v>
      </c>
      <c r="H449" s="12">
        <v>6.7075037728562745E-4</v>
      </c>
      <c r="I449" s="10">
        <v>19</v>
      </c>
      <c r="J449" s="21">
        <v>100</v>
      </c>
      <c r="K449" s="21">
        <v>65</v>
      </c>
      <c r="L449" s="21">
        <v>25</v>
      </c>
      <c r="M449" s="21">
        <v>77.637143099450157</v>
      </c>
      <c r="N449" s="21">
        <f>J449*Supuestos!$B$7+K449*Supuestos!$B$8+L449*Supuestos!$B$9+M449*Supuestos!$B$10</f>
        <v>66.277428619890031</v>
      </c>
      <c r="O449" s="34" t="str">
        <f t="shared" si="6"/>
        <v>B</v>
      </c>
      <c r="P449" s="10" t="s">
        <v>447</v>
      </c>
      <c r="Q449" s="10" t="s">
        <v>441</v>
      </c>
    </row>
    <row r="450" spans="1:17">
      <c r="A450" s="10" t="s">
        <v>215</v>
      </c>
      <c r="B450" s="10" t="s">
        <v>60</v>
      </c>
      <c r="C450" s="10" t="s">
        <v>313</v>
      </c>
      <c r="D450" s="10" t="s">
        <v>149</v>
      </c>
      <c r="E450" s="10" t="s">
        <v>314</v>
      </c>
      <c r="F450" s="11">
        <v>2076.83</v>
      </c>
      <c r="G450" s="11">
        <v>2076.83</v>
      </c>
      <c r="H450" s="12">
        <v>1</v>
      </c>
      <c r="I450" s="10">
        <v>1</v>
      </c>
      <c r="J450" s="21">
        <v>30</v>
      </c>
      <c r="K450" s="21">
        <v>75</v>
      </c>
      <c r="L450" s="21">
        <v>100</v>
      </c>
      <c r="M450" s="21">
        <v>56.25</v>
      </c>
      <c r="N450" s="21">
        <f>J450*Supuestos!$B$7+K450*Supuestos!$B$8+L450*Supuestos!$B$9+M450*Supuestos!$B$10</f>
        <v>66.25</v>
      </c>
      <c r="O450" s="34" t="str">
        <f t="shared" si="6"/>
        <v>B</v>
      </c>
      <c r="P450" s="10" t="s">
        <v>447</v>
      </c>
      <c r="Q450" s="10" t="s">
        <v>436</v>
      </c>
    </row>
    <row r="451" spans="1:17">
      <c r="A451" s="10" t="s">
        <v>255</v>
      </c>
      <c r="B451" s="10" t="s">
        <v>60</v>
      </c>
      <c r="C451" s="10" t="s">
        <v>392</v>
      </c>
      <c r="D451" s="10" t="s">
        <v>103</v>
      </c>
      <c r="E451" s="10" t="s">
        <v>470</v>
      </c>
      <c r="F451" s="11">
        <v>18479.38</v>
      </c>
      <c r="G451" s="11">
        <v>180471.74</v>
      </c>
      <c r="H451" s="12">
        <v>0.10239484500040004</v>
      </c>
      <c r="I451" s="10">
        <v>2</v>
      </c>
      <c r="J451" s="21">
        <v>100</v>
      </c>
      <c r="K451" s="21">
        <v>30.427203070619196</v>
      </c>
      <c r="L451" s="21">
        <v>80</v>
      </c>
      <c r="M451" s="21">
        <v>59.990545989455306</v>
      </c>
      <c r="N451" s="21">
        <f>J451*Supuestos!$B$7+K451*Supuestos!$B$8+L451*Supuestos!$B$9+M451*Supuestos!$B$10</f>
        <v>66.126270119076821</v>
      </c>
      <c r="O451" s="34" t="str">
        <f t="shared" si="6"/>
        <v>B</v>
      </c>
      <c r="P451" s="10" t="s">
        <v>447</v>
      </c>
      <c r="Q451" s="10" t="s">
        <v>471</v>
      </c>
    </row>
    <row r="452" spans="1:17">
      <c r="A452" s="10" t="s">
        <v>275</v>
      </c>
      <c r="B452" s="10" t="s">
        <v>71</v>
      </c>
      <c r="C452" s="10" t="s">
        <v>316</v>
      </c>
      <c r="D452" s="10" t="s">
        <v>103</v>
      </c>
      <c r="E452" s="10" t="s">
        <v>458</v>
      </c>
      <c r="F452" s="11">
        <v>3502.39</v>
      </c>
      <c r="G452" s="11">
        <v>1083764</v>
      </c>
      <c r="H452" s="12">
        <v>3.2316893065776338E-3</v>
      </c>
      <c r="I452" s="10">
        <v>21</v>
      </c>
      <c r="J452" s="21">
        <v>100</v>
      </c>
      <c r="K452" s="21">
        <v>75</v>
      </c>
      <c r="L452" s="21">
        <v>25</v>
      </c>
      <c r="M452" s="21">
        <v>61.25</v>
      </c>
      <c r="N452" s="21">
        <f>J452*Supuestos!$B$7+K452*Supuestos!$B$8+L452*Supuestos!$B$9+M452*Supuestos!$B$10</f>
        <v>66</v>
      </c>
      <c r="O452" s="34" t="str">
        <f t="shared" si="6"/>
        <v>B</v>
      </c>
      <c r="P452" s="10" t="s">
        <v>447</v>
      </c>
      <c r="Q452" s="10" t="s">
        <v>436</v>
      </c>
    </row>
    <row r="453" spans="1:17">
      <c r="A453" s="10" t="s">
        <v>111</v>
      </c>
      <c r="B453" s="10" t="s">
        <v>73</v>
      </c>
      <c r="C453" s="10" t="s">
        <v>418</v>
      </c>
      <c r="D453" s="10" t="s">
        <v>103</v>
      </c>
      <c r="E453" s="10" t="s">
        <v>458</v>
      </c>
      <c r="F453" s="11">
        <v>2651.81</v>
      </c>
      <c r="G453" s="11">
        <v>642203.68000000005</v>
      </c>
      <c r="H453" s="12">
        <v>4.1292327130865473E-3</v>
      </c>
      <c r="I453" s="10">
        <v>23</v>
      </c>
      <c r="J453" s="21">
        <v>100</v>
      </c>
      <c r="K453" s="21">
        <v>75</v>
      </c>
      <c r="L453" s="21">
        <v>25</v>
      </c>
      <c r="M453" s="21">
        <v>61.25</v>
      </c>
      <c r="N453" s="21">
        <f>J453*Supuestos!$B$7+K453*Supuestos!$B$8+L453*Supuestos!$B$9+M453*Supuestos!$B$10</f>
        <v>66</v>
      </c>
      <c r="O453" s="34" t="str">
        <f t="shared" ref="O453:O516" si="7">IF(N453&gt;=80,"A",IF(N453&gt;=65,"B",IF(N453&gt;=50,"C","D")))</f>
        <v>B</v>
      </c>
      <c r="P453" s="10" t="s">
        <v>447</v>
      </c>
      <c r="Q453" s="10" t="s">
        <v>436</v>
      </c>
    </row>
    <row r="454" spans="1:17">
      <c r="A454" s="10" t="s">
        <v>101</v>
      </c>
      <c r="B454" s="10" t="s">
        <v>60</v>
      </c>
      <c r="C454" s="10" t="s">
        <v>243</v>
      </c>
      <c r="D454" s="10" t="s">
        <v>103</v>
      </c>
      <c r="E454" s="10" t="s">
        <v>458</v>
      </c>
      <c r="F454" s="11">
        <v>591.65</v>
      </c>
      <c r="G454" s="11">
        <v>114854.99</v>
      </c>
      <c r="H454" s="12">
        <v>5.1513084568601134E-3</v>
      </c>
      <c r="I454" s="10">
        <v>18</v>
      </c>
      <c r="J454" s="21">
        <v>100</v>
      </c>
      <c r="K454" s="21">
        <v>75</v>
      </c>
      <c r="L454" s="21">
        <v>25</v>
      </c>
      <c r="M454" s="21">
        <v>61.25</v>
      </c>
      <c r="N454" s="21">
        <f>J454*Supuestos!$B$7+K454*Supuestos!$B$8+L454*Supuestos!$B$9+M454*Supuestos!$B$10</f>
        <v>66</v>
      </c>
      <c r="O454" s="34" t="str">
        <f t="shared" si="7"/>
        <v>B</v>
      </c>
      <c r="P454" s="10" t="s">
        <v>447</v>
      </c>
      <c r="Q454" s="10" t="s">
        <v>436</v>
      </c>
    </row>
    <row r="455" spans="1:17">
      <c r="A455" s="10" t="s">
        <v>255</v>
      </c>
      <c r="B455" s="10" t="s">
        <v>60</v>
      </c>
      <c r="C455" s="10" t="s">
        <v>256</v>
      </c>
      <c r="D455" s="10" t="s">
        <v>103</v>
      </c>
      <c r="E455" s="10" t="s">
        <v>458</v>
      </c>
      <c r="F455" s="11">
        <v>501.96</v>
      </c>
      <c r="G455" s="11">
        <v>351341.95</v>
      </c>
      <c r="H455" s="12">
        <v>1.4286848198061879E-3</v>
      </c>
      <c r="I455" s="10">
        <v>28</v>
      </c>
      <c r="J455" s="21">
        <v>100</v>
      </c>
      <c r="K455" s="21">
        <v>75.000000000000014</v>
      </c>
      <c r="L455" s="21">
        <v>25</v>
      </c>
      <c r="M455" s="21">
        <v>61.25</v>
      </c>
      <c r="N455" s="21">
        <f>J455*Supuestos!$B$7+K455*Supuestos!$B$8+L455*Supuestos!$B$9+M455*Supuestos!$B$10</f>
        <v>66</v>
      </c>
      <c r="O455" s="34" t="str">
        <f t="shared" si="7"/>
        <v>B</v>
      </c>
      <c r="P455" s="10" t="s">
        <v>447</v>
      </c>
      <c r="Q455" s="10" t="s">
        <v>436</v>
      </c>
    </row>
    <row r="456" spans="1:17">
      <c r="A456" s="10" t="s">
        <v>111</v>
      </c>
      <c r="B456" s="10" t="s">
        <v>161</v>
      </c>
      <c r="C456" s="10" t="s">
        <v>414</v>
      </c>
      <c r="D456" s="10" t="s">
        <v>127</v>
      </c>
      <c r="E456" s="10" t="s">
        <v>511</v>
      </c>
      <c r="F456" s="11">
        <v>92240.92</v>
      </c>
      <c r="G456" s="11">
        <v>300503.03000000003</v>
      </c>
      <c r="H456" s="12">
        <v>0.30695503013550735</v>
      </c>
      <c r="I456" s="10">
        <v>2</v>
      </c>
      <c r="J456" s="21">
        <v>85</v>
      </c>
      <c r="K456" s="21">
        <v>29.999999999999996</v>
      </c>
      <c r="L456" s="21">
        <v>100</v>
      </c>
      <c r="M456" s="21">
        <v>52.5</v>
      </c>
      <c r="N456" s="21">
        <f>J456*Supuestos!$B$7+K456*Supuestos!$B$8+L456*Supuestos!$B$9+M456*Supuestos!$B$10</f>
        <v>65.75</v>
      </c>
      <c r="O456" s="34" t="str">
        <f t="shared" si="7"/>
        <v>B</v>
      </c>
      <c r="P456" s="10" t="s">
        <v>447</v>
      </c>
      <c r="Q456" s="10" t="s">
        <v>471</v>
      </c>
    </row>
    <row r="457" spans="1:17">
      <c r="A457" s="10" t="s">
        <v>111</v>
      </c>
      <c r="B457" s="10" t="s">
        <v>161</v>
      </c>
      <c r="C457" s="10" t="s">
        <v>162</v>
      </c>
      <c r="D457" s="10" t="s">
        <v>127</v>
      </c>
      <c r="E457" s="10" t="s">
        <v>511</v>
      </c>
      <c r="F457" s="11">
        <v>7698.33</v>
      </c>
      <c r="G457" s="11">
        <v>25365.64</v>
      </c>
      <c r="H457" s="12">
        <v>0.30349451661248411</v>
      </c>
      <c r="I457" s="10">
        <v>3</v>
      </c>
      <c r="J457" s="21">
        <v>85</v>
      </c>
      <c r="K457" s="21">
        <v>30</v>
      </c>
      <c r="L457" s="21">
        <v>100</v>
      </c>
      <c r="M457" s="21">
        <v>52.5</v>
      </c>
      <c r="N457" s="21">
        <f>J457*Supuestos!$B$7+K457*Supuestos!$B$8+L457*Supuestos!$B$9+M457*Supuestos!$B$10</f>
        <v>65.75</v>
      </c>
      <c r="O457" s="34" t="str">
        <f t="shared" si="7"/>
        <v>B</v>
      </c>
      <c r="P457" s="10" t="s">
        <v>447</v>
      </c>
      <c r="Q457" s="10" t="s">
        <v>471</v>
      </c>
    </row>
    <row r="458" spans="1:17">
      <c r="A458" s="10" t="s">
        <v>255</v>
      </c>
      <c r="B458" s="10" t="s">
        <v>60</v>
      </c>
      <c r="C458" s="10" t="s">
        <v>260</v>
      </c>
      <c r="D458" s="10" t="s">
        <v>103</v>
      </c>
      <c r="E458" s="10" t="s">
        <v>462</v>
      </c>
      <c r="F458" s="11">
        <v>1906.79</v>
      </c>
      <c r="G458" s="11">
        <v>164350.82</v>
      </c>
      <c r="H458" s="12">
        <v>1.1601949952868201E-2</v>
      </c>
      <c r="I458" s="10">
        <v>7</v>
      </c>
      <c r="J458" s="21">
        <v>100</v>
      </c>
      <c r="K458" s="21">
        <v>54.530823771231148</v>
      </c>
      <c r="L458" s="21">
        <v>25</v>
      </c>
      <c r="M458" s="21">
        <v>90.510155415039009</v>
      </c>
      <c r="N458" s="21">
        <f>J458*Supuestos!$B$7+K458*Supuestos!$B$8+L458*Supuestos!$B$9+M458*Supuestos!$B$10</f>
        <v>65.711278214377145</v>
      </c>
      <c r="O458" s="34" t="str">
        <f t="shared" si="7"/>
        <v>B</v>
      </c>
      <c r="P458" s="10" t="s">
        <v>447</v>
      </c>
      <c r="Q458" s="10" t="s">
        <v>441</v>
      </c>
    </row>
    <row r="459" spans="1:17">
      <c r="A459" s="10" t="s">
        <v>101</v>
      </c>
      <c r="B459" s="10" t="s">
        <v>60</v>
      </c>
      <c r="C459" s="10" t="s">
        <v>306</v>
      </c>
      <c r="D459" s="10" t="s">
        <v>149</v>
      </c>
      <c r="E459" s="10" t="s">
        <v>469</v>
      </c>
      <c r="F459" s="11">
        <v>3376.26</v>
      </c>
      <c r="G459" s="11">
        <v>15953.57</v>
      </c>
      <c r="H459" s="12">
        <v>0.21163046276440736</v>
      </c>
      <c r="I459" s="10">
        <v>3</v>
      </c>
      <c r="J459" s="21">
        <v>30</v>
      </c>
      <c r="K459" s="21">
        <v>65</v>
      </c>
      <c r="L459" s="21">
        <v>80</v>
      </c>
      <c r="M459" s="21">
        <v>93.504836461954255</v>
      </c>
      <c r="N459" s="21">
        <f>J459*Supuestos!$B$7+K459*Supuestos!$B$8+L459*Supuestos!$B$9+M459*Supuestos!$B$10</f>
        <v>65.700967292390857</v>
      </c>
      <c r="O459" s="34" t="str">
        <f t="shared" si="7"/>
        <v>B</v>
      </c>
      <c r="P459" s="10" t="s">
        <v>447</v>
      </c>
      <c r="Q459" s="10" t="s">
        <v>441</v>
      </c>
    </row>
    <row r="460" spans="1:17">
      <c r="A460" s="10" t="s">
        <v>111</v>
      </c>
      <c r="B460" s="10" t="s">
        <v>60</v>
      </c>
      <c r="C460" s="10" t="s">
        <v>112</v>
      </c>
      <c r="D460" s="10" t="s">
        <v>113</v>
      </c>
      <c r="E460" s="10" t="s">
        <v>477</v>
      </c>
      <c r="F460" s="11">
        <v>22989.71</v>
      </c>
      <c r="G460" s="11">
        <v>24653.35</v>
      </c>
      <c r="H460" s="12">
        <v>0.93251892355844301</v>
      </c>
      <c r="I460" s="10">
        <v>1</v>
      </c>
      <c r="J460" s="21">
        <v>75</v>
      </c>
      <c r="K460" s="21">
        <v>29.999999999999996</v>
      </c>
      <c r="L460" s="21">
        <v>100</v>
      </c>
      <c r="M460" s="21">
        <v>64.611619732455594</v>
      </c>
      <c r="N460" s="21">
        <f>J460*Supuestos!$B$7+K460*Supuestos!$B$8+L460*Supuestos!$B$9+M460*Supuestos!$B$10</f>
        <v>65.672323946491119</v>
      </c>
      <c r="O460" s="34" t="str">
        <f t="shared" si="7"/>
        <v>B</v>
      </c>
      <c r="P460" s="10" t="s">
        <v>447</v>
      </c>
      <c r="Q460" s="10" t="s">
        <v>471</v>
      </c>
    </row>
    <row r="461" spans="1:17">
      <c r="A461" s="10" t="s">
        <v>215</v>
      </c>
      <c r="B461" s="10" t="s">
        <v>60</v>
      </c>
      <c r="C461" s="10" t="s">
        <v>216</v>
      </c>
      <c r="D461" s="10" t="s">
        <v>103</v>
      </c>
      <c r="E461" s="10" t="s">
        <v>474</v>
      </c>
      <c r="F461" s="11">
        <v>71926.350000000006</v>
      </c>
      <c r="G461" s="11">
        <v>656576.77</v>
      </c>
      <c r="H461" s="12">
        <v>0.10954751227060061</v>
      </c>
      <c r="I461" s="10">
        <v>3</v>
      </c>
      <c r="J461" s="21">
        <v>100</v>
      </c>
      <c r="K461" s="21">
        <v>30.000000000000011</v>
      </c>
      <c r="L461" s="21">
        <v>80</v>
      </c>
      <c r="M461" s="21">
        <v>57.5</v>
      </c>
      <c r="N461" s="21">
        <f>J461*Supuestos!$B$7+K461*Supuestos!$B$8+L461*Supuestos!$B$9+M461*Supuestos!$B$10</f>
        <v>65.5</v>
      </c>
      <c r="O461" s="34" t="str">
        <f t="shared" si="7"/>
        <v>B</v>
      </c>
      <c r="P461" s="10" t="s">
        <v>447</v>
      </c>
      <c r="Q461" s="10" t="s">
        <v>471</v>
      </c>
    </row>
    <row r="462" spans="1:17">
      <c r="A462" s="10" t="s">
        <v>255</v>
      </c>
      <c r="B462" s="10" t="s">
        <v>60</v>
      </c>
      <c r="C462" s="10" t="s">
        <v>392</v>
      </c>
      <c r="D462" s="10" t="s">
        <v>103</v>
      </c>
      <c r="E462" s="10" t="s">
        <v>474</v>
      </c>
      <c r="F462" s="11">
        <v>18317.91</v>
      </c>
      <c r="G462" s="11">
        <v>180471.74</v>
      </c>
      <c r="H462" s="12">
        <v>0.10150014917866364</v>
      </c>
      <c r="I462" s="10">
        <v>3</v>
      </c>
      <c r="J462" s="21">
        <v>100</v>
      </c>
      <c r="K462" s="21">
        <v>30.000000000000004</v>
      </c>
      <c r="L462" s="21">
        <v>80</v>
      </c>
      <c r="M462" s="21">
        <v>57.5</v>
      </c>
      <c r="N462" s="21">
        <f>J462*Supuestos!$B$7+K462*Supuestos!$B$8+L462*Supuestos!$B$9+M462*Supuestos!$B$10</f>
        <v>65.5</v>
      </c>
      <c r="O462" s="34" t="str">
        <f t="shared" si="7"/>
        <v>B</v>
      </c>
      <c r="P462" s="10" t="s">
        <v>447</v>
      </c>
      <c r="Q462" s="10" t="s">
        <v>471</v>
      </c>
    </row>
    <row r="463" spans="1:17">
      <c r="A463" s="10" t="s">
        <v>101</v>
      </c>
      <c r="B463" s="10" t="s">
        <v>60</v>
      </c>
      <c r="C463" s="10" t="s">
        <v>282</v>
      </c>
      <c r="D463" s="10" t="s">
        <v>149</v>
      </c>
      <c r="E463" s="10" t="s">
        <v>457</v>
      </c>
      <c r="F463" s="11">
        <v>3268.48</v>
      </c>
      <c r="G463" s="11">
        <v>25285.58</v>
      </c>
      <c r="H463" s="12">
        <v>0.12926258162390342</v>
      </c>
      <c r="I463" s="10">
        <v>4</v>
      </c>
      <c r="J463" s="21">
        <v>30</v>
      </c>
      <c r="K463" s="21">
        <v>65</v>
      </c>
      <c r="L463" s="21">
        <v>80</v>
      </c>
      <c r="M463" s="21">
        <v>91.25</v>
      </c>
      <c r="N463" s="21">
        <f>J463*Supuestos!$B$7+K463*Supuestos!$B$8+L463*Supuestos!$B$9+M463*Supuestos!$B$10</f>
        <v>65.25</v>
      </c>
      <c r="O463" s="34" t="str">
        <f t="shared" si="7"/>
        <v>B</v>
      </c>
      <c r="P463" s="10" t="s">
        <v>447</v>
      </c>
      <c r="Q463" s="10" t="s">
        <v>441</v>
      </c>
    </row>
    <row r="464" spans="1:17">
      <c r="A464" s="10" t="s">
        <v>101</v>
      </c>
      <c r="B464" s="10" t="s">
        <v>60</v>
      </c>
      <c r="C464" s="10" t="s">
        <v>346</v>
      </c>
      <c r="D464" s="10" t="s">
        <v>127</v>
      </c>
      <c r="E464" s="10" t="s">
        <v>457</v>
      </c>
      <c r="F464" s="11">
        <v>1708.25</v>
      </c>
      <c r="G464" s="11">
        <v>41126.71</v>
      </c>
      <c r="H464" s="12">
        <v>4.1536229670916996E-2</v>
      </c>
      <c r="I464" s="10">
        <v>5</v>
      </c>
      <c r="J464" s="21">
        <v>85</v>
      </c>
      <c r="K464" s="21">
        <v>65</v>
      </c>
      <c r="L464" s="21">
        <v>25</v>
      </c>
      <c r="M464" s="21">
        <v>91.25</v>
      </c>
      <c r="N464" s="21">
        <f>J464*Supuestos!$B$7+K464*Supuestos!$B$8+L464*Supuestos!$B$9+M464*Supuestos!$B$10</f>
        <v>65.25</v>
      </c>
      <c r="O464" s="34" t="str">
        <f t="shared" si="7"/>
        <v>B</v>
      </c>
      <c r="P464" s="10" t="s">
        <v>447</v>
      </c>
      <c r="Q464" s="10" t="s">
        <v>441</v>
      </c>
    </row>
    <row r="465" spans="1:17">
      <c r="A465" s="10" t="s">
        <v>101</v>
      </c>
      <c r="B465" s="10" t="s">
        <v>60</v>
      </c>
      <c r="C465" s="10" t="s">
        <v>239</v>
      </c>
      <c r="D465" s="10" t="s">
        <v>127</v>
      </c>
      <c r="E465" s="10" t="s">
        <v>457</v>
      </c>
      <c r="F465" s="11">
        <v>607.08000000000004</v>
      </c>
      <c r="G465" s="11">
        <v>45460.47</v>
      </c>
      <c r="H465" s="12">
        <v>1.3354034755342926E-2</v>
      </c>
      <c r="I465" s="10">
        <v>11</v>
      </c>
      <c r="J465" s="21">
        <v>85</v>
      </c>
      <c r="K465" s="21">
        <v>65</v>
      </c>
      <c r="L465" s="21">
        <v>25</v>
      </c>
      <c r="M465" s="21">
        <v>91.25</v>
      </c>
      <c r="N465" s="21">
        <f>J465*Supuestos!$B$7+K465*Supuestos!$B$8+L465*Supuestos!$B$9+M465*Supuestos!$B$10</f>
        <v>65.25</v>
      </c>
      <c r="O465" s="34" t="str">
        <f t="shared" si="7"/>
        <v>B</v>
      </c>
      <c r="P465" s="10" t="s">
        <v>447</v>
      </c>
      <c r="Q465" s="10" t="s">
        <v>441</v>
      </c>
    </row>
    <row r="466" spans="1:17">
      <c r="A466" s="10" t="s">
        <v>101</v>
      </c>
      <c r="B466" s="10" t="s">
        <v>60</v>
      </c>
      <c r="C466" s="10" t="s">
        <v>295</v>
      </c>
      <c r="D466" s="10" t="s">
        <v>149</v>
      </c>
      <c r="E466" s="10" t="s">
        <v>457</v>
      </c>
      <c r="F466" s="11">
        <v>476.99</v>
      </c>
      <c r="G466" s="11">
        <v>3541.37</v>
      </c>
      <c r="H466" s="12">
        <v>0.13469123447342077</v>
      </c>
      <c r="I466" s="10">
        <v>3</v>
      </c>
      <c r="J466" s="21">
        <v>30</v>
      </c>
      <c r="K466" s="21">
        <v>65</v>
      </c>
      <c r="L466" s="21">
        <v>80</v>
      </c>
      <c r="M466" s="21">
        <v>91.25</v>
      </c>
      <c r="N466" s="21">
        <f>J466*Supuestos!$B$7+K466*Supuestos!$B$8+L466*Supuestos!$B$9+M466*Supuestos!$B$10</f>
        <v>65.25</v>
      </c>
      <c r="O466" s="34" t="str">
        <f t="shared" si="7"/>
        <v>B</v>
      </c>
      <c r="P466" s="10" t="s">
        <v>447</v>
      </c>
      <c r="Q466" s="10" t="s">
        <v>441</v>
      </c>
    </row>
    <row r="467" spans="1:17">
      <c r="A467" s="10" t="s">
        <v>101</v>
      </c>
      <c r="B467" s="10" t="s">
        <v>60</v>
      </c>
      <c r="C467" s="10" t="s">
        <v>224</v>
      </c>
      <c r="D467" s="10" t="s">
        <v>127</v>
      </c>
      <c r="E467" s="10" t="s">
        <v>457</v>
      </c>
      <c r="F467" s="11">
        <v>346.9</v>
      </c>
      <c r="G467" s="11">
        <v>22669.16</v>
      </c>
      <c r="H467" s="12">
        <v>1.5302873197210722E-2</v>
      </c>
      <c r="I467" s="10">
        <v>7</v>
      </c>
      <c r="J467" s="21">
        <v>85</v>
      </c>
      <c r="K467" s="21">
        <v>65</v>
      </c>
      <c r="L467" s="21">
        <v>25</v>
      </c>
      <c r="M467" s="21">
        <v>91.25</v>
      </c>
      <c r="N467" s="21">
        <f>J467*Supuestos!$B$7+K467*Supuestos!$B$8+L467*Supuestos!$B$9+M467*Supuestos!$B$10</f>
        <v>65.25</v>
      </c>
      <c r="O467" s="34" t="str">
        <f t="shared" si="7"/>
        <v>B</v>
      </c>
      <c r="P467" s="10" t="s">
        <v>447</v>
      </c>
      <c r="Q467" s="10" t="s">
        <v>441</v>
      </c>
    </row>
    <row r="468" spans="1:17">
      <c r="A468" s="10" t="s">
        <v>255</v>
      </c>
      <c r="B468" s="10" t="s">
        <v>60</v>
      </c>
      <c r="C468" s="10" t="s">
        <v>392</v>
      </c>
      <c r="D468" s="10" t="s">
        <v>103</v>
      </c>
      <c r="E468" s="10" t="s">
        <v>475</v>
      </c>
      <c r="F468" s="11">
        <v>1832.64</v>
      </c>
      <c r="G468" s="11">
        <v>180471.74</v>
      </c>
      <c r="H468" s="12">
        <v>1.0154693355534785E-2</v>
      </c>
      <c r="I468" s="10">
        <v>12</v>
      </c>
      <c r="J468" s="21">
        <v>100</v>
      </c>
      <c r="K468" s="21">
        <v>61.392160989232863</v>
      </c>
      <c r="L468" s="21">
        <v>25</v>
      </c>
      <c r="M468" s="21">
        <v>77.637143099450157</v>
      </c>
      <c r="N468" s="21">
        <f>J468*Supuestos!$B$7+K468*Supuestos!$B$8+L468*Supuestos!$B$9+M468*Supuestos!$B$10</f>
        <v>65.195076916659886</v>
      </c>
      <c r="O468" s="34" t="str">
        <f t="shared" si="7"/>
        <v>B</v>
      </c>
      <c r="P468" s="10" t="s">
        <v>447</v>
      </c>
      <c r="Q468" s="10" t="s">
        <v>441</v>
      </c>
    </row>
    <row r="469" spans="1:17">
      <c r="A469" s="10" t="s">
        <v>165</v>
      </c>
      <c r="B469" s="10" t="s">
        <v>60</v>
      </c>
      <c r="C469" s="10" t="s">
        <v>166</v>
      </c>
      <c r="D469" s="10" t="s">
        <v>103</v>
      </c>
      <c r="E469" s="10" t="s">
        <v>478</v>
      </c>
      <c r="F469" s="11">
        <v>6494.01</v>
      </c>
      <c r="G469" s="11">
        <v>929838.13</v>
      </c>
      <c r="H469" s="12">
        <v>6.9840242705109653E-3</v>
      </c>
      <c r="I469" s="10">
        <v>15</v>
      </c>
      <c r="J469" s="21">
        <v>100</v>
      </c>
      <c r="K469" s="21">
        <v>74.999999999999986</v>
      </c>
      <c r="L469" s="21">
        <v>25</v>
      </c>
      <c r="M469" s="21">
        <v>56.98968202745877</v>
      </c>
      <c r="N469" s="21">
        <f>J469*Supuestos!$B$7+K469*Supuestos!$B$8+L469*Supuestos!$B$9+M469*Supuestos!$B$10</f>
        <v>65.147936405491748</v>
      </c>
      <c r="O469" s="34" t="str">
        <f t="shared" si="7"/>
        <v>B</v>
      </c>
      <c r="P469" s="10" t="s">
        <v>447</v>
      </c>
      <c r="Q469" s="10" t="s">
        <v>436</v>
      </c>
    </row>
    <row r="470" spans="1:17">
      <c r="A470" s="10" t="s">
        <v>111</v>
      </c>
      <c r="B470" s="10" t="s">
        <v>60</v>
      </c>
      <c r="C470" s="10" t="s">
        <v>377</v>
      </c>
      <c r="D470" s="10" t="s">
        <v>103</v>
      </c>
      <c r="E470" s="10" t="s">
        <v>478</v>
      </c>
      <c r="F470" s="11">
        <v>1709.5</v>
      </c>
      <c r="G470" s="11">
        <v>67968.179999999993</v>
      </c>
      <c r="H470" s="12">
        <v>2.5151464727754556E-2</v>
      </c>
      <c r="I470" s="10">
        <v>9</v>
      </c>
      <c r="J470" s="21">
        <v>100</v>
      </c>
      <c r="K470" s="21">
        <v>75</v>
      </c>
      <c r="L470" s="21">
        <v>25</v>
      </c>
      <c r="M470" s="21">
        <v>56.98968202745877</v>
      </c>
      <c r="N470" s="21">
        <f>J470*Supuestos!$B$7+K470*Supuestos!$B$8+L470*Supuestos!$B$9+M470*Supuestos!$B$10</f>
        <v>65.147936405491748</v>
      </c>
      <c r="O470" s="34" t="str">
        <f t="shared" si="7"/>
        <v>B</v>
      </c>
      <c r="P470" s="10" t="s">
        <v>447</v>
      </c>
      <c r="Q470" s="10" t="s">
        <v>436</v>
      </c>
    </row>
    <row r="471" spans="1:17">
      <c r="A471" s="10" t="s">
        <v>101</v>
      </c>
      <c r="B471" s="10" t="s">
        <v>60</v>
      </c>
      <c r="C471" s="10" t="s">
        <v>243</v>
      </c>
      <c r="D471" s="10" t="s">
        <v>103</v>
      </c>
      <c r="E471" s="10" t="s">
        <v>478</v>
      </c>
      <c r="F471" s="11">
        <v>605.62</v>
      </c>
      <c r="G471" s="11">
        <v>114854.99</v>
      </c>
      <c r="H471" s="12">
        <v>5.2729214472088202E-3</v>
      </c>
      <c r="I471" s="10">
        <v>17</v>
      </c>
      <c r="J471" s="21">
        <v>100</v>
      </c>
      <c r="K471" s="21">
        <v>75</v>
      </c>
      <c r="L471" s="21">
        <v>25</v>
      </c>
      <c r="M471" s="21">
        <v>56.98968202745877</v>
      </c>
      <c r="N471" s="21">
        <f>J471*Supuestos!$B$7+K471*Supuestos!$B$8+L471*Supuestos!$B$9+M471*Supuestos!$B$10</f>
        <v>65.147936405491748</v>
      </c>
      <c r="O471" s="34" t="str">
        <f t="shared" si="7"/>
        <v>B</v>
      </c>
      <c r="P471" s="10" t="s">
        <v>447</v>
      </c>
      <c r="Q471" s="10" t="s">
        <v>436</v>
      </c>
    </row>
    <row r="472" spans="1:17">
      <c r="A472" s="10" t="s">
        <v>165</v>
      </c>
      <c r="B472" s="10" t="s">
        <v>60</v>
      </c>
      <c r="C472" s="10" t="s">
        <v>302</v>
      </c>
      <c r="D472" s="10" t="s">
        <v>103</v>
      </c>
      <c r="E472" s="10" t="s">
        <v>478</v>
      </c>
      <c r="F472" s="11">
        <v>400.27</v>
      </c>
      <c r="G472" s="11">
        <v>357771.85</v>
      </c>
      <c r="H472" s="12">
        <v>1.1187939377193489E-3</v>
      </c>
      <c r="I472" s="10">
        <v>19</v>
      </c>
      <c r="J472" s="21">
        <v>100</v>
      </c>
      <c r="K472" s="21">
        <v>75</v>
      </c>
      <c r="L472" s="21">
        <v>25</v>
      </c>
      <c r="M472" s="21">
        <v>56.98968202745877</v>
      </c>
      <c r="N472" s="21">
        <f>J472*Supuestos!$B$7+K472*Supuestos!$B$8+L472*Supuestos!$B$9+M472*Supuestos!$B$10</f>
        <v>65.147936405491748</v>
      </c>
      <c r="O472" s="34" t="str">
        <f t="shared" si="7"/>
        <v>B</v>
      </c>
      <c r="P472" s="10" t="s">
        <v>447</v>
      </c>
      <c r="Q472" s="10" t="s">
        <v>436</v>
      </c>
    </row>
    <row r="473" spans="1:17">
      <c r="A473" s="10" t="s">
        <v>119</v>
      </c>
      <c r="B473" s="10" t="s">
        <v>75</v>
      </c>
      <c r="C473" s="10" t="s">
        <v>400</v>
      </c>
      <c r="D473" s="10" t="s">
        <v>127</v>
      </c>
      <c r="E473" s="10" t="s">
        <v>462</v>
      </c>
      <c r="F473" s="11">
        <v>34898.800000000003</v>
      </c>
      <c r="G473" s="11">
        <v>752313.74</v>
      </c>
      <c r="H473" s="12">
        <v>4.6388624933605717E-2</v>
      </c>
      <c r="I473" s="10">
        <v>4</v>
      </c>
      <c r="J473" s="21">
        <v>85</v>
      </c>
      <c r="K473" s="21">
        <v>65</v>
      </c>
      <c r="L473" s="21">
        <v>25</v>
      </c>
      <c r="M473" s="21">
        <v>90.510155415039009</v>
      </c>
      <c r="N473" s="21">
        <f>J473*Supuestos!$B$7+K473*Supuestos!$B$8+L473*Supuestos!$B$9+M473*Supuestos!$B$10</f>
        <v>65.102031083007802</v>
      </c>
      <c r="O473" s="34" t="str">
        <f t="shared" si="7"/>
        <v>B</v>
      </c>
      <c r="P473" s="10" t="s">
        <v>447</v>
      </c>
      <c r="Q473" s="10" t="s">
        <v>441</v>
      </c>
    </row>
    <row r="474" spans="1:17">
      <c r="A474" s="10" t="s">
        <v>111</v>
      </c>
      <c r="B474" s="10" t="s">
        <v>60</v>
      </c>
      <c r="C474" s="10" t="s">
        <v>370</v>
      </c>
      <c r="D474" s="10" t="s">
        <v>149</v>
      </c>
      <c r="E474" s="10" t="s">
        <v>462</v>
      </c>
      <c r="F474" s="11">
        <v>3422.96</v>
      </c>
      <c r="G474" s="11">
        <v>17057.150000000001</v>
      </c>
      <c r="H474" s="12">
        <v>0.20067598307742612</v>
      </c>
      <c r="I474" s="10">
        <v>2</v>
      </c>
      <c r="J474" s="21">
        <v>30</v>
      </c>
      <c r="K474" s="21">
        <v>65</v>
      </c>
      <c r="L474" s="21">
        <v>80</v>
      </c>
      <c r="M474" s="21">
        <v>90.510155415039009</v>
      </c>
      <c r="N474" s="21">
        <f>J474*Supuestos!$B$7+K474*Supuestos!$B$8+L474*Supuestos!$B$9+M474*Supuestos!$B$10</f>
        <v>65.102031083007802</v>
      </c>
      <c r="O474" s="34" t="str">
        <f t="shared" si="7"/>
        <v>B</v>
      </c>
      <c r="P474" s="10" t="s">
        <v>447</v>
      </c>
      <c r="Q474" s="10" t="s">
        <v>441</v>
      </c>
    </row>
    <row r="475" spans="1:17">
      <c r="A475" s="10" t="s">
        <v>215</v>
      </c>
      <c r="B475" s="10" t="s">
        <v>60</v>
      </c>
      <c r="C475" s="10" t="s">
        <v>234</v>
      </c>
      <c r="D475" s="10" t="s">
        <v>149</v>
      </c>
      <c r="E475" s="10" t="s">
        <v>462</v>
      </c>
      <c r="F475" s="11">
        <v>2554.9699999999998</v>
      </c>
      <c r="G475" s="11">
        <v>17848.16</v>
      </c>
      <c r="H475" s="12">
        <v>0.1431504069195301</v>
      </c>
      <c r="I475" s="10">
        <v>2</v>
      </c>
      <c r="J475" s="21">
        <v>30</v>
      </c>
      <c r="K475" s="21">
        <v>65</v>
      </c>
      <c r="L475" s="21">
        <v>80</v>
      </c>
      <c r="M475" s="21">
        <v>90.510155415039009</v>
      </c>
      <c r="N475" s="21">
        <f>J475*Supuestos!$B$7+K475*Supuestos!$B$8+L475*Supuestos!$B$9+M475*Supuestos!$B$10</f>
        <v>65.102031083007802</v>
      </c>
      <c r="O475" s="34" t="str">
        <f t="shared" si="7"/>
        <v>B</v>
      </c>
      <c r="P475" s="10" t="s">
        <v>447</v>
      </c>
      <c r="Q475" s="10" t="s">
        <v>441</v>
      </c>
    </row>
    <row r="476" spans="1:17">
      <c r="A476" s="10" t="s">
        <v>101</v>
      </c>
      <c r="B476" s="10" t="s">
        <v>60</v>
      </c>
      <c r="C476" s="10" t="s">
        <v>239</v>
      </c>
      <c r="D476" s="10" t="s">
        <v>127</v>
      </c>
      <c r="E476" s="10" t="s">
        <v>462</v>
      </c>
      <c r="F476" s="11">
        <v>1417.63</v>
      </c>
      <c r="G476" s="11">
        <v>45460.47</v>
      </c>
      <c r="H476" s="12">
        <v>3.1183872368245845E-2</v>
      </c>
      <c r="I476" s="10">
        <v>9</v>
      </c>
      <c r="J476" s="21">
        <v>85</v>
      </c>
      <c r="K476" s="21">
        <v>65</v>
      </c>
      <c r="L476" s="21">
        <v>25</v>
      </c>
      <c r="M476" s="21">
        <v>90.510155415039009</v>
      </c>
      <c r="N476" s="21">
        <f>J476*Supuestos!$B$7+K476*Supuestos!$B$8+L476*Supuestos!$B$9+M476*Supuestos!$B$10</f>
        <v>65.102031083007802</v>
      </c>
      <c r="O476" s="34" t="str">
        <f t="shared" si="7"/>
        <v>B</v>
      </c>
      <c r="P476" s="10" t="s">
        <v>447</v>
      </c>
      <c r="Q476" s="10" t="s">
        <v>441</v>
      </c>
    </row>
    <row r="477" spans="1:17">
      <c r="A477" s="10" t="s">
        <v>101</v>
      </c>
      <c r="B477" s="10" t="s">
        <v>60</v>
      </c>
      <c r="C477" s="10" t="s">
        <v>271</v>
      </c>
      <c r="D477" s="10" t="s">
        <v>149</v>
      </c>
      <c r="E477" s="10" t="s">
        <v>462</v>
      </c>
      <c r="F477" s="11">
        <v>675.46</v>
      </c>
      <c r="G477" s="11">
        <v>5062.1000000000004</v>
      </c>
      <c r="H477" s="12">
        <v>0.13343491958898751</v>
      </c>
      <c r="I477" s="10">
        <v>3</v>
      </c>
      <c r="J477" s="21">
        <v>30</v>
      </c>
      <c r="K477" s="21">
        <v>65</v>
      </c>
      <c r="L477" s="21">
        <v>80</v>
      </c>
      <c r="M477" s="21">
        <v>90.510155415039009</v>
      </c>
      <c r="N477" s="21">
        <f>J477*Supuestos!$B$7+K477*Supuestos!$B$8+L477*Supuestos!$B$9+M477*Supuestos!$B$10</f>
        <v>65.102031083007802</v>
      </c>
      <c r="O477" s="34" t="str">
        <f t="shared" si="7"/>
        <v>B</v>
      </c>
      <c r="P477" s="10" t="s">
        <v>447</v>
      </c>
      <c r="Q477" s="10" t="s">
        <v>441</v>
      </c>
    </row>
    <row r="478" spans="1:17">
      <c r="A478" s="10" t="s">
        <v>101</v>
      </c>
      <c r="B478" s="10" t="s">
        <v>60</v>
      </c>
      <c r="C478" s="10" t="s">
        <v>237</v>
      </c>
      <c r="D478" s="10" t="s">
        <v>127</v>
      </c>
      <c r="E478" s="10" t="s">
        <v>462</v>
      </c>
      <c r="F478" s="11">
        <v>502.84</v>
      </c>
      <c r="G478" s="11">
        <v>28274.28</v>
      </c>
      <c r="H478" s="12">
        <v>1.7784462926915583E-2</v>
      </c>
      <c r="I478" s="10">
        <v>7</v>
      </c>
      <c r="J478" s="21">
        <v>85</v>
      </c>
      <c r="K478" s="21">
        <v>65</v>
      </c>
      <c r="L478" s="21">
        <v>25</v>
      </c>
      <c r="M478" s="21">
        <v>90.510155415039009</v>
      </c>
      <c r="N478" s="21">
        <f>J478*Supuestos!$B$7+K478*Supuestos!$B$8+L478*Supuestos!$B$9+M478*Supuestos!$B$10</f>
        <v>65.102031083007802</v>
      </c>
      <c r="O478" s="34" t="str">
        <f t="shared" si="7"/>
        <v>B</v>
      </c>
      <c r="P478" s="10" t="s">
        <v>447</v>
      </c>
      <c r="Q478" s="10" t="s">
        <v>441</v>
      </c>
    </row>
    <row r="479" spans="1:17">
      <c r="A479" s="10" t="s">
        <v>101</v>
      </c>
      <c r="B479" s="10" t="s">
        <v>60</v>
      </c>
      <c r="C479" s="10" t="s">
        <v>354</v>
      </c>
      <c r="D479" s="10" t="s">
        <v>149</v>
      </c>
      <c r="E479" s="10" t="s">
        <v>462</v>
      </c>
      <c r="F479" s="11">
        <v>173.03</v>
      </c>
      <c r="G479" s="11">
        <v>1522.91</v>
      </c>
      <c r="H479" s="12">
        <v>0.1136208076659822</v>
      </c>
      <c r="I479" s="10">
        <v>5</v>
      </c>
      <c r="J479" s="21">
        <v>30</v>
      </c>
      <c r="K479" s="21">
        <v>65</v>
      </c>
      <c r="L479" s="21">
        <v>80</v>
      </c>
      <c r="M479" s="21">
        <v>90.510155415039009</v>
      </c>
      <c r="N479" s="21">
        <f>J479*Supuestos!$B$7+K479*Supuestos!$B$8+L479*Supuestos!$B$9+M479*Supuestos!$B$10</f>
        <v>65.102031083007802</v>
      </c>
      <c r="O479" s="34" t="str">
        <f t="shared" si="7"/>
        <v>B</v>
      </c>
      <c r="P479" s="10" t="s">
        <v>447</v>
      </c>
      <c r="Q479" s="10" t="s">
        <v>441</v>
      </c>
    </row>
    <row r="480" spans="1:17">
      <c r="A480" s="10" t="s">
        <v>165</v>
      </c>
      <c r="B480" s="10" t="s">
        <v>60</v>
      </c>
      <c r="C480" s="10" t="s">
        <v>166</v>
      </c>
      <c r="D480" s="10" t="s">
        <v>103</v>
      </c>
      <c r="E480" s="10" t="s">
        <v>314</v>
      </c>
      <c r="F480" s="11">
        <v>15458.15</v>
      </c>
      <c r="G480" s="11">
        <v>929838.13</v>
      </c>
      <c r="H480" s="12">
        <v>1.6624556135537153E-2</v>
      </c>
      <c r="I480" s="10">
        <v>12</v>
      </c>
      <c r="J480" s="21">
        <v>100</v>
      </c>
      <c r="K480" s="21">
        <v>75</v>
      </c>
      <c r="L480" s="21">
        <v>25</v>
      </c>
      <c r="M480" s="21">
        <v>56.25</v>
      </c>
      <c r="N480" s="21">
        <f>J480*Supuestos!$B$7+K480*Supuestos!$B$8+L480*Supuestos!$B$9+M480*Supuestos!$B$10</f>
        <v>65</v>
      </c>
      <c r="O480" s="34" t="str">
        <f t="shared" si="7"/>
        <v>B</v>
      </c>
      <c r="P480" s="10" t="s">
        <v>447</v>
      </c>
      <c r="Q480" s="10" t="s">
        <v>436</v>
      </c>
    </row>
    <row r="481" spans="1:17">
      <c r="A481" s="10" t="s">
        <v>215</v>
      </c>
      <c r="B481" s="10" t="s">
        <v>60</v>
      </c>
      <c r="C481" s="10" t="s">
        <v>332</v>
      </c>
      <c r="D481" s="10" t="s">
        <v>103</v>
      </c>
      <c r="E481" s="10" t="s">
        <v>452</v>
      </c>
      <c r="F481" s="11">
        <v>9050.1200000000008</v>
      </c>
      <c r="G481" s="11">
        <v>251755.6</v>
      </c>
      <c r="H481" s="12">
        <v>3.5948047100441714E-2</v>
      </c>
      <c r="I481" s="10">
        <v>6</v>
      </c>
      <c r="J481" s="21">
        <v>100</v>
      </c>
      <c r="K481" s="21">
        <v>65.000000000000014</v>
      </c>
      <c r="L481" s="21">
        <v>25</v>
      </c>
      <c r="M481" s="21">
        <v>71.25</v>
      </c>
      <c r="N481" s="21">
        <f>J481*Supuestos!$B$7+K481*Supuestos!$B$8+L481*Supuestos!$B$9+M481*Supuestos!$B$10</f>
        <v>65</v>
      </c>
      <c r="O481" s="34" t="str">
        <f t="shared" si="7"/>
        <v>B</v>
      </c>
      <c r="P481" s="10" t="s">
        <v>447</v>
      </c>
      <c r="Q481" s="10" t="s">
        <v>441</v>
      </c>
    </row>
    <row r="482" spans="1:17">
      <c r="A482" s="10" t="s">
        <v>165</v>
      </c>
      <c r="B482" s="10" t="s">
        <v>60</v>
      </c>
      <c r="C482" s="10" t="s">
        <v>302</v>
      </c>
      <c r="D482" s="10" t="s">
        <v>103</v>
      </c>
      <c r="E482" s="10" t="s">
        <v>314</v>
      </c>
      <c r="F482" s="11">
        <v>8339.23</v>
      </c>
      <c r="G482" s="11">
        <v>357771.85</v>
      </c>
      <c r="H482" s="12">
        <v>2.3308789740995661E-2</v>
      </c>
      <c r="I482" s="10">
        <v>8</v>
      </c>
      <c r="J482" s="21">
        <v>100</v>
      </c>
      <c r="K482" s="21">
        <v>75.000000000000014</v>
      </c>
      <c r="L482" s="21">
        <v>25</v>
      </c>
      <c r="M482" s="21">
        <v>56.25</v>
      </c>
      <c r="N482" s="21">
        <f>J482*Supuestos!$B$7+K482*Supuestos!$B$8+L482*Supuestos!$B$9+M482*Supuestos!$B$10</f>
        <v>65</v>
      </c>
      <c r="O482" s="34" t="str">
        <f t="shared" si="7"/>
        <v>B</v>
      </c>
      <c r="P482" s="10" t="s">
        <v>447</v>
      </c>
      <c r="Q482" s="10" t="s">
        <v>436</v>
      </c>
    </row>
    <row r="483" spans="1:17">
      <c r="A483" s="10" t="s">
        <v>215</v>
      </c>
      <c r="B483" s="10" t="s">
        <v>60</v>
      </c>
      <c r="C483" s="10" t="s">
        <v>216</v>
      </c>
      <c r="D483" s="10" t="s">
        <v>103</v>
      </c>
      <c r="E483" s="10" t="s">
        <v>452</v>
      </c>
      <c r="F483" s="11">
        <v>8232.34</v>
      </c>
      <c r="G483" s="11">
        <v>656576.77</v>
      </c>
      <c r="H483" s="12">
        <v>1.2538276312356954E-2</v>
      </c>
      <c r="I483" s="10">
        <v>13</v>
      </c>
      <c r="J483" s="21">
        <v>100</v>
      </c>
      <c r="K483" s="21">
        <v>65</v>
      </c>
      <c r="L483" s="21">
        <v>25</v>
      </c>
      <c r="M483" s="21">
        <v>71.25</v>
      </c>
      <c r="N483" s="21">
        <f>J483*Supuestos!$B$7+K483*Supuestos!$B$8+L483*Supuestos!$B$9+M483*Supuestos!$B$10</f>
        <v>65</v>
      </c>
      <c r="O483" s="34" t="str">
        <f t="shared" si="7"/>
        <v>B</v>
      </c>
      <c r="P483" s="10" t="s">
        <v>447</v>
      </c>
      <c r="Q483" s="10" t="s">
        <v>441</v>
      </c>
    </row>
    <row r="484" spans="1:17">
      <c r="A484" s="10" t="s">
        <v>215</v>
      </c>
      <c r="B484" s="10" t="s">
        <v>60</v>
      </c>
      <c r="C484" s="10" t="s">
        <v>410</v>
      </c>
      <c r="D484" s="10" t="s">
        <v>103</v>
      </c>
      <c r="E484" s="10" t="s">
        <v>452</v>
      </c>
      <c r="F484" s="11">
        <v>6587.62</v>
      </c>
      <c r="G484" s="11">
        <v>273779.84999999998</v>
      </c>
      <c r="H484" s="12">
        <v>2.4061732814341263E-2</v>
      </c>
      <c r="I484" s="10">
        <v>11</v>
      </c>
      <c r="J484" s="21">
        <v>100</v>
      </c>
      <c r="K484" s="21">
        <v>65</v>
      </c>
      <c r="L484" s="21">
        <v>25</v>
      </c>
      <c r="M484" s="21">
        <v>71.25</v>
      </c>
      <c r="N484" s="21">
        <f>J484*Supuestos!$B$7+K484*Supuestos!$B$8+L484*Supuestos!$B$9+M484*Supuestos!$B$10</f>
        <v>65</v>
      </c>
      <c r="O484" s="34" t="str">
        <f t="shared" si="7"/>
        <v>B</v>
      </c>
      <c r="P484" s="10" t="s">
        <v>447</v>
      </c>
      <c r="Q484" s="10" t="s">
        <v>441</v>
      </c>
    </row>
    <row r="485" spans="1:17">
      <c r="A485" s="10" t="s">
        <v>215</v>
      </c>
      <c r="B485" s="10" t="s">
        <v>60</v>
      </c>
      <c r="C485" s="10" t="s">
        <v>216</v>
      </c>
      <c r="D485" s="10" t="s">
        <v>103</v>
      </c>
      <c r="E485" s="10" t="s">
        <v>314</v>
      </c>
      <c r="F485" s="11">
        <v>4762.9399999999996</v>
      </c>
      <c r="G485" s="11">
        <v>656576.77</v>
      </c>
      <c r="H485" s="12">
        <v>7.2541946983081E-3</v>
      </c>
      <c r="I485" s="10">
        <v>16</v>
      </c>
      <c r="J485" s="21">
        <v>100</v>
      </c>
      <c r="K485" s="21">
        <v>75.000000000000014</v>
      </c>
      <c r="L485" s="21">
        <v>25</v>
      </c>
      <c r="M485" s="21">
        <v>56.25</v>
      </c>
      <c r="N485" s="21">
        <f>J485*Supuestos!$B$7+K485*Supuestos!$B$8+L485*Supuestos!$B$9+M485*Supuestos!$B$10</f>
        <v>65</v>
      </c>
      <c r="O485" s="34" t="str">
        <f t="shared" si="7"/>
        <v>B</v>
      </c>
      <c r="P485" s="10" t="s">
        <v>447</v>
      </c>
      <c r="Q485" s="10" t="s">
        <v>436</v>
      </c>
    </row>
    <row r="486" spans="1:17">
      <c r="A486" s="10" t="s">
        <v>165</v>
      </c>
      <c r="B486" s="10" t="s">
        <v>60</v>
      </c>
      <c r="C486" s="10" t="s">
        <v>247</v>
      </c>
      <c r="D486" s="10" t="s">
        <v>103</v>
      </c>
      <c r="E486" s="10" t="s">
        <v>452</v>
      </c>
      <c r="F486" s="11">
        <v>2768.09</v>
      </c>
      <c r="G486" s="11">
        <v>125931.16</v>
      </c>
      <c r="H486" s="12">
        <v>2.1980943916497558E-2</v>
      </c>
      <c r="I486" s="10">
        <v>8</v>
      </c>
      <c r="J486" s="21">
        <v>100</v>
      </c>
      <c r="K486" s="21">
        <v>65</v>
      </c>
      <c r="L486" s="21">
        <v>25</v>
      </c>
      <c r="M486" s="21">
        <v>71.25</v>
      </c>
      <c r="N486" s="21">
        <f>J486*Supuestos!$B$7+K486*Supuestos!$B$8+L486*Supuestos!$B$9+M486*Supuestos!$B$10</f>
        <v>65</v>
      </c>
      <c r="O486" s="34" t="str">
        <f t="shared" si="7"/>
        <v>B</v>
      </c>
      <c r="P486" s="10" t="s">
        <v>447</v>
      </c>
      <c r="Q486" s="10" t="s">
        <v>441</v>
      </c>
    </row>
    <row r="487" spans="1:17">
      <c r="A487" s="10" t="s">
        <v>111</v>
      </c>
      <c r="B487" s="10" t="s">
        <v>60</v>
      </c>
      <c r="C487" s="10" t="s">
        <v>339</v>
      </c>
      <c r="D487" s="10" t="s">
        <v>103</v>
      </c>
      <c r="E487" s="10" t="s">
        <v>452</v>
      </c>
      <c r="F487" s="11">
        <v>2259.9299999999998</v>
      </c>
      <c r="G487" s="11">
        <v>114879.92</v>
      </c>
      <c r="H487" s="12">
        <v>1.9672076273892083E-2</v>
      </c>
      <c r="I487" s="10">
        <v>10</v>
      </c>
      <c r="J487" s="21">
        <v>100</v>
      </c>
      <c r="K487" s="21">
        <v>65</v>
      </c>
      <c r="L487" s="21">
        <v>25</v>
      </c>
      <c r="M487" s="21">
        <v>71.25</v>
      </c>
      <c r="N487" s="21">
        <f>J487*Supuestos!$B$7+K487*Supuestos!$B$8+L487*Supuestos!$B$9+M487*Supuestos!$B$10</f>
        <v>65</v>
      </c>
      <c r="O487" s="34" t="str">
        <f t="shared" si="7"/>
        <v>B</v>
      </c>
      <c r="P487" s="10" t="s">
        <v>447</v>
      </c>
      <c r="Q487" s="10" t="s">
        <v>441</v>
      </c>
    </row>
    <row r="488" spans="1:17">
      <c r="A488" s="10" t="s">
        <v>255</v>
      </c>
      <c r="B488" s="10" t="s">
        <v>60</v>
      </c>
      <c r="C488" s="10" t="s">
        <v>256</v>
      </c>
      <c r="D488" s="10" t="s">
        <v>103</v>
      </c>
      <c r="E488" s="10" t="s">
        <v>452</v>
      </c>
      <c r="F488" s="11">
        <v>1241.21</v>
      </c>
      <c r="G488" s="11">
        <v>351341.95</v>
      </c>
      <c r="H488" s="12">
        <v>3.5327721922629386E-3</v>
      </c>
      <c r="I488" s="10">
        <v>24</v>
      </c>
      <c r="J488" s="21">
        <v>100</v>
      </c>
      <c r="K488" s="21">
        <v>65</v>
      </c>
      <c r="L488" s="21">
        <v>25</v>
      </c>
      <c r="M488" s="21">
        <v>71.25</v>
      </c>
      <c r="N488" s="21">
        <f>J488*Supuestos!$B$7+K488*Supuestos!$B$8+L488*Supuestos!$B$9+M488*Supuestos!$B$10</f>
        <v>65</v>
      </c>
      <c r="O488" s="34" t="str">
        <f t="shared" si="7"/>
        <v>B</v>
      </c>
      <c r="P488" s="10" t="s">
        <v>447</v>
      </c>
      <c r="Q488" s="10" t="s">
        <v>441</v>
      </c>
    </row>
    <row r="489" spans="1:17">
      <c r="A489" s="10" t="s">
        <v>215</v>
      </c>
      <c r="B489" s="10" t="s">
        <v>60</v>
      </c>
      <c r="C489" s="10" t="s">
        <v>332</v>
      </c>
      <c r="D489" s="10" t="s">
        <v>103</v>
      </c>
      <c r="E489" s="10" t="s">
        <v>314</v>
      </c>
      <c r="F489" s="11">
        <v>356.43</v>
      </c>
      <c r="G489" s="11">
        <v>251755.6</v>
      </c>
      <c r="H489" s="12">
        <v>1.4157834169680182E-3</v>
      </c>
      <c r="I489" s="10">
        <v>16</v>
      </c>
      <c r="J489" s="21">
        <v>100</v>
      </c>
      <c r="K489" s="21">
        <v>75</v>
      </c>
      <c r="L489" s="21">
        <v>25</v>
      </c>
      <c r="M489" s="21">
        <v>56.25</v>
      </c>
      <c r="N489" s="21">
        <f>J489*Supuestos!$B$7+K489*Supuestos!$B$8+L489*Supuestos!$B$9+M489*Supuestos!$B$10</f>
        <v>65</v>
      </c>
      <c r="O489" s="34" t="str">
        <f t="shared" si="7"/>
        <v>B</v>
      </c>
      <c r="P489" s="10" t="s">
        <v>447</v>
      </c>
      <c r="Q489" s="10" t="s">
        <v>436</v>
      </c>
    </row>
    <row r="490" spans="1:17">
      <c r="A490" s="10" t="s">
        <v>255</v>
      </c>
      <c r="B490" s="10" t="s">
        <v>60</v>
      </c>
      <c r="C490" s="10" t="s">
        <v>392</v>
      </c>
      <c r="D490" s="10" t="s">
        <v>103</v>
      </c>
      <c r="E490" s="10" t="s">
        <v>452</v>
      </c>
      <c r="F490" s="11">
        <v>330.85</v>
      </c>
      <c r="G490" s="11">
        <v>180471.74</v>
      </c>
      <c r="H490" s="12">
        <v>1.8332544641447108E-3</v>
      </c>
      <c r="I490" s="10">
        <v>19</v>
      </c>
      <c r="J490" s="21">
        <v>100</v>
      </c>
      <c r="K490" s="21">
        <v>65</v>
      </c>
      <c r="L490" s="21">
        <v>25</v>
      </c>
      <c r="M490" s="21">
        <v>71.25</v>
      </c>
      <c r="N490" s="21">
        <f>J490*Supuestos!$B$7+K490*Supuestos!$B$8+L490*Supuestos!$B$9+M490*Supuestos!$B$10</f>
        <v>65</v>
      </c>
      <c r="O490" s="34" t="str">
        <f t="shared" si="7"/>
        <v>B</v>
      </c>
      <c r="P490" s="10" t="s">
        <v>447</v>
      </c>
      <c r="Q490" s="10" t="s">
        <v>441</v>
      </c>
    </row>
    <row r="491" spans="1:17">
      <c r="A491" s="10" t="s">
        <v>165</v>
      </c>
      <c r="B491" s="10" t="s">
        <v>60</v>
      </c>
      <c r="C491" s="10" t="s">
        <v>166</v>
      </c>
      <c r="D491" s="10" t="s">
        <v>103</v>
      </c>
      <c r="E491" s="10" t="s">
        <v>452</v>
      </c>
      <c r="F491" s="11">
        <v>280.39999999999998</v>
      </c>
      <c r="G491" s="11">
        <v>929838.13</v>
      </c>
      <c r="H491" s="12">
        <v>3.015573882451765E-4</v>
      </c>
      <c r="I491" s="10">
        <v>29</v>
      </c>
      <c r="J491" s="21">
        <v>100</v>
      </c>
      <c r="K491" s="21">
        <v>65</v>
      </c>
      <c r="L491" s="21">
        <v>25</v>
      </c>
      <c r="M491" s="21">
        <v>71.25</v>
      </c>
      <c r="N491" s="21">
        <f>J491*Supuestos!$B$7+K491*Supuestos!$B$8+L491*Supuestos!$B$9+M491*Supuestos!$B$10</f>
        <v>65</v>
      </c>
      <c r="O491" s="34" t="str">
        <f t="shared" si="7"/>
        <v>B</v>
      </c>
      <c r="P491" s="10" t="s">
        <v>447</v>
      </c>
      <c r="Q491" s="10" t="s">
        <v>441</v>
      </c>
    </row>
    <row r="492" spans="1:17">
      <c r="A492" s="10" t="s">
        <v>101</v>
      </c>
      <c r="B492" s="10" t="s">
        <v>60</v>
      </c>
      <c r="C492" s="10" t="s">
        <v>183</v>
      </c>
      <c r="D492" s="10" t="s">
        <v>149</v>
      </c>
      <c r="E492" s="10" t="s">
        <v>475</v>
      </c>
      <c r="F492" s="11">
        <v>2232.0700000000002</v>
      </c>
      <c r="G492" s="11">
        <v>6614.7</v>
      </c>
      <c r="H492" s="12">
        <v>0.3374415753461355</v>
      </c>
      <c r="I492" s="10">
        <v>2</v>
      </c>
      <c r="J492" s="21">
        <v>30</v>
      </c>
      <c r="K492" s="21">
        <v>55.964820929048763</v>
      </c>
      <c r="L492" s="21">
        <v>100</v>
      </c>
      <c r="M492" s="21">
        <v>77.637143099450157</v>
      </c>
      <c r="N492" s="21">
        <f>J492*Supuestos!$B$7+K492*Supuestos!$B$8+L492*Supuestos!$B$9+M492*Supuestos!$B$10</f>
        <v>64.816874898604652</v>
      </c>
      <c r="O492" s="34" t="str">
        <f t="shared" si="7"/>
        <v>C</v>
      </c>
      <c r="P492" s="10" t="s">
        <v>447</v>
      </c>
      <c r="Q492" s="10" t="s">
        <v>441</v>
      </c>
    </row>
    <row r="493" spans="1:17">
      <c r="A493" s="10" t="s">
        <v>275</v>
      </c>
      <c r="B493" s="10" t="s">
        <v>71</v>
      </c>
      <c r="C493" s="10" t="s">
        <v>316</v>
      </c>
      <c r="D493" s="10" t="s">
        <v>103</v>
      </c>
      <c r="E493" s="10" t="s">
        <v>225</v>
      </c>
      <c r="F493" s="11">
        <v>5250.83</v>
      </c>
      <c r="G493" s="11">
        <v>1083764</v>
      </c>
      <c r="H493" s="12">
        <v>4.844994775411283E-3</v>
      </c>
      <c r="I493" s="10">
        <v>20</v>
      </c>
      <c r="J493" s="21">
        <v>100</v>
      </c>
      <c r="K493" s="21">
        <v>60</v>
      </c>
      <c r="L493" s="21">
        <v>25</v>
      </c>
      <c r="M493" s="21">
        <v>77.164146540957958</v>
      </c>
      <c r="N493" s="21">
        <f>J493*Supuestos!$B$7+K493*Supuestos!$B$8+L493*Supuestos!$B$9+M493*Supuestos!$B$10</f>
        <v>64.6828293081916</v>
      </c>
      <c r="O493" s="34" t="str">
        <f t="shared" si="7"/>
        <v>C</v>
      </c>
      <c r="P493" s="10" t="s">
        <v>435</v>
      </c>
      <c r="Q493" s="10" t="s">
        <v>471</v>
      </c>
    </row>
    <row r="494" spans="1:17">
      <c r="A494" s="10" t="s">
        <v>215</v>
      </c>
      <c r="B494" s="10" t="s">
        <v>60</v>
      </c>
      <c r="C494" s="10" t="s">
        <v>216</v>
      </c>
      <c r="D494" s="10" t="s">
        <v>103</v>
      </c>
      <c r="E494" s="10" t="s">
        <v>475</v>
      </c>
      <c r="F494" s="11">
        <v>3285.74</v>
      </c>
      <c r="G494" s="11">
        <v>656576.77</v>
      </c>
      <c r="H494" s="12">
        <v>5.0043512923683845E-3</v>
      </c>
      <c r="I494" s="10">
        <v>20</v>
      </c>
      <c r="J494" s="21">
        <v>100</v>
      </c>
      <c r="K494" s="21">
        <v>59.325446677833597</v>
      </c>
      <c r="L494" s="21">
        <v>25</v>
      </c>
      <c r="M494" s="21">
        <v>77.637143099450157</v>
      </c>
      <c r="N494" s="21">
        <f>J494*Supuestos!$B$7+K494*Supuestos!$B$8+L494*Supuestos!$B$9+M494*Supuestos!$B$10</f>
        <v>64.575062623240115</v>
      </c>
      <c r="O494" s="34" t="str">
        <f t="shared" si="7"/>
        <v>C</v>
      </c>
      <c r="P494" s="10" t="s">
        <v>447</v>
      </c>
      <c r="Q494" s="10" t="s">
        <v>441</v>
      </c>
    </row>
    <row r="495" spans="1:17">
      <c r="A495" s="10" t="s">
        <v>119</v>
      </c>
      <c r="B495" s="10" t="s">
        <v>360</v>
      </c>
      <c r="C495" s="10" t="s">
        <v>361</v>
      </c>
      <c r="D495" s="10" t="s">
        <v>103</v>
      </c>
      <c r="E495" s="10" t="s">
        <v>525</v>
      </c>
      <c r="F495" s="11">
        <v>53735.49</v>
      </c>
      <c r="G495" s="11">
        <v>360957.46</v>
      </c>
      <c r="H495" s="12">
        <v>0.14886932170103556</v>
      </c>
      <c r="I495" s="10">
        <v>2</v>
      </c>
      <c r="J495" s="21">
        <v>100</v>
      </c>
      <c r="K495" s="21">
        <v>30</v>
      </c>
      <c r="L495" s="21">
        <v>80</v>
      </c>
      <c r="M495" s="21">
        <v>52.5</v>
      </c>
      <c r="N495" s="21">
        <f>J495*Supuestos!$B$7+K495*Supuestos!$B$8+L495*Supuestos!$B$9+M495*Supuestos!$B$10</f>
        <v>64.5</v>
      </c>
      <c r="O495" s="34" t="str">
        <f t="shared" si="7"/>
        <v>C</v>
      </c>
      <c r="P495" s="10" t="s">
        <v>447</v>
      </c>
      <c r="Q495" s="10" t="s">
        <v>471</v>
      </c>
    </row>
    <row r="496" spans="1:17">
      <c r="A496" s="10" t="s">
        <v>119</v>
      </c>
      <c r="B496" s="10" t="s">
        <v>396</v>
      </c>
      <c r="C496" s="10" t="s">
        <v>397</v>
      </c>
      <c r="D496" s="10" t="s">
        <v>113</v>
      </c>
      <c r="E496" s="10" t="s">
        <v>466</v>
      </c>
      <c r="F496" s="11">
        <v>3080.59</v>
      </c>
      <c r="G496" s="11">
        <v>186817.82</v>
      </c>
      <c r="H496" s="12">
        <v>1.6489810918048874E-2</v>
      </c>
      <c r="I496" s="10">
        <v>7</v>
      </c>
      <c r="J496" s="21">
        <v>75</v>
      </c>
      <c r="K496" s="21">
        <v>75</v>
      </c>
      <c r="L496" s="21">
        <v>25</v>
      </c>
      <c r="M496" s="21">
        <v>83.75</v>
      </c>
      <c r="N496" s="21">
        <f>J496*Supuestos!$B$7+K496*Supuestos!$B$8+L496*Supuestos!$B$9+M496*Supuestos!$B$10</f>
        <v>64.25</v>
      </c>
      <c r="O496" s="34" t="str">
        <f t="shared" si="7"/>
        <v>C</v>
      </c>
      <c r="P496" s="10" t="s">
        <v>447</v>
      </c>
      <c r="Q496" s="10" t="s">
        <v>436</v>
      </c>
    </row>
    <row r="497" spans="1:17">
      <c r="A497" s="10" t="s">
        <v>255</v>
      </c>
      <c r="B497" s="10" t="s">
        <v>60</v>
      </c>
      <c r="C497" s="10" t="s">
        <v>350</v>
      </c>
      <c r="D497" s="10" t="s">
        <v>103</v>
      </c>
      <c r="E497" s="10" t="s">
        <v>498</v>
      </c>
      <c r="F497" s="11">
        <v>12828.44</v>
      </c>
      <c r="G497" s="11">
        <v>313399.28999999998</v>
      </c>
      <c r="H497" s="12">
        <v>4.0933201501952718E-2</v>
      </c>
      <c r="I497" s="10">
        <v>6</v>
      </c>
      <c r="J497" s="21">
        <v>100</v>
      </c>
      <c r="K497" s="21">
        <v>65.000000000000014</v>
      </c>
      <c r="L497" s="21">
        <v>25</v>
      </c>
      <c r="M497" s="21">
        <v>66.25</v>
      </c>
      <c r="N497" s="21">
        <f>J497*Supuestos!$B$7+K497*Supuestos!$B$8+L497*Supuestos!$B$9+M497*Supuestos!$B$10</f>
        <v>64</v>
      </c>
      <c r="O497" s="34" t="str">
        <f t="shared" si="7"/>
        <v>C</v>
      </c>
      <c r="P497" s="10" t="s">
        <v>447</v>
      </c>
      <c r="Q497" s="10" t="s">
        <v>441</v>
      </c>
    </row>
    <row r="498" spans="1:17">
      <c r="A498" s="10" t="s">
        <v>111</v>
      </c>
      <c r="B498" s="10" t="s">
        <v>73</v>
      </c>
      <c r="C498" s="10" t="s">
        <v>418</v>
      </c>
      <c r="D498" s="10" t="s">
        <v>103</v>
      </c>
      <c r="E498" s="10" t="s">
        <v>498</v>
      </c>
      <c r="F498" s="11">
        <v>8118.56</v>
      </c>
      <c r="G498" s="11">
        <v>642203.68000000005</v>
      </c>
      <c r="H498" s="12">
        <v>1.2641717368661392E-2</v>
      </c>
      <c r="I498" s="10">
        <v>14</v>
      </c>
      <c r="J498" s="21">
        <v>100</v>
      </c>
      <c r="K498" s="21">
        <v>65</v>
      </c>
      <c r="L498" s="21">
        <v>25</v>
      </c>
      <c r="M498" s="21">
        <v>66.25</v>
      </c>
      <c r="N498" s="21">
        <f>J498*Supuestos!$B$7+K498*Supuestos!$B$8+L498*Supuestos!$B$9+M498*Supuestos!$B$10</f>
        <v>64</v>
      </c>
      <c r="O498" s="34" t="str">
        <f t="shared" si="7"/>
        <v>C</v>
      </c>
      <c r="P498" s="10" t="s">
        <v>447</v>
      </c>
      <c r="Q498" s="10" t="s">
        <v>441</v>
      </c>
    </row>
    <row r="499" spans="1:17">
      <c r="A499" s="10" t="s">
        <v>255</v>
      </c>
      <c r="B499" s="10" t="s">
        <v>60</v>
      </c>
      <c r="C499" s="10" t="s">
        <v>392</v>
      </c>
      <c r="D499" s="10" t="s">
        <v>103</v>
      </c>
      <c r="E499" s="10" t="s">
        <v>498</v>
      </c>
      <c r="F499" s="11">
        <v>2286.98</v>
      </c>
      <c r="G499" s="11">
        <v>180471.74</v>
      </c>
      <c r="H499" s="12">
        <v>1.2672212647553546E-2</v>
      </c>
      <c r="I499" s="10">
        <v>10</v>
      </c>
      <c r="J499" s="21">
        <v>100</v>
      </c>
      <c r="K499" s="21">
        <v>65</v>
      </c>
      <c r="L499" s="21">
        <v>25</v>
      </c>
      <c r="M499" s="21">
        <v>66.25</v>
      </c>
      <c r="N499" s="21">
        <f>J499*Supuestos!$B$7+K499*Supuestos!$B$8+L499*Supuestos!$B$9+M499*Supuestos!$B$10</f>
        <v>64</v>
      </c>
      <c r="O499" s="34" t="str">
        <f t="shared" si="7"/>
        <v>C</v>
      </c>
      <c r="P499" s="10" t="s">
        <v>447</v>
      </c>
      <c r="Q499" s="10" t="s">
        <v>441</v>
      </c>
    </row>
    <row r="500" spans="1:17">
      <c r="A500" s="10" t="s">
        <v>101</v>
      </c>
      <c r="B500" s="10" t="s">
        <v>60</v>
      </c>
      <c r="C500" s="10" t="s">
        <v>102</v>
      </c>
      <c r="D500" s="10" t="s">
        <v>103</v>
      </c>
      <c r="E500" s="10" t="s">
        <v>497</v>
      </c>
      <c r="F500" s="11">
        <v>1726.8</v>
      </c>
      <c r="G500" s="11">
        <v>49663.71</v>
      </c>
      <c r="H500" s="12">
        <v>3.4769909787555717E-2</v>
      </c>
      <c r="I500" s="10">
        <v>6</v>
      </c>
      <c r="J500" s="21">
        <v>100</v>
      </c>
      <c r="K500" s="21">
        <v>65</v>
      </c>
      <c r="L500" s="21">
        <v>25</v>
      </c>
      <c r="M500" s="21">
        <v>66.25</v>
      </c>
      <c r="N500" s="21">
        <f>J500*Supuestos!$B$7+K500*Supuestos!$B$8+L500*Supuestos!$B$9+M500*Supuestos!$B$10</f>
        <v>64</v>
      </c>
      <c r="O500" s="34" t="str">
        <f t="shared" si="7"/>
        <v>C</v>
      </c>
      <c r="P500" s="10" t="s">
        <v>447</v>
      </c>
      <c r="Q500" s="10" t="s">
        <v>441</v>
      </c>
    </row>
    <row r="501" spans="1:17">
      <c r="A501" s="10" t="s">
        <v>215</v>
      </c>
      <c r="B501" s="10" t="s">
        <v>60</v>
      </c>
      <c r="C501" s="10" t="s">
        <v>410</v>
      </c>
      <c r="D501" s="10" t="s">
        <v>103</v>
      </c>
      <c r="E501" s="10" t="s">
        <v>498</v>
      </c>
      <c r="F501" s="11">
        <v>1454.33</v>
      </c>
      <c r="G501" s="11">
        <v>273779.84999999998</v>
      </c>
      <c r="H501" s="12">
        <v>5.3120240549651776E-3</v>
      </c>
      <c r="I501" s="10">
        <v>17</v>
      </c>
      <c r="J501" s="21">
        <v>100</v>
      </c>
      <c r="K501" s="21">
        <v>65</v>
      </c>
      <c r="L501" s="21">
        <v>25</v>
      </c>
      <c r="M501" s="21">
        <v>66.25</v>
      </c>
      <c r="N501" s="21">
        <f>J501*Supuestos!$B$7+K501*Supuestos!$B$8+L501*Supuestos!$B$9+M501*Supuestos!$B$10</f>
        <v>64</v>
      </c>
      <c r="O501" s="34" t="str">
        <f t="shared" si="7"/>
        <v>C</v>
      </c>
      <c r="P501" s="10" t="s">
        <v>447</v>
      </c>
      <c r="Q501" s="10" t="s">
        <v>441</v>
      </c>
    </row>
    <row r="502" spans="1:17">
      <c r="A502" s="10" t="s">
        <v>101</v>
      </c>
      <c r="B502" s="10" t="s">
        <v>60</v>
      </c>
      <c r="C502" s="10" t="s">
        <v>243</v>
      </c>
      <c r="D502" s="10" t="s">
        <v>103</v>
      </c>
      <c r="E502" s="10" t="s">
        <v>497</v>
      </c>
      <c r="F502" s="11">
        <v>1412.84</v>
      </c>
      <c r="G502" s="11">
        <v>114854.99</v>
      </c>
      <c r="H502" s="12">
        <v>1.2301063217808668E-2</v>
      </c>
      <c r="I502" s="10">
        <v>15</v>
      </c>
      <c r="J502" s="21">
        <v>100</v>
      </c>
      <c r="K502" s="21">
        <v>65</v>
      </c>
      <c r="L502" s="21">
        <v>25</v>
      </c>
      <c r="M502" s="21">
        <v>66.25</v>
      </c>
      <c r="N502" s="21">
        <f>J502*Supuestos!$B$7+K502*Supuestos!$B$8+L502*Supuestos!$B$9+M502*Supuestos!$B$10</f>
        <v>64</v>
      </c>
      <c r="O502" s="34" t="str">
        <f t="shared" si="7"/>
        <v>C</v>
      </c>
      <c r="P502" s="10" t="s">
        <v>447</v>
      </c>
      <c r="Q502" s="10" t="s">
        <v>441</v>
      </c>
    </row>
    <row r="503" spans="1:17">
      <c r="A503" s="10" t="s">
        <v>255</v>
      </c>
      <c r="B503" s="10" t="s">
        <v>60</v>
      </c>
      <c r="C503" s="10" t="s">
        <v>392</v>
      </c>
      <c r="D503" s="10" t="s">
        <v>103</v>
      </c>
      <c r="E503" s="10" t="s">
        <v>497</v>
      </c>
      <c r="F503" s="11">
        <v>477.41</v>
      </c>
      <c r="G503" s="11">
        <v>180471.74</v>
      </c>
      <c r="H503" s="12">
        <v>2.6453388297992364E-3</v>
      </c>
      <c r="I503" s="10">
        <v>17</v>
      </c>
      <c r="J503" s="21">
        <v>100</v>
      </c>
      <c r="K503" s="21">
        <v>65</v>
      </c>
      <c r="L503" s="21">
        <v>25</v>
      </c>
      <c r="M503" s="21">
        <v>66.25</v>
      </c>
      <c r="N503" s="21">
        <f>J503*Supuestos!$B$7+K503*Supuestos!$B$8+L503*Supuestos!$B$9+M503*Supuestos!$B$10</f>
        <v>64</v>
      </c>
      <c r="O503" s="34" t="str">
        <f t="shared" si="7"/>
        <v>C</v>
      </c>
      <c r="P503" s="10" t="s">
        <v>447</v>
      </c>
      <c r="Q503" s="10" t="s">
        <v>441</v>
      </c>
    </row>
    <row r="504" spans="1:17">
      <c r="A504" s="10" t="s">
        <v>119</v>
      </c>
      <c r="B504" s="10" t="s">
        <v>396</v>
      </c>
      <c r="C504" s="10" t="s">
        <v>397</v>
      </c>
      <c r="D504" s="10" t="s">
        <v>113</v>
      </c>
      <c r="E504" s="10" t="s">
        <v>469</v>
      </c>
      <c r="F504" s="11">
        <v>3458.31</v>
      </c>
      <c r="G504" s="11">
        <v>186817.82</v>
      </c>
      <c r="H504" s="12">
        <v>1.8511651946781237E-2</v>
      </c>
      <c r="I504" s="10">
        <v>6</v>
      </c>
      <c r="J504" s="21">
        <v>75</v>
      </c>
      <c r="K504" s="21">
        <v>67.473844911098311</v>
      </c>
      <c r="L504" s="21">
        <v>25</v>
      </c>
      <c r="M504" s="21">
        <v>93.504836461954255</v>
      </c>
      <c r="N504" s="21">
        <f>J504*Supuestos!$B$7+K504*Supuestos!$B$8+L504*Supuestos!$B$9+M504*Supuestos!$B$10</f>
        <v>63.943120765720352</v>
      </c>
      <c r="O504" s="34" t="str">
        <f t="shared" si="7"/>
        <v>C</v>
      </c>
      <c r="P504" s="10" t="s">
        <v>447</v>
      </c>
      <c r="Q504" s="10" t="s">
        <v>441</v>
      </c>
    </row>
    <row r="505" spans="1:17">
      <c r="A505" s="10" t="s">
        <v>255</v>
      </c>
      <c r="B505" s="10" t="s">
        <v>60</v>
      </c>
      <c r="C505" s="10" t="s">
        <v>328</v>
      </c>
      <c r="D505" s="10" t="s">
        <v>103</v>
      </c>
      <c r="E505" s="10" t="s">
        <v>475</v>
      </c>
      <c r="F505" s="11">
        <v>1859.25</v>
      </c>
      <c r="G505" s="11">
        <v>132474.79999999999</v>
      </c>
      <c r="H505" s="12">
        <v>1.4034722954070843E-2</v>
      </c>
      <c r="I505" s="10">
        <v>11</v>
      </c>
      <c r="J505" s="21">
        <v>100</v>
      </c>
      <c r="K505" s="21">
        <v>56.635681688214127</v>
      </c>
      <c r="L505" s="21">
        <v>25</v>
      </c>
      <c r="M505" s="21">
        <v>77.637143099450157</v>
      </c>
      <c r="N505" s="21">
        <f>J505*Supuestos!$B$7+K505*Supuestos!$B$8+L505*Supuestos!$B$9+M505*Supuestos!$B$10</f>
        <v>63.768133126354272</v>
      </c>
      <c r="O505" s="34" t="str">
        <f t="shared" si="7"/>
        <v>C</v>
      </c>
      <c r="P505" s="10" t="s">
        <v>447</v>
      </c>
      <c r="Q505" s="10" t="s">
        <v>441</v>
      </c>
    </row>
    <row r="506" spans="1:17">
      <c r="A506" s="10" t="s">
        <v>101</v>
      </c>
      <c r="B506" s="10" t="s">
        <v>60</v>
      </c>
      <c r="C506" s="10" t="s">
        <v>239</v>
      </c>
      <c r="D506" s="10" t="s">
        <v>127</v>
      </c>
      <c r="E506" s="10" t="s">
        <v>173</v>
      </c>
      <c r="F506" s="11">
        <v>5796.66</v>
      </c>
      <c r="G506" s="11">
        <v>45460.47</v>
      </c>
      <c r="H506" s="12">
        <v>0.12750993694104057</v>
      </c>
      <c r="I506" s="10">
        <v>4</v>
      </c>
      <c r="J506" s="21">
        <v>85</v>
      </c>
      <c r="K506" s="21">
        <v>30</v>
      </c>
      <c r="L506" s="21">
        <v>80</v>
      </c>
      <c r="M506" s="21">
        <v>67.5</v>
      </c>
      <c r="N506" s="21">
        <f>J506*Supuestos!$B$7+K506*Supuestos!$B$8+L506*Supuestos!$B$9+M506*Supuestos!$B$10</f>
        <v>63.75</v>
      </c>
      <c r="O506" s="34" t="str">
        <f t="shared" si="7"/>
        <v>C</v>
      </c>
      <c r="P506" s="10" t="s">
        <v>447</v>
      </c>
      <c r="Q506" s="10" t="s">
        <v>471</v>
      </c>
    </row>
    <row r="507" spans="1:17">
      <c r="A507" s="10" t="s">
        <v>101</v>
      </c>
      <c r="B507" s="10" t="s">
        <v>60</v>
      </c>
      <c r="C507" s="10" t="s">
        <v>289</v>
      </c>
      <c r="D507" s="10" t="s">
        <v>149</v>
      </c>
      <c r="E507" s="10" t="s">
        <v>181</v>
      </c>
      <c r="F507" s="11">
        <v>1311.42</v>
      </c>
      <c r="G507" s="11">
        <v>22969.31</v>
      </c>
      <c r="H507" s="12">
        <v>5.7094234303737161E-2</v>
      </c>
      <c r="I507" s="10">
        <v>7</v>
      </c>
      <c r="J507" s="21">
        <v>30</v>
      </c>
      <c r="K507" s="21">
        <v>90</v>
      </c>
      <c r="L507" s="21">
        <v>55</v>
      </c>
      <c r="M507" s="21">
        <v>77.5</v>
      </c>
      <c r="N507" s="21">
        <f>J507*Supuestos!$B$7+K507*Supuestos!$B$8+L507*Supuestos!$B$9+M507*Supuestos!$B$10</f>
        <v>63.75</v>
      </c>
      <c r="O507" s="34" t="str">
        <f t="shared" si="7"/>
        <v>C</v>
      </c>
      <c r="P507" s="10" t="s">
        <v>435</v>
      </c>
      <c r="Q507" s="10" t="s">
        <v>441</v>
      </c>
    </row>
    <row r="508" spans="1:17">
      <c r="A508" s="10" t="s">
        <v>101</v>
      </c>
      <c r="B508" s="10" t="s">
        <v>60</v>
      </c>
      <c r="C508" s="10" t="s">
        <v>183</v>
      </c>
      <c r="D508" s="10" t="s">
        <v>149</v>
      </c>
      <c r="E508" s="10" t="s">
        <v>375</v>
      </c>
      <c r="F508" s="11">
        <v>327.72</v>
      </c>
      <c r="G508" s="11">
        <v>6614.7</v>
      </c>
      <c r="H508" s="12">
        <v>4.9544736817223413E-2</v>
      </c>
      <c r="I508" s="10">
        <v>4</v>
      </c>
      <c r="J508" s="21">
        <v>30</v>
      </c>
      <c r="K508" s="21">
        <v>100</v>
      </c>
      <c r="L508" s="21">
        <v>25</v>
      </c>
      <c r="M508" s="21">
        <v>100</v>
      </c>
      <c r="N508" s="21">
        <f>J508*Supuestos!$B$7+K508*Supuestos!$B$8+L508*Supuestos!$B$9+M508*Supuestos!$B$10</f>
        <v>63.75</v>
      </c>
      <c r="O508" s="34" t="str">
        <f t="shared" si="7"/>
        <v>C</v>
      </c>
      <c r="P508" s="10" t="s">
        <v>435</v>
      </c>
      <c r="Q508" s="10" t="s">
        <v>436</v>
      </c>
    </row>
    <row r="509" spans="1:17">
      <c r="A509" s="10" t="s">
        <v>111</v>
      </c>
      <c r="B509" s="10" t="s">
        <v>69</v>
      </c>
      <c r="C509" s="10" t="s">
        <v>309</v>
      </c>
      <c r="D509" s="10" t="s">
        <v>103</v>
      </c>
      <c r="E509" s="10" t="s">
        <v>515</v>
      </c>
      <c r="F509" s="11">
        <v>31328.85</v>
      </c>
      <c r="G509" s="11">
        <v>712220.68</v>
      </c>
      <c r="H509" s="12">
        <v>4.3987566617420405E-2</v>
      </c>
      <c r="I509" s="10">
        <v>8</v>
      </c>
      <c r="J509" s="21">
        <v>100</v>
      </c>
      <c r="K509" s="21">
        <v>65.000000000000014</v>
      </c>
      <c r="L509" s="21">
        <v>25</v>
      </c>
      <c r="M509" s="21">
        <v>63.078660406306753</v>
      </c>
      <c r="N509" s="21">
        <f>J509*Supuestos!$B$7+K509*Supuestos!$B$8+L509*Supuestos!$B$9+M509*Supuestos!$B$10</f>
        <v>63.365732081261349</v>
      </c>
      <c r="O509" s="34" t="str">
        <f t="shared" si="7"/>
        <v>C</v>
      </c>
      <c r="P509" s="10" t="s">
        <v>447</v>
      </c>
      <c r="Q509" s="10" t="s">
        <v>441</v>
      </c>
    </row>
    <row r="510" spans="1:17">
      <c r="A510" s="10" t="s">
        <v>119</v>
      </c>
      <c r="B510" s="10" t="s">
        <v>360</v>
      </c>
      <c r="C510" s="10" t="s">
        <v>361</v>
      </c>
      <c r="D510" s="10" t="s">
        <v>103</v>
      </c>
      <c r="E510" s="10" t="s">
        <v>515</v>
      </c>
      <c r="F510" s="11">
        <v>11529.78</v>
      </c>
      <c r="G510" s="11">
        <v>360957.46</v>
      </c>
      <c r="H510" s="12">
        <v>3.1942211619529932E-2</v>
      </c>
      <c r="I510" s="10">
        <v>10</v>
      </c>
      <c r="J510" s="21">
        <v>100</v>
      </c>
      <c r="K510" s="21">
        <v>64.999999999999986</v>
      </c>
      <c r="L510" s="21">
        <v>25</v>
      </c>
      <c r="M510" s="21">
        <v>63.078660406306753</v>
      </c>
      <c r="N510" s="21">
        <f>J510*Supuestos!$B$7+K510*Supuestos!$B$8+L510*Supuestos!$B$9+M510*Supuestos!$B$10</f>
        <v>63.365732081261349</v>
      </c>
      <c r="O510" s="34" t="str">
        <f t="shared" si="7"/>
        <v>C</v>
      </c>
      <c r="P510" s="10" t="s">
        <v>447</v>
      </c>
      <c r="Q510" s="10" t="s">
        <v>441</v>
      </c>
    </row>
    <row r="511" spans="1:17">
      <c r="A511" s="10" t="s">
        <v>215</v>
      </c>
      <c r="B511" s="10" t="s">
        <v>60</v>
      </c>
      <c r="C511" s="10" t="s">
        <v>410</v>
      </c>
      <c r="D511" s="10" t="s">
        <v>103</v>
      </c>
      <c r="E511" s="10" t="s">
        <v>515</v>
      </c>
      <c r="F511" s="11">
        <v>678.8</v>
      </c>
      <c r="G511" s="11">
        <v>273779.84999999998</v>
      </c>
      <c r="H511" s="12">
        <v>2.4793506770307647E-3</v>
      </c>
      <c r="I511" s="10">
        <v>18</v>
      </c>
      <c r="J511" s="21">
        <v>100</v>
      </c>
      <c r="K511" s="21">
        <v>65</v>
      </c>
      <c r="L511" s="21">
        <v>25</v>
      </c>
      <c r="M511" s="21">
        <v>63.078660406306753</v>
      </c>
      <c r="N511" s="21">
        <f>J511*Supuestos!$B$7+K511*Supuestos!$B$8+L511*Supuestos!$B$9+M511*Supuestos!$B$10</f>
        <v>63.365732081261349</v>
      </c>
      <c r="O511" s="34" t="str">
        <f t="shared" si="7"/>
        <v>C</v>
      </c>
      <c r="P511" s="10" t="s">
        <v>447</v>
      </c>
      <c r="Q511" s="10" t="s">
        <v>441</v>
      </c>
    </row>
    <row r="512" spans="1:17">
      <c r="A512" s="10" t="s">
        <v>101</v>
      </c>
      <c r="B512" s="10" t="s">
        <v>60</v>
      </c>
      <c r="C512" s="10" t="s">
        <v>342</v>
      </c>
      <c r="D512" s="10" t="s">
        <v>103</v>
      </c>
      <c r="E512" s="10" t="s">
        <v>515</v>
      </c>
      <c r="F512" s="11">
        <v>274.14999999999998</v>
      </c>
      <c r="G512" s="11">
        <v>95640.54</v>
      </c>
      <c r="H512" s="12">
        <v>2.8664131580352741E-3</v>
      </c>
      <c r="I512" s="10">
        <v>16</v>
      </c>
      <c r="J512" s="21">
        <v>100</v>
      </c>
      <c r="K512" s="21">
        <v>65</v>
      </c>
      <c r="L512" s="21">
        <v>25</v>
      </c>
      <c r="M512" s="21">
        <v>63.078660406306753</v>
      </c>
      <c r="N512" s="21">
        <f>J512*Supuestos!$B$7+K512*Supuestos!$B$8+L512*Supuestos!$B$9+M512*Supuestos!$B$10</f>
        <v>63.365732081261349</v>
      </c>
      <c r="O512" s="34" t="str">
        <f t="shared" si="7"/>
        <v>C</v>
      </c>
      <c r="P512" s="10" t="s">
        <v>447</v>
      </c>
      <c r="Q512" s="10" t="s">
        <v>441</v>
      </c>
    </row>
    <row r="513" spans="1:17">
      <c r="A513" s="10" t="s">
        <v>119</v>
      </c>
      <c r="B513" s="10" t="s">
        <v>360</v>
      </c>
      <c r="C513" s="10" t="s">
        <v>361</v>
      </c>
      <c r="D513" s="10" t="s">
        <v>103</v>
      </c>
      <c r="E513" s="10" t="s">
        <v>475</v>
      </c>
      <c r="F513" s="11">
        <v>33980.730000000003</v>
      </c>
      <c r="G513" s="11">
        <v>360957.46</v>
      </c>
      <c r="H513" s="12">
        <v>9.4140527666291884E-2</v>
      </c>
      <c r="I513" s="10">
        <v>4</v>
      </c>
      <c r="J513" s="21">
        <v>100</v>
      </c>
      <c r="K513" s="21">
        <v>30</v>
      </c>
      <c r="L513" s="21">
        <v>55</v>
      </c>
      <c r="M513" s="21">
        <v>77.637143099450157</v>
      </c>
      <c r="N513" s="21">
        <f>J513*Supuestos!$B$7+K513*Supuestos!$B$8+L513*Supuestos!$B$9+M513*Supuestos!$B$10</f>
        <v>63.277428619890031</v>
      </c>
      <c r="O513" s="34" t="str">
        <f t="shared" si="7"/>
        <v>C</v>
      </c>
      <c r="P513" s="10" t="s">
        <v>447</v>
      </c>
      <c r="Q513" s="10" t="s">
        <v>471</v>
      </c>
    </row>
    <row r="514" spans="1:17">
      <c r="A514" s="10" t="s">
        <v>275</v>
      </c>
      <c r="B514" s="10" t="s">
        <v>406</v>
      </c>
      <c r="C514" s="10" t="s">
        <v>407</v>
      </c>
      <c r="D514" s="10" t="s">
        <v>127</v>
      </c>
      <c r="E514" s="10" t="s">
        <v>467</v>
      </c>
      <c r="F514" s="11">
        <v>13095.6</v>
      </c>
      <c r="G514" s="11">
        <v>324829.33</v>
      </c>
      <c r="H514" s="12">
        <v>4.0315317889908997E-2</v>
      </c>
      <c r="I514" s="10">
        <v>7</v>
      </c>
      <c r="J514" s="21">
        <v>85</v>
      </c>
      <c r="K514" s="21">
        <v>65</v>
      </c>
      <c r="L514" s="21">
        <v>25</v>
      </c>
      <c r="M514" s="21">
        <v>81.25</v>
      </c>
      <c r="N514" s="21">
        <f>J514*Supuestos!$B$7+K514*Supuestos!$B$8+L514*Supuestos!$B$9+M514*Supuestos!$B$10</f>
        <v>63.25</v>
      </c>
      <c r="O514" s="34" t="str">
        <f t="shared" si="7"/>
        <v>C</v>
      </c>
      <c r="P514" s="10" t="s">
        <v>447</v>
      </c>
      <c r="Q514" s="10" t="s">
        <v>441</v>
      </c>
    </row>
    <row r="515" spans="1:17">
      <c r="A515" s="10" t="s">
        <v>111</v>
      </c>
      <c r="B515" s="10" t="s">
        <v>161</v>
      </c>
      <c r="C515" s="10" t="s">
        <v>268</v>
      </c>
      <c r="D515" s="10" t="s">
        <v>127</v>
      </c>
      <c r="E515" s="10" t="s">
        <v>526</v>
      </c>
      <c r="F515" s="11">
        <v>9037.41</v>
      </c>
      <c r="G515" s="11">
        <v>21676.53</v>
      </c>
      <c r="H515" s="12">
        <v>0.41692153219384398</v>
      </c>
      <c r="I515" s="10">
        <v>2</v>
      </c>
      <c r="J515" s="21">
        <v>85</v>
      </c>
      <c r="K515" s="21">
        <v>30</v>
      </c>
      <c r="L515" s="21">
        <v>100</v>
      </c>
      <c r="M515" s="21">
        <v>40</v>
      </c>
      <c r="N515" s="21">
        <f>J515*Supuestos!$B$7+K515*Supuestos!$B$8+L515*Supuestos!$B$9+M515*Supuestos!$B$10</f>
        <v>63.25</v>
      </c>
      <c r="O515" s="34" t="str">
        <f t="shared" si="7"/>
        <v>C</v>
      </c>
      <c r="P515" s="10" t="s">
        <v>447</v>
      </c>
      <c r="Q515" s="10" t="s">
        <v>471</v>
      </c>
    </row>
    <row r="516" spans="1:17">
      <c r="A516" s="10" t="s">
        <v>111</v>
      </c>
      <c r="B516" s="10" t="s">
        <v>161</v>
      </c>
      <c r="C516" s="10" t="s">
        <v>162</v>
      </c>
      <c r="D516" s="10" t="s">
        <v>127</v>
      </c>
      <c r="E516" s="10" t="s">
        <v>526</v>
      </c>
      <c r="F516" s="11">
        <v>8066.45</v>
      </c>
      <c r="G516" s="11">
        <v>25365.64</v>
      </c>
      <c r="H516" s="12">
        <v>0.31800688818837197</v>
      </c>
      <c r="I516" s="10">
        <v>2</v>
      </c>
      <c r="J516" s="21">
        <v>85</v>
      </c>
      <c r="K516" s="21">
        <v>30.000000000000004</v>
      </c>
      <c r="L516" s="21">
        <v>100</v>
      </c>
      <c r="M516" s="21">
        <v>40</v>
      </c>
      <c r="N516" s="21">
        <f>J516*Supuestos!$B$7+K516*Supuestos!$B$8+L516*Supuestos!$B$9+M516*Supuestos!$B$10</f>
        <v>63.25</v>
      </c>
      <c r="O516" s="34" t="str">
        <f t="shared" si="7"/>
        <v>C</v>
      </c>
      <c r="P516" s="10" t="s">
        <v>447</v>
      </c>
      <c r="Q516" s="10" t="s">
        <v>471</v>
      </c>
    </row>
    <row r="517" spans="1:17">
      <c r="A517" s="10" t="s">
        <v>101</v>
      </c>
      <c r="B517" s="10" t="s">
        <v>60</v>
      </c>
      <c r="C517" s="10" t="s">
        <v>264</v>
      </c>
      <c r="D517" s="10" t="s">
        <v>149</v>
      </c>
      <c r="E517" s="10" t="s">
        <v>467</v>
      </c>
      <c r="F517" s="11">
        <v>3336.03</v>
      </c>
      <c r="G517" s="11">
        <v>17196.84</v>
      </c>
      <c r="H517" s="12">
        <v>0.19399054683680023</v>
      </c>
      <c r="I517" s="10">
        <v>2</v>
      </c>
      <c r="J517" s="21">
        <v>30</v>
      </c>
      <c r="K517" s="21">
        <v>65.000000000000014</v>
      </c>
      <c r="L517" s="21">
        <v>80</v>
      </c>
      <c r="M517" s="21">
        <v>81.25</v>
      </c>
      <c r="N517" s="21">
        <f>J517*Supuestos!$B$7+K517*Supuestos!$B$8+L517*Supuestos!$B$9+M517*Supuestos!$B$10</f>
        <v>63.25</v>
      </c>
      <c r="O517" s="34" t="str">
        <f t="shared" ref="O517:O580" si="8">IF(N517&gt;=80,"A",IF(N517&gt;=65,"B",IF(N517&gt;=50,"C","D")))</f>
        <v>C</v>
      </c>
      <c r="P517" s="10" t="s">
        <v>447</v>
      </c>
      <c r="Q517" s="10" t="s">
        <v>441</v>
      </c>
    </row>
    <row r="518" spans="1:17">
      <c r="A518" s="10" t="s">
        <v>101</v>
      </c>
      <c r="B518" s="10" t="s">
        <v>60</v>
      </c>
      <c r="C518" s="10" t="s">
        <v>239</v>
      </c>
      <c r="D518" s="10" t="s">
        <v>127</v>
      </c>
      <c r="E518" s="10" t="s">
        <v>467</v>
      </c>
      <c r="F518" s="11">
        <v>1340.71</v>
      </c>
      <c r="G518" s="11">
        <v>45460.47</v>
      </c>
      <c r="H518" s="12">
        <v>2.9491688705910155E-2</v>
      </c>
      <c r="I518" s="10">
        <v>10</v>
      </c>
      <c r="J518" s="21">
        <v>85</v>
      </c>
      <c r="K518" s="21">
        <v>65</v>
      </c>
      <c r="L518" s="21">
        <v>25</v>
      </c>
      <c r="M518" s="21">
        <v>81.25</v>
      </c>
      <c r="N518" s="21">
        <f>J518*Supuestos!$B$7+K518*Supuestos!$B$8+L518*Supuestos!$B$9+M518*Supuestos!$B$10</f>
        <v>63.25</v>
      </c>
      <c r="O518" s="34" t="str">
        <f t="shared" si="8"/>
        <v>C</v>
      </c>
      <c r="P518" s="10" t="s">
        <v>447</v>
      </c>
      <c r="Q518" s="10" t="s">
        <v>441</v>
      </c>
    </row>
    <row r="519" spans="1:17">
      <c r="A519" s="10" t="s">
        <v>101</v>
      </c>
      <c r="B519" s="10" t="s">
        <v>60</v>
      </c>
      <c r="C519" s="10" t="s">
        <v>204</v>
      </c>
      <c r="D519" s="10" t="s">
        <v>127</v>
      </c>
      <c r="E519" s="10" t="s">
        <v>467</v>
      </c>
      <c r="F519" s="11">
        <v>444.89</v>
      </c>
      <c r="G519" s="11">
        <v>23377.47</v>
      </c>
      <c r="H519" s="12">
        <v>1.9030572578802498E-2</v>
      </c>
      <c r="I519" s="10">
        <v>12</v>
      </c>
      <c r="J519" s="21">
        <v>85</v>
      </c>
      <c r="K519" s="21">
        <v>65</v>
      </c>
      <c r="L519" s="21">
        <v>25</v>
      </c>
      <c r="M519" s="21">
        <v>81.25</v>
      </c>
      <c r="N519" s="21">
        <f>J519*Supuestos!$B$7+K519*Supuestos!$B$8+L519*Supuestos!$B$9+M519*Supuestos!$B$10</f>
        <v>63.25</v>
      </c>
      <c r="O519" s="34" t="str">
        <f t="shared" si="8"/>
        <v>C</v>
      </c>
      <c r="P519" s="10" t="s">
        <v>447</v>
      </c>
      <c r="Q519" s="10" t="s">
        <v>441</v>
      </c>
    </row>
    <row r="520" spans="1:17">
      <c r="A520" s="10" t="s">
        <v>119</v>
      </c>
      <c r="B520" s="10" t="s">
        <v>383</v>
      </c>
      <c r="C520" s="10" t="s">
        <v>384</v>
      </c>
      <c r="D520" s="10" t="s">
        <v>103</v>
      </c>
      <c r="E520" s="10" t="s">
        <v>527</v>
      </c>
      <c r="F520" s="11">
        <v>18592.37</v>
      </c>
      <c r="G520" s="11">
        <v>574829.68000000005</v>
      </c>
      <c r="H520" s="12">
        <v>3.2344131623216449E-2</v>
      </c>
      <c r="I520" s="10">
        <v>11</v>
      </c>
      <c r="J520" s="21">
        <v>100</v>
      </c>
      <c r="K520" s="21">
        <v>75</v>
      </c>
      <c r="L520" s="21">
        <v>25</v>
      </c>
      <c r="M520" s="21">
        <v>46.25</v>
      </c>
      <c r="N520" s="21">
        <f>J520*Supuestos!$B$7+K520*Supuestos!$B$8+L520*Supuestos!$B$9+M520*Supuestos!$B$10</f>
        <v>63</v>
      </c>
      <c r="O520" s="34" t="str">
        <f t="shared" si="8"/>
        <v>C</v>
      </c>
      <c r="P520" s="10" t="s">
        <v>447</v>
      </c>
      <c r="Q520" s="10" t="s">
        <v>436</v>
      </c>
    </row>
    <row r="521" spans="1:17">
      <c r="A521" s="10" t="s">
        <v>111</v>
      </c>
      <c r="B521" s="10" t="s">
        <v>65</v>
      </c>
      <c r="C521" s="10" t="s">
        <v>138</v>
      </c>
      <c r="D521" s="10" t="s">
        <v>103</v>
      </c>
      <c r="E521" s="10" t="s">
        <v>528</v>
      </c>
      <c r="F521" s="11">
        <v>17243.63</v>
      </c>
      <c r="G521" s="11">
        <v>1574650.7</v>
      </c>
      <c r="H521" s="12">
        <v>1.0950768143003664E-2</v>
      </c>
      <c r="I521" s="10">
        <v>7</v>
      </c>
      <c r="J521" s="21">
        <v>100</v>
      </c>
      <c r="K521" s="21">
        <v>75</v>
      </c>
      <c r="L521" s="21">
        <v>25</v>
      </c>
      <c r="M521" s="21">
        <v>46.25</v>
      </c>
      <c r="N521" s="21">
        <f>J521*Supuestos!$B$7+K521*Supuestos!$B$8+L521*Supuestos!$B$9+M521*Supuestos!$B$10</f>
        <v>63</v>
      </c>
      <c r="O521" s="34" t="str">
        <f t="shared" si="8"/>
        <v>C</v>
      </c>
      <c r="P521" s="10" t="s">
        <v>447</v>
      </c>
      <c r="Q521" s="10" t="s">
        <v>436</v>
      </c>
    </row>
    <row r="522" spans="1:17">
      <c r="A522" s="10" t="s">
        <v>275</v>
      </c>
      <c r="B522" s="10" t="s">
        <v>71</v>
      </c>
      <c r="C522" s="10" t="s">
        <v>316</v>
      </c>
      <c r="D522" s="10" t="s">
        <v>103</v>
      </c>
      <c r="E522" s="10" t="s">
        <v>529</v>
      </c>
      <c r="F522" s="11">
        <v>12133.9</v>
      </c>
      <c r="G522" s="11">
        <v>1083764</v>
      </c>
      <c r="H522" s="12">
        <v>1.1196072185162973E-2</v>
      </c>
      <c r="I522" s="10">
        <v>15</v>
      </c>
      <c r="J522" s="21">
        <v>100</v>
      </c>
      <c r="K522" s="21">
        <v>75</v>
      </c>
      <c r="L522" s="21">
        <v>25</v>
      </c>
      <c r="M522" s="21">
        <v>46.25</v>
      </c>
      <c r="N522" s="21">
        <f>J522*Supuestos!$B$7+K522*Supuestos!$B$8+L522*Supuestos!$B$9+M522*Supuestos!$B$10</f>
        <v>63</v>
      </c>
      <c r="O522" s="34" t="str">
        <f t="shared" si="8"/>
        <v>C</v>
      </c>
      <c r="P522" s="10" t="s">
        <v>447</v>
      </c>
      <c r="Q522" s="10" t="s">
        <v>436</v>
      </c>
    </row>
    <row r="523" spans="1:17">
      <c r="A523" s="10" t="s">
        <v>101</v>
      </c>
      <c r="B523" s="10" t="s">
        <v>60</v>
      </c>
      <c r="C523" s="10" t="s">
        <v>264</v>
      </c>
      <c r="D523" s="10" t="s">
        <v>149</v>
      </c>
      <c r="E523" s="10" t="s">
        <v>475</v>
      </c>
      <c r="F523" s="11">
        <v>1881.7</v>
      </c>
      <c r="G523" s="11">
        <v>17196.84</v>
      </c>
      <c r="H523" s="12">
        <v>0.10942123957936251</v>
      </c>
      <c r="I523" s="10">
        <v>5</v>
      </c>
      <c r="J523" s="21">
        <v>30</v>
      </c>
      <c r="K523" s="21">
        <v>65</v>
      </c>
      <c r="L523" s="21">
        <v>80</v>
      </c>
      <c r="M523" s="21">
        <v>77.637143099450157</v>
      </c>
      <c r="N523" s="21">
        <f>J523*Supuestos!$B$7+K523*Supuestos!$B$8+L523*Supuestos!$B$9+M523*Supuestos!$B$10</f>
        <v>62.527428619890031</v>
      </c>
      <c r="O523" s="34" t="str">
        <f t="shared" si="8"/>
        <v>C</v>
      </c>
      <c r="P523" s="10" t="s">
        <v>447</v>
      </c>
      <c r="Q523" s="10" t="s">
        <v>441</v>
      </c>
    </row>
    <row r="524" spans="1:17">
      <c r="A524" s="10" t="s">
        <v>101</v>
      </c>
      <c r="B524" s="10" t="s">
        <v>60</v>
      </c>
      <c r="C524" s="10" t="s">
        <v>320</v>
      </c>
      <c r="D524" s="10" t="s">
        <v>127</v>
      </c>
      <c r="E524" s="10" t="s">
        <v>475</v>
      </c>
      <c r="F524" s="11">
        <v>192.06</v>
      </c>
      <c r="G524" s="11">
        <v>19670.240000000002</v>
      </c>
      <c r="H524" s="12">
        <v>9.7638896298041823E-3</v>
      </c>
      <c r="I524" s="10">
        <v>16</v>
      </c>
      <c r="J524" s="21">
        <v>85</v>
      </c>
      <c r="K524" s="21">
        <v>65.000000000000014</v>
      </c>
      <c r="L524" s="21">
        <v>25</v>
      </c>
      <c r="M524" s="21">
        <v>77.637143099450157</v>
      </c>
      <c r="N524" s="21">
        <f>J524*Supuestos!$B$7+K524*Supuestos!$B$8+L524*Supuestos!$B$9+M524*Supuestos!$B$10</f>
        <v>62.527428619890031</v>
      </c>
      <c r="O524" s="34" t="str">
        <f t="shared" si="8"/>
        <v>C</v>
      </c>
      <c r="P524" s="10" t="s">
        <v>447</v>
      </c>
      <c r="Q524" s="10" t="s">
        <v>441</v>
      </c>
    </row>
    <row r="525" spans="1:17">
      <c r="A525" s="10" t="s">
        <v>101</v>
      </c>
      <c r="B525" s="10" t="s">
        <v>60</v>
      </c>
      <c r="C525" s="10" t="s">
        <v>289</v>
      </c>
      <c r="D525" s="10" t="s">
        <v>149</v>
      </c>
      <c r="E525" s="10" t="s">
        <v>151</v>
      </c>
      <c r="F525" s="11">
        <v>2246.9499999999998</v>
      </c>
      <c r="G525" s="11">
        <v>22969.31</v>
      </c>
      <c r="H525" s="12">
        <v>9.7823965873249971E-2</v>
      </c>
      <c r="I525" s="10">
        <v>5</v>
      </c>
      <c r="J525" s="21">
        <v>30</v>
      </c>
      <c r="K525" s="21">
        <v>75</v>
      </c>
      <c r="L525" s="21">
        <v>55</v>
      </c>
      <c r="M525" s="21">
        <v>93.580645922060057</v>
      </c>
      <c r="N525" s="21">
        <f>J525*Supuestos!$B$7+K525*Supuestos!$B$8+L525*Supuestos!$B$9+M525*Supuestos!$B$10</f>
        <v>62.466129184412011</v>
      </c>
      <c r="O525" s="34" t="str">
        <f t="shared" si="8"/>
        <v>C</v>
      </c>
      <c r="P525" s="10" t="s">
        <v>447</v>
      </c>
      <c r="Q525" s="10" t="s">
        <v>436</v>
      </c>
    </row>
    <row r="526" spans="1:17">
      <c r="A526" s="10" t="s">
        <v>101</v>
      </c>
      <c r="B526" s="10" t="s">
        <v>60</v>
      </c>
      <c r="C526" s="10" t="s">
        <v>295</v>
      </c>
      <c r="D526" s="10" t="s">
        <v>149</v>
      </c>
      <c r="E526" s="10" t="s">
        <v>446</v>
      </c>
      <c r="F526" s="11">
        <v>338.77</v>
      </c>
      <c r="G526" s="11">
        <v>3541.37</v>
      </c>
      <c r="H526" s="12">
        <v>9.566138812032729E-2</v>
      </c>
      <c r="I526" s="10">
        <v>6</v>
      </c>
      <c r="J526" s="21">
        <v>30</v>
      </c>
      <c r="K526" s="21">
        <v>75</v>
      </c>
      <c r="L526" s="21">
        <v>55</v>
      </c>
      <c r="M526" s="21">
        <v>93.560509294235828</v>
      </c>
      <c r="N526" s="21">
        <f>J526*Supuestos!$B$7+K526*Supuestos!$B$8+L526*Supuestos!$B$9+M526*Supuestos!$B$10</f>
        <v>62.462101858847163</v>
      </c>
      <c r="O526" s="34" t="str">
        <f t="shared" si="8"/>
        <v>C</v>
      </c>
      <c r="P526" s="10" t="s">
        <v>447</v>
      </c>
      <c r="Q526" s="10" t="s">
        <v>436</v>
      </c>
    </row>
    <row r="527" spans="1:17">
      <c r="A527" s="10" t="s">
        <v>101</v>
      </c>
      <c r="B527" s="10" t="s">
        <v>60</v>
      </c>
      <c r="C527" s="10" t="s">
        <v>281</v>
      </c>
      <c r="D527" s="10" t="s">
        <v>149</v>
      </c>
      <c r="E527" s="10" t="s">
        <v>458</v>
      </c>
      <c r="F527" s="11">
        <v>2768.03</v>
      </c>
      <c r="G527" s="11">
        <v>13695.07</v>
      </c>
      <c r="H527" s="12">
        <v>0.20211899560825988</v>
      </c>
      <c r="I527" s="10">
        <v>3</v>
      </c>
      <c r="J527" s="21">
        <v>30</v>
      </c>
      <c r="K527" s="21">
        <v>75</v>
      </c>
      <c r="L527" s="21">
        <v>80</v>
      </c>
      <c r="M527" s="21">
        <v>61.25</v>
      </c>
      <c r="N527" s="21">
        <f>J527*Supuestos!$B$7+K527*Supuestos!$B$8+L527*Supuestos!$B$9+M527*Supuestos!$B$10</f>
        <v>62.25</v>
      </c>
      <c r="O527" s="34" t="str">
        <f t="shared" si="8"/>
        <v>C</v>
      </c>
      <c r="P527" s="10" t="s">
        <v>447</v>
      </c>
      <c r="Q527" s="10" t="s">
        <v>436</v>
      </c>
    </row>
    <row r="528" spans="1:17">
      <c r="A528" s="10" t="s">
        <v>101</v>
      </c>
      <c r="B528" s="10" t="s">
        <v>60</v>
      </c>
      <c r="C528" s="10" t="s">
        <v>239</v>
      </c>
      <c r="D528" s="10" t="s">
        <v>127</v>
      </c>
      <c r="E528" s="10" t="s">
        <v>458</v>
      </c>
      <c r="F528" s="11">
        <v>270.91000000000003</v>
      </c>
      <c r="G528" s="11">
        <v>45460.47</v>
      </c>
      <c r="H528" s="12">
        <v>5.9593297268434537E-3</v>
      </c>
      <c r="I528" s="10">
        <v>13</v>
      </c>
      <c r="J528" s="21">
        <v>85</v>
      </c>
      <c r="K528" s="21">
        <v>75</v>
      </c>
      <c r="L528" s="21">
        <v>25</v>
      </c>
      <c r="M528" s="21">
        <v>61.25</v>
      </c>
      <c r="N528" s="21">
        <f>J528*Supuestos!$B$7+K528*Supuestos!$B$8+L528*Supuestos!$B$9+M528*Supuestos!$B$10</f>
        <v>62.25</v>
      </c>
      <c r="O528" s="34" t="str">
        <f t="shared" si="8"/>
        <v>C</v>
      </c>
      <c r="P528" s="10" t="s">
        <v>447</v>
      </c>
      <c r="Q528" s="10" t="s">
        <v>436</v>
      </c>
    </row>
    <row r="529" spans="1:17">
      <c r="A529" s="10" t="s">
        <v>275</v>
      </c>
      <c r="B529" s="10" t="s">
        <v>276</v>
      </c>
      <c r="C529" s="10" t="s">
        <v>277</v>
      </c>
      <c r="D529" s="10" t="s">
        <v>127</v>
      </c>
      <c r="E529" s="10" t="s">
        <v>462</v>
      </c>
      <c r="F529" s="11">
        <v>5799.89</v>
      </c>
      <c r="G529" s="11">
        <v>77674.73</v>
      </c>
      <c r="H529" s="12">
        <v>7.4668982855872659E-2</v>
      </c>
      <c r="I529" s="10">
        <v>5</v>
      </c>
      <c r="J529" s="21">
        <v>85</v>
      </c>
      <c r="K529" s="21">
        <v>29.999999999999996</v>
      </c>
      <c r="L529" s="21">
        <v>55</v>
      </c>
      <c r="M529" s="21">
        <v>90.510155415039009</v>
      </c>
      <c r="N529" s="21">
        <f>J529*Supuestos!$B$7+K529*Supuestos!$B$8+L529*Supuestos!$B$9+M529*Supuestos!$B$10</f>
        <v>62.102031083007802</v>
      </c>
      <c r="O529" s="34" t="str">
        <f t="shared" si="8"/>
        <v>C</v>
      </c>
      <c r="P529" s="10" t="s">
        <v>447</v>
      </c>
      <c r="Q529" s="10" t="s">
        <v>471</v>
      </c>
    </row>
    <row r="530" spans="1:17">
      <c r="A530" s="10" t="s">
        <v>111</v>
      </c>
      <c r="B530" s="10" t="s">
        <v>60</v>
      </c>
      <c r="C530" s="10" t="s">
        <v>208</v>
      </c>
      <c r="D530" s="10" t="s">
        <v>103</v>
      </c>
      <c r="E530" s="10" t="s">
        <v>530</v>
      </c>
      <c r="F530" s="11">
        <v>9659.5</v>
      </c>
      <c r="G530" s="11">
        <v>201558.18</v>
      </c>
      <c r="H530" s="12">
        <v>4.7924149475780504E-2</v>
      </c>
      <c r="I530" s="10">
        <v>6</v>
      </c>
      <c r="J530" s="21">
        <v>100</v>
      </c>
      <c r="K530" s="21">
        <v>65.000000000000014</v>
      </c>
      <c r="L530" s="21">
        <v>25</v>
      </c>
      <c r="M530" s="21">
        <v>53.75</v>
      </c>
      <c r="N530" s="21">
        <f>J530*Supuestos!$B$7+K530*Supuestos!$B$8+L530*Supuestos!$B$9+M530*Supuestos!$B$10</f>
        <v>61.5</v>
      </c>
      <c r="O530" s="34" t="str">
        <f t="shared" si="8"/>
        <v>C</v>
      </c>
      <c r="P530" s="10" t="s">
        <v>447</v>
      </c>
      <c r="Q530" s="10" t="s">
        <v>441</v>
      </c>
    </row>
    <row r="531" spans="1:17">
      <c r="A531" s="10" t="s">
        <v>165</v>
      </c>
      <c r="B531" s="10" t="s">
        <v>60</v>
      </c>
      <c r="C531" s="10" t="s">
        <v>166</v>
      </c>
      <c r="D531" s="10" t="s">
        <v>103</v>
      </c>
      <c r="E531" s="10" t="s">
        <v>530</v>
      </c>
      <c r="F531" s="11">
        <v>8872.86</v>
      </c>
      <c r="G531" s="11">
        <v>929838.13</v>
      </c>
      <c r="H531" s="12">
        <v>9.5423701707698545E-3</v>
      </c>
      <c r="I531" s="10">
        <v>14</v>
      </c>
      <c r="J531" s="21">
        <v>100</v>
      </c>
      <c r="K531" s="21">
        <v>65</v>
      </c>
      <c r="L531" s="21">
        <v>25</v>
      </c>
      <c r="M531" s="21">
        <v>53.75</v>
      </c>
      <c r="N531" s="21">
        <f>J531*Supuestos!$B$7+K531*Supuestos!$B$8+L531*Supuestos!$B$9+M531*Supuestos!$B$10</f>
        <v>61.5</v>
      </c>
      <c r="O531" s="34" t="str">
        <f t="shared" si="8"/>
        <v>C</v>
      </c>
      <c r="P531" s="10" t="s">
        <v>447</v>
      </c>
      <c r="Q531" s="10" t="s">
        <v>441</v>
      </c>
    </row>
    <row r="532" spans="1:17">
      <c r="A532" s="10" t="s">
        <v>275</v>
      </c>
      <c r="B532" s="10" t="s">
        <v>71</v>
      </c>
      <c r="C532" s="10" t="s">
        <v>316</v>
      </c>
      <c r="D532" s="10" t="s">
        <v>103</v>
      </c>
      <c r="E532" s="10" t="s">
        <v>531</v>
      </c>
      <c r="F532" s="11">
        <v>8535.34</v>
      </c>
      <c r="G532" s="11">
        <v>1083764</v>
      </c>
      <c r="H532" s="12">
        <v>7.8756460763755622E-3</v>
      </c>
      <c r="I532" s="10">
        <v>18</v>
      </c>
      <c r="J532" s="21">
        <v>100</v>
      </c>
      <c r="K532" s="21">
        <v>65</v>
      </c>
      <c r="L532" s="21">
        <v>25</v>
      </c>
      <c r="M532" s="21">
        <v>53.75</v>
      </c>
      <c r="N532" s="21">
        <f>J532*Supuestos!$B$7+K532*Supuestos!$B$8+L532*Supuestos!$B$9+M532*Supuestos!$B$10</f>
        <v>61.5</v>
      </c>
      <c r="O532" s="34" t="str">
        <f t="shared" si="8"/>
        <v>C</v>
      </c>
      <c r="P532" s="10" t="s">
        <v>447</v>
      </c>
      <c r="Q532" s="10" t="s">
        <v>441</v>
      </c>
    </row>
    <row r="533" spans="1:17">
      <c r="A533" s="10" t="s">
        <v>255</v>
      </c>
      <c r="B533" s="10" t="s">
        <v>60</v>
      </c>
      <c r="C533" s="10" t="s">
        <v>328</v>
      </c>
      <c r="D533" s="10" t="s">
        <v>103</v>
      </c>
      <c r="E533" s="10" t="s">
        <v>531</v>
      </c>
      <c r="F533" s="11">
        <v>1863.37</v>
      </c>
      <c r="G533" s="11">
        <v>132474.79999999999</v>
      </c>
      <c r="H533" s="12">
        <v>1.4065882201291794E-2</v>
      </c>
      <c r="I533" s="10">
        <v>10</v>
      </c>
      <c r="J533" s="21">
        <v>100</v>
      </c>
      <c r="K533" s="21">
        <v>64.999999999999986</v>
      </c>
      <c r="L533" s="21">
        <v>25</v>
      </c>
      <c r="M533" s="21">
        <v>53.75</v>
      </c>
      <c r="N533" s="21">
        <f>J533*Supuestos!$B$7+K533*Supuestos!$B$8+L533*Supuestos!$B$9+M533*Supuestos!$B$10</f>
        <v>61.5</v>
      </c>
      <c r="O533" s="34" t="str">
        <f t="shared" si="8"/>
        <v>C</v>
      </c>
      <c r="P533" s="10" t="s">
        <v>447</v>
      </c>
      <c r="Q533" s="10" t="s">
        <v>441</v>
      </c>
    </row>
    <row r="534" spans="1:17">
      <c r="A534" s="10" t="s">
        <v>111</v>
      </c>
      <c r="B534" s="10" t="s">
        <v>73</v>
      </c>
      <c r="C534" s="10" t="s">
        <v>418</v>
      </c>
      <c r="D534" s="10" t="s">
        <v>103</v>
      </c>
      <c r="E534" s="10" t="s">
        <v>530</v>
      </c>
      <c r="F534" s="11">
        <v>1714.45</v>
      </c>
      <c r="G534" s="11">
        <v>642203.68000000005</v>
      </c>
      <c r="H534" s="12">
        <v>2.6696365978180424E-3</v>
      </c>
      <c r="I534" s="10">
        <v>25</v>
      </c>
      <c r="J534" s="21">
        <v>100</v>
      </c>
      <c r="K534" s="21">
        <v>65</v>
      </c>
      <c r="L534" s="21">
        <v>25</v>
      </c>
      <c r="M534" s="21">
        <v>53.75</v>
      </c>
      <c r="N534" s="21">
        <f>J534*Supuestos!$B$7+K534*Supuestos!$B$8+L534*Supuestos!$B$9+M534*Supuestos!$B$10</f>
        <v>61.5</v>
      </c>
      <c r="O534" s="34" t="str">
        <f t="shared" si="8"/>
        <v>C</v>
      </c>
      <c r="P534" s="10" t="s">
        <v>447</v>
      </c>
      <c r="Q534" s="10" t="s">
        <v>441</v>
      </c>
    </row>
    <row r="535" spans="1:17">
      <c r="A535" s="10" t="s">
        <v>111</v>
      </c>
      <c r="B535" s="10" t="s">
        <v>69</v>
      </c>
      <c r="C535" s="10" t="s">
        <v>309</v>
      </c>
      <c r="D535" s="10" t="s">
        <v>103</v>
      </c>
      <c r="E535" s="10" t="s">
        <v>531</v>
      </c>
      <c r="F535" s="11">
        <v>1101.01</v>
      </c>
      <c r="G535" s="11">
        <v>712220.68</v>
      </c>
      <c r="H535" s="12">
        <v>1.5458850171317666E-3</v>
      </c>
      <c r="I535" s="10">
        <v>24</v>
      </c>
      <c r="J535" s="21">
        <v>100</v>
      </c>
      <c r="K535" s="21">
        <v>65</v>
      </c>
      <c r="L535" s="21">
        <v>25</v>
      </c>
      <c r="M535" s="21">
        <v>53.75</v>
      </c>
      <c r="N535" s="21">
        <f>J535*Supuestos!$B$7+K535*Supuestos!$B$8+L535*Supuestos!$B$9+M535*Supuestos!$B$10</f>
        <v>61.5</v>
      </c>
      <c r="O535" s="34" t="str">
        <f t="shared" si="8"/>
        <v>C</v>
      </c>
      <c r="P535" s="10" t="s">
        <v>447</v>
      </c>
      <c r="Q535" s="10" t="s">
        <v>441</v>
      </c>
    </row>
    <row r="536" spans="1:17">
      <c r="A536" s="10" t="s">
        <v>165</v>
      </c>
      <c r="B536" s="10" t="s">
        <v>60</v>
      </c>
      <c r="C536" s="10" t="s">
        <v>302</v>
      </c>
      <c r="D536" s="10" t="s">
        <v>103</v>
      </c>
      <c r="E536" s="10" t="s">
        <v>530</v>
      </c>
      <c r="F536" s="11">
        <v>864.76</v>
      </c>
      <c r="G536" s="11">
        <v>357771.85</v>
      </c>
      <c r="H536" s="12">
        <v>2.4170610696145093E-3</v>
      </c>
      <c r="I536" s="10">
        <v>16</v>
      </c>
      <c r="J536" s="21">
        <v>100</v>
      </c>
      <c r="K536" s="21">
        <v>65</v>
      </c>
      <c r="L536" s="21">
        <v>25</v>
      </c>
      <c r="M536" s="21">
        <v>53.75</v>
      </c>
      <c r="N536" s="21">
        <f>J536*Supuestos!$B$7+K536*Supuestos!$B$8+L536*Supuestos!$B$9+M536*Supuestos!$B$10</f>
        <v>61.5</v>
      </c>
      <c r="O536" s="34" t="str">
        <f t="shared" si="8"/>
        <v>C</v>
      </c>
      <c r="P536" s="10" t="s">
        <v>447</v>
      </c>
      <c r="Q536" s="10" t="s">
        <v>441</v>
      </c>
    </row>
    <row r="537" spans="1:17">
      <c r="A537" s="10" t="s">
        <v>255</v>
      </c>
      <c r="B537" s="10" t="s">
        <v>60</v>
      </c>
      <c r="C537" s="10" t="s">
        <v>328</v>
      </c>
      <c r="D537" s="10" t="s">
        <v>103</v>
      </c>
      <c r="E537" s="10" t="s">
        <v>530</v>
      </c>
      <c r="F537" s="11">
        <v>620.82000000000005</v>
      </c>
      <c r="G537" s="11">
        <v>132474.79999999999</v>
      </c>
      <c r="H537" s="12">
        <v>4.6863193080438608E-3</v>
      </c>
      <c r="I537" s="10">
        <v>17</v>
      </c>
      <c r="J537" s="21">
        <v>100</v>
      </c>
      <c r="K537" s="21">
        <v>65</v>
      </c>
      <c r="L537" s="21">
        <v>25</v>
      </c>
      <c r="M537" s="21">
        <v>53.75</v>
      </c>
      <c r="N537" s="21">
        <f>J537*Supuestos!$B$7+K537*Supuestos!$B$8+L537*Supuestos!$B$9+M537*Supuestos!$B$10</f>
        <v>61.5</v>
      </c>
      <c r="O537" s="34" t="str">
        <f t="shared" si="8"/>
        <v>C</v>
      </c>
      <c r="P537" s="10" t="s">
        <v>447</v>
      </c>
      <c r="Q537" s="10" t="s">
        <v>441</v>
      </c>
    </row>
    <row r="538" spans="1:17">
      <c r="A538" s="10" t="s">
        <v>101</v>
      </c>
      <c r="B538" s="10" t="s">
        <v>60</v>
      </c>
      <c r="C538" s="10" t="s">
        <v>204</v>
      </c>
      <c r="D538" s="10" t="s">
        <v>127</v>
      </c>
      <c r="E538" s="10" t="s">
        <v>478</v>
      </c>
      <c r="F538" s="11">
        <v>601.24</v>
      </c>
      <c r="G538" s="11">
        <v>23377.47</v>
      </c>
      <c r="H538" s="12">
        <v>2.5718918143048927E-2</v>
      </c>
      <c r="I538" s="10">
        <v>11</v>
      </c>
      <c r="J538" s="21">
        <v>85</v>
      </c>
      <c r="K538" s="21">
        <v>75</v>
      </c>
      <c r="L538" s="21">
        <v>25</v>
      </c>
      <c r="M538" s="21">
        <v>56.98968202745877</v>
      </c>
      <c r="N538" s="21">
        <f>J538*Supuestos!$B$7+K538*Supuestos!$B$8+L538*Supuestos!$B$9+M538*Supuestos!$B$10</f>
        <v>61.397936405491755</v>
      </c>
      <c r="O538" s="34" t="str">
        <f t="shared" si="8"/>
        <v>C</v>
      </c>
      <c r="P538" s="10" t="s">
        <v>447</v>
      </c>
      <c r="Q538" s="10" t="s">
        <v>436</v>
      </c>
    </row>
    <row r="539" spans="1:17">
      <c r="A539" s="10" t="s">
        <v>111</v>
      </c>
      <c r="B539" s="10" t="s">
        <v>60</v>
      </c>
      <c r="C539" s="10" t="s">
        <v>199</v>
      </c>
      <c r="D539" s="10" t="s">
        <v>149</v>
      </c>
      <c r="E539" s="10" t="s">
        <v>452</v>
      </c>
      <c r="F539" s="11">
        <v>2685.11</v>
      </c>
      <c r="G539" s="11">
        <v>13727.64</v>
      </c>
      <c r="H539" s="12">
        <v>0.1955989384603119</v>
      </c>
      <c r="I539" s="10">
        <v>3</v>
      </c>
      <c r="J539" s="21">
        <v>30</v>
      </c>
      <c r="K539" s="21">
        <v>65</v>
      </c>
      <c r="L539" s="21">
        <v>80</v>
      </c>
      <c r="M539" s="21">
        <v>71.25</v>
      </c>
      <c r="N539" s="21">
        <f>J539*Supuestos!$B$7+K539*Supuestos!$B$8+L539*Supuestos!$B$9+M539*Supuestos!$B$10</f>
        <v>61.25</v>
      </c>
      <c r="O539" s="34" t="str">
        <f t="shared" si="8"/>
        <v>C</v>
      </c>
      <c r="P539" s="10" t="s">
        <v>447</v>
      </c>
      <c r="Q539" s="10" t="s">
        <v>441</v>
      </c>
    </row>
    <row r="540" spans="1:17">
      <c r="A540" s="10" t="s">
        <v>215</v>
      </c>
      <c r="B540" s="10" t="s">
        <v>60</v>
      </c>
      <c r="C540" s="10" t="s">
        <v>234</v>
      </c>
      <c r="D540" s="10" t="s">
        <v>149</v>
      </c>
      <c r="E540" s="10" t="s">
        <v>452</v>
      </c>
      <c r="F540" s="11">
        <v>2051.92</v>
      </c>
      <c r="G540" s="11">
        <v>17848.16</v>
      </c>
      <c r="H540" s="12">
        <v>0.11496535270739465</v>
      </c>
      <c r="I540" s="10">
        <v>4</v>
      </c>
      <c r="J540" s="21">
        <v>30</v>
      </c>
      <c r="K540" s="21">
        <v>65</v>
      </c>
      <c r="L540" s="21">
        <v>80</v>
      </c>
      <c r="M540" s="21">
        <v>71.25</v>
      </c>
      <c r="N540" s="21">
        <f>J540*Supuestos!$B$7+K540*Supuestos!$B$8+L540*Supuestos!$B$9+M540*Supuestos!$B$10</f>
        <v>61.25</v>
      </c>
      <c r="O540" s="34" t="str">
        <f t="shared" si="8"/>
        <v>C</v>
      </c>
      <c r="P540" s="10" t="s">
        <v>447</v>
      </c>
      <c r="Q540" s="10" t="s">
        <v>441</v>
      </c>
    </row>
    <row r="541" spans="1:17">
      <c r="A541" s="10" t="s">
        <v>101</v>
      </c>
      <c r="B541" s="10" t="s">
        <v>60</v>
      </c>
      <c r="C541" s="10" t="s">
        <v>204</v>
      </c>
      <c r="D541" s="10" t="s">
        <v>127</v>
      </c>
      <c r="E541" s="10" t="s">
        <v>452</v>
      </c>
      <c r="F541" s="11">
        <v>704.02</v>
      </c>
      <c r="G541" s="11">
        <v>23377.47</v>
      </c>
      <c r="H541" s="12">
        <v>3.0115390627280247E-2</v>
      </c>
      <c r="I541" s="10">
        <v>9</v>
      </c>
      <c r="J541" s="21">
        <v>85</v>
      </c>
      <c r="K541" s="21">
        <v>65</v>
      </c>
      <c r="L541" s="21">
        <v>25</v>
      </c>
      <c r="M541" s="21">
        <v>71.25</v>
      </c>
      <c r="N541" s="21">
        <f>J541*Supuestos!$B$7+K541*Supuestos!$B$8+L541*Supuestos!$B$9+M541*Supuestos!$B$10</f>
        <v>61.25</v>
      </c>
      <c r="O541" s="34" t="str">
        <f t="shared" si="8"/>
        <v>C</v>
      </c>
      <c r="P541" s="10" t="s">
        <v>447</v>
      </c>
      <c r="Q541" s="10" t="s">
        <v>441</v>
      </c>
    </row>
    <row r="542" spans="1:17">
      <c r="A542" s="10" t="s">
        <v>101</v>
      </c>
      <c r="B542" s="10" t="s">
        <v>60</v>
      </c>
      <c r="C542" s="10" t="s">
        <v>320</v>
      </c>
      <c r="D542" s="10" t="s">
        <v>127</v>
      </c>
      <c r="E542" s="10" t="s">
        <v>452</v>
      </c>
      <c r="F542" s="11">
        <v>432.86</v>
      </c>
      <c r="G542" s="11">
        <v>19670.240000000002</v>
      </c>
      <c r="H542" s="12">
        <v>2.2006067301329812E-2</v>
      </c>
      <c r="I542" s="10">
        <v>12</v>
      </c>
      <c r="J542" s="21">
        <v>85</v>
      </c>
      <c r="K542" s="21">
        <v>65</v>
      </c>
      <c r="L542" s="21">
        <v>25</v>
      </c>
      <c r="M542" s="21">
        <v>71.25</v>
      </c>
      <c r="N542" s="21">
        <f>J542*Supuestos!$B$7+K542*Supuestos!$B$8+L542*Supuestos!$B$9+M542*Supuestos!$B$10</f>
        <v>61.25</v>
      </c>
      <c r="O542" s="34" t="str">
        <f t="shared" si="8"/>
        <v>C</v>
      </c>
      <c r="P542" s="10" t="s">
        <v>447</v>
      </c>
      <c r="Q542" s="10" t="s">
        <v>441</v>
      </c>
    </row>
    <row r="543" spans="1:17">
      <c r="A543" s="10" t="s">
        <v>101</v>
      </c>
      <c r="B543" s="10" t="s">
        <v>60</v>
      </c>
      <c r="C543" s="10" t="s">
        <v>354</v>
      </c>
      <c r="D543" s="10" t="s">
        <v>149</v>
      </c>
      <c r="E543" s="10" t="s">
        <v>452</v>
      </c>
      <c r="F543" s="11">
        <v>192.01</v>
      </c>
      <c r="G543" s="11">
        <v>1522.91</v>
      </c>
      <c r="H543" s="12">
        <v>0.12607802874743329</v>
      </c>
      <c r="I543" s="10">
        <v>4</v>
      </c>
      <c r="J543" s="21">
        <v>30</v>
      </c>
      <c r="K543" s="21">
        <v>65</v>
      </c>
      <c r="L543" s="21">
        <v>80</v>
      </c>
      <c r="M543" s="21">
        <v>71.25</v>
      </c>
      <c r="N543" s="21">
        <f>J543*Supuestos!$B$7+K543*Supuestos!$B$8+L543*Supuestos!$B$9+M543*Supuestos!$B$10</f>
        <v>61.25</v>
      </c>
      <c r="O543" s="34" t="str">
        <f t="shared" si="8"/>
        <v>C</v>
      </c>
      <c r="P543" s="10" t="s">
        <v>447</v>
      </c>
      <c r="Q543" s="10" t="s">
        <v>441</v>
      </c>
    </row>
    <row r="544" spans="1:17">
      <c r="A544" s="10" t="s">
        <v>111</v>
      </c>
      <c r="B544" s="10" t="s">
        <v>73</v>
      </c>
      <c r="C544" s="10" t="s">
        <v>418</v>
      </c>
      <c r="D544" s="10" t="s">
        <v>103</v>
      </c>
      <c r="E544" s="10" t="s">
        <v>470</v>
      </c>
      <c r="F544" s="11">
        <v>8750.4500000000007</v>
      </c>
      <c r="G544" s="11">
        <v>642203.68000000005</v>
      </c>
      <c r="H544" s="12">
        <v>1.3625656390152377E-2</v>
      </c>
      <c r="I544" s="10">
        <v>13</v>
      </c>
      <c r="J544" s="21">
        <v>100</v>
      </c>
      <c r="K544" s="21">
        <v>60.000000000000014</v>
      </c>
      <c r="L544" s="21">
        <v>25</v>
      </c>
      <c r="M544" s="21">
        <v>59.990545989455306</v>
      </c>
      <c r="N544" s="21">
        <f>J544*Supuestos!$B$7+K544*Supuestos!$B$8+L544*Supuestos!$B$9+M544*Supuestos!$B$10</f>
        <v>61.248109197891061</v>
      </c>
      <c r="O544" s="34" t="str">
        <f t="shared" si="8"/>
        <v>C</v>
      </c>
      <c r="P544" s="10" t="s">
        <v>435</v>
      </c>
      <c r="Q544" s="10" t="s">
        <v>471</v>
      </c>
    </row>
    <row r="545" spans="1:17">
      <c r="A545" s="10" t="s">
        <v>215</v>
      </c>
      <c r="B545" s="10" t="s">
        <v>60</v>
      </c>
      <c r="C545" s="10" t="s">
        <v>216</v>
      </c>
      <c r="D545" s="10" t="s">
        <v>103</v>
      </c>
      <c r="E545" s="10" t="s">
        <v>470</v>
      </c>
      <c r="F545" s="11">
        <v>6802.76</v>
      </c>
      <c r="G545" s="11">
        <v>656576.77</v>
      </c>
      <c r="H545" s="12">
        <v>1.0360958011095425E-2</v>
      </c>
      <c r="I545" s="10">
        <v>15</v>
      </c>
      <c r="J545" s="21">
        <v>100</v>
      </c>
      <c r="K545" s="21">
        <v>59.999999999999993</v>
      </c>
      <c r="L545" s="21">
        <v>25</v>
      </c>
      <c r="M545" s="21">
        <v>59.990545989455306</v>
      </c>
      <c r="N545" s="21">
        <f>J545*Supuestos!$B$7+K545*Supuestos!$B$8+L545*Supuestos!$B$9+M545*Supuestos!$B$10</f>
        <v>61.248109197891061</v>
      </c>
      <c r="O545" s="34" t="str">
        <f t="shared" si="8"/>
        <v>C</v>
      </c>
      <c r="P545" s="10" t="s">
        <v>435</v>
      </c>
      <c r="Q545" s="10" t="s">
        <v>471</v>
      </c>
    </row>
    <row r="546" spans="1:17">
      <c r="A546" s="10" t="s">
        <v>111</v>
      </c>
      <c r="B546" s="10" t="s">
        <v>60</v>
      </c>
      <c r="C546" s="10" t="s">
        <v>339</v>
      </c>
      <c r="D546" s="10" t="s">
        <v>103</v>
      </c>
      <c r="E546" s="10" t="s">
        <v>470</v>
      </c>
      <c r="F546" s="11">
        <v>1254.57</v>
      </c>
      <c r="G546" s="11">
        <v>114879.92</v>
      </c>
      <c r="H546" s="12">
        <v>1.0920714590245016E-2</v>
      </c>
      <c r="I546" s="10">
        <v>11</v>
      </c>
      <c r="J546" s="21">
        <v>100</v>
      </c>
      <c r="K546" s="21">
        <v>60.000000000000007</v>
      </c>
      <c r="L546" s="21">
        <v>25</v>
      </c>
      <c r="M546" s="21">
        <v>59.990545989455306</v>
      </c>
      <c r="N546" s="21">
        <f>J546*Supuestos!$B$7+K546*Supuestos!$B$8+L546*Supuestos!$B$9+M546*Supuestos!$B$10</f>
        <v>61.248109197891061</v>
      </c>
      <c r="O546" s="34" t="str">
        <f t="shared" si="8"/>
        <v>C</v>
      </c>
      <c r="P546" s="10" t="s">
        <v>435</v>
      </c>
      <c r="Q546" s="10" t="s">
        <v>471</v>
      </c>
    </row>
    <row r="547" spans="1:17">
      <c r="A547" s="10" t="s">
        <v>119</v>
      </c>
      <c r="B547" s="10" t="s">
        <v>360</v>
      </c>
      <c r="C547" s="10" t="s">
        <v>361</v>
      </c>
      <c r="D547" s="10" t="s">
        <v>103</v>
      </c>
      <c r="E547" s="10" t="s">
        <v>532</v>
      </c>
      <c r="F547" s="11">
        <v>380.45</v>
      </c>
      <c r="G547" s="11">
        <v>360957.46</v>
      </c>
      <c r="H547" s="12">
        <v>1.0539938737131437E-3</v>
      </c>
      <c r="I547" s="10">
        <v>22</v>
      </c>
      <c r="J547" s="21">
        <v>100</v>
      </c>
      <c r="K547" s="21">
        <v>65</v>
      </c>
      <c r="L547" s="21">
        <v>25</v>
      </c>
      <c r="M547" s="21">
        <v>50.065548858997772</v>
      </c>
      <c r="N547" s="21">
        <f>J547*Supuestos!$B$7+K547*Supuestos!$B$8+L547*Supuestos!$B$9+M547*Supuestos!$B$10</f>
        <v>60.763109771799556</v>
      </c>
      <c r="O547" s="34" t="str">
        <f t="shared" si="8"/>
        <v>C</v>
      </c>
      <c r="P547" s="10" t="s">
        <v>447</v>
      </c>
      <c r="Q547" s="10" t="s">
        <v>441</v>
      </c>
    </row>
    <row r="548" spans="1:17">
      <c r="A548" s="10" t="s">
        <v>111</v>
      </c>
      <c r="B548" s="10" t="s">
        <v>69</v>
      </c>
      <c r="C548" s="10" t="s">
        <v>309</v>
      </c>
      <c r="D548" s="10" t="s">
        <v>103</v>
      </c>
      <c r="E548" s="10" t="s">
        <v>462</v>
      </c>
      <c r="F548" s="11">
        <v>11201.37</v>
      </c>
      <c r="G548" s="11">
        <v>712220.68</v>
      </c>
      <c r="H548" s="12">
        <v>1.5727393294633941E-2</v>
      </c>
      <c r="I548" s="10">
        <v>15</v>
      </c>
      <c r="J548" s="21">
        <v>100</v>
      </c>
      <c r="K548" s="21">
        <v>37.480746577199383</v>
      </c>
      <c r="L548" s="21">
        <v>25</v>
      </c>
      <c r="M548" s="21">
        <v>90.510155415039009</v>
      </c>
      <c r="N548" s="21">
        <f>J548*Supuestos!$B$7+K548*Supuestos!$B$8+L548*Supuestos!$B$9+M548*Supuestos!$B$10</f>
        <v>60.596255056167614</v>
      </c>
      <c r="O548" s="34" t="str">
        <f t="shared" si="8"/>
        <v>C</v>
      </c>
      <c r="P548" s="10" t="s">
        <v>447</v>
      </c>
      <c r="Q548" s="10" t="s">
        <v>471</v>
      </c>
    </row>
    <row r="549" spans="1:17">
      <c r="A549" s="10" t="s">
        <v>215</v>
      </c>
      <c r="B549" s="10" t="s">
        <v>60</v>
      </c>
      <c r="C549" s="10" t="s">
        <v>216</v>
      </c>
      <c r="D549" s="10" t="s">
        <v>103</v>
      </c>
      <c r="E549" s="10" t="s">
        <v>500</v>
      </c>
      <c r="F549" s="11">
        <v>55923.03</v>
      </c>
      <c r="G549" s="11">
        <v>656576.77</v>
      </c>
      <c r="H549" s="12">
        <v>8.5173640240523762E-2</v>
      </c>
      <c r="I549" s="10">
        <v>4</v>
      </c>
      <c r="J549" s="21">
        <v>100</v>
      </c>
      <c r="K549" s="21">
        <v>30.000000000000007</v>
      </c>
      <c r="L549" s="21">
        <v>55</v>
      </c>
      <c r="M549" s="21">
        <v>62.5</v>
      </c>
      <c r="N549" s="21">
        <f>J549*Supuestos!$B$7+K549*Supuestos!$B$8+L549*Supuestos!$B$9+M549*Supuestos!$B$10</f>
        <v>60.25</v>
      </c>
      <c r="O549" s="34" t="str">
        <f t="shared" si="8"/>
        <v>C</v>
      </c>
      <c r="P549" s="10" t="s">
        <v>447</v>
      </c>
      <c r="Q549" s="10" t="s">
        <v>471</v>
      </c>
    </row>
    <row r="550" spans="1:17">
      <c r="A550" s="10" t="s">
        <v>101</v>
      </c>
      <c r="B550" s="10" t="s">
        <v>60</v>
      </c>
      <c r="C550" s="10" t="s">
        <v>102</v>
      </c>
      <c r="D550" s="10" t="s">
        <v>103</v>
      </c>
      <c r="E550" s="10" t="s">
        <v>533</v>
      </c>
      <c r="F550" s="11">
        <v>2664.32</v>
      </c>
      <c r="G550" s="11">
        <v>49663.71</v>
      </c>
      <c r="H550" s="12">
        <v>5.364716251176653E-2</v>
      </c>
      <c r="I550" s="10">
        <v>5</v>
      </c>
      <c r="J550" s="21">
        <v>100</v>
      </c>
      <c r="K550" s="21">
        <v>30.000000000000004</v>
      </c>
      <c r="L550" s="21">
        <v>55</v>
      </c>
      <c r="M550" s="21">
        <v>62.5</v>
      </c>
      <c r="N550" s="21">
        <f>J550*Supuestos!$B$7+K550*Supuestos!$B$8+L550*Supuestos!$B$9+M550*Supuestos!$B$10</f>
        <v>60.25</v>
      </c>
      <c r="O550" s="34" t="str">
        <f t="shared" si="8"/>
        <v>C</v>
      </c>
      <c r="P550" s="10" t="s">
        <v>447</v>
      </c>
      <c r="Q550" s="10" t="s">
        <v>471</v>
      </c>
    </row>
    <row r="551" spans="1:17">
      <c r="A551" s="10" t="s">
        <v>101</v>
      </c>
      <c r="B551" s="10" t="s">
        <v>60</v>
      </c>
      <c r="C551" s="10" t="s">
        <v>237</v>
      </c>
      <c r="D551" s="10" t="s">
        <v>127</v>
      </c>
      <c r="E551" s="10" t="s">
        <v>497</v>
      </c>
      <c r="F551" s="11">
        <v>903.95</v>
      </c>
      <c r="G551" s="11">
        <v>28274.28</v>
      </c>
      <c r="H551" s="12">
        <v>3.1970742641420379E-2</v>
      </c>
      <c r="I551" s="10">
        <v>6</v>
      </c>
      <c r="J551" s="21">
        <v>85</v>
      </c>
      <c r="K551" s="21">
        <v>65</v>
      </c>
      <c r="L551" s="21">
        <v>25</v>
      </c>
      <c r="M551" s="21">
        <v>66.25</v>
      </c>
      <c r="N551" s="21">
        <f>J551*Supuestos!$B$7+K551*Supuestos!$B$8+L551*Supuestos!$B$9+M551*Supuestos!$B$10</f>
        <v>60.25</v>
      </c>
      <c r="O551" s="34" t="str">
        <f t="shared" si="8"/>
        <v>C</v>
      </c>
      <c r="P551" s="10" t="s">
        <v>447</v>
      </c>
      <c r="Q551" s="10" t="s">
        <v>441</v>
      </c>
    </row>
    <row r="552" spans="1:17">
      <c r="A552" s="10" t="s">
        <v>101</v>
      </c>
      <c r="B552" s="10" t="s">
        <v>60</v>
      </c>
      <c r="C552" s="10" t="s">
        <v>200</v>
      </c>
      <c r="D552" s="10" t="s">
        <v>103</v>
      </c>
      <c r="E552" s="10" t="s">
        <v>499</v>
      </c>
      <c r="F552" s="11">
        <v>452.39</v>
      </c>
      <c r="G552" s="11">
        <v>8807.1</v>
      </c>
      <c r="H552" s="12">
        <v>5.1366721702439916E-2</v>
      </c>
      <c r="I552" s="10">
        <v>5</v>
      </c>
      <c r="J552" s="21">
        <v>100</v>
      </c>
      <c r="K552" s="21">
        <v>30</v>
      </c>
      <c r="L552" s="21">
        <v>55</v>
      </c>
      <c r="M552" s="21">
        <v>62.5</v>
      </c>
      <c r="N552" s="21">
        <f>J552*Supuestos!$B$7+K552*Supuestos!$B$8+L552*Supuestos!$B$9+M552*Supuestos!$B$10</f>
        <v>60.25</v>
      </c>
      <c r="O552" s="34" t="str">
        <f t="shared" si="8"/>
        <v>C</v>
      </c>
      <c r="P552" s="10" t="s">
        <v>447</v>
      </c>
      <c r="Q552" s="10" t="s">
        <v>471</v>
      </c>
    </row>
    <row r="553" spans="1:17">
      <c r="A553" s="10" t="s">
        <v>101</v>
      </c>
      <c r="B553" s="10" t="s">
        <v>60</v>
      </c>
      <c r="C553" s="10" t="s">
        <v>320</v>
      </c>
      <c r="D553" s="10" t="s">
        <v>127</v>
      </c>
      <c r="E553" s="10" t="s">
        <v>497</v>
      </c>
      <c r="F553" s="11">
        <v>144</v>
      </c>
      <c r="G553" s="11">
        <v>19670.240000000002</v>
      </c>
      <c r="H553" s="12">
        <v>7.3209299992263114E-3</v>
      </c>
      <c r="I553" s="10">
        <v>19</v>
      </c>
      <c r="J553" s="21">
        <v>85</v>
      </c>
      <c r="K553" s="21">
        <v>65</v>
      </c>
      <c r="L553" s="21">
        <v>25</v>
      </c>
      <c r="M553" s="21">
        <v>66.25</v>
      </c>
      <c r="N553" s="21">
        <f>J553*Supuestos!$B$7+K553*Supuestos!$B$8+L553*Supuestos!$B$9+M553*Supuestos!$B$10</f>
        <v>60.25</v>
      </c>
      <c r="O553" s="34" t="str">
        <f t="shared" si="8"/>
        <v>C</v>
      </c>
      <c r="P553" s="10" t="s">
        <v>447</v>
      </c>
      <c r="Q553" s="10" t="s">
        <v>441</v>
      </c>
    </row>
    <row r="554" spans="1:17">
      <c r="A554" s="10" t="s">
        <v>111</v>
      </c>
      <c r="B554" s="10" t="s">
        <v>69</v>
      </c>
      <c r="C554" s="10" t="s">
        <v>309</v>
      </c>
      <c r="D554" s="10" t="s">
        <v>103</v>
      </c>
      <c r="E554" s="10" t="s">
        <v>534</v>
      </c>
      <c r="F554" s="11">
        <v>27348.15</v>
      </c>
      <c r="G554" s="11">
        <v>712220.68</v>
      </c>
      <c r="H554" s="12">
        <v>3.8398417569630763E-2</v>
      </c>
      <c r="I554" s="10">
        <v>12</v>
      </c>
      <c r="J554" s="21">
        <v>100</v>
      </c>
      <c r="K554" s="21">
        <v>65</v>
      </c>
      <c r="L554" s="21">
        <v>25</v>
      </c>
      <c r="M554" s="21">
        <v>47.402404057991838</v>
      </c>
      <c r="N554" s="21">
        <f>J554*Supuestos!$B$7+K554*Supuestos!$B$8+L554*Supuestos!$B$9+M554*Supuestos!$B$10</f>
        <v>60.230480811598369</v>
      </c>
      <c r="O554" s="34" t="str">
        <f t="shared" si="8"/>
        <v>C</v>
      </c>
      <c r="P554" s="10" t="s">
        <v>447</v>
      </c>
      <c r="Q554" s="10" t="s">
        <v>441</v>
      </c>
    </row>
    <row r="555" spans="1:17">
      <c r="A555" s="10" t="s">
        <v>255</v>
      </c>
      <c r="B555" s="10" t="s">
        <v>60</v>
      </c>
      <c r="C555" s="10" t="s">
        <v>256</v>
      </c>
      <c r="D555" s="10" t="s">
        <v>103</v>
      </c>
      <c r="E555" s="10" t="s">
        <v>535</v>
      </c>
      <c r="F555" s="11">
        <v>7046.73</v>
      </c>
      <c r="G555" s="11">
        <v>351341.95</v>
      </c>
      <c r="H555" s="12">
        <v>2.0056622475536873E-2</v>
      </c>
      <c r="I555" s="10">
        <v>15</v>
      </c>
      <c r="J555" s="21">
        <v>100</v>
      </c>
      <c r="K555" s="21">
        <v>65</v>
      </c>
      <c r="L555" s="21">
        <v>25</v>
      </c>
      <c r="M555" s="21">
        <v>46.206422211431395</v>
      </c>
      <c r="N555" s="21">
        <f>J555*Supuestos!$B$7+K555*Supuestos!$B$8+L555*Supuestos!$B$9+M555*Supuestos!$B$10</f>
        <v>59.991284442286279</v>
      </c>
      <c r="O555" s="34" t="str">
        <f t="shared" si="8"/>
        <v>C</v>
      </c>
      <c r="P555" s="10" t="s">
        <v>447</v>
      </c>
      <c r="Q555" s="10" t="s">
        <v>441</v>
      </c>
    </row>
    <row r="556" spans="1:17">
      <c r="A556" s="10" t="s">
        <v>119</v>
      </c>
      <c r="B556" s="10" t="s">
        <v>396</v>
      </c>
      <c r="C556" s="10" t="s">
        <v>397</v>
      </c>
      <c r="D556" s="10" t="s">
        <v>113</v>
      </c>
      <c r="E556" s="10" t="s">
        <v>458</v>
      </c>
      <c r="F556" s="11">
        <v>3730.83</v>
      </c>
      <c r="G556" s="11">
        <v>186817.82</v>
      </c>
      <c r="H556" s="12">
        <v>1.9970394960777786E-2</v>
      </c>
      <c r="I556" s="10">
        <v>5</v>
      </c>
      <c r="J556" s="21">
        <v>75</v>
      </c>
      <c r="K556" s="21">
        <v>75</v>
      </c>
      <c r="L556" s="21">
        <v>25</v>
      </c>
      <c r="M556" s="21">
        <v>61.25</v>
      </c>
      <c r="N556" s="21">
        <f>J556*Supuestos!$B$7+K556*Supuestos!$B$8+L556*Supuestos!$B$9+M556*Supuestos!$B$10</f>
        <v>59.75</v>
      </c>
      <c r="O556" s="34" t="str">
        <f t="shared" si="8"/>
        <v>C</v>
      </c>
      <c r="P556" s="10" t="s">
        <v>447</v>
      </c>
      <c r="Q556" s="10" t="s">
        <v>436</v>
      </c>
    </row>
    <row r="557" spans="1:17">
      <c r="A557" s="10" t="s">
        <v>111</v>
      </c>
      <c r="B557" s="10" t="s">
        <v>60</v>
      </c>
      <c r="C557" s="10" t="s">
        <v>126</v>
      </c>
      <c r="D557" s="10" t="s">
        <v>127</v>
      </c>
      <c r="E557" s="10" t="s">
        <v>515</v>
      </c>
      <c r="F557" s="11">
        <v>2251.54</v>
      </c>
      <c r="G557" s="11">
        <v>46119.99</v>
      </c>
      <c r="H557" s="12">
        <v>4.8819075601762914E-2</v>
      </c>
      <c r="I557" s="10">
        <v>6</v>
      </c>
      <c r="J557" s="21">
        <v>85</v>
      </c>
      <c r="K557" s="21">
        <v>65</v>
      </c>
      <c r="L557" s="21">
        <v>25</v>
      </c>
      <c r="M557" s="21">
        <v>63.078660406306753</v>
      </c>
      <c r="N557" s="21">
        <f>J557*Supuestos!$B$7+K557*Supuestos!$B$8+L557*Supuestos!$B$9+M557*Supuestos!$B$10</f>
        <v>59.615732081261349</v>
      </c>
      <c r="O557" s="34" t="str">
        <f t="shared" si="8"/>
        <v>C</v>
      </c>
      <c r="P557" s="10" t="s">
        <v>447</v>
      </c>
      <c r="Q557" s="10" t="s">
        <v>441</v>
      </c>
    </row>
    <row r="558" spans="1:17">
      <c r="A558" s="10" t="s">
        <v>119</v>
      </c>
      <c r="B558" s="10" t="s">
        <v>383</v>
      </c>
      <c r="C558" s="10" t="s">
        <v>384</v>
      </c>
      <c r="D558" s="10" t="s">
        <v>103</v>
      </c>
      <c r="E558" s="10" t="s">
        <v>536</v>
      </c>
      <c r="F558" s="11">
        <v>12571.07</v>
      </c>
      <c r="G558" s="11">
        <v>574829.68000000005</v>
      </c>
      <c r="H558" s="12">
        <v>2.1869213543912226E-2</v>
      </c>
      <c r="I558" s="10">
        <v>13</v>
      </c>
      <c r="J558" s="21">
        <v>100</v>
      </c>
      <c r="K558" s="21">
        <v>65</v>
      </c>
      <c r="L558" s="21">
        <v>25</v>
      </c>
      <c r="M558" s="21">
        <v>43.75</v>
      </c>
      <c r="N558" s="21">
        <f>J558*Supuestos!$B$7+K558*Supuestos!$B$8+L558*Supuestos!$B$9+M558*Supuestos!$B$10</f>
        <v>59.5</v>
      </c>
      <c r="O558" s="34" t="str">
        <f t="shared" si="8"/>
        <v>C</v>
      </c>
      <c r="P558" s="10" t="s">
        <v>447</v>
      </c>
      <c r="Q558" s="10" t="s">
        <v>441</v>
      </c>
    </row>
    <row r="559" spans="1:17">
      <c r="A559" s="10" t="s">
        <v>275</v>
      </c>
      <c r="B559" s="10" t="s">
        <v>71</v>
      </c>
      <c r="C559" s="10" t="s">
        <v>316</v>
      </c>
      <c r="D559" s="10" t="s">
        <v>103</v>
      </c>
      <c r="E559" s="10" t="s">
        <v>537</v>
      </c>
      <c r="F559" s="11">
        <v>5650.59</v>
      </c>
      <c r="G559" s="11">
        <v>1083764</v>
      </c>
      <c r="H559" s="12">
        <v>5.2138594081391357E-3</v>
      </c>
      <c r="I559" s="10">
        <v>19</v>
      </c>
      <c r="J559" s="21">
        <v>100</v>
      </c>
      <c r="K559" s="21">
        <v>65</v>
      </c>
      <c r="L559" s="21">
        <v>25</v>
      </c>
      <c r="M559" s="21">
        <v>43.75</v>
      </c>
      <c r="N559" s="21">
        <f>J559*Supuestos!$B$7+K559*Supuestos!$B$8+L559*Supuestos!$B$9+M559*Supuestos!$B$10</f>
        <v>59.5</v>
      </c>
      <c r="O559" s="34" t="str">
        <f t="shared" si="8"/>
        <v>C</v>
      </c>
      <c r="P559" s="10" t="s">
        <v>447</v>
      </c>
      <c r="Q559" s="10" t="s">
        <v>441</v>
      </c>
    </row>
    <row r="560" spans="1:17">
      <c r="A560" s="10" t="s">
        <v>275</v>
      </c>
      <c r="B560" s="10" t="s">
        <v>67</v>
      </c>
      <c r="C560" s="10" t="s">
        <v>373</v>
      </c>
      <c r="D560" s="10" t="s">
        <v>127</v>
      </c>
      <c r="E560" s="10" t="s">
        <v>538</v>
      </c>
      <c r="F560" s="11">
        <v>8130.54</v>
      </c>
      <c r="G560" s="11">
        <v>117128.89</v>
      </c>
      <c r="H560" s="12">
        <v>6.9415366871338174E-2</v>
      </c>
      <c r="I560" s="10">
        <v>3</v>
      </c>
      <c r="J560" s="21">
        <v>85</v>
      </c>
      <c r="K560" s="21">
        <v>30</v>
      </c>
      <c r="L560" s="21">
        <v>80</v>
      </c>
      <c r="M560" s="21">
        <v>45</v>
      </c>
      <c r="N560" s="21">
        <f>J560*Supuestos!$B$7+K560*Supuestos!$B$8+L560*Supuestos!$B$9+M560*Supuestos!$B$10</f>
        <v>59.25</v>
      </c>
      <c r="O560" s="34" t="str">
        <f t="shared" si="8"/>
        <v>C</v>
      </c>
      <c r="P560" s="10" t="s">
        <v>447</v>
      </c>
      <c r="Q560" s="10" t="s">
        <v>471</v>
      </c>
    </row>
    <row r="561" spans="1:17">
      <c r="A561" s="10" t="s">
        <v>111</v>
      </c>
      <c r="B561" s="10" t="s">
        <v>65</v>
      </c>
      <c r="C561" s="10" t="s">
        <v>144</v>
      </c>
      <c r="D561" s="10" t="s">
        <v>103</v>
      </c>
      <c r="E561" s="10" t="s">
        <v>477</v>
      </c>
      <c r="F561" s="11">
        <v>55452.73</v>
      </c>
      <c r="G561" s="11">
        <v>2550637.33</v>
      </c>
      <c r="H561" s="12">
        <v>2.1740736396683259E-2</v>
      </c>
      <c r="I561" s="10">
        <v>7</v>
      </c>
      <c r="J561" s="21">
        <v>100</v>
      </c>
      <c r="K561" s="21">
        <v>50</v>
      </c>
      <c r="L561" s="21">
        <v>25</v>
      </c>
      <c r="M561" s="21">
        <v>64.611619732455594</v>
      </c>
      <c r="N561" s="21">
        <f>J561*Supuestos!$B$7+K561*Supuestos!$B$8+L561*Supuestos!$B$9+M561*Supuestos!$B$10</f>
        <v>59.172323946491119</v>
      </c>
      <c r="O561" s="34" t="str">
        <f t="shared" si="8"/>
        <v>C</v>
      </c>
      <c r="P561" s="10" t="s">
        <v>502</v>
      </c>
      <c r="Q561" s="10" t="s">
        <v>471</v>
      </c>
    </row>
    <row r="562" spans="1:17">
      <c r="A562" s="10" t="s">
        <v>255</v>
      </c>
      <c r="B562" s="10" t="s">
        <v>60</v>
      </c>
      <c r="C562" s="10" t="s">
        <v>260</v>
      </c>
      <c r="D562" s="10" t="s">
        <v>103</v>
      </c>
      <c r="E562" s="10" t="s">
        <v>475</v>
      </c>
      <c r="F562" s="11">
        <v>885.32</v>
      </c>
      <c r="G562" s="11">
        <v>164350.82</v>
      </c>
      <c r="H562" s="12">
        <v>5.3867849762307112E-3</v>
      </c>
      <c r="I562" s="10">
        <v>9</v>
      </c>
      <c r="J562" s="21">
        <v>100</v>
      </c>
      <c r="K562" s="21">
        <v>40.827652384820972</v>
      </c>
      <c r="L562" s="21">
        <v>25</v>
      </c>
      <c r="M562" s="21">
        <v>77.637143099450157</v>
      </c>
      <c r="N562" s="21">
        <f>J562*Supuestos!$B$7+K562*Supuestos!$B$8+L562*Supuestos!$B$9+M562*Supuestos!$B$10</f>
        <v>59.025724335336321</v>
      </c>
      <c r="O562" s="34" t="str">
        <f t="shared" si="8"/>
        <v>C</v>
      </c>
      <c r="P562" s="10" t="s">
        <v>447</v>
      </c>
      <c r="Q562" s="10" t="s">
        <v>471</v>
      </c>
    </row>
    <row r="563" spans="1:17">
      <c r="A563" s="10" t="s">
        <v>101</v>
      </c>
      <c r="B563" s="10" t="s">
        <v>60</v>
      </c>
      <c r="C563" s="10" t="s">
        <v>281</v>
      </c>
      <c r="D563" s="10" t="s">
        <v>149</v>
      </c>
      <c r="E563" s="10" t="s">
        <v>462</v>
      </c>
      <c r="F563" s="11">
        <v>1313.4</v>
      </c>
      <c r="G563" s="11">
        <v>13695.07</v>
      </c>
      <c r="H563" s="12">
        <v>9.5902818477276386E-2</v>
      </c>
      <c r="I563" s="10">
        <v>4</v>
      </c>
      <c r="J563" s="21">
        <v>30</v>
      </c>
      <c r="K563" s="21">
        <v>65</v>
      </c>
      <c r="L563" s="21">
        <v>55</v>
      </c>
      <c r="M563" s="21">
        <v>90.510155415039009</v>
      </c>
      <c r="N563" s="21">
        <f>J563*Supuestos!$B$7+K563*Supuestos!$B$8+L563*Supuestos!$B$9+M563*Supuestos!$B$10</f>
        <v>58.852031083007802</v>
      </c>
      <c r="O563" s="34" t="str">
        <f t="shared" si="8"/>
        <v>C</v>
      </c>
      <c r="P563" s="10" t="s">
        <v>447</v>
      </c>
      <c r="Q563" s="10" t="s">
        <v>441</v>
      </c>
    </row>
    <row r="564" spans="1:17">
      <c r="A564" s="10" t="s">
        <v>101</v>
      </c>
      <c r="B564" s="10" t="s">
        <v>60</v>
      </c>
      <c r="C564" s="10" t="s">
        <v>364</v>
      </c>
      <c r="D564" s="10" t="s">
        <v>149</v>
      </c>
      <c r="E564" s="10" t="s">
        <v>462</v>
      </c>
      <c r="F564" s="11">
        <v>502.84</v>
      </c>
      <c r="G564" s="11">
        <v>9858.02</v>
      </c>
      <c r="H564" s="12">
        <v>5.100848555341142E-2</v>
      </c>
      <c r="I564" s="10">
        <v>5</v>
      </c>
      <c r="J564" s="21">
        <v>30</v>
      </c>
      <c r="K564" s="21">
        <v>65</v>
      </c>
      <c r="L564" s="21">
        <v>55</v>
      </c>
      <c r="M564" s="21">
        <v>90.510155415039009</v>
      </c>
      <c r="N564" s="21">
        <f>J564*Supuestos!$B$7+K564*Supuestos!$B$8+L564*Supuestos!$B$9+M564*Supuestos!$B$10</f>
        <v>58.852031083007802</v>
      </c>
      <c r="O564" s="34" t="str">
        <f t="shared" si="8"/>
        <v>C</v>
      </c>
      <c r="P564" s="10" t="s">
        <v>447</v>
      </c>
      <c r="Q564" s="10" t="s">
        <v>441</v>
      </c>
    </row>
    <row r="565" spans="1:17">
      <c r="A565" s="10" t="s">
        <v>101</v>
      </c>
      <c r="B565" s="10" t="s">
        <v>60</v>
      </c>
      <c r="C565" s="10" t="s">
        <v>204</v>
      </c>
      <c r="D565" s="10" t="s">
        <v>127</v>
      </c>
      <c r="E565" s="10" t="s">
        <v>539</v>
      </c>
      <c r="F565" s="11">
        <v>1360.17</v>
      </c>
      <c r="G565" s="11">
        <v>23377.47</v>
      </c>
      <c r="H565" s="12">
        <v>5.818280984278823E-2</v>
      </c>
      <c r="I565" s="10">
        <v>7</v>
      </c>
      <c r="J565" s="21">
        <v>85</v>
      </c>
      <c r="K565" s="21">
        <v>50</v>
      </c>
      <c r="L565" s="21">
        <v>55</v>
      </c>
      <c r="M565" s="21">
        <v>44.023032758127854</v>
      </c>
      <c r="N565" s="21">
        <f>J565*Supuestos!$B$7+K565*Supuestos!$B$8+L565*Supuestos!$B$9+M565*Supuestos!$B$10</f>
        <v>58.804606551625568</v>
      </c>
      <c r="O565" s="34" t="str">
        <f t="shared" si="8"/>
        <v>C</v>
      </c>
      <c r="P565" s="10" t="s">
        <v>502</v>
      </c>
      <c r="Q565" s="10" t="s">
        <v>471</v>
      </c>
    </row>
    <row r="566" spans="1:17">
      <c r="A566" s="10" t="s">
        <v>111</v>
      </c>
      <c r="B566" s="10" t="s">
        <v>60</v>
      </c>
      <c r="C566" s="10" t="s">
        <v>180</v>
      </c>
      <c r="D566" s="10" t="s">
        <v>113</v>
      </c>
      <c r="E566" s="10" t="s">
        <v>452</v>
      </c>
      <c r="F566" s="11">
        <v>183.98</v>
      </c>
      <c r="G566" s="11">
        <v>49477.3</v>
      </c>
      <c r="H566" s="12">
        <v>3.718465202960783E-3</v>
      </c>
      <c r="I566" s="10">
        <v>6</v>
      </c>
      <c r="J566" s="21">
        <v>75</v>
      </c>
      <c r="K566" s="21">
        <v>65</v>
      </c>
      <c r="L566" s="21">
        <v>25</v>
      </c>
      <c r="M566" s="21">
        <v>71.25</v>
      </c>
      <c r="N566" s="21">
        <f>J566*Supuestos!$B$7+K566*Supuestos!$B$8+L566*Supuestos!$B$9+M566*Supuestos!$B$10</f>
        <v>58.75</v>
      </c>
      <c r="O566" s="34" t="str">
        <f t="shared" si="8"/>
        <v>C</v>
      </c>
      <c r="P566" s="10" t="s">
        <v>447</v>
      </c>
      <c r="Q566" s="10" t="s">
        <v>441</v>
      </c>
    </row>
    <row r="567" spans="1:17">
      <c r="A567" s="10" t="s">
        <v>275</v>
      </c>
      <c r="B567" s="10" t="s">
        <v>406</v>
      </c>
      <c r="C567" s="10" t="s">
        <v>407</v>
      </c>
      <c r="D567" s="10" t="s">
        <v>127</v>
      </c>
      <c r="E567" s="10" t="s">
        <v>151</v>
      </c>
      <c r="F567" s="11">
        <v>9369.67</v>
      </c>
      <c r="G567" s="11">
        <v>324829.33</v>
      </c>
      <c r="H567" s="12">
        <v>2.8844905253671005E-2</v>
      </c>
      <c r="I567" s="10">
        <v>8</v>
      </c>
      <c r="J567" s="21">
        <v>85</v>
      </c>
      <c r="K567" s="21">
        <v>41.775135586149354</v>
      </c>
      <c r="L567" s="21">
        <v>25</v>
      </c>
      <c r="M567" s="21">
        <v>93.580645922060057</v>
      </c>
      <c r="N567" s="21">
        <f>J567*Supuestos!$B$7+K567*Supuestos!$B$8+L567*Supuestos!$B$9+M567*Supuestos!$B$10</f>
        <v>58.748669860256818</v>
      </c>
      <c r="O567" s="34" t="str">
        <f t="shared" si="8"/>
        <v>C</v>
      </c>
      <c r="P567" s="10" t="s">
        <v>540</v>
      </c>
      <c r="Q567" s="10" t="s">
        <v>441</v>
      </c>
    </row>
    <row r="568" spans="1:17">
      <c r="A568" s="10" t="s">
        <v>119</v>
      </c>
      <c r="B568" s="10" t="s">
        <v>360</v>
      </c>
      <c r="C568" s="10" t="s">
        <v>361</v>
      </c>
      <c r="D568" s="10" t="s">
        <v>103</v>
      </c>
      <c r="E568" s="10" t="s">
        <v>462</v>
      </c>
      <c r="F568" s="11">
        <v>8448.2000000000007</v>
      </c>
      <c r="G568" s="11">
        <v>360957.46</v>
      </c>
      <c r="H568" s="12">
        <v>2.3404970979335492E-2</v>
      </c>
      <c r="I568" s="10">
        <v>12</v>
      </c>
      <c r="J568" s="21">
        <v>100</v>
      </c>
      <c r="K568" s="21">
        <v>29.999999999999996</v>
      </c>
      <c r="L568" s="21">
        <v>25</v>
      </c>
      <c r="M568" s="21">
        <v>90.510155415039009</v>
      </c>
      <c r="N568" s="21">
        <f>J568*Supuestos!$B$7+K568*Supuestos!$B$8+L568*Supuestos!$B$9+M568*Supuestos!$B$10</f>
        <v>58.352031083007802</v>
      </c>
      <c r="O568" s="34" t="str">
        <f t="shared" si="8"/>
        <v>C</v>
      </c>
      <c r="P568" s="10" t="s">
        <v>447</v>
      </c>
      <c r="Q568" s="10" t="s">
        <v>471</v>
      </c>
    </row>
    <row r="569" spans="1:17">
      <c r="A569" s="10" t="s">
        <v>111</v>
      </c>
      <c r="B569" s="10" t="s">
        <v>60</v>
      </c>
      <c r="C569" s="10" t="s">
        <v>339</v>
      </c>
      <c r="D569" s="10" t="s">
        <v>103</v>
      </c>
      <c r="E569" s="10" t="s">
        <v>475</v>
      </c>
      <c r="F569" s="11">
        <v>589.58000000000004</v>
      </c>
      <c r="G569" s="11">
        <v>114879.92</v>
      </c>
      <c r="H569" s="12">
        <v>5.1321339735135724E-3</v>
      </c>
      <c r="I569" s="10">
        <v>13</v>
      </c>
      <c r="J569" s="21">
        <v>100</v>
      </c>
      <c r="K569" s="21">
        <v>38.489948904722333</v>
      </c>
      <c r="L569" s="21">
        <v>25</v>
      </c>
      <c r="M569" s="21">
        <v>77.637143099450157</v>
      </c>
      <c r="N569" s="21">
        <f>J569*Supuestos!$B$7+K569*Supuestos!$B$8+L569*Supuestos!$B$9+M569*Supuestos!$B$10</f>
        <v>58.324413291306733</v>
      </c>
      <c r="O569" s="34" t="str">
        <f t="shared" si="8"/>
        <v>C</v>
      </c>
      <c r="P569" s="10" t="s">
        <v>447</v>
      </c>
      <c r="Q569" s="10" t="s">
        <v>471</v>
      </c>
    </row>
    <row r="570" spans="1:17">
      <c r="A570" s="10" t="s">
        <v>119</v>
      </c>
      <c r="B570" s="10" t="s">
        <v>383</v>
      </c>
      <c r="C570" s="10" t="s">
        <v>384</v>
      </c>
      <c r="D570" s="10" t="s">
        <v>103</v>
      </c>
      <c r="E570" s="10" t="s">
        <v>525</v>
      </c>
      <c r="F570" s="11">
        <v>37713.22</v>
      </c>
      <c r="G570" s="11">
        <v>574829.68000000005</v>
      </c>
      <c r="H570" s="12">
        <v>6.5607640631736658E-2</v>
      </c>
      <c r="I570" s="10">
        <v>5</v>
      </c>
      <c r="J570" s="21">
        <v>100</v>
      </c>
      <c r="K570" s="21">
        <v>30.000000000000011</v>
      </c>
      <c r="L570" s="21">
        <v>55</v>
      </c>
      <c r="M570" s="21">
        <v>52.5</v>
      </c>
      <c r="N570" s="21">
        <f>J570*Supuestos!$B$7+K570*Supuestos!$B$8+L570*Supuestos!$B$9+M570*Supuestos!$B$10</f>
        <v>58.25</v>
      </c>
      <c r="O570" s="34" t="str">
        <f t="shared" si="8"/>
        <v>C</v>
      </c>
      <c r="P570" s="10" t="s">
        <v>447</v>
      </c>
      <c r="Q570" s="10" t="s">
        <v>471</v>
      </c>
    </row>
    <row r="571" spans="1:17">
      <c r="A571" s="10" t="s">
        <v>275</v>
      </c>
      <c r="B571" s="10" t="s">
        <v>406</v>
      </c>
      <c r="C571" s="10" t="s">
        <v>407</v>
      </c>
      <c r="D571" s="10" t="s">
        <v>127</v>
      </c>
      <c r="E571" s="10" t="s">
        <v>462</v>
      </c>
      <c r="F571" s="11">
        <v>13780.05</v>
      </c>
      <c r="G571" s="11">
        <v>324829.33</v>
      </c>
      <c r="H571" s="12">
        <v>4.2422444035003483E-2</v>
      </c>
      <c r="I571" s="10">
        <v>6</v>
      </c>
      <c r="J571" s="21">
        <v>85</v>
      </c>
      <c r="K571" s="21">
        <v>40.865495244643839</v>
      </c>
      <c r="L571" s="21">
        <v>25</v>
      </c>
      <c r="M571" s="21">
        <v>90.510155415039009</v>
      </c>
      <c r="N571" s="21">
        <f>J571*Supuestos!$B$7+K571*Supuestos!$B$8+L571*Supuestos!$B$9+M571*Supuestos!$B$10</f>
        <v>57.861679656400952</v>
      </c>
      <c r="O571" s="34" t="str">
        <f t="shared" si="8"/>
        <v>C</v>
      </c>
      <c r="P571" s="10" t="s">
        <v>447</v>
      </c>
      <c r="Q571" s="10" t="s">
        <v>471</v>
      </c>
    </row>
    <row r="572" spans="1:17">
      <c r="A572" s="10" t="s">
        <v>215</v>
      </c>
      <c r="B572" s="10" t="s">
        <v>60</v>
      </c>
      <c r="C572" s="10" t="s">
        <v>234</v>
      </c>
      <c r="D572" s="10" t="s">
        <v>149</v>
      </c>
      <c r="E572" s="10" t="s">
        <v>531</v>
      </c>
      <c r="F572" s="11">
        <v>2091.63</v>
      </c>
      <c r="G572" s="11">
        <v>17848.16</v>
      </c>
      <c r="H572" s="12">
        <v>0.11719048856624745</v>
      </c>
      <c r="I572" s="10">
        <v>3</v>
      </c>
      <c r="J572" s="21">
        <v>30</v>
      </c>
      <c r="K572" s="21">
        <v>65</v>
      </c>
      <c r="L572" s="21">
        <v>80</v>
      </c>
      <c r="M572" s="21">
        <v>53.75</v>
      </c>
      <c r="N572" s="21">
        <f>J572*Supuestos!$B$7+K572*Supuestos!$B$8+L572*Supuestos!$B$9+M572*Supuestos!$B$10</f>
        <v>57.75</v>
      </c>
      <c r="O572" s="34" t="str">
        <f t="shared" si="8"/>
        <v>C</v>
      </c>
      <c r="P572" s="10" t="s">
        <v>447</v>
      </c>
      <c r="Q572" s="10" t="s">
        <v>441</v>
      </c>
    </row>
    <row r="573" spans="1:17">
      <c r="A573" s="10" t="s">
        <v>101</v>
      </c>
      <c r="B573" s="10" t="s">
        <v>60</v>
      </c>
      <c r="C573" s="10" t="s">
        <v>239</v>
      </c>
      <c r="D573" s="10" t="s">
        <v>127</v>
      </c>
      <c r="E573" s="10" t="s">
        <v>530</v>
      </c>
      <c r="F573" s="11">
        <v>2062.6</v>
      </c>
      <c r="G573" s="11">
        <v>45460.47</v>
      </c>
      <c r="H573" s="12">
        <v>4.5371387829901813E-2</v>
      </c>
      <c r="I573" s="10">
        <v>7</v>
      </c>
      <c r="J573" s="21">
        <v>85</v>
      </c>
      <c r="K573" s="21">
        <v>65</v>
      </c>
      <c r="L573" s="21">
        <v>25</v>
      </c>
      <c r="M573" s="21">
        <v>53.75</v>
      </c>
      <c r="N573" s="21">
        <f>J573*Supuestos!$B$7+K573*Supuestos!$B$8+L573*Supuestos!$B$9+M573*Supuestos!$B$10</f>
        <v>57.75</v>
      </c>
      <c r="O573" s="34" t="str">
        <f t="shared" si="8"/>
        <v>C</v>
      </c>
      <c r="P573" s="10" t="s">
        <v>447</v>
      </c>
      <c r="Q573" s="10" t="s">
        <v>441</v>
      </c>
    </row>
    <row r="574" spans="1:17">
      <c r="A574" s="10" t="s">
        <v>101</v>
      </c>
      <c r="B574" s="10" t="s">
        <v>60</v>
      </c>
      <c r="C574" s="10" t="s">
        <v>346</v>
      </c>
      <c r="D574" s="10" t="s">
        <v>127</v>
      </c>
      <c r="E574" s="10" t="s">
        <v>531</v>
      </c>
      <c r="F574" s="11">
        <v>1204.99</v>
      </c>
      <c r="G574" s="11">
        <v>41126.71</v>
      </c>
      <c r="H574" s="12">
        <v>2.9299415120563856E-2</v>
      </c>
      <c r="I574" s="10">
        <v>7</v>
      </c>
      <c r="J574" s="21">
        <v>85</v>
      </c>
      <c r="K574" s="21">
        <v>65</v>
      </c>
      <c r="L574" s="21">
        <v>25</v>
      </c>
      <c r="M574" s="21">
        <v>53.75</v>
      </c>
      <c r="N574" s="21">
        <f>J574*Supuestos!$B$7+K574*Supuestos!$B$8+L574*Supuestos!$B$9+M574*Supuestos!$B$10</f>
        <v>57.75</v>
      </c>
      <c r="O574" s="34" t="str">
        <f t="shared" si="8"/>
        <v>C</v>
      </c>
      <c r="P574" s="10" t="s">
        <v>447</v>
      </c>
      <c r="Q574" s="10" t="s">
        <v>441</v>
      </c>
    </row>
    <row r="575" spans="1:17">
      <c r="A575" s="10" t="s">
        <v>111</v>
      </c>
      <c r="B575" s="10" t="s">
        <v>60</v>
      </c>
      <c r="C575" s="10" t="s">
        <v>180</v>
      </c>
      <c r="D575" s="10" t="s">
        <v>113</v>
      </c>
      <c r="E575" s="10" t="s">
        <v>498</v>
      </c>
      <c r="F575" s="11">
        <v>407.28</v>
      </c>
      <c r="G575" s="11">
        <v>49477.3</v>
      </c>
      <c r="H575" s="12">
        <v>8.2316075019877484E-3</v>
      </c>
      <c r="I575" s="10">
        <v>4</v>
      </c>
      <c r="J575" s="21">
        <v>75</v>
      </c>
      <c r="K575" s="21">
        <v>65</v>
      </c>
      <c r="L575" s="21">
        <v>25</v>
      </c>
      <c r="M575" s="21">
        <v>66.25</v>
      </c>
      <c r="N575" s="21">
        <f>J575*Supuestos!$B$7+K575*Supuestos!$B$8+L575*Supuestos!$B$9+M575*Supuestos!$B$10</f>
        <v>57.75</v>
      </c>
      <c r="O575" s="34" t="str">
        <f t="shared" si="8"/>
        <v>C</v>
      </c>
      <c r="P575" s="10" t="s">
        <v>447</v>
      </c>
      <c r="Q575" s="10" t="s">
        <v>441</v>
      </c>
    </row>
    <row r="576" spans="1:17">
      <c r="A576" s="10" t="s">
        <v>215</v>
      </c>
      <c r="B576" s="10" t="s">
        <v>60</v>
      </c>
      <c r="C576" s="10" t="s">
        <v>234</v>
      </c>
      <c r="D576" s="10" t="s">
        <v>149</v>
      </c>
      <c r="E576" s="10" t="s">
        <v>470</v>
      </c>
      <c r="F576" s="11">
        <v>1904.89</v>
      </c>
      <c r="G576" s="11">
        <v>17848.16</v>
      </c>
      <c r="H576" s="12">
        <v>0.10672767782836085</v>
      </c>
      <c r="I576" s="10">
        <v>5</v>
      </c>
      <c r="J576" s="21">
        <v>30</v>
      </c>
      <c r="K576" s="21">
        <v>60</v>
      </c>
      <c r="L576" s="21">
        <v>80</v>
      </c>
      <c r="M576" s="21">
        <v>59.990545989455306</v>
      </c>
      <c r="N576" s="21">
        <f>J576*Supuestos!$B$7+K576*Supuestos!$B$8+L576*Supuestos!$B$9+M576*Supuestos!$B$10</f>
        <v>57.498109197891061</v>
      </c>
      <c r="O576" s="34" t="str">
        <f t="shared" si="8"/>
        <v>C</v>
      </c>
      <c r="P576" s="10" t="s">
        <v>435</v>
      </c>
      <c r="Q576" s="10" t="s">
        <v>471</v>
      </c>
    </row>
    <row r="577" spans="1:17">
      <c r="A577" s="10" t="s">
        <v>101</v>
      </c>
      <c r="B577" s="10" t="s">
        <v>60</v>
      </c>
      <c r="C577" s="10" t="s">
        <v>271</v>
      </c>
      <c r="D577" s="10" t="s">
        <v>149</v>
      </c>
      <c r="E577" s="10" t="s">
        <v>467</v>
      </c>
      <c r="F577" s="11">
        <v>402.36</v>
      </c>
      <c r="G577" s="11">
        <v>5062.1000000000004</v>
      </c>
      <c r="H577" s="12">
        <v>7.9484381113193156E-2</v>
      </c>
      <c r="I577" s="10">
        <v>7</v>
      </c>
      <c r="J577" s="21">
        <v>30</v>
      </c>
      <c r="K577" s="21">
        <v>65</v>
      </c>
      <c r="L577" s="21">
        <v>55</v>
      </c>
      <c r="M577" s="21">
        <v>81.25</v>
      </c>
      <c r="N577" s="21">
        <f>J577*Supuestos!$B$7+K577*Supuestos!$B$8+L577*Supuestos!$B$9+M577*Supuestos!$B$10</f>
        <v>57</v>
      </c>
      <c r="O577" s="34" t="str">
        <f t="shared" si="8"/>
        <v>C</v>
      </c>
      <c r="P577" s="10" t="s">
        <v>447</v>
      </c>
      <c r="Q577" s="10" t="s">
        <v>441</v>
      </c>
    </row>
    <row r="578" spans="1:17">
      <c r="A578" s="10" t="s">
        <v>101</v>
      </c>
      <c r="B578" s="10" t="s">
        <v>60</v>
      </c>
      <c r="C578" s="10" t="s">
        <v>325</v>
      </c>
      <c r="D578" s="10" t="s">
        <v>149</v>
      </c>
      <c r="E578" s="10" t="s">
        <v>467</v>
      </c>
      <c r="F578" s="11">
        <v>263.10000000000002</v>
      </c>
      <c r="G578" s="11">
        <v>3886.23</v>
      </c>
      <c r="H578" s="12">
        <v>6.7699504323755988E-2</v>
      </c>
      <c r="I578" s="10">
        <v>6</v>
      </c>
      <c r="J578" s="21">
        <v>30</v>
      </c>
      <c r="K578" s="21">
        <v>64.999999999999986</v>
      </c>
      <c r="L578" s="21">
        <v>55</v>
      </c>
      <c r="M578" s="21">
        <v>81.25</v>
      </c>
      <c r="N578" s="21">
        <f>J578*Supuestos!$B$7+K578*Supuestos!$B$8+L578*Supuestos!$B$9+M578*Supuestos!$B$10</f>
        <v>57</v>
      </c>
      <c r="O578" s="34" t="str">
        <f t="shared" si="8"/>
        <v>C</v>
      </c>
      <c r="P578" s="10" t="s">
        <v>447</v>
      </c>
      <c r="Q578" s="10" t="s">
        <v>441</v>
      </c>
    </row>
    <row r="579" spans="1:17">
      <c r="A579" s="10" t="s">
        <v>101</v>
      </c>
      <c r="B579" s="10" t="s">
        <v>60</v>
      </c>
      <c r="C579" s="10" t="s">
        <v>354</v>
      </c>
      <c r="D579" s="10" t="s">
        <v>149</v>
      </c>
      <c r="E579" s="10" t="s">
        <v>475</v>
      </c>
      <c r="F579" s="11">
        <v>135.30000000000001</v>
      </c>
      <c r="G579" s="11">
        <v>1522.91</v>
      </c>
      <c r="H579" s="12">
        <v>8.8843258042436674E-2</v>
      </c>
      <c r="I579" s="10">
        <v>6</v>
      </c>
      <c r="J579" s="21">
        <v>30</v>
      </c>
      <c r="K579" s="21">
        <v>65</v>
      </c>
      <c r="L579" s="21">
        <v>55</v>
      </c>
      <c r="M579" s="21">
        <v>77.637143099450157</v>
      </c>
      <c r="N579" s="21">
        <f>J579*Supuestos!$B$7+K579*Supuestos!$B$8+L579*Supuestos!$B$9+M579*Supuestos!$B$10</f>
        <v>56.277428619890031</v>
      </c>
      <c r="O579" s="34" t="str">
        <f t="shared" si="8"/>
        <v>C</v>
      </c>
      <c r="P579" s="10" t="s">
        <v>447</v>
      </c>
      <c r="Q579" s="10" t="s">
        <v>441</v>
      </c>
    </row>
    <row r="580" spans="1:17">
      <c r="A580" s="10" t="s">
        <v>101</v>
      </c>
      <c r="B580" s="10" t="s">
        <v>60</v>
      </c>
      <c r="C580" s="10" t="s">
        <v>271</v>
      </c>
      <c r="D580" s="10" t="s">
        <v>149</v>
      </c>
      <c r="E580" s="10" t="s">
        <v>458</v>
      </c>
      <c r="F580" s="11">
        <v>445.1</v>
      </c>
      <c r="G580" s="11">
        <v>5062.1000000000004</v>
      </c>
      <c r="H580" s="12">
        <v>8.7927022630397644E-2</v>
      </c>
      <c r="I580" s="10">
        <v>6</v>
      </c>
      <c r="J580" s="21">
        <v>30</v>
      </c>
      <c r="K580" s="21">
        <v>75</v>
      </c>
      <c r="L580" s="21">
        <v>55</v>
      </c>
      <c r="M580" s="21">
        <v>61.25</v>
      </c>
      <c r="N580" s="21">
        <f>J580*Supuestos!$B$7+K580*Supuestos!$B$8+L580*Supuestos!$B$9+M580*Supuestos!$B$10</f>
        <v>56</v>
      </c>
      <c r="O580" s="34" t="str">
        <f t="shared" si="8"/>
        <v>C</v>
      </c>
      <c r="P580" s="10" t="s">
        <v>447</v>
      </c>
      <c r="Q580" s="10" t="s">
        <v>436</v>
      </c>
    </row>
    <row r="581" spans="1:17">
      <c r="A581" s="10" t="s">
        <v>119</v>
      </c>
      <c r="B581" s="10" t="s">
        <v>360</v>
      </c>
      <c r="C581" s="10" t="s">
        <v>361</v>
      </c>
      <c r="D581" s="10" t="s">
        <v>103</v>
      </c>
      <c r="E581" s="10" t="s">
        <v>151</v>
      </c>
      <c r="F581" s="11">
        <v>18000.53</v>
      </c>
      <c r="G581" s="11">
        <v>360957.46</v>
      </c>
      <c r="H581" s="12">
        <v>4.9868828666961587E-2</v>
      </c>
      <c r="I581" s="10">
        <v>8</v>
      </c>
      <c r="J581" s="21">
        <v>100</v>
      </c>
      <c r="K581" s="21">
        <v>20</v>
      </c>
      <c r="L581" s="21">
        <v>25</v>
      </c>
      <c r="M581" s="21">
        <v>93.580645922060057</v>
      </c>
      <c r="N581" s="21">
        <f>J581*Supuestos!$B$7+K581*Supuestos!$B$8+L581*Supuestos!$B$9+M581*Supuestos!$B$10</f>
        <v>55.966129184412011</v>
      </c>
      <c r="O581" s="34" t="str">
        <f t="shared" ref="O581:O644" si="9">IF(N581&gt;=80,"A",IF(N581&gt;=65,"B",IF(N581&gt;=50,"C","D")))</f>
        <v>C</v>
      </c>
      <c r="P581" s="10" t="s">
        <v>540</v>
      </c>
      <c r="Q581" s="10" t="s">
        <v>441</v>
      </c>
    </row>
    <row r="582" spans="1:17">
      <c r="A582" s="10" t="s">
        <v>111</v>
      </c>
      <c r="B582" s="10" t="s">
        <v>73</v>
      </c>
      <c r="C582" s="10" t="s">
        <v>418</v>
      </c>
      <c r="D582" s="10" t="s">
        <v>103</v>
      </c>
      <c r="E582" s="10" t="s">
        <v>475</v>
      </c>
      <c r="F582" s="11">
        <v>3458.4</v>
      </c>
      <c r="G582" s="11">
        <v>642203.68000000005</v>
      </c>
      <c r="H582" s="12">
        <v>5.3852076633170397E-3</v>
      </c>
      <c r="I582" s="10">
        <v>20</v>
      </c>
      <c r="J582" s="21">
        <v>100</v>
      </c>
      <c r="K582" s="21">
        <v>30</v>
      </c>
      <c r="L582" s="21">
        <v>25</v>
      </c>
      <c r="M582" s="21">
        <v>77.637143099450157</v>
      </c>
      <c r="N582" s="21">
        <f>J582*Supuestos!$B$7+K582*Supuestos!$B$8+L582*Supuestos!$B$9+M582*Supuestos!$B$10</f>
        <v>55.777428619890031</v>
      </c>
      <c r="O582" s="34" t="str">
        <f t="shared" si="9"/>
        <v>C</v>
      </c>
      <c r="P582" s="10" t="s">
        <v>447</v>
      </c>
      <c r="Q582" s="10" t="s">
        <v>471</v>
      </c>
    </row>
    <row r="583" spans="1:17">
      <c r="A583" s="10" t="s">
        <v>111</v>
      </c>
      <c r="B583" s="10" t="s">
        <v>60</v>
      </c>
      <c r="C583" s="10" t="s">
        <v>339</v>
      </c>
      <c r="D583" s="10" t="s">
        <v>103</v>
      </c>
      <c r="E583" s="10" t="s">
        <v>541</v>
      </c>
      <c r="F583" s="11">
        <v>39164.28</v>
      </c>
      <c r="G583" s="11">
        <v>114879.92</v>
      </c>
      <c r="H583" s="12">
        <v>0.34091491074962127</v>
      </c>
      <c r="I583" s="10">
        <v>1</v>
      </c>
      <c r="J583" s="21">
        <v>100</v>
      </c>
      <c r="K583" s="21">
        <v>0</v>
      </c>
      <c r="L583" s="21">
        <v>100</v>
      </c>
      <c r="M583" s="21">
        <v>27.5</v>
      </c>
      <c r="N583" s="21">
        <f>J583*Supuestos!$B$7+K583*Supuestos!$B$8+L583*Supuestos!$B$9+M583*Supuestos!$B$10</f>
        <v>55.5</v>
      </c>
      <c r="O583" s="34" t="str">
        <f t="shared" si="9"/>
        <v>C</v>
      </c>
      <c r="P583" s="10" t="s">
        <v>540</v>
      </c>
      <c r="Q583" s="10" t="s">
        <v>471</v>
      </c>
    </row>
    <row r="584" spans="1:17">
      <c r="A584" s="10" t="s">
        <v>101</v>
      </c>
      <c r="B584" s="10" t="s">
        <v>60</v>
      </c>
      <c r="C584" s="10" t="s">
        <v>183</v>
      </c>
      <c r="D584" s="10" t="s">
        <v>149</v>
      </c>
      <c r="E584" s="10" t="s">
        <v>464</v>
      </c>
      <c r="F584" s="11">
        <v>212.85</v>
      </c>
      <c r="G584" s="11">
        <v>6614.7</v>
      </c>
      <c r="H584" s="12">
        <v>3.217886532467245E-2</v>
      </c>
      <c r="I584" s="10">
        <v>7</v>
      </c>
      <c r="J584" s="21">
        <v>30</v>
      </c>
      <c r="K584" s="21">
        <v>74.999999999999986</v>
      </c>
      <c r="L584" s="21">
        <v>25</v>
      </c>
      <c r="M584" s="21">
        <v>94.993714604403294</v>
      </c>
      <c r="N584" s="21">
        <f>J584*Supuestos!$B$7+K584*Supuestos!$B$8+L584*Supuestos!$B$9+M584*Supuestos!$B$10</f>
        <v>55.248742920880659</v>
      </c>
      <c r="O584" s="34" t="str">
        <f t="shared" si="9"/>
        <v>C</v>
      </c>
      <c r="P584" s="10" t="s">
        <v>447</v>
      </c>
      <c r="Q584" s="10" t="s">
        <v>436</v>
      </c>
    </row>
    <row r="585" spans="1:17">
      <c r="A585" s="10" t="s">
        <v>101</v>
      </c>
      <c r="B585" s="10" t="s">
        <v>60</v>
      </c>
      <c r="C585" s="10" t="s">
        <v>243</v>
      </c>
      <c r="D585" s="10" t="s">
        <v>103</v>
      </c>
      <c r="E585" s="10" t="s">
        <v>539</v>
      </c>
      <c r="F585" s="11">
        <v>1606.3</v>
      </c>
      <c r="G585" s="11">
        <v>114854.99</v>
      </c>
      <c r="H585" s="12">
        <v>1.3985493890101189E-2</v>
      </c>
      <c r="I585" s="10">
        <v>14</v>
      </c>
      <c r="J585" s="21">
        <v>100</v>
      </c>
      <c r="K585" s="21">
        <v>50</v>
      </c>
      <c r="L585" s="21">
        <v>25</v>
      </c>
      <c r="M585" s="21">
        <v>44.023032758127854</v>
      </c>
      <c r="N585" s="21">
        <f>J585*Supuestos!$B$7+K585*Supuestos!$B$8+L585*Supuestos!$B$9+M585*Supuestos!$B$10</f>
        <v>55.054606551625568</v>
      </c>
      <c r="O585" s="34" t="str">
        <f t="shared" si="9"/>
        <v>C</v>
      </c>
      <c r="P585" s="10" t="s">
        <v>502</v>
      </c>
      <c r="Q585" s="10" t="s">
        <v>471</v>
      </c>
    </row>
    <row r="586" spans="1:17">
      <c r="A586" s="10" t="s">
        <v>101</v>
      </c>
      <c r="B586" s="10" t="s">
        <v>60</v>
      </c>
      <c r="C586" s="10" t="s">
        <v>289</v>
      </c>
      <c r="D586" s="10" t="s">
        <v>149</v>
      </c>
      <c r="E586" s="10" t="s">
        <v>452</v>
      </c>
      <c r="F586" s="11">
        <v>2144.59</v>
      </c>
      <c r="G586" s="11">
        <v>22969.31</v>
      </c>
      <c r="H586" s="12">
        <v>9.3367520591772377E-2</v>
      </c>
      <c r="I586" s="10">
        <v>6</v>
      </c>
      <c r="J586" s="21">
        <v>30</v>
      </c>
      <c r="K586" s="21">
        <v>65</v>
      </c>
      <c r="L586" s="21">
        <v>55</v>
      </c>
      <c r="M586" s="21">
        <v>71.25</v>
      </c>
      <c r="N586" s="21">
        <f>J586*Supuestos!$B$7+K586*Supuestos!$B$8+L586*Supuestos!$B$9+M586*Supuestos!$B$10</f>
        <v>55</v>
      </c>
      <c r="O586" s="34" t="str">
        <f t="shared" si="9"/>
        <v>C</v>
      </c>
      <c r="P586" s="10" t="s">
        <v>447</v>
      </c>
      <c r="Q586" s="10" t="s">
        <v>441</v>
      </c>
    </row>
    <row r="587" spans="1:17">
      <c r="A587" s="10" t="s">
        <v>111</v>
      </c>
      <c r="B587" s="10" t="s">
        <v>60</v>
      </c>
      <c r="C587" s="10" t="s">
        <v>370</v>
      </c>
      <c r="D587" s="10" t="s">
        <v>149</v>
      </c>
      <c r="E587" s="10" t="s">
        <v>314</v>
      </c>
      <c r="F587" s="11">
        <v>1049.83</v>
      </c>
      <c r="G587" s="11">
        <v>17057.150000000001</v>
      </c>
      <c r="H587" s="12">
        <v>6.1547845896957699E-2</v>
      </c>
      <c r="I587" s="10">
        <v>4</v>
      </c>
      <c r="J587" s="21">
        <v>30</v>
      </c>
      <c r="K587" s="21">
        <v>75</v>
      </c>
      <c r="L587" s="21">
        <v>55</v>
      </c>
      <c r="M587" s="21">
        <v>56.25</v>
      </c>
      <c r="N587" s="21">
        <f>J587*Supuestos!$B$7+K587*Supuestos!$B$8+L587*Supuestos!$B$9+M587*Supuestos!$B$10</f>
        <v>55</v>
      </c>
      <c r="O587" s="34" t="str">
        <f t="shared" si="9"/>
        <v>C</v>
      </c>
      <c r="P587" s="10" t="s">
        <v>447</v>
      </c>
      <c r="Q587" s="10" t="s">
        <v>436</v>
      </c>
    </row>
    <row r="588" spans="1:17">
      <c r="A588" s="10" t="s">
        <v>101</v>
      </c>
      <c r="B588" s="10" t="s">
        <v>60</v>
      </c>
      <c r="C588" s="10" t="s">
        <v>264</v>
      </c>
      <c r="D588" s="10" t="s">
        <v>149</v>
      </c>
      <c r="E588" s="10" t="s">
        <v>213</v>
      </c>
      <c r="F588" s="11">
        <v>653.57000000000005</v>
      </c>
      <c r="G588" s="11">
        <v>17196.84</v>
      </c>
      <c r="H588" s="12">
        <v>3.8005272111821559E-2</v>
      </c>
      <c r="I588" s="10">
        <v>6</v>
      </c>
      <c r="J588" s="21">
        <v>30</v>
      </c>
      <c r="K588" s="21">
        <v>75</v>
      </c>
      <c r="L588" s="21">
        <v>25</v>
      </c>
      <c r="M588" s="21">
        <v>93.75</v>
      </c>
      <c r="N588" s="21">
        <f>J588*Supuestos!$B$7+K588*Supuestos!$B$8+L588*Supuestos!$B$9+M588*Supuestos!$B$10</f>
        <v>55</v>
      </c>
      <c r="O588" s="34" t="str">
        <f t="shared" si="9"/>
        <v>C</v>
      </c>
      <c r="P588" s="10" t="s">
        <v>447</v>
      </c>
      <c r="Q588" s="10" t="s">
        <v>436</v>
      </c>
    </row>
    <row r="589" spans="1:17">
      <c r="A589" s="10" t="s">
        <v>101</v>
      </c>
      <c r="B589" s="10" t="s">
        <v>60</v>
      </c>
      <c r="C589" s="10" t="s">
        <v>364</v>
      </c>
      <c r="D589" s="10" t="s">
        <v>149</v>
      </c>
      <c r="E589" s="10" t="s">
        <v>213</v>
      </c>
      <c r="F589" s="11">
        <v>188.67</v>
      </c>
      <c r="G589" s="11">
        <v>9858.02</v>
      </c>
      <c r="H589" s="12">
        <v>1.913875598086124E-2</v>
      </c>
      <c r="I589" s="10">
        <v>10</v>
      </c>
      <c r="J589" s="21">
        <v>30</v>
      </c>
      <c r="K589" s="21">
        <v>75</v>
      </c>
      <c r="L589" s="21">
        <v>25</v>
      </c>
      <c r="M589" s="21">
        <v>93.75</v>
      </c>
      <c r="N589" s="21">
        <f>J589*Supuestos!$B$7+K589*Supuestos!$B$8+L589*Supuestos!$B$9+M589*Supuestos!$B$10</f>
        <v>55</v>
      </c>
      <c r="O589" s="34" t="str">
        <f t="shared" si="9"/>
        <v>C</v>
      </c>
      <c r="P589" s="10" t="s">
        <v>447</v>
      </c>
      <c r="Q589" s="10" t="s">
        <v>436</v>
      </c>
    </row>
    <row r="590" spans="1:17">
      <c r="A590" s="10" t="s">
        <v>101</v>
      </c>
      <c r="B590" s="10" t="s">
        <v>60</v>
      </c>
      <c r="C590" s="10" t="s">
        <v>295</v>
      </c>
      <c r="D590" s="10" t="s">
        <v>149</v>
      </c>
      <c r="E590" s="10" t="s">
        <v>213</v>
      </c>
      <c r="F590" s="11">
        <v>175.12</v>
      </c>
      <c r="G590" s="11">
        <v>3541.37</v>
      </c>
      <c r="H590" s="12">
        <v>4.9449579089892268E-2</v>
      </c>
      <c r="I590" s="10">
        <v>8</v>
      </c>
      <c r="J590" s="21">
        <v>30</v>
      </c>
      <c r="K590" s="21">
        <v>75</v>
      </c>
      <c r="L590" s="21">
        <v>25</v>
      </c>
      <c r="M590" s="21">
        <v>93.75</v>
      </c>
      <c r="N590" s="21">
        <f>J590*Supuestos!$B$7+K590*Supuestos!$B$8+L590*Supuestos!$B$9+M590*Supuestos!$B$10</f>
        <v>55</v>
      </c>
      <c r="O590" s="34" t="str">
        <f t="shared" si="9"/>
        <v>C</v>
      </c>
      <c r="P590" s="10" t="s">
        <v>447</v>
      </c>
      <c r="Q590" s="10" t="s">
        <v>436</v>
      </c>
    </row>
    <row r="591" spans="1:17">
      <c r="A591" s="10" t="s">
        <v>101</v>
      </c>
      <c r="B591" s="10" t="s">
        <v>60</v>
      </c>
      <c r="C591" s="10" t="s">
        <v>295</v>
      </c>
      <c r="D591" s="10" t="s">
        <v>149</v>
      </c>
      <c r="E591" s="10" t="s">
        <v>151</v>
      </c>
      <c r="F591" s="11">
        <v>124.67</v>
      </c>
      <c r="G591" s="11">
        <v>3541.37</v>
      </c>
      <c r="H591" s="12">
        <v>3.5203390828280445E-2</v>
      </c>
      <c r="I591" s="10">
        <v>9</v>
      </c>
      <c r="J591" s="21">
        <v>30</v>
      </c>
      <c r="K591" s="21">
        <v>75</v>
      </c>
      <c r="L591" s="21">
        <v>25</v>
      </c>
      <c r="M591" s="21">
        <v>93.580645922060057</v>
      </c>
      <c r="N591" s="21">
        <f>J591*Supuestos!$B$7+K591*Supuestos!$B$8+L591*Supuestos!$B$9+M591*Supuestos!$B$10</f>
        <v>54.966129184412011</v>
      </c>
      <c r="O591" s="34" t="str">
        <f t="shared" si="9"/>
        <v>C</v>
      </c>
      <c r="P591" s="10" t="s">
        <v>447</v>
      </c>
      <c r="Q591" s="10" t="s">
        <v>436</v>
      </c>
    </row>
    <row r="592" spans="1:17">
      <c r="A592" s="10" t="s">
        <v>101</v>
      </c>
      <c r="B592" s="10" t="s">
        <v>60</v>
      </c>
      <c r="C592" s="10" t="s">
        <v>183</v>
      </c>
      <c r="D592" s="10" t="s">
        <v>149</v>
      </c>
      <c r="E592" s="10" t="s">
        <v>151</v>
      </c>
      <c r="F592" s="11">
        <v>72.97</v>
      </c>
      <c r="G592" s="11">
        <v>6614.7</v>
      </c>
      <c r="H592" s="12">
        <v>1.1030952853707501E-2</v>
      </c>
      <c r="I592" s="10">
        <v>11</v>
      </c>
      <c r="J592" s="21">
        <v>30</v>
      </c>
      <c r="K592" s="21">
        <v>75</v>
      </c>
      <c r="L592" s="21">
        <v>25</v>
      </c>
      <c r="M592" s="21">
        <v>93.580645922060057</v>
      </c>
      <c r="N592" s="21">
        <f>J592*Supuestos!$B$7+K592*Supuestos!$B$8+L592*Supuestos!$B$9+M592*Supuestos!$B$10</f>
        <v>54.966129184412011</v>
      </c>
      <c r="O592" s="34" t="str">
        <f t="shared" si="9"/>
        <v>C</v>
      </c>
      <c r="P592" s="10" t="s">
        <v>447</v>
      </c>
      <c r="Q592" s="10" t="s">
        <v>436</v>
      </c>
    </row>
    <row r="593" spans="1:17">
      <c r="A593" s="10" t="s">
        <v>101</v>
      </c>
      <c r="B593" s="10" t="s">
        <v>60</v>
      </c>
      <c r="C593" s="10" t="s">
        <v>289</v>
      </c>
      <c r="D593" s="10" t="s">
        <v>149</v>
      </c>
      <c r="E593" s="10" t="s">
        <v>446</v>
      </c>
      <c r="F593" s="11">
        <v>169.33</v>
      </c>
      <c r="G593" s="11">
        <v>22969.31</v>
      </c>
      <c r="H593" s="12">
        <v>7.3721948673731042E-3</v>
      </c>
      <c r="I593" s="10">
        <v>8</v>
      </c>
      <c r="J593" s="21">
        <v>30</v>
      </c>
      <c r="K593" s="21">
        <v>75</v>
      </c>
      <c r="L593" s="21">
        <v>25</v>
      </c>
      <c r="M593" s="21">
        <v>93.560509294235828</v>
      </c>
      <c r="N593" s="21">
        <f>J593*Supuestos!$B$7+K593*Supuestos!$B$8+L593*Supuestos!$B$9+M593*Supuestos!$B$10</f>
        <v>54.962101858847163</v>
      </c>
      <c r="O593" s="34" t="str">
        <f t="shared" si="9"/>
        <v>C</v>
      </c>
      <c r="P593" s="10" t="s">
        <v>447</v>
      </c>
      <c r="Q593" s="10" t="s">
        <v>436</v>
      </c>
    </row>
    <row r="594" spans="1:17">
      <c r="A594" s="10" t="s">
        <v>111</v>
      </c>
      <c r="B594" s="10" t="s">
        <v>60</v>
      </c>
      <c r="C594" s="10" t="s">
        <v>542</v>
      </c>
      <c r="D594" s="10" t="s">
        <v>149</v>
      </c>
      <c r="E594" s="10" t="s">
        <v>477</v>
      </c>
      <c r="F594" s="11">
        <v>11017.15</v>
      </c>
      <c r="G594" s="11">
        <v>11017.15</v>
      </c>
      <c r="H594" s="12">
        <v>1</v>
      </c>
      <c r="I594" s="10">
        <v>1</v>
      </c>
      <c r="J594" s="21">
        <v>30</v>
      </c>
      <c r="K594" s="21">
        <v>30</v>
      </c>
      <c r="L594" s="21">
        <v>100</v>
      </c>
      <c r="M594" s="21">
        <v>64.611619732455594</v>
      </c>
      <c r="N594" s="21">
        <f>J594*Supuestos!$B$7+K594*Supuestos!$B$8+L594*Supuestos!$B$9+M594*Supuestos!$B$10</f>
        <v>54.422323946491119</v>
      </c>
      <c r="O594" s="34" t="str">
        <f t="shared" si="9"/>
        <v>C</v>
      </c>
      <c r="P594" s="10" t="s">
        <v>447</v>
      </c>
      <c r="Q594" s="10" t="s">
        <v>471</v>
      </c>
    </row>
    <row r="595" spans="1:17">
      <c r="A595" s="10" t="s">
        <v>111</v>
      </c>
      <c r="B595" s="10" t="s">
        <v>60</v>
      </c>
      <c r="C595" s="10" t="s">
        <v>367</v>
      </c>
      <c r="D595" s="10" t="s">
        <v>149</v>
      </c>
      <c r="E595" s="10" t="s">
        <v>477</v>
      </c>
      <c r="F595" s="11">
        <v>1963.97</v>
      </c>
      <c r="G595" s="11">
        <v>6313.99</v>
      </c>
      <c r="H595" s="12">
        <v>0.31105115563067864</v>
      </c>
      <c r="I595" s="10">
        <v>2</v>
      </c>
      <c r="J595" s="21">
        <v>30</v>
      </c>
      <c r="K595" s="21">
        <v>30</v>
      </c>
      <c r="L595" s="21">
        <v>100</v>
      </c>
      <c r="M595" s="21">
        <v>64.611619732455594</v>
      </c>
      <c r="N595" s="21">
        <f>J595*Supuestos!$B$7+K595*Supuestos!$B$8+L595*Supuestos!$B$9+M595*Supuestos!$B$10</f>
        <v>54.422323946491119</v>
      </c>
      <c r="O595" s="34" t="str">
        <f t="shared" si="9"/>
        <v>C</v>
      </c>
      <c r="P595" s="10" t="s">
        <v>447</v>
      </c>
      <c r="Q595" s="10" t="s">
        <v>471</v>
      </c>
    </row>
    <row r="596" spans="1:17">
      <c r="A596" s="10" t="s">
        <v>101</v>
      </c>
      <c r="B596" s="10" t="s">
        <v>60</v>
      </c>
      <c r="C596" s="10" t="s">
        <v>281</v>
      </c>
      <c r="D596" s="10" t="s">
        <v>149</v>
      </c>
      <c r="E596" s="10" t="s">
        <v>499</v>
      </c>
      <c r="F596" s="11">
        <v>4649</v>
      </c>
      <c r="G596" s="11">
        <v>13695.07</v>
      </c>
      <c r="H596" s="12">
        <v>0.33946553207035923</v>
      </c>
      <c r="I596" s="10">
        <v>2</v>
      </c>
      <c r="J596" s="21">
        <v>30</v>
      </c>
      <c r="K596" s="21">
        <v>30</v>
      </c>
      <c r="L596" s="21">
        <v>100</v>
      </c>
      <c r="M596" s="21">
        <v>62.5</v>
      </c>
      <c r="N596" s="21">
        <f>J596*Supuestos!$B$7+K596*Supuestos!$B$8+L596*Supuestos!$B$9+M596*Supuestos!$B$10</f>
        <v>54</v>
      </c>
      <c r="O596" s="34" t="str">
        <f t="shared" si="9"/>
        <v>C</v>
      </c>
      <c r="P596" s="10" t="s">
        <v>447</v>
      </c>
      <c r="Q596" s="10" t="s">
        <v>471</v>
      </c>
    </row>
    <row r="597" spans="1:17">
      <c r="A597" s="10" t="s">
        <v>101</v>
      </c>
      <c r="B597" s="10" t="s">
        <v>60</v>
      </c>
      <c r="C597" s="10" t="s">
        <v>271</v>
      </c>
      <c r="D597" s="10" t="s">
        <v>149</v>
      </c>
      <c r="E597" s="10" t="s">
        <v>533</v>
      </c>
      <c r="F597" s="11">
        <v>1031.07</v>
      </c>
      <c r="G597" s="11">
        <v>5062.1000000000004</v>
      </c>
      <c r="H597" s="12">
        <v>0.20368387455470213</v>
      </c>
      <c r="I597" s="10">
        <v>1</v>
      </c>
      <c r="J597" s="21">
        <v>30</v>
      </c>
      <c r="K597" s="21">
        <v>30</v>
      </c>
      <c r="L597" s="21">
        <v>100</v>
      </c>
      <c r="M597" s="21">
        <v>62.5</v>
      </c>
      <c r="N597" s="21">
        <f>J597*Supuestos!$B$7+K597*Supuestos!$B$8+L597*Supuestos!$B$9+M597*Supuestos!$B$10</f>
        <v>54</v>
      </c>
      <c r="O597" s="34" t="str">
        <f t="shared" si="9"/>
        <v>C</v>
      </c>
      <c r="P597" s="10" t="s">
        <v>447</v>
      </c>
      <c r="Q597" s="10" t="s">
        <v>471</v>
      </c>
    </row>
    <row r="598" spans="1:17">
      <c r="A598" s="10" t="s">
        <v>101</v>
      </c>
      <c r="B598" s="10" t="s">
        <v>60</v>
      </c>
      <c r="C598" s="10" t="s">
        <v>295</v>
      </c>
      <c r="D598" s="10" t="s">
        <v>149</v>
      </c>
      <c r="E598" s="10" t="s">
        <v>497</v>
      </c>
      <c r="F598" s="11">
        <v>298.12</v>
      </c>
      <c r="G598" s="11">
        <v>3541.37</v>
      </c>
      <c r="H598" s="12">
        <v>8.4182021545888011E-2</v>
      </c>
      <c r="I598" s="10">
        <v>7</v>
      </c>
      <c r="J598" s="21">
        <v>30</v>
      </c>
      <c r="K598" s="21">
        <v>65</v>
      </c>
      <c r="L598" s="21">
        <v>55</v>
      </c>
      <c r="M598" s="21">
        <v>66.25</v>
      </c>
      <c r="N598" s="21">
        <f>J598*Supuestos!$B$7+K598*Supuestos!$B$8+L598*Supuestos!$B$9+M598*Supuestos!$B$10</f>
        <v>54</v>
      </c>
      <c r="O598" s="34" t="str">
        <f t="shared" si="9"/>
        <v>C</v>
      </c>
      <c r="P598" s="10" t="s">
        <v>447</v>
      </c>
      <c r="Q598" s="10" t="s">
        <v>441</v>
      </c>
    </row>
    <row r="599" spans="1:17">
      <c r="A599" s="10" t="s">
        <v>111</v>
      </c>
      <c r="B599" s="10" t="s">
        <v>73</v>
      </c>
      <c r="C599" s="10" t="s">
        <v>418</v>
      </c>
      <c r="D599" s="10" t="s">
        <v>103</v>
      </c>
      <c r="E599" s="10" t="s">
        <v>173</v>
      </c>
      <c r="F599" s="11">
        <v>2250.4899999999998</v>
      </c>
      <c r="G599" s="11">
        <v>642203.68000000005</v>
      </c>
      <c r="H599" s="12">
        <v>3.5043291774975844E-3</v>
      </c>
      <c r="I599" s="10">
        <v>24</v>
      </c>
      <c r="J599" s="21">
        <v>100</v>
      </c>
      <c r="K599" s="21">
        <v>30</v>
      </c>
      <c r="L599" s="21">
        <v>25</v>
      </c>
      <c r="M599" s="21">
        <v>67.5</v>
      </c>
      <c r="N599" s="21">
        <f>J599*Supuestos!$B$7+K599*Supuestos!$B$8+L599*Supuestos!$B$9+M599*Supuestos!$B$10</f>
        <v>53.75</v>
      </c>
      <c r="O599" s="34" t="str">
        <f t="shared" si="9"/>
        <v>C</v>
      </c>
      <c r="P599" s="10" t="s">
        <v>447</v>
      </c>
      <c r="Q599" s="10" t="s">
        <v>471</v>
      </c>
    </row>
    <row r="600" spans="1:17">
      <c r="A600" s="10" t="s">
        <v>101</v>
      </c>
      <c r="B600" s="10" t="s">
        <v>60</v>
      </c>
      <c r="C600" s="10" t="s">
        <v>243</v>
      </c>
      <c r="D600" s="10" t="s">
        <v>103</v>
      </c>
      <c r="E600" s="10" t="s">
        <v>173</v>
      </c>
      <c r="F600" s="11">
        <v>2234.86</v>
      </c>
      <c r="G600" s="11">
        <v>114854.99</v>
      </c>
      <c r="H600" s="12">
        <v>1.9458078455792963E-2</v>
      </c>
      <c r="I600" s="10">
        <v>13</v>
      </c>
      <c r="J600" s="21">
        <v>100</v>
      </c>
      <c r="K600" s="21">
        <v>29.999999999999996</v>
      </c>
      <c r="L600" s="21">
        <v>25</v>
      </c>
      <c r="M600" s="21">
        <v>67.5</v>
      </c>
      <c r="N600" s="21">
        <f>J600*Supuestos!$B$7+K600*Supuestos!$B$8+L600*Supuestos!$B$9+M600*Supuestos!$B$10</f>
        <v>53.75</v>
      </c>
      <c r="O600" s="34" t="str">
        <f t="shared" si="9"/>
        <v>C</v>
      </c>
      <c r="P600" s="10" t="s">
        <v>447</v>
      </c>
      <c r="Q600" s="10" t="s">
        <v>471</v>
      </c>
    </row>
    <row r="601" spans="1:17">
      <c r="A601" s="10" t="s">
        <v>255</v>
      </c>
      <c r="B601" s="10" t="s">
        <v>60</v>
      </c>
      <c r="C601" s="10" t="s">
        <v>260</v>
      </c>
      <c r="D601" s="10" t="s">
        <v>103</v>
      </c>
      <c r="E601" s="10" t="s">
        <v>173</v>
      </c>
      <c r="F601" s="11">
        <v>231.72</v>
      </c>
      <c r="G601" s="11">
        <v>164350.82</v>
      </c>
      <c r="H601" s="12">
        <v>1.4099140501525754E-3</v>
      </c>
      <c r="I601" s="10">
        <v>12</v>
      </c>
      <c r="J601" s="21">
        <v>100</v>
      </c>
      <c r="K601" s="21">
        <v>30</v>
      </c>
      <c r="L601" s="21">
        <v>25</v>
      </c>
      <c r="M601" s="21">
        <v>67.5</v>
      </c>
      <c r="N601" s="21">
        <f>J601*Supuestos!$B$7+K601*Supuestos!$B$8+L601*Supuestos!$B$9+M601*Supuestos!$B$10</f>
        <v>53.75</v>
      </c>
      <c r="O601" s="34" t="str">
        <f t="shared" si="9"/>
        <v>C</v>
      </c>
      <c r="P601" s="10" t="s">
        <v>447</v>
      </c>
      <c r="Q601" s="10" t="s">
        <v>471</v>
      </c>
    </row>
    <row r="602" spans="1:17">
      <c r="A602" s="10" t="s">
        <v>119</v>
      </c>
      <c r="B602" s="10" t="s">
        <v>396</v>
      </c>
      <c r="C602" s="10" t="s">
        <v>397</v>
      </c>
      <c r="D602" s="10" t="s">
        <v>113</v>
      </c>
      <c r="E602" s="10" t="s">
        <v>535</v>
      </c>
      <c r="F602" s="11">
        <v>2061.12</v>
      </c>
      <c r="G602" s="11">
        <v>186817.82</v>
      </c>
      <c r="H602" s="12">
        <v>1.1032775684536781E-2</v>
      </c>
      <c r="I602" s="10">
        <v>9</v>
      </c>
      <c r="J602" s="21">
        <v>75</v>
      </c>
      <c r="K602" s="21">
        <v>65</v>
      </c>
      <c r="L602" s="21">
        <v>25</v>
      </c>
      <c r="M602" s="21">
        <v>46.206422211431395</v>
      </c>
      <c r="N602" s="21">
        <f>J602*Supuestos!$B$7+K602*Supuestos!$B$8+L602*Supuestos!$B$9+M602*Supuestos!$B$10</f>
        <v>53.741284442286279</v>
      </c>
      <c r="O602" s="34" t="str">
        <f t="shared" si="9"/>
        <v>C</v>
      </c>
      <c r="P602" s="10" t="s">
        <v>447</v>
      </c>
      <c r="Q602" s="10" t="s">
        <v>441</v>
      </c>
    </row>
    <row r="603" spans="1:17">
      <c r="A603" s="10" t="s">
        <v>111</v>
      </c>
      <c r="B603" s="10" t="s">
        <v>60</v>
      </c>
      <c r="C603" s="10" t="s">
        <v>208</v>
      </c>
      <c r="D603" s="10" t="s">
        <v>103</v>
      </c>
      <c r="E603" s="10" t="s">
        <v>477</v>
      </c>
      <c r="F603" s="11">
        <v>1582.64</v>
      </c>
      <c r="G603" s="11">
        <v>201558.18</v>
      </c>
      <c r="H603" s="12">
        <v>7.8520348069535881E-3</v>
      </c>
      <c r="I603" s="10">
        <v>11</v>
      </c>
      <c r="J603" s="21">
        <v>100</v>
      </c>
      <c r="K603" s="21">
        <v>30.000000000000004</v>
      </c>
      <c r="L603" s="21">
        <v>25</v>
      </c>
      <c r="M603" s="21">
        <v>64.611619732455594</v>
      </c>
      <c r="N603" s="21">
        <f>J603*Supuestos!$B$7+K603*Supuestos!$B$8+L603*Supuestos!$B$9+M603*Supuestos!$B$10</f>
        <v>53.172323946491119</v>
      </c>
      <c r="O603" s="34" t="str">
        <f t="shared" si="9"/>
        <v>C</v>
      </c>
      <c r="P603" s="10" t="s">
        <v>447</v>
      </c>
      <c r="Q603" s="10" t="s">
        <v>471</v>
      </c>
    </row>
    <row r="604" spans="1:17">
      <c r="A604" s="10" t="s">
        <v>111</v>
      </c>
      <c r="B604" s="10" t="s">
        <v>60</v>
      </c>
      <c r="C604" s="10" t="s">
        <v>339</v>
      </c>
      <c r="D604" s="10" t="s">
        <v>103</v>
      </c>
      <c r="E604" s="10" t="s">
        <v>477</v>
      </c>
      <c r="F604" s="11">
        <v>563.72</v>
      </c>
      <c r="G604" s="11">
        <v>114879.92</v>
      </c>
      <c r="H604" s="12">
        <v>4.9070172961513062E-3</v>
      </c>
      <c r="I604" s="10">
        <v>14</v>
      </c>
      <c r="J604" s="21">
        <v>100</v>
      </c>
      <c r="K604" s="21">
        <v>30</v>
      </c>
      <c r="L604" s="21">
        <v>25</v>
      </c>
      <c r="M604" s="21">
        <v>64.611619732455594</v>
      </c>
      <c r="N604" s="21">
        <f>J604*Supuestos!$B$7+K604*Supuestos!$B$8+L604*Supuestos!$B$9+M604*Supuestos!$B$10</f>
        <v>53.172323946491119</v>
      </c>
      <c r="O604" s="34" t="str">
        <f t="shared" si="9"/>
        <v>C</v>
      </c>
      <c r="P604" s="10" t="s">
        <v>447</v>
      </c>
      <c r="Q604" s="10" t="s">
        <v>471</v>
      </c>
    </row>
    <row r="605" spans="1:17">
      <c r="A605" s="10" t="s">
        <v>255</v>
      </c>
      <c r="B605" s="10" t="s">
        <v>60</v>
      </c>
      <c r="C605" s="10" t="s">
        <v>260</v>
      </c>
      <c r="D605" s="10" t="s">
        <v>103</v>
      </c>
      <c r="E605" s="10" t="s">
        <v>477</v>
      </c>
      <c r="F605" s="11">
        <v>490.33</v>
      </c>
      <c r="G605" s="11">
        <v>164350.82</v>
      </c>
      <c r="H605" s="12">
        <v>2.9834618497155711E-3</v>
      </c>
      <c r="I605" s="10">
        <v>11</v>
      </c>
      <c r="J605" s="21">
        <v>100</v>
      </c>
      <c r="K605" s="21">
        <v>30</v>
      </c>
      <c r="L605" s="21">
        <v>25</v>
      </c>
      <c r="M605" s="21">
        <v>64.611619732455594</v>
      </c>
      <c r="N605" s="21">
        <f>J605*Supuestos!$B$7+K605*Supuestos!$B$8+L605*Supuestos!$B$9+M605*Supuestos!$B$10</f>
        <v>53.172323946491119</v>
      </c>
      <c r="O605" s="34" t="str">
        <f t="shared" si="9"/>
        <v>C</v>
      </c>
      <c r="P605" s="10" t="s">
        <v>447</v>
      </c>
      <c r="Q605" s="10" t="s">
        <v>471</v>
      </c>
    </row>
    <row r="606" spans="1:17">
      <c r="A606" s="10" t="s">
        <v>215</v>
      </c>
      <c r="B606" s="10" t="s">
        <v>60</v>
      </c>
      <c r="C606" s="10" t="s">
        <v>332</v>
      </c>
      <c r="D606" s="10" t="s">
        <v>103</v>
      </c>
      <c r="E606" s="10" t="s">
        <v>477</v>
      </c>
      <c r="F606" s="11">
        <v>333.56</v>
      </c>
      <c r="G606" s="11">
        <v>251755.6</v>
      </c>
      <c r="H606" s="12">
        <v>1.3249390168604985E-3</v>
      </c>
      <c r="I606" s="10">
        <v>17</v>
      </c>
      <c r="J606" s="21">
        <v>100</v>
      </c>
      <c r="K606" s="21">
        <v>29.999999999999996</v>
      </c>
      <c r="L606" s="21">
        <v>25</v>
      </c>
      <c r="M606" s="21">
        <v>64.611619732455594</v>
      </c>
      <c r="N606" s="21">
        <f>J606*Supuestos!$B$7+K606*Supuestos!$B$8+L606*Supuestos!$B$9+M606*Supuestos!$B$10</f>
        <v>53.172323946491119</v>
      </c>
      <c r="O606" s="34" t="str">
        <f t="shared" si="9"/>
        <v>C</v>
      </c>
      <c r="P606" s="10" t="s">
        <v>447</v>
      </c>
      <c r="Q606" s="10" t="s">
        <v>471</v>
      </c>
    </row>
    <row r="607" spans="1:17">
      <c r="A607" s="10" t="s">
        <v>255</v>
      </c>
      <c r="B607" s="10" t="s">
        <v>60</v>
      </c>
      <c r="C607" s="10" t="s">
        <v>256</v>
      </c>
      <c r="D607" s="10" t="s">
        <v>103</v>
      </c>
      <c r="E607" s="10" t="s">
        <v>477</v>
      </c>
      <c r="F607" s="11">
        <v>310.63</v>
      </c>
      <c r="G607" s="11">
        <v>351341.95</v>
      </c>
      <c r="H607" s="12">
        <v>8.8412018752412824E-4</v>
      </c>
      <c r="I607" s="10">
        <v>29</v>
      </c>
      <c r="J607" s="21">
        <v>100</v>
      </c>
      <c r="K607" s="21">
        <v>30</v>
      </c>
      <c r="L607" s="21">
        <v>25</v>
      </c>
      <c r="M607" s="21">
        <v>64.611619732455594</v>
      </c>
      <c r="N607" s="21">
        <f>J607*Supuestos!$B$7+K607*Supuestos!$B$8+L607*Supuestos!$B$9+M607*Supuestos!$B$10</f>
        <v>53.172323946491119</v>
      </c>
      <c r="O607" s="34" t="str">
        <f t="shared" si="9"/>
        <v>C</v>
      </c>
      <c r="P607" s="10" t="s">
        <v>447</v>
      </c>
      <c r="Q607" s="10" t="s">
        <v>471</v>
      </c>
    </row>
    <row r="608" spans="1:17">
      <c r="A608" s="10" t="s">
        <v>275</v>
      </c>
      <c r="B608" s="10" t="s">
        <v>406</v>
      </c>
      <c r="C608" s="10" t="s">
        <v>407</v>
      </c>
      <c r="D608" s="10" t="s">
        <v>127</v>
      </c>
      <c r="E608" s="10" t="s">
        <v>538</v>
      </c>
      <c r="F608" s="11">
        <v>19754.169999999998</v>
      </c>
      <c r="G608" s="11">
        <v>324829.33</v>
      </c>
      <c r="H608" s="12">
        <v>6.0814006968755684E-2</v>
      </c>
      <c r="I608" s="10">
        <v>5</v>
      </c>
      <c r="J608" s="21">
        <v>85</v>
      </c>
      <c r="K608" s="21">
        <v>30</v>
      </c>
      <c r="L608" s="21">
        <v>55</v>
      </c>
      <c r="M608" s="21">
        <v>45</v>
      </c>
      <c r="N608" s="21">
        <f>J608*Supuestos!$B$7+K608*Supuestos!$B$8+L608*Supuestos!$B$9+M608*Supuestos!$B$10</f>
        <v>53</v>
      </c>
      <c r="O608" s="34" t="str">
        <f t="shared" si="9"/>
        <v>C</v>
      </c>
      <c r="P608" s="10" t="s">
        <v>447</v>
      </c>
      <c r="Q608" s="10" t="s">
        <v>471</v>
      </c>
    </row>
    <row r="609" spans="1:17">
      <c r="A609" s="10" t="s">
        <v>101</v>
      </c>
      <c r="B609" s="10" t="s">
        <v>60</v>
      </c>
      <c r="C609" s="10" t="s">
        <v>295</v>
      </c>
      <c r="D609" s="10" t="s">
        <v>149</v>
      </c>
      <c r="E609" s="10" t="s">
        <v>466</v>
      </c>
      <c r="F609" s="11">
        <v>101.32</v>
      </c>
      <c r="G609" s="11">
        <v>3541.37</v>
      </c>
      <c r="H609" s="12">
        <v>2.8610113616294806E-2</v>
      </c>
      <c r="I609" s="10">
        <v>10</v>
      </c>
      <c r="J609" s="21">
        <v>30</v>
      </c>
      <c r="K609" s="21">
        <v>75</v>
      </c>
      <c r="L609" s="21">
        <v>25</v>
      </c>
      <c r="M609" s="21">
        <v>83.75</v>
      </c>
      <c r="N609" s="21">
        <f>J609*Supuestos!$B$7+K609*Supuestos!$B$8+L609*Supuestos!$B$9+M609*Supuestos!$B$10</f>
        <v>53</v>
      </c>
      <c r="O609" s="34" t="str">
        <f t="shared" si="9"/>
        <v>C</v>
      </c>
      <c r="P609" s="10" t="s">
        <v>447</v>
      </c>
      <c r="Q609" s="10" t="s">
        <v>436</v>
      </c>
    </row>
    <row r="610" spans="1:17">
      <c r="A610" s="10" t="s">
        <v>275</v>
      </c>
      <c r="B610" s="10" t="s">
        <v>71</v>
      </c>
      <c r="C610" s="10" t="s">
        <v>316</v>
      </c>
      <c r="D610" s="10" t="s">
        <v>103</v>
      </c>
      <c r="E610" s="10" t="s">
        <v>533</v>
      </c>
      <c r="F610" s="11">
        <v>31239.69</v>
      </c>
      <c r="G610" s="11">
        <v>1083764</v>
      </c>
      <c r="H610" s="12">
        <v>2.8825177805617372E-2</v>
      </c>
      <c r="I610" s="10">
        <v>8</v>
      </c>
      <c r="J610" s="21">
        <v>100</v>
      </c>
      <c r="K610" s="21">
        <v>30</v>
      </c>
      <c r="L610" s="21">
        <v>25</v>
      </c>
      <c r="M610" s="21">
        <v>62.5</v>
      </c>
      <c r="N610" s="21">
        <f>J610*Supuestos!$B$7+K610*Supuestos!$B$8+L610*Supuestos!$B$9+M610*Supuestos!$B$10</f>
        <v>52.75</v>
      </c>
      <c r="O610" s="34" t="str">
        <f t="shared" si="9"/>
        <v>C</v>
      </c>
      <c r="P610" s="10" t="s">
        <v>447</v>
      </c>
      <c r="Q610" s="10" t="s">
        <v>471</v>
      </c>
    </row>
    <row r="611" spans="1:17">
      <c r="A611" s="10" t="s">
        <v>215</v>
      </c>
      <c r="B611" s="10" t="s">
        <v>60</v>
      </c>
      <c r="C611" s="10" t="s">
        <v>216</v>
      </c>
      <c r="D611" s="10" t="s">
        <v>103</v>
      </c>
      <c r="E611" s="10" t="s">
        <v>499</v>
      </c>
      <c r="F611" s="11">
        <v>22771.16</v>
      </c>
      <c r="G611" s="11">
        <v>656576.77</v>
      </c>
      <c r="H611" s="12">
        <v>3.4681637904239775E-2</v>
      </c>
      <c r="I611" s="10">
        <v>9</v>
      </c>
      <c r="J611" s="21">
        <v>100</v>
      </c>
      <c r="K611" s="21">
        <v>29.999999999999996</v>
      </c>
      <c r="L611" s="21">
        <v>25</v>
      </c>
      <c r="M611" s="21">
        <v>62.5</v>
      </c>
      <c r="N611" s="21">
        <f>J611*Supuestos!$B$7+K611*Supuestos!$B$8+L611*Supuestos!$B$9+M611*Supuestos!$B$10</f>
        <v>52.75</v>
      </c>
      <c r="O611" s="34" t="str">
        <f t="shared" si="9"/>
        <v>C</v>
      </c>
      <c r="P611" s="10" t="s">
        <v>447</v>
      </c>
      <c r="Q611" s="10" t="s">
        <v>471</v>
      </c>
    </row>
    <row r="612" spans="1:17">
      <c r="A612" s="10" t="s">
        <v>275</v>
      </c>
      <c r="B612" s="10" t="s">
        <v>71</v>
      </c>
      <c r="C612" s="10" t="s">
        <v>316</v>
      </c>
      <c r="D612" s="10" t="s">
        <v>103</v>
      </c>
      <c r="E612" s="10" t="s">
        <v>499</v>
      </c>
      <c r="F612" s="11">
        <v>21433.35</v>
      </c>
      <c r="G612" s="11">
        <v>1083764</v>
      </c>
      <c r="H612" s="12">
        <v>1.9776767068881481E-2</v>
      </c>
      <c r="I612" s="10">
        <v>10</v>
      </c>
      <c r="J612" s="21">
        <v>100</v>
      </c>
      <c r="K612" s="21">
        <v>30.000000000000007</v>
      </c>
      <c r="L612" s="21">
        <v>25</v>
      </c>
      <c r="M612" s="21">
        <v>62.5</v>
      </c>
      <c r="N612" s="21">
        <f>J612*Supuestos!$B$7+K612*Supuestos!$B$8+L612*Supuestos!$B$9+M612*Supuestos!$B$10</f>
        <v>52.75</v>
      </c>
      <c r="O612" s="34" t="str">
        <f t="shared" si="9"/>
        <v>C</v>
      </c>
      <c r="P612" s="10" t="s">
        <v>447</v>
      </c>
      <c r="Q612" s="10" t="s">
        <v>471</v>
      </c>
    </row>
    <row r="613" spans="1:17">
      <c r="A613" s="10" t="s">
        <v>255</v>
      </c>
      <c r="B613" s="10" t="s">
        <v>60</v>
      </c>
      <c r="C613" s="10" t="s">
        <v>256</v>
      </c>
      <c r="D613" s="10" t="s">
        <v>103</v>
      </c>
      <c r="E613" s="10" t="s">
        <v>499</v>
      </c>
      <c r="F613" s="11">
        <v>8910.8700000000008</v>
      </c>
      <c r="G613" s="11">
        <v>351341.95</v>
      </c>
      <c r="H613" s="12">
        <v>2.5362381996875041E-2</v>
      </c>
      <c r="I613" s="10">
        <v>13</v>
      </c>
      <c r="J613" s="21">
        <v>100</v>
      </c>
      <c r="K613" s="21">
        <v>30.000000000000004</v>
      </c>
      <c r="L613" s="21">
        <v>25</v>
      </c>
      <c r="M613" s="21">
        <v>62.5</v>
      </c>
      <c r="N613" s="21">
        <f>J613*Supuestos!$B$7+K613*Supuestos!$B$8+L613*Supuestos!$B$9+M613*Supuestos!$B$10</f>
        <v>52.75</v>
      </c>
      <c r="O613" s="34" t="str">
        <f t="shared" si="9"/>
        <v>C</v>
      </c>
      <c r="P613" s="10" t="s">
        <v>447</v>
      </c>
      <c r="Q613" s="10" t="s">
        <v>471</v>
      </c>
    </row>
    <row r="614" spans="1:17">
      <c r="A614" s="10" t="s">
        <v>255</v>
      </c>
      <c r="B614" s="10" t="s">
        <v>60</v>
      </c>
      <c r="C614" s="10" t="s">
        <v>350</v>
      </c>
      <c r="D614" s="10" t="s">
        <v>103</v>
      </c>
      <c r="E614" s="10" t="s">
        <v>499</v>
      </c>
      <c r="F614" s="11">
        <v>8409.18</v>
      </c>
      <c r="G614" s="11">
        <v>313399.28999999998</v>
      </c>
      <c r="H614" s="12">
        <v>2.6832169417864638E-2</v>
      </c>
      <c r="I614" s="10">
        <v>7</v>
      </c>
      <c r="J614" s="21">
        <v>100</v>
      </c>
      <c r="K614" s="21">
        <v>29.999999999999993</v>
      </c>
      <c r="L614" s="21">
        <v>25</v>
      </c>
      <c r="M614" s="21">
        <v>62.5</v>
      </c>
      <c r="N614" s="21">
        <f>J614*Supuestos!$B$7+K614*Supuestos!$B$8+L614*Supuestos!$B$9+M614*Supuestos!$B$10</f>
        <v>52.75</v>
      </c>
      <c r="O614" s="34" t="str">
        <f t="shared" si="9"/>
        <v>C</v>
      </c>
      <c r="P614" s="10" t="s">
        <v>447</v>
      </c>
      <c r="Q614" s="10" t="s">
        <v>471</v>
      </c>
    </row>
    <row r="615" spans="1:17">
      <c r="A615" s="10" t="s">
        <v>111</v>
      </c>
      <c r="B615" s="10" t="s">
        <v>73</v>
      </c>
      <c r="C615" s="10" t="s">
        <v>418</v>
      </c>
      <c r="D615" s="10" t="s">
        <v>103</v>
      </c>
      <c r="E615" s="10" t="s">
        <v>500</v>
      </c>
      <c r="F615" s="11">
        <v>7734.44</v>
      </c>
      <c r="G615" s="11">
        <v>642203.68000000005</v>
      </c>
      <c r="H615" s="12">
        <v>1.20435954131691E-2</v>
      </c>
      <c r="I615" s="10">
        <v>15</v>
      </c>
      <c r="J615" s="21">
        <v>100</v>
      </c>
      <c r="K615" s="21">
        <v>30</v>
      </c>
      <c r="L615" s="21">
        <v>25</v>
      </c>
      <c r="M615" s="21">
        <v>62.5</v>
      </c>
      <c r="N615" s="21">
        <f>J615*Supuestos!$B$7+K615*Supuestos!$B$8+L615*Supuestos!$B$9+M615*Supuestos!$B$10</f>
        <v>52.75</v>
      </c>
      <c r="O615" s="34" t="str">
        <f t="shared" si="9"/>
        <v>C</v>
      </c>
      <c r="P615" s="10" t="s">
        <v>447</v>
      </c>
      <c r="Q615" s="10" t="s">
        <v>471</v>
      </c>
    </row>
    <row r="616" spans="1:17">
      <c r="A616" s="10" t="s">
        <v>111</v>
      </c>
      <c r="B616" s="10" t="s">
        <v>60</v>
      </c>
      <c r="C616" s="10" t="s">
        <v>208</v>
      </c>
      <c r="D616" s="10" t="s">
        <v>103</v>
      </c>
      <c r="E616" s="10" t="s">
        <v>500</v>
      </c>
      <c r="F616" s="11">
        <v>7284.97</v>
      </c>
      <c r="G616" s="11">
        <v>201558.18</v>
      </c>
      <c r="H616" s="12">
        <v>3.6143252887332708E-2</v>
      </c>
      <c r="I616" s="10">
        <v>7</v>
      </c>
      <c r="J616" s="21">
        <v>100</v>
      </c>
      <c r="K616" s="21">
        <v>30</v>
      </c>
      <c r="L616" s="21">
        <v>25</v>
      </c>
      <c r="M616" s="21">
        <v>62.5</v>
      </c>
      <c r="N616" s="21">
        <f>J616*Supuestos!$B$7+K616*Supuestos!$B$8+L616*Supuestos!$B$9+M616*Supuestos!$B$10</f>
        <v>52.75</v>
      </c>
      <c r="O616" s="34" t="str">
        <f t="shared" si="9"/>
        <v>C</v>
      </c>
      <c r="P616" s="10" t="s">
        <v>447</v>
      </c>
      <c r="Q616" s="10" t="s">
        <v>471</v>
      </c>
    </row>
    <row r="617" spans="1:17">
      <c r="A617" s="10" t="s">
        <v>119</v>
      </c>
      <c r="B617" s="10" t="s">
        <v>360</v>
      </c>
      <c r="C617" s="10" t="s">
        <v>361</v>
      </c>
      <c r="D617" s="10" t="s">
        <v>103</v>
      </c>
      <c r="E617" s="10" t="s">
        <v>533</v>
      </c>
      <c r="F617" s="11">
        <v>6676.43</v>
      </c>
      <c r="G617" s="11">
        <v>360957.46</v>
      </c>
      <c r="H617" s="12">
        <v>1.8496440246404424E-2</v>
      </c>
      <c r="I617" s="10">
        <v>14</v>
      </c>
      <c r="J617" s="21">
        <v>100</v>
      </c>
      <c r="K617" s="21">
        <v>30</v>
      </c>
      <c r="L617" s="21">
        <v>25</v>
      </c>
      <c r="M617" s="21">
        <v>62.5</v>
      </c>
      <c r="N617" s="21">
        <f>J617*Supuestos!$B$7+K617*Supuestos!$B$8+L617*Supuestos!$B$9+M617*Supuestos!$B$10</f>
        <v>52.75</v>
      </c>
      <c r="O617" s="34" t="str">
        <f t="shared" si="9"/>
        <v>C</v>
      </c>
      <c r="P617" s="10" t="s">
        <v>447</v>
      </c>
      <c r="Q617" s="10" t="s">
        <v>471</v>
      </c>
    </row>
    <row r="618" spans="1:17">
      <c r="A618" s="10" t="s">
        <v>119</v>
      </c>
      <c r="B618" s="10" t="s">
        <v>360</v>
      </c>
      <c r="C618" s="10" t="s">
        <v>361</v>
      </c>
      <c r="D618" s="10" t="s">
        <v>103</v>
      </c>
      <c r="E618" s="10" t="s">
        <v>499</v>
      </c>
      <c r="F618" s="11">
        <v>6654.04</v>
      </c>
      <c r="G618" s="11">
        <v>360957.46</v>
      </c>
      <c r="H618" s="12">
        <v>1.8434410029934047E-2</v>
      </c>
      <c r="I618" s="10">
        <v>15</v>
      </c>
      <c r="J618" s="21">
        <v>100</v>
      </c>
      <c r="K618" s="21">
        <v>30</v>
      </c>
      <c r="L618" s="21">
        <v>25</v>
      </c>
      <c r="M618" s="21">
        <v>62.5</v>
      </c>
      <c r="N618" s="21">
        <f>J618*Supuestos!$B$7+K618*Supuestos!$B$8+L618*Supuestos!$B$9+M618*Supuestos!$B$10</f>
        <v>52.75</v>
      </c>
      <c r="O618" s="34" t="str">
        <f t="shared" si="9"/>
        <v>C</v>
      </c>
      <c r="P618" s="10" t="s">
        <v>447</v>
      </c>
      <c r="Q618" s="10" t="s">
        <v>471</v>
      </c>
    </row>
    <row r="619" spans="1:17">
      <c r="A619" s="10" t="s">
        <v>165</v>
      </c>
      <c r="B619" s="10" t="s">
        <v>60</v>
      </c>
      <c r="C619" s="10" t="s">
        <v>166</v>
      </c>
      <c r="D619" s="10" t="s">
        <v>103</v>
      </c>
      <c r="E619" s="10" t="s">
        <v>500</v>
      </c>
      <c r="F619" s="11">
        <v>6017.85</v>
      </c>
      <c r="G619" s="11">
        <v>929838.13</v>
      </c>
      <c r="H619" s="12">
        <v>6.4719372260856984E-3</v>
      </c>
      <c r="I619" s="10">
        <v>17</v>
      </c>
      <c r="J619" s="21">
        <v>100</v>
      </c>
      <c r="K619" s="21">
        <v>30.000000000000007</v>
      </c>
      <c r="L619" s="21">
        <v>25</v>
      </c>
      <c r="M619" s="21">
        <v>62.5</v>
      </c>
      <c r="N619" s="21">
        <f>J619*Supuestos!$B$7+K619*Supuestos!$B$8+L619*Supuestos!$B$9+M619*Supuestos!$B$10</f>
        <v>52.75</v>
      </c>
      <c r="O619" s="34" t="str">
        <f t="shared" si="9"/>
        <v>C</v>
      </c>
      <c r="P619" s="10" t="s">
        <v>447</v>
      </c>
      <c r="Q619" s="10" t="s">
        <v>471</v>
      </c>
    </row>
    <row r="620" spans="1:17">
      <c r="A620" s="10" t="s">
        <v>111</v>
      </c>
      <c r="B620" s="10" t="s">
        <v>69</v>
      </c>
      <c r="C620" s="10" t="s">
        <v>309</v>
      </c>
      <c r="D620" s="10" t="s">
        <v>103</v>
      </c>
      <c r="E620" s="10" t="s">
        <v>499</v>
      </c>
      <c r="F620" s="11">
        <v>5876.11</v>
      </c>
      <c r="G620" s="11">
        <v>712220.68</v>
      </c>
      <c r="H620" s="12">
        <v>8.2504084603792043E-3</v>
      </c>
      <c r="I620" s="10">
        <v>19</v>
      </c>
      <c r="J620" s="21">
        <v>100</v>
      </c>
      <c r="K620" s="21">
        <v>29.999999999999996</v>
      </c>
      <c r="L620" s="21">
        <v>25</v>
      </c>
      <c r="M620" s="21">
        <v>62.5</v>
      </c>
      <c r="N620" s="21">
        <f>J620*Supuestos!$B$7+K620*Supuestos!$B$8+L620*Supuestos!$B$9+M620*Supuestos!$B$10</f>
        <v>52.75</v>
      </c>
      <c r="O620" s="34" t="str">
        <f t="shared" si="9"/>
        <v>C</v>
      </c>
      <c r="P620" s="10" t="s">
        <v>447</v>
      </c>
      <c r="Q620" s="10" t="s">
        <v>471</v>
      </c>
    </row>
    <row r="621" spans="1:17">
      <c r="A621" s="10" t="s">
        <v>215</v>
      </c>
      <c r="B621" s="10" t="s">
        <v>60</v>
      </c>
      <c r="C621" s="10" t="s">
        <v>332</v>
      </c>
      <c r="D621" s="10" t="s">
        <v>103</v>
      </c>
      <c r="E621" s="10" t="s">
        <v>500</v>
      </c>
      <c r="F621" s="11">
        <v>4207.87</v>
      </c>
      <c r="G621" s="11">
        <v>251755.6</v>
      </c>
      <c r="H621" s="12">
        <v>1.671410569769519E-2</v>
      </c>
      <c r="I621" s="10">
        <v>10</v>
      </c>
      <c r="J621" s="21">
        <v>100</v>
      </c>
      <c r="K621" s="21">
        <v>29.999999999999993</v>
      </c>
      <c r="L621" s="21">
        <v>25</v>
      </c>
      <c r="M621" s="21">
        <v>62.5</v>
      </c>
      <c r="N621" s="21">
        <f>J621*Supuestos!$B$7+K621*Supuestos!$B$8+L621*Supuestos!$B$9+M621*Supuestos!$B$10</f>
        <v>52.75</v>
      </c>
      <c r="O621" s="34" t="str">
        <f t="shared" si="9"/>
        <v>C</v>
      </c>
      <c r="P621" s="10" t="s">
        <v>447</v>
      </c>
      <c r="Q621" s="10" t="s">
        <v>471</v>
      </c>
    </row>
    <row r="622" spans="1:17">
      <c r="A622" s="10" t="s">
        <v>255</v>
      </c>
      <c r="B622" s="10" t="s">
        <v>60</v>
      </c>
      <c r="C622" s="10" t="s">
        <v>256</v>
      </c>
      <c r="D622" s="10" t="s">
        <v>103</v>
      </c>
      <c r="E622" s="10" t="s">
        <v>500</v>
      </c>
      <c r="F622" s="11">
        <v>3716.91</v>
      </c>
      <c r="G622" s="11">
        <v>351341.95</v>
      </c>
      <c r="H622" s="12">
        <v>1.0579180418367572E-2</v>
      </c>
      <c r="I622" s="10">
        <v>18</v>
      </c>
      <c r="J622" s="21">
        <v>100</v>
      </c>
      <c r="K622" s="21">
        <v>30</v>
      </c>
      <c r="L622" s="21">
        <v>25</v>
      </c>
      <c r="M622" s="21">
        <v>62.5</v>
      </c>
      <c r="N622" s="21">
        <f>J622*Supuestos!$B$7+K622*Supuestos!$B$8+L622*Supuestos!$B$9+M622*Supuestos!$B$10</f>
        <v>52.75</v>
      </c>
      <c r="O622" s="34" t="str">
        <f t="shared" si="9"/>
        <v>C</v>
      </c>
      <c r="P622" s="10" t="s">
        <v>447</v>
      </c>
      <c r="Q622" s="10" t="s">
        <v>471</v>
      </c>
    </row>
    <row r="623" spans="1:17">
      <c r="A623" s="10" t="s">
        <v>165</v>
      </c>
      <c r="B623" s="10" t="s">
        <v>60</v>
      </c>
      <c r="C623" s="10" t="s">
        <v>166</v>
      </c>
      <c r="D623" s="10" t="s">
        <v>103</v>
      </c>
      <c r="E623" s="10" t="s">
        <v>499</v>
      </c>
      <c r="F623" s="11">
        <v>3221.26</v>
      </c>
      <c r="G623" s="11">
        <v>929838.13</v>
      </c>
      <c r="H623" s="12">
        <v>3.4643226650337144E-3</v>
      </c>
      <c r="I623" s="10">
        <v>21</v>
      </c>
      <c r="J623" s="21">
        <v>100</v>
      </c>
      <c r="K623" s="21">
        <v>30</v>
      </c>
      <c r="L623" s="21">
        <v>25</v>
      </c>
      <c r="M623" s="21">
        <v>62.5</v>
      </c>
      <c r="N623" s="21">
        <f>J623*Supuestos!$B$7+K623*Supuestos!$B$8+L623*Supuestos!$B$9+M623*Supuestos!$B$10</f>
        <v>52.75</v>
      </c>
      <c r="O623" s="34" t="str">
        <f t="shared" si="9"/>
        <v>C</v>
      </c>
      <c r="P623" s="10" t="s">
        <v>447</v>
      </c>
      <c r="Q623" s="10" t="s">
        <v>471</v>
      </c>
    </row>
    <row r="624" spans="1:17">
      <c r="A624" s="10" t="s">
        <v>215</v>
      </c>
      <c r="B624" s="10" t="s">
        <v>60</v>
      </c>
      <c r="C624" s="10" t="s">
        <v>410</v>
      </c>
      <c r="D624" s="10" t="s">
        <v>103</v>
      </c>
      <c r="E624" s="10" t="s">
        <v>499</v>
      </c>
      <c r="F624" s="11">
        <v>3114.1</v>
      </c>
      <c r="G624" s="11">
        <v>273779.84999999998</v>
      </c>
      <c r="H624" s="12">
        <v>1.1374478113681528E-2</v>
      </c>
      <c r="I624" s="10">
        <v>15</v>
      </c>
      <c r="J624" s="21">
        <v>100</v>
      </c>
      <c r="K624" s="21">
        <v>30</v>
      </c>
      <c r="L624" s="21">
        <v>25</v>
      </c>
      <c r="M624" s="21">
        <v>62.5</v>
      </c>
      <c r="N624" s="21">
        <f>J624*Supuestos!$B$7+K624*Supuestos!$B$8+L624*Supuestos!$B$9+M624*Supuestos!$B$10</f>
        <v>52.75</v>
      </c>
      <c r="O624" s="34" t="str">
        <f t="shared" si="9"/>
        <v>C</v>
      </c>
      <c r="P624" s="10" t="s">
        <v>447</v>
      </c>
      <c r="Q624" s="10" t="s">
        <v>471</v>
      </c>
    </row>
    <row r="625" spans="1:17">
      <c r="A625" s="10" t="s">
        <v>165</v>
      </c>
      <c r="B625" s="10" t="s">
        <v>60</v>
      </c>
      <c r="C625" s="10" t="s">
        <v>247</v>
      </c>
      <c r="D625" s="10" t="s">
        <v>103</v>
      </c>
      <c r="E625" s="10" t="s">
        <v>500</v>
      </c>
      <c r="F625" s="11">
        <v>2748.28</v>
      </c>
      <c r="G625" s="11">
        <v>125931.16</v>
      </c>
      <c r="H625" s="12">
        <v>2.1823674072430056E-2</v>
      </c>
      <c r="I625" s="10">
        <v>9</v>
      </c>
      <c r="J625" s="21">
        <v>100</v>
      </c>
      <c r="K625" s="21">
        <v>30</v>
      </c>
      <c r="L625" s="21">
        <v>25</v>
      </c>
      <c r="M625" s="21">
        <v>62.5</v>
      </c>
      <c r="N625" s="21">
        <f>J625*Supuestos!$B$7+K625*Supuestos!$B$8+L625*Supuestos!$B$9+M625*Supuestos!$B$10</f>
        <v>52.75</v>
      </c>
      <c r="O625" s="34" t="str">
        <f t="shared" si="9"/>
        <v>C</v>
      </c>
      <c r="P625" s="10" t="s">
        <v>447</v>
      </c>
      <c r="Q625" s="10" t="s">
        <v>471</v>
      </c>
    </row>
    <row r="626" spans="1:17">
      <c r="A626" s="10" t="s">
        <v>165</v>
      </c>
      <c r="B626" s="10" t="s">
        <v>60</v>
      </c>
      <c r="C626" s="10" t="s">
        <v>166</v>
      </c>
      <c r="D626" s="10" t="s">
        <v>103</v>
      </c>
      <c r="E626" s="10" t="s">
        <v>533</v>
      </c>
      <c r="F626" s="11">
        <v>2700.59</v>
      </c>
      <c r="G626" s="11">
        <v>929838.13</v>
      </c>
      <c r="H626" s="12">
        <v>2.9043675890914615E-3</v>
      </c>
      <c r="I626" s="10">
        <v>24</v>
      </c>
      <c r="J626" s="21">
        <v>100</v>
      </c>
      <c r="K626" s="21">
        <v>30</v>
      </c>
      <c r="L626" s="21">
        <v>25</v>
      </c>
      <c r="M626" s="21">
        <v>62.5</v>
      </c>
      <c r="N626" s="21">
        <f>J626*Supuestos!$B$7+K626*Supuestos!$B$8+L626*Supuestos!$B$9+M626*Supuestos!$B$10</f>
        <v>52.75</v>
      </c>
      <c r="O626" s="34" t="str">
        <f t="shared" si="9"/>
        <v>C</v>
      </c>
      <c r="P626" s="10" t="s">
        <v>447</v>
      </c>
      <c r="Q626" s="10" t="s">
        <v>471</v>
      </c>
    </row>
    <row r="627" spans="1:17">
      <c r="A627" s="10" t="s">
        <v>275</v>
      </c>
      <c r="B627" s="10" t="s">
        <v>67</v>
      </c>
      <c r="C627" s="10" t="s">
        <v>285</v>
      </c>
      <c r="D627" s="10" t="s">
        <v>103</v>
      </c>
      <c r="E627" s="10" t="s">
        <v>533</v>
      </c>
      <c r="F627" s="11">
        <v>2532.98</v>
      </c>
      <c r="G627" s="11">
        <v>564371.87</v>
      </c>
      <c r="H627" s="12">
        <v>4.4881355306112085E-3</v>
      </c>
      <c r="I627" s="10">
        <v>6</v>
      </c>
      <c r="J627" s="21">
        <v>100</v>
      </c>
      <c r="K627" s="21">
        <v>30.000000000000004</v>
      </c>
      <c r="L627" s="21">
        <v>25</v>
      </c>
      <c r="M627" s="21">
        <v>62.5</v>
      </c>
      <c r="N627" s="21">
        <f>J627*Supuestos!$B$7+K627*Supuestos!$B$8+L627*Supuestos!$B$9+M627*Supuestos!$B$10</f>
        <v>52.75</v>
      </c>
      <c r="O627" s="34" t="str">
        <f t="shared" si="9"/>
        <v>C</v>
      </c>
      <c r="P627" s="10" t="s">
        <v>447</v>
      </c>
      <c r="Q627" s="10" t="s">
        <v>471</v>
      </c>
    </row>
    <row r="628" spans="1:17">
      <c r="A628" s="10" t="s">
        <v>255</v>
      </c>
      <c r="B628" s="10" t="s">
        <v>60</v>
      </c>
      <c r="C628" s="10" t="s">
        <v>328</v>
      </c>
      <c r="D628" s="10" t="s">
        <v>103</v>
      </c>
      <c r="E628" s="10" t="s">
        <v>499</v>
      </c>
      <c r="F628" s="11">
        <v>1567.51</v>
      </c>
      <c r="G628" s="11">
        <v>132474.79999999999</v>
      </c>
      <c r="H628" s="12">
        <v>1.1832488077252757E-2</v>
      </c>
      <c r="I628" s="10">
        <v>13</v>
      </c>
      <c r="J628" s="21">
        <v>100</v>
      </c>
      <c r="K628" s="21">
        <v>29.999999999999996</v>
      </c>
      <c r="L628" s="21">
        <v>25</v>
      </c>
      <c r="M628" s="21">
        <v>62.5</v>
      </c>
      <c r="N628" s="21">
        <f>J628*Supuestos!$B$7+K628*Supuestos!$B$8+L628*Supuestos!$B$9+M628*Supuestos!$B$10</f>
        <v>52.75</v>
      </c>
      <c r="O628" s="34" t="str">
        <f t="shared" si="9"/>
        <v>C</v>
      </c>
      <c r="P628" s="10" t="s">
        <v>447</v>
      </c>
      <c r="Q628" s="10" t="s">
        <v>471</v>
      </c>
    </row>
    <row r="629" spans="1:17">
      <c r="A629" s="10" t="s">
        <v>165</v>
      </c>
      <c r="B629" s="10" t="s">
        <v>60</v>
      </c>
      <c r="C629" s="10" t="s">
        <v>302</v>
      </c>
      <c r="D629" s="10" t="s">
        <v>103</v>
      </c>
      <c r="E629" s="10" t="s">
        <v>533</v>
      </c>
      <c r="F629" s="11">
        <v>1276.5</v>
      </c>
      <c r="G629" s="11">
        <v>357771.85</v>
      </c>
      <c r="H629" s="12">
        <v>3.56790379200811E-3</v>
      </c>
      <c r="I629" s="10">
        <v>15</v>
      </c>
      <c r="J629" s="21">
        <v>100</v>
      </c>
      <c r="K629" s="21">
        <v>30.000000000000004</v>
      </c>
      <c r="L629" s="21">
        <v>25</v>
      </c>
      <c r="M629" s="21">
        <v>62.5</v>
      </c>
      <c r="N629" s="21">
        <f>J629*Supuestos!$B$7+K629*Supuestos!$B$8+L629*Supuestos!$B$9+M629*Supuestos!$B$10</f>
        <v>52.75</v>
      </c>
      <c r="O629" s="34" t="str">
        <f t="shared" si="9"/>
        <v>C</v>
      </c>
      <c r="P629" s="10" t="s">
        <v>447</v>
      </c>
      <c r="Q629" s="10" t="s">
        <v>471</v>
      </c>
    </row>
    <row r="630" spans="1:17">
      <c r="A630" s="10" t="s">
        <v>255</v>
      </c>
      <c r="B630" s="10" t="s">
        <v>60</v>
      </c>
      <c r="C630" s="10" t="s">
        <v>260</v>
      </c>
      <c r="D630" s="10" t="s">
        <v>103</v>
      </c>
      <c r="E630" s="10" t="s">
        <v>499</v>
      </c>
      <c r="F630" s="11">
        <v>971.91</v>
      </c>
      <c r="G630" s="11">
        <v>164350.82</v>
      </c>
      <c r="H630" s="12">
        <v>5.9136475949719347E-3</v>
      </c>
      <c r="I630" s="10">
        <v>8</v>
      </c>
      <c r="J630" s="21">
        <v>100</v>
      </c>
      <c r="K630" s="21">
        <v>30</v>
      </c>
      <c r="L630" s="21">
        <v>25</v>
      </c>
      <c r="M630" s="21">
        <v>62.5</v>
      </c>
      <c r="N630" s="21">
        <f>J630*Supuestos!$B$7+K630*Supuestos!$B$8+L630*Supuestos!$B$9+M630*Supuestos!$B$10</f>
        <v>52.75</v>
      </c>
      <c r="O630" s="34" t="str">
        <f t="shared" si="9"/>
        <v>C</v>
      </c>
      <c r="P630" s="10" t="s">
        <v>447</v>
      </c>
      <c r="Q630" s="10" t="s">
        <v>471</v>
      </c>
    </row>
    <row r="631" spans="1:17">
      <c r="A631" s="10" t="s">
        <v>101</v>
      </c>
      <c r="B631" s="10" t="s">
        <v>60</v>
      </c>
      <c r="C631" s="10" t="s">
        <v>342</v>
      </c>
      <c r="D631" s="10" t="s">
        <v>103</v>
      </c>
      <c r="E631" s="10" t="s">
        <v>499</v>
      </c>
      <c r="F631" s="11">
        <v>867.16</v>
      </c>
      <c r="G631" s="11">
        <v>95640.54</v>
      </c>
      <c r="H631" s="12">
        <v>9.066911674148765E-3</v>
      </c>
      <c r="I631" s="10">
        <v>11</v>
      </c>
      <c r="J631" s="21">
        <v>100</v>
      </c>
      <c r="K631" s="21">
        <v>30</v>
      </c>
      <c r="L631" s="21">
        <v>25</v>
      </c>
      <c r="M631" s="21">
        <v>62.5</v>
      </c>
      <c r="N631" s="21">
        <f>J631*Supuestos!$B$7+K631*Supuestos!$B$8+L631*Supuestos!$B$9+M631*Supuestos!$B$10</f>
        <v>52.75</v>
      </c>
      <c r="O631" s="34" t="str">
        <f t="shared" si="9"/>
        <v>C</v>
      </c>
      <c r="P631" s="10" t="s">
        <v>447</v>
      </c>
      <c r="Q631" s="10" t="s">
        <v>471</v>
      </c>
    </row>
    <row r="632" spans="1:17">
      <c r="A632" s="10" t="s">
        <v>255</v>
      </c>
      <c r="B632" s="10" t="s">
        <v>60</v>
      </c>
      <c r="C632" s="10" t="s">
        <v>328</v>
      </c>
      <c r="D632" s="10" t="s">
        <v>103</v>
      </c>
      <c r="E632" s="10" t="s">
        <v>500</v>
      </c>
      <c r="F632" s="11">
        <v>507.48</v>
      </c>
      <c r="G632" s="11">
        <v>132474.79999999999</v>
      </c>
      <c r="H632" s="12">
        <v>3.8307776539191272E-3</v>
      </c>
      <c r="I632" s="10">
        <v>18</v>
      </c>
      <c r="J632" s="21">
        <v>100</v>
      </c>
      <c r="K632" s="21">
        <v>30</v>
      </c>
      <c r="L632" s="21">
        <v>25</v>
      </c>
      <c r="M632" s="21">
        <v>62.5</v>
      </c>
      <c r="N632" s="21">
        <f>J632*Supuestos!$B$7+K632*Supuestos!$B$8+L632*Supuestos!$B$9+M632*Supuestos!$B$10</f>
        <v>52.75</v>
      </c>
      <c r="O632" s="34" t="str">
        <f t="shared" si="9"/>
        <v>C</v>
      </c>
      <c r="P632" s="10" t="s">
        <v>447</v>
      </c>
      <c r="Q632" s="10" t="s">
        <v>471</v>
      </c>
    </row>
    <row r="633" spans="1:17">
      <c r="A633" s="10" t="s">
        <v>255</v>
      </c>
      <c r="B633" s="10" t="s">
        <v>60</v>
      </c>
      <c r="C633" s="10" t="s">
        <v>392</v>
      </c>
      <c r="D633" s="10" t="s">
        <v>103</v>
      </c>
      <c r="E633" s="10" t="s">
        <v>500</v>
      </c>
      <c r="F633" s="11">
        <v>488.04</v>
      </c>
      <c r="G633" s="11">
        <v>180471.74</v>
      </c>
      <c r="H633" s="12">
        <v>2.7042524893275163E-3</v>
      </c>
      <c r="I633" s="10">
        <v>16</v>
      </c>
      <c r="J633" s="21">
        <v>100</v>
      </c>
      <c r="K633" s="21">
        <v>30</v>
      </c>
      <c r="L633" s="21">
        <v>25</v>
      </c>
      <c r="M633" s="21">
        <v>62.5</v>
      </c>
      <c r="N633" s="21">
        <f>J633*Supuestos!$B$7+K633*Supuestos!$B$8+L633*Supuestos!$B$9+M633*Supuestos!$B$10</f>
        <v>52.75</v>
      </c>
      <c r="O633" s="34" t="str">
        <f t="shared" si="9"/>
        <v>C</v>
      </c>
      <c r="P633" s="10" t="s">
        <v>447</v>
      </c>
      <c r="Q633" s="10" t="s">
        <v>471</v>
      </c>
    </row>
    <row r="634" spans="1:17">
      <c r="A634" s="10" t="s">
        <v>101</v>
      </c>
      <c r="B634" s="10" t="s">
        <v>60</v>
      </c>
      <c r="C634" s="10" t="s">
        <v>364</v>
      </c>
      <c r="D634" s="10" t="s">
        <v>149</v>
      </c>
      <c r="E634" s="10" t="s">
        <v>479</v>
      </c>
      <c r="F634" s="11">
        <v>426.85</v>
      </c>
      <c r="G634" s="11">
        <v>9858.02</v>
      </c>
      <c r="H634" s="12">
        <v>4.3300113669407073E-2</v>
      </c>
      <c r="I634" s="10">
        <v>6</v>
      </c>
      <c r="J634" s="21">
        <v>30</v>
      </c>
      <c r="K634" s="21">
        <v>90</v>
      </c>
      <c r="L634" s="21">
        <v>25</v>
      </c>
      <c r="M634" s="21">
        <v>59.999999999999986</v>
      </c>
      <c r="N634" s="21">
        <f>J634*Supuestos!$B$7+K634*Supuestos!$B$8+L634*Supuestos!$B$9+M634*Supuestos!$B$10</f>
        <v>52.75</v>
      </c>
      <c r="O634" s="34" t="str">
        <f t="shared" si="9"/>
        <v>C</v>
      </c>
      <c r="P634" s="10" t="s">
        <v>435</v>
      </c>
      <c r="Q634" s="10" t="s">
        <v>441</v>
      </c>
    </row>
    <row r="635" spans="1:17">
      <c r="A635" s="10" t="s">
        <v>255</v>
      </c>
      <c r="B635" s="10" t="s">
        <v>60</v>
      </c>
      <c r="C635" s="10" t="s">
        <v>328</v>
      </c>
      <c r="D635" s="10" t="s">
        <v>103</v>
      </c>
      <c r="E635" s="10" t="s">
        <v>533</v>
      </c>
      <c r="F635" s="11">
        <v>108.41</v>
      </c>
      <c r="G635" s="11">
        <v>132474.79999999999</v>
      </c>
      <c r="H635" s="12">
        <v>8.1832366438859853E-4</v>
      </c>
      <c r="I635" s="10">
        <v>20</v>
      </c>
      <c r="J635" s="21">
        <v>100</v>
      </c>
      <c r="K635" s="21">
        <v>30</v>
      </c>
      <c r="L635" s="21">
        <v>25</v>
      </c>
      <c r="M635" s="21">
        <v>62.5</v>
      </c>
      <c r="N635" s="21">
        <f>J635*Supuestos!$B$7+K635*Supuestos!$B$8+L635*Supuestos!$B$9+M635*Supuestos!$B$10</f>
        <v>52.75</v>
      </c>
      <c r="O635" s="34" t="str">
        <f t="shared" si="9"/>
        <v>C</v>
      </c>
      <c r="P635" s="10" t="s">
        <v>447</v>
      </c>
      <c r="Q635" s="10" t="s">
        <v>471</v>
      </c>
    </row>
    <row r="636" spans="1:17">
      <c r="A636" s="10" t="s">
        <v>255</v>
      </c>
      <c r="B636" s="10" t="s">
        <v>60</v>
      </c>
      <c r="C636" s="10" t="s">
        <v>256</v>
      </c>
      <c r="D636" s="10" t="s">
        <v>103</v>
      </c>
      <c r="E636" s="10" t="s">
        <v>470</v>
      </c>
      <c r="F636" s="11">
        <v>3799.67</v>
      </c>
      <c r="G636" s="11">
        <v>351341.95</v>
      </c>
      <c r="H636" s="12">
        <v>1.0814748011956216E-2</v>
      </c>
      <c r="I636" s="10">
        <v>17</v>
      </c>
      <c r="J636" s="21">
        <v>100</v>
      </c>
      <c r="K636" s="21">
        <v>29.999999999999996</v>
      </c>
      <c r="L636" s="21">
        <v>25</v>
      </c>
      <c r="M636" s="21">
        <v>59.990545989455306</v>
      </c>
      <c r="N636" s="21">
        <f>J636*Supuestos!$B$7+K636*Supuestos!$B$8+L636*Supuestos!$B$9+M636*Supuestos!$B$10</f>
        <v>52.248109197891061</v>
      </c>
      <c r="O636" s="34" t="str">
        <f t="shared" si="9"/>
        <v>C</v>
      </c>
      <c r="P636" s="10" t="s">
        <v>447</v>
      </c>
      <c r="Q636" s="10" t="s">
        <v>471</v>
      </c>
    </row>
    <row r="637" spans="1:17">
      <c r="A637" s="10" t="s">
        <v>119</v>
      </c>
      <c r="B637" s="10" t="s">
        <v>360</v>
      </c>
      <c r="C637" s="10" t="s">
        <v>361</v>
      </c>
      <c r="D637" s="10" t="s">
        <v>103</v>
      </c>
      <c r="E637" s="10" t="s">
        <v>470</v>
      </c>
      <c r="F637" s="11">
        <v>446.8</v>
      </c>
      <c r="G637" s="11">
        <v>360957.46</v>
      </c>
      <c r="H637" s="12">
        <v>1.2378320292301E-3</v>
      </c>
      <c r="I637" s="10">
        <v>21</v>
      </c>
      <c r="J637" s="21">
        <v>100</v>
      </c>
      <c r="K637" s="21">
        <v>30</v>
      </c>
      <c r="L637" s="21">
        <v>25</v>
      </c>
      <c r="M637" s="21">
        <v>59.990545989455306</v>
      </c>
      <c r="N637" s="21">
        <f>J637*Supuestos!$B$7+K637*Supuestos!$B$8+L637*Supuestos!$B$9+M637*Supuestos!$B$10</f>
        <v>52.248109197891061</v>
      </c>
      <c r="O637" s="34" t="str">
        <f t="shared" si="9"/>
        <v>C</v>
      </c>
      <c r="P637" s="10" t="s">
        <v>447</v>
      </c>
      <c r="Q637" s="10" t="s">
        <v>471</v>
      </c>
    </row>
    <row r="638" spans="1:17">
      <c r="A638" s="10" t="s">
        <v>111</v>
      </c>
      <c r="B638" s="10" t="s">
        <v>161</v>
      </c>
      <c r="C638" s="10" t="s">
        <v>414</v>
      </c>
      <c r="D638" s="10" t="s">
        <v>127</v>
      </c>
      <c r="E638" s="10" t="s">
        <v>526</v>
      </c>
      <c r="F638" s="11">
        <v>21166.560000000001</v>
      </c>
      <c r="G638" s="11">
        <v>300503.03000000003</v>
      </c>
      <c r="H638" s="12">
        <v>7.0437093808558365E-2</v>
      </c>
      <c r="I638" s="10">
        <v>4</v>
      </c>
      <c r="J638" s="21">
        <v>85</v>
      </c>
      <c r="K638" s="21">
        <v>30.000000000000004</v>
      </c>
      <c r="L638" s="21">
        <v>55</v>
      </c>
      <c r="M638" s="21">
        <v>40</v>
      </c>
      <c r="N638" s="21">
        <f>J638*Supuestos!$B$7+K638*Supuestos!$B$8+L638*Supuestos!$B$9+M638*Supuestos!$B$10</f>
        <v>52</v>
      </c>
      <c r="O638" s="34" t="str">
        <f t="shared" si="9"/>
        <v>C</v>
      </c>
      <c r="P638" s="10" t="s">
        <v>447</v>
      </c>
      <c r="Q638" s="10" t="s">
        <v>471</v>
      </c>
    </row>
    <row r="639" spans="1:17">
      <c r="A639" s="10" t="s">
        <v>101</v>
      </c>
      <c r="B639" s="10" t="s">
        <v>60</v>
      </c>
      <c r="C639" s="10" t="s">
        <v>336</v>
      </c>
      <c r="D639" s="10" t="s">
        <v>149</v>
      </c>
      <c r="E639" s="10" t="s">
        <v>469</v>
      </c>
      <c r="F639" s="11">
        <v>80.47</v>
      </c>
      <c r="G639" s="11">
        <v>2849.08</v>
      </c>
      <c r="H639" s="12">
        <v>2.8244763559864629E-2</v>
      </c>
      <c r="I639" s="10">
        <v>5</v>
      </c>
      <c r="J639" s="21">
        <v>30</v>
      </c>
      <c r="K639" s="21">
        <v>65</v>
      </c>
      <c r="L639" s="21">
        <v>25</v>
      </c>
      <c r="M639" s="21">
        <v>93.504836461954255</v>
      </c>
      <c r="N639" s="21">
        <f>J639*Supuestos!$B$7+K639*Supuestos!$B$8+L639*Supuestos!$B$9+M639*Supuestos!$B$10</f>
        <v>51.950967292390857</v>
      </c>
      <c r="O639" s="34" t="str">
        <f t="shared" si="9"/>
        <v>C</v>
      </c>
      <c r="P639" s="10" t="s">
        <v>447</v>
      </c>
      <c r="Q639" s="10" t="s">
        <v>441</v>
      </c>
    </row>
    <row r="640" spans="1:17">
      <c r="A640" s="10" t="s">
        <v>215</v>
      </c>
      <c r="B640" s="10" t="s">
        <v>60</v>
      </c>
      <c r="C640" s="10" t="s">
        <v>410</v>
      </c>
      <c r="D640" s="10" t="s">
        <v>103</v>
      </c>
      <c r="E640" s="10" t="s">
        <v>474</v>
      </c>
      <c r="F640" s="11">
        <v>11833.07</v>
      </c>
      <c r="G640" s="11">
        <v>273779.84999999998</v>
      </c>
      <c r="H640" s="12">
        <v>4.3221113153644436E-2</v>
      </c>
      <c r="I640" s="10">
        <v>5</v>
      </c>
      <c r="J640" s="21">
        <v>100</v>
      </c>
      <c r="K640" s="21">
        <v>29.999999999999996</v>
      </c>
      <c r="L640" s="21">
        <v>25</v>
      </c>
      <c r="M640" s="21">
        <v>57.5</v>
      </c>
      <c r="N640" s="21">
        <f>J640*Supuestos!$B$7+K640*Supuestos!$B$8+L640*Supuestos!$B$9+M640*Supuestos!$B$10</f>
        <v>51.75</v>
      </c>
      <c r="O640" s="34" t="str">
        <f t="shared" si="9"/>
        <v>C</v>
      </c>
      <c r="P640" s="10" t="s">
        <v>447</v>
      </c>
      <c r="Q640" s="10" t="s">
        <v>471</v>
      </c>
    </row>
    <row r="641" spans="1:17">
      <c r="A641" s="10" t="s">
        <v>255</v>
      </c>
      <c r="B641" s="10" t="s">
        <v>60</v>
      </c>
      <c r="C641" s="10" t="s">
        <v>256</v>
      </c>
      <c r="D641" s="10" t="s">
        <v>103</v>
      </c>
      <c r="E641" s="10" t="s">
        <v>474</v>
      </c>
      <c r="F641" s="11">
        <v>1495.6</v>
      </c>
      <c r="G641" s="11">
        <v>351341.95</v>
      </c>
      <c r="H641" s="12">
        <v>4.256831023689997E-3</v>
      </c>
      <c r="I641" s="10">
        <v>22</v>
      </c>
      <c r="J641" s="21">
        <v>100</v>
      </c>
      <c r="K641" s="21">
        <v>30</v>
      </c>
      <c r="L641" s="21">
        <v>25</v>
      </c>
      <c r="M641" s="21">
        <v>57.5</v>
      </c>
      <c r="N641" s="21">
        <f>J641*Supuestos!$B$7+K641*Supuestos!$B$8+L641*Supuestos!$B$9+M641*Supuestos!$B$10</f>
        <v>51.75</v>
      </c>
      <c r="O641" s="34" t="str">
        <f t="shared" si="9"/>
        <v>C</v>
      </c>
      <c r="P641" s="10" t="s">
        <v>447</v>
      </c>
      <c r="Q641" s="10" t="s">
        <v>471</v>
      </c>
    </row>
    <row r="642" spans="1:17">
      <c r="A642" s="10" t="s">
        <v>101</v>
      </c>
      <c r="B642" s="10" t="s">
        <v>60</v>
      </c>
      <c r="C642" s="10" t="s">
        <v>342</v>
      </c>
      <c r="D642" s="10" t="s">
        <v>103</v>
      </c>
      <c r="E642" s="10" t="s">
        <v>474</v>
      </c>
      <c r="F642" s="11">
        <v>541.20000000000005</v>
      </c>
      <c r="G642" s="11">
        <v>95640.54</v>
      </c>
      <c r="H642" s="12">
        <v>5.6587137325167861E-3</v>
      </c>
      <c r="I642" s="10">
        <v>13</v>
      </c>
      <c r="J642" s="21">
        <v>100</v>
      </c>
      <c r="K642" s="21">
        <v>30</v>
      </c>
      <c r="L642" s="21">
        <v>25</v>
      </c>
      <c r="M642" s="21">
        <v>57.5</v>
      </c>
      <c r="N642" s="21">
        <f>J642*Supuestos!$B$7+K642*Supuestos!$B$8+L642*Supuestos!$B$9+M642*Supuestos!$B$10</f>
        <v>51.75</v>
      </c>
      <c r="O642" s="34" t="str">
        <f t="shared" si="9"/>
        <v>C</v>
      </c>
      <c r="P642" s="10" t="s">
        <v>447</v>
      </c>
      <c r="Q642" s="10" t="s">
        <v>471</v>
      </c>
    </row>
    <row r="643" spans="1:17">
      <c r="A643" s="10" t="s">
        <v>255</v>
      </c>
      <c r="B643" s="10" t="s">
        <v>60</v>
      </c>
      <c r="C643" s="10" t="s">
        <v>350</v>
      </c>
      <c r="D643" s="10" t="s">
        <v>103</v>
      </c>
      <c r="E643" s="10" t="s">
        <v>474</v>
      </c>
      <c r="F643" s="11">
        <v>239.75</v>
      </c>
      <c r="G643" s="11">
        <v>313399.28999999998</v>
      </c>
      <c r="H643" s="12">
        <v>7.6498844919915875E-4</v>
      </c>
      <c r="I643" s="10">
        <v>10</v>
      </c>
      <c r="J643" s="21">
        <v>100</v>
      </c>
      <c r="K643" s="21">
        <v>30</v>
      </c>
      <c r="L643" s="21">
        <v>25</v>
      </c>
      <c r="M643" s="21">
        <v>57.5</v>
      </c>
      <c r="N643" s="21">
        <f>J643*Supuestos!$B$7+K643*Supuestos!$B$8+L643*Supuestos!$B$9+M643*Supuestos!$B$10</f>
        <v>51.75</v>
      </c>
      <c r="O643" s="34" t="str">
        <f t="shared" si="9"/>
        <v>C</v>
      </c>
      <c r="P643" s="10" t="s">
        <v>447</v>
      </c>
      <c r="Q643" s="10" t="s">
        <v>471</v>
      </c>
    </row>
    <row r="644" spans="1:17">
      <c r="A644" s="10" t="s">
        <v>101</v>
      </c>
      <c r="B644" s="10" t="s">
        <v>60</v>
      </c>
      <c r="C644" s="10" t="s">
        <v>264</v>
      </c>
      <c r="D644" s="10" t="s">
        <v>149</v>
      </c>
      <c r="E644" s="10" t="s">
        <v>457</v>
      </c>
      <c r="F644" s="11">
        <v>408.61</v>
      </c>
      <c r="G644" s="11">
        <v>17196.84</v>
      </c>
      <c r="H644" s="12">
        <v>2.3760871878523215E-2</v>
      </c>
      <c r="I644" s="10">
        <v>7</v>
      </c>
      <c r="J644" s="21">
        <v>30</v>
      </c>
      <c r="K644" s="21">
        <v>65</v>
      </c>
      <c r="L644" s="21">
        <v>25</v>
      </c>
      <c r="M644" s="21">
        <v>91.25</v>
      </c>
      <c r="N644" s="21">
        <f>J644*Supuestos!$B$7+K644*Supuestos!$B$8+L644*Supuestos!$B$9+M644*Supuestos!$B$10</f>
        <v>51.5</v>
      </c>
      <c r="O644" s="34" t="str">
        <f t="shared" si="9"/>
        <v>C</v>
      </c>
      <c r="P644" s="10" t="s">
        <v>447</v>
      </c>
      <c r="Q644" s="10" t="s">
        <v>441</v>
      </c>
    </row>
    <row r="645" spans="1:17">
      <c r="A645" s="10" t="s">
        <v>101</v>
      </c>
      <c r="B645" s="10" t="s">
        <v>60</v>
      </c>
      <c r="C645" s="10" t="s">
        <v>364</v>
      </c>
      <c r="D645" s="10" t="s">
        <v>149</v>
      </c>
      <c r="E645" s="10" t="s">
        <v>457</v>
      </c>
      <c r="F645" s="11">
        <v>328.35</v>
      </c>
      <c r="G645" s="11">
        <v>9858.02</v>
      </c>
      <c r="H645" s="12">
        <v>3.3307779745697749E-2</v>
      </c>
      <c r="I645" s="10">
        <v>8</v>
      </c>
      <c r="J645" s="21">
        <v>30</v>
      </c>
      <c r="K645" s="21">
        <v>65</v>
      </c>
      <c r="L645" s="21">
        <v>25</v>
      </c>
      <c r="M645" s="21">
        <v>91.25</v>
      </c>
      <c r="N645" s="21">
        <f>J645*Supuestos!$B$7+K645*Supuestos!$B$8+L645*Supuestos!$B$9+M645*Supuestos!$B$10</f>
        <v>51.5</v>
      </c>
      <c r="O645" s="34" t="str">
        <f t="shared" ref="O645:O708" si="10">IF(N645&gt;=80,"A",IF(N645&gt;=65,"B",IF(N645&gt;=50,"C","D")))</f>
        <v>C</v>
      </c>
      <c r="P645" s="10" t="s">
        <v>447</v>
      </c>
      <c r="Q645" s="10" t="s">
        <v>441</v>
      </c>
    </row>
    <row r="646" spans="1:17">
      <c r="A646" s="10" t="s">
        <v>101</v>
      </c>
      <c r="B646" s="10" t="s">
        <v>60</v>
      </c>
      <c r="C646" s="10" t="s">
        <v>183</v>
      </c>
      <c r="D646" s="10" t="s">
        <v>149</v>
      </c>
      <c r="E646" s="10" t="s">
        <v>457</v>
      </c>
      <c r="F646" s="11">
        <v>251.21</v>
      </c>
      <c r="G646" s="11">
        <v>6614.7</v>
      </c>
      <c r="H646" s="12">
        <v>3.7977994824907248E-2</v>
      </c>
      <c r="I646" s="10">
        <v>6</v>
      </c>
      <c r="J646" s="21">
        <v>30</v>
      </c>
      <c r="K646" s="21">
        <v>65</v>
      </c>
      <c r="L646" s="21">
        <v>25</v>
      </c>
      <c r="M646" s="21">
        <v>91.25</v>
      </c>
      <c r="N646" s="21">
        <f>J646*Supuestos!$B$7+K646*Supuestos!$B$8+L646*Supuestos!$B$9+M646*Supuestos!$B$10</f>
        <v>51.5</v>
      </c>
      <c r="O646" s="34" t="str">
        <f t="shared" si="10"/>
        <v>C</v>
      </c>
      <c r="P646" s="10" t="s">
        <v>447</v>
      </c>
      <c r="Q646" s="10" t="s">
        <v>441</v>
      </c>
    </row>
    <row r="647" spans="1:17">
      <c r="A647" s="10" t="s">
        <v>119</v>
      </c>
      <c r="B647" s="10" t="s">
        <v>383</v>
      </c>
      <c r="C647" s="10" t="s">
        <v>384</v>
      </c>
      <c r="D647" s="10" t="s">
        <v>103</v>
      </c>
      <c r="E647" s="10" t="s">
        <v>515</v>
      </c>
      <c r="F647" s="11">
        <v>18929.580000000002</v>
      </c>
      <c r="G647" s="11">
        <v>574829.68000000005</v>
      </c>
      <c r="H647" s="12">
        <v>3.2930756049539482E-2</v>
      </c>
      <c r="I647" s="10">
        <v>10</v>
      </c>
      <c r="J647" s="21">
        <v>100</v>
      </c>
      <c r="K647" s="21">
        <v>24.999999999999996</v>
      </c>
      <c r="L647" s="21">
        <v>25</v>
      </c>
      <c r="M647" s="21">
        <v>63.078660406306753</v>
      </c>
      <c r="N647" s="21">
        <f>J647*Supuestos!$B$7+K647*Supuestos!$B$8+L647*Supuestos!$B$9+M647*Supuestos!$B$10</f>
        <v>51.365732081261349</v>
      </c>
      <c r="O647" s="34" t="str">
        <f t="shared" si="10"/>
        <v>C</v>
      </c>
      <c r="P647" s="10" t="s">
        <v>540</v>
      </c>
      <c r="Q647" s="10" t="s">
        <v>436</v>
      </c>
    </row>
    <row r="648" spans="1:17">
      <c r="A648" s="10" t="s">
        <v>101</v>
      </c>
      <c r="B648" s="10" t="s">
        <v>60</v>
      </c>
      <c r="C648" s="10" t="s">
        <v>320</v>
      </c>
      <c r="D648" s="10" t="s">
        <v>127</v>
      </c>
      <c r="E648" s="10" t="s">
        <v>539</v>
      </c>
      <c r="F648" s="11">
        <v>157.32</v>
      </c>
      <c r="G648" s="11">
        <v>19670.240000000002</v>
      </c>
      <c r="H648" s="12">
        <v>7.9976457146813968E-3</v>
      </c>
      <c r="I648" s="10">
        <v>17</v>
      </c>
      <c r="J648" s="21">
        <v>85</v>
      </c>
      <c r="K648" s="21">
        <v>50</v>
      </c>
      <c r="L648" s="21">
        <v>25</v>
      </c>
      <c r="M648" s="21">
        <v>44.023032758127854</v>
      </c>
      <c r="N648" s="21">
        <f>J648*Supuestos!$B$7+K648*Supuestos!$B$8+L648*Supuestos!$B$9+M648*Supuestos!$B$10</f>
        <v>51.304606551625568</v>
      </c>
      <c r="O648" s="34" t="str">
        <f t="shared" si="10"/>
        <v>C</v>
      </c>
      <c r="P648" s="10" t="s">
        <v>502</v>
      </c>
      <c r="Q648" s="10" t="s">
        <v>471</v>
      </c>
    </row>
    <row r="649" spans="1:17">
      <c r="A649" s="10" t="s">
        <v>119</v>
      </c>
      <c r="B649" s="10" t="s">
        <v>381</v>
      </c>
      <c r="C649" s="10" t="s">
        <v>382</v>
      </c>
      <c r="D649" s="10" t="s">
        <v>149</v>
      </c>
      <c r="E649" s="10" t="s">
        <v>543</v>
      </c>
      <c r="F649" s="11">
        <v>75051.179999999993</v>
      </c>
      <c r="G649" s="11">
        <v>75457.19</v>
      </c>
      <c r="H649" s="12">
        <v>0.99461938540810479</v>
      </c>
      <c r="I649" s="10">
        <v>1</v>
      </c>
      <c r="J649" s="21">
        <v>30</v>
      </c>
      <c r="K649" s="21">
        <v>30.000000000000004</v>
      </c>
      <c r="L649" s="21">
        <v>100</v>
      </c>
      <c r="M649" s="21">
        <v>47.5</v>
      </c>
      <c r="N649" s="21">
        <f>J649*Supuestos!$B$7+K649*Supuestos!$B$8+L649*Supuestos!$B$9+M649*Supuestos!$B$10</f>
        <v>51</v>
      </c>
      <c r="O649" s="34" t="str">
        <f t="shared" si="10"/>
        <v>C</v>
      </c>
      <c r="P649" s="10" t="s">
        <v>447</v>
      </c>
      <c r="Q649" s="10" t="s">
        <v>471</v>
      </c>
    </row>
    <row r="650" spans="1:17">
      <c r="A650" s="10" t="s">
        <v>119</v>
      </c>
      <c r="B650" s="10" t="s">
        <v>383</v>
      </c>
      <c r="C650" s="10" t="s">
        <v>384</v>
      </c>
      <c r="D650" s="10" t="s">
        <v>103</v>
      </c>
      <c r="E650" s="10" t="s">
        <v>491</v>
      </c>
      <c r="F650" s="11">
        <v>9902.7999999999993</v>
      </c>
      <c r="G650" s="11">
        <v>574829.68000000005</v>
      </c>
      <c r="H650" s="12">
        <v>1.7227355100321307E-2</v>
      </c>
      <c r="I650" s="10">
        <v>15</v>
      </c>
      <c r="J650" s="21">
        <v>100</v>
      </c>
      <c r="K650" s="21">
        <v>29.999999999999996</v>
      </c>
      <c r="L650" s="21">
        <v>25</v>
      </c>
      <c r="M650" s="21">
        <v>52.5</v>
      </c>
      <c r="N650" s="21">
        <f>J650*Supuestos!$B$7+K650*Supuestos!$B$8+L650*Supuestos!$B$9+M650*Supuestos!$B$10</f>
        <v>50.75</v>
      </c>
      <c r="O650" s="34" t="str">
        <f t="shared" si="10"/>
        <v>C</v>
      </c>
      <c r="P650" s="10" t="s">
        <v>447</v>
      </c>
      <c r="Q650" s="10" t="s">
        <v>471</v>
      </c>
    </row>
    <row r="651" spans="1:17">
      <c r="A651" s="10" t="s">
        <v>111</v>
      </c>
      <c r="B651" s="10" t="s">
        <v>69</v>
      </c>
      <c r="C651" s="10" t="s">
        <v>309</v>
      </c>
      <c r="D651" s="10" t="s">
        <v>103</v>
      </c>
      <c r="E651" s="10" t="s">
        <v>491</v>
      </c>
      <c r="F651" s="11">
        <v>3822.71</v>
      </c>
      <c r="G651" s="11">
        <v>712220.68</v>
      </c>
      <c r="H651" s="12">
        <v>5.3673123051797122E-3</v>
      </c>
      <c r="I651" s="10">
        <v>22</v>
      </c>
      <c r="J651" s="21">
        <v>100</v>
      </c>
      <c r="K651" s="21">
        <v>30</v>
      </c>
      <c r="L651" s="21">
        <v>25</v>
      </c>
      <c r="M651" s="21">
        <v>52.5</v>
      </c>
      <c r="N651" s="21">
        <f>J651*Supuestos!$B$7+K651*Supuestos!$B$8+L651*Supuestos!$B$9+M651*Supuestos!$B$10</f>
        <v>50.75</v>
      </c>
      <c r="O651" s="34" t="str">
        <f t="shared" si="10"/>
        <v>C</v>
      </c>
      <c r="P651" s="10" t="s">
        <v>447</v>
      </c>
      <c r="Q651" s="10" t="s">
        <v>471</v>
      </c>
    </row>
    <row r="652" spans="1:17">
      <c r="A652" s="10" t="s">
        <v>101</v>
      </c>
      <c r="B652" s="10" t="s">
        <v>60</v>
      </c>
      <c r="C652" s="10" t="s">
        <v>342</v>
      </c>
      <c r="D652" s="10" t="s">
        <v>103</v>
      </c>
      <c r="E652" s="10" t="s">
        <v>539</v>
      </c>
      <c r="F652" s="11">
        <v>2034.4</v>
      </c>
      <c r="G652" s="11">
        <v>95640.54</v>
      </c>
      <c r="H652" s="12">
        <v>2.1271292381771355E-2</v>
      </c>
      <c r="I652" s="10">
        <v>6</v>
      </c>
      <c r="J652" s="21">
        <v>100</v>
      </c>
      <c r="K652" s="21">
        <v>35.412642376606932</v>
      </c>
      <c r="L652" s="21">
        <v>25</v>
      </c>
      <c r="M652" s="21">
        <v>44.023032758127854</v>
      </c>
      <c r="N652" s="21">
        <f>J652*Supuestos!$B$7+K652*Supuestos!$B$8+L652*Supuestos!$B$9+M652*Supuestos!$B$10</f>
        <v>50.678399264607648</v>
      </c>
      <c r="O652" s="34" t="str">
        <f t="shared" si="10"/>
        <v>C</v>
      </c>
      <c r="P652" s="10" t="s">
        <v>502</v>
      </c>
      <c r="Q652" s="10" t="s">
        <v>471</v>
      </c>
    </row>
    <row r="653" spans="1:17">
      <c r="A653" s="10" t="s">
        <v>111</v>
      </c>
      <c r="B653" s="10" t="s">
        <v>402</v>
      </c>
      <c r="C653" s="10" t="s">
        <v>403</v>
      </c>
      <c r="D653" s="10" t="s">
        <v>103</v>
      </c>
      <c r="E653" s="10" t="s">
        <v>535</v>
      </c>
      <c r="F653" s="11">
        <v>3732.67</v>
      </c>
      <c r="G653" s="11">
        <v>121345.92</v>
      </c>
      <c r="H653" s="12">
        <v>3.0760577201925845E-2</v>
      </c>
      <c r="I653" s="10">
        <v>5</v>
      </c>
      <c r="J653" s="21">
        <v>100</v>
      </c>
      <c r="K653" s="21">
        <v>30</v>
      </c>
      <c r="L653" s="21">
        <v>25</v>
      </c>
      <c r="M653" s="21">
        <v>46.206422211431395</v>
      </c>
      <c r="N653" s="21">
        <f>J653*Supuestos!$B$7+K653*Supuestos!$B$8+L653*Supuestos!$B$9+M653*Supuestos!$B$10</f>
        <v>49.491284442286279</v>
      </c>
      <c r="O653" s="34" t="str">
        <f t="shared" si="10"/>
        <v>D</v>
      </c>
      <c r="P653" s="10" t="s">
        <v>447</v>
      </c>
      <c r="Q653" s="10" t="s">
        <v>471</v>
      </c>
    </row>
    <row r="654" spans="1:17">
      <c r="A654" s="10" t="s">
        <v>165</v>
      </c>
      <c r="B654" s="10" t="s">
        <v>60</v>
      </c>
      <c r="C654" s="10" t="s">
        <v>166</v>
      </c>
      <c r="D654" s="10" t="s">
        <v>103</v>
      </c>
      <c r="E654" s="10" t="s">
        <v>544</v>
      </c>
      <c r="F654" s="11">
        <v>12440.31</v>
      </c>
      <c r="G654" s="11">
        <v>929838.13</v>
      </c>
      <c r="H654" s="12">
        <v>1.3379002705879077E-2</v>
      </c>
      <c r="I654" s="10">
        <v>13</v>
      </c>
      <c r="J654" s="21">
        <v>100</v>
      </c>
      <c r="K654" s="21">
        <v>30</v>
      </c>
      <c r="L654" s="21">
        <v>25</v>
      </c>
      <c r="M654" s="21">
        <v>45</v>
      </c>
      <c r="N654" s="21">
        <f>J654*Supuestos!$B$7+K654*Supuestos!$B$8+L654*Supuestos!$B$9+M654*Supuestos!$B$10</f>
        <v>49.25</v>
      </c>
      <c r="O654" s="34" t="str">
        <f t="shared" si="10"/>
        <v>D</v>
      </c>
      <c r="P654" s="10" t="s">
        <v>447</v>
      </c>
      <c r="Q654" s="10" t="s">
        <v>471</v>
      </c>
    </row>
    <row r="655" spans="1:17">
      <c r="A655" s="10" t="s">
        <v>111</v>
      </c>
      <c r="B655" s="10" t="s">
        <v>73</v>
      </c>
      <c r="C655" s="10" t="s">
        <v>418</v>
      </c>
      <c r="D655" s="10" t="s">
        <v>103</v>
      </c>
      <c r="E655" s="10" t="s">
        <v>545</v>
      </c>
      <c r="F655" s="11">
        <v>10855.32</v>
      </c>
      <c r="G655" s="11">
        <v>642203.68000000005</v>
      </c>
      <c r="H655" s="12">
        <v>1.690323485616483E-2</v>
      </c>
      <c r="I655" s="10">
        <v>12</v>
      </c>
      <c r="J655" s="21">
        <v>100</v>
      </c>
      <c r="K655" s="21">
        <v>30</v>
      </c>
      <c r="L655" s="21">
        <v>25</v>
      </c>
      <c r="M655" s="21">
        <v>45</v>
      </c>
      <c r="N655" s="21">
        <f>J655*Supuestos!$B$7+K655*Supuestos!$B$8+L655*Supuestos!$B$9+M655*Supuestos!$B$10</f>
        <v>49.25</v>
      </c>
      <c r="O655" s="34" t="str">
        <f t="shared" si="10"/>
        <v>D</v>
      </c>
      <c r="P655" s="10" t="s">
        <v>447</v>
      </c>
      <c r="Q655" s="10" t="s">
        <v>471</v>
      </c>
    </row>
    <row r="656" spans="1:17">
      <c r="A656" s="10" t="s">
        <v>275</v>
      </c>
      <c r="B656" s="10" t="s">
        <v>71</v>
      </c>
      <c r="C656" s="10" t="s">
        <v>316</v>
      </c>
      <c r="D656" s="10" t="s">
        <v>103</v>
      </c>
      <c r="E656" s="10" t="s">
        <v>538</v>
      </c>
      <c r="F656" s="11">
        <v>9240.48</v>
      </c>
      <c r="G656" s="11">
        <v>1083764</v>
      </c>
      <c r="H656" s="12">
        <v>8.5262841444279838E-3</v>
      </c>
      <c r="I656" s="10">
        <v>17</v>
      </c>
      <c r="J656" s="21">
        <v>100</v>
      </c>
      <c r="K656" s="21">
        <v>30.000000000000004</v>
      </c>
      <c r="L656" s="21">
        <v>25</v>
      </c>
      <c r="M656" s="21">
        <v>45</v>
      </c>
      <c r="N656" s="21">
        <f>J656*Supuestos!$B$7+K656*Supuestos!$B$8+L656*Supuestos!$B$9+M656*Supuestos!$B$10</f>
        <v>49.25</v>
      </c>
      <c r="O656" s="34" t="str">
        <f t="shared" si="10"/>
        <v>D</v>
      </c>
      <c r="P656" s="10" t="s">
        <v>447</v>
      </c>
      <c r="Q656" s="10" t="s">
        <v>471</v>
      </c>
    </row>
    <row r="657" spans="1:17">
      <c r="A657" s="10" t="s">
        <v>111</v>
      </c>
      <c r="B657" s="10" t="s">
        <v>69</v>
      </c>
      <c r="C657" s="10" t="s">
        <v>309</v>
      </c>
      <c r="D657" s="10" t="s">
        <v>103</v>
      </c>
      <c r="E657" s="10" t="s">
        <v>546</v>
      </c>
      <c r="F657" s="11">
        <v>7393.51</v>
      </c>
      <c r="G657" s="11">
        <v>712220.68</v>
      </c>
      <c r="H657" s="12">
        <v>1.0380927067043235E-2</v>
      </c>
      <c r="I657" s="10">
        <v>18</v>
      </c>
      <c r="J657" s="21">
        <v>100</v>
      </c>
      <c r="K657" s="21">
        <v>30</v>
      </c>
      <c r="L657" s="21">
        <v>25</v>
      </c>
      <c r="M657" s="21">
        <v>45</v>
      </c>
      <c r="N657" s="21">
        <f>J657*Supuestos!$B$7+K657*Supuestos!$B$8+L657*Supuestos!$B$9+M657*Supuestos!$B$10</f>
        <v>49.25</v>
      </c>
      <c r="O657" s="34" t="str">
        <f t="shared" si="10"/>
        <v>D</v>
      </c>
      <c r="P657" s="10" t="s">
        <v>447</v>
      </c>
      <c r="Q657" s="10" t="s">
        <v>471</v>
      </c>
    </row>
    <row r="658" spans="1:17">
      <c r="A658" s="10" t="s">
        <v>255</v>
      </c>
      <c r="B658" s="10" t="s">
        <v>60</v>
      </c>
      <c r="C658" s="10" t="s">
        <v>260</v>
      </c>
      <c r="D658" s="10" t="s">
        <v>103</v>
      </c>
      <c r="E658" s="10" t="s">
        <v>546</v>
      </c>
      <c r="F658" s="11">
        <v>6497.87</v>
      </c>
      <c r="G658" s="11">
        <v>164350.82</v>
      </c>
      <c r="H658" s="12">
        <v>3.9536577662780521E-2</v>
      </c>
      <c r="I658" s="10">
        <v>4</v>
      </c>
      <c r="J658" s="21">
        <v>100</v>
      </c>
      <c r="K658" s="21">
        <v>30</v>
      </c>
      <c r="L658" s="21">
        <v>25</v>
      </c>
      <c r="M658" s="21">
        <v>45</v>
      </c>
      <c r="N658" s="21">
        <f>J658*Supuestos!$B$7+K658*Supuestos!$B$8+L658*Supuestos!$B$9+M658*Supuestos!$B$10</f>
        <v>49.25</v>
      </c>
      <c r="O658" s="34" t="str">
        <f t="shared" si="10"/>
        <v>D</v>
      </c>
      <c r="P658" s="10" t="s">
        <v>447</v>
      </c>
      <c r="Q658" s="10" t="s">
        <v>471</v>
      </c>
    </row>
    <row r="659" spans="1:17">
      <c r="A659" s="10" t="s">
        <v>255</v>
      </c>
      <c r="B659" s="10" t="s">
        <v>60</v>
      </c>
      <c r="C659" s="10" t="s">
        <v>256</v>
      </c>
      <c r="D659" s="10" t="s">
        <v>103</v>
      </c>
      <c r="E659" s="10" t="s">
        <v>546</v>
      </c>
      <c r="F659" s="11">
        <v>5934.26</v>
      </c>
      <c r="G659" s="11">
        <v>351341.95</v>
      </c>
      <c r="H659" s="12">
        <v>1.6890255797231087E-2</v>
      </c>
      <c r="I659" s="10">
        <v>16</v>
      </c>
      <c r="J659" s="21">
        <v>100</v>
      </c>
      <c r="K659" s="21">
        <v>29.999999999999996</v>
      </c>
      <c r="L659" s="21">
        <v>25</v>
      </c>
      <c r="M659" s="21">
        <v>45</v>
      </c>
      <c r="N659" s="21">
        <f>J659*Supuestos!$B$7+K659*Supuestos!$B$8+L659*Supuestos!$B$9+M659*Supuestos!$B$10</f>
        <v>49.25</v>
      </c>
      <c r="O659" s="34" t="str">
        <f t="shared" si="10"/>
        <v>D</v>
      </c>
      <c r="P659" s="10" t="s">
        <v>447</v>
      </c>
      <c r="Q659" s="10" t="s">
        <v>471</v>
      </c>
    </row>
    <row r="660" spans="1:17">
      <c r="A660" s="10" t="s">
        <v>111</v>
      </c>
      <c r="B660" s="10" t="s">
        <v>73</v>
      </c>
      <c r="C660" s="10" t="s">
        <v>418</v>
      </c>
      <c r="D660" s="10" t="s">
        <v>103</v>
      </c>
      <c r="E660" s="10" t="s">
        <v>546</v>
      </c>
      <c r="F660" s="11">
        <v>5891.41</v>
      </c>
      <c r="G660" s="11">
        <v>642203.68000000005</v>
      </c>
      <c r="H660" s="12">
        <v>9.1737462150526181E-3</v>
      </c>
      <c r="I660" s="10">
        <v>17</v>
      </c>
      <c r="J660" s="21">
        <v>100</v>
      </c>
      <c r="K660" s="21">
        <v>30</v>
      </c>
      <c r="L660" s="21">
        <v>25</v>
      </c>
      <c r="M660" s="21">
        <v>45</v>
      </c>
      <c r="N660" s="21">
        <f>J660*Supuestos!$B$7+K660*Supuestos!$B$8+L660*Supuestos!$B$9+M660*Supuestos!$B$10</f>
        <v>49.25</v>
      </c>
      <c r="O660" s="34" t="str">
        <f t="shared" si="10"/>
        <v>D</v>
      </c>
      <c r="P660" s="10" t="s">
        <v>447</v>
      </c>
      <c r="Q660" s="10" t="s">
        <v>471</v>
      </c>
    </row>
    <row r="661" spans="1:17">
      <c r="A661" s="10" t="s">
        <v>215</v>
      </c>
      <c r="B661" s="10" t="s">
        <v>60</v>
      </c>
      <c r="C661" s="10" t="s">
        <v>216</v>
      </c>
      <c r="D661" s="10" t="s">
        <v>103</v>
      </c>
      <c r="E661" s="10" t="s">
        <v>546</v>
      </c>
      <c r="F661" s="11">
        <v>4652.3900000000003</v>
      </c>
      <c r="G661" s="11">
        <v>656576.77</v>
      </c>
      <c r="H661" s="12">
        <v>7.0858303213235333E-3</v>
      </c>
      <c r="I661" s="10">
        <v>18</v>
      </c>
      <c r="J661" s="21">
        <v>100</v>
      </c>
      <c r="K661" s="21">
        <v>29.999999999999996</v>
      </c>
      <c r="L661" s="21">
        <v>25</v>
      </c>
      <c r="M661" s="21">
        <v>45</v>
      </c>
      <c r="N661" s="21">
        <f>J661*Supuestos!$B$7+K661*Supuestos!$B$8+L661*Supuestos!$B$9+M661*Supuestos!$B$10</f>
        <v>49.25</v>
      </c>
      <c r="O661" s="34" t="str">
        <f t="shared" si="10"/>
        <v>D</v>
      </c>
      <c r="P661" s="10" t="s">
        <v>447</v>
      </c>
      <c r="Q661" s="10" t="s">
        <v>471</v>
      </c>
    </row>
    <row r="662" spans="1:17">
      <c r="A662" s="10" t="s">
        <v>111</v>
      </c>
      <c r="B662" s="10" t="s">
        <v>60</v>
      </c>
      <c r="C662" s="10" t="s">
        <v>208</v>
      </c>
      <c r="D662" s="10" t="s">
        <v>103</v>
      </c>
      <c r="E662" s="10" t="s">
        <v>544</v>
      </c>
      <c r="F662" s="11">
        <v>3803.79</v>
      </c>
      <c r="G662" s="11">
        <v>201558.18</v>
      </c>
      <c r="H662" s="12">
        <v>1.8871930985835929E-2</v>
      </c>
      <c r="I662" s="10">
        <v>9</v>
      </c>
      <c r="J662" s="21">
        <v>100</v>
      </c>
      <c r="K662" s="21">
        <v>30.000000000000004</v>
      </c>
      <c r="L662" s="21">
        <v>25</v>
      </c>
      <c r="M662" s="21">
        <v>45</v>
      </c>
      <c r="N662" s="21">
        <f>J662*Supuestos!$B$7+K662*Supuestos!$B$8+L662*Supuestos!$B$9+M662*Supuestos!$B$10</f>
        <v>49.25</v>
      </c>
      <c r="O662" s="34" t="str">
        <f t="shared" si="10"/>
        <v>D</v>
      </c>
      <c r="P662" s="10" t="s">
        <v>447</v>
      </c>
      <c r="Q662" s="10" t="s">
        <v>471</v>
      </c>
    </row>
    <row r="663" spans="1:17">
      <c r="A663" s="10" t="s">
        <v>215</v>
      </c>
      <c r="B663" s="10" t="s">
        <v>60</v>
      </c>
      <c r="C663" s="10" t="s">
        <v>410</v>
      </c>
      <c r="D663" s="10" t="s">
        <v>103</v>
      </c>
      <c r="E663" s="10" t="s">
        <v>544</v>
      </c>
      <c r="F663" s="11">
        <v>3784.82</v>
      </c>
      <c r="G663" s="11">
        <v>273779.84999999998</v>
      </c>
      <c r="H663" s="12">
        <v>1.3824321776358813E-2</v>
      </c>
      <c r="I663" s="10">
        <v>13</v>
      </c>
      <c r="J663" s="21">
        <v>100</v>
      </c>
      <c r="K663" s="21">
        <v>29.999999999999993</v>
      </c>
      <c r="L663" s="21">
        <v>25</v>
      </c>
      <c r="M663" s="21">
        <v>45</v>
      </c>
      <c r="N663" s="21">
        <f>J663*Supuestos!$B$7+K663*Supuestos!$B$8+L663*Supuestos!$B$9+M663*Supuestos!$B$10</f>
        <v>49.25</v>
      </c>
      <c r="O663" s="34" t="str">
        <f t="shared" si="10"/>
        <v>D</v>
      </c>
      <c r="P663" s="10" t="s">
        <v>447</v>
      </c>
      <c r="Q663" s="10" t="s">
        <v>471</v>
      </c>
    </row>
    <row r="664" spans="1:17">
      <c r="A664" s="10" t="s">
        <v>111</v>
      </c>
      <c r="B664" s="10" t="s">
        <v>73</v>
      </c>
      <c r="C664" s="10" t="s">
        <v>418</v>
      </c>
      <c r="D664" s="10" t="s">
        <v>103</v>
      </c>
      <c r="E664" s="10" t="s">
        <v>538</v>
      </c>
      <c r="F664" s="11">
        <v>3011.69</v>
      </c>
      <c r="G664" s="11">
        <v>642203.68000000005</v>
      </c>
      <c r="H664" s="12">
        <v>4.689616987533533E-3</v>
      </c>
      <c r="I664" s="10">
        <v>21</v>
      </c>
      <c r="J664" s="21">
        <v>100</v>
      </c>
      <c r="K664" s="21">
        <v>30</v>
      </c>
      <c r="L664" s="21">
        <v>25</v>
      </c>
      <c r="M664" s="21">
        <v>45</v>
      </c>
      <c r="N664" s="21">
        <f>J664*Supuestos!$B$7+K664*Supuestos!$B$8+L664*Supuestos!$B$9+M664*Supuestos!$B$10</f>
        <v>49.25</v>
      </c>
      <c r="O664" s="34" t="str">
        <f t="shared" si="10"/>
        <v>D</v>
      </c>
      <c r="P664" s="10" t="s">
        <v>447</v>
      </c>
      <c r="Q664" s="10" t="s">
        <v>471</v>
      </c>
    </row>
    <row r="665" spans="1:17">
      <c r="A665" s="10" t="s">
        <v>215</v>
      </c>
      <c r="B665" s="10" t="s">
        <v>60</v>
      </c>
      <c r="C665" s="10" t="s">
        <v>216</v>
      </c>
      <c r="D665" s="10" t="s">
        <v>103</v>
      </c>
      <c r="E665" s="10" t="s">
        <v>545</v>
      </c>
      <c r="F665" s="11">
        <v>2926.37</v>
      </c>
      <c r="G665" s="11">
        <v>656576.77</v>
      </c>
      <c r="H665" s="12">
        <v>4.4570122767229464E-3</v>
      </c>
      <c r="I665" s="10">
        <v>21</v>
      </c>
      <c r="J665" s="21">
        <v>100</v>
      </c>
      <c r="K665" s="21">
        <v>29.999999999999996</v>
      </c>
      <c r="L665" s="21">
        <v>25</v>
      </c>
      <c r="M665" s="21">
        <v>45</v>
      </c>
      <c r="N665" s="21">
        <f>J665*Supuestos!$B$7+K665*Supuestos!$B$8+L665*Supuestos!$B$9+M665*Supuestos!$B$10</f>
        <v>49.25</v>
      </c>
      <c r="O665" s="34" t="str">
        <f t="shared" si="10"/>
        <v>D</v>
      </c>
      <c r="P665" s="10" t="s">
        <v>447</v>
      </c>
      <c r="Q665" s="10" t="s">
        <v>471</v>
      </c>
    </row>
    <row r="666" spans="1:17">
      <c r="A666" s="10" t="s">
        <v>255</v>
      </c>
      <c r="B666" s="10" t="s">
        <v>60</v>
      </c>
      <c r="C666" s="10" t="s">
        <v>328</v>
      </c>
      <c r="D666" s="10" t="s">
        <v>103</v>
      </c>
      <c r="E666" s="10" t="s">
        <v>544</v>
      </c>
      <c r="F666" s="11">
        <v>2835.27</v>
      </c>
      <c r="G666" s="11">
        <v>132474.79999999999</v>
      </c>
      <c r="H666" s="12">
        <v>2.1402311222471035E-2</v>
      </c>
      <c r="I666" s="10">
        <v>6</v>
      </c>
      <c r="J666" s="21">
        <v>100</v>
      </c>
      <c r="K666" s="21">
        <v>30</v>
      </c>
      <c r="L666" s="21">
        <v>25</v>
      </c>
      <c r="M666" s="21">
        <v>45</v>
      </c>
      <c r="N666" s="21">
        <f>J666*Supuestos!$B$7+K666*Supuestos!$B$8+L666*Supuestos!$B$9+M666*Supuestos!$B$10</f>
        <v>49.25</v>
      </c>
      <c r="O666" s="34" t="str">
        <f t="shared" si="10"/>
        <v>D</v>
      </c>
      <c r="P666" s="10" t="s">
        <v>447</v>
      </c>
      <c r="Q666" s="10" t="s">
        <v>471</v>
      </c>
    </row>
    <row r="667" spans="1:17">
      <c r="A667" s="10" t="s">
        <v>215</v>
      </c>
      <c r="B667" s="10" t="s">
        <v>60</v>
      </c>
      <c r="C667" s="10" t="s">
        <v>332</v>
      </c>
      <c r="D667" s="10" t="s">
        <v>103</v>
      </c>
      <c r="E667" s="10" t="s">
        <v>545</v>
      </c>
      <c r="F667" s="11">
        <v>2134.27</v>
      </c>
      <c r="G667" s="11">
        <v>251755.6</v>
      </c>
      <c r="H667" s="12">
        <v>8.4775394906933463E-3</v>
      </c>
      <c r="I667" s="10">
        <v>14</v>
      </c>
      <c r="J667" s="21">
        <v>100</v>
      </c>
      <c r="K667" s="21">
        <v>30</v>
      </c>
      <c r="L667" s="21">
        <v>25</v>
      </c>
      <c r="M667" s="21">
        <v>45</v>
      </c>
      <c r="N667" s="21">
        <f>J667*Supuestos!$B$7+K667*Supuestos!$B$8+L667*Supuestos!$B$9+M667*Supuestos!$B$10</f>
        <v>49.25</v>
      </c>
      <c r="O667" s="34" t="str">
        <f t="shared" si="10"/>
        <v>D</v>
      </c>
      <c r="P667" s="10" t="s">
        <v>447</v>
      </c>
      <c r="Q667" s="10" t="s">
        <v>471</v>
      </c>
    </row>
    <row r="668" spans="1:17">
      <c r="A668" s="10" t="s">
        <v>165</v>
      </c>
      <c r="B668" s="10" t="s">
        <v>60</v>
      </c>
      <c r="C668" s="10" t="s">
        <v>166</v>
      </c>
      <c r="D668" s="10" t="s">
        <v>103</v>
      </c>
      <c r="E668" s="10" t="s">
        <v>545</v>
      </c>
      <c r="F668" s="11">
        <v>2006.99</v>
      </c>
      <c r="G668" s="11">
        <v>929838.13</v>
      </c>
      <c r="H668" s="12">
        <v>2.1584334398783017E-3</v>
      </c>
      <c r="I668" s="10">
        <v>26</v>
      </c>
      <c r="J668" s="21">
        <v>100</v>
      </c>
      <c r="K668" s="21">
        <v>30</v>
      </c>
      <c r="L668" s="21">
        <v>25</v>
      </c>
      <c r="M668" s="21">
        <v>45</v>
      </c>
      <c r="N668" s="21">
        <f>J668*Supuestos!$B$7+K668*Supuestos!$B$8+L668*Supuestos!$B$9+M668*Supuestos!$B$10</f>
        <v>49.25</v>
      </c>
      <c r="O668" s="34" t="str">
        <f t="shared" si="10"/>
        <v>D</v>
      </c>
      <c r="P668" s="10" t="s">
        <v>447</v>
      </c>
      <c r="Q668" s="10" t="s">
        <v>471</v>
      </c>
    </row>
    <row r="669" spans="1:17">
      <c r="A669" s="10" t="s">
        <v>255</v>
      </c>
      <c r="B669" s="10" t="s">
        <v>60</v>
      </c>
      <c r="C669" s="10" t="s">
        <v>392</v>
      </c>
      <c r="D669" s="10" t="s">
        <v>103</v>
      </c>
      <c r="E669" s="10" t="s">
        <v>546</v>
      </c>
      <c r="F669" s="11">
        <v>1738.98</v>
      </c>
      <c r="G669" s="11">
        <v>180471.74</v>
      </c>
      <c r="H669" s="12">
        <v>9.6357333252783204E-3</v>
      </c>
      <c r="I669" s="10">
        <v>13</v>
      </c>
      <c r="J669" s="21">
        <v>100</v>
      </c>
      <c r="K669" s="21">
        <v>30</v>
      </c>
      <c r="L669" s="21">
        <v>25</v>
      </c>
      <c r="M669" s="21">
        <v>45</v>
      </c>
      <c r="N669" s="21">
        <f>J669*Supuestos!$B$7+K669*Supuestos!$B$8+L669*Supuestos!$B$9+M669*Supuestos!$B$10</f>
        <v>49.25</v>
      </c>
      <c r="O669" s="34" t="str">
        <f t="shared" si="10"/>
        <v>D</v>
      </c>
      <c r="P669" s="10" t="s">
        <v>447</v>
      </c>
      <c r="Q669" s="10" t="s">
        <v>471</v>
      </c>
    </row>
    <row r="670" spans="1:17">
      <c r="A670" s="10" t="s">
        <v>111</v>
      </c>
      <c r="B670" s="10" t="s">
        <v>60</v>
      </c>
      <c r="C670" s="10" t="s">
        <v>339</v>
      </c>
      <c r="D670" s="10" t="s">
        <v>103</v>
      </c>
      <c r="E670" s="10" t="s">
        <v>546</v>
      </c>
      <c r="F670" s="11">
        <v>1078.55</v>
      </c>
      <c r="G670" s="11">
        <v>114879.92</v>
      </c>
      <c r="H670" s="12">
        <v>9.3884815020853479E-3</v>
      </c>
      <c r="I670" s="10">
        <v>12</v>
      </c>
      <c r="J670" s="21">
        <v>100</v>
      </c>
      <c r="K670" s="21">
        <v>30</v>
      </c>
      <c r="L670" s="21">
        <v>25</v>
      </c>
      <c r="M670" s="21">
        <v>45</v>
      </c>
      <c r="N670" s="21">
        <f>J670*Supuestos!$B$7+K670*Supuestos!$B$8+L670*Supuestos!$B$9+M670*Supuestos!$B$10</f>
        <v>49.25</v>
      </c>
      <c r="O670" s="34" t="str">
        <f t="shared" si="10"/>
        <v>D</v>
      </c>
      <c r="P670" s="10" t="s">
        <v>447</v>
      </c>
      <c r="Q670" s="10" t="s">
        <v>471</v>
      </c>
    </row>
    <row r="671" spans="1:17">
      <c r="A671" s="10" t="s">
        <v>111</v>
      </c>
      <c r="B671" s="10" t="s">
        <v>60</v>
      </c>
      <c r="C671" s="10" t="s">
        <v>208</v>
      </c>
      <c r="D671" s="10" t="s">
        <v>103</v>
      </c>
      <c r="E671" s="10" t="s">
        <v>538</v>
      </c>
      <c r="F671" s="11">
        <v>1048.53</v>
      </c>
      <c r="G671" s="11">
        <v>201558.18</v>
      </c>
      <c r="H671" s="12">
        <v>5.202108814012129E-3</v>
      </c>
      <c r="I671" s="10">
        <v>12</v>
      </c>
      <c r="J671" s="21">
        <v>100</v>
      </c>
      <c r="K671" s="21">
        <v>30</v>
      </c>
      <c r="L671" s="21">
        <v>25</v>
      </c>
      <c r="M671" s="21">
        <v>45</v>
      </c>
      <c r="N671" s="21">
        <f>J671*Supuestos!$B$7+K671*Supuestos!$B$8+L671*Supuestos!$B$9+M671*Supuestos!$B$10</f>
        <v>49.25</v>
      </c>
      <c r="O671" s="34" t="str">
        <f t="shared" si="10"/>
        <v>D</v>
      </c>
      <c r="P671" s="10" t="s">
        <v>447</v>
      </c>
      <c r="Q671" s="10" t="s">
        <v>471</v>
      </c>
    </row>
    <row r="672" spans="1:17">
      <c r="A672" s="10" t="s">
        <v>255</v>
      </c>
      <c r="B672" s="10" t="s">
        <v>60</v>
      </c>
      <c r="C672" s="10" t="s">
        <v>256</v>
      </c>
      <c r="D672" s="10" t="s">
        <v>103</v>
      </c>
      <c r="E672" s="10" t="s">
        <v>544</v>
      </c>
      <c r="F672" s="11">
        <v>797.21</v>
      </c>
      <c r="G672" s="11">
        <v>351341.95</v>
      </c>
      <c r="H672" s="12">
        <v>2.2690440248941384E-3</v>
      </c>
      <c r="I672" s="10">
        <v>26</v>
      </c>
      <c r="J672" s="21">
        <v>100</v>
      </c>
      <c r="K672" s="21">
        <v>30</v>
      </c>
      <c r="L672" s="21">
        <v>25</v>
      </c>
      <c r="M672" s="21">
        <v>45</v>
      </c>
      <c r="N672" s="21">
        <f>J672*Supuestos!$B$7+K672*Supuestos!$B$8+L672*Supuestos!$B$9+M672*Supuestos!$B$10</f>
        <v>49.25</v>
      </c>
      <c r="O672" s="34" t="str">
        <f t="shared" si="10"/>
        <v>D</v>
      </c>
      <c r="P672" s="10" t="s">
        <v>447</v>
      </c>
      <c r="Q672" s="10" t="s">
        <v>471</v>
      </c>
    </row>
    <row r="673" spans="1:17">
      <c r="A673" s="10" t="s">
        <v>255</v>
      </c>
      <c r="B673" s="10" t="s">
        <v>60</v>
      </c>
      <c r="C673" s="10" t="s">
        <v>392</v>
      </c>
      <c r="D673" s="10" t="s">
        <v>103</v>
      </c>
      <c r="E673" s="10" t="s">
        <v>545</v>
      </c>
      <c r="F673" s="11">
        <v>276.23</v>
      </c>
      <c r="G673" s="11">
        <v>180471.74</v>
      </c>
      <c r="H673" s="12">
        <v>1.5305999779406062E-3</v>
      </c>
      <c r="I673" s="10">
        <v>21</v>
      </c>
      <c r="J673" s="21">
        <v>100</v>
      </c>
      <c r="K673" s="21">
        <v>29.999999999999996</v>
      </c>
      <c r="L673" s="21">
        <v>25</v>
      </c>
      <c r="M673" s="21">
        <v>45</v>
      </c>
      <c r="N673" s="21">
        <f>J673*Supuestos!$B$7+K673*Supuestos!$B$8+L673*Supuestos!$B$9+M673*Supuestos!$B$10</f>
        <v>49.25</v>
      </c>
      <c r="O673" s="34" t="str">
        <f t="shared" si="10"/>
        <v>D</v>
      </c>
      <c r="P673" s="10" t="s">
        <v>447</v>
      </c>
      <c r="Q673" s="10" t="s">
        <v>471</v>
      </c>
    </row>
    <row r="674" spans="1:17">
      <c r="A674" s="10" t="s">
        <v>255</v>
      </c>
      <c r="B674" s="10" t="s">
        <v>60</v>
      </c>
      <c r="C674" s="10" t="s">
        <v>260</v>
      </c>
      <c r="D674" s="10" t="s">
        <v>103</v>
      </c>
      <c r="E674" s="10" t="s">
        <v>544</v>
      </c>
      <c r="F674" s="11">
        <v>128.47</v>
      </c>
      <c r="G674" s="11">
        <v>164350.82</v>
      </c>
      <c r="H674" s="12">
        <v>7.8169998507109724E-4</v>
      </c>
      <c r="I674" s="10">
        <v>14</v>
      </c>
      <c r="J674" s="21">
        <v>100</v>
      </c>
      <c r="K674" s="21">
        <v>30</v>
      </c>
      <c r="L674" s="21">
        <v>25</v>
      </c>
      <c r="M674" s="21">
        <v>45</v>
      </c>
      <c r="N674" s="21">
        <f>J674*Supuestos!$B$7+K674*Supuestos!$B$8+L674*Supuestos!$B$9+M674*Supuestos!$B$10</f>
        <v>49.25</v>
      </c>
      <c r="O674" s="34" t="str">
        <f t="shared" si="10"/>
        <v>D</v>
      </c>
      <c r="P674" s="10" t="s">
        <v>447</v>
      </c>
      <c r="Q674" s="10" t="s">
        <v>471</v>
      </c>
    </row>
    <row r="675" spans="1:17">
      <c r="A675" s="10" t="s">
        <v>165</v>
      </c>
      <c r="B675" s="10" t="s">
        <v>60</v>
      </c>
      <c r="C675" s="10" t="s">
        <v>166</v>
      </c>
      <c r="D675" s="10" t="s">
        <v>103</v>
      </c>
      <c r="E675" s="10" t="s">
        <v>539</v>
      </c>
      <c r="F675" s="11">
        <v>934.86</v>
      </c>
      <c r="G675" s="11">
        <v>929838.13</v>
      </c>
      <c r="H675" s="12">
        <v>1.0053968165341508E-3</v>
      </c>
      <c r="I675" s="10">
        <v>27</v>
      </c>
      <c r="J675" s="21">
        <v>100</v>
      </c>
      <c r="K675" s="21">
        <v>30.155544405418969</v>
      </c>
      <c r="L675" s="21">
        <v>25</v>
      </c>
      <c r="M675" s="21">
        <v>44.023032758127854</v>
      </c>
      <c r="N675" s="21">
        <f>J675*Supuestos!$B$7+K675*Supuestos!$B$8+L675*Supuestos!$B$9+M675*Supuestos!$B$10</f>
        <v>49.101269873251255</v>
      </c>
      <c r="O675" s="34" t="str">
        <f t="shared" si="10"/>
        <v>D</v>
      </c>
      <c r="P675" s="10" t="s">
        <v>502</v>
      </c>
      <c r="Q675" s="10" t="s">
        <v>471</v>
      </c>
    </row>
    <row r="676" spans="1:17">
      <c r="A676" s="10" t="s">
        <v>275</v>
      </c>
      <c r="B676" s="10" t="s">
        <v>276</v>
      </c>
      <c r="C676" s="10" t="s">
        <v>277</v>
      </c>
      <c r="D676" s="10" t="s">
        <v>127</v>
      </c>
      <c r="E676" s="10" t="s">
        <v>533</v>
      </c>
      <c r="F676" s="11">
        <v>2511.39</v>
      </c>
      <c r="G676" s="11">
        <v>77674.73</v>
      </c>
      <c r="H676" s="12">
        <v>3.2332135242865045E-2</v>
      </c>
      <c r="I676" s="10">
        <v>6</v>
      </c>
      <c r="J676" s="21">
        <v>85</v>
      </c>
      <c r="K676" s="21">
        <v>30</v>
      </c>
      <c r="L676" s="21">
        <v>25</v>
      </c>
      <c r="M676" s="21">
        <v>62.5</v>
      </c>
      <c r="N676" s="21">
        <f>J676*Supuestos!$B$7+K676*Supuestos!$B$8+L676*Supuestos!$B$9+M676*Supuestos!$B$10</f>
        <v>49</v>
      </c>
      <c r="O676" s="34" t="str">
        <f t="shared" si="10"/>
        <v>D</v>
      </c>
      <c r="P676" s="10" t="s">
        <v>447</v>
      </c>
      <c r="Q676" s="10" t="s">
        <v>471</v>
      </c>
    </row>
    <row r="677" spans="1:17">
      <c r="A677" s="10" t="s">
        <v>101</v>
      </c>
      <c r="B677" s="10" t="s">
        <v>60</v>
      </c>
      <c r="C677" s="10" t="s">
        <v>346</v>
      </c>
      <c r="D677" s="10" t="s">
        <v>127</v>
      </c>
      <c r="E677" s="10" t="s">
        <v>533</v>
      </c>
      <c r="F677" s="11">
        <v>1096.48</v>
      </c>
      <c r="G677" s="11">
        <v>41126.71</v>
      </c>
      <c r="H677" s="12">
        <v>2.6660947028824496E-2</v>
      </c>
      <c r="I677" s="10">
        <v>8</v>
      </c>
      <c r="J677" s="21">
        <v>85</v>
      </c>
      <c r="K677" s="21">
        <v>30</v>
      </c>
      <c r="L677" s="21">
        <v>25</v>
      </c>
      <c r="M677" s="21">
        <v>62.5</v>
      </c>
      <c r="N677" s="21">
        <f>J677*Supuestos!$B$7+K677*Supuestos!$B$8+L677*Supuestos!$B$9+M677*Supuestos!$B$10</f>
        <v>49</v>
      </c>
      <c r="O677" s="34" t="str">
        <f t="shared" si="10"/>
        <v>D</v>
      </c>
      <c r="P677" s="10" t="s">
        <v>447</v>
      </c>
      <c r="Q677" s="10" t="s">
        <v>471</v>
      </c>
    </row>
    <row r="678" spans="1:17">
      <c r="A678" s="10" t="s">
        <v>101</v>
      </c>
      <c r="B678" s="10" t="s">
        <v>60</v>
      </c>
      <c r="C678" s="10" t="s">
        <v>325</v>
      </c>
      <c r="D678" s="10" t="s">
        <v>149</v>
      </c>
      <c r="E678" s="10" t="s">
        <v>499</v>
      </c>
      <c r="F678" s="11">
        <v>401.37</v>
      </c>
      <c r="G678" s="11">
        <v>3886.23</v>
      </c>
      <c r="H678" s="12">
        <v>0.10327929532433534</v>
      </c>
      <c r="I678" s="10">
        <v>5</v>
      </c>
      <c r="J678" s="21">
        <v>30</v>
      </c>
      <c r="K678" s="21">
        <v>30</v>
      </c>
      <c r="L678" s="21">
        <v>80</v>
      </c>
      <c r="M678" s="21">
        <v>62.5</v>
      </c>
      <c r="N678" s="21">
        <f>J678*Supuestos!$B$7+K678*Supuestos!$B$8+L678*Supuestos!$B$9+M678*Supuestos!$B$10</f>
        <v>49</v>
      </c>
      <c r="O678" s="34" t="str">
        <f t="shared" si="10"/>
        <v>D</v>
      </c>
      <c r="P678" s="10" t="s">
        <v>447</v>
      </c>
      <c r="Q678" s="10" t="s">
        <v>471</v>
      </c>
    </row>
    <row r="679" spans="1:17">
      <c r="A679" s="10" t="s">
        <v>101</v>
      </c>
      <c r="B679" s="10" t="s">
        <v>60</v>
      </c>
      <c r="C679" s="10" t="s">
        <v>239</v>
      </c>
      <c r="D679" s="10" t="s">
        <v>127</v>
      </c>
      <c r="E679" s="10" t="s">
        <v>533</v>
      </c>
      <c r="F679" s="11">
        <v>294.58</v>
      </c>
      <c r="G679" s="11">
        <v>45460.47</v>
      </c>
      <c r="H679" s="12">
        <v>6.4798252435781427E-3</v>
      </c>
      <c r="I679" s="10">
        <v>12</v>
      </c>
      <c r="J679" s="21">
        <v>85</v>
      </c>
      <c r="K679" s="21">
        <v>30</v>
      </c>
      <c r="L679" s="21">
        <v>25</v>
      </c>
      <c r="M679" s="21">
        <v>62.5</v>
      </c>
      <c r="N679" s="21">
        <f>J679*Supuestos!$B$7+K679*Supuestos!$B$8+L679*Supuestos!$B$9+M679*Supuestos!$B$10</f>
        <v>49</v>
      </c>
      <c r="O679" s="34" t="str">
        <f t="shared" si="10"/>
        <v>D</v>
      </c>
      <c r="P679" s="10" t="s">
        <v>447</v>
      </c>
      <c r="Q679" s="10" t="s">
        <v>471</v>
      </c>
    </row>
    <row r="680" spans="1:17">
      <c r="A680" s="10" t="s">
        <v>275</v>
      </c>
      <c r="B680" s="10" t="s">
        <v>71</v>
      </c>
      <c r="C680" s="10" t="s">
        <v>316</v>
      </c>
      <c r="D680" s="10" t="s">
        <v>103</v>
      </c>
      <c r="E680" s="10" t="s">
        <v>532</v>
      </c>
      <c r="F680" s="11">
        <v>84254.75</v>
      </c>
      <c r="G680" s="11">
        <v>1083764</v>
      </c>
      <c r="H680" s="12">
        <v>7.7742710606275647E-2</v>
      </c>
      <c r="I680" s="10">
        <v>4</v>
      </c>
      <c r="J680" s="21">
        <v>100</v>
      </c>
      <c r="K680" s="21">
        <v>0</v>
      </c>
      <c r="L680" s="21">
        <v>55</v>
      </c>
      <c r="M680" s="21">
        <v>50.065548858997772</v>
      </c>
      <c r="N680" s="21">
        <f>J680*Supuestos!$B$7+K680*Supuestos!$B$8+L680*Supuestos!$B$9+M680*Supuestos!$B$10</f>
        <v>48.763109771799556</v>
      </c>
      <c r="O680" s="34" t="str">
        <f t="shared" si="10"/>
        <v>D</v>
      </c>
      <c r="P680" s="10" t="s">
        <v>540</v>
      </c>
      <c r="Q680" s="10" t="s">
        <v>471</v>
      </c>
    </row>
    <row r="681" spans="1:17">
      <c r="A681" s="10" t="s">
        <v>101</v>
      </c>
      <c r="B681" s="10" t="s">
        <v>60</v>
      </c>
      <c r="C681" s="10" t="s">
        <v>364</v>
      </c>
      <c r="D681" s="10" t="s">
        <v>149</v>
      </c>
      <c r="E681" s="10" t="s">
        <v>458</v>
      </c>
      <c r="F681" s="11">
        <v>381.51</v>
      </c>
      <c r="G681" s="11">
        <v>9858.02</v>
      </c>
      <c r="H681" s="12">
        <v>3.870046789500118E-2</v>
      </c>
      <c r="I681" s="10">
        <v>7</v>
      </c>
      <c r="J681" s="21">
        <v>30</v>
      </c>
      <c r="K681" s="21">
        <v>75</v>
      </c>
      <c r="L681" s="21">
        <v>25</v>
      </c>
      <c r="M681" s="21">
        <v>61.25</v>
      </c>
      <c r="N681" s="21">
        <f>J681*Supuestos!$B$7+K681*Supuestos!$B$8+L681*Supuestos!$B$9+M681*Supuestos!$B$10</f>
        <v>48.5</v>
      </c>
      <c r="O681" s="34" t="str">
        <f t="shared" si="10"/>
        <v>D</v>
      </c>
      <c r="P681" s="10" t="s">
        <v>447</v>
      </c>
      <c r="Q681" s="10" t="s">
        <v>436</v>
      </c>
    </row>
    <row r="682" spans="1:17">
      <c r="A682" s="10" t="s">
        <v>101</v>
      </c>
      <c r="B682" s="10" t="s">
        <v>60</v>
      </c>
      <c r="C682" s="10" t="s">
        <v>354</v>
      </c>
      <c r="D682" s="10" t="s">
        <v>149</v>
      </c>
      <c r="E682" s="10" t="s">
        <v>458</v>
      </c>
      <c r="F682" s="11">
        <v>50.24</v>
      </c>
      <c r="G682" s="11">
        <v>1522.91</v>
      </c>
      <c r="H682" s="12">
        <v>3.2991101984941817E-2</v>
      </c>
      <c r="I682" s="10">
        <v>8</v>
      </c>
      <c r="J682" s="21">
        <v>30</v>
      </c>
      <c r="K682" s="21">
        <v>75</v>
      </c>
      <c r="L682" s="21">
        <v>25</v>
      </c>
      <c r="M682" s="21">
        <v>61.25</v>
      </c>
      <c r="N682" s="21">
        <f>J682*Supuestos!$B$7+K682*Supuestos!$B$8+L682*Supuestos!$B$9+M682*Supuestos!$B$10</f>
        <v>48.5</v>
      </c>
      <c r="O682" s="34" t="str">
        <f t="shared" si="10"/>
        <v>D</v>
      </c>
      <c r="P682" s="10" t="s">
        <v>447</v>
      </c>
      <c r="Q682" s="10" t="s">
        <v>436</v>
      </c>
    </row>
    <row r="683" spans="1:17">
      <c r="A683" s="10" t="s">
        <v>165</v>
      </c>
      <c r="B683" s="10" t="s">
        <v>60</v>
      </c>
      <c r="C683" s="10" t="s">
        <v>247</v>
      </c>
      <c r="D683" s="10" t="s">
        <v>103</v>
      </c>
      <c r="E683" s="10" t="s">
        <v>547</v>
      </c>
      <c r="F683" s="11">
        <v>4539.22</v>
      </c>
      <c r="G683" s="11">
        <v>125931.16</v>
      </c>
      <c r="H683" s="12">
        <v>3.6045254977045652E-2</v>
      </c>
      <c r="I683" s="10">
        <v>5</v>
      </c>
      <c r="J683" s="21">
        <v>100</v>
      </c>
      <c r="K683" s="21">
        <v>30</v>
      </c>
      <c r="L683" s="21">
        <v>25</v>
      </c>
      <c r="M683" s="21">
        <v>40</v>
      </c>
      <c r="N683" s="21">
        <f>J683*Supuestos!$B$7+K683*Supuestos!$B$8+L683*Supuestos!$B$9+M683*Supuestos!$B$10</f>
        <v>48.25</v>
      </c>
      <c r="O683" s="34" t="str">
        <f t="shared" si="10"/>
        <v>D</v>
      </c>
      <c r="P683" s="10" t="s">
        <v>447</v>
      </c>
      <c r="Q683" s="10" t="s">
        <v>471</v>
      </c>
    </row>
    <row r="684" spans="1:17">
      <c r="A684" s="10" t="s">
        <v>111</v>
      </c>
      <c r="B684" s="10" t="s">
        <v>69</v>
      </c>
      <c r="C684" s="10" t="s">
        <v>309</v>
      </c>
      <c r="D684" s="10" t="s">
        <v>103</v>
      </c>
      <c r="E684" s="10" t="s">
        <v>548</v>
      </c>
      <c r="F684" s="11">
        <v>4191.9799999999996</v>
      </c>
      <c r="G684" s="11">
        <v>712220.68</v>
      </c>
      <c r="H684" s="12">
        <v>5.8857934669788656E-3</v>
      </c>
      <c r="I684" s="10">
        <v>21</v>
      </c>
      <c r="J684" s="21">
        <v>100</v>
      </c>
      <c r="K684" s="21">
        <v>29.999999999999996</v>
      </c>
      <c r="L684" s="21">
        <v>25</v>
      </c>
      <c r="M684" s="21">
        <v>40</v>
      </c>
      <c r="N684" s="21">
        <f>J684*Supuestos!$B$7+K684*Supuestos!$B$8+L684*Supuestos!$B$9+M684*Supuestos!$B$10</f>
        <v>48.25</v>
      </c>
      <c r="O684" s="34" t="str">
        <f t="shared" si="10"/>
        <v>D</v>
      </c>
      <c r="P684" s="10" t="s">
        <v>447</v>
      </c>
      <c r="Q684" s="10" t="s">
        <v>471</v>
      </c>
    </row>
    <row r="685" spans="1:17">
      <c r="A685" s="10" t="s">
        <v>165</v>
      </c>
      <c r="B685" s="10" t="s">
        <v>60</v>
      </c>
      <c r="C685" s="10" t="s">
        <v>166</v>
      </c>
      <c r="D685" s="10" t="s">
        <v>103</v>
      </c>
      <c r="E685" s="10" t="s">
        <v>547</v>
      </c>
      <c r="F685" s="11">
        <v>3005.28</v>
      </c>
      <c r="G685" s="11">
        <v>929838.13</v>
      </c>
      <c r="H685" s="12">
        <v>3.2320450039021132E-3</v>
      </c>
      <c r="I685" s="10">
        <v>22</v>
      </c>
      <c r="J685" s="21">
        <v>100</v>
      </c>
      <c r="K685" s="21">
        <v>30.000000000000004</v>
      </c>
      <c r="L685" s="21">
        <v>25</v>
      </c>
      <c r="M685" s="21">
        <v>40</v>
      </c>
      <c r="N685" s="21">
        <f>J685*Supuestos!$B$7+K685*Supuestos!$B$8+L685*Supuestos!$B$9+M685*Supuestos!$B$10</f>
        <v>48.25</v>
      </c>
      <c r="O685" s="34" t="str">
        <f t="shared" si="10"/>
        <v>D</v>
      </c>
      <c r="P685" s="10" t="s">
        <v>447</v>
      </c>
      <c r="Q685" s="10" t="s">
        <v>471</v>
      </c>
    </row>
    <row r="686" spans="1:17">
      <c r="A686" s="10" t="s">
        <v>111</v>
      </c>
      <c r="B686" s="10" t="s">
        <v>73</v>
      </c>
      <c r="C686" s="10" t="s">
        <v>418</v>
      </c>
      <c r="D686" s="10" t="s">
        <v>103</v>
      </c>
      <c r="E686" s="10" t="s">
        <v>548</v>
      </c>
      <c r="F686" s="11">
        <v>2983.28</v>
      </c>
      <c r="G686" s="11">
        <v>642203.68000000005</v>
      </c>
      <c r="H686" s="12">
        <v>4.6453868022223663E-3</v>
      </c>
      <c r="I686" s="10">
        <v>22</v>
      </c>
      <c r="J686" s="21">
        <v>100</v>
      </c>
      <c r="K686" s="21">
        <v>30</v>
      </c>
      <c r="L686" s="21">
        <v>25</v>
      </c>
      <c r="M686" s="21">
        <v>40</v>
      </c>
      <c r="N686" s="21">
        <f>J686*Supuestos!$B$7+K686*Supuestos!$B$8+L686*Supuestos!$B$9+M686*Supuestos!$B$10</f>
        <v>48.25</v>
      </c>
      <c r="O686" s="34" t="str">
        <f t="shared" si="10"/>
        <v>D</v>
      </c>
      <c r="P686" s="10" t="s">
        <v>447</v>
      </c>
      <c r="Q686" s="10" t="s">
        <v>471</v>
      </c>
    </row>
    <row r="687" spans="1:17">
      <c r="A687" s="10" t="s">
        <v>215</v>
      </c>
      <c r="B687" s="10" t="s">
        <v>60</v>
      </c>
      <c r="C687" s="10" t="s">
        <v>332</v>
      </c>
      <c r="D687" s="10" t="s">
        <v>103</v>
      </c>
      <c r="E687" s="10" t="s">
        <v>549</v>
      </c>
      <c r="F687" s="11">
        <v>313.76</v>
      </c>
      <c r="G687" s="11">
        <v>251755.6</v>
      </c>
      <c r="H687" s="12">
        <v>1.2462707627344063E-3</v>
      </c>
      <c r="I687" s="10">
        <v>18</v>
      </c>
      <c r="J687" s="21">
        <v>100</v>
      </c>
      <c r="K687" s="21">
        <v>30.000000000000004</v>
      </c>
      <c r="L687" s="21">
        <v>25</v>
      </c>
      <c r="M687" s="21">
        <v>40</v>
      </c>
      <c r="N687" s="21">
        <f>J687*Supuestos!$B$7+K687*Supuestos!$B$8+L687*Supuestos!$B$9+M687*Supuestos!$B$10</f>
        <v>48.25</v>
      </c>
      <c r="O687" s="34" t="str">
        <f t="shared" si="10"/>
        <v>D</v>
      </c>
      <c r="P687" s="10" t="s">
        <v>447</v>
      </c>
      <c r="Q687" s="10" t="s">
        <v>471</v>
      </c>
    </row>
    <row r="688" spans="1:17">
      <c r="A688" s="10" t="s">
        <v>215</v>
      </c>
      <c r="B688" s="10" t="s">
        <v>60</v>
      </c>
      <c r="C688" s="10" t="s">
        <v>216</v>
      </c>
      <c r="D688" s="10" t="s">
        <v>103</v>
      </c>
      <c r="E688" s="10" t="s">
        <v>549</v>
      </c>
      <c r="F688" s="11">
        <v>272.89</v>
      </c>
      <c r="G688" s="11">
        <v>656576.77</v>
      </c>
      <c r="H688" s="12">
        <v>4.1563219136783774E-4</v>
      </c>
      <c r="I688" s="10">
        <v>24</v>
      </c>
      <c r="J688" s="21">
        <v>100</v>
      </c>
      <c r="K688" s="21">
        <v>30</v>
      </c>
      <c r="L688" s="21">
        <v>25</v>
      </c>
      <c r="M688" s="21">
        <v>40</v>
      </c>
      <c r="N688" s="21">
        <f>J688*Supuestos!$B$7+K688*Supuestos!$B$8+L688*Supuestos!$B$9+M688*Supuestos!$B$10</f>
        <v>48.25</v>
      </c>
      <c r="O688" s="34" t="str">
        <f t="shared" si="10"/>
        <v>D</v>
      </c>
      <c r="P688" s="10" t="s">
        <v>447</v>
      </c>
      <c r="Q688" s="10" t="s">
        <v>471</v>
      </c>
    </row>
    <row r="689" spans="1:17">
      <c r="A689" s="10" t="s">
        <v>101</v>
      </c>
      <c r="B689" s="10" t="s">
        <v>60</v>
      </c>
      <c r="C689" s="10" t="s">
        <v>336</v>
      </c>
      <c r="D689" s="10" t="s">
        <v>149</v>
      </c>
      <c r="E689" s="10" t="s">
        <v>478</v>
      </c>
      <c r="F689" s="11">
        <v>81.72</v>
      </c>
      <c r="G689" s="11">
        <v>2849.08</v>
      </c>
      <c r="H689" s="12">
        <v>2.8683801335406572E-2</v>
      </c>
      <c r="I689" s="10">
        <v>4</v>
      </c>
      <c r="J689" s="21">
        <v>30</v>
      </c>
      <c r="K689" s="21">
        <v>75</v>
      </c>
      <c r="L689" s="21">
        <v>25</v>
      </c>
      <c r="M689" s="21">
        <v>56.98968202745877</v>
      </c>
      <c r="N689" s="21">
        <f>J689*Supuestos!$B$7+K689*Supuestos!$B$8+L689*Supuestos!$B$9+M689*Supuestos!$B$10</f>
        <v>47.647936405491755</v>
      </c>
      <c r="O689" s="34" t="str">
        <f t="shared" si="10"/>
        <v>D</v>
      </c>
      <c r="P689" s="10" t="s">
        <v>447</v>
      </c>
      <c r="Q689" s="10" t="s">
        <v>436</v>
      </c>
    </row>
    <row r="690" spans="1:17">
      <c r="A690" s="10" t="s">
        <v>119</v>
      </c>
      <c r="B690" s="10" t="s">
        <v>396</v>
      </c>
      <c r="C690" s="10" t="s">
        <v>397</v>
      </c>
      <c r="D690" s="10" t="s">
        <v>113</v>
      </c>
      <c r="E690" s="10" t="s">
        <v>515</v>
      </c>
      <c r="F690" s="11">
        <v>4063.55</v>
      </c>
      <c r="G690" s="11">
        <v>186817.82</v>
      </c>
      <c r="H690" s="12">
        <v>2.1751418408099146E-2</v>
      </c>
      <c r="I690" s="10">
        <v>4</v>
      </c>
      <c r="J690" s="21">
        <v>75</v>
      </c>
      <c r="K690" s="21">
        <v>33.318904151756513</v>
      </c>
      <c r="L690" s="21">
        <v>25</v>
      </c>
      <c r="M690" s="21">
        <v>63.078660406306753</v>
      </c>
      <c r="N690" s="21">
        <f>J690*Supuestos!$B$7+K690*Supuestos!$B$8+L690*Supuestos!$B$9+M690*Supuestos!$B$10</f>
        <v>47.611403326788299</v>
      </c>
      <c r="O690" s="34" t="str">
        <f t="shared" si="10"/>
        <v>D</v>
      </c>
      <c r="P690" s="10" t="s">
        <v>540</v>
      </c>
      <c r="Q690" s="10" t="s">
        <v>436</v>
      </c>
    </row>
    <row r="691" spans="1:17">
      <c r="A691" s="10" t="s">
        <v>101</v>
      </c>
      <c r="B691" s="10" t="s">
        <v>60</v>
      </c>
      <c r="C691" s="10" t="s">
        <v>364</v>
      </c>
      <c r="D691" s="10" t="s">
        <v>149</v>
      </c>
      <c r="E691" s="10" t="s">
        <v>452</v>
      </c>
      <c r="F691" s="11">
        <v>235.11</v>
      </c>
      <c r="G691" s="11">
        <v>9858.02</v>
      </c>
      <c r="H691" s="12">
        <v>2.3849427687752788E-2</v>
      </c>
      <c r="I691" s="10">
        <v>9</v>
      </c>
      <c r="J691" s="21">
        <v>30</v>
      </c>
      <c r="K691" s="21">
        <v>65</v>
      </c>
      <c r="L691" s="21">
        <v>25</v>
      </c>
      <c r="M691" s="21">
        <v>71.25</v>
      </c>
      <c r="N691" s="21">
        <f>J691*Supuestos!$B$7+K691*Supuestos!$B$8+L691*Supuestos!$B$9+M691*Supuestos!$B$10</f>
        <v>47.5</v>
      </c>
      <c r="O691" s="34" t="str">
        <f t="shared" si="10"/>
        <v>D</v>
      </c>
      <c r="P691" s="10" t="s">
        <v>447</v>
      </c>
      <c r="Q691" s="10" t="s">
        <v>441</v>
      </c>
    </row>
    <row r="692" spans="1:17">
      <c r="A692" s="10" t="s">
        <v>111</v>
      </c>
      <c r="B692" s="10" t="s">
        <v>73</v>
      </c>
      <c r="C692" s="10" t="s">
        <v>418</v>
      </c>
      <c r="D692" s="10" t="s">
        <v>103</v>
      </c>
      <c r="E692" s="10" t="s">
        <v>550</v>
      </c>
      <c r="F692" s="11">
        <v>16903.400000000001</v>
      </c>
      <c r="G692" s="11">
        <v>642203.68000000005</v>
      </c>
      <c r="H692" s="12">
        <v>2.6320936919007103E-2</v>
      </c>
      <c r="I692" s="10">
        <v>9</v>
      </c>
      <c r="J692" s="21">
        <v>100</v>
      </c>
      <c r="K692" s="21">
        <v>30.000000000000007</v>
      </c>
      <c r="L692" s="21">
        <v>25</v>
      </c>
      <c r="M692" s="21">
        <v>35</v>
      </c>
      <c r="N692" s="21">
        <f>J692*Supuestos!$B$7+K692*Supuestos!$B$8+L692*Supuestos!$B$9+M692*Supuestos!$B$10</f>
        <v>47.25</v>
      </c>
      <c r="O692" s="34" t="str">
        <f t="shared" si="10"/>
        <v>D</v>
      </c>
      <c r="P692" s="10" t="s">
        <v>447</v>
      </c>
      <c r="Q692" s="10" t="s">
        <v>471</v>
      </c>
    </row>
    <row r="693" spans="1:17">
      <c r="A693" s="10" t="s">
        <v>119</v>
      </c>
      <c r="B693" s="10" t="s">
        <v>360</v>
      </c>
      <c r="C693" s="10" t="s">
        <v>361</v>
      </c>
      <c r="D693" s="10" t="s">
        <v>103</v>
      </c>
      <c r="E693" s="10" t="s">
        <v>551</v>
      </c>
      <c r="F693" s="11">
        <v>11750.37</v>
      </c>
      <c r="G693" s="11">
        <v>360957.46</v>
      </c>
      <c r="H693" s="12">
        <v>3.2553345001037404E-2</v>
      </c>
      <c r="I693" s="10">
        <v>9</v>
      </c>
      <c r="J693" s="21">
        <v>100</v>
      </c>
      <c r="K693" s="21">
        <v>29.999999999999996</v>
      </c>
      <c r="L693" s="21">
        <v>25</v>
      </c>
      <c r="M693" s="21">
        <v>35</v>
      </c>
      <c r="N693" s="21">
        <f>J693*Supuestos!$B$7+K693*Supuestos!$B$8+L693*Supuestos!$B$9+M693*Supuestos!$B$10</f>
        <v>47.25</v>
      </c>
      <c r="O693" s="34" t="str">
        <f t="shared" si="10"/>
        <v>D</v>
      </c>
      <c r="P693" s="10" t="s">
        <v>447</v>
      </c>
      <c r="Q693" s="10" t="s">
        <v>471</v>
      </c>
    </row>
    <row r="694" spans="1:17">
      <c r="A694" s="10" t="s">
        <v>119</v>
      </c>
      <c r="B694" s="10" t="s">
        <v>383</v>
      </c>
      <c r="C694" s="10" t="s">
        <v>384</v>
      </c>
      <c r="D694" s="10" t="s">
        <v>103</v>
      </c>
      <c r="E694" s="10" t="s">
        <v>552</v>
      </c>
      <c r="F694" s="11">
        <v>8917.7999999999993</v>
      </c>
      <c r="G694" s="11">
        <v>574829.68000000005</v>
      </c>
      <c r="H694" s="12">
        <v>1.5513813364142211E-2</v>
      </c>
      <c r="I694" s="10">
        <v>16</v>
      </c>
      <c r="J694" s="21">
        <v>100</v>
      </c>
      <c r="K694" s="21">
        <v>30.000000000000004</v>
      </c>
      <c r="L694" s="21">
        <v>25</v>
      </c>
      <c r="M694" s="21">
        <v>35</v>
      </c>
      <c r="N694" s="21">
        <f>J694*Supuestos!$B$7+K694*Supuestos!$B$8+L694*Supuestos!$B$9+M694*Supuestos!$B$10</f>
        <v>47.25</v>
      </c>
      <c r="O694" s="34" t="str">
        <f t="shared" si="10"/>
        <v>D</v>
      </c>
      <c r="P694" s="10" t="s">
        <v>447</v>
      </c>
      <c r="Q694" s="10" t="s">
        <v>471</v>
      </c>
    </row>
    <row r="695" spans="1:17">
      <c r="A695" s="10" t="s">
        <v>119</v>
      </c>
      <c r="B695" s="10" t="s">
        <v>360</v>
      </c>
      <c r="C695" s="10" t="s">
        <v>361</v>
      </c>
      <c r="D695" s="10" t="s">
        <v>103</v>
      </c>
      <c r="E695" s="10" t="s">
        <v>553</v>
      </c>
      <c r="F695" s="11">
        <v>6466.28</v>
      </c>
      <c r="G695" s="11">
        <v>360957.46</v>
      </c>
      <c r="H695" s="12">
        <v>1.7914257209140548E-2</v>
      </c>
      <c r="I695" s="10">
        <v>16</v>
      </c>
      <c r="J695" s="21">
        <v>100</v>
      </c>
      <c r="K695" s="21">
        <v>29.999999999999996</v>
      </c>
      <c r="L695" s="21">
        <v>25</v>
      </c>
      <c r="M695" s="21">
        <v>35</v>
      </c>
      <c r="N695" s="21">
        <f>J695*Supuestos!$B$7+K695*Supuestos!$B$8+L695*Supuestos!$B$9+M695*Supuestos!$B$10</f>
        <v>47.25</v>
      </c>
      <c r="O695" s="34" t="str">
        <f t="shared" si="10"/>
        <v>D</v>
      </c>
      <c r="P695" s="10" t="s">
        <v>447</v>
      </c>
      <c r="Q695" s="10" t="s">
        <v>471</v>
      </c>
    </row>
    <row r="696" spans="1:17">
      <c r="A696" s="10" t="s">
        <v>119</v>
      </c>
      <c r="B696" s="10" t="s">
        <v>383</v>
      </c>
      <c r="C696" s="10" t="s">
        <v>384</v>
      </c>
      <c r="D696" s="10" t="s">
        <v>103</v>
      </c>
      <c r="E696" s="10" t="s">
        <v>554</v>
      </c>
      <c r="F696" s="11">
        <v>6053.72</v>
      </c>
      <c r="G696" s="11">
        <v>574829.68000000005</v>
      </c>
      <c r="H696" s="12">
        <v>1.0531331946082925E-2</v>
      </c>
      <c r="I696" s="10">
        <v>17</v>
      </c>
      <c r="J696" s="21">
        <v>100</v>
      </c>
      <c r="K696" s="21">
        <v>30.000000000000004</v>
      </c>
      <c r="L696" s="21">
        <v>25</v>
      </c>
      <c r="M696" s="21">
        <v>35</v>
      </c>
      <c r="N696" s="21">
        <f>J696*Supuestos!$B$7+K696*Supuestos!$B$8+L696*Supuestos!$B$9+M696*Supuestos!$B$10</f>
        <v>47.25</v>
      </c>
      <c r="O696" s="34" t="str">
        <f t="shared" si="10"/>
        <v>D</v>
      </c>
      <c r="P696" s="10" t="s">
        <v>447</v>
      </c>
      <c r="Q696" s="10" t="s">
        <v>471</v>
      </c>
    </row>
    <row r="697" spans="1:17">
      <c r="A697" s="10" t="s">
        <v>119</v>
      </c>
      <c r="B697" s="10" t="s">
        <v>383</v>
      </c>
      <c r="C697" s="10" t="s">
        <v>384</v>
      </c>
      <c r="D697" s="10" t="s">
        <v>103</v>
      </c>
      <c r="E697" s="10" t="s">
        <v>555</v>
      </c>
      <c r="F697" s="11">
        <v>5799.46</v>
      </c>
      <c r="G697" s="11">
        <v>574829.68000000005</v>
      </c>
      <c r="H697" s="12">
        <v>1.0088997181591508E-2</v>
      </c>
      <c r="I697" s="10">
        <v>18</v>
      </c>
      <c r="J697" s="21">
        <v>100</v>
      </c>
      <c r="K697" s="21">
        <v>30</v>
      </c>
      <c r="L697" s="21">
        <v>25</v>
      </c>
      <c r="M697" s="21">
        <v>35</v>
      </c>
      <c r="N697" s="21">
        <f>J697*Supuestos!$B$7+K697*Supuestos!$B$8+L697*Supuestos!$B$9+M697*Supuestos!$B$10</f>
        <v>47.25</v>
      </c>
      <c r="O697" s="34" t="str">
        <f t="shared" si="10"/>
        <v>D</v>
      </c>
      <c r="P697" s="10" t="s">
        <v>447</v>
      </c>
      <c r="Q697" s="10" t="s">
        <v>471</v>
      </c>
    </row>
    <row r="698" spans="1:17">
      <c r="A698" s="10" t="s">
        <v>111</v>
      </c>
      <c r="B698" s="10" t="s">
        <v>69</v>
      </c>
      <c r="C698" s="10" t="s">
        <v>309</v>
      </c>
      <c r="D698" s="10" t="s">
        <v>103</v>
      </c>
      <c r="E698" s="10" t="s">
        <v>556</v>
      </c>
      <c r="F698" s="11">
        <v>5736.6</v>
      </c>
      <c r="G698" s="11">
        <v>712220.68</v>
      </c>
      <c r="H698" s="12">
        <v>8.0545256194865036E-3</v>
      </c>
      <c r="I698" s="10">
        <v>20</v>
      </c>
      <c r="J698" s="21">
        <v>100</v>
      </c>
      <c r="K698" s="21">
        <v>30.000000000000004</v>
      </c>
      <c r="L698" s="21">
        <v>25</v>
      </c>
      <c r="M698" s="21">
        <v>35</v>
      </c>
      <c r="N698" s="21">
        <f>J698*Supuestos!$B$7+K698*Supuestos!$B$8+L698*Supuestos!$B$9+M698*Supuestos!$B$10</f>
        <v>47.25</v>
      </c>
      <c r="O698" s="34" t="str">
        <f t="shared" si="10"/>
        <v>D</v>
      </c>
      <c r="P698" s="10" t="s">
        <v>447</v>
      </c>
      <c r="Q698" s="10" t="s">
        <v>471</v>
      </c>
    </row>
    <row r="699" spans="1:17">
      <c r="A699" s="10" t="s">
        <v>255</v>
      </c>
      <c r="B699" s="10" t="s">
        <v>60</v>
      </c>
      <c r="C699" s="10" t="s">
        <v>328</v>
      </c>
      <c r="D699" s="10" t="s">
        <v>103</v>
      </c>
      <c r="E699" s="10" t="s">
        <v>557</v>
      </c>
      <c r="F699" s="11">
        <v>1093.25</v>
      </c>
      <c r="G699" s="11">
        <v>132474.79999999999</v>
      </c>
      <c r="H699" s="12">
        <v>8.2524794154880989E-3</v>
      </c>
      <c r="I699" s="10">
        <v>15</v>
      </c>
      <c r="J699" s="21">
        <v>100</v>
      </c>
      <c r="K699" s="21">
        <v>30</v>
      </c>
      <c r="L699" s="21">
        <v>25</v>
      </c>
      <c r="M699" s="21">
        <v>35</v>
      </c>
      <c r="N699" s="21">
        <f>J699*Supuestos!$B$7+K699*Supuestos!$B$8+L699*Supuestos!$B$9+M699*Supuestos!$B$10</f>
        <v>47.25</v>
      </c>
      <c r="O699" s="34" t="str">
        <f t="shared" si="10"/>
        <v>D</v>
      </c>
      <c r="P699" s="10" t="s">
        <v>447</v>
      </c>
      <c r="Q699" s="10" t="s">
        <v>471</v>
      </c>
    </row>
    <row r="700" spans="1:17">
      <c r="A700" s="10" t="s">
        <v>119</v>
      </c>
      <c r="B700" s="10" t="s">
        <v>360</v>
      </c>
      <c r="C700" s="10" t="s">
        <v>361</v>
      </c>
      <c r="D700" s="10" t="s">
        <v>103</v>
      </c>
      <c r="E700" s="10" t="s">
        <v>558</v>
      </c>
      <c r="F700" s="11">
        <v>541.78</v>
      </c>
      <c r="G700" s="11">
        <v>360957.46</v>
      </c>
      <c r="H700" s="12">
        <v>1.5009406429459325E-3</v>
      </c>
      <c r="I700" s="10">
        <v>20</v>
      </c>
      <c r="J700" s="21">
        <v>100</v>
      </c>
      <c r="K700" s="21">
        <v>30</v>
      </c>
      <c r="L700" s="21">
        <v>25</v>
      </c>
      <c r="M700" s="21">
        <v>35</v>
      </c>
      <c r="N700" s="21">
        <f>J700*Supuestos!$B$7+K700*Supuestos!$B$8+L700*Supuestos!$B$9+M700*Supuestos!$B$10</f>
        <v>47.25</v>
      </c>
      <c r="O700" s="34" t="str">
        <f t="shared" si="10"/>
        <v>D</v>
      </c>
      <c r="P700" s="10" t="s">
        <v>447</v>
      </c>
      <c r="Q700" s="10" t="s">
        <v>471</v>
      </c>
    </row>
    <row r="701" spans="1:17">
      <c r="A701" s="10" t="s">
        <v>119</v>
      </c>
      <c r="B701" s="10" t="s">
        <v>360</v>
      </c>
      <c r="C701" s="10" t="s">
        <v>361</v>
      </c>
      <c r="D701" s="10" t="s">
        <v>103</v>
      </c>
      <c r="E701" s="10" t="s">
        <v>559</v>
      </c>
      <c r="F701" s="11">
        <v>155.94</v>
      </c>
      <c r="G701" s="11">
        <v>360957.46</v>
      </c>
      <c r="H701" s="12">
        <v>4.3201677765216263E-4</v>
      </c>
      <c r="I701" s="10">
        <v>23</v>
      </c>
      <c r="J701" s="21">
        <v>100</v>
      </c>
      <c r="K701" s="21">
        <v>30</v>
      </c>
      <c r="L701" s="21">
        <v>25</v>
      </c>
      <c r="M701" s="21">
        <v>35</v>
      </c>
      <c r="N701" s="21">
        <f>J701*Supuestos!$B$7+K701*Supuestos!$B$8+L701*Supuestos!$B$9+M701*Supuestos!$B$10</f>
        <v>47.25</v>
      </c>
      <c r="O701" s="34" t="str">
        <f t="shared" si="10"/>
        <v>D</v>
      </c>
      <c r="P701" s="10" t="s">
        <v>447</v>
      </c>
      <c r="Q701" s="10" t="s">
        <v>471</v>
      </c>
    </row>
    <row r="702" spans="1:17">
      <c r="A702" s="10" t="s">
        <v>215</v>
      </c>
      <c r="B702" s="10" t="s">
        <v>60</v>
      </c>
      <c r="C702" s="10" t="s">
        <v>216</v>
      </c>
      <c r="D702" s="10" t="s">
        <v>103</v>
      </c>
      <c r="E702" s="10" t="s">
        <v>560</v>
      </c>
      <c r="F702" s="11">
        <v>146.35</v>
      </c>
      <c r="G702" s="11">
        <v>656576.77</v>
      </c>
      <c r="H702" s="12">
        <v>2.2289824166556296E-4</v>
      </c>
      <c r="I702" s="10">
        <v>25</v>
      </c>
      <c r="J702" s="21">
        <v>100</v>
      </c>
      <c r="K702" s="21">
        <v>30</v>
      </c>
      <c r="L702" s="21">
        <v>25</v>
      </c>
      <c r="M702" s="21">
        <v>35</v>
      </c>
      <c r="N702" s="21">
        <f>J702*Supuestos!$B$7+K702*Supuestos!$B$8+L702*Supuestos!$B$9+M702*Supuestos!$B$10</f>
        <v>47.25</v>
      </c>
      <c r="O702" s="34" t="str">
        <f t="shared" si="10"/>
        <v>D</v>
      </c>
      <c r="P702" s="10" t="s">
        <v>447</v>
      </c>
      <c r="Q702" s="10" t="s">
        <v>471</v>
      </c>
    </row>
    <row r="703" spans="1:17">
      <c r="A703" s="10" t="s">
        <v>101</v>
      </c>
      <c r="B703" s="10" t="s">
        <v>60</v>
      </c>
      <c r="C703" s="10" t="s">
        <v>271</v>
      </c>
      <c r="D703" s="10" t="s">
        <v>149</v>
      </c>
      <c r="E703" s="10" t="s">
        <v>497</v>
      </c>
      <c r="F703" s="11">
        <v>208.01</v>
      </c>
      <c r="G703" s="11">
        <v>5062.1000000000004</v>
      </c>
      <c r="H703" s="12">
        <v>4.109095401849145E-2</v>
      </c>
      <c r="I703" s="10">
        <v>9</v>
      </c>
      <c r="J703" s="21">
        <v>30</v>
      </c>
      <c r="K703" s="21">
        <v>65</v>
      </c>
      <c r="L703" s="21">
        <v>25</v>
      </c>
      <c r="M703" s="21">
        <v>66.25</v>
      </c>
      <c r="N703" s="21">
        <f>J703*Supuestos!$B$7+K703*Supuestos!$B$8+L703*Supuestos!$B$9+M703*Supuestos!$B$10</f>
        <v>46.5</v>
      </c>
      <c r="O703" s="34" t="str">
        <f t="shared" si="10"/>
        <v>D</v>
      </c>
      <c r="P703" s="10" t="s">
        <v>447</v>
      </c>
      <c r="Q703" s="10" t="s">
        <v>441</v>
      </c>
    </row>
    <row r="704" spans="1:17">
      <c r="A704" s="10" t="s">
        <v>255</v>
      </c>
      <c r="B704" s="10" t="s">
        <v>60</v>
      </c>
      <c r="C704" s="10" t="s">
        <v>256</v>
      </c>
      <c r="D704" s="10" t="s">
        <v>103</v>
      </c>
      <c r="E704" s="10" t="s">
        <v>539</v>
      </c>
      <c r="F704" s="11">
        <v>1466.74</v>
      </c>
      <c r="G704" s="11">
        <v>351341.95</v>
      </c>
      <c r="H704" s="12">
        <v>4.1746790505606578E-3</v>
      </c>
      <c r="I704" s="10">
        <v>23</v>
      </c>
      <c r="J704" s="21">
        <v>100</v>
      </c>
      <c r="K704" s="21">
        <v>20.113210765327516</v>
      </c>
      <c r="L704" s="21">
        <v>25</v>
      </c>
      <c r="M704" s="21">
        <v>44.023032758127854</v>
      </c>
      <c r="N704" s="21">
        <f>J704*Supuestos!$B$7+K704*Supuestos!$B$8+L704*Supuestos!$B$9+M704*Supuestos!$B$10</f>
        <v>46.088569781223825</v>
      </c>
      <c r="O704" s="34" t="str">
        <f t="shared" si="10"/>
        <v>D</v>
      </c>
      <c r="P704" s="10" t="s">
        <v>540</v>
      </c>
      <c r="Q704" s="10" t="s">
        <v>471</v>
      </c>
    </row>
    <row r="705" spans="1:17">
      <c r="A705" s="10" t="s">
        <v>101</v>
      </c>
      <c r="B705" s="10" t="s">
        <v>60</v>
      </c>
      <c r="C705" s="10" t="s">
        <v>320</v>
      </c>
      <c r="D705" s="10" t="s">
        <v>127</v>
      </c>
      <c r="E705" s="10" t="s">
        <v>546</v>
      </c>
      <c r="F705" s="11">
        <v>397.77</v>
      </c>
      <c r="G705" s="11">
        <v>19670.240000000002</v>
      </c>
      <c r="H705" s="12">
        <v>2.0221982538579514E-2</v>
      </c>
      <c r="I705" s="10">
        <v>13</v>
      </c>
      <c r="J705" s="21">
        <v>85</v>
      </c>
      <c r="K705" s="21">
        <v>30</v>
      </c>
      <c r="L705" s="21">
        <v>25</v>
      </c>
      <c r="M705" s="21">
        <v>45</v>
      </c>
      <c r="N705" s="21">
        <f>J705*Supuestos!$B$7+K705*Supuestos!$B$8+L705*Supuestos!$B$9+M705*Supuestos!$B$10</f>
        <v>45.5</v>
      </c>
      <c r="O705" s="34" t="str">
        <f t="shared" si="10"/>
        <v>D</v>
      </c>
      <c r="P705" s="10" t="s">
        <v>447</v>
      </c>
      <c r="Q705" s="10" t="s">
        <v>471</v>
      </c>
    </row>
    <row r="706" spans="1:17">
      <c r="A706" s="10" t="s">
        <v>119</v>
      </c>
      <c r="B706" s="10" t="s">
        <v>360</v>
      </c>
      <c r="C706" s="10" t="s">
        <v>361</v>
      </c>
      <c r="D706" s="10" t="s">
        <v>103</v>
      </c>
      <c r="E706" s="10" t="s">
        <v>561</v>
      </c>
      <c r="F706" s="11">
        <v>21629.8</v>
      </c>
      <c r="G706" s="11">
        <v>360957.46</v>
      </c>
      <c r="H706" s="12">
        <v>5.9923412726151877E-2</v>
      </c>
      <c r="I706" s="10">
        <v>6</v>
      </c>
      <c r="J706" s="21">
        <v>100</v>
      </c>
      <c r="K706" s="21">
        <v>0</v>
      </c>
      <c r="L706" s="21">
        <v>55</v>
      </c>
      <c r="M706" s="21">
        <v>32.5</v>
      </c>
      <c r="N706" s="21">
        <f>J706*Supuestos!$B$7+K706*Supuestos!$B$8+L706*Supuestos!$B$9+M706*Supuestos!$B$10</f>
        <v>45.25</v>
      </c>
      <c r="O706" s="34" t="str">
        <f t="shared" si="10"/>
        <v>D</v>
      </c>
      <c r="P706" s="10" t="s">
        <v>540</v>
      </c>
      <c r="Q706" s="10" t="s">
        <v>471</v>
      </c>
    </row>
    <row r="707" spans="1:17">
      <c r="A707" s="10" t="s">
        <v>111</v>
      </c>
      <c r="B707" s="10" t="s">
        <v>69</v>
      </c>
      <c r="C707" s="10" t="s">
        <v>309</v>
      </c>
      <c r="D707" s="10" t="s">
        <v>103</v>
      </c>
      <c r="E707" s="10" t="s">
        <v>539</v>
      </c>
      <c r="F707" s="11">
        <v>7575.17</v>
      </c>
      <c r="G707" s="11">
        <v>712220.68</v>
      </c>
      <c r="H707" s="12">
        <v>1.0635981629822459E-2</v>
      </c>
      <c r="I707" s="10">
        <v>16</v>
      </c>
      <c r="J707" s="21">
        <v>100</v>
      </c>
      <c r="K707" s="21">
        <v>16.391319903126377</v>
      </c>
      <c r="L707" s="21">
        <v>25</v>
      </c>
      <c r="M707" s="21">
        <v>44.023032758127854</v>
      </c>
      <c r="N707" s="21">
        <f>J707*Supuestos!$B$7+K707*Supuestos!$B$8+L707*Supuestos!$B$9+M707*Supuestos!$B$10</f>
        <v>44.972002522563486</v>
      </c>
      <c r="O707" s="34" t="str">
        <f t="shared" si="10"/>
        <v>D</v>
      </c>
      <c r="P707" s="10" t="s">
        <v>540</v>
      </c>
      <c r="Q707" s="10" t="s">
        <v>471</v>
      </c>
    </row>
    <row r="708" spans="1:17">
      <c r="A708" s="10" t="s">
        <v>119</v>
      </c>
      <c r="B708" s="10" t="s">
        <v>396</v>
      </c>
      <c r="C708" s="10" t="s">
        <v>397</v>
      </c>
      <c r="D708" s="10" t="s">
        <v>113</v>
      </c>
      <c r="E708" s="10" t="s">
        <v>525</v>
      </c>
      <c r="F708" s="11">
        <v>2443.35</v>
      </c>
      <c r="G708" s="11">
        <v>186817.82</v>
      </c>
      <c r="H708" s="12">
        <v>1.3078805078290193E-2</v>
      </c>
      <c r="I708" s="10">
        <v>8</v>
      </c>
      <c r="J708" s="21">
        <v>75</v>
      </c>
      <c r="K708" s="21">
        <v>30.000000000000004</v>
      </c>
      <c r="L708" s="21">
        <v>25</v>
      </c>
      <c r="M708" s="21">
        <v>52.5</v>
      </c>
      <c r="N708" s="21">
        <f>J708*Supuestos!$B$7+K708*Supuestos!$B$8+L708*Supuestos!$B$9+M708*Supuestos!$B$10</f>
        <v>44.5</v>
      </c>
      <c r="O708" s="34" t="str">
        <f t="shared" si="10"/>
        <v>D</v>
      </c>
      <c r="P708" s="10" t="s">
        <v>447</v>
      </c>
      <c r="Q708" s="10" t="s">
        <v>471</v>
      </c>
    </row>
    <row r="709" spans="1:17">
      <c r="A709" s="10" t="s">
        <v>101</v>
      </c>
      <c r="B709" s="10" t="s">
        <v>60</v>
      </c>
      <c r="C709" s="10" t="s">
        <v>325</v>
      </c>
      <c r="D709" s="10" t="s">
        <v>149</v>
      </c>
      <c r="E709" s="10" t="s">
        <v>547</v>
      </c>
      <c r="F709" s="11">
        <v>483.77</v>
      </c>
      <c r="G709" s="11">
        <v>3886.23</v>
      </c>
      <c r="H709" s="12">
        <v>0.12448232946376843</v>
      </c>
      <c r="I709" s="10">
        <v>4</v>
      </c>
      <c r="J709" s="21">
        <v>30</v>
      </c>
      <c r="K709" s="21">
        <v>30</v>
      </c>
      <c r="L709" s="21">
        <v>80</v>
      </c>
      <c r="M709" s="21">
        <v>40</v>
      </c>
      <c r="N709" s="21">
        <f>J709*Supuestos!$B$7+K709*Supuestos!$B$8+L709*Supuestos!$B$9+M709*Supuestos!$B$10</f>
        <v>44.5</v>
      </c>
      <c r="O709" s="34" t="str">
        <f t="shared" ref="O709:O733" si="11">IF(N709&gt;=80,"A",IF(N709&gt;=65,"B",IF(N709&gt;=50,"C","D")))</f>
        <v>D</v>
      </c>
      <c r="P709" s="10" t="s">
        <v>447</v>
      </c>
      <c r="Q709" s="10" t="s">
        <v>471</v>
      </c>
    </row>
    <row r="710" spans="1:17">
      <c r="A710" s="10" t="s">
        <v>119</v>
      </c>
      <c r="B710" s="10" t="s">
        <v>360</v>
      </c>
      <c r="C710" s="10" t="s">
        <v>361</v>
      </c>
      <c r="D710" s="10" t="s">
        <v>103</v>
      </c>
      <c r="E710" s="10" t="s">
        <v>562</v>
      </c>
      <c r="F710" s="11">
        <v>19512.71</v>
      </c>
      <c r="G710" s="11">
        <v>360957.46</v>
      </c>
      <c r="H710" s="12">
        <v>5.4058207406986802E-2</v>
      </c>
      <c r="I710" s="10">
        <v>7</v>
      </c>
      <c r="J710" s="21">
        <v>100</v>
      </c>
      <c r="K710" s="21">
        <v>0</v>
      </c>
      <c r="L710" s="21">
        <v>55</v>
      </c>
      <c r="M710" s="21">
        <v>27.5</v>
      </c>
      <c r="N710" s="21">
        <f>J710*Supuestos!$B$7+K710*Supuestos!$B$8+L710*Supuestos!$B$9+M710*Supuestos!$B$10</f>
        <v>44.25</v>
      </c>
      <c r="O710" s="34" t="str">
        <f t="shared" si="11"/>
        <v>D</v>
      </c>
      <c r="P710" s="10" t="s">
        <v>540</v>
      </c>
      <c r="Q710" s="10" t="s">
        <v>471</v>
      </c>
    </row>
    <row r="711" spans="1:17">
      <c r="A711" s="10" t="s">
        <v>101</v>
      </c>
      <c r="B711" s="10" t="s">
        <v>60</v>
      </c>
      <c r="C711" s="10" t="s">
        <v>264</v>
      </c>
      <c r="D711" s="10" t="s">
        <v>149</v>
      </c>
      <c r="E711" s="10" t="s">
        <v>530</v>
      </c>
      <c r="F711" s="11">
        <v>148.85</v>
      </c>
      <c r="G711" s="11">
        <v>17196.84</v>
      </c>
      <c r="H711" s="12">
        <v>8.6557461843191751E-3</v>
      </c>
      <c r="I711" s="10">
        <v>8</v>
      </c>
      <c r="J711" s="21">
        <v>30</v>
      </c>
      <c r="K711" s="21">
        <v>65</v>
      </c>
      <c r="L711" s="21">
        <v>25</v>
      </c>
      <c r="M711" s="21">
        <v>53.75</v>
      </c>
      <c r="N711" s="21">
        <f>J711*Supuestos!$B$7+K711*Supuestos!$B$8+L711*Supuestos!$B$9+M711*Supuestos!$B$10</f>
        <v>44</v>
      </c>
      <c r="O711" s="34" t="str">
        <f t="shared" si="11"/>
        <v>D</v>
      </c>
      <c r="P711" s="10" t="s">
        <v>447</v>
      </c>
      <c r="Q711" s="10" t="s">
        <v>441</v>
      </c>
    </row>
    <row r="712" spans="1:17">
      <c r="A712" s="10" t="s">
        <v>255</v>
      </c>
      <c r="B712" s="10" t="s">
        <v>60</v>
      </c>
      <c r="C712" s="10" t="s">
        <v>392</v>
      </c>
      <c r="D712" s="10" t="s">
        <v>103</v>
      </c>
      <c r="E712" s="10" t="s">
        <v>515</v>
      </c>
      <c r="F712" s="11">
        <v>1004.85</v>
      </c>
      <c r="G712" s="11">
        <v>180471.74</v>
      </c>
      <c r="H712" s="12">
        <v>5.5679184103197893E-3</v>
      </c>
      <c r="I712" s="10">
        <v>14</v>
      </c>
      <c r="J712" s="21">
        <v>100</v>
      </c>
      <c r="K712" s="21">
        <v>0</v>
      </c>
      <c r="L712" s="21">
        <v>25</v>
      </c>
      <c r="M712" s="21">
        <v>63.078660406306753</v>
      </c>
      <c r="N712" s="21">
        <f>J712*Supuestos!$B$7+K712*Supuestos!$B$8+L712*Supuestos!$B$9+M712*Supuestos!$B$10</f>
        <v>43.865732081261349</v>
      </c>
      <c r="O712" s="34" t="str">
        <f t="shared" si="11"/>
        <v>D</v>
      </c>
      <c r="P712" s="10" t="s">
        <v>540</v>
      </c>
      <c r="Q712" s="10" t="s">
        <v>471</v>
      </c>
    </row>
    <row r="713" spans="1:17">
      <c r="A713" s="10" t="s">
        <v>101</v>
      </c>
      <c r="B713" s="10" t="s">
        <v>60</v>
      </c>
      <c r="C713" s="10" t="s">
        <v>183</v>
      </c>
      <c r="D713" s="10" t="s">
        <v>149</v>
      </c>
      <c r="E713" s="10" t="s">
        <v>470</v>
      </c>
      <c r="F713" s="11">
        <v>133.22</v>
      </c>
      <c r="G713" s="11">
        <v>6614.7</v>
      </c>
      <c r="H713" s="12">
        <v>2.0139368210054548E-2</v>
      </c>
      <c r="I713" s="10">
        <v>8</v>
      </c>
      <c r="J713" s="21">
        <v>30</v>
      </c>
      <c r="K713" s="21">
        <v>60</v>
      </c>
      <c r="L713" s="21">
        <v>25</v>
      </c>
      <c r="M713" s="21">
        <v>59.990545989455306</v>
      </c>
      <c r="N713" s="21">
        <f>J713*Supuestos!$B$7+K713*Supuestos!$B$8+L713*Supuestos!$B$9+M713*Supuestos!$B$10</f>
        <v>43.748109197891061</v>
      </c>
      <c r="O713" s="34" t="str">
        <f t="shared" si="11"/>
        <v>D</v>
      </c>
      <c r="P713" s="10" t="s">
        <v>435</v>
      </c>
      <c r="Q713" s="10" t="s">
        <v>471</v>
      </c>
    </row>
    <row r="714" spans="1:17">
      <c r="A714" s="10" t="s">
        <v>111</v>
      </c>
      <c r="B714" s="10" t="s">
        <v>60</v>
      </c>
      <c r="C714" s="10" t="s">
        <v>199</v>
      </c>
      <c r="D714" s="10" t="s">
        <v>149</v>
      </c>
      <c r="E714" s="10" t="s">
        <v>532</v>
      </c>
      <c r="F714" s="11">
        <v>5497.29</v>
      </c>
      <c r="G714" s="11">
        <v>13727.64</v>
      </c>
      <c r="H714" s="12">
        <v>0.40045407777790437</v>
      </c>
      <c r="I714" s="10">
        <v>2</v>
      </c>
      <c r="J714" s="21">
        <v>30</v>
      </c>
      <c r="K714" s="21">
        <v>0</v>
      </c>
      <c r="L714" s="21">
        <v>100</v>
      </c>
      <c r="M714" s="21">
        <v>50.065548858997772</v>
      </c>
      <c r="N714" s="21">
        <f>J714*Supuestos!$B$7+K714*Supuestos!$B$8+L714*Supuestos!$B$9+M714*Supuestos!$B$10</f>
        <v>42.513109771799556</v>
      </c>
      <c r="O714" s="34" t="str">
        <f t="shared" si="11"/>
        <v>D</v>
      </c>
      <c r="P714" s="10" t="s">
        <v>540</v>
      </c>
      <c r="Q714" s="10" t="s">
        <v>471</v>
      </c>
    </row>
    <row r="715" spans="1:17">
      <c r="A715" s="10" t="s">
        <v>101</v>
      </c>
      <c r="B715" s="10" t="s">
        <v>60</v>
      </c>
      <c r="C715" s="10" t="s">
        <v>292</v>
      </c>
      <c r="D715" s="10" t="s">
        <v>149</v>
      </c>
      <c r="E715" s="10" t="s">
        <v>532</v>
      </c>
      <c r="F715" s="11">
        <v>97.78</v>
      </c>
      <c r="G715" s="11">
        <v>277.27</v>
      </c>
      <c r="H715" s="12">
        <v>0.3526315789473683</v>
      </c>
      <c r="I715" s="10">
        <v>1</v>
      </c>
      <c r="J715" s="21">
        <v>30</v>
      </c>
      <c r="K715" s="21">
        <v>0</v>
      </c>
      <c r="L715" s="21">
        <v>100</v>
      </c>
      <c r="M715" s="21">
        <v>50.065548858997772</v>
      </c>
      <c r="N715" s="21">
        <f>J715*Supuestos!$B$7+K715*Supuestos!$B$8+L715*Supuestos!$B$9+M715*Supuestos!$B$10</f>
        <v>42.513109771799556</v>
      </c>
      <c r="O715" s="34" t="str">
        <f t="shared" si="11"/>
        <v>D</v>
      </c>
      <c r="P715" s="10" t="s">
        <v>540</v>
      </c>
      <c r="Q715" s="10" t="s">
        <v>471</v>
      </c>
    </row>
    <row r="716" spans="1:17">
      <c r="A716" s="10" t="s">
        <v>215</v>
      </c>
      <c r="B716" s="10" t="s">
        <v>60</v>
      </c>
      <c r="C716" s="10" t="s">
        <v>332</v>
      </c>
      <c r="D716" s="10" t="s">
        <v>103</v>
      </c>
      <c r="E716" s="10" t="s">
        <v>532</v>
      </c>
      <c r="F716" s="11">
        <v>4085.08</v>
      </c>
      <c r="G716" s="11">
        <v>251755.6</v>
      </c>
      <c r="H716" s="12">
        <v>1.6226362522113416E-2</v>
      </c>
      <c r="I716" s="10">
        <v>11</v>
      </c>
      <c r="J716" s="21">
        <v>100</v>
      </c>
      <c r="K716" s="21">
        <v>0</v>
      </c>
      <c r="L716" s="21">
        <v>25</v>
      </c>
      <c r="M716" s="21">
        <v>50.065548858997772</v>
      </c>
      <c r="N716" s="21">
        <f>J716*Supuestos!$B$7+K716*Supuestos!$B$8+L716*Supuestos!$B$9+M716*Supuestos!$B$10</f>
        <v>41.263109771799556</v>
      </c>
      <c r="O716" s="34" t="str">
        <f t="shared" si="11"/>
        <v>D</v>
      </c>
      <c r="P716" s="10" t="s">
        <v>540</v>
      </c>
      <c r="Q716" s="10" t="s">
        <v>471</v>
      </c>
    </row>
    <row r="717" spans="1:17">
      <c r="A717" s="10" t="s">
        <v>255</v>
      </c>
      <c r="B717" s="10" t="s">
        <v>60</v>
      </c>
      <c r="C717" s="10" t="s">
        <v>256</v>
      </c>
      <c r="D717" s="10" t="s">
        <v>103</v>
      </c>
      <c r="E717" s="10" t="s">
        <v>534</v>
      </c>
      <c r="F717" s="11">
        <v>2473.04</v>
      </c>
      <c r="G717" s="11">
        <v>351341.95</v>
      </c>
      <c r="H717" s="12">
        <v>7.0388427681241433E-3</v>
      </c>
      <c r="I717" s="10">
        <v>21</v>
      </c>
      <c r="J717" s="21">
        <v>100</v>
      </c>
      <c r="K717" s="21">
        <v>0</v>
      </c>
      <c r="L717" s="21">
        <v>25</v>
      </c>
      <c r="M717" s="21">
        <v>47.402404057991838</v>
      </c>
      <c r="N717" s="21">
        <f>J717*Supuestos!$B$7+K717*Supuestos!$B$8+L717*Supuestos!$B$9+M717*Supuestos!$B$10</f>
        <v>40.730480811598369</v>
      </c>
      <c r="O717" s="34" t="str">
        <f t="shared" si="11"/>
        <v>D</v>
      </c>
      <c r="P717" s="10" t="s">
        <v>540</v>
      </c>
      <c r="Q717" s="10" t="s">
        <v>471</v>
      </c>
    </row>
    <row r="718" spans="1:17">
      <c r="A718" s="10" t="s">
        <v>165</v>
      </c>
      <c r="B718" s="10" t="s">
        <v>60</v>
      </c>
      <c r="C718" s="10" t="s">
        <v>302</v>
      </c>
      <c r="D718" s="10" t="s">
        <v>103</v>
      </c>
      <c r="E718" s="10" t="s">
        <v>490</v>
      </c>
      <c r="F718" s="11">
        <v>554.54</v>
      </c>
      <c r="G718" s="11">
        <v>357771.85</v>
      </c>
      <c r="H718" s="12">
        <v>1.549995767882014E-3</v>
      </c>
      <c r="I718" s="10">
        <v>18</v>
      </c>
      <c r="J718" s="21">
        <v>100</v>
      </c>
      <c r="K718" s="21">
        <v>0</v>
      </c>
      <c r="L718" s="21">
        <v>25</v>
      </c>
      <c r="M718" s="21">
        <v>47.222331828079561</v>
      </c>
      <c r="N718" s="21">
        <f>J718*Supuestos!$B$7+K718*Supuestos!$B$8+L718*Supuestos!$B$9+M718*Supuestos!$B$10</f>
        <v>40.694466365615909</v>
      </c>
      <c r="O718" s="34" t="str">
        <f t="shared" si="11"/>
        <v>D</v>
      </c>
      <c r="P718" s="10" t="s">
        <v>540</v>
      </c>
      <c r="Q718" s="10" t="s">
        <v>471</v>
      </c>
    </row>
    <row r="719" spans="1:17">
      <c r="A719" s="10" t="s">
        <v>275</v>
      </c>
      <c r="B719" s="10" t="s">
        <v>71</v>
      </c>
      <c r="C719" s="10" t="s">
        <v>316</v>
      </c>
      <c r="D719" s="10" t="s">
        <v>103</v>
      </c>
      <c r="E719" s="10" t="s">
        <v>563</v>
      </c>
      <c r="F719" s="11">
        <v>10151.379999999999</v>
      </c>
      <c r="G719" s="11">
        <v>1083764</v>
      </c>
      <c r="H719" s="12">
        <v>9.366782721889351E-3</v>
      </c>
      <c r="I719" s="10">
        <v>16</v>
      </c>
      <c r="J719" s="21">
        <v>100</v>
      </c>
      <c r="K719" s="21">
        <v>0</v>
      </c>
      <c r="L719" s="21">
        <v>25</v>
      </c>
      <c r="M719" s="21">
        <v>32.5</v>
      </c>
      <c r="N719" s="21">
        <f>J719*Supuestos!$B$7+K719*Supuestos!$B$8+L719*Supuestos!$B$9+M719*Supuestos!$B$10</f>
        <v>37.75</v>
      </c>
      <c r="O719" s="34" t="str">
        <f t="shared" si="11"/>
        <v>D</v>
      </c>
      <c r="P719" s="10" t="s">
        <v>540</v>
      </c>
      <c r="Q719" s="10" t="s">
        <v>471</v>
      </c>
    </row>
    <row r="720" spans="1:17">
      <c r="A720" s="10" t="s">
        <v>215</v>
      </c>
      <c r="B720" s="10" t="s">
        <v>60</v>
      </c>
      <c r="C720" s="10" t="s">
        <v>410</v>
      </c>
      <c r="D720" s="10" t="s">
        <v>103</v>
      </c>
      <c r="E720" s="10" t="s">
        <v>564</v>
      </c>
      <c r="F720" s="11">
        <v>2635.55</v>
      </c>
      <c r="G720" s="11">
        <v>273779.84999999998</v>
      </c>
      <c r="H720" s="12">
        <v>9.6265206569480753E-3</v>
      </c>
      <c r="I720" s="10">
        <v>16</v>
      </c>
      <c r="J720" s="21">
        <v>100</v>
      </c>
      <c r="K720" s="21">
        <v>0</v>
      </c>
      <c r="L720" s="21">
        <v>25</v>
      </c>
      <c r="M720" s="21">
        <v>32.5</v>
      </c>
      <c r="N720" s="21">
        <f>J720*Supuestos!$B$7+K720*Supuestos!$B$8+L720*Supuestos!$B$9+M720*Supuestos!$B$10</f>
        <v>37.75</v>
      </c>
      <c r="O720" s="34" t="str">
        <f t="shared" si="11"/>
        <v>D</v>
      </c>
      <c r="P720" s="10" t="s">
        <v>540</v>
      </c>
      <c r="Q720" s="10" t="s">
        <v>471</v>
      </c>
    </row>
    <row r="721" spans="1:17">
      <c r="A721" s="10" t="s">
        <v>255</v>
      </c>
      <c r="B721" s="10" t="s">
        <v>60</v>
      </c>
      <c r="C721" s="10" t="s">
        <v>260</v>
      </c>
      <c r="D721" s="10" t="s">
        <v>103</v>
      </c>
      <c r="E721" s="10" t="s">
        <v>561</v>
      </c>
      <c r="F721" s="11">
        <v>549.23</v>
      </c>
      <c r="G721" s="11">
        <v>164350.82</v>
      </c>
      <c r="H721" s="12">
        <v>3.3418070761376162E-3</v>
      </c>
      <c r="I721" s="10">
        <v>10</v>
      </c>
      <c r="J721" s="21">
        <v>100</v>
      </c>
      <c r="K721" s="21">
        <v>0</v>
      </c>
      <c r="L721" s="21">
        <v>25</v>
      </c>
      <c r="M721" s="21">
        <v>32.5</v>
      </c>
      <c r="N721" s="21">
        <f>J721*Supuestos!$B$7+K721*Supuestos!$B$8+L721*Supuestos!$B$9+M721*Supuestos!$B$10</f>
        <v>37.75</v>
      </c>
      <c r="O721" s="34" t="str">
        <f t="shared" si="11"/>
        <v>D</v>
      </c>
      <c r="P721" s="10" t="s">
        <v>540</v>
      </c>
      <c r="Q721" s="10" t="s">
        <v>471</v>
      </c>
    </row>
    <row r="722" spans="1:17">
      <c r="A722" s="10" t="s">
        <v>255</v>
      </c>
      <c r="B722" s="10" t="s">
        <v>60</v>
      </c>
      <c r="C722" s="10" t="s">
        <v>392</v>
      </c>
      <c r="D722" s="10" t="s">
        <v>103</v>
      </c>
      <c r="E722" s="10" t="s">
        <v>563</v>
      </c>
      <c r="F722" s="11">
        <v>366.81</v>
      </c>
      <c r="G722" s="11">
        <v>180471.74</v>
      </c>
      <c r="H722" s="12">
        <v>2.0325212537256579E-3</v>
      </c>
      <c r="I722" s="10">
        <v>18</v>
      </c>
      <c r="J722" s="21">
        <v>100</v>
      </c>
      <c r="K722" s="21">
        <v>0</v>
      </c>
      <c r="L722" s="21">
        <v>25</v>
      </c>
      <c r="M722" s="21">
        <v>32.5</v>
      </c>
      <c r="N722" s="21">
        <f>J722*Supuestos!$B$7+K722*Supuestos!$B$8+L722*Supuestos!$B$9+M722*Supuestos!$B$10</f>
        <v>37.75</v>
      </c>
      <c r="O722" s="34" t="str">
        <f t="shared" si="11"/>
        <v>D</v>
      </c>
      <c r="P722" s="10" t="s">
        <v>540</v>
      </c>
      <c r="Q722" s="10" t="s">
        <v>471</v>
      </c>
    </row>
    <row r="723" spans="1:17">
      <c r="A723" s="10" t="s">
        <v>101</v>
      </c>
      <c r="B723" s="10" t="s">
        <v>60</v>
      </c>
      <c r="C723" s="10" t="s">
        <v>342</v>
      </c>
      <c r="D723" s="10" t="s">
        <v>103</v>
      </c>
      <c r="E723" s="10" t="s">
        <v>565</v>
      </c>
      <c r="F723" s="11">
        <v>313.02999999999997</v>
      </c>
      <c r="G723" s="11">
        <v>95640.54</v>
      </c>
      <c r="H723" s="12">
        <v>3.2729424766463617E-3</v>
      </c>
      <c r="I723" s="10">
        <v>15</v>
      </c>
      <c r="J723" s="21">
        <v>100</v>
      </c>
      <c r="K723" s="21">
        <v>0</v>
      </c>
      <c r="L723" s="21">
        <v>25</v>
      </c>
      <c r="M723" s="21">
        <v>32.5</v>
      </c>
      <c r="N723" s="21">
        <f>J723*Supuestos!$B$7+K723*Supuestos!$B$8+L723*Supuestos!$B$9+M723*Supuestos!$B$10</f>
        <v>37.75</v>
      </c>
      <c r="O723" s="34" t="str">
        <f t="shared" si="11"/>
        <v>D</v>
      </c>
      <c r="P723" s="10" t="s">
        <v>540</v>
      </c>
      <c r="Q723" s="10" t="s">
        <v>471</v>
      </c>
    </row>
    <row r="724" spans="1:17">
      <c r="A724" s="10" t="s">
        <v>101</v>
      </c>
      <c r="B724" s="10" t="s">
        <v>60</v>
      </c>
      <c r="C724" s="10" t="s">
        <v>200</v>
      </c>
      <c r="D724" s="10" t="s">
        <v>103</v>
      </c>
      <c r="E724" s="10" t="s">
        <v>561</v>
      </c>
      <c r="F724" s="11">
        <v>105.49</v>
      </c>
      <c r="G724" s="11">
        <v>8807.1</v>
      </c>
      <c r="H724" s="12">
        <v>1.1977677963794746E-2</v>
      </c>
      <c r="I724" s="10">
        <v>6</v>
      </c>
      <c r="J724" s="21">
        <v>100</v>
      </c>
      <c r="K724" s="21">
        <v>0</v>
      </c>
      <c r="L724" s="21">
        <v>25</v>
      </c>
      <c r="M724" s="21">
        <v>32.5</v>
      </c>
      <c r="N724" s="21">
        <f>J724*Supuestos!$B$7+K724*Supuestos!$B$8+L724*Supuestos!$B$9+M724*Supuestos!$B$10</f>
        <v>37.75</v>
      </c>
      <c r="O724" s="34" t="str">
        <f t="shared" si="11"/>
        <v>D</v>
      </c>
      <c r="P724" s="10" t="s">
        <v>540</v>
      </c>
      <c r="Q724" s="10" t="s">
        <v>471</v>
      </c>
    </row>
    <row r="725" spans="1:17">
      <c r="A725" s="10" t="s">
        <v>101</v>
      </c>
      <c r="B725" s="10" t="s">
        <v>60</v>
      </c>
      <c r="C725" s="10" t="s">
        <v>224</v>
      </c>
      <c r="D725" s="10" t="s">
        <v>127</v>
      </c>
      <c r="E725" s="10" t="s">
        <v>539</v>
      </c>
      <c r="F725" s="11">
        <v>582.12</v>
      </c>
      <c r="G725" s="11">
        <v>22669.16</v>
      </c>
      <c r="H725" s="12">
        <v>2.5678754618336321E-2</v>
      </c>
      <c r="I725" s="10">
        <v>5</v>
      </c>
      <c r="J725" s="21">
        <v>85</v>
      </c>
      <c r="K725" s="21">
        <v>0</v>
      </c>
      <c r="L725" s="21">
        <v>25</v>
      </c>
      <c r="M725" s="21">
        <v>44.023032758127854</v>
      </c>
      <c r="N725" s="21">
        <f>J725*Supuestos!$B$7+K725*Supuestos!$B$8+L725*Supuestos!$B$9+M725*Supuestos!$B$10</f>
        <v>36.304606551625568</v>
      </c>
      <c r="O725" s="34" t="str">
        <f t="shared" si="11"/>
        <v>D</v>
      </c>
      <c r="P725" s="10" t="s">
        <v>540</v>
      </c>
      <c r="Q725" s="10" t="s">
        <v>471</v>
      </c>
    </row>
    <row r="726" spans="1:17">
      <c r="A726" s="10" t="s">
        <v>101</v>
      </c>
      <c r="B726" s="10" t="s">
        <v>60</v>
      </c>
      <c r="C726" s="10" t="s">
        <v>183</v>
      </c>
      <c r="D726" s="10" t="s">
        <v>149</v>
      </c>
      <c r="E726" s="10" t="s">
        <v>173</v>
      </c>
      <c r="F726" s="11">
        <v>279.51</v>
      </c>
      <c r="G726" s="11">
        <v>6614.7</v>
      </c>
      <c r="H726" s="12">
        <v>4.2256428681738095E-2</v>
      </c>
      <c r="I726" s="10">
        <v>5</v>
      </c>
      <c r="J726" s="21">
        <v>30</v>
      </c>
      <c r="K726" s="21">
        <v>30</v>
      </c>
      <c r="L726" s="21">
        <v>25</v>
      </c>
      <c r="M726" s="21">
        <v>67.5</v>
      </c>
      <c r="N726" s="21">
        <f>J726*Supuestos!$B$7+K726*Supuestos!$B$8+L726*Supuestos!$B$9+M726*Supuestos!$B$10</f>
        <v>36.25</v>
      </c>
      <c r="O726" s="34" t="str">
        <f t="shared" si="11"/>
        <v>D</v>
      </c>
      <c r="P726" s="10" t="s">
        <v>447</v>
      </c>
      <c r="Q726" s="10" t="s">
        <v>471</v>
      </c>
    </row>
    <row r="727" spans="1:17">
      <c r="A727" s="10" t="s">
        <v>101</v>
      </c>
      <c r="B727" s="10" t="s">
        <v>60</v>
      </c>
      <c r="C727" s="10" t="s">
        <v>183</v>
      </c>
      <c r="D727" s="10" t="s">
        <v>149</v>
      </c>
      <c r="E727" s="10" t="s">
        <v>499</v>
      </c>
      <c r="F727" s="11">
        <v>92.98</v>
      </c>
      <c r="G727" s="11">
        <v>6614.7</v>
      </c>
      <c r="H727" s="12">
        <v>1.4056585636438699E-2</v>
      </c>
      <c r="I727" s="10">
        <v>10</v>
      </c>
      <c r="J727" s="21">
        <v>30</v>
      </c>
      <c r="K727" s="21">
        <v>30</v>
      </c>
      <c r="L727" s="21">
        <v>25</v>
      </c>
      <c r="M727" s="21">
        <v>62.5</v>
      </c>
      <c r="N727" s="21">
        <f>J727*Supuestos!$B$7+K727*Supuestos!$B$8+L727*Supuestos!$B$9+M727*Supuestos!$B$10</f>
        <v>35.25</v>
      </c>
      <c r="O727" s="34" t="str">
        <f t="shared" si="11"/>
        <v>D</v>
      </c>
      <c r="P727" s="10" t="s">
        <v>447</v>
      </c>
      <c r="Q727" s="10" t="s">
        <v>471</v>
      </c>
    </row>
    <row r="728" spans="1:17">
      <c r="A728" s="10" t="s">
        <v>101</v>
      </c>
      <c r="B728" s="10" t="s">
        <v>60</v>
      </c>
      <c r="C728" s="10" t="s">
        <v>320</v>
      </c>
      <c r="D728" s="10" t="s">
        <v>127</v>
      </c>
      <c r="E728" s="10" t="s">
        <v>565</v>
      </c>
      <c r="F728" s="11">
        <v>436.24</v>
      </c>
      <c r="G728" s="11">
        <v>19670.240000000002</v>
      </c>
      <c r="H728" s="12">
        <v>2.2177410095376122E-2</v>
      </c>
      <c r="I728" s="10">
        <v>11</v>
      </c>
      <c r="J728" s="21">
        <v>85</v>
      </c>
      <c r="K728" s="21">
        <v>0</v>
      </c>
      <c r="L728" s="21">
        <v>25</v>
      </c>
      <c r="M728" s="21">
        <v>32.5</v>
      </c>
      <c r="N728" s="21">
        <f>J728*Supuestos!$B$7+K728*Supuestos!$B$8+L728*Supuestos!$B$9+M728*Supuestos!$B$10</f>
        <v>34</v>
      </c>
      <c r="O728" s="34" t="str">
        <f t="shared" si="11"/>
        <v>D</v>
      </c>
      <c r="P728" s="10" t="s">
        <v>540</v>
      </c>
      <c r="Q728" s="10" t="s">
        <v>471</v>
      </c>
    </row>
    <row r="729" spans="1:17">
      <c r="A729" s="10" t="s">
        <v>101</v>
      </c>
      <c r="B729" s="10" t="s">
        <v>60</v>
      </c>
      <c r="C729" s="10" t="s">
        <v>237</v>
      </c>
      <c r="D729" s="10" t="s">
        <v>127</v>
      </c>
      <c r="E729" s="10" t="s">
        <v>564</v>
      </c>
      <c r="F729" s="11">
        <v>380.88</v>
      </c>
      <c r="G729" s="11">
        <v>28274.28</v>
      </c>
      <c r="H729" s="12">
        <v>1.3471067067775613E-2</v>
      </c>
      <c r="I729" s="10">
        <v>8</v>
      </c>
      <c r="J729" s="21">
        <v>85</v>
      </c>
      <c r="K729" s="21">
        <v>0</v>
      </c>
      <c r="L729" s="21">
        <v>25</v>
      </c>
      <c r="M729" s="21">
        <v>32.5</v>
      </c>
      <c r="N729" s="21">
        <f>J729*Supuestos!$B$7+K729*Supuestos!$B$8+L729*Supuestos!$B$9+M729*Supuestos!$B$10</f>
        <v>34</v>
      </c>
      <c r="O729" s="34" t="str">
        <f t="shared" si="11"/>
        <v>D</v>
      </c>
      <c r="P729" s="10" t="s">
        <v>540</v>
      </c>
      <c r="Q729" s="10" t="s">
        <v>471</v>
      </c>
    </row>
    <row r="730" spans="1:17">
      <c r="A730" s="10" t="s">
        <v>101</v>
      </c>
      <c r="B730" s="10" t="s">
        <v>60</v>
      </c>
      <c r="C730" s="10" t="s">
        <v>204</v>
      </c>
      <c r="D730" s="10" t="s">
        <v>127</v>
      </c>
      <c r="E730" s="10" t="s">
        <v>565</v>
      </c>
      <c r="F730" s="11">
        <v>134.62</v>
      </c>
      <c r="G730" s="11">
        <v>23377.47</v>
      </c>
      <c r="H730" s="12">
        <v>5.7586655308161728E-3</v>
      </c>
      <c r="I730" s="10">
        <v>16</v>
      </c>
      <c r="J730" s="21">
        <v>85</v>
      </c>
      <c r="K730" s="21">
        <v>0</v>
      </c>
      <c r="L730" s="21">
        <v>25</v>
      </c>
      <c r="M730" s="21">
        <v>32.5</v>
      </c>
      <c r="N730" s="21">
        <f>J730*Supuestos!$B$7+K730*Supuestos!$B$8+L730*Supuestos!$B$9+M730*Supuestos!$B$10</f>
        <v>34</v>
      </c>
      <c r="O730" s="34" t="str">
        <f t="shared" si="11"/>
        <v>D</v>
      </c>
      <c r="P730" s="10" t="s">
        <v>540</v>
      </c>
      <c r="Q730" s="10" t="s">
        <v>471</v>
      </c>
    </row>
    <row r="731" spans="1:17">
      <c r="A731" s="10" t="s">
        <v>101</v>
      </c>
      <c r="B731" s="10" t="s">
        <v>60</v>
      </c>
      <c r="C731" s="10" t="s">
        <v>183</v>
      </c>
      <c r="D731" s="10" t="s">
        <v>149</v>
      </c>
      <c r="E731" s="10" t="s">
        <v>491</v>
      </c>
      <c r="F731" s="11">
        <v>115.91</v>
      </c>
      <c r="G731" s="11">
        <v>6614.7</v>
      </c>
      <c r="H731" s="12">
        <v>1.7523456533318202E-2</v>
      </c>
      <c r="I731" s="10">
        <v>9</v>
      </c>
      <c r="J731" s="21">
        <v>30</v>
      </c>
      <c r="K731" s="21">
        <v>30</v>
      </c>
      <c r="L731" s="21">
        <v>25</v>
      </c>
      <c r="M731" s="21">
        <v>52.5</v>
      </c>
      <c r="N731" s="21">
        <f>J731*Supuestos!$B$7+K731*Supuestos!$B$8+L731*Supuestos!$B$9+M731*Supuestos!$B$10</f>
        <v>33.25</v>
      </c>
      <c r="O731" s="34" t="str">
        <f t="shared" si="11"/>
        <v>D</v>
      </c>
      <c r="P731" s="10" t="s">
        <v>447</v>
      </c>
      <c r="Q731" s="10" t="s">
        <v>471</v>
      </c>
    </row>
    <row r="732" spans="1:17">
      <c r="A732" s="10" t="s">
        <v>275</v>
      </c>
      <c r="B732" s="10" t="s">
        <v>406</v>
      </c>
      <c r="C732" s="10" t="s">
        <v>407</v>
      </c>
      <c r="D732" s="10" t="s">
        <v>127</v>
      </c>
      <c r="E732" s="10" t="s">
        <v>566</v>
      </c>
      <c r="F732" s="11">
        <v>4207.24</v>
      </c>
      <c r="G732" s="11">
        <v>324829.33</v>
      </c>
      <c r="H732" s="12">
        <v>1.295216872033007E-2</v>
      </c>
      <c r="I732" s="10">
        <v>9</v>
      </c>
      <c r="J732" s="21">
        <v>85</v>
      </c>
      <c r="K732" s="21">
        <v>0</v>
      </c>
      <c r="L732" s="21">
        <v>25</v>
      </c>
      <c r="M732" s="21">
        <v>27.5</v>
      </c>
      <c r="N732" s="21">
        <f>J732*Supuestos!$B$7+K732*Supuestos!$B$8+L732*Supuestos!$B$9+M732*Supuestos!$B$10</f>
        <v>33</v>
      </c>
      <c r="O732" s="34" t="str">
        <f t="shared" si="11"/>
        <v>D</v>
      </c>
      <c r="P732" s="10" t="s">
        <v>540</v>
      </c>
      <c r="Q732" s="10" t="s">
        <v>471</v>
      </c>
    </row>
    <row r="733" spans="1:17">
      <c r="A733" s="10" t="s">
        <v>101</v>
      </c>
      <c r="B733" s="10" t="s">
        <v>60</v>
      </c>
      <c r="C733" s="10" t="s">
        <v>271</v>
      </c>
      <c r="D733" s="10" t="s">
        <v>149</v>
      </c>
      <c r="E733" s="10" t="s">
        <v>564</v>
      </c>
      <c r="F733" s="11">
        <v>326.47000000000003</v>
      </c>
      <c r="G733" s="11">
        <v>5062.1000000000004</v>
      </c>
      <c r="H733" s="12">
        <v>6.4493544468010644E-2</v>
      </c>
      <c r="I733" s="10">
        <v>8</v>
      </c>
      <c r="J733" s="21">
        <v>30</v>
      </c>
      <c r="K733" s="21">
        <v>0</v>
      </c>
      <c r="L733" s="21">
        <v>55</v>
      </c>
      <c r="M733" s="21">
        <v>32.5</v>
      </c>
      <c r="N733" s="21">
        <f>J733*Supuestos!$B$7+K733*Supuestos!$B$8+L733*Supuestos!$B$9+M733*Supuestos!$B$10</f>
        <v>27.75</v>
      </c>
      <c r="O733" s="34" t="str">
        <f t="shared" si="11"/>
        <v>D</v>
      </c>
      <c r="P733" s="10" t="s">
        <v>540</v>
      </c>
      <c r="Q733" s="10" t="s">
        <v>471</v>
      </c>
    </row>
  </sheetData>
  <mergeCells count="1"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2:H57"/>
  <sheetViews>
    <sheetView topLeftCell="A39" workbookViewId="0">
      <selection activeCell="B51" sqref="B51:H51"/>
    </sheetView>
  </sheetViews>
  <sheetFormatPr baseColWidth="10" defaultColWidth="9" defaultRowHeight="14"/>
  <cols>
    <col min="1" max="1" width="31" customWidth="1"/>
    <col min="2" max="2" width="68" customWidth="1"/>
    <col min="3" max="3" width="4" customWidth="1"/>
    <col min="4" max="4" width="38" customWidth="1"/>
    <col min="5" max="7" width="16" customWidth="1"/>
    <col min="8" max="8" width="48" customWidth="1"/>
  </cols>
  <sheetData>
    <row r="2" spans="1:8" ht="24" customHeight="1">
      <c r="A2" s="42" t="s">
        <v>567</v>
      </c>
      <c r="B2" s="43"/>
      <c r="C2" s="43"/>
      <c r="D2" s="43"/>
      <c r="E2" s="43"/>
      <c r="F2" s="43"/>
      <c r="G2" s="43"/>
      <c r="H2" s="43"/>
    </row>
    <row r="3" spans="1:8">
      <c r="A3" s="40" t="s">
        <v>2</v>
      </c>
      <c r="B3" s="38">
        <v>17738160.290000003</v>
      </c>
      <c r="C3" s="1"/>
      <c r="D3" s="1"/>
      <c r="E3" s="1"/>
      <c r="F3" s="1"/>
      <c r="G3" s="1"/>
      <c r="H3" s="1"/>
    </row>
    <row r="4" spans="1:8">
      <c r="A4" s="19" t="s">
        <v>568</v>
      </c>
      <c r="B4" s="11">
        <f>ROUND(B3*B6,2)</f>
        <v>266072.40000000002</v>
      </c>
    </row>
    <row r="5" spans="1:8">
      <c r="A5" s="37" t="s">
        <v>569</v>
      </c>
      <c r="B5" s="37" t="s">
        <v>570</v>
      </c>
      <c r="D5" s="9" t="s">
        <v>571</v>
      </c>
      <c r="E5" s="9" t="s">
        <v>572</v>
      </c>
      <c r="F5" s="9" t="s">
        <v>573</v>
      </c>
      <c r="G5" s="9" t="s">
        <v>574</v>
      </c>
      <c r="H5" s="9" t="s">
        <v>575</v>
      </c>
    </row>
    <row r="6" spans="1:8">
      <c r="A6" s="10" t="s">
        <v>576</v>
      </c>
      <c r="B6" s="39">
        <v>1.4999999999999999E-2</v>
      </c>
      <c r="D6" s="10" t="s">
        <v>476</v>
      </c>
      <c r="E6" s="16">
        <v>2200</v>
      </c>
      <c r="F6" s="16">
        <v>3200</v>
      </c>
      <c r="G6" s="10" t="s">
        <v>577</v>
      </c>
      <c r="H6" s="10" t="s">
        <v>578</v>
      </c>
    </row>
    <row r="7" spans="1:8">
      <c r="A7" s="10" t="s">
        <v>579</v>
      </c>
      <c r="B7" s="39">
        <v>0.25</v>
      </c>
      <c r="D7" s="10" t="s">
        <v>451</v>
      </c>
      <c r="E7" s="16">
        <v>800</v>
      </c>
      <c r="F7" s="16">
        <v>1300</v>
      </c>
      <c r="G7" s="10" t="s">
        <v>580</v>
      </c>
      <c r="H7" s="10" t="s">
        <v>581</v>
      </c>
    </row>
    <row r="8" spans="1:8">
      <c r="A8" s="10" t="s">
        <v>582</v>
      </c>
      <c r="B8" s="39">
        <v>0.3</v>
      </c>
      <c r="D8" s="10" t="s">
        <v>483</v>
      </c>
      <c r="E8" s="16">
        <v>1600</v>
      </c>
      <c r="F8" s="16">
        <v>2400</v>
      </c>
      <c r="G8" s="10" t="s">
        <v>580</v>
      </c>
      <c r="H8" s="10" t="s">
        <v>583</v>
      </c>
    </row>
    <row r="9" spans="1:8">
      <c r="A9" s="10" t="s">
        <v>584</v>
      </c>
      <c r="B9" s="39">
        <v>0.25</v>
      </c>
      <c r="D9" s="10" t="s">
        <v>461</v>
      </c>
      <c r="E9" s="16" t="s">
        <v>585</v>
      </c>
      <c r="F9" s="16" t="s">
        <v>585</v>
      </c>
      <c r="G9" s="10" t="s">
        <v>580</v>
      </c>
      <c r="H9" s="10" t="s">
        <v>586</v>
      </c>
    </row>
    <row r="10" spans="1:8">
      <c r="A10" s="10" t="s">
        <v>587</v>
      </c>
      <c r="B10" s="39">
        <v>0.2</v>
      </c>
      <c r="D10" s="10" t="s">
        <v>492</v>
      </c>
      <c r="E10" s="16">
        <v>2000</v>
      </c>
      <c r="F10" s="16">
        <v>3000</v>
      </c>
      <c r="G10" s="10" t="s">
        <v>580</v>
      </c>
      <c r="H10" s="10" t="s">
        <v>588</v>
      </c>
    </row>
    <row r="11" spans="1:8">
      <c r="D11" s="10" t="s">
        <v>589</v>
      </c>
      <c r="E11" s="16">
        <v>300</v>
      </c>
      <c r="F11" s="16">
        <v>500</v>
      </c>
      <c r="G11" s="10" t="s">
        <v>580</v>
      </c>
      <c r="H11" s="10" t="s">
        <v>590</v>
      </c>
    </row>
    <row r="13" spans="1:8">
      <c r="A13" s="9" t="s">
        <v>591</v>
      </c>
      <c r="B13" s="9" t="s">
        <v>592</v>
      </c>
      <c r="D13" s="9" t="s">
        <v>593</v>
      </c>
      <c r="E13" s="9"/>
      <c r="F13" s="9"/>
      <c r="G13" s="9"/>
      <c r="H13" s="9"/>
    </row>
    <row r="14" spans="1:8">
      <c r="A14" s="19" t="s">
        <v>594</v>
      </c>
      <c r="B14" s="35" t="s">
        <v>595</v>
      </c>
      <c r="D14" s="9" t="s">
        <v>48</v>
      </c>
      <c r="E14" s="9" t="s">
        <v>520</v>
      </c>
      <c r="G14" s="9" t="s">
        <v>424</v>
      </c>
      <c r="H14" s="9" t="s">
        <v>596</v>
      </c>
    </row>
    <row r="15" spans="1:8">
      <c r="A15" s="19" t="s">
        <v>597</v>
      </c>
      <c r="B15" s="35" t="s">
        <v>598</v>
      </c>
      <c r="D15" s="10" t="s">
        <v>103</v>
      </c>
      <c r="E15" s="10">
        <v>100</v>
      </c>
      <c r="G15" s="10" t="s">
        <v>31</v>
      </c>
      <c r="H15" s="10" t="s">
        <v>599</v>
      </c>
    </row>
    <row r="16" spans="1:8">
      <c r="A16" s="19" t="s">
        <v>600</v>
      </c>
      <c r="B16" s="35" t="s">
        <v>601</v>
      </c>
      <c r="D16" s="10" t="s">
        <v>127</v>
      </c>
      <c r="E16" s="10">
        <v>85</v>
      </c>
      <c r="G16" s="10" t="s">
        <v>33</v>
      </c>
      <c r="H16" s="10" t="s">
        <v>602</v>
      </c>
    </row>
    <row r="17" spans="1:8">
      <c r="A17" s="19" t="s">
        <v>603</v>
      </c>
      <c r="B17" s="35" t="s">
        <v>604</v>
      </c>
      <c r="D17" s="10" t="s">
        <v>113</v>
      </c>
      <c r="E17" s="10">
        <v>75</v>
      </c>
      <c r="G17" s="10" t="s">
        <v>35</v>
      </c>
      <c r="H17" s="10" t="s">
        <v>605</v>
      </c>
    </row>
    <row r="18" spans="1:8" ht="25">
      <c r="A18" s="19" t="s">
        <v>606</v>
      </c>
      <c r="B18" s="35" t="s">
        <v>607</v>
      </c>
      <c r="D18" s="10" t="s">
        <v>149</v>
      </c>
      <c r="E18" s="10">
        <v>30</v>
      </c>
      <c r="G18" s="10" t="s">
        <v>37</v>
      </c>
      <c r="H18" s="10" t="s">
        <v>608</v>
      </c>
    </row>
    <row r="19" spans="1:8" ht="25">
      <c r="A19" s="19" t="s">
        <v>609</v>
      </c>
      <c r="B19" s="35" t="s">
        <v>610</v>
      </c>
    </row>
    <row r="20" spans="1:8" ht="26">
      <c r="A20" s="19" t="s">
        <v>611</v>
      </c>
      <c r="B20" s="35" t="s">
        <v>612</v>
      </c>
      <c r="D20" s="9" t="s">
        <v>613</v>
      </c>
      <c r="E20" s="9" t="s">
        <v>436</v>
      </c>
      <c r="F20" s="9" t="s">
        <v>441</v>
      </c>
      <c r="G20" s="9" t="s">
        <v>471</v>
      </c>
    </row>
    <row r="21" spans="1:8" ht="37.5">
      <c r="A21" s="19" t="s">
        <v>614</v>
      </c>
      <c r="B21" s="35" t="s">
        <v>615</v>
      </c>
      <c r="D21" s="10" t="s">
        <v>502</v>
      </c>
      <c r="E21" s="17">
        <v>100</v>
      </c>
      <c r="F21" s="17">
        <v>90</v>
      </c>
      <c r="G21" s="17">
        <v>50</v>
      </c>
    </row>
    <row r="22" spans="1:8" ht="25">
      <c r="A22" s="19" t="s">
        <v>616</v>
      </c>
      <c r="B22" s="35" t="s">
        <v>617</v>
      </c>
      <c r="D22" s="10" t="s">
        <v>435</v>
      </c>
      <c r="E22" s="17">
        <v>100</v>
      </c>
      <c r="F22" s="17">
        <v>90</v>
      </c>
      <c r="G22" s="17">
        <v>60</v>
      </c>
    </row>
    <row r="23" spans="1:8" ht="25">
      <c r="A23" s="19" t="s">
        <v>618</v>
      </c>
      <c r="B23" s="35" t="s">
        <v>619</v>
      </c>
      <c r="D23" s="10" t="s">
        <v>447</v>
      </c>
      <c r="E23" s="17">
        <v>75</v>
      </c>
      <c r="F23" s="17">
        <v>65</v>
      </c>
      <c r="G23" s="17">
        <v>30</v>
      </c>
    </row>
    <row r="24" spans="1:8" ht="25">
      <c r="A24" s="19" t="s">
        <v>436</v>
      </c>
      <c r="B24" s="35" t="s">
        <v>620</v>
      </c>
      <c r="D24" s="10" t="s">
        <v>540</v>
      </c>
      <c r="E24" s="17">
        <v>25</v>
      </c>
      <c r="F24" s="17">
        <v>20</v>
      </c>
      <c r="G24" s="17">
        <v>0</v>
      </c>
    </row>
    <row r="25" spans="1:8" ht="25">
      <c r="A25" s="19" t="s">
        <v>621</v>
      </c>
      <c r="B25" s="35" t="s">
        <v>622</v>
      </c>
    </row>
    <row r="26" spans="1:8" ht="25">
      <c r="A26" s="19" t="s">
        <v>623</v>
      </c>
      <c r="B26" s="35" t="s">
        <v>624</v>
      </c>
    </row>
    <row r="27" spans="1:8" ht="25">
      <c r="A27" s="19" t="s">
        <v>625</v>
      </c>
      <c r="B27" s="35" t="s">
        <v>626</v>
      </c>
    </row>
    <row r="28" spans="1:8">
      <c r="A28" s="19" t="s">
        <v>627</v>
      </c>
      <c r="B28" s="35" t="s">
        <v>628</v>
      </c>
    </row>
    <row r="29" spans="1:8" ht="25">
      <c r="A29" s="19" t="s">
        <v>629</v>
      </c>
      <c r="B29" s="35" t="s">
        <v>630</v>
      </c>
    </row>
    <row r="32" spans="1:8" ht="26">
      <c r="A32" s="9" t="s">
        <v>631</v>
      </c>
      <c r="B32" s="9"/>
      <c r="C32" s="9"/>
      <c r="D32" s="9"/>
      <c r="E32" s="9"/>
      <c r="F32" s="9"/>
      <c r="G32" s="9"/>
      <c r="H32" s="9"/>
    </row>
    <row r="33" spans="1:8" ht="30" customHeight="1">
      <c r="A33" s="19" t="s">
        <v>594</v>
      </c>
      <c r="B33" s="48" t="s">
        <v>632</v>
      </c>
      <c r="C33" s="48"/>
      <c r="D33" s="48"/>
      <c r="E33" s="48"/>
      <c r="F33" s="48"/>
      <c r="G33" s="48"/>
      <c r="H33" s="48"/>
    </row>
    <row r="34" spans="1:8" ht="30" customHeight="1">
      <c r="A34" s="19" t="s">
        <v>48</v>
      </c>
      <c r="B34" s="48" t="s">
        <v>633</v>
      </c>
      <c r="C34" s="48"/>
      <c r="D34" s="48"/>
      <c r="E34" s="48"/>
      <c r="F34" s="48"/>
      <c r="G34" s="48"/>
      <c r="H34" s="48"/>
    </row>
    <row r="35" spans="1:8" ht="30" customHeight="1">
      <c r="A35" s="19" t="s">
        <v>29</v>
      </c>
      <c r="B35" s="48" t="s">
        <v>634</v>
      </c>
      <c r="C35" s="48"/>
      <c r="D35" s="48"/>
      <c r="E35" s="48"/>
      <c r="F35" s="48"/>
      <c r="G35" s="48"/>
      <c r="H35" s="48"/>
    </row>
    <row r="36" spans="1:8" ht="30" customHeight="1">
      <c r="A36" s="19" t="s">
        <v>517</v>
      </c>
      <c r="B36" s="48" t="s">
        <v>635</v>
      </c>
      <c r="C36" s="48"/>
      <c r="D36" s="48"/>
      <c r="E36" s="48"/>
      <c r="F36" s="48"/>
      <c r="G36" s="48"/>
      <c r="H36" s="48"/>
    </row>
    <row r="37" spans="1:8" ht="30" customHeight="1">
      <c r="A37" s="19" t="s">
        <v>518</v>
      </c>
      <c r="B37" s="48" t="s">
        <v>636</v>
      </c>
      <c r="C37" s="48"/>
      <c r="D37" s="48"/>
      <c r="E37" s="48"/>
      <c r="F37" s="48"/>
      <c r="G37" s="48"/>
      <c r="H37" s="48"/>
    </row>
    <row r="38" spans="1:8" ht="30" customHeight="1">
      <c r="A38" s="19" t="s">
        <v>519</v>
      </c>
      <c r="B38" s="48" t="s">
        <v>637</v>
      </c>
      <c r="C38" s="48"/>
      <c r="D38" s="48"/>
      <c r="E38" s="48"/>
      <c r="F38" s="48"/>
      <c r="G38" s="48"/>
      <c r="H38" s="48"/>
    </row>
    <row r="39" spans="1:8" ht="30" customHeight="1">
      <c r="A39" s="19" t="s">
        <v>520</v>
      </c>
      <c r="B39" s="48" t="s">
        <v>638</v>
      </c>
      <c r="C39" s="48"/>
      <c r="D39" s="48"/>
      <c r="E39" s="48"/>
      <c r="F39" s="48"/>
      <c r="G39" s="48"/>
      <c r="H39" s="48"/>
    </row>
    <row r="40" spans="1:8" ht="30" customHeight="1">
      <c r="A40" s="19" t="s">
        <v>521</v>
      </c>
      <c r="B40" s="48" t="s">
        <v>639</v>
      </c>
      <c r="C40" s="48"/>
      <c r="D40" s="48"/>
      <c r="E40" s="48"/>
      <c r="F40" s="48"/>
      <c r="G40" s="48"/>
      <c r="H40" s="48"/>
    </row>
    <row r="41" spans="1:8" ht="30" customHeight="1">
      <c r="A41" s="19" t="s">
        <v>522</v>
      </c>
      <c r="B41" s="48" t="s">
        <v>640</v>
      </c>
      <c r="C41" s="48"/>
      <c r="D41" s="48"/>
      <c r="E41" s="48"/>
      <c r="F41" s="48"/>
      <c r="G41" s="48"/>
      <c r="H41" s="48"/>
    </row>
    <row r="42" spans="1:8" ht="30" customHeight="1">
      <c r="A42" s="19" t="s">
        <v>523</v>
      </c>
      <c r="B42" s="48" t="s">
        <v>641</v>
      </c>
      <c r="C42" s="48"/>
      <c r="D42" s="48"/>
      <c r="E42" s="48"/>
      <c r="F42" s="48"/>
      <c r="G42" s="48"/>
      <c r="H42" s="48"/>
    </row>
    <row r="43" spans="1:8" ht="30" customHeight="1">
      <c r="A43" s="19" t="s">
        <v>524</v>
      </c>
      <c r="B43" s="48" t="s">
        <v>642</v>
      </c>
      <c r="C43" s="48"/>
      <c r="D43" s="48"/>
      <c r="E43" s="48"/>
      <c r="F43" s="48"/>
      <c r="G43" s="48"/>
      <c r="H43" s="48"/>
    </row>
    <row r="44" spans="1:8" ht="30" customHeight="1">
      <c r="A44" s="19" t="s">
        <v>424</v>
      </c>
      <c r="B44" s="48" t="s">
        <v>643</v>
      </c>
      <c r="C44" s="48"/>
      <c r="D44" s="48"/>
      <c r="E44" s="48"/>
      <c r="F44" s="48"/>
      <c r="G44" s="48"/>
      <c r="H44" s="48"/>
    </row>
    <row r="45" spans="1:8" ht="30" customHeight="1">
      <c r="A45" s="19" t="s">
        <v>425</v>
      </c>
      <c r="B45" s="48" t="s">
        <v>644</v>
      </c>
      <c r="C45" s="48"/>
      <c r="D45" s="48"/>
      <c r="E45" s="48"/>
      <c r="F45" s="48"/>
      <c r="G45" s="48"/>
      <c r="H45" s="48"/>
    </row>
    <row r="46" spans="1:8" ht="30" customHeight="1">
      <c r="A46" s="19" t="s">
        <v>426</v>
      </c>
      <c r="B46" s="48" t="s">
        <v>645</v>
      </c>
      <c r="C46" s="48"/>
      <c r="D46" s="48"/>
      <c r="E46" s="48"/>
      <c r="F46" s="48"/>
      <c r="G46" s="48"/>
      <c r="H46" s="48"/>
    </row>
    <row r="47" spans="1:8" ht="30" customHeight="1">
      <c r="A47" s="19" t="s">
        <v>427</v>
      </c>
      <c r="B47" s="48" t="s">
        <v>646</v>
      </c>
      <c r="C47" s="48"/>
      <c r="D47" s="48"/>
      <c r="E47" s="48"/>
      <c r="F47" s="48"/>
      <c r="G47" s="48"/>
      <c r="H47" s="48"/>
    </row>
    <row r="48" spans="1:8" ht="30" customHeight="1">
      <c r="A48" s="19" t="s">
        <v>428</v>
      </c>
      <c r="B48" s="48" t="s">
        <v>647</v>
      </c>
      <c r="C48" s="48"/>
      <c r="D48" s="48"/>
      <c r="E48" s="48"/>
      <c r="F48" s="48"/>
      <c r="G48" s="48"/>
      <c r="H48" s="48"/>
    </row>
    <row r="49" spans="1:8" ht="30" customHeight="1">
      <c r="A49" s="19" t="s">
        <v>44</v>
      </c>
      <c r="B49" s="48" t="s">
        <v>648</v>
      </c>
      <c r="C49" s="48"/>
      <c r="D49" s="48"/>
      <c r="E49" s="48"/>
      <c r="F49" s="48"/>
      <c r="G49" s="48"/>
      <c r="H49" s="48"/>
    </row>
    <row r="50" spans="1:8" ht="30" customHeight="1">
      <c r="A50" s="19" t="s">
        <v>431</v>
      </c>
      <c r="B50" s="48" t="s">
        <v>649</v>
      </c>
      <c r="C50" s="48"/>
      <c r="D50" s="48"/>
      <c r="E50" s="48"/>
      <c r="F50" s="48"/>
      <c r="G50" s="48"/>
      <c r="H50" s="48"/>
    </row>
    <row r="51" spans="1:8" ht="30" customHeight="1">
      <c r="A51" s="19" t="s">
        <v>432</v>
      </c>
      <c r="B51" s="48" t="s">
        <v>650</v>
      </c>
      <c r="C51" s="48"/>
      <c r="D51" s="48"/>
      <c r="E51" s="48"/>
      <c r="F51" s="48"/>
      <c r="G51" s="48"/>
      <c r="H51" s="48"/>
    </row>
    <row r="52" spans="1:8" ht="30" customHeight="1">
      <c r="A52" s="19" t="s">
        <v>50</v>
      </c>
      <c r="B52" s="48" t="s">
        <v>651</v>
      </c>
      <c r="C52" s="48"/>
      <c r="D52" s="48"/>
      <c r="E52" s="48"/>
      <c r="F52" s="48"/>
      <c r="G52" s="48"/>
      <c r="H52" s="48"/>
    </row>
    <row r="53" spans="1:8" ht="30" customHeight="1">
      <c r="A53" s="19" t="s">
        <v>51</v>
      </c>
      <c r="B53" s="48" t="s">
        <v>652</v>
      </c>
      <c r="C53" s="48"/>
      <c r="D53" s="48"/>
      <c r="E53" s="48"/>
      <c r="F53" s="48"/>
      <c r="G53" s="48"/>
      <c r="H53" s="48"/>
    </row>
    <row r="54" spans="1:8" ht="30" customHeight="1">
      <c r="A54" s="19" t="s">
        <v>53</v>
      </c>
      <c r="B54" s="48" t="s">
        <v>653</v>
      </c>
      <c r="C54" s="48"/>
      <c r="D54" s="48"/>
      <c r="E54" s="48"/>
      <c r="F54" s="48"/>
      <c r="G54" s="48"/>
      <c r="H54" s="48"/>
    </row>
    <row r="55" spans="1:8" ht="30" customHeight="1">
      <c r="A55" s="19" t="s">
        <v>55</v>
      </c>
      <c r="B55" s="48" t="s">
        <v>654</v>
      </c>
      <c r="C55" s="48"/>
      <c r="D55" s="48"/>
      <c r="E55" s="48"/>
      <c r="F55" s="48"/>
      <c r="G55" s="48"/>
      <c r="H55" s="48"/>
    </row>
    <row r="56" spans="1:8" ht="30" customHeight="1">
      <c r="A56" s="19" t="s">
        <v>655</v>
      </c>
      <c r="B56" s="48" t="s">
        <v>656</v>
      </c>
      <c r="C56" s="48"/>
      <c r="D56" s="48"/>
      <c r="E56" s="48"/>
      <c r="F56" s="48"/>
      <c r="G56" s="48"/>
      <c r="H56" s="48"/>
    </row>
    <row r="57" spans="1:8" ht="30" customHeight="1">
      <c r="A57" s="19" t="s">
        <v>434</v>
      </c>
      <c r="B57" s="48" t="s">
        <v>657</v>
      </c>
      <c r="C57" s="48"/>
      <c r="D57" s="48"/>
      <c r="E57" s="48"/>
      <c r="F57" s="48"/>
      <c r="G57" s="48"/>
      <c r="H57" s="48"/>
    </row>
  </sheetData>
  <mergeCells count="26">
    <mergeCell ref="B57:H57"/>
    <mergeCell ref="B52:H52"/>
    <mergeCell ref="B53:H53"/>
    <mergeCell ref="B54:H54"/>
    <mergeCell ref="B55:H55"/>
    <mergeCell ref="B56:H56"/>
    <mergeCell ref="B47:H47"/>
    <mergeCell ref="B48:H48"/>
    <mergeCell ref="B49:H49"/>
    <mergeCell ref="B50:H50"/>
    <mergeCell ref="B51:H51"/>
    <mergeCell ref="B42:H42"/>
    <mergeCell ref="B43:H43"/>
    <mergeCell ref="B44:H44"/>
    <mergeCell ref="B45:H45"/>
    <mergeCell ref="B46:H46"/>
    <mergeCell ref="B37:H37"/>
    <mergeCell ref="B38:H38"/>
    <mergeCell ref="B39:H39"/>
    <mergeCell ref="B40:H40"/>
    <mergeCell ref="B41:H41"/>
    <mergeCell ref="A2:H2"/>
    <mergeCell ref="B33:H33"/>
    <mergeCell ref="B34:H34"/>
    <mergeCell ref="B35:H35"/>
    <mergeCell ref="B36:H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D966"/>
  </sheetPr>
  <dimension ref="A2:F624"/>
  <sheetViews>
    <sheetView workbookViewId="0">
      <pane xSplit="3" ySplit="4" topLeftCell="D6" activePane="bottomRight" state="frozen"/>
      <selection pane="topRight"/>
      <selection pane="bottomLeft"/>
      <selection pane="bottomRight" activeCell="C35" sqref="C35"/>
    </sheetView>
  </sheetViews>
  <sheetFormatPr baseColWidth="10" defaultColWidth="9" defaultRowHeight="14"/>
  <cols>
    <col min="1" max="1" width="20" customWidth="1"/>
    <col min="2" max="2" width="42" customWidth="1"/>
    <col min="3" max="3" width="30" customWidth="1"/>
    <col min="4" max="4" width="17" customWidth="1"/>
    <col min="5" max="5" width="26" customWidth="1"/>
    <col min="6" max="6" width="25" customWidth="1"/>
  </cols>
  <sheetData>
    <row r="2" spans="1:6" ht="24" customHeight="1">
      <c r="A2" s="42" t="s">
        <v>658</v>
      </c>
      <c r="B2" s="43"/>
      <c r="C2" s="43"/>
      <c r="D2" s="43"/>
      <c r="E2" s="43"/>
      <c r="F2" s="43"/>
    </row>
    <row r="3" spans="1:6">
      <c r="A3" s="1"/>
      <c r="B3" s="1"/>
      <c r="C3" s="1"/>
      <c r="D3" s="1"/>
      <c r="E3" s="1"/>
      <c r="F3" s="1"/>
    </row>
    <row r="4" spans="1:6">
      <c r="A4" s="9" t="s">
        <v>659</v>
      </c>
      <c r="B4" s="9" t="s">
        <v>660</v>
      </c>
      <c r="C4" s="9" t="s">
        <v>661</v>
      </c>
      <c r="D4" s="9" t="s">
        <v>29</v>
      </c>
      <c r="E4" s="9" t="s">
        <v>662</v>
      </c>
      <c r="F4" s="9" t="s">
        <v>663</v>
      </c>
    </row>
    <row r="5" spans="1:6" hidden="1">
      <c r="A5" s="10" t="s">
        <v>664</v>
      </c>
      <c r="B5" s="10" t="s">
        <v>469</v>
      </c>
      <c r="C5" s="41" t="s">
        <v>469</v>
      </c>
      <c r="D5" s="11">
        <v>1090857.71</v>
      </c>
      <c r="E5" s="10" t="s">
        <v>447</v>
      </c>
      <c r="F5" s="10" t="s">
        <v>436</v>
      </c>
    </row>
    <row r="6" spans="1:6">
      <c r="A6" s="10" t="s">
        <v>665</v>
      </c>
      <c r="B6" s="10" t="s">
        <v>666</v>
      </c>
      <c r="C6" s="41" t="s">
        <v>213</v>
      </c>
      <c r="D6" s="11">
        <v>803631.39</v>
      </c>
      <c r="E6" s="10" t="s">
        <v>447</v>
      </c>
      <c r="F6" s="10" t="s">
        <v>436</v>
      </c>
    </row>
    <row r="7" spans="1:6" hidden="1">
      <c r="A7" s="10" t="s">
        <v>667</v>
      </c>
      <c r="B7" s="10" t="s">
        <v>668</v>
      </c>
      <c r="C7" s="41" t="s">
        <v>151</v>
      </c>
      <c r="D7" s="11">
        <v>636040.84</v>
      </c>
      <c r="E7" s="10" t="s">
        <v>447</v>
      </c>
      <c r="F7" s="10" t="s">
        <v>436</v>
      </c>
    </row>
    <row r="8" spans="1:6" hidden="1">
      <c r="A8" s="10" t="s">
        <v>669</v>
      </c>
      <c r="B8" s="10" t="s">
        <v>670</v>
      </c>
      <c r="C8" s="41" t="s">
        <v>482</v>
      </c>
      <c r="D8" s="11">
        <v>508491.05</v>
      </c>
      <c r="E8" s="10" t="s">
        <v>447</v>
      </c>
      <c r="F8" s="10" t="s">
        <v>436</v>
      </c>
    </row>
    <row r="9" spans="1:6" hidden="1">
      <c r="A9" s="10" t="s">
        <v>671</v>
      </c>
      <c r="B9" s="10" t="s">
        <v>672</v>
      </c>
      <c r="C9" s="41" t="s">
        <v>151</v>
      </c>
      <c r="D9" s="11">
        <v>439874.83</v>
      </c>
      <c r="E9" s="10" t="s">
        <v>447</v>
      </c>
      <c r="F9" s="10" t="s">
        <v>436</v>
      </c>
    </row>
    <row r="10" spans="1:6" hidden="1">
      <c r="A10" s="10" t="s">
        <v>664</v>
      </c>
      <c r="B10" s="10" t="s">
        <v>673</v>
      </c>
      <c r="C10" s="41" t="s">
        <v>469</v>
      </c>
      <c r="D10" s="11">
        <v>435173.64</v>
      </c>
      <c r="E10" s="10" t="s">
        <v>447</v>
      </c>
      <c r="F10" s="10" t="s">
        <v>436</v>
      </c>
    </row>
    <row r="11" spans="1:6" hidden="1">
      <c r="A11" s="10" t="s">
        <v>664</v>
      </c>
      <c r="B11" s="10" t="s">
        <v>674</v>
      </c>
      <c r="C11" s="41" t="s">
        <v>469</v>
      </c>
      <c r="D11" s="11">
        <v>370005.26</v>
      </c>
      <c r="E11" s="10" t="s">
        <v>447</v>
      </c>
      <c r="F11" s="10" t="s">
        <v>436</v>
      </c>
    </row>
    <row r="12" spans="1:6" hidden="1">
      <c r="A12" s="10" t="s">
        <v>675</v>
      </c>
      <c r="B12" s="10" t="s">
        <v>151</v>
      </c>
      <c r="C12" s="41" t="s">
        <v>151</v>
      </c>
      <c r="D12" s="11">
        <v>354240.96</v>
      </c>
      <c r="E12" s="10" t="s">
        <v>447</v>
      </c>
      <c r="F12" s="10" t="s">
        <v>436</v>
      </c>
    </row>
    <row r="13" spans="1:6" hidden="1">
      <c r="A13" s="10" t="s">
        <v>676</v>
      </c>
      <c r="B13" s="10" t="s">
        <v>677</v>
      </c>
      <c r="C13" s="41" t="s">
        <v>486</v>
      </c>
      <c r="D13" s="11">
        <v>343555.13</v>
      </c>
      <c r="E13" s="10" t="s">
        <v>435</v>
      </c>
      <c r="F13" s="10" t="s">
        <v>471</v>
      </c>
    </row>
    <row r="14" spans="1:6" hidden="1">
      <c r="A14" s="10" t="s">
        <v>678</v>
      </c>
      <c r="B14" s="10" t="s">
        <v>679</v>
      </c>
      <c r="C14" s="41" t="s">
        <v>446</v>
      </c>
      <c r="D14" s="11">
        <v>331276.62</v>
      </c>
      <c r="E14" s="10" t="s">
        <v>447</v>
      </c>
      <c r="F14" s="10" t="s">
        <v>436</v>
      </c>
    </row>
    <row r="15" spans="1:6">
      <c r="A15" s="10" t="s">
        <v>680</v>
      </c>
      <c r="B15" s="10" t="s">
        <v>681</v>
      </c>
      <c r="C15" s="41" t="s">
        <v>213</v>
      </c>
      <c r="D15" s="11">
        <v>328906.36</v>
      </c>
      <c r="E15" s="10" t="s">
        <v>447</v>
      </c>
      <c r="F15" s="10" t="s">
        <v>436</v>
      </c>
    </row>
    <row r="16" spans="1:6">
      <c r="A16" s="10" t="s">
        <v>665</v>
      </c>
      <c r="B16" s="10" t="s">
        <v>682</v>
      </c>
      <c r="C16" s="41" t="s">
        <v>213</v>
      </c>
      <c r="D16" s="11">
        <v>315131.58</v>
      </c>
      <c r="E16" s="10" t="s">
        <v>447</v>
      </c>
      <c r="F16" s="10" t="s">
        <v>436</v>
      </c>
    </row>
    <row r="17" spans="1:6" hidden="1">
      <c r="A17" s="10" t="s">
        <v>683</v>
      </c>
      <c r="B17" s="10" t="s">
        <v>684</v>
      </c>
      <c r="C17" s="41" t="s">
        <v>457</v>
      </c>
      <c r="D17" s="11">
        <v>285771.07</v>
      </c>
      <c r="E17" s="10" t="s">
        <v>447</v>
      </c>
      <c r="F17" s="10" t="s">
        <v>441</v>
      </c>
    </row>
    <row r="18" spans="1:6" hidden="1">
      <c r="A18" s="10" t="s">
        <v>685</v>
      </c>
      <c r="B18" s="10" t="s">
        <v>484</v>
      </c>
      <c r="C18" s="41" t="s">
        <v>484</v>
      </c>
      <c r="D18" s="11">
        <v>240532.37</v>
      </c>
      <c r="E18" s="10" t="s">
        <v>435</v>
      </c>
      <c r="F18" s="10" t="s">
        <v>441</v>
      </c>
    </row>
    <row r="19" spans="1:6" hidden="1">
      <c r="A19" s="10" t="s">
        <v>686</v>
      </c>
      <c r="B19" s="10" t="s">
        <v>687</v>
      </c>
      <c r="C19" s="41" t="s">
        <v>151</v>
      </c>
      <c r="D19" s="11">
        <v>203802.61</v>
      </c>
      <c r="E19" s="10" t="s">
        <v>447</v>
      </c>
      <c r="F19" s="10" t="s">
        <v>436</v>
      </c>
    </row>
    <row r="20" spans="1:6" hidden="1">
      <c r="A20" s="10" t="s">
        <v>669</v>
      </c>
      <c r="B20" s="10" t="s">
        <v>688</v>
      </c>
      <c r="C20" s="41" t="s">
        <v>482</v>
      </c>
      <c r="D20" s="11">
        <v>201678.38</v>
      </c>
      <c r="E20" s="10" t="s">
        <v>447</v>
      </c>
      <c r="F20" s="10" t="s">
        <v>436</v>
      </c>
    </row>
    <row r="21" spans="1:6" hidden="1">
      <c r="A21" s="10" t="s">
        <v>689</v>
      </c>
      <c r="B21" s="10" t="s">
        <v>469</v>
      </c>
      <c r="C21" s="41" t="s">
        <v>469</v>
      </c>
      <c r="D21" s="11">
        <v>200564.28</v>
      </c>
      <c r="E21" s="10" t="s">
        <v>447</v>
      </c>
      <c r="F21" s="10" t="s">
        <v>436</v>
      </c>
    </row>
    <row r="22" spans="1:6">
      <c r="A22" s="10" t="s">
        <v>690</v>
      </c>
      <c r="B22" s="10" t="s">
        <v>691</v>
      </c>
      <c r="C22" s="41" t="s">
        <v>213</v>
      </c>
      <c r="D22" s="11">
        <v>176142.52</v>
      </c>
      <c r="E22" s="10" t="s">
        <v>447</v>
      </c>
      <c r="F22" s="10" t="s">
        <v>436</v>
      </c>
    </row>
    <row r="23" spans="1:6" hidden="1">
      <c r="A23" s="10" t="s">
        <v>692</v>
      </c>
      <c r="B23" s="10" t="s">
        <v>693</v>
      </c>
      <c r="C23" s="41" t="s">
        <v>464</v>
      </c>
      <c r="D23" s="11">
        <v>169855.66</v>
      </c>
      <c r="E23" s="10" t="s">
        <v>447</v>
      </c>
      <c r="F23" s="10" t="s">
        <v>436</v>
      </c>
    </row>
    <row r="24" spans="1:6">
      <c r="A24" s="10" t="s">
        <v>694</v>
      </c>
      <c r="B24" s="10" t="s">
        <v>695</v>
      </c>
      <c r="C24" s="41" t="s">
        <v>213</v>
      </c>
      <c r="D24" s="11">
        <v>165142.38</v>
      </c>
      <c r="E24" s="10" t="s">
        <v>447</v>
      </c>
      <c r="F24" s="10" t="s">
        <v>436</v>
      </c>
    </row>
    <row r="25" spans="1:6" hidden="1">
      <c r="A25" s="10" t="s">
        <v>696</v>
      </c>
      <c r="B25" s="10" t="s">
        <v>697</v>
      </c>
      <c r="C25" s="41" t="s">
        <v>467</v>
      </c>
      <c r="D25" s="11">
        <v>157265.57999999999</v>
      </c>
      <c r="E25" s="10" t="s">
        <v>447</v>
      </c>
      <c r="F25" s="10" t="s">
        <v>441</v>
      </c>
    </row>
    <row r="26" spans="1:6" hidden="1">
      <c r="A26" s="10" t="s">
        <v>698</v>
      </c>
      <c r="B26" s="10" t="s">
        <v>467</v>
      </c>
      <c r="C26" s="41" t="s">
        <v>467</v>
      </c>
      <c r="D26" s="11">
        <v>153840.75</v>
      </c>
      <c r="E26" s="10" t="s">
        <v>447</v>
      </c>
      <c r="F26" s="10" t="s">
        <v>441</v>
      </c>
    </row>
    <row r="27" spans="1:6" hidden="1">
      <c r="A27" s="10" t="s">
        <v>699</v>
      </c>
      <c r="B27" s="10" t="s">
        <v>700</v>
      </c>
      <c r="C27" s="41" t="s">
        <v>173</v>
      </c>
      <c r="D27" s="11">
        <v>150269.15</v>
      </c>
      <c r="E27" s="10" t="s">
        <v>447</v>
      </c>
      <c r="F27" s="10" t="s">
        <v>471</v>
      </c>
    </row>
    <row r="28" spans="1:6" hidden="1">
      <c r="A28" s="10" t="s">
        <v>685</v>
      </c>
      <c r="B28" s="10" t="s">
        <v>701</v>
      </c>
      <c r="C28" s="41" t="s">
        <v>485</v>
      </c>
      <c r="D28" s="11">
        <v>137442.48000000001</v>
      </c>
      <c r="E28" s="10" t="s">
        <v>435</v>
      </c>
      <c r="F28" s="10" t="s">
        <v>441</v>
      </c>
    </row>
    <row r="29" spans="1:6">
      <c r="A29" s="10" t="s">
        <v>694</v>
      </c>
      <c r="B29" s="10" t="s">
        <v>702</v>
      </c>
      <c r="C29" s="41" t="s">
        <v>213</v>
      </c>
      <c r="D29" s="11">
        <v>133647.39000000001</v>
      </c>
      <c r="E29" s="10" t="s">
        <v>447</v>
      </c>
      <c r="F29" s="10" t="s">
        <v>436</v>
      </c>
    </row>
    <row r="30" spans="1:6" hidden="1">
      <c r="A30" s="10" t="s">
        <v>669</v>
      </c>
      <c r="B30" s="10" t="s">
        <v>703</v>
      </c>
      <c r="C30" s="41" t="s">
        <v>482</v>
      </c>
      <c r="D30" s="11">
        <v>124303.63</v>
      </c>
      <c r="E30" s="10" t="s">
        <v>447</v>
      </c>
      <c r="F30" s="10" t="s">
        <v>436</v>
      </c>
    </row>
    <row r="31" spans="1:6">
      <c r="A31" s="10" t="s">
        <v>694</v>
      </c>
      <c r="B31" s="10" t="s">
        <v>704</v>
      </c>
      <c r="C31" s="41" t="s">
        <v>213</v>
      </c>
      <c r="D31" s="11">
        <v>123856.78</v>
      </c>
      <c r="E31" s="10" t="s">
        <v>447</v>
      </c>
      <c r="F31" s="10" t="s">
        <v>436</v>
      </c>
    </row>
    <row r="32" spans="1:6">
      <c r="A32" s="10" t="s">
        <v>705</v>
      </c>
      <c r="B32" s="10" t="s">
        <v>706</v>
      </c>
      <c r="C32" s="41" t="s">
        <v>213</v>
      </c>
      <c r="D32" s="11">
        <v>121582.92</v>
      </c>
      <c r="E32" s="10" t="s">
        <v>447</v>
      </c>
      <c r="F32" s="10" t="s">
        <v>436</v>
      </c>
    </row>
    <row r="33" spans="1:6">
      <c r="A33" s="10" t="s">
        <v>707</v>
      </c>
      <c r="B33" s="10" t="s">
        <v>708</v>
      </c>
      <c r="C33" s="41" t="s">
        <v>213</v>
      </c>
      <c r="D33" s="11">
        <v>117254.93</v>
      </c>
      <c r="E33" s="10" t="s">
        <v>447</v>
      </c>
      <c r="F33" s="10" t="s">
        <v>436</v>
      </c>
    </row>
    <row r="34" spans="1:6" hidden="1">
      <c r="A34" s="10" t="s">
        <v>709</v>
      </c>
      <c r="B34" s="10" t="s">
        <v>710</v>
      </c>
      <c r="C34" s="41" t="s">
        <v>375</v>
      </c>
      <c r="D34" s="11">
        <v>111771.21</v>
      </c>
      <c r="E34" s="10" t="s">
        <v>435</v>
      </c>
      <c r="F34" s="10" t="s">
        <v>436</v>
      </c>
    </row>
    <row r="35" spans="1:6">
      <c r="A35" s="10" t="s">
        <v>694</v>
      </c>
      <c r="B35" s="10" t="s">
        <v>681</v>
      </c>
      <c r="C35" s="41" t="s">
        <v>213</v>
      </c>
      <c r="D35" s="11">
        <v>108025.75</v>
      </c>
      <c r="E35" s="10" t="s">
        <v>447</v>
      </c>
      <c r="F35" s="10" t="s">
        <v>436</v>
      </c>
    </row>
    <row r="36" spans="1:6">
      <c r="A36" s="10" t="s">
        <v>665</v>
      </c>
      <c r="B36" s="10" t="s">
        <v>681</v>
      </c>
      <c r="C36" s="41" t="s">
        <v>213</v>
      </c>
      <c r="D36" s="11">
        <v>105050.81</v>
      </c>
      <c r="E36" s="10" t="s">
        <v>447</v>
      </c>
      <c r="F36" s="10" t="s">
        <v>436</v>
      </c>
    </row>
    <row r="37" spans="1:6" hidden="1">
      <c r="A37" s="10" t="s">
        <v>711</v>
      </c>
      <c r="B37" s="10" t="s">
        <v>710</v>
      </c>
      <c r="C37" s="41" t="s">
        <v>375</v>
      </c>
      <c r="D37" s="11">
        <v>99721.07</v>
      </c>
      <c r="E37" s="10" t="s">
        <v>435</v>
      </c>
      <c r="F37" s="10" t="s">
        <v>436</v>
      </c>
    </row>
    <row r="38" spans="1:6" hidden="1">
      <c r="A38" s="10" t="s">
        <v>712</v>
      </c>
      <c r="B38" s="10" t="s">
        <v>375</v>
      </c>
      <c r="C38" s="41" t="s">
        <v>375</v>
      </c>
      <c r="D38" s="11">
        <v>98953.73</v>
      </c>
      <c r="E38" s="10" t="s">
        <v>435</v>
      </c>
      <c r="F38" s="10" t="s">
        <v>436</v>
      </c>
    </row>
    <row r="39" spans="1:6" hidden="1">
      <c r="A39" s="10" t="s">
        <v>713</v>
      </c>
      <c r="B39" s="10" t="s">
        <v>673</v>
      </c>
      <c r="C39" s="41" t="s">
        <v>469</v>
      </c>
      <c r="D39" s="11">
        <v>98046.399999999994</v>
      </c>
      <c r="E39" s="10" t="s">
        <v>447</v>
      </c>
      <c r="F39" s="10" t="s">
        <v>436</v>
      </c>
    </row>
    <row r="40" spans="1:6" hidden="1">
      <c r="A40" s="10" t="s">
        <v>714</v>
      </c>
      <c r="B40" s="10" t="s">
        <v>715</v>
      </c>
      <c r="C40" s="41" t="s">
        <v>457</v>
      </c>
      <c r="D40" s="11">
        <v>97148.92</v>
      </c>
      <c r="E40" s="10" t="s">
        <v>447</v>
      </c>
      <c r="F40" s="10" t="s">
        <v>441</v>
      </c>
    </row>
    <row r="41" spans="1:6" hidden="1">
      <c r="A41" s="10" t="s">
        <v>716</v>
      </c>
      <c r="B41" s="10" t="s">
        <v>717</v>
      </c>
      <c r="C41" s="41" t="s">
        <v>500</v>
      </c>
      <c r="D41" s="11">
        <v>94743.08</v>
      </c>
      <c r="E41" s="10" t="s">
        <v>447</v>
      </c>
      <c r="F41" s="10" t="s">
        <v>471</v>
      </c>
    </row>
    <row r="42" spans="1:6" hidden="1">
      <c r="A42" s="10" t="s">
        <v>683</v>
      </c>
      <c r="B42" s="10" t="s">
        <v>718</v>
      </c>
      <c r="C42" s="41" t="s">
        <v>457</v>
      </c>
      <c r="D42" s="11">
        <v>93911.48</v>
      </c>
      <c r="E42" s="10" t="s">
        <v>447</v>
      </c>
      <c r="F42" s="10" t="s">
        <v>441</v>
      </c>
    </row>
    <row r="43" spans="1:6" hidden="1">
      <c r="A43" s="10" t="s">
        <v>719</v>
      </c>
      <c r="B43" s="10" t="s">
        <v>720</v>
      </c>
      <c r="C43" s="41" t="s">
        <v>464</v>
      </c>
      <c r="D43" s="11">
        <v>92914.72</v>
      </c>
      <c r="E43" s="10" t="s">
        <v>447</v>
      </c>
      <c r="F43" s="10" t="s">
        <v>436</v>
      </c>
    </row>
    <row r="44" spans="1:6" hidden="1">
      <c r="A44" s="10" t="s">
        <v>721</v>
      </c>
      <c r="B44" s="10" t="s">
        <v>722</v>
      </c>
      <c r="C44" s="41" t="s">
        <v>151</v>
      </c>
      <c r="D44" s="11">
        <v>91562.77</v>
      </c>
      <c r="E44" s="10" t="s">
        <v>447</v>
      </c>
      <c r="F44" s="10" t="s">
        <v>436</v>
      </c>
    </row>
    <row r="45" spans="1:6" hidden="1">
      <c r="A45" s="10" t="s">
        <v>723</v>
      </c>
      <c r="B45" s="10" t="s">
        <v>724</v>
      </c>
      <c r="C45" s="41" t="s">
        <v>474</v>
      </c>
      <c r="D45" s="11">
        <v>90031.62</v>
      </c>
      <c r="E45" s="10" t="s">
        <v>447</v>
      </c>
      <c r="F45" s="10" t="s">
        <v>471</v>
      </c>
    </row>
    <row r="46" spans="1:6" hidden="1">
      <c r="A46" s="10" t="s">
        <v>725</v>
      </c>
      <c r="B46" s="10" t="s">
        <v>726</v>
      </c>
      <c r="C46" s="41" t="s">
        <v>468</v>
      </c>
      <c r="D46" s="11">
        <v>89734.11</v>
      </c>
      <c r="E46" s="10" t="s">
        <v>435</v>
      </c>
      <c r="F46" s="10" t="s">
        <v>436</v>
      </c>
    </row>
    <row r="47" spans="1:6" hidden="1">
      <c r="A47" s="10" t="s">
        <v>727</v>
      </c>
      <c r="B47" s="10" t="s">
        <v>728</v>
      </c>
      <c r="C47" s="41" t="s">
        <v>193</v>
      </c>
      <c r="D47" s="11">
        <v>86056.95</v>
      </c>
      <c r="E47" s="10" t="s">
        <v>435</v>
      </c>
      <c r="F47" s="10" t="s">
        <v>436</v>
      </c>
    </row>
    <row r="48" spans="1:6" hidden="1">
      <c r="A48" s="10" t="s">
        <v>689</v>
      </c>
      <c r="B48" s="10" t="s">
        <v>729</v>
      </c>
      <c r="C48" s="41" t="s">
        <v>469</v>
      </c>
      <c r="D48" s="11">
        <v>83717.09</v>
      </c>
      <c r="E48" s="10" t="s">
        <v>447</v>
      </c>
      <c r="F48" s="10" t="s">
        <v>436</v>
      </c>
    </row>
    <row r="49" spans="1:6" hidden="1">
      <c r="A49" s="10" t="s">
        <v>730</v>
      </c>
      <c r="B49" s="10" t="s">
        <v>731</v>
      </c>
      <c r="C49" s="41" t="s">
        <v>532</v>
      </c>
      <c r="D49" s="11">
        <v>80179.47</v>
      </c>
      <c r="E49" s="10" t="s">
        <v>540</v>
      </c>
      <c r="F49" s="10" t="s">
        <v>471</v>
      </c>
    </row>
    <row r="50" spans="1:6" hidden="1">
      <c r="A50" s="10" t="s">
        <v>732</v>
      </c>
      <c r="B50" s="10" t="s">
        <v>733</v>
      </c>
      <c r="C50" s="41" t="s">
        <v>193</v>
      </c>
      <c r="D50" s="11">
        <v>77063.61</v>
      </c>
      <c r="E50" s="10" t="s">
        <v>502</v>
      </c>
      <c r="F50" s="10" t="s">
        <v>441</v>
      </c>
    </row>
    <row r="51" spans="1:6">
      <c r="A51" s="10" t="s">
        <v>705</v>
      </c>
      <c r="B51" s="10" t="s">
        <v>734</v>
      </c>
      <c r="C51" s="41" t="s">
        <v>213</v>
      </c>
      <c r="D51" s="11">
        <v>75989.320000000007</v>
      </c>
      <c r="E51" s="10" t="s">
        <v>447</v>
      </c>
      <c r="F51" s="10" t="s">
        <v>436</v>
      </c>
    </row>
    <row r="52" spans="1:6">
      <c r="A52" s="10" t="s">
        <v>735</v>
      </c>
      <c r="B52" s="10" t="s">
        <v>702</v>
      </c>
      <c r="C52" s="41" t="s">
        <v>213</v>
      </c>
      <c r="D52" s="11">
        <v>75695.37</v>
      </c>
      <c r="E52" s="10" t="s">
        <v>447</v>
      </c>
      <c r="F52" s="10" t="s">
        <v>436</v>
      </c>
    </row>
    <row r="53" spans="1:6" hidden="1">
      <c r="A53" s="10" t="s">
        <v>736</v>
      </c>
      <c r="B53" s="10" t="s">
        <v>737</v>
      </c>
      <c r="C53" s="41" t="s">
        <v>543</v>
      </c>
      <c r="D53" s="11">
        <v>75051.179999999993</v>
      </c>
      <c r="E53" s="10" t="s">
        <v>447</v>
      </c>
      <c r="F53" s="10" t="s">
        <v>471</v>
      </c>
    </row>
    <row r="54" spans="1:6" hidden="1">
      <c r="A54" s="10" t="s">
        <v>738</v>
      </c>
      <c r="B54" s="10" t="s">
        <v>462</v>
      </c>
      <c r="C54" s="41" t="s">
        <v>462</v>
      </c>
      <c r="D54" s="11">
        <v>74273.070000000007</v>
      </c>
      <c r="E54" s="10" t="s">
        <v>447</v>
      </c>
      <c r="F54" s="10" t="s">
        <v>441</v>
      </c>
    </row>
    <row r="55" spans="1:6" hidden="1">
      <c r="A55" s="10" t="s">
        <v>739</v>
      </c>
      <c r="B55" s="10" t="s">
        <v>740</v>
      </c>
      <c r="C55" s="41" t="s">
        <v>459</v>
      </c>
      <c r="D55" s="11">
        <v>73981.13</v>
      </c>
      <c r="E55" s="10" t="s">
        <v>435</v>
      </c>
      <c r="F55" s="10" t="s">
        <v>436</v>
      </c>
    </row>
    <row r="56" spans="1:6" hidden="1">
      <c r="A56" s="10" t="s">
        <v>741</v>
      </c>
      <c r="B56" s="10" t="s">
        <v>742</v>
      </c>
      <c r="C56" s="41" t="s">
        <v>181</v>
      </c>
      <c r="D56" s="11">
        <v>71474.63</v>
      </c>
      <c r="E56" s="10" t="s">
        <v>435</v>
      </c>
      <c r="F56" s="10" t="s">
        <v>441</v>
      </c>
    </row>
    <row r="57" spans="1:6" hidden="1">
      <c r="A57" s="10" t="s">
        <v>743</v>
      </c>
      <c r="B57" s="10" t="s">
        <v>744</v>
      </c>
      <c r="C57" s="41" t="s">
        <v>115</v>
      </c>
      <c r="D57" s="11">
        <v>67171.039999999994</v>
      </c>
      <c r="E57" s="10" t="s">
        <v>435</v>
      </c>
      <c r="F57" s="10" t="s">
        <v>441</v>
      </c>
    </row>
    <row r="58" spans="1:6" hidden="1">
      <c r="A58" s="10" t="s">
        <v>745</v>
      </c>
      <c r="B58" s="10" t="s">
        <v>464</v>
      </c>
      <c r="C58" s="41" t="s">
        <v>464</v>
      </c>
      <c r="D58" s="11">
        <v>66880.13</v>
      </c>
      <c r="E58" s="10" t="s">
        <v>447</v>
      </c>
      <c r="F58" s="10" t="s">
        <v>436</v>
      </c>
    </row>
    <row r="59" spans="1:6">
      <c r="A59" s="10" t="s">
        <v>690</v>
      </c>
      <c r="B59" s="10" t="s">
        <v>702</v>
      </c>
      <c r="C59" s="41" t="s">
        <v>213</v>
      </c>
      <c r="D59" s="11">
        <v>66659.78</v>
      </c>
      <c r="E59" s="10" t="s">
        <v>447</v>
      </c>
      <c r="F59" s="10" t="s">
        <v>436</v>
      </c>
    </row>
    <row r="60" spans="1:6" hidden="1">
      <c r="A60" s="10" t="s">
        <v>746</v>
      </c>
      <c r="B60" s="10" t="s">
        <v>726</v>
      </c>
      <c r="C60" s="41" t="s">
        <v>468</v>
      </c>
      <c r="D60" s="11">
        <v>66287.960000000006</v>
      </c>
      <c r="E60" s="10" t="s">
        <v>435</v>
      </c>
      <c r="F60" s="10" t="s">
        <v>436</v>
      </c>
    </row>
    <row r="61" spans="1:6" hidden="1">
      <c r="A61" s="10" t="s">
        <v>747</v>
      </c>
      <c r="B61" s="10" t="s">
        <v>748</v>
      </c>
      <c r="C61" s="41" t="s">
        <v>462</v>
      </c>
      <c r="D61" s="11">
        <v>66270.63</v>
      </c>
      <c r="E61" s="10" t="s">
        <v>447</v>
      </c>
      <c r="F61" s="10" t="s">
        <v>441</v>
      </c>
    </row>
    <row r="62" spans="1:6" hidden="1">
      <c r="A62" s="10" t="s">
        <v>749</v>
      </c>
      <c r="B62" s="10" t="s">
        <v>750</v>
      </c>
      <c r="C62" s="41" t="s">
        <v>466</v>
      </c>
      <c r="D62" s="11">
        <v>66227.460000000006</v>
      </c>
      <c r="E62" s="10" t="s">
        <v>447</v>
      </c>
      <c r="F62" s="10" t="s">
        <v>436</v>
      </c>
    </row>
    <row r="63" spans="1:6" hidden="1">
      <c r="A63" s="10" t="s">
        <v>751</v>
      </c>
      <c r="B63" s="10" t="s">
        <v>752</v>
      </c>
      <c r="C63" s="41" t="s">
        <v>225</v>
      </c>
      <c r="D63" s="11">
        <v>65778.990000000005</v>
      </c>
      <c r="E63" s="10" t="s">
        <v>435</v>
      </c>
      <c r="F63" s="10" t="s">
        <v>441</v>
      </c>
    </row>
    <row r="64" spans="1:6" hidden="1">
      <c r="A64" s="10" t="s">
        <v>753</v>
      </c>
      <c r="B64" s="10" t="s">
        <v>511</v>
      </c>
      <c r="C64" s="41" t="s">
        <v>511</v>
      </c>
      <c r="D64" s="11">
        <v>63761.919999999998</v>
      </c>
      <c r="E64" s="10" t="s">
        <v>447</v>
      </c>
      <c r="F64" s="10" t="s">
        <v>471</v>
      </c>
    </row>
    <row r="65" spans="1:6" hidden="1">
      <c r="A65" s="10" t="s">
        <v>754</v>
      </c>
      <c r="B65" s="10" t="s">
        <v>151</v>
      </c>
      <c r="C65" s="41" t="s">
        <v>151</v>
      </c>
      <c r="D65" s="11">
        <v>63693.440000000002</v>
      </c>
      <c r="E65" s="10" t="s">
        <v>447</v>
      </c>
      <c r="F65" s="10" t="s">
        <v>436</v>
      </c>
    </row>
    <row r="66" spans="1:6" hidden="1">
      <c r="A66" s="10" t="s">
        <v>745</v>
      </c>
      <c r="B66" s="10" t="s">
        <v>269</v>
      </c>
      <c r="C66" s="41" t="s">
        <v>269</v>
      </c>
      <c r="D66" s="11">
        <v>62561.54</v>
      </c>
      <c r="E66" s="10" t="s">
        <v>447</v>
      </c>
      <c r="F66" s="10" t="s">
        <v>436</v>
      </c>
    </row>
    <row r="67" spans="1:6" hidden="1">
      <c r="A67" s="10" t="s">
        <v>675</v>
      </c>
      <c r="B67" s="10" t="s">
        <v>668</v>
      </c>
      <c r="C67" s="41" t="s">
        <v>151</v>
      </c>
      <c r="D67" s="11">
        <v>62253.71</v>
      </c>
      <c r="E67" s="10" t="s">
        <v>447</v>
      </c>
      <c r="F67" s="10" t="s">
        <v>436</v>
      </c>
    </row>
    <row r="68" spans="1:6" hidden="1">
      <c r="A68" s="10" t="s">
        <v>755</v>
      </c>
      <c r="B68" s="10" t="s">
        <v>756</v>
      </c>
      <c r="C68" s="41" t="s">
        <v>497</v>
      </c>
      <c r="D68" s="11">
        <v>62129</v>
      </c>
      <c r="E68" s="10" t="s">
        <v>447</v>
      </c>
      <c r="F68" s="10" t="s">
        <v>441</v>
      </c>
    </row>
    <row r="69" spans="1:6" hidden="1">
      <c r="A69" s="10" t="s">
        <v>757</v>
      </c>
      <c r="B69" s="10" t="s">
        <v>758</v>
      </c>
      <c r="C69" s="41" t="s">
        <v>475</v>
      </c>
      <c r="D69" s="11">
        <v>61293.02</v>
      </c>
      <c r="E69" s="10" t="s">
        <v>447</v>
      </c>
      <c r="F69" s="10" t="s">
        <v>441</v>
      </c>
    </row>
    <row r="70" spans="1:6" hidden="1">
      <c r="A70" s="10" t="s">
        <v>759</v>
      </c>
      <c r="B70" s="10" t="s">
        <v>760</v>
      </c>
      <c r="C70" s="41" t="s">
        <v>446</v>
      </c>
      <c r="D70" s="11">
        <v>59993.27</v>
      </c>
      <c r="E70" s="10" t="s">
        <v>447</v>
      </c>
      <c r="F70" s="10" t="s">
        <v>436</v>
      </c>
    </row>
    <row r="71" spans="1:6" hidden="1">
      <c r="A71" s="10" t="s">
        <v>761</v>
      </c>
      <c r="B71" s="10" t="s">
        <v>668</v>
      </c>
      <c r="C71" s="41" t="s">
        <v>151</v>
      </c>
      <c r="D71" s="11">
        <v>59265.42</v>
      </c>
      <c r="E71" s="10" t="s">
        <v>447</v>
      </c>
      <c r="F71" s="10" t="s">
        <v>436</v>
      </c>
    </row>
    <row r="72" spans="1:6">
      <c r="A72" s="10" t="s">
        <v>762</v>
      </c>
      <c r="B72" s="10" t="s">
        <v>691</v>
      </c>
      <c r="C72" s="41" t="s">
        <v>213</v>
      </c>
      <c r="D72" s="11">
        <v>58628.58</v>
      </c>
      <c r="E72" s="10" t="s">
        <v>447</v>
      </c>
      <c r="F72" s="10" t="s">
        <v>436</v>
      </c>
    </row>
    <row r="73" spans="1:6" hidden="1">
      <c r="A73" s="10" t="s">
        <v>732</v>
      </c>
      <c r="B73" s="10" t="s">
        <v>763</v>
      </c>
      <c r="C73" s="41" t="s">
        <v>193</v>
      </c>
      <c r="D73" s="11">
        <v>58407.05</v>
      </c>
      <c r="E73" s="10" t="s">
        <v>502</v>
      </c>
      <c r="F73" s="10" t="s">
        <v>441</v>
      </c>
    </row>
    <row r="74" spans="1:6">
      <c r="A74" s="10" t="s">
        <v>764</v>
      </c>
      <c r="B74" s="10" t="s">
        <v>213</v>
      </c>
      <c r="C74" s="41" t="s">
        <v>213</v>
      </c>
      <c r="D74" s="11">
        <v>57789.41</v>
      </c>
      <c r="E74" s="10" t="s">
        <v>447</v>
      </c>
      <c r="F74" s="10" t="s">
        <v>436</v>
      </c>
    </row>
    <row r="75" spans="1:6" hidden="1">
      <c r="A75" s="10" t="s">
        <v>765</v>
      </c>
      <c r="B75" s="10" t="s">
        <v>766</v>
      </c>
      <c r="C75" s="41" t="s">
        <v>482</v>
      </c>
      <c r="D75" s="11">
        <v>56944.46</v>
      </c>
      <c r="E75" s="10" t="s">
        <v>447</v>
      </c>
      <c r="F75" s="10" t="s">
        <v>441</v>
      </c>
    </row>
    <row r="76" spans="1:6" hidden="1">
      <c r="A76" s="10" t="s">
        <v>761</v>
      </c>
      <c r="B76" s="10" t="s">
        <v>151</v>
      </c>
      <c r="C76" s="41" t="s">
        <v>151</v>
      </c>
      <c r="D76" s="11">
        <v>56237.73</v>
      </c>
      <c r="E76" s="10" t="s">
        <v>447</v>
      </c>
      <c r="F76" s="10" t="s">
        <v>436</v>
      </c>
    </row>
    <row r="77" spans="1:6">
      <c r="A77" s="10" t="s">
        <v>767</v>
      </c>
      <c r="B77" s="10" t="s">
        <v>702</v>
      </c>
      <c r="C77" s="41" t="s">
        <v>213</v>
      </c>
      <c r="D77" s="11">
        <v>55460.32</v>
      </c>
      <c r="E77" s="10" t="s">
        <v>447</v>
      </c>
      <c r="F77" s="10" t="s">
        <v>436</v>
      </c>
    </row>
    <row r="78" spans="1:6" hidden="1">
      <c r="A78" s="10" t="s">
        <v>711</v>
      </c>
      <c r="B78" s="10" t="s">
        <v>375</v>
      </c>
      <c r="C78" s="41" t="s">
        <v>375</v>
      </c>
      <c r="D78" s="11">
        <v>54282.85</v>
      </c>
      <c r="E78" s="10" t="s">
        <v>435</v>
      </c>
      <c r="F78" s="10" t="s">
        <v>436</v>
      </c>
    </row>
    <row r="79" spans="1:6" hidden="1">
      <c r="A79" s="10" t="s">
        <v>768</v>
      </c>
      <c r="B79" s="10" t="s">
        <v>769</v>
      </c>
      <c r="C79" s="41" t="s">
        <v>269</v>
      </c>
      <c r="D79" s="11">
        <v>54102.52</v>
      </c>
      <c r="E79" s="10" t="s">
        <v>447</v>
      </c>
      <c r="F79" s="10" t="s">
        <v>436</v>
      </c>
    </row>
    <row r="80" spans="1:6" hidden="1">
      <c r="A80" s="10" t="s">
        <v>770</v>
      </c>
      <c r="B80" s="10" t="s">
        <v>771</v>
      </c>
      <c r="C80" s="41" t="s">
        <v>477</v>
      </c>
      <c r="D80" s="11">
        <v>53632.33</v>
      </c>
      <c r="E80" s="10" t="s">
        <v>447</v>
      </c>
      <c r="F80" s="10" t="s">
        <v>471</v>
      </c>
    </row>
    <row r="81" spans="1:6">
      <c r="A81" s="10" t="s">
        <v>772</v>
      </c>
      <c r="B81" s="10" t="s">
        <v>773</v>
      </c>
      <c r="C81" s="41" t="s">
        <v>213</v>
      </c>
      <c r="D81" s="11">
        <v>53620.3</v>
      </c>
      <c r="E81" s="10" t="s">
        <v>447</v>
      </c>
      <c r="F81" s="10" t="s">
        <v>436</v>
      </c>
    </row>
    <row r="82" spans="1:6" hidden="1">
      <c r="A82" s="10" t="s">
        <v>774</v>
      </c>
      <c r="B82" s="10" t="s">
        <v>482</v>
      </c>
      <c r="C82" s="41" t="s">
        <v>482</v>
      </c>
      <c r="D82" s="11">
        <v>52440.71</v>
      </c>
      <c r="E82" s="10" t="s">
        <v>447</v>
      </c>
      <c r="F82" s="10" t="s">
        <v>436</v>
      </c>
    </row>
    <row r="83" spans="1:6" hidden="1">
      <c r="A83" s="10" t="s">
        <v>699</v>
      </c>
      <c r="B83" s="10" t="s">
        <v>775</v>
      </c>
      <c r="C83" s="41" t="s">
        <v>173</v>
      </c>
      <c r="D83" s="11">
        <v>51034.8</v>
      </c>
      <c r="E83" s="10" t="s">
        <v>447</v>
      </c>
      <c r="F83" s="10" t="s">
        <v>471</v>
      </c>
    </row>
    <row r="84" spans="1:6" hidden="1">
      <c r="A84" s="10" t="s">
        <v>776</v>
      </c>
      <c r="B84" s="10" t="s">
        <v>777</v>
      </c>
      <c r="C84" s="41" t="s">
        <v>469</v>
      </c>
      <c r="D84" s="11">
        <v>50361.65</v>
      </c>
      <c r="E84" s="10" t="s">
        <v>447</v>
      </c>
      <c r="F84" s="10" t="s">
        <v>441</v>
      </c>
    </row>
    <row r="85" spans="1:6" hidden="1">
      <c r="A85" s="10" t="s">
        <v>778</v>
      </c>
      <c r="B85" s="10" t="s">
        <v>151</v>
      </c>
      <c r="C85" s="41" t="s">
        <v>151</v>
      </c>
      <c r="D85" s="11">
        <v>50231.76</v>
      </c>
      <c r="E85" s="10" t="s">
        <v>447</v>
      </c>
      <c r="F85" s="10" t="s">
        <v>436</v>
      </c>
    </row>
    <row r="86" spans="1:6" hidden="1">
      <c r="A86" s="10" t="s">
        <v>779</v>
      </c>
      <c r="B86" s="10" t="s">
        <v>780</v>
      </c>
      <c r="C86" s="41" t="s">
        <v>499</v>
      </c>
      <c r="D86" s="11">
        <v>49377.9</v>
      </c>
      <c r="E86" s="10" t="s">
        <v>447</v>
      </c>
      <c r="F86" s="10" t="s">
        <v>471</v>
      </c>
    </row>
    <row r="87" spans="1:6" hidden="1">
      <c r="A87" s="10" t="s">
        <v>725</v>
      </c>
      <c r="B87" s="10" t="s">
        <v>781</v>
      </c>
      <c r="C87" s="41" t="s">
        <v>468</v>
      </c>
      <c r="D87" s="11">
        <v>47661.67</v>
      </c>
      <c r="E87" s="10" t="s">
        <v>435</v>
      </c>
      <c r="F87" s="10" t="s">
        <v>436</v>
      </c>
    </row>
    <row r="88" spans="1:6">
      <c r="A88" s="10" t="s">
        <v>764</v>
      </c>
      <c r="B88" s="10" t="s">
        <v>681</v>
      </c>
      <c r="C88" s="41" t="s">
        <v>213</v>
      </c>
      <c r="D88" s="11">
        <v>47469.87</v>
      </c>
      <c r="E88" s="10" t="s">
        <v>447</v>
      </c>
      <c r="F88" s="10" t="s">
        <v>436</v>
      </c>
    </row>
    <row r="89" spans="1:6" hidden="1">
      <c r="A89" s="10" t="s">
        <v>738</v>
      </c>
      <c r="B89" s="10" t="s">
        <v>782</v>
      </c>
      <c r="C89" s="41" t="s">
        <v>462</v>
      </c>
      <c r="D89" s="11">
        <v>44479.89</v>
      </c>
      <c r="E89" s="10" t="s">
        <v>447</v>
      </c>
      <c r="F89" s="10" t="s">
        <v>441</v>
      </c>
    </row>
    <row r="90" spans="1:6" hidden="1">
      <c r="A90" s="10" t="s">
        <v>783</v>
      </c>
      <c r="B90" s="10" t="s">
        <v>464</v>
      </c>
      <c r="C90" s="41" t="s">
        <v>464</v>
      </c>
      <c r="D90" s="11">
        <v>42882.7</v>
      </c>
      <c r="E90" s="10" t="s">
        <v>502</v>
      </c>
      <c r="F90" s="10" t="s">
        <v>436</v>
      </c>
    </row>
    <row r="91" spans="1:6" hidden="1">
      <c r="A91" s="10" t="s">
        <v>784</v>
      </c>
      <c r="B91" s="10" t="s">
        <v>785</v>
      </c>
      <c r="C91" s="41" t="s">
        <v>498</v>
      </c>
      <c r="D91" s="11">
        <v>42171.14</v>
      </c>
      <c r="E91" s="10" t="s">
        <v>447</v>
      </c>
      <c r="F91" s="10" t="s">
        <v>441</v>
      </c>
    </row>
    <row r="92" spans="1:6" hidden="1">
      <c r="A92" s="10" t="s">
        <v>786</v>
      </c>
      <c r="B92" s="10" t="s">
        <v>787</v>
      </c>
      <c r="C92" s="41" t="s">
        <v>115</v>
      </c>
      <c r="D92" s="11">
        <v>42155.31</v>
      </c>
      <c r="E92" s="10" t="s">
        <v>447</v>
      </c>
      <c r="F92" s="10" t="s">
        <v>436</v>
      </c>
    </row>
    <row r="93" spans="1:6" hidden="1">
      <c r="A93" s="10" t="s">
        <v>788</v>
      </c>
      <c r="B93" s="10" t="s">
        <v>789</v>
      </c>
      <c r="C93" s="41" t="s">
        <v>462</v>
      </c>
      <c r="D93" s="11">
        <v>42133.74</v>
      </c>
      <c r="E93" s="10" t="s">
        <v>435</v>
      </c>
      <c r="F93" s="10" t="s">
        <v>441</v>
      </c>
    </row>
    <row r="94" spans="1:6" hidden="1">
      <c r="A94" s="10" t="s">
        <v>776</v>
      </c>
      <c r="B94" s="10" t="s">
        <v>790</v>
      </c>
      <c r="C94" s="41" t="s">
        <v>469</v>
      </c>
      <c r="D94" s="11">
        <v>41785.79</v>
      </c>
      <c r="E94" s="10" t="s">
        <v>447</v>
      </c>
      <c r="F94" s="10" t="s">
        <v>441</v>
      </c>
    </row>
    <row r="95" spans="1:6" hidden="1">
      <c r="A95" s="10" t="s">
        <v>791</v>
      </c>
      <c r="B95" s="10" t="s">
        <v>475</v>
      </c>
      <c r="C95" s="41" t="s">
        <v>475</v>
      </c>
      <c r="D95" s="11">
        <v>41201.35</v>
      </c>
      <c r="E95" s="10" t="s">
        <v>447</v>
      </c>
      <c r="F95" s="10" t="s">
        <v>471</v>
      </c>
    </row>
    <row r="96" spans="1:6" hidden="1">
      <c r="A96" s="10" t="s">
        <v>792</v>
      </c>
      <c r="B96" s="10" t="s">
        <v>793</v>
      </c>
      <c r="C96" s="41" t="s">
        <v>491</v>
      </c>
      <c r="D96" s="11">
        <v>40967.83</v>
      </c>
      <c r="E96" s="10" t="s">
        <v>447</v>
      </c>
      <c r="F96" s="10" t="s">
        <v>471</v>
      </c>
    </row>
    <row r="97" spans="1:6" hidden="1">
      <c r="A97" s="10" t="s">
        <v>794</v>
      </c>
      <c r="B97" s="10" t="s">
        <v>795</v>
      </c>
      <c r="C97" s="41" t="s">
        <v>457</v>
      </c>
      <c r="D97" s="11">
        <v>40708.28</v>
      </c>
      <c r="E97" s="10" t="s">
        <v>447</v>
      </c>
      <c r="F97" s="10" t="s">
        <v>441</v>
      </c>
    </row>
    <row r="98" spans="1:6" hidden="1">
      <c r="A98" s="10" t="s">
        <v>796</v>
      </c>
      <c r="B98" s="10" t="s">
        <v>797</v>
      </c>
      <c r="C98" s="41" t="s">
        <v>477</v>
      </c>
      <c r="D98" s="11">
        <v>40685.58</v>
      </c>
      <c r="E98" s="10" t="s">
        <v>502</v>
      </c>
      <c r="F98" s="10" t="s">
        <v>471</v>
      </c>
    </row>
    <row r="99" spans="1:6">
      <c r="A99" s="10" t="s">
        <v>705</v>
      </c>
      <c r="B99" s="10" t="s">
        <v>702</v>
      </c>
      <c r="C99" s="41" t="s">
        <v>213</v>
      </c>
      <c r="D99" s="11">
        <v>40527.64</v>
      </c>
      <c r="E99" s="10" t="s">
        <v>447</v>
      </c>
      <c r="F99" s="10" t="s">
        <v>436</v>
      </c>
    </row>
    <row r="100" spans="1:6" hidden="1">
      <c r="A100" s="10" t="s">
        <v>798</v>
      </c>
      <c r="B100" s="10" t="s">
        <v>462</v>
      </c>
      <c r="C100" s="41" t="s">
        <v>462</v>
      </c>
      <c r="D100" s="11">
        <v>39641.49</v>
      </c>
      <c r="E100" s="10" t="s">
        <v>447</v>
      </c>
      <c r="F100" s="10" t="s">
        <v>471</v>
      </c>
    </row>
    <row r="101" spans="1:6" hidden="1">
      <c r="A101" s="10" t="s">
        <v>799</v>
      </c>
      <c r="B101" s="10" t="s">
        <v>525</v>
      </c>
      <c r="C101" s="41" t="s">
        <v>525</v>
      </c>
      <c r="D101" s="11">
        <v>39390.400000000001</v>
      </c>
      <c r="E101" s="10" t="s">
        <v>447</v>
      </c>
      <c r="F101" s="10" t="s">
        <v>471</v>
      </c>
    </row>
    <row r="102" spans="1:6" hidden="1">
      <c r="A102" s="10" t="s">
        <v>800</v>
      </c>
      <c r="B102" s="10" t="s">
        <v>801</v>
      </c>
      <c r="C102" s="41" t="s">
        <v>541</v>
      </c>
      <c r="D102" s="11">
        <v>39164.28</v>
      </c>
      <c r="E102" s="10" t="s">
        <v>540</v>
      </c>
      <c r="F102" s="10" t="s">
        <v>471</v>
      </c>
    </row>
    <row r="103" spans="1:6" hidden="1">
      <c r="A103" s="10" t="s">
        <v>802</v>
      </c>
      <c r="B103" s="10" t="s">
        <v>803</v>
      </c>
      <c r="C103" s="41" t="s">
        <v>181</v>
      </c>
      <c r="D103" s="11">
        <v>38543.629999999997</v>
      </c>
      <c r="E103" s="10" t="s">
        <v>435</v>
      </c>
      <c r="F103" s="10" t="s">
        <v>441</v>
      </c>
    </row>
    <row r="104" spans="1:6">
      <c r="A104" s="10" t="s">
        <v>705</v>
      </c>
      <c r="B104" s="10" t="s">
        <v>804</v>
      </c>
      <c r="C104" s="41" t="s">
        <v>213</v>
      </c>
      <c r="D104" s="11">
        <v>38501.26</v>
      </c>
      <c r="E104" s="10" t="s">
        <v>447</v>
      </c>
      <c r="F104" s="10" t="s">
        <v>436</v>
      </c>
    </row>
    <row r="105" spans="1:6">
      <c r="A105" s="10" t="s">
        <v>805</v>
      </c>
      <c r="B105" s="10" t="s">
        <v>681</v>
      </c>
      <c r="C105" s="41" t="s">
        <v>213</v>
      </c>
      <c r="D105" s="11">
        <v>37975.9</v>
      </c>
      <c r="E105" s="10" t="s">
        <v>447</v>
      </c>
      <c r="F105" s="10" t="s">
        <v>436</v>
      </c>
    </row>
    <row r="106" spans="1:6" hidden="1">
      <c r="A106" s="10" t="s">
        <v>806</v>
      </c>
      <c r="B106" s="10" t="s">
        <v>733</v>
      </c>
      <c r="C106" s="41" t="s">
        <v>193</v>
      </c>
      <c r="D106" s="11">
        <v>37962.300000000003</v>
      </c>
      <c r="E106" s="10" t="s">
        <v>447</v>
      </c>
      <c r="F106" s="10" t="s">
        <v>436</v>
      </c>
    </row>
    <row r="107" spans="1:6" hidden="1">
      <c r="A107" s="10" t="s">
        <v>807</v>
      </c>
      <c r="B107" s="10" t="s">
        <v>808</v>
      </c>
      <c r="C107" s="41" t="s">
        <v>480</v>
      </c>
      <c r="D107" s="11">
        <v>37065.46</v>
      </c>
      <c r="E107" s="10" t="s">
        <v>435</v>
      </c>
      <c r="F107" s="10" t="s">
        <v>436</v>
      </c>
    </row>
    <row r="108" spans="1:6" hidden="1">
      <c r="A108" s="10" t="s">
        <v>809</v>
      </c>
      <c r="B108" s="10" t="s">
        <v>810</v>
      </c>
      <c r="C108" s="41" t="s">
        <v>151</v>
      </c>
      <c r="D108" s="11">
        <v>36524.910000000003</v>
      </c>
      <c r="E108" s="10" t="s">
        <v>447</v>
      </c>
      <c r="F108" s="10" t="s">
        <v>436</v>
      </c>
    </row>
    <row r="109" spans="1:6" hidden="1">
      <c r="A109" s="10" t="s">
        <v>714</v>
      </c>
      <c r="B109" s="10" t="s">
        <v>811</v>
      </c>
      <c r="C109" s="41" t="s">
        <v>457</v>
      </c>
      <c r="D109" s="11">
        <v>36402.660000000003</v>
      </c>
      <c r="E109" s="10" t="s">
        <v>447</v>
      </c>
      <c r="F109" s="10" t="s">
        <v>441</v>
      </c>
    </row>
    <row r="110" spans="1:6">
      <c r="A110" s="10" t="s">
        <v>812</v>
      </c>
      <c r="B110" s="10" t="s">
        <v>691</v>
      </c>
      <c r="C110" s="41" t="s">
        <v>213</v>
      </c>
      <c r="D110" s="11">
        <v>36077.1</v>
      </c>
      <c r="E110" s="10" t="s">
        <v>447</v>
      </c>
      <c r="F110" s="10" t="s">
        <v>436</v>
      </c>
    </row>
    <row r="111" spans="1:6" hidden="1">
      <c r="A111" s="10" t="s">
        <v>813</v>
      </c>
      <c r="B111" s="10" t="s">
        <v>814</v>
      </c>
      <c r="C111" s="41" t="s">
        <v>459</v>
      </c>
      <c r="D111" s="11">
        <v>36010.03</v>
      </c>
      <c r="E111" s="10" t="s">
        <v>435</v>
      </c>
      <c r="F111" s="10" t="s">
        <v>436</v>
      </c>
    </row>
    <row r="112" spans="1:6" hidden="1">
      <c r="A112" s="10" t="s">
        <v>815</v>
      </c>
      <c r="B112" s="10" t="s">
        <v>816</v>
      </c>
      <c r="C112" s="41" t="s">
        <v>452</v>
      </c>
      <c r="D112" s="11">
        <v>35588.980000000003</v>
      </c>
      <c r="E112" s="10" t="s">
        <v>447</v>
      </c>
      <c r="F112" s="10" t="s">
        <v>441</v>
      </c>
    </row>
    <row r="113" spans="1:6" hidden="1">
      <c r="A113" s="10" t="s">
        <v>817</v>
      </c>
      <c r="B113" s="10" t="s">
        <v>462</v>
      </c>
      <c r="C113" s="41" t="s">
        <v>462</v>
      </c>
      <c r="D113" s="11">
        <v>34898.800000000003</v>
      </c>
      <c r="E113" s="10" t="s">
        <v>447</v>
      </c>
      <c r="F113" s="10" t="s">
        <v>441</v>
      </c>
    </row>
    <row r="114" spans="1:6" hidden="1">
      <c r="A114" s="10" t="s">
        <v>818</v>
      </c>
      <c r="B114" s="10" t="s">
        <v>688</v>
      </c>
      <c r="C114" s="41" t="s">
        <v>482</v>
      </c>
      <c r="D114" s="11">
        <v>34235.85</v>
      </c>
      <c r="E114" s="10" t="s">
        <v>447</v>
      </c>
      <c r="F114" s="10" t="s">
        <v>441</v>
      </c>
    </row>
    <row r="115" spans="1:6" hidden="1">
      <c r="A115" s="10" t="s">
        <v>819</v>
      </c>
      <c r="B115" s="10" t="s">
        <v>820</v>
      </c>
      <c r="C115" s="41" t="s">
        <v>480</v>
      </c>
      <c r="D115" s="11">
        <v>33849.629999999997</v>
      </c>
      <c r="E115" s="10" t="s">
        <v>435</v>
      </c>
      <c r="F115" s="10" t="s">
        <v>436</v>
      </c>
    </row>
    <row r="116" spans="1:6" hidden="1">
      <c r="A116" s="10" t="s">
        <v>821</v>
      </c>
      <c r="B116" s="10" t="s">
        <v>482</v>
      </c>
      <c r="C116" s="41" t="s">
        <v>482</v>
      </c>
      <c r="D116" s="11">
        <v>33755.019999999997</v>
      </c>
      <c r="E116" s="10" t="s">
        <v>447</v>
      </c>
      <c r="F116" s="10" t="s">
        <v>436</v>
      </c>
    </row>
    <row r="117" spans="1:6" hidden="1">
      <c r="A117" s="10" t="s">
        <v>822</v>
      </c>
      <c r="B117" s="10" t="s">
        <v>823</v>
      </c>
      <c r="C117" s="41" t="s">
        <v>151</v>
      </c>
      <c r="D117" s="11">
        <v>33691.1</v>
      </c>
      <c r="E117" s="10" t="s">
        <v>447</v>
      </c>
      <c r="F117" s="10" t="s">
        <v>436</v>
      </c>
    </row>
    <row r="118" spans="1:6" hidden="1">
      <c r="A118" s="10" t="s">
        <v>824</v>
      </c>
      <c r="B118" s="10" t="s">
        <v>825</v>
      </c>
      <c r="C118" s="41" t="s">
        <v>469</v>
      </c>
      <c r="D118" s="11">
        <v>33589</v>
      </c>
      <c r="E118" s="10" t="s">
        <v>447</v>
      </c>
      <c r="F118" s="10" t="s">
        <v>441</v>
      </c>
    </row>
    <row r="119" spans="1:6">
      <c r="A119" s="10" t="s">
        <v>812</v>
      </c>
      <c r="B119" s="10" t="s">
        <v>213</v>
      </c>
      <c r="C119" s="41" t="s">
        <v>213</v>
      </c>
      <c r="D119" s="11">
        <v>32212.38</v>
      </c>
      <c r="E119" s="10" t="s">
        <v>447</v>
      </c>
      <c r="F119" s="10" t="s">
        <v>436</v>
      </c>
    </row>
    <row r="120" spans="1:6">
      <c r="A120" s="10" t="s">
        <v>762</v>
      </c>
      <c r="B120" s="10" t="s">
        <v>702</v>
      </c>
      <c r="C120" s="41" t="s">
        <v>213</v>
      </c>
      <c r="D120" s="11">
        <v>30911.86</v>
      </c>
      <c r="E120" s="10" t="s">
        <v>447</v>
      </c>
      <c r="F120" s="10" t="s">
        <v>436</v>
      </c>
    </row>
    <row r="121" spans="1:6">
      <c r="A121" s="10" t="s">
        <v>826</v>
      </c>
      <c r="B121" s="10" t="s">
        <v>827</v>
      </c>
      <c r="C121" s="41" t="s">
        <v>213</v>
      </c>
      <c r="D121" s="11">
        <v>30395.73</v>
      </c>
      <c r="E121" s="10" t="s">
        <v>447</v>
      </c>
      <c r="F121" s="10" t="s">
        <v>436</v>
      </c>
    </row>
    <row r="122" spans="1:6" hidden="1">
      <c r="A122" s="10" t="s">
        <v>778</v>
      </c>
      <c r="B122" s="10" t="s">
        <v>668</v>
      </c>
      <c r="C122" s="41" t="s">
        <v>151</v>
      </c>
      <c r="D122" s="11">
        <v>30035.48</v>
      </c>
      <c r="E122" s="10" t="s">
        <v>447</v>
      </c>
      <c r="F122" s="10" t="s">
        <v>436</v>
      </c>
    </row>
    <row r="123" spans="1:6" hidden="1">
      <c r="A123" s="10" t="s">
        <v>828</v>
      </c>
      <c r="B123" s="10" t="s">
        <v>829</v>
      </c>
      <c r="C123" s="41" t="s">
        <v>490</v>
      </c>
      <c r="D123" s="11">
        <v>29402.7</v>
      </c>
      <c r="E123" s="10" t="s">
        <v>435</v>
      </c>
      <c r="F123" s="10" t="s">
        <v>471</v>
      </c>
    </row>
    <row r="124" spans="1:6" hidden="1">
      <c r="A124" s="10" t="s">
        <v>830</v>
      </c>
      <c r="B124" s="10" t="s">
        <v>831</v>
      </c>
      <c r="C124" s="41" t="s">
        <v>462</v>
      </c>
      <c r="D124" s="11">
        <v>29355.07</v>
      </c>
      <c r="E124" s="10" t="s">
        <v>447</v>
      </c>
      <c r="F124" s="10" t="s">
        <v>441</v>
      </c>
    </row>
    <row r="125" spans="1:6" hidden="1">
      <c r="A125" s="10" t="s">
        <v>832</v>
      </c>
      <c r="B125" s="10" t="s">
        <v>710</v>
      </c>
      <c r="C125" s="41" t="s">
        <v>375</v>
      </c>
      <c r="D125" s="11">
        <v>29233.27</v>
      </c>
      <c r="E125" s="10" t="s">
        <v>435</v>
      </c>
      <c r="F125" s="10" t="s">
        <v>436</v>
      </c>
    </row>
    <row r="126" spans="1:6" hidden="1">
      <c r="A126" s="10" t="s">
        <v>833</v>
      </c>
      <c r="B126" s="10" t="s">
        <v>834</v>
      </c>
      <c r="C126" s="41" t="s">
        <v>479</v>
      </c>
      <c r="D126" s="11">
        <v>28839.58</v>
      </c>
      <c r="E126" s="10" t="s">
        <v>435</v>
      </c>
      <c r="F126" s="10" t="s">
        <v>441</v>
      </c>
    </row>
    <row r="127" spans="1:6" hidden="1">
      <c r="A127" s="10" t="s">
        <v>835</v>
      </c>
      <c r="B127" s="10" t="s">
        <v>836</v>
      </c>
      <c r="C127" s="41" t="s">
        <v>375</v>
      </c>
      <c r="D127" s="11">
        <v>28755.03</v>
      </c>
      <c r="E127" s="10" t="s">
        <v>435</v>
      </c>
      <c r="F127" s="10" t="s">
        <v>436</v>
      </c>
    </row>
    <row r="128" spans="1:6" hidden="1">
      <c r="A128" s="10" t="s">
        <v>837</v>
      </c>
      <c r="B128" s="10" t="s">
        <v>838</v>
      </c>
      <c r="C128" s="41" t="s">
        <v>151</v>
      </c>
      <c r="D128" s="11">
        <v>28230.27</v>
      </c>
      <c r="E128" s="10" t="s">
        <v>447</v>
      </c>
      <c r="F128" s="10" t="s">
        <v>436</v>
      </c>
    </row>
    <row r="129" spans="1:6">
      <c r="A129" s="10" t="s">
        <v>839</v>
      </c>
      <c r="B129" s="10" t="s">
        <v>213</v>
      </c>
      <c r="C129" s="41" t="s">
        <v>213</v>
      </c>
      <c r="D129" s="11">
        <v>26886.67</v>
      </c>
      <c r="E129" s="10" t="s">
        <v>447</v>
      </c>
      <c r="F129" s="10" t="s">
        <v>436</v>
      </c>
    </row>
    <row r="130" spans="1:6" hidden="1">
      <c r="A130" s="10" t="s">
        <v>768</v>
      </c>
      <c r="B130" s="10" t="s">
        <v>269</v>
      </c>
      <c r="C130" s="41" t="s">
        <v>269</v>
      </c>
      <c r="D130" s="11">
        <v>25791.34</v>
      </c>
      <c r="E130" s="10" t="s">
        <v>447</v>
      </c>
      <c r="F130" s="10" t="s">
        <v>436</v>
      </c>
    </row>
    <row r="131" spans="1:6" hidden="1">
      <c r="A131" s="10" t="s">
        <v>840</v>
      </c>
      <c r="B131" s="10" t="s">
        <v>841</v>
      </c>
      <c r="C131" s="41" t="s">
        <v>452</v>
      </c>
      <c r="D131" s="11">
        <v>25590.880000000001</v>
      </c>
      <c r="E131" s="10" t="s">
        <v>447</v>
      </c>
      <c r="F131" s="10" t="s">
        <v>441</v>
      </c>
    </row>
    <row r="132" spans="1:6">
      <c r="A132" s="10" t="s">
        <v>842</v>
      </c>
      <c r="B132" s="10" t="s">
        <v>702</v>
      </c>
      <c r="C132" s="41" t="s">
        <v>213</v>
      </c>
      <c r="D132" s="11">
        <v>25529.91</v>
      </c>
      <c r="E132" s="10" t="s">
        <v>447</v>
      </c>
      <c r="F132" s="10" t="s">
        <v>436</v>
      </c>
    </row>
    <row r="133" spans="1:6" hidden="1">
      <c r="A133" s="10" t="s">
        <v>843</v>
      </c>
      <c r="B133" s="10" t="s">
        <v>836</v>
      </c>
      <c r="C133" s="41" t="s">
        <v>375</v>
      </c>
      <c r="D133" s="11">
        <v>25340.2</v>
      </c>
      <c r="E133" s="10" t="s">
        <v>435</v>
      </c>
      <c r="F133" s="10" t="s">
        <v>436</v>
      </c>
    </row>
    <row r="134" spans="1:6" hidden="1">
      <c r="A134" s="10" t="s">
        <v>712</v>
      </c>
      <c r="B134" s="10" t="s">
        <v>710</v>
      </c>
      <c r="C134" s="41" t="s">
        <v>375</v>
      </c>
      <c r="D134" s="11">
        <v>24765.22</v>
      </c>
      <c r="E134" s="10" t="s">
        <v>435</v>
      </c>
      <c r="F134" s="10" t="s">
        <v>436</v>
      </c>
    </row>
    <row r="135" spans="1:6" hidden="1">
      <c r="A135" s="10" t="s">
        <v>844</v>
      </c>
      <c r="B135" s="10" t="s">
        <v>464</v>
      </c>
      <c r="C135" s="41" t="s">
        <v>464</v>
      </c>
      <c r="D135" s="11">
        <v>24529.85</v>
      </c>
      <c r="E135" s="10" t="s">
        <v>447</v>
      </c>
      <c r="F135" s="10" t="s">
        <v>436</v>
      </c>
    </row>
    <row r="136" spans="1:6" hidden="1">
      <c r="A136" s="10" t="s">
        <v>783</v>
      </c>
      <c r="B136" s="10" t="s">
        <v>845</v>
      </c>
      <c r="C136" s="41" t="s">
        <v>464</v>
      </c>
      <c r="D136" s="11">
        <v>24218.35</v>
      </c>
      <c r="E136" s="10" t="s">
        <v>502</v>
      </c>
      <c r="F136" s="10" t="s">
        <v>436</v>
      </c>
    </row>
    <row r="137" spans="1:6" hidden="1">
      <c r="A137" s="10" t="s">
        <v>846</v>
      </c>
      <c r="B137" s="10" t="s">
        <v>151</v>
      </c>
      <c r="C137" s="41" t="s">
        <v>151</v>
      </c>
      <c r="D137" s="11">
        <v>23616.11</v>
      </c>
      <c r="E137" s="10" t="s">
        <v>447</v>
      </c>
      <c r="F137" s="10" t="s">
        <v>436</v>
      </c>
    </row>
    <row r="138" spans="1:6" hidden="1">
      <c r="A138" s="10" t="s">
        <v>754</v>
      </c>
      <c r="B138" s="10" t="s">
        <v>722</v>
      </c>
      <c r="C138" s="41" t="s">
        <v>151</v>
      </c>
      <c r="D138" s="11">
        <v>23466</v>
      </c>
      <c r="E138" s="10" t="s">
        <v>447</v>
      </c>
      <c r="F138" s="10" t="s">
        <v>436</v>
      </c>
    </row>
    <row r="139" spans="1:6" hidden="1">
      <c r="A139" s="10" t="s">
        <v>844</v>
      </c>
      <c r="B139" s="10" t="s">
        <v>693</v>
      </c>
      <c r="C139" s="41" t="s">
        <v>464</v>
      </c>
      <c r="D139" s="11">
        <v>23451.62</v>
      </c>
      <c r="E139" s="10" t="s">
        <v>447</v>
      </c>
      <c r="F139" s="10" t="s">
        <v>436</v>
      </c>
    </row>
    <row r="140" spans="1:6" hidden="1">
      <c r="A140" s="10" t="s">
        <v>847</v>
      </c>
      <c r="B140" s="10" t="s">
        <v>848</v>
      </c>
      <c r="C140" s="41" t="s">
        <v>470</v>
      </c>
      <c r="D140" s="11">
        <v>22316.39</v>
      </c>
      <c r="E140" s="10" t="s">
        <v>447</v>
      </c>
      <c r="F140" s="10" t="s">
        <v>471</v>
      </c>
    </row>
    <row r="141" spans="1:6" hidden="1">
      <c r="A141" s="10" t="s">
        <v>770</v>
      </c>
      <c r="B141" s="10" t="s">
        <v>849</v>
      </c>
      <c r="C141" s="41" t="s">
        <v>477</v>
      </c>
      <c r="D141" s="11">
        <v>22218.720000000001</v>
      </c>
      <c r="E141" s="10" t="s">
        <v>447</v>
      </c>
      <c r="F141" s="10" t="s">
        <v>471</v>
      </c>
    </row>
    <row r="142" spans="1:6" hidden="1">
      <c r="A142" s="10" t="s">
        <v>850</v>
      </c>
      <c r="B142" s="10" t="s">
        <v>851</v>
      </c>
      <c r="C142" s="41" t="s">
        <v>446</v>
      </c>
      <c r="D142" s="11">
        <v>21906.94</v>
      </c>
      <c r="E142" s="10" t="s">
        <v>447</v>
      </c>
      <c r="F142" s="10" t="s">
        <v>436</v>
      </c>
    </row>
    <row r="143" spans="1:6" hidden="1">
      <c r="A143" s="10" t="s">
        <v>852</v>
      </c>
      <c r="B143" s="10" t="s">
        <v>526</v>
      </c>
      <c r="C143" s="41" t="s">
        <v>526</v>
      </c>
      <c r="D143" s="11">
        <v>21832.959999999999</v>
      </c>
      <c r="E143" s="10" t="s">
        <v>447</v>
      </c>
      <c r="F143" s="10" t="s">
        <v>471</v>
      </c>
    </row>
    <row r="144" spans="1:6" hidden="1">
      <c r="A144" s="10" t="s">
        <v>853</v>
      </c>
      <c r="B144" s="10" t="s">
        <v>854</v>
      </c>
      <c r="C144" s="41" t="s">
        <v>475</v>
      </c>
      <c r="D144" s="11">
        <v>21614.74</v>
      </c>
      <c r="E144" s="10" t="s">
        <v>447</v>
      </c>
      <c r="F144" s="10" t="s">
        <v>441</v>
      </c>
    </row>
    <row r="145" spans="1:6" hidden="1">
      <c r="A145" s="10" t="s">
        <v>855</v>
      </c>
      <c r="B145" s="10" t="s">
        <v>710</v>
      </c>
      <c r="C145" s="41" t="s">
        <v>375</v>
      </c>
      <c r="D145" s="11">
        <v>21425.03</v>
      </c>
      <c r="E145" s="10" t="s">
        <v>435</v>
      </c>
      <c r="F145" s="10" t="s">
        <v>436</v>
      </c>
    </row>
    <row r="146" spans="1:6" hidden="1">
      <c r="A146" s="10" t="s">
        <v>856</v>
      </c>
      <c r="B146" s="10" t="s">
        <v>465</v>
      </c>
      <c r="C146" s="41" t="s">
        <v>465</v>
      </c>
      <c r="D146" s="11">
        <v>21352.14</v>
      </c>
      <c r="E146" s="10" t="s">
        <v>435</v>
      </c>
      <c r="F146" s="10" t="s">
        <v>436</v>
      </c>
    </row>
    <row r="147" spans="1:6" hidden="1">
      <c r="A147" s="10" t="s">
        <v>857</v>
      </c>
      <c r="B147" s="10" t="s">
        <v>858</v>
      </c>
      <c r="C147" s="41" t="s">
        <v>446</v>
      </c>
      <c r="D147" s="11">
        <v>21014.33</v>
      </c>
      <c r="E147" s="10" t="s">
        <v>447</v>
      </c>
      <c r="F147" s="10" t="s">
        <v>441</v>
      </c>
    </row>
    <row r="148" spans="1:6" hidden="1">
      <c r="A148" s="10" t="s">
        <v>859</v>
      </c>
      <c r="B148" s="10" t="s">
        <v>860</v>
      </c>
      <c r="C148" s="41" t="s">
        <v>525</v>
      </c>
      <c r="D148" s="11">
        <v>20951.79</v>
      </c>
      <c r="E148" s="10" t="s">
        <v>447</v>
      </c>
      <c r="F148" s="10" t="s">
        <v>471</v>
      </c>
    </row>
    <row r="149" spans="1:6" hidden="1">
      <c r="A149" s="10" t="s">
        <v>855</v>
      </c>
      <c r="B149" s="10" t="s">
        <v>861</v>
      </c>
      <c r="C149" s="41" t="s">
        <v>375</v>
      </c>
      <c r="D149" s="11">
        <v>20663.05</v>
      </c>
      <c r="E149" s="10" t="s">
        <v>435</v>
      </c>
      <c r="F149" s="10" t="s">
        <v>436</v>
      </c>
    </row>
    <row r="150" spans="1:6" hidden="1">
      <c r="A150" s="10" t="s">
        <v>806</v>
      </c>
      <c r="B150" s="10" t="s">
        <v>862</v>
      </c>
      <c r="C150" s="41" t="s">
        <v>193</v>
      </c>
      <c r="D150" s="11">
        <v>20019.900000000001</v>
      </c>
      <c r="E150" s="10" t="s">
        <v>447</v>
      </c>
      <c r="F150" s="10" t="s">
        <v>436</v>
      </c>
    </row>
    <row r="151" spans="1:6" hidden="1">
      <c r="A151" s="10" t="s">
        <v>863</v>
      </c>
      <c r="B151" s="10" t="s">
        <v>468</v>
      </c>
      <c r="C151" s="41" t="s">
        <v>468</v>
      </c>
      <c r="D151" s="11">
        <v>20007.39</v>
      </c>
      <c r="E151" s="10" t="s">
        <v>435</v>
      </c>
      <c r="F151" s="10" t="s">
        <v>436</v>
      </c>
    </row>
    <row r="152" spans="1:6" hidden="1">
      <c r="A152" s="10" t="s">
        <v>864</v>
      </c>
      <c r="B152" s="10" t="s">
        <v>865</v>
      </c>
      <c r="C152" s="41" t="s">
        <v>465</v>
      </c>
      <c r="D152" s="11">
        <v>19765.669999999998</v>
      </c>
      <c r="E152" s="10" t="s">
        <v>435</v>
      </c>
      <c r="F152" s="10" t="s">
        <v>436</v>
      </c>
    </row>
    <row r="153" spans="1:6" hidden="1">
      <c r="A153" s="10" t="s">
        <v>866</v>
      </c>
      <c r="B153" s="10" t="s">
        <v>867</v>
      </c>
      <c r="C153" s="41" t="s">
        <v>314</v>
      </c>
      <c r="D153" s="11">
        <v>19660.91</v>
      </c>
      <c r="E153" s="10" t="s">
        <v>447</v>
      </c>
      <c r="F153" s="10" t="s">
        <v>436</v>
      </c>
    </row>
    <row r="154" spans="1:6" hidden="1">
      <c r="A154" s="10" t="s">
        <v>868</v>
      </c>
      <c r="B154" s="10" t="s">
        <v>464</v>
      </c>
      <c r="C154" s="41" t="s">
        <v>464</v>
      </c>
      <c r="D154" s="11">
        <v>19621.099999999999</v>
      </c>
      <c r="E154" s="10" t="s">
        <v>502</v>
      </c>
      <c r="F154" s="10" t="s">
        <v>436</v>
      </c>
    </row>
    <row r="155" spans="1:6" hidden="1">
      <c r="A155" s="10" t="s">
        <v>869</v>
      </c>
      <c r="B155" s="10" t="s">
        <v>562</v>
      </c>
      <c r="C155" s="41" t="s">
        <v>562</v>
      </c>
      <c r="D155" s="11">
        <v>19512.71</v>
      </c>
      <c r="E155" s="10" t="s">
        <v>540</v>
      </c>
      <c r="F155" s="10" t="s">
        <v>471</v>
      </c>
    </row>
    <row r="156" spans="1:6" hidden="1">
      <c r="A156" s="10" t="s">
        <v>870</v>
      </c>
      <c r="B156" s="10" t="s">
        <v>871</v>
      </c>
      <c r="C156" s="41" t="s">
        <v>469</v>
      </c>
      <c r="D156" s="11">
        <v>19253.23</v>
      </c>
      <c r="E156" s="10" t="s">
        <v>447</v>
      </c>
      <c r="F156" s="10" t="s">
        <v>441</v>
      </c>
    </row>
    <row r="157" spans="1:6">
      <c r="A157" s="10" t="s">
        <v>872</v>
      </c>
      <c r="B157" s="10" t="s">
        <v>702</v>
      </c>
      <c r="C157" s="41" t="s">
        <v>213</v>
      </c>
      <c r="D157" s="11">
        <v>18983.099999999999</v>
      </c>
      <c r="E157" s="10" t="s">
        <v>447</v>
      </c>
      <c r="F157" s="10" t="s">
        <v>436</v>
      </c>
    </row>
    <row r="158" spans="1:6">
      <c r="A158" s="10" t="s">
        <v>873</v>
      </c>
      <c r="B158" s="10" t="s">
        <v>702</v>
      </c>
      <c r="C158" s="41" t="s">
        <v>213</v>
      </c>
      <c r="D158" s="11">
        <v>18944.64</v>
      </c>
      <c r="E158" s="10" t="s">
        <v>447</v>
      </c>
      <c r="F158" s="10" t="s">
        <v>436</v>
      </c>
    </row>
    <row r="159" spans="1:6" hidden="1">
      <c r="A159" s="10" t="s">
        <v>874</v>
      </c>
      <c r="B159" s="10" t="s">
        <v>151</v>
      </c>
      <c r="C159" s="41" t="s">
        <v>151</v>
      </c>
      <c r="D159" s="11">
        <v>18908.52</v>
      </c>
      <c r="E159" s="10" t="s">
        <v>447</v>
      </c>
      <c r="F159" s="10" t="s">
        <v>436</v>
      </c>
    </row>
    <row r="160" spans="1:6" hidden="1">
      <c r="A160" s="10" t="s">
        <v>875</v>
      </c>
      <c r="B160" s="10" t="s">
        <v>876</v>
      </c>
      <c r="C160" s="41" t="s">
        <v>151</v>
      </c>
      <c r="D160" s="11">
        <v>18871.62</v>
      </c>
      <c r="E160" s="10" t="s">
        <v>447</v>
      </c>
      <c r="F160" s="10" t="s">
        <v>436</v>
      </c>
    </row>
    <row r="161" spans="1:6">
      <c r="A161" s="10" t="s">
        <v>767</v>
      </c>
      <c r="B161" s="10" t="s">
        <v>213</v>
      </c>
      <c r="C161" s="41" t="s">
        <v>213</v>
      </c>
      <c r="D161" s="11">
        <v>18565.95</v>
      </c>
      <c r="E161" s="10" t="s">
        <v>447</v>
      </c>
      <c r="F161" s="10" t="s">
        <v>436</v>
      </c>
    </row>
    <row r="162" spans="1:6" hidden="1">
      <c r="A162" s="10" t="s">
        <v>877</v>
      </c>
      <c r="B162" s="10" t="s">
        <v>878</v>
      </c>
      <c r="C162" s="41" t="s">
        <v>469</v>
      </c>
      <c r="D162" s="11">
        <v>18565.75</v>
      </c>
      <c r="E162" s="10" t="s">
        <v>447</v>
      </c>
      <c r="F162" s="10" t="s">
        <v>436</v>
      </c>
    </row>
    <row r="163" spans="1:6" hidden="1">
      <c r="A163" s="10" t="s">
        <v>879</v>
      </c>
      <c r="B163" s="10" t="s">
        <v>880</v>
      </c>
      <c r="C163" s="41" t="s">
        <v>465</v>
      </c>
      <c r="D163" s="11">
        <v>18512.939999999999</v>
      </c>
      <c r="E163" s="10" t="s">
        <v>435</v>
      </c>
      <c r="F163" s="10" t="s">
        <v>436</v>
      </c>
    </row>
    <row r="164" spans="1:6" hidden="1">
      <c r="A164" s="10" t="s">
        <v>877</v>
      </c>
      <c r="B164" s="10" t="s">
        <v>469</v>
      </c>
      <c r="C164" s="41" t="s">
        <v>469</v>
      </c>
      <c r="D164" s="11">
        <v>18487.8</v>
      </c>
      <c r="E164" s="10" t="s">
        <v>447</v>
      </c>
      <c r="F164" s="10" t="s">
        <v>436</v>
      </c>
    </row>
    <row r="165" spans="1:6" hidden="1">
      <c r="A165" s="10" t="s">
        <v>881</v>
      </c>
      <c r="B165" s="10" t="s">
        <v>511</v>
      </c>
      <c r="C165" s="41" t="s">
        <v>511</v>
      </c>
      <c r="D165" s="11">
        <v>18391.71</v>
      </c>
      <c r="E165" s="10" t="s">
        <v>447</v>
      </c>
      <c r="F165" s="10" t="s">
        <v>471</v>
      </c>
    </row>
    <row r="166" spans="1:6" hidden="1">
      <c r="A166" s="10" t="s">
        <v>882</v>
      </c>
      <c r="B166" s="10" t="s">
        <v>462</v>
      </c>
      <c r="C166" s="41" t="s">
        <v>462</v>
      </c>
      <c r="D166" s="11">
        <v>18377.12</v>
      </c>
      <c r="E166" s="10" t="s">
        <v>447</v>
      </c>
      <c r="F166" s="10" t="s">
        <v>441</v>
      </c>
    </row>
    <row r="167" spans="1:6" hidden="1">
      <c r="A167" s="10" t="s">
        <v>883</v>
      </c>
      <c r="B167" s="10" t="s">
        <v>884</v>
      </c>
      <c r="C167" s="41" t="s">
        <v>193</v>
      </c>
      <c r="D167" s="11">
        <v>18220.759999999998</v>
      </c>
      <c r="E167" s="10" t="s">
        <v>435</v>
      </c>
      <c r="F167" s="10" t="s">
        <v>436</v>
      </c>
    </row>
    <row r="168" spans="1:6" hidden="1">
      <c r="A168" s="10" t="s">
        <v>881</v>
      </c>
      <c r="B168" s="10" t="s">
        <v>885</v>
      </c>
      <c r="C168" s="41" t="s">
        <v>511</v>
      </c>
      <c r="D168" s="11">
        <v>17785.62</v>
      </c>
      <c r="E168" s="10" t="s">
        <v>447</v>
      </c>
      <c r="F168" s="10" t="s">
        <v>471</v>
      </c>
    </row>
    <row r="169" spans="1:6" hidden="1">
      <c r="A169" s="10" t="s">
        <v>774</v>
      </c>
      <c r="B169" s="10" t="s">
        <v>886</v>
      </c>
      <c r="C169" s="41" t="s">
        <v>482</v>
      </c>
      <c r="D169" s="11">
        <v>17333.7</v>
      </c>
      <c r="E169" s="10" t="s">
        <v>447</v>
      </c>
      <c r="F169" s="10" t="s">
        <v>436</v>
      </c>
    </row>
    <row r="170" spans="1:6" hidden="1">
      <c r="A170" s="10" t="s">
        <v>887</v>
      </c>
      <c r="B170" s="10" t="s">
        <v>375</v>
      </c>
      <c r="C170" s="41" t="s">
        <v>375</v>
      </c>
      <c r="D170" s="11">
        <v>17261.77</v>
      </c>
      <c r="E170" s="10" t="s">
        <v>435</v>
      </c>
      <c r="F170" s="10" t="s">
        <v>436</v>
      </c>
    </row>
    <row r="171" spans="1:6" hidden="1">
      <c r="A171" s="10" t="s">
        <v>888</v>
      </c>
      <c r="B171" s="10" t="s">
        <v>528</v>
      </c>
      <c r="C171" s="41" t="s">
        <v>528</v>
      </c>
      <c r="D171" s="11">
        <v>17243.63</v>
      </c>
      <c r="E171" s="10" t="s">
        <v>447</v>
      </c>
      <c r="F171" s="10" t="s">
        <v>436</v>
      </c>
    </row>
    <row r="172" spans="1:6" hidden="1">
      <c r="A172" s="10" t="s">
        <v>889</v>
      </c>
      <c r="B172" s="10" t="s">
        <v>890</v>
      </c>
      <c r="C172" s="41" t="s">
        <v>475</v>
      </c>
      <c r="D172" s="11">
        <v>17121.57</v>
      </c>
      <c r="E172" s="10" t="s">
        <v>447</v>
      </c>
      <c r="F172" s="10" t="s">
        <v>471</v>
      </c>
    </row>
    <row r="173" spans="1:6" hidden="1">
      <c r="A173" s="10" t="s">
        <v>891</v>
      </c>
      <c r="B173" s="10" t="s">
        <v>892</v>
      </c>
      <c r="C173" s="41" t="s">
        <v>469</v>
      </c>
      <c r="D173" s="11">
        <v>17032.45</v>
      </c>
      <c r="E173" s="10" t="s">
        <v>447</v>
      </c>
      <c r="F173" s="10" t="s">
        <v>441</v>
      </c>
    </row>
    <row r="174" spans="1:6" hidden="1">
      <c r="A174" s="10" t="s">
        <v>889</v>
      </c>
      <c r="B174" s="10" t="s">
        <v>475</v>
      </c>
      <c r="C174" s="41" t="s">
        <v>475</v>
      </c>
      <c r="D174" s="11">
        <v>16859.150000000001</v>
      </c>
      <c r="E174" s="10" t="s">
        <v>447</v>
      </c>
      <c r="F174" s="10" t="s">
        <v>471</v>
      </c>
    </row>
    <row r="175" spans="1:6" hidden="1">
      <c r="A175" s="10" t="s">
        <v>855</v>
      </c>
      <c r="B175" s="10" t="s">
        <v>893</v>
      </c>
      <c r="C175" s="41" t="s">
        <v>375</v>
      </c>
      <c r="D175" s="11">
        <v>16763.52</v>
      </c>
      <c r="E175" s="10" t="s">
        <v>435</v>
      </c>
      <c r="F175" s="10" t="s">
        <v>436</v>
      </c>
    </row>
    <row r="176" spans="1:6" hidden="1">
      <c r="A176" s="10" t="s">
        <v>859</v>
      </c>
      <c r="B176" s="10" t="s">
        <v>894</v>
      </c>
      <c r="C176" s="41" t="s">
        <v>525</v>
      </c>
      <c r="D176" s="11">
        <v>16761.43</v>
      </c>
      <c r="E176" s="10" t="s">
        <v>447</v>
      </c>
      <c r="F176" s="10" t="s">
        <v>471</v>
      </c>
    </row>
    <row r="177" spans="1:6" hidden="1">
      <c r="A177" s="10" t="s">
        <v>895</v>
      </c>
      <c r="B177" s="10" t="s">
        <v>728</v>
      </c>
      <c r="C177" s="41" t="s">
        <v>193</v>
      </c>
      <c r="D177" s="11">
        <v>16693.259999999998</v>
      </c>
      <c r="E177" s="10" t="s">
        <v>435</v>
      </c>
      <c r="F177" s="10" t="s">
        <v>436</v>
      </c>
    </row>
    <row r="178" spans="1:6" hidden="1">
      <c r="A178" s="10" t="s">
        <v>896</v>
      </c>
      <c r="B178" s="10" t="s">
        <v>498</v>
      </c>
      <c r="C178" s="41" t="s">
        <v>498</v>
      </c>
      <c r="D178" s="11">
        <v>16675.7</v>
      </c>
      <c r="E178" s="10" t="s">
        <v>447</v>
      </c>
      <c r="F178" s="10" t="s">
        <v>441</v>
      </c>
    </row>
    <row r="179" spans="1:6" hidden="1">
      <c r="A179" s="10" t="s">
        <v>739</v>
      </c>
      <c r="B179" s="10" t="s">
        <v>897</v>
      </c>
      <c r="C179" s="41" t="s">
        <v>459</v>
      </c>
      <c r="D179" s="11">
        <v>16416.2</v>
      </c>
      <c r="E179" s="10" t="s">
        <v>435</v>
      </c>
      <c r="F179" s="10" t="s">
        <v>436</v>
      </c>
    </row>
    <row r="180" spans="1:6" hidden="1">
      <c r="A180" s="10" t="s">
        <v>898</v>
      </c>
      <c r="B180" s="10" t="s">
        <v>899</v>
      </c>
      <c r="C180" s="41" t="s">
        <v>458</v>
      </c>
      <c r="D180" s="11">
        <v>16341.04</v>
      </c>
      <c r="E180" s="10" t="s">
        <v>447</v>
      </c>
      <c r="F180" s="10" t="s">
        <v>436</v>
      </c>
    </row>
    <row r="181" spans="1:6" hidden="1">
      <c r="A181" s="10" t="s">
        <v>900</v>
      </c>
      <c r="B181" s="10" t="s">
        <v>151</v>
      </c>
      <c r="C181" s="41" t="s">
        <v>151</v>
      </c>
      <c r="D181" s="11">
        <v>16261.09</v>
      </c>
      <c r="E181" s="10" t="s">
        <v>447</v>
      </c>
      <c r="F181" s="10" t="s">
        <v>436</v>
      </c>
    </row>
    <row r="182" spans="1:6" hidden="1">
      <c r="A182" s="10" t="s">
        <v>806</v>
      </c>
      <c r="B182" s="10" t="s">
        <v>728</v>
      </c>
      <c r="C182" s="41" t="s">
        <v>193</v>
      </c>
      <c r="D182" s="11">
        <v>16258.9</v>
      </c>
      <c r="E182" s="10" t="s">
        <v>447</v>
      </c>
      <c r="F182" s="10" t="s">
        <v>436</v>
      </c>
    </row>
    <row r="183" spans="1:6" hidden="1">
      <c r="A183" s="10" t="s">
        <v>901</v>
      </c>
      <c r="B183" s="10" t="s">
        <v>193</v>
      </c>
      <c r="C183" s="41" t="s">
        <v>193</v>
      </c>
      <c r="D183" s="11">
        <v>16106.92</v>
      </c>
      <c r="E183" s="10" t="s">
        <v>435</v>
      </c>
      <c r="F183" s="10" t="s">
        <v>436</v>
      </c>
    </row>
    <row r="184" spans="1:6" hidden="1">
      <c r="A184" s="10" t="s">
        <v>902</v>
      </c>
      <c r="B184" s="10" t="s">
        <v>903</v>
      </c>
      <c r="C184" s="41" t="s">
        <v>530</v>
      </c>
      <c r="D184" s="11">
        <v>15672.29</v>
      </c>
      <c r="E184" s="10" t="s">
        <v>447</v>
      </c>
      <c r="F184" s="10" t="s">
        <v>441</v>
      </c>
    </row>
    <row r="185" spans="1:6" hidden="1">
      <c r="A185" s="10" t="s">
        <v>904</v>
      </c>
      <c r="B185" s="10" t="s">
        <v>468</v>
      </c>
      <c r="C185" s="41" t="s">
        <v>468</v>
      </c>
      <c r="D185" s="11">
        <v>15585.63</v>
      </c>
      <c r="E185" s="10" t="s">
        <v>435</v>
      </c>
      <c r="F185" s="10" t="s">
        <v>436</v>
      </c>
    </row>
    <row r="186" spans="1:6" hidden="1">
      <c r="A186" s="10" t="s">
        <v>905</v>
      </c>
      <c r="B186" s="10" t="s">
        <v>880</v>
      </c>
      <c r="C186" s="41" t="s">
        <v>465</v>
      </c>
      <c r="D186" s="11">
        <v>15388.62</v>
      </c>
      <c r="E186" s="10" t="s">
        <v>435</v>
      </c>
      <c r="F186" s="10" t="s">
        <v>436</v>
      </c>
    </row>
    <row r="187" spans="1:6" hidden="1">
      <c r="A187" s="10" t="s">
        <v>906</v>
      </c>
      <c r="B187" s="10" t="s">
        <v>733</v>
      </c>
      <c r="C187" s="41" t="s">
        <v>193</v>
      </c>
      <c r="D187" s="11">
        <v>15165.38</v>
      </c>
      <c r="E187" s="10" t="s">
        <v>435</v>
      </c>
      <c r="F187" s="10" t="s">
        <v>436</v>
      </c>
    </row>
    <row r="188" spans="1:6" hidden="1">
      <c r="A188" s="10" t="s">
        <v>907</v>
      </c>
      <c r="B188" s="10" t="s">
        <v>908</v>
      </c>
      <c r="C188" s="41" t="s">
        <v>500</v>
      </c>
      <c r="D188" s="11">
        <v>15013.16</v>
      </c>
      <c r="E188" s="10" t="s">
        <v>447</v>
      </c>
      <c r="F188" s="10" t="s">
        <v>471</v>
      </c>
    </row>
    <row r="189" spans="1:6">
      <c r="A189" s="10" t="s">
        <v>872</v>
      </c>
      <c r="B189" s="10" t="s">
        <v>691</v>
      </c>
      <c r="C189" s="41" t="s">
        <v>213</v>
      </c>
      <c r="D189" s="11">
        <v>14953.22</v>
      </c>
      <c r="E189" s="10" t="s">
        <v>447</v>
      </c>
      <c r="F189" s="10" t="s">
        <v>436</v>
      </c>
    </row>
    <row r="190" spans="1:6" hidden="1">
      <c r="A190" s="10" t="s">
        <v>909</v>
      </c>
      <c r="B190" s="10" t="s">
        <v>720</v>
      </c>
      <c r="C190" s="41" t="s">
        <v>464</v>
      </c>
      <c r="D190" s="11">
        <v>14928.86</v>
      </c>
      <c r="E190" s="10" t="s">
        <v>447</v>
      </c>
      <c r="F190" s="10" t="s">
        <v>436</v>
      </c>
    </row>
    <row r="191" spans="1:6" hidden="1">
      <c r="A191" s="10" t="s">
        <v>796</v>
      </c>
      <c r="B191" s="10" t="s">
        <v>910</v>
      </c>
      <c r="C191" s="41" t="s">
        <v>477</v>
      </c>
      <c r="D191" s="11">
        <v>14767.15</v>
      </c>
      <c r="E191" s="10" t="s">
        <v>502</v>
      </c>
      <c r="F191" s="10" t="s">
        <v>471</v>
      </c>
    </row>
    <row r="192" spans="1:6" hidden="1">
      <c r="A192" s="10" t="s">
        <v>911</v>
      </c>
      <c r="B192" s="10" t="s">
        <v>912</v>
      </c>
      <c r="C192" s="41" t="s">
        <v>465</v>
      </c>
      <c r="D192" s="11">
        <v>14760.07</v>
      </c>
      <c r="E192" s="10" t="s">
        <v>435</v>
      </c>
      <c r="F192" s="10" t="s">
        <v>436</v>
      </c>
    </row>
    <row r="193" spans="1:6" hidden="1">
      <c r="A193" s="10" t="s">
        <v>911</v>
      </c>
      <c r="B193" s="10" t="s">
        <v>913</v>
      </c>
      <c r="C193" s="41" t="s">
        <v>465</v>
      </c>
      <c r="D193" s="11">
        <v>14676.68</v>
      </c>
      <c r="E193" s="10" t="s">
        <v>435</v>
      </c>
      <c r="F193" s="10" t="s">
        <v>436</v>
      </c>
    </row>
    <row r="194" spans="1:6">
      <c r="A194" s="10" t="s">
        <v>839</v>
      </c>
      <c r="B194" s="10" t="s">
        <v>691</v>
      </c>
      <c r="C194" s="41" t="s">
        <v>213</v>
      </c>
      <c r="D194" s="11">
        <v>14639.98</v>
      </c>
      <c r="E194" s="10" t="s">
        <v>447</v>
      </c>
      <c r="F194" s="10" t="s">
        <v>436</v>
      </c>
    </row>
    <row r="195" spans="1:6" hidden="1">
      <c r="A195" s="10" t="s">
        <v>847</v>
      </c>
      <c r="B195" s="10" t="s">
        <v>914</v>
      </c>
      <c r="C195" s="41" t="s">
        <v>470</v>
      </c>
      <c r="D195" s="11">
        <v>14548.46</v>
      </c>
      <c r="E195" s="10" t="s">
        <v>447</v>
      </c>
      <c r="F195" s="10" t="s">
        <v>471</v>
      </c>
    </row>
    <row r="196" spans="1:6" hidden="1">
      <c r="A196" s="10" t="s">
        <v>906</v>
      </c>
      <c r="B196" s="10" t="s">
        <v>915</v>
      </c>
      <c r="C196" s="41" t="s">
        <v>193</v>
      </c>
      <c r="D196" s="11">
        <v>14532.53</v>
      </c>
      <c r="E196" s="10" t="s">
        <v>435</v>
      </c>
      <c r="F196" s="10" t="s">
        <v>436</v>
      </c>
    </row>
    <row r="197" spans="1:6" hidden="1">
      <c r="A197" s="10" t="s">
        <v>916</v>
      </c>
      <c r="B197" s="10" t="s">
        <v>917</v>
      </c>
      <c r="C197" s="41" t="s">
        <v>465</v>
      </c>
      <c r="D197" s="11">
        <v>14489.05</v>
      </c>
      <c r="E197" s="10" t="s">
        <v>435</v>
      </c>
      <c r="F197" s="10" t="s">
        <v>436</v>
      </c>
    </row>
    <row r="198" spans="1:6" hidden="1">
      <c r="A198" s="10" t="s">
        <v>918</v>
      </c>
      <c r="B198" s="10" t="s">
        <v>515</v>
      </c>
      <c r="C198" s="41" t="s">
        <v>515</v>
      </c>
      <c r="D198" s="11">
        <v>14460.57</v>
      </c>
      <c r="E198" s="10" t="s">
        <v>447</v>
      </c>
      <c r="F198" s="10" t="s">
        <v>441</v>
      </c>
    </row>
    <row r="199" spans="1:6" hidden="1">
      <c r="A199" s="10" t="s">
        <v>727</v>
      </c>
      <c r="B199" s="10" t="s">
        <v>919</v>
      </c>
      <c r="C199" s="41" t="s">
        <v>193</v>
      </c>
      <c r="D199" s="11">
        <v>14266.24</v>
      </c>
      <c r="E199" s="10" t="s">
        <v>435</v>
      </c>
      <c r="F199" s="10" t="s">
        <v>436</v>
      </c>
    </row>
    <row r="200" spans="1:6" hidden="1">
      <c r="A200" s="10" t="s">
        <v>920</v>
      </c>
      <c r="B200" s="10" t="s">
        <v>921</v>
      </c>
      <c r="C200" s="41" t="s">
        <v>115</v>
      </c>
      <c r="D200" s="11">
        <v>14202.19</v>
      </c>
      <c r="E200" s="10" t="s">
        <v>435</v>
      </c>
      <c r="F200" s="10" t="s">
        <v>441</v>
      </c>
    </row>
    <row r="201" spans="1:6" hidden="1">
      <c r="A201" s="10" t="s">
        <v>922</v>
      </c>
      <c r="B201" s="10" t="s">
        <v>923</v>
      </c>
      <c r="C201" s="41" t="s">
        <v>515</v>
      </c>
      <c r="D201" s="11">
        <v>14197.18</v>
      </c>
      <c r="E201" s="10" t="s">
        <v>540</v>
      </c>
      <c r="F201" s="10" t="s">
        <v>436</v>
      </c>
    </row>
    <row r="202" spans="1:6" hidden="1">
      <c r="A202" s="10" t="s">
        <v>924</v>
      </c>
      <c r="B202" s="10" t="s">
        <v>777</v>
      </c>
      <c r="C202" s="41" t="s">
        <v>469</v>
      </c>
      <c r="D202" s="11">
        <v>14192.18</v>
      </c>
      <c r="E202" s="10" t="s">
        <v>447</v>
      </c>
      <c r="F202" s="10" t="s">
        <v>441</v>
      </c>
    </row>
    <row r="203" spans="1:6">
      <c r="A203" s="10" t="s">
        <v>925</v>
      </c>
      <c r="B203" s="10" t="s">
        <v>702</v>
      </c>
      <c r="C203" s="41" t="s">
        <v>213</v>
      </c>
      <c r="D203" s="11">
        <v>14097.11</v>
      </c>
      <c r="E203" s="10" t="s">
        <v>447</v>
      </c>
      <c r="F203" s="10" t="s">
        <v>436</v>
      </c>
    </row>
    <row r="204" spans="1:6" hidden="1">
      <c r="A204" s="10" t="s">
        <v>926</v>
      </c>
      <c r="B204" s="10" t="s">
        <v>927</v>
      </c>
      <c r="C204" s="41" t="s">
        <v>475</v>
      </c>
      <c r="D204" s="11">
        <v>14093.78</v>
      </c>
      <c r="E204" s="10" t="s">
        <v>447</v>
      </c>
      <c r="F204" s="10" t="s">
        <v>441</v>
      </c>
    </row>
    <row r="205" spans="1:6" hidden="1">
      <c r="A205" s="10" t="s">
        <v>928</v>
      </c>
      <c r="B205" s="10" t="s">
        <v>462</v>
      </c>
      <c r="C205" s="41" t="s">
        <v>462</v>
      </c>
      <c r="D205" s="11">
        <v>14051.25</v>
      </c>
      <c r="E205" s="10" t="s">
        <v>447</v>
      </c>
      <c r="F205" s="10" t="s">
        <v>441</v>
      </c>
    </row>
    <row r="206" spans="1:6" hidden="1">
      <c r="A206" s="10" t="s">
        <v>857</v>
      </c>
      <c r="B206" s="10" t="s">
        <v>929</v>
      </c>
      <c r="C206" s="41" t="s">
        <v>446</v>
      </c>
      <c r="D206" s="11">
        <v>14009.55</v>
      </c>
      <c r="E206" s="10" t="s">
        <v>447</v>
      </c>
      <c r="F206" s="10" t="s">
        <v>441</v>
      </c>
    </row>
    <row r="207" spans="1:6" hidden="1">
      <c r="A207" s="10" t="s">
        <v>930</v>
      </c>
      <c r="B207" s="10" t="s">
        <v>931</v>
      </c>
      <c r="C207" s="41" t="s">
        <v>446</v>
      </c>
      <c r="D207" s="11">
        <v>13906.15</v>
      </c>
      <c r="E207" s="10" t="s">
        <v>447</v>
      </c>
      <c r="F207" s="10" t="s">
        <v>436</v>
      </c>
    </row>
    <row r="208" spans="1:6" hidden="1">
      <c r="A208" s="10" t="s">
        <v>932</v>
      </c>
      <c r="B208" s="10" t="s">
        <v>933</v>
      </c>
      <c r="C208" s="41" t="s">
        <v>375</v>
      </c>
      <c r="D208" s="11">
        <v>13751.82</v>
      </c>
      <c r="E208" s="10" t="s">
        <v>435</v>
      </c>
      <c r="F208" s="10" t="s">
        <v>436</v>
      </c>
    </row>
    <row r="209" spans="1:6" hidden="1">
      <c r="A209" s="10" t="s">
        <v>934</v>
      </c>
      <c r="B209" s="10" t="s">
        <v>534</v>
      </c>
      <c r="C209" s="41" t="s">
        <v>534</v>
      </c>
      <c r="D209" s="11">
        <v>13642.42</v>
      </c>
      <c r="E209" s="10" t="s">
        <v>447</v>
      </c>
      <c r="F209" s="10" t="s">
        <v>441</v>
      </c>
    </row>
    <row r="210" spans="1:6">
      <c r="A210" s="10" t="s">
        <v>935</v>
      </c>
      <c r="B210" s="10" t="s">
        <v>702</v>
      </c>
      <c r="C210" s="41" t="s">
        <v>213</v>
      </c>
      <c r="D210" s="11">
        <v>13634.3</v>
      </c>
      <c r="E210" s="10" t="s">
        <v>447</v>
      </c>
      <c r="F210" s="10" t="s">
        <v>436</v>
      </c>
    </row>
    <row r="211" spans="1:6" hidden="1">
      <c r="A211" s="10" t="s">
        <v>936</v>
      </c>
      <c r="B211" s="10" t="s">
        <v>151</v>
      </c>
      <c r="C211" s="41" t="s">
        <v>151</v>
      </c>
      <c r="D211" s="11">
        <v>13633.49</v>
      </c>
      <c r="E211" s="10" t="s">
        <v>540</v>
      </c>
      <c r="F211" s="10" t="s">
        <v>441</v>
      </c>
    </row>
    <row r="212" spans="1:6">
      <c r="A212" s="10" t="s">
        <v>937</v>
      </c>
      <c r="B212" s="10" t="s">
        <v>681</v>
      </c>
      <c r="C212" s="41" t="s">
        <v>213</v>
      </c>
      <c r="D212" s="11">
        <v>13551.62</v>
      </c>
      <c r="E212" s="10" t="s">
        <v>447</v>
      </c>
      <c r="F212" s="10" t="s">
        <v>436</v>
      </c>
    </row>
    <row r="213" spans="1:6" hidden="1">
      <c r="A213" s="10" t="s">
        <v>938</v>
      </c>
      <c r="B213" s="10" t="s">
        <v>892</v>
      </c>
      <c r="C213" s="41" t="s">
        <v>469</v>
      </c>
      <c r="D213" s="11">
        <v>13357.86</v>
      </c>
      <c r="E213" s="10" t="s">
        <v>447</v>
      </c>
      <c r="F213" s="10" t="s">
        <v>441</v>
      </c>
    </row>
    <row r="214" spans="1:6" hidden="1">
      <c r="A214" s="10" t="s">
        <v>939</v>
      </c>
      <c r="B214" s="10" t="s">
        <v>688</v>
      </c>
      <c r="C214" s="41" t="s">
        <v>482</v>
      </c>
      <c r="D214" s="11">
        <v>13289.94</v>
      </c>
      <c r="E214" s="10" t="s">
        <v>447</v>
      </c>
      <c r="F214" s="10" t="s">
        <v>436</v>
      </c>
    </row>
    <row r="215" spans="1:6" hidden="1">
      <c r="A215" s="10" t="s">
        <v>940</v>
      </c>
      <c r="B215" s="10" t="s">
        <v>446</v>
      </c>
      <c r="C215" s="41" t="s">
        <v>446</v>
      </c>
      <c r="D215" s="11">
        <v>13148.97</v>
      </c>
      <c r="E215" s="10" t="s">
        <v>447</v>
      </c>
      <c r="F215" s="10" t="s">
        <v>436</v>
      </c>
    </row>
    <row r="216" spans="1:6" hidden="1">
      <c r="A216" s="10" t="s">
        <v>941</v>
      </c>
      <c r="B216" s="10" t="s">
        <v>498</v>
      </c>
      <c r="C216" s="41" t="s">
        <v>498</v>
      </c>
      <c r="D216" s="11">
        <v>13136.46</v>
      </c>
      <c r="E216" s="10" t="s">
        <v>447</v>
      </c>
      <c r="F216" s="10" t="s">
        <v>441</v>
      </c>
    </row>
    <row r="217" spans="1:6" hidden="1">
      <c r="A217" s="10" t="s">
        <v>938</v>
      </c>
      <c r="B217" s="10" t="s">
        <v>871</v>
      </c>
      <c r="C217" s="41" t="s">
        <v>469</v>
      </c>
      <c r="D217" s="11">
        <v>12980.52</v>
      </c>
      <c r="E217" s="10" t="s">
        <v>447</v>
      </c>
      <c r="F217" s="10" t="s">
        <v>441</v>
      </c>
    </row>
    <row r="218" spans="1:6" hidden="1">
      <c r="A218" s="10" t="s">
        <v>942</v>
      </c>
      <c r="B218" s="10" t="s">
        <v>375</v>
      </c>
      <c r="C218" s="41" t="s">
        <v>375</v>
      </c>
      <c r="D218" s="11">
        <v>12967.59</v>
      </c>
      <c r="E218" s="10" t="s">
        <v>435</v>
      </c>
      <c r="F218" s="10" t="s">
        <v>436</v>
      </c>
    </row>
    <row r="219" spans="1:6" hidden="1">
      <c r="A219" s="10" t="s">
        <v>943</v>
      </c>
      <c r="B219" s="10" t="s">
        <v>780</v>
      </c>
      <c r="C219" s="41" t="s">
        <v>499</v>
      </c>
      <c r="D219" s="11">
        <v>12948.81</v>
      </c>
      <c r="E219" s="10" t="s">
        <v>447</v>
      </c>
      <c r="F219" s="10" t="s">
        <v>471</v>
      </c>
    </row>
    <row r="220" spans="1:6" hidden="1">
      <c r="A220" s="10" t="s">
        <v>869</v>
      </c>
      <c r="B220" s="10" t="s">
        <v>561</v>
      </c>
      <c r="C220" s="41" t="s">
        <v>561</v>
      </c>
      <c r="D220" s="11">
        <v>12665.83</v>
      </c>
      <c r="E220" s="10" t="s">
        <v>540</v>
      </c>
      <c r="F220" s="10" t="s">
        <v>471</v>
      </c>
    </row>
    <row r="221" spans="1:6" hidden="1">
      <c r="A221" s="10" t="s">
        <v>850</v>
      </c>
      <c r="B221" s="10" t="s">
        <v>446</v>
      </c>
      <c r="C221" s="41" t="s">
        <v>446</v>
      </c>
      <c r="D221" s="11">
        <v>12657.63</v>
      </c>
      <c r="E221" s="10" t="s">
        <v>447</v>
      </c>
      <c r="F221" s="10" t="s">
        <v>436</v>
      </c>
    </row>
    <row r="222" spans="1:6">
      <c r="A222" s="10" t="s">
        <v>842</v>
      </c>
      <c r="B222" s="10" t="s">
        <v>681</v>
      </c>
      <c r="C222" s="41" t="s">
        <v>213</v>
      </c>
      <c r="D222" s="11">
        <v>12534.05</v>
      </c>
      <c r="E222" s="10" t="s">
        <v>447</v>
      </c>
      <c r="F222" s="10" t="s">
        <v>436</v>
      </c>
    </row>
    <row r="223" spans="1:6" hidden="1">
      <c r="A223" s="10" t="s">
        <v>944</v>
      </c>
      <c r="B223" s="10" t="s">
        <v>733</v>
      </c>
      <c r="C223" s="41" t="s">
        <v>193</v>
      </c>
      <c r="D223" s="11">
        <v>12505.4</v>
      </c>
      <c r="E223" s="10" t="s">
        <v>447</v>
      </c>
      <c r="F223" s="10" t="s">
        <v>441</v>
      </c>
    </row>
    <row r="224" spans="1:6" hidden="1">
      <c r="A224" s="10" t="s">
        <v>945</v>
      </c>
      <c r="B224" s="10" t="s">
        <v>533</v>
      </c>
      <c r="C224" s="41" t="s">
        <v>533</v>
      </c>
      <c r="D224" s="11">
        <v>12375.11</v>
      </c>
      <c r="E224" s="10" t="s">
        <v>447</v>
      </c>
      <c r="F224" s="10" t="s">
        <v>471</v>
      </c>
    </row>
    <row r="225" spans="1:6">
      <c r="A225" s="10" t="s">
        <v>735</v>
      </c>
      <c r="B225" s="10" t="s">
        <v>681</v>
      </c>
      <c r="C225" s="41" t="s">
        <v>213</v>
      </c>
      <c r="D225" s="11">
        <v>12195.82</v>
      </c>
      <c r="E225" s="10" t="s">
        <v>447</v>
      </c>
      <c r="F225" s="10" t="s">
        <v>436</v>
      </c>
    </row>
    <row r="226" spans="1:6" hidden="1">
      <c r="A226" s="10" t="s">
        <v>809</v>
      </c>
      <c r="B226" s="10" t="s">
        <v>151</v>
      </c>
      <c r="C226" s="41" t="s">
        <v>151</v>
      </c>
      <c r="D226" s="11">
        <v>12174.97</v>
      </c>
      <c r="E226" s="10" t="s">
        <v>447</v>
      </c>
      <c r="F226" s="10" t="s">
        <v>436</v>
      </c>
    </row>
    <row r="227" spans="1:6" hidden="1">
      <c r="A227" s="10" t="s">
        <v>786</v>
      </c>
      <c r="B227" s="10" t="s">
        <v>946</v>
      </c>
      <c r="C227" s="41" t="s">
        <v>529</v>
      </c>
      <c r="D227" s="11">
        <v>12133.9</v>
      </c>
      <c r="E227" s="10" t="s">
        <v>447</v>
      </c>
      <c r="F227" s="10" t="s">
        <v>436</v>
      </c>
    </row>
    <row r="228" spans="1:6" hidden="1">
      <c r="A228" s="10" t="s">
        <v>947</v>
      </c>
      <c r="B228" s="10" t="s">
        <v>948</v>
      </c>
      <c r="C228" s="41" t="s">
        <v>474</v>
      </c>
      <c r="D228" s="11">
        <v>12070.73</v>
      </c>
      <c r="E228" s="10" t="s">
        <v>447</v>
      </c>
      <c r="F228" s="10" t="s">
        <v>471</v>
      </c>
    </row>
    <row r="229" spans="1:6" hidden="1">
      <c r="A229" s="10" t="s">
        <v>949</v>
      </c>
      <c r="B229" s="10" t="s">
        <v>950</v>
      </c>
      <c r="C229" s="41" t="s">
        <v>459</v>
      </c>
      <c r="D229" s="11">
        <v>12013.5</v>
      </c>
      <c r="E229" s="10" t="s">
        <v>435</v>
      </c>
      <c r="F229" s="10" t="s">
        <v>436</v>
      </c>
    </row>
    <row r="230" spans="1:6" hidden="1">
      <c r="A230" s="10" t="s">
        <v>951</v>
      </c>
      <c r="B230" s="10" t="s">
        <v>952</v>
      </c>
      <c r="C230" s="41" t="s">
        <v>512</v>
      </c>
      <c r="D230" s="11">
        <v>11905.93</v>
      </c>
      <c r="E230" s="10" t="s">
        <v>435</v>
      </c>
      <c r="F230" s="10" t="s">
        <v>441</v>
      </c>
    </row>
    <row r="231" spans="1:6" hidden="1">
      <c r="A231" s="10" t="s">
        <v>953</v>
      </c>
      <c r="B231" s="10" t="s">
        <v>954</v>
      </c>
      <c r="C231" s="41" t="s">
        <v>375</v>
      </c>
      <c r="D231" s="11">
        <v>11883.1</v>
      </c>
      <c r="E231" s="10" t="s">
        <v>435</v>
      </c>
      <c r="F231" s="10" t="s">
        <v>436</v>
      </c>
    </row>
    <row r="232" spans="1:6" hidden="1">
      <c r="A232" s="10" t="s">
        <v>955</v>
      </c>
      <c r="B232" s="10" t="s">
        <v>862</v>
      </c>
      <c r="C232" s="41" t="s">
        <v>193</v>
      </c>
      <c r="D232" s="11">
        <v>11673.75</v>
      </c>
      <c r="E232" s="10" t="s">
        <v>447</v>
      </c>
      <c r="F232" s="10" t="s">
        <v>441</v>
      </c>
    </row>
    <row r="233" spans="1:6" hidden="1">
      <c r="A233" s="10" t="s">
        <v>896</v>
      </c>
      <c r="B233" s="10" t="s">
        <v>956</v>
      </c>
      <c r="C233" s="41" t="s">
        <v>498</v>
      </c>
      <c r="D233" s="11">
        <v>11666.52</v>
      </c>
      <c r="E233" s="10" t="s">
        <v>447</v>
      </c>
      <c r="F233" s="10" t="s">
        <v>441</v>
      </c>
    </row>
    <row r="234" spans="1:6" hidden="1">
      <c r="A234" s="10" t="s">
        <v>957</v>
      </c>
      <c r="B234" s="10" t="s">
        <v>958</v>
      </c>
      <c r="C234" s="41" t="s">
        <v>462</v>
      </c>
      <c r="D234" s="11">
        <v>11621.47</v>
      </c>
      <c r="E234" s="10" t="s">
        <v>435</v>
      </c>
      <c r="F234" s="10" t="s">
        <v>441</v>
      </c>
    </row>
    <row r="235" spans="1:6" hidden="1">
      <c r="A235" s="10" t="s">
        <v>959</v>
      </c>
      <c r="B235" s="10" t="s">
        <v>933</v>
      </c>
      <c r="C235" s="41" t="s">
        <v>375</v>
      </c>
      <c r="D235" s="11">
        <v>11560.28</v>
      </c>
      <c r="E235" s="10" t="s">
        <v>435</v>
      </c>
      <c r="F235" s="10" t="s">
        <v>436</v>
      </c>
    </row>
    <row r="236" spans="1:6" hidden="1">
      <c r="A236" s="10" t="s">
        <v>918</v>
      </c>
      <c r="B236" s="10" t="s">
        <v>960</v>
      </c>
      <c r="C236" s="41" t="s">
        <v>515</v>
      </c>
      <c r="D236" s="11">
        <v>11478.57</v>
      </c>
      <c r="E236" s="10" t="s">
        <v>447</v>
      </c>
      <c r="F236" s="10" t="s">
        <v>441</v>
      </c>
    </row>
    <row r="237" spans="1:6" hidden="1">
      <c r="A237" s="10" t="s">
        <v>961</v>
      </c>
      <c r="B237" s="10" t="s">
        <v>375</v>
      </c>
      <c r="C237" s="41" t="s">
        <v>375</v>
      </c>
      <c r="D237" s="11">
        <v>11444.78</v>
      </c>
      <c r="E237" s="10" t="s">
        <v>435</v>
      </c>
      <c r="F237" s="10" t="s">
        <v>436</v>
      </c>
    </row>
    <row r="238" spans="1:6" hidden="1">
      <c r="A238" s="10" t="s">
        <v>962</v>
      </c>
      <c r="B238" s="10" t="s">
        <v>468</v>
      </c>
      <c r="C238" s="41" t="s">
        <v>468</v>
      </c>
      <c r="D238" s="11">
        <v>11426.54</v>
      </c>
      <c r="E238" s="10" t="s">
        <v>435</v>
      </c>
      <c r="F238" s="10" t="s">
        <v>436</v>
      </c>
    </row>
    <row r="239" spans="1:6" hidden="1">
      <c r="A239" s="10" t="s">
        <v>953</v>
      </c>
      <c r="B239" s="10" t="s">
        <v>963</v>
      </c>
      <c r="C239" s="41" t="s">
        <v>375</v>
      </c>
      <c r="D239" s="11">
        <v>11407.78</v>
      </c>
      <c r="E239" s="10" t="s">
        <v>435</v>
      </c>
      <c r="F239" s="10" t="s">
        <v>436</v>
      </c>
    </row>
    <row r="240" spans="1:6" hidden="1">
      <c r="A240" s="10" t="s">
        <v>964</v>
      </c>
      <c r="B240" s="10" t="s">
        <v>446</v>
      </c>
      <c r="C240" s="41" t="s">
        <v>446</v>
      </c>
      <c r="D240" s="11">
        <v>11248.3</v>
      </c>
      <c r="E240" s="10" t="s">
        <v>447</v>
      </c>
      <c r="F240" s="10" t="s">
        <v>436</v>
      </c>
    </row>
    <row r="241" spans="1:6" hidden="1">
      <c r="A241" s="10" t="s">
        <v>965</v>
      </c>
      <c r="B241" s="10" t="s">
        <v>465</v>
      </c>
      <c r="C241" s="41" t="s">
        <v>465</v>
      </c>
      <c r="D241" s="11">
        <v>11189.13</v>
      </c>
      <c r="E241" s="10" t="s">
        <v>435</v>
      </c>
      <c r="F241" s="10" t="s">
        <v>436</v>
      </c>
    </row>
    <row r="242" spans="1:6" hidden="1">
      <c r="A242" s="10" t="s">
        <v>966</v>
      </c>
      <c r="B242" s="10" t="s">
        <v>525</v>
      </c>
      <c r="C242" s="41" t="s">
        <v>525</v>
      </c>
      <c r="D242" s="11">
        <v>11187.78</v>
      </c>
      <c r="E242" s="10" t="s">
        <v>447</v>
      </c>
      <c r="F242" s="10" t="s">
        <v>471</v>
      </c>
    </row>
    <row r="243" spans="1:6" hidden="1">
      <c r="A243" s="10" t="s">
        <v>959</v>
      </c>
      <c r="B243" s="10" t="s">
        <v>967</v>
      </c>
      <c r="C243" s="41" t="s">
        <v>375</v>
      </c>
      <c r="D243" s="11">
        <v>11135.46</v>
      </c>
      <c r="E243" s="10" t="s">
        <v>435</v>
      </c>
      <c r="F243" s="10" t="s">
        <v>436</v>
      </c>
    </row>
    <row r="244" spans="1:6" hidden="1">
      <c r="A244" s="10" t="s">
        <v>968</v>
      </c>
      <c r="B244" s="10" t="s">
        <v>733</v>
      </c>
      <c r="C244" s="41" t="s">
        <v>193</v>
      </c>
      <c r="D244" s="11">
        <v>11119.25</v>
      </c>
      <c r="E244" s="10" t="s">
        <v>447</v>
      </c>
      <c r="F244" s="10" t="s">
        <v>441</v>
      </c>
    </row>
    <row r="245" spans="1:6" hidden="1">
      <c r="A245" s="10" t="s">
        <v>969</v>
      </c>
      <c r="B245" s="10" t="s">
        <v>970</v>
      </c>
      <c r="C245" s="41" t="s">
        <v>550</v>
      </c>
      <c r="D245" s="11">
        <v>11014.18</v>
      </c>
      <c r="E245" s="10" t="s">
        <v>447</v>
      </c>
      <c r="F245" s="10" t="s">
        <v>471</v>
      </c>
    </row>
    <row r="246" spans="1:6" hidden="1">
      <c r="A246" s="10" t="s">
        <v>971</v>
      </c>
      <c r="B246" s="10" t="s">
        <v>972</v>
      </c>
      <c r="C246" s="41" t="s">
        <v>546</v>
      </c>
      <c r="D246" s="11">
        <v>10963.62</v>
      </c>
      <c r="E246" s="10" t="s">
        <v>447</v>
      </c>
      <c r="F246" s="10" t="s">
        <v>471</v>
      </c>
    </row>
    <row r="247" spans="1:6" hidden="1">
      <c r="A247" s="10" t="s">
        <v>973</v>
      </c>
      <c r="B247" s="10" t="s">
        <v>974</v>
      </c>
      <c r="C247" s="41" t="s">
        <v>545</v>
      </c>
      <c r="D247" s="11">
        <v>10855.32</v>
      </c>
      <c r="E247" s="10" t="s">
        <v>447</v>
      </c>
      <c r="F247" s="10" t="s">
        <v>471</v>
      </c>
    </row>
    <row r="248" spans="1:6" hidden="1">
      <c r="A248" s="10" t="s">
        <v>774</v>
      </c>
      <c r="B248" s="10" t="s">
        <v>975</v>
      </c>
      <c r="C248" s="41" t="s">
        <v>482</v>
      </c>
      <c r="D248" s="11">
        <v>10852.4</v>
      </c>
      <c r="E248" s="10" t="s">
        <v>447</v>
      </c>
      <c r="F248" s="10" t="s">
        <v>436</v>
      </c>
    </row>
    <row r="249" spans="1:6" hidden="1">
      <c r="A249" s="10" t="s">
        <v>964</v>
      </c>
      <c r="B249" s="10" t="s">
        <v>760</v>
      </c>
      <c r="C249" s="41" t="s">
        <v>446</v>
      </c>
      <c r="D249" s="11">
        <v>10783.92</v>
      </c>
      <c r="E249" s="10" t="s">
        <v>447</v>
      </c>
      <c r="F249" s="10" t="s">
        <v>436</v>
      </c>
    </row>
    <row r="250" spans="1:6" hidden="1">
      <c r="A250" s="10" t="s">
        <v>976</v>
      </c>
      <c r="B250" s="10" t="s">
        <v>977</v>
      </c>
      <c r="C250" s="41" t="s">
        <v>482</v>
      </c>
      <c r="D250" s="11">
        <v>10778.18</v>
      </c>
      <c r="E250" s="10" t="s">
        <v>447</v>
      </c>
      <c r="F250" s="10" t="s">
        <v>436</v>
      </c>
    </row>
    <row r="251" spans="1:6" hidden="1">
      <c r="A251" s="10" t="s">
        <v>978</v>
      </c>
      <c r="B251" s="10" t="s">
        <v>733</v>
      </c>
      <c r="C251" s="41" t="s">
        <v>193</v>
      </c>
      <c r="D251" s="11">
        <v>10669.48</v>
      </c>
      <c r="E251" s="10" t="s">
        <v>447</v>
      </c>
      <c r="F251" s="10" t="s">
        <v>441</v>
      </c>
    </row>
    <row r="252" spans="1:6" hidden="1">
      <c r="A252" s="10" t="s">
        <v>978</v>
      </c>
      <c r="B252" s="10" t="s">
        <v>915</v>
      </c>
      <c r="C252" s="41" t="s">
        <v>193</v>
      </c>
      <c r="D252" s="11">
        <v>10653.43</v>
      </c>
      <c r="E252" s="10" t="s">
        <v>447</v>
      </c>
      <c r="F252" s="10" t="s">
        <v>441</v>
      </c>
    </row>
    <row r="253" spans="1:6" hidden="1">
      <c r="A253" s="10" t="s">
        <v>955</v>
      </c>
      <c r="B253" s="10" t="s">
        <v>915</v>
      </c>
      <c r="C253" s="41" t="s">
        <v>193</v>
      </c>
      <c r="D253" s="11">
        <v>10516.52</v>
      </c>
      <c r="E253" s="10" t="s">
        <v>447</v>
      </c>
      <c r="F253" s="10" t="s">
        <v>441</v>
      </c>
    </row>
    <row r="254" spans="1:6" hidden="1">
      <c r="A254" s="10" t="s">
        <v>979</v>
      </c>
      <c r="B254" s="10" t="s">
        <v>193</v>
      </c>
      <c r="C254" s="41" t="s">
        <v>193</v>
      </c>
      <c r="D254" s="11">
        <v>10494.03</v>
      </c>
      <c r="E254" s="10" t="s">
        <v>435</v>
      </c>
      <c r="F254" s="10" t="s">
        <v>441</v>
      </c>
    </row>
    <row r="255" spans="1:6" hidden="1">
      <c r="A255" s="10" t="s">
        <v>980</v>
      </c>
      <c r="B255" s="10" t="s">
        <v>464</v>
      </c>
      <c r="C255" s="41" t="s">
        <v>464</v>
      </c>
      <c r="D255" s="11">
        <v>10452.959999999999</v>
      </c>
      <c r="E255" s="10" t="s">
        <v>447</v>
      </c>
      <c r="F255" s="10" t="s">
        <v>436</v>
      </c>
    </row>
    <row r="256" spans="1:6" hidden="1">
      <c r="A256" s="10" t="s">
        <v>981</v>
      </c>
      <c r="B256" s="10" t="s">
        <v>446</v>
      </c>
      <c r="C256" s="41" t="s">
        <v>446</v>
      </c>
      <c r="D256" s="11">
        <v>10427.94</v>
      </c>
      <c r="E256" s="10" t="s">
        <v>447</v>
      </c>
      <c r="F256" s="10" t="s">
        <v>436</v>
      </c>
    </row>
    <row r="257" spans="1:6" hidden="1">
      <c r="A257" s="10" t="s">
        <v>979</v>
      </c>
      <c r="B257" s="10" t="s">
        <v>982</v>
      </c>
      <c r="C257" s="41" t="s">
        <v>193</v>
      </c>
      <c r="D257" s="11">
        <v>10317.66</v>
      </c>
      <c r="E257" s="10" t="s">
        <v>435</v>
      </c>
      <c r="F257" s="10" t="s">
        <v>441</v>
      </c>
    </row>
    <row r="258" spans="1:6" hidden="1">
      <c r="A258" s="10" t="s">
        <v>983</v>
      </c>
      <c r="B258" s="10" t="s">
        <v>538</v>
      </c>
      <c r="C258" s="41" t="s">
        <v>538</v>
      </c>
      <c r="D258" s="11">
        <v>10251.370000000001</v>
      </c>
      <c r="E258" s="10" t="s">
        <v>447</v>
      </c>
      <c r="F258" s="10" t="s">
        <v>471</v>
      </c>
    </row>
    <row r="259" spans="1:6" hidden="1">
      <c r="A259" s="10" t="s">
        <v>984</v>
      </c>
      <c r="B259" s="10" t="s">
        <v>985</v>
      </c>
      <c r="C259" s="41" t="s">
        <v>563</v>
      </c>
      <c r="D259" s="11">
        <v>10151.379999999999</v>
      </c>
      <c r="E259" s="10" t="s">
        <v>540</v>
      </c>
      <c r="F259" s="10" t="s">
        <v>471</v>
      </c>
    </row>
    <row r="260" spans="1:6" hidden="1">
      <c r="A260" s="10" t="s">
        <v>965</v>
      </c>
      <c r="B260" s="10" t="s">
        <v>865</v>
      </c>
      <c r="C260" s="41" t="s">
        <v>465</v>
      </c>
      <c r="D260" s="11">
        <v>10073.25</v>
      </c>
      <c r="E260" s="10" t="s">
        <v>435</v>
      </c>
      <c r="F260" s="10" t="s">
        <v>436</v>
      </c>
    </row>
    <row r="261" spans="1:6" hidden="1">
      <c r="A261" s="10" t="s">
        <v>986</v>
      </c>
      <c r="B261" s="10" t="s">
        <v>465</v>
      </c>
      <c r="C261" s="41" t="s">
        <v>465</v>
      </c>
      <c r="D261" s="11">
        <v>10066.24</v>
      </c>
      <c r="E261" s="10" t="s">
        <v>435</v>
      </c>
      <c r="F261" s="10" t="s">
        <v>436</v>
      </c>
    </row>
    <row r="262" spans="1:6" hidden="1">
      <c r="A262" s="10" t="s">
        <v>981</v>
      </c>
      <c r="B262" s="10" t="s">
        <v>679</v>
      </c>
      <c r="C262" s="41" t="s">
        <v>446</v>
      </c>
      <c r="D262" s="11">
        <v>9982.85</v>
      </c>
      <c r="E262" s="10" t="s">
        <v>447</v>
      </c>
      <c r="F262" s="10" t="s">
        <v>436</v>
      </c>
    </row>
    <row r="263" spans="1:6" hidden="1">
      <c r="A263" s="10" t="s">
        <v>987</v>
      </c>
      <c r="B263" s="10" t="s">
        <v>865</v>
      </c>
      <c r="C263" s="41" t="s">
        <v>465</v>
      </c>
      <c r="D263" s="11">
        <v>9969.36</v>
      </c>
      <c r="E263" s="10" t="s">
        <v>435</v>
      </c>
      <c r="F263" s="10" t="s">
        <v>436</v>
      </c>
    </row>
    <row r="264" spans="1:6" hidden="1">
      <c r="A264" s="10" t="s">
        <v>988</v>
      </c>
      <c r="B264" s="10" t="s">
        <v>989</v>
      </c>
      <c r="C264" s="41" t="s">
        <v>151</v>
      </c>
      <c r="D264" s="11">
        <v>9960.0400000000009</v>
      </c>
      <c r="E264" s="10" t="s">
        <v>447</v>
      </c>
      <c r="F264" s="10" t="s">
        <v>436</v>
      </c>
    </row>
    <row r="265" spans="1:6" hidden="1">
      <c r="A265" s="10" t="s">
        <v>990</v>
      </c>
      <c r="B265" s="10" t="s">
        <v>728</v>
      </c>
      <c r="C265" s="41" t="s">
        <v>193</v>
      </c>
      <c r="D265" s="11">
        <v>9956.06</v>
      </c>
      <c r="E265" s="10" t="s">
        <v>447</v>
      </c>
      <c r="F265" s="10" t="s">
        <v>436</v>
      </c>
    </row>
    <row r="266" spans="1:6" hidden="1">
      <c r="A266" s="10" t="s">
        <v>991</v>
      </c>
      <c r="B266" s="10" t="s">
        <v>992</v>
      </c>
      <c r="C266" s="41" t="s">
        <v>193</v>
      </c>
      <c r="D266" s="11">
        <v>9866.73</v>
      </c>
      <c r="E266" s="10" t="s">
        <v>435</v>
      </c>
      <c r="F266" s="10" t="s">
        <v>441</v>
      </c>
    </row>
    <row r="267" spans="1:6" hidden="1">
      <c r="A267" s="10" t="s">
        <v>993</v>
      </c>
      <c r="B267" s="10" t="s">
        <v>994</v>
      </c>
      <c r="C267" s="41" t="s">
        <v>225</v>
      </c>
      <c r="D267" s="11">
        <v>9807.3700000000008</v>
      </c>
      <c r="E267" s="10" t="s">
        <v>435</v>
      </c>
      <c r="F267" s="10" t="s">
        <v>441</v>
      </c>
    </row>
    <row r="268" spans="1:6" hidden="1">
      <c r="A268" s="10" t="s">
        <v>995</v>
      </c>
      <c r="B268" s="10" t="s">
        <v>996</v>
      </c>
      <c r="C268" s="41" t="s">
        <v>466</v>
      </c>
      <c r="D268" s="11">
        <v>9777.5</v>
      </c>
      <c r="E268" s="10" t="s">
        <v>447</v>
      </c>
      <c r="F268" s="10" t="s">
        <v>436</v>
      </c>
    </row>
    <row r="269" spans="1:6" hidden="1">
      <c r="A269" s="10" t="s">
        <v>997</v>
      </c>
      <c r="B269" s="10" t="s">
        <v>551</v>
      </c>
      <c r="C269" s="41" t="s">
        <v>551</v>
      </c>
      <c r="D269" s="11">
        <v>9762.14</v>
      </c>
      <c r="E269" s="10" t="s">
        <v>447</v>
      </c>
      <c r="F269" s="10" t="s">
        <v>471</v>
      </c>
    </row>
    <row r="270" spans="1:6" hidden="1">
      <c r="A270" s="10" t="s">
        <v>998</v>
      </c>
      <c r="B270" s="10" t="s">
        <v>999</v>
      </c>
      <c r="C270" s="41" t="s">
        <v>478</v>
      </c>
      <c r="D270" s="11">
        <v>9695.36</v>
      </c>
      <c r="E270" s="10" t="s">
        <v>447</v>
      </c>
      <c r="F270" s="10" t="s">
        <v>436</v>
      </c>
    </row>
    <row r="271" spans="1:6" hidden="1">
      <c r="A271" s="10" t="s">
        <v>901</v>
      </c>
      <c r="B271" s="10" t="s">
        <v>915</v>
      </c>
      <c r="C271" s="41" t="s">
        <v>193</v>
      </c>
      <c r="D271" s="11">
        <v>9603.27</v>
      </c>
      <c r="E271" s="10" t="s">
        <v>435</v>
      </c>
      <c r="F271" s="10" t="s">
        <v>436</v>
      </c>
    </row>
    <row r="272" spans="1:6" hidden="1">
      <c r="A272" s="10" t="s">
        <v>1000</v>
      </c>
      <c r="B272" s="10" t="s">
        <v>466</v>
      </c>
      <c r="C272" s="41" t="s">
        <v>466</v>
      </c>
      <c r="D272" s="11">
        <v>9501.48</v>
      </c>
      <c r="E272" s="10" t="s">
        <v>447</v>
      </c>
      <c r="F272" s="10" t="s">
        <v>436</v>
      </c>
    </row>
    <row r="273" spans="1:6" hidden="1">
      <c r="A273" s="10" t="s">
        <v>1001</v>
      </c>
      <c r="B273" s="10" t="s">
        <v>527</v>
      </c>
      <c r="C273" s="41" t="s">
        <v>527</v>
      </c>
      <c r="D273" s="11">
        <v>9493.9699999999993</v>
      </c>
      <c r="E273" s="10" t="s">
        <v>447</v>
      </c>
      <c r="F273" s="10" t="s">
        <v>436</v>
      </c>
    </row>
    <row r="274" spans="1:6" hidden="1">
      <c r="A274" s="10" t="s">
        <v>1002</v>
      </c>
      <c r="B274" s="10" t="s">
        <v>834</v>
      </c>
      <c r="C274" s="41" t="s">
        <v>479</v>
      </c>
      <c r="D274" s="11">
        <v>9258.27</v>
      </c>
      <c r="E274" s="10" t="s">
        <v>435</v>
      </c>
      <c r="F274" s="10" t="s">
        <v>441</v>
      </c>
    </row>
    <row r="275" spans="1:6" hidden="1">
      <c r="A275" s="10" t="s">
        <v>877</v>
      </c>
      <c r="B275" s="10" t="s">
        <v>892</v>
      </c>
      <c r="C275" s="41" t="s">
        <v>469</v>
      </c>
      <c r="D275" s="11">
        <v>9246.31</v>
      </c>
      <c r="E275" s="10" t="s">
        <v>447</v>
      </c>
      <c r="F275" s="10" t="s">
        <v>436</v>
      </c>
    </row>
    <row r="276" spans="1:6" hidden="1">
      <c r="A276" s="10" t="s">
        <v>1003</v>
      </c>
      <c r="B276" s="10" t="s">
        <v>1004</v>
      </c>
      <c r="C276" s="41" t="s">
        <v>469</v>
      </c>
      <c r="D276" s="11">
        <v>9206.2800000000007</v>
      </c>
      <c r="E276" s="10" t="s">
        <v>447</v>
      </c>
      <c r="F276" s="10" t="s">
        <v>436</v>
      </c>
    </row>
    <row r="277" spans="1:6" hidden="1">
      <c r="A277" s="10" t="s">
        <v>870</v>
      </c>
      <c r="B277" s="10" t="s">
        <v>825</v>
      </c>
      <c r="C277" s="41" t="s">
        <v>469</v>
      </c>
      <c r="D277" s="11">
        <v>9197.69</v>
      </c>
      <c r="E277" s="10" t="s">
        <v>447</v>
      </c>
      <c r="F277" s="10" t="s">
        <v>441</v>
      </c>
    </row>
    <row r="278" spans="1:6" hidden="1">
      <c r="A278" s="10" t="s">
        <v>870</v>
      </c>
      <c r="B278" s="10" t="s">
        <v>1005</v>
      </c>
      <c r="C278" s="41" t="s">
        <v>469</v>
      </c>
      <c r="D278" s="11">
        <v>9197.69</v>
      </c>
      <c r="E278" s="10" t="s">
        <v>447</v>
      </c>
      <c r="F278" s="10" t="s">
        <v>441</v>
      </c>
    </row>
    <row r="279" spans="1:6" hidden="1">
      <c r="A279" s="10" t="s">
        <v>1006</v>
      </c>
      <c r="B279" s="10" t="s">
        <v>1007</v>
      </c>
      <c r="C279" s="41" t="s">
        <v>512</v>
      </c>
      <c r="D279" s="11">
        <v>9131.23</v>
      </c>
      <c r="E279" s="10" t="s">
        <v>435</v>
      </c>
      <c r="F279" s="10" t="s">
        <v>441</v>
      </c>
    </row>
    <row r="280" spans="1:6" hidden="1">
      <c r="A280" s="10" t="s">
        <v>1001</v>
      </c>
      <c r="B280" s="10" t="s">
        <v>1008</v>
      </c>
      <c r="C280" s="41" t="s">
        <v>527</v>
      </c>
      <c r="D280" s="11">
        <v>9098.39</v>
      </c>
      <c r="E280" s="10" t="s">
        <v>447</v>
      </c>
      <c r="F280" s="10" t="s">
        <v>436</v>
      </c>
    </row>
    <row r="281" spans="1:6" hidden="1">
      <c r="A281" s="10" t="s">
        <v>1009</v>
      </c>
      <c r="B281" s="10" t="s">
        <v>858</v>
      </c>
      <c r="C281" s="41" t="s">
        <v>446</v>
      </c>
      <c r="D281" s="11">
        <v>9089.5300000000007</v>
      </c>
      <c r="E281" s="10" t="s">
        <v>447</v>
      </c>
      <c r="F281" s="10" t="s">
        <v>441</v>
      </c>
    </row>
    <row r="282" spans="1:6">
      <c r="A282" s="10" t="s">
        <v>873</v>
      </c>
      <c r="B282" s="10" t="s">
        <v>213</v>
      </c>
      <c r="C282" s="41" t="s">
        <v>213</v>
      </c>
      <c r="D282" s="11">
        <v>9081.35</v>
      </c>
      <c r="E282" s="10" t="s">
        <v>447</v>
      </c>
      <c r="F282" s="10" t="s">
        <v>436</v>
      </c>
    </row>
    <row r="283" spans="1:6" hidden="1">
      <c r="A283" s="10" t="s">
        <v>986</v>
      </c>
      <c r="B283" s="10" t="s">
        <v>880</v>
      </c>
      <c r="C283" s="41" t="s">
        <v>465</v>
      </c>
      <c r="D283" s="11">
        <v>9063.4699999999993</v>
      </c>
      <c r="E283" s="10" t="s">
        <v>435</v>
      </c>
      <c r="F283" s="10" t="s">
        <v>436</v>
      </c>
    </row>
    <row r="284" spans="1:6" hidden="1">
      <c r="A284" s="10" t="s">
        <v>850</v>
      </c>
      <c r="B284" s="10" t="s">
        <v>1010</v>
      </c>
      <c r="C284" s="41" t="s">
        <v>446</v>
      </c>
      <c r="D284" s="11">
        <v>9062.85</v>
      </c>
      <c r="E284" s="10" t="s">
        <v>447</v>
      </c>
      <c r="F284" s="10" t="s">
        <v>436</v>
      </c>
    </row>
    <row r="285" spans="1:6" hidden="1">
      <c r="A285" s="10" t="s">
        <v>1011</v>
      </c>
      <c r="B285" s="10" t="s">
        <v>1012</v>
      </c>
      <c r="C285" s="41" t="s">
        <v>526</v>
      </c>
      <c r="D285" s="11">
        <v>9037.41</v>
      </c>
      <c r="E285" s="10" t="s">
        <v>447</v>
      </c>
      <c r="F285" s="10" t="s">
        <v>471</v>
      </c>
    </row>
    <row r="286" spans="1:6" hidden="1">
      <c r="A286" s="10" t="s">
        <v>869</v>
      </c>
      <c r="B286" s="10" t="s">
        <v>1013</v>
      </c>
      <c r="C286" s="41" t="s">
        <v>561</v>
      </c>
      <c r="D286" s="11">
        <v>8963.98</v>
      </c>
      <c r="E286" s="10" t="s">
        <v>540</v>
      </c>
      <c r="F286" s="10" t="s">
        <v>471</v>
      </c>
    </row>
    <row r="287" spans="1:6" hidden="1">
      <c r="A287" s="10" t="s">
        <v>991</v>
      </c>
      <c r="B287" s="10" t="s">
        <v>982</v>
      </c>
      <c r="C287" s="41" t="s">
        <v>193</v>
      </c>
      <c r="D287" s="11">
        <v>8932.76</v>
      </c>
      <c r="E287" s="10" t="s">
        <v>435</v>
      </c>
      <c r="F287" s="10" t="s">
        <v>441</v>
      </c>
    </row>
    <row r="288" spans="1:6" hidden="1">
      <c r="A288" s="10" t="s">
        <v>1014</v>
      </c>
      <c r="B288" s="10" t="s">
        <v>1015</v>
      </c>
      <c r="C288" s="41" t="s">
        <v>552</v>
      </c>
      <c r="D288" s="11">
        <v>8917.7999999999993</v>
      </c>
      <c r="E288" s="10" t="s">
        <v>447</v>
      </c>
      <c r="F288" s="10" t="s">
        <v>471</v>
      </c>
    </row>
    <row r="289" spans="1:6" hidden="1">
      <c r="A289" s="10" t="s">
        <v>1016</v>
      </c>
      <c r="B289" s="10" t="s">
        <v>1017</v>
      </c>
      <c r="C289" s="41" t="s">
        <v>546</v>
      </c>
      <c r="D289" s="11">
        <v>8695.36</v>
      </c>
      <c r="E289" s="10" t="s">
        <v>447</v>
      </c>
      <c r="F289" s="10" t="s">
        <v>471</v>
      </c>
    </row>
    <row r="290" spans="1:6" hidden="1">
      <c r="A290" s="10" t="s">
        <v>1018</v>
      </c>
      <c r="B290" s="10" t="s">
        <v>1019</v>
      </c>
      <c r="C290" s="41" t="s">
        <v>515</v>
      </c>
      <c r="D290" s="11">
        <v>8675.92</v>
      </c>
      <c r="E290" s="10" t="s">
        <v>447</v>
      </c>
      <c r="F290" s="10" t="s">
        <v>441</v>
      </c>
    </row>
    <row r="291" spans="1:6" hidden="1">
      <c r="A291" s="10" t="s">
        <v>1020</v>
      </c>
      <c r="B291" s="10" t="s">
        <v>1021</v>
      </c>
      <c r="C291" s="41" t="s">
        <v>466</v>
      </c>
      <c r="D291" s="11">
        <v>8645.9</v>
      </c>
      <c r="E291" s="10" t="s">
        <v>447</v>
      </c>
      <c r="F291" s="10" t="s">
        <v>436</v>
      </c>
    </row>
    <row r="292" spans="1:6" hidden="1">
      <c r="A292" s="10" t="s">
        <v>856</v>
      </c>
      <c r="B292" s="10" t="s">
        <v>865</v>
      </c>
      <c r="C292" s="41" t="s">
        <v>465</v>
      </c>
      <c r="D292" s="11">
        <v>8642.14</v>
      </c>
      <c r="E292" s="10" t="s">
        <v>435</v>
      </c>
      <c r="F292" s="10" t="s">
        <v>436</v>
      </c>
    </row>
    <row r="293" spans="1:6" hidden="1">
      <c r="A293" s="10" t="s">
        <v>1022</v>
      </c>
      <c r="B293" s="10" t="s">
        <v>1023</v>
      </c>
      <c r="C293" s="41" t="s">
        <v>531</v>
      </c>
      <c r="D293" s="11">
        <v>8535.34</v>
      </c>
      <c r="E293" s="10" t="s">
        <v>447</v>
      </c>
      <c r="F293" s="10" t="s">
        <v>441</v>
      </c>
    </row>
    <row r="294" spans="1:6" hidden="1">
      <c r="A294" s="10" t="s">
        <v>1024</v>
      </c>
      <c r="B294" s="10" t="s">
        <v>1025</v>
      </c>
      <c r="C294" s="41" t="s">
        <v>499</v>
      </c>
      <c r="D294" s="11">
        <v>8484.5400000000009</v>
      </c>
      <c r="E294" s="10" t="s">
        <v>447</v>
      </c>
      <c r="F294" s="10" t="s">
        <v>471</v>
      </c>
    </row>
    <row r="295" spans="1:6" hidden="1">
      <c r="A295" s="10" t="s">
        <v>1026</v>
      </c>
      <c r="B295" s="10" t="s">
        <v>1027</v>
      </c>
      <c r="C295" s="41" t="s">
        <v>498</v>
      </c>
      <c r="D295" s="11">
        <v>8468.69</v>
      </c>
      <c r="E295" s="10" t="s">
        <v>447</v>
      </c>
      <c r="F295" s="10" t="s">
        <v>441</v>
      </c>
    </row>
    <row r="296" spans="1:6" hidden="1">
      <c r="A296" s="10" t="s">
        <v>1028</v>
      </c>
      <c r="B296" s="10" t="s">
        <v>464</v>
      </c>
      <c r="C296" s="41" t="s">
        <v>464</v>
      </c>
      <c r="D296" s="11">
        <v>8355.2800000000007</v>
      </c>
      <c r="E296" s="10" t="s">
        <v>502</v>
      </c>
      <c r="F296" s="10" t="s">
        <v>436</v>
      </c>
    </row>
    <row r="297" spans="1:6" hidden="1">
      <c r="A297" s="10" t="s">
        <v>1000</v>
      </c>
      <c r="B297" s="10" t="s">
        <v>1029</v>
      </c>
      <c r="C297" s="41" t="s">
        <v>466</v>
      </c>
      <c r="D297" s="11">
        <v>8353.3799999999992</v>
      </c>
      <c r="E297" s="10" t="s">
        <v>447</v>
      </c>
      <c r="F297" s="10" t="s">
        <v>436</v>
      </c>
    </row>
    <row r="298" spans="1:6" hidden="1">
      <c r="A298" s="10" t="s">
        <v>1030</v>
      </c>
      <c r="B298" s="10" t="s">
        <v>1031</v>
      </c>
      <c r="C298" s="41" t="s">
        <v>193</v>
      </c>
      <c r="D298" s="11">
        <v>8339.02</v>
      </c>
      <c r="E298" s="10" t="s">
        <v>435</v>
      </c>
      <c r="F298" s="10" t="s">
        <v>436</v>
      </c>
    </row>
    <row r="299" spans="1:6" hidden="1">
      <c r="A299" s="10" t="s">
        <v>1032</v>
      </c>
      <c r="B299" s="10" t="s">
        <v>871</v>
      </c>
      <c r="C299" s="41" t="s">
        <v>469</v>
      </c>
      <c r="D299" s="11">
        <v>8292.11</v>
      </c>
      <c r="E299" s="10" t="s">
        <v>447</v>
      </c>
      <c r="F299" s="10" t="s">
        <v>441</v>
      </c>
    </row>
    <row r="300" spans="1:6" hidden="1">
      <c r="A300" s="10" t="s">
        <v>1020</v>
      </c>
      <c r="B300" s="10" t="s">
        <v>1029</v>
      </c>
      <c r="C300" s="41" t="s">
        <v>466</v>
      </c>
      <c r="D300" s="11">
        <v>8285.65</v>
      </c>
      <c r="E300" s="10" t="s">
        <v>447</v>
      </c>
      <c r="F300" s="10" t="s">
        <v>436</v>
      </c>
    </row>
    <row r="301" spans="1:6" hidden="1">
      <c r="A301" s="10" t="s">
        <v>1033</v>
      </c>
      <c r="B301" s="10" t="s">
        <v>1025</v>
      </c>
      <c r="C301" s="41" t="s">
        <v>499</v>
      </c>
      <c r="D301" s="11">
        <v>8196.84</v>
      </c>
      <c r="E301" s="10" t="s">
        <v>447</v>
      </c>
      <c r="F301" s="10" t="s">
        <v>471</v>
      </c>
    </row>
    <row r="302" spans="1:6" hidden="1">
      <c r="A302" s="10" t="s">
        <v>1034</v>
      </c>
      <c r="B302" s="10" t="s">
        <v>1035</v>
      </c>
      <c r="C302" s="41" t="s">
        <v>470</v>
      </c>
      <c r="D302" s="11">
        <v>8190.55</v>
      </c>
      <c r="E302" s="10" t="s">
        <v>435</v>
      </c>
      <c r="F302" s="10" t="s">
        <v>471</v>
      </c>
    </row>
    <row r="303" spans="1:6" hidden="1">
      <c r="A303" s="10" t="s">
        <v>1036</v>
      </c>
      <c r="B303" s="10" t="s">
        <v>1037</v>
      </c>
      <c r="C303" s="41" t="s">
        <v>538</v>
      </c>
      <c r="D303" s="11">
        <v>8130.54</v>
      </c>
      <c r="E303" s="10" t="s">
        <v>447</v>
      </c>
      <c r="F303" s="10" t="s">
        <v>471</v>
      </c>
    </row>
    <row r="304" spans="1:6" hidden="1">
      <c r="A304" s="10" t="s">
        <v>1038</v>
      </c>
      <c r="B304" s="10" t="s">
        <v>785</v>
      </c>
      <c r="C304" s="41" t="s">
        <v>498</v>
      </c>
      <c r="D304" s="11">
        <v>8118.56</v>
      </c>
      <c r="E304" s="10" t="s">
        <v>447</v>
      </c>
      <c r="F304" s="10" t="s">
        <v>441</v>
      </c>
    </row>
    <row r="305" spans="1:6" hidden="1">
      <c r="A305" s="10" t="s">
        <v>1039</v>
      </c>
      <c r="B305" s="10" t="s">
        <v>475</v>
      </c>
      <c r="C305" s="41" t="s">
        <v>475</v>
      </c>
      <c r="D305" s="11">
        <v>8108.86</v>
      </c>
      <c r="E305" s="10" t="s">
        <v>447</v>
      </c>
      <c r="F305" s="10" t="s">
        <v>441</v>
      </c>
    </row>
    <row r="306" spans="1:6" hidden="1">
      <c r="A306" s="10" t="s">
        <v>1040</v>
      </c>
      <c r="B306" s="10" t="s">
        <v>467</v>
      </c>
      <c r="C306" s="41" t="s">
        <v>467</v>
      </c>
      <c r="D306" s="11">
        <v>8054.66</v>
      </c>
      <c r="E306" s="10" t="s">
        <v>447</v>
      </c>
      <c r="F306" s="10" t="s">
        <v>441</v>
      </c>
    </row>
    <row r="307" spans="1:6" hidden="1">
      <c r="A307" s="10" t="s">
        <v>1041</v>
      </c>
      <c r="B307" s="10" t="s">
        <v>1042</v>
      </c>
      <c r="C307" s="41" t="s">
        <v>544</v>
      </c>
      <c r="D307" s="11">
        <v>8047.05</v>
      </c>
      <c r="E307" s="10" t="s">
        <v>447</v>
      </c>
      <c r="F307" s="10" t="s">
        <v>471</v>
      </c>
    </row>
    <row r="308" spans="1:6" hidden="1">
      <c r="A308" s="10" t="s">
        <v>1043</v>
      </c>
      <c r="B308" s="10" t="s">
        <v>1044</v>
      </c>
      <c r="C308" s="41" t="s">
        <v>173</v>
      </c>
      <c r="D308" s="11">
        <v>8031.52</v>
      </c>
      <c r="E308" s="10" t="s">
        <v>447</v>
      </c>
      <c r="F308" s="10" t="s">
        <v>471</v>
      </c>
    </row>
    <row r="309" spans="1:6" hidden="1">
      <c r="A309" s="10" t="s">
        <v>1045</v>
      </c>
      <c r="B309" s="10" t="s">
        <v>1046</v>
      </c>
      <c r="C309" s="41" t="s">
        <v>547</v>
      </c>
      <c r="D309" s="11">
        <v>8028.27</v>
      </c>
      <c r="E309" s="10" t="s">
        <v>447</v>
      </c>
      <c r="F309" s="10" t="s">
        <v>471</v>
      </c>
    </row>
    <row r="310" spans="1:6" hidden="1">
      <c r="A310" s="10" t="s">
        <v>993</v>
      </c>
      <c r="B310" s="10" t="s">
        <v>1047</v>
      </c>
      <c r="C310" s="41" t="s">
        <v>225</v>
      </c>
      <c r="D310" s="11">
        <v>8021.36</v>
      </c>
      <c r="E310" s="10" t="s">
        <v>435</v>
      </c>
      <c r="F310" s="10" t="s">
        <v>441</v>
      </c>
    </row>
    <row r="311" spans="1:6" hidden="1">
      <c r="A311" s="10" t="s">
        <v>1048</v>
      </c>
      <c r="B311" s="10" t="s">
        <v>871</v>
      </c>
      <c r="C311" s="41" t="s">
        <v>469</v>
      </c>
      <c r="D311" s="11">
        <v>7992.95</v>
      </c>
      <c r="E311" s="10" t="s">
        <v>447</v>
      </c>
      <c r="F311" s="10" t="s">
        <v>441</v>
      </c>
    </row>
    <row r="312" spans="1:6" hidden="1">
      <c r="A312" s="10" t="s">
        <v>1049</v>
      </c>
      <c r="B312" s="10" t="s">
        <v>151</v>
      </c>
      <c r="C312" s="41" t="s">
        <v>151</v>
      </c>
      <c r="D312" s="11">
        <v>7817</v>
      </c>
      <c r="E312" s="10" t="s">
        <v>447</v>
      </c>
      <c r="F312" s="10" t="s">
        <v>436</v>
      </c>
    </row>
    <row r="313" spans="1:6" hidden="1">
      <c r="A313" s="10" t="s">
        <v>1050</v>
      </c>
      <c r="B313" s="10" t="s">
        <v>482</v>
      </c>
      <c r="C313" s="41" t="s">
        <v>482</v>
      </c>
      <c r="D313" s="11">
        <v>7741.74</v>
      </c>
      <c r="E313" s="10" t="s">
        <v>447</v>
      </c>
      <c r="F313" s="10" t="s">
        <v>436</v>
      </c>
    </row>
    <row r="314" spans="1:6" hidden="1">
      <c r="A314" s="10" t="s">
        <v>1050</v>
      </c>
      <c r="B314" s="10" t="s">
        <v>975</v>
      </c>
      <c r="C314" s="41" t="s">
        <v>482</v>
      </c>
      <c r="D314" s="11">
        <v>7741.74</v>
      </c>
      <c r="E314" s="10" t="s">
        <v>447</v>
      </c>
      <c r="F314" s="10" t="s">
        <v>436</v>
      </c>
    </row>
    <row r="315" spans="1:6" hidden="1">
      <c r="A315" s="10" t="s">
        <v>1051</v>
      </c>
      <c r="B315" s="10" t="s">
        <v>500</v>
      </c>
      <c r="C315" s="41" t="s">
        <v>500</v>
      </c>
      <c r="D315" s="11">
        <v>7734.44</v>
      </c>
      <c r="E315" s="10" t="s">
        <v>447</v>
      </c>
      <c r="F315" s="10" t="s">
        <v>471</v>
      </c>
    </row>
    <row r="316" spans="1:6" hidden="1">
      <c r="A316" s="10" t="s">
        <v>1052</v>
      </c>
      <c r="B316" s="10" t="s">
        <v>1053</v>
      </c>
      <c r="C316" s="41" t="s">
        <v>458</v>
      </c>
      <c r="D316" s="11">
        <v>7627.44</v>
      </c>
      <c r="E316" s="10" t="s">
        <v>447</v>
      </c>
      <c r="F316" s="10" t="s">
        <v>436</v>
      </c>
    </row>
    <row r="317" spans="1:6" hidden="1">
      <c r="A317" s="10" t="s">
        <v>924</v>
      </c>
      <c r="B317" s="10" t="s">
        <v>1004</v>
      </c>
      <c r="C317" s="41" t="s">
        <v>469</v>
      </c>
      <c r="D317" s="11">
        <v>7522.63</v>
      </c>
      <c r="E317" s="10" t="s">
        <v>447</v>
      </c>
      <c r="F317" s="10" t="s">
        <v>441</v>
      </c>
    </row>
    <row r="318" spans="1:6" hidden="1">
      <c r="A318" s="10" t="s">
        <v>1054</v>
      </c>
      <c r="B318" s="10" t="s">
        <v>1055</v>
      </c>
      <c r="C318" s="41" t="s">
        <v>468</v>
      </c>
      <c r="D318" s="11">
        <v>7480.1</v>
      </c>
      <c r="E318" s="10" t="s">
        <v>435</v>
      </c>
      <c r="F318" s="10" t="s">
        <v>436</v>
      </c>
    </row>
    <row r="319" spans="1:6" hidden="1">
      <c r="A319" s="10" t="s">
        <v>794</v>
      </c>
      <c r="B319" s="10" t="s">
        <v>1056</v>
      </c>
      <c r="C319" s="41" t="s">
        <v>457</v>
      </c>
      <c r="D319" s="11">
        <v>7451.75</v>
      </c>
      <c r="E319" s="10" t="s">
        <v>447</v>
      </c>
      <c r="F319" s="10" t="s">
        <v>441</v>
      </c>
    </row>
    <row r="320" spans="1:6" hidden="1">
      <c r="A320" s="10" t="s">
        <v>1057</v>
      </c>
      <c r="B320" s="10" t="s">
        <v>534</v>
      </c>
      <c r="C320" s="41" t="s">
        <v>534</v>
      </c>
      <c r="D320" s="11">
        <v>7429.65</v>
      </c>
      <c r="E320" s="10" t="s">
        <v>447</v>
      </c>
      <c r="F320" s="10" t="s">
        <v>441</v>
      </c>
    </row>
    <row r="321" spans="1:6" hidden="1">
      <c r="A321" s="10" t="s">
        <v>1058</v>
      </c>
      <c r="B321" s="10" t="s">
        <v>967</v>
      </c>
      <c r="C321" s="41" t="s">
        <v>375</v>
      </c>
      <c r="D321" s="11">
        <v>7424.02</v>
      </c>
      <c r="E321" s="10" t="s">
        <v>435</v>
      </c>
      <c r="F321" s="10" t="s">
        <v>436</v>
      </c>
    </row>
    <row r="322" spans="1:6" hidden="1">
      <c r="A322" s="10" t="s">
        <v>1011</v>
      </c>
      <c r="B322" s="10" t="s">
        <v>526</v>
      </c>
      <c r="C322" s="41" t="s">
        <v>526</v>
      </c>
      <c r="D322" s="11">
        <v>7400.05</v>
      </c>
      <c r="E322" s="10" t="s">
        <v>447</v>
      </c>
      <c r="F322" s="10" t="s">
        <v>471</v>
      </c>
    </row>
    <row r="323" spans="1:6" hidden="1">
      <c r="A323" s="10" t="s">
        <v>1059</v>
      </c>
      <c r="B323" s="10" t="s">
        <v>546</v>
      </c>
      <c r="C323" s="41" t="s">
        <v>546</v>
      </c>
      <c r="D323" s="11">
        <v>7393.51</v>
      </c>
      <c r="E323" s="10" t="s">
        <v>447</v>
      </c>
      <c r="F323" s="10" t="s">
        <v>471</v>
      </c>
    </row>
    <row r="324" spans="1:6" hidden="1">
      <c r="A324" s="10" t="s">
        <v>1060</v>
      </c>
      <c r="B324" s="10" t="s">
        <v>1021</v>
      </c>
      <c r="C324" s="41" t="s">
        <v>466</v>
      </c>
      <c r="D324" s="11">
        <v>7205.43</v>
      </c>
      <c r="E324" s="10" t="s">
        <v>447</v>
      </c>
      <c r="F324" s="10" t="s">
        <v>436</v>
      </c>
    </row>
    <row r="325" spans="1:6" hidden="1">
      <c r="A325" s="10" t="s">
        <v>1061</v>
      </c>
      <c r="B325" s="10" t="s">
        <v>375</v>
      </c>
      <c r="C325" s="41" t="s">
        <v>375</v>
      </c>
      <c r="D325" s="11">
        <v>7189.38</v>
      </c>
      <c r="E325" s="10" t="s">
        <v>435</v>
      </c>
      <c r="F325" s="10" t="s">
        <v>436</v>
      </c>
    </row>
    <row r="326" spans="1:6" hidden="1">
      <c r="A326" s="10" t="s">
        <v>1062</v>
      </c>
      <c r="B326" s="10" t="s">
        <v>466</v>
      </c>
      <c r="C326" s="41" t="s">
        <v>466</v>
      </c>
      <c r="D326" s="11">
        <v>7136.12</v>
      </c>
      <c r="E326" s="10" t="s">
        <v>447</v>
      </c>
      <c r="F326" s="10" t="s">
        <v>436</v>
      </c>
    </row>
    <row r="327" spans="1:6" hidden="1">
      <c r="A327" s="10" t="s">
        <v>1063</v>
      </c>
      <c r="B327" s="10" t="s">
        <v>1064</v>
      </c>
      <c r="C327" s="41" t="s">
        <v>482</v>
      </c>
      <c r="D327" s="11">
        <v>7077.27</v>
      </c>
      <c r="E327" s="10" t="s">
        <v>435</v>
      </c>
      <c r="F327" s="10" t="s">
        <v>441</v>
      </c>
    </row>
    <row r="328" spans="1:6" hidden="1">
      <c r="A328" s="10" t="s">
        <v>1065</v>
      </c>
      <c r="B328" s="10" t="s">
        <v>878</v>
      </c>
      <c r="C328" s="41" t="s">
        <v>469</v>
      </c>
      <c r="D328" s="11">
        <v>7059.92</v>
      </c>
      <c r="E328" s="10" t="s">
        <v>447</v>
      </c>
      <c r="F328" s="10" t="s">
        <v>436</v>
      </c>
    </row>
    <row r="329" spans="1:6" hidden="1">
      <c r="A329" s="10" t="s">
        <v>1066</v>
      </c>
      <c r="B329" s="10" t="s">
        <v>915</v>
      </c>
      <c r="C329" s="41" t="s">
        <v>193</v>
      </c>
      <c r="D329" s="11">
        <v>7048.54</v>
      </c>
      <c r="E329" s="10" t="s">
        <v>447</v>
      </c>
      <c r="F329" s="10" t="s">
        <v>441</v>
      </c>
    </row>
    <row r="330" spans="1:6" hidden="1">
      <c r="A330" s="10" t="s">
        <v>1067</v>
      </c>
      <c r="B330" s="10" t="s">
        <v>1068</v>
      </c>
      <c r="C330" s="41" t="s">
        <v>535</v>
      </c>
      <c r="D330" s="11">
        <v>7046.73</v>
      </c>
      <c r="E330" s="10" t="s">
        <v>447</v>
      </c>
      <c r="F330" s="10" t="s">
        <v>441</v>
      </c>
    </row>
    <row r="331" spans="1:6" hidden="1">
      <c r="A331" s="10" t="s">
        <v>1069</v>
      </c>
      <c r="B331" s="10" t="s">
        <v>1070</v>
      </c>
      <c r="C331" s="41" t="s">
        <v>533</v>
      </c>
      <c r="D331" s="11">
        <v>7028.13</v>
      </c>
      <c r="E331" s="10" t="s">
        <v>447</v>
      </c>
      <c r="F331" s="10" t="s">
        <v>471</v>
      </c>
    </row>
    <row r="332" spans="1:6" hidden="1">
      <c r="A332" s="10" t="s">
        <v>928</v>
      </c>
      <c r="B332" s="10" t="s">
        <v>1071</v>
      </c>
      <c r="C332" s="41" t="s">
        <v>462</v>
      </c>
      <c r="D332" s="11">
        <v>7025.62</v>
      </c>
      <c r="E332" s="10" t="s">
        <v>447</v>
      </c>
      <c r="F332" s="10" t="s">
        <v>441</v>
      </c>
    </row>
    <row r="333" spans="1:6">
      <c r="A333" s="10" t="s">
        <v>935</v>
      </c>
      <c r="B333" s="10" t="s">
        <v>681</v>
      </c>
      <c r="C333" s="41" t="s">
        <v>213</v>
      </c>
      <c r="D333" s="11">
        <v>6817.15</v>
      </c>
      <c r="E333" s="10" t="s">
        <v>447</v>
      </c>
      <c r="F333" s="10" t="s">
        <v>436</v>
      </c>
    </row>
    <row r="334" spans="1:6" hidden="1">
      <c r="A334" s="10" t="s">
        <v>1072</v>
      </c>
      <c r="B334" s="10" t="s">
        <v>446</v>
      </c>
      <c r="C334" s="41" t="s">
        <v>446</v>
      </c>
      <c r="D334" s="11">
        <v>6785.88</v>
      </c>
      <c r="E334" s="10" t="s">
        <v>447</v>
      </c>
      <c r="F334" s="10" t="s">
        <v>436</v>
      </c>
    </row>
    <row r="335" spans="1:6">
      <c r="A335" s="10" t="s">
        <v>1073</v>
      </c>
      <c r="B335" s="10" t="s">
        <v>213</v>
      </c>
      <c r="C335" s="41" t="s">
        <v>213</v>
      </c>
      <c r="D335" s="11">
        <v>6760.86</v>
      </c>
      <c r="E335" s="10" t="s">
        <v>447</v>
      </c>
      <c r="F335" s="10" t="s">
        <v>436</v>
      </c>
    </row>
    <row r="336" spans="1:6" hidden="1">
      <c r="A336" s="10" t="s">
        <v>938</v>
      </c>
      <c r="B336" s="10" t="s">
        <v>777</v>
      </c>
      <c r="C336" s="41" t="s">
        <v>469</v>
      </c>
      <c r="D336" s="11">
        <v>6723.18</v>
      </c>
      <c r="E336" s="10" t="s">
        <v>447</v>
      </c>
      <c r="F336" s="10" t="s">
        <v>441</v>
      </c>
    </row>
    <row r="337" spans="1:6" hidden="1">
      <c r="A337" s="10" t="s">
        <v>1074</v>
      </c>
      <c r="B337" s="10" t="s">
        <v>823</v>
      </c>
      <c r="C337" s="41" t="s">
        <v>151</v>
      </c>
      <c r="D337" s="11">
        <v>6650.37</v>
      </c>
      <c r="E337" s="10" t="s">
        <v>447</v>
      </c>
      <c r="F337" s="10" t="s">
        <v>436</v>
      </c>
    </row>
    <row r="338" spans="1:6" hidden="1">
      <c r="A338" s="10" t="s">
        <v>1075</v>
      </c>
      <c r="B338" s="10" t="s">
        <v>1071</v>
      </c>
      <c r="C338" s="41" t="s">
        <v>462</v>
      </c>
      <c r="D338" s="11">
        <v>6462.74</v>
      </c>
      <c r="E338" s="10" t="s">
        <v>447</v>
      </c>
      <c r="F338" s="10" t="s">
        <v>441</v>
      </c>
    </row>
    <row r="339" spans="1:6" hidden="1">
      <c r="A339" s="10" t="s">
        <v>1076</v>
      </c>
      <c r="B339" s="10" t="s">
        <v>1077</v>
      </c>
      <c r="C339" s="41" t="s">
        <v>482</v>
      </c>
      <c r="D339" s="11">
        <v>6441.89</v>
      </c>
      <c r="E339" s="10" t="s">
        <v>447</v>
      </c>
      <c r="F339" s="10" t="s">
        <v>441</v>
      </c>
    </row>
    <row r="340" spans="1:6" hidden="1">
      <c r="A340" s="10" t="s">
        <v>1078</v>
      </c>
      <c r="B340" s="10" t="s">
        <v>515</v>
      </c>
      <c r="C340" s="41" t="s">
        <v>515</v>
      </c>
      <c r="D340" s="11">
        <v>6379.7</v>
      </c>
      <c r="E340" s="10" t="s">
        <v>447</v>
      </c>
      <c r="F340" s="10" t="s">
        <v>441</v>
      </c>
    </row>
    <row r="341" spans="1:6" hidden="1">
      <c r="A341" s="10" t="s">
        <v>1079</v>
      </c>
      <c r="B341" s="10" t="s">
        <v>1080</v>
      </c>
      <c r="C341" s="41" t="s">
        <v>536</v>
      </c>
      <c r="D341" s="11">
        <v>6358.5</v>
      </c>
      <c r="E341" s="10" t="s">
        <v>447</v>
      </c>
      <c r="F341" s="10" t="s">
        <v>441</v>
      </c>
    </row>
    <row r="342" spans="1:6" hidden="1">
      <c r="A342" s="10" t="s">
        <v>1081</v>
      </c>
      <c r="B342" s="10" t="s">
        <v>467</v>
      </c>
      <c r="C342" s="41" t="s">
        <v>467</v>
      </c>
      <c r="D342" s="11">
        <v>6309.93</v>
      </c>
      <c r="E342" s="10" t="s">
        <v>447</v>
      </c>
      <c r="F342" s="10" t="s">
        <v>441</v>
      </c>
    </row>
    <row r="343" spans="1:6" hidden="1">
      <c r="A343" s="10" t="s">
        <v>1079</v>
      </c>
      <c r="B343" s="10" t="s">
        <v>536</v>
      </c>
      <c r="C343" s="41" t="s">
        <v>536</v>
      </c>
      <c r="D343" s="11">
        <v>6212.57</v>
      </c>
      <c r="E343" s="10" t="s">
        <v>447</v>
      </c>
      <c r="F343" s="10" t="s">
        <v>441</v>
      </c>
    </row>
    <row r="344" spans="1:6" hidden="1">
      <c r="A344" s="10" t="s">
        <v>1082</v>
      </c>
      <c r="B344" s="10" t="s">
        <v>1083</v>
      </c>
      <c r="C344" s="41" t="s">
        <v>554</v>
      </c>
      <c r="D344" s="11">
        <v>6053.72</v>
      </c>
      <c r="E344" s="10" t="s">
        <v>447</v>
      </c>
      <c r="F344" s="10" t="s">
        <v>471</v>
      </c>
    </row>
    <row r="345" spans="1:6" hidden="1">
      <c r="A345" s="10" t="s">
        <v>1084</v>
      </c>
      <c r="B345" s="10" t="s">
        <v>462</v>
      </c>
      <c r="C345" s="41" t="s">
        <v>462</v>
      </c>
      <c r="D345" s="11">
        <v>6031.99</v>
      </c>
      <c r="E345" s="10" t="s">
        <v>447</v>
      </c>
      <c r="F345" s="10" t="s">
        <v>471</v>
      </c>
    </row>
    <row r="346" spans="1:6" hidden="1">
      <c r="A346" s="10" t="s">
        <v>868</v>
      </c>
      <c r="B346" s="10" t="s">
        <v>1085</v>
      </c>
      <c r="C346" s="41" t="s">
        <v>464</v>
      </c>
      <c r="D346" s="11">
        <v>6008.28</v>
      </c>
      <c r="E346" s="10" t="s">
        <v>502</v>
      </c>
      <c r="F346" s="10" t="s">
        <v>436</v>
      </c>
    </row>
    <row r="347" spans="1:6" hidden="1">
      <c r="A347" s="10" t="s">
        <v>904</v>
      </c>
      <c r="B347" s="10" t="s">
        <v>726</v>
      </c>
      <c r="C347" s="41" t="s">
        <v>468</v>
      </c>
      <c r="D347" s="11">
        <v>5979.08</v>
      </c>
      <c r="E347" s="10" t="s">
        <v>435</v>
      </c>
      <c r="F347" s="10" t="s">
        <v>436</v>
      </c>
    </row>
    <row r="348" spans="1:6" hidden="1">
      <c r="A348" s="10" t="s">
        <v>1086</v>
      </c>
      <c r="B348" s="10" t="s">
        <v>1087</v>
      </c>
      <c r="C348" s="41" t="s">
        <v>466</v>
      </c>
      <c r="D348" s="11">
        <v>5968.65</v>
      </c>
      <c r="E348" s="10" t="s">
        <v>447</v>
      </c>
      <c r="F348" s="10" t="s">
        <v>436</v>
      </c>
    </row>
    <row r="349" spans="1:6" hidden="1">
      <c r="A349" s="10" t="s">
        <v>945</v>
      </c>
      <c r="B349" s="10" t="s">
        <v>1070</v>
      </c>
      <c r="C349" s="41" t="s">
        <v>533</v>
      </c>
      <c r="D349" s="11">
        <v>5954.06</v>
      </c>
      <c r="E349" s="10" t="s">
        <v>447</v>
      </c>
      <c r="F349" s="10" t="s">
        <v>471</v>
      </c>
    </row>
    <row r="350" spans="1:6" hidden="1">
      <c r="A350" s="10" t="s">
        <v>1088</v>
      </c>
      <c r="B350" s="10" t="s">
        <v>1089</v>
      </c>
      <c r="C350" s="41" t="s">
        <v>470</v>
      </c>
      <c r="D350" s="11">
        <v>5917.47</v>
      </c>
      <c r="E350" s="10" t="s">
        <v>435</v>
      </c>
      <c r="F350" s="10" t="s">
        <v>471</v>
      </c>
    </row>
    <row r="351" spans="1:6" hidden="1">
      <c r="A351" s="10" t="s">
        <v>1090</v>
      </c>
      <c r="B351" s="10" t="s">
        <v>1091</v>
      </c>
      <c r="C351" s="41" t="s">
        <v>550</v>
      </c>
      <c r="D351" s="11">
        <v>5889.22</v>
      </c>
      <c r="E351" s="10" t="s">
        <v>447</v>
      </c>
      <c r="F351" s="10" t="s">
        <v>471</v>
      </c>
    </row>
    <row r="352" spans="1:6" hidden="1">
      <c r="A352" s="10" t="s">
        <v>1092</v>
      </c>
      <c r="B352" s="10" t="s">
        <v>499</v>
      </c>
      <c r="C352" s="41" t="s">
        <v>499</v>
      </c>
      <c r="D352" s="11">
        <v>5876.11</v>
      </c>
      <c r="E352" s="10" t="s">
        <v>447</v>
      </c>
      <c r="F352" s="10" t="s">
        <v>471</v>
      </c>
    </row>
    <row r="353" spans="1:6">
      <c r="A353" s="10" t="s">
        <v>925</v>
      </c>
      <c r="B353" s="10" t="s">
        <v>681</v>
      </c>
      <c r="C353" s="41" t="s">
        <v>213</v>
      </c>
      <c r="D353" s="11">
        <v>5813.31</v>
      </c>
      <c r="E353" s="10" t="s">
        <v>447</v>
      </c>
      <c r="F353" s="10" t="s">
        <v>436</v>
      </c>
    </row>
    <row r="354" spans="1:6" hidden="1">
      <c r="A354" s="10" t="s">
        <v>1082</v>
      </c>
      <c r="B354" s="10" t="s">
        <v>1093</v>
      </c>
      <c r="C354" s="41" t="s">
        <v>555</v>
      </c>
      <c r="D354" s="11">
        <v>5799.46</v>
      </c>
      <c r="E354" s="10" t="s">
        <v>447</v>
      </c>
      <c r="F354" s="10" t="s">
        <v>471</v>
      </c>
    </row>
    <row r="355" spans="1:6" hidden="1">
      <c r="A355" s="10" t="s">
        <v>1094</v>
      </c>
      <c r="B355" s="10" t="s">
        <v>1095</v>
      </c>
      <c r="C355" s="41" t="s">
        <v>314</v>
      </c>
      <c r="D355" s="11">
        <v>5792.17</v>
      </c>
      <c r="E355" s="10" t="s">
        <v>447</v>
      </c>
      <c r="F355" s="10" t="s">
        <v>436</v>
      </c>
    </row>
    <row r="356" spans="1:6" hidden="1">
      <c r="A356" s="10" t="s">
        <v>1000</v>
      </c>
      <c r="B356" s="10" t="s">
        <v>1096</v>
      </c>
      <c r="C356" s="41" t="s">
        <v>466</v>
      </c>
      <c r="D356" s="11">
        <v>5700.89</v>
      </c>
      <c r="E356" s="10" t="s">
        <v>447</v>
      </c>
      <c r="F356" s="10" t="s">
        <v>436</v>
      </c>
    </row>
    <row r="357" spans="1:6" hidden="1">
      <c r="A357" s="10" t="s">
        <v>1097</v>
      </c>
      <c r="B357" s="10" t="s">
        <v>151</v>
      </c>
      <c r="C357" s="41" t="s">
        <v>151</v>
      </c>
      <c r="D357" s="11">
        <v>5660.11</v>
      </c>
      <c r="E357" s="10" t="s">
        <v>540</v>
      </c>
      <c r="F357" s="10" t="s">
        <v>441</v>
      </c>
    </row>
    <row r="358" spans="1:6" hidden="1">
      <c r="A358" s="10" t="s">
        <v>1098</v>
      </c>
      <c r="B358" s="10" t="s">
        <v>1099</v>
      </c>
      <c r="C358" s="41" t="s">
        <v>479</v>
      </c>
      <c r="D358" s="11">
        <v>5655.11</v>
      </c>
      <c r="E358" s="10" t="s">
        <v>435</v>
      </c>
      <c r="F358" s="10" t="s">
        <v>441</v>
      </c>
    </row>
    <row r="359" spans="1:6" hidden="1">
      <c r="A359" s="10" t="s">
        <v>1100</v>
      </c>
      <c r="B359" s="10" t="s">
        <v>1101</v>
      </c>
      <c r="C359" s="41" t="s">
        <v>537</v>
      </c>
      <c r="D359" s="11">
        <v>5650.59</v>
      </c>
      <c r="E359" s="10" t="s">
        <v>447</v>
      </c>
      <c r="F359" s="10" t="s">
        <v>441</v>
      </c>
    </row>
    <row r="360" spans="1:6" hidden="1">
      <c r="A360" s="10" t="s">
        <v>1102</v>
      </c>
      <c r="B360" s="10" t="s">
        <v>375</v>
      </c>
      <c r="C360" s="41" t="s">
        <v>375</v>
      </c>
      <c r="D360" s="11">
        <v>5648.38</v>
      </c>
      <c r="E360" s="10" t="s">
        <v>435</v>
      </c>
      <c r="F360" s="10" t="s">
        <v>436</v>
      </c>
    </row>
    <row r="361" spans="1:6" hidden="1">
      <c r="A361" s="10" t="s">
        <v>1103</v>
      </c>
      <c r="B361" s="10" t="s">
        <v>1104</v>
      </c>
      <c r="C361" s="41" t="s">
        <v>115</v>
      </c>
      <c r="D361" s="11">
        <v>5612.79</v>
      </c>
      <c r="E361" s="10" t="s">
        <v>502</v>
      </c>
      <c r="F361" s="10" t="s">
        <v>436</v>
      </c>
    </row>
    <row r="362" spans="1:6" hidden="1">
      <c r="A362" s="10" t="s">
        <v>1105</v>
      </c>
      <c r="B362" s="10" t="s">
        <v>793</v>
      </c>
      <c r="C362" s="41" t="s">
        <v>491</v>
      </c>
      <c r="D362" s="11">
        <v>5560.67</v>
      </c>
      <c r="E362" s="10" t="s">
        <v>447</v>
      </c>
      <c r="F362" s="10" t="s">
        <v>471</v>
      </c>
    </row>
    <row r="363" spans="1:6" hidden="1">
      <c r="A363" s="10" t="s">
        <v>1106</v>
      </c>
      <c r="B363" s="10" t="s">
        <v>823</v>
      </c>
      <c r="C363" s="41" t="s">
        <v>151</v>
      </c>
      <c r="D363" s="11">
        <v>5528.77</v>
      </c>
      <c r="E363" s="10" t="s">
        <v>447</v>
      </c>
      <c r="F363" s="10" t="s">
        <v>436</v>
      </c>
    </row>
    <row r="364" spans="1:6" hidden="1">
      <c r="A364" s="10" t="s">
        <v>1107</v>
      </c>
      <c r="B364" s="10" t="s">
        <v>825</v>
      </c>
      <c r="C364" s="41" t="s">
        <v>469</v>
      </c>
      <c r="D364" s="11">
        <v>5523.77</v>
      </c>
      <c r="E364" s="10" t="s">
        <v>447</v>
      </c>
      <c r="F364" s="10" t="s">
        <v>441</v>
      </c>
    </row>
    <row r="365" spans="1:6" hidden="1">
      <c r="A365" s="10" t="s">
        <v>1108</v>
      </c>
      <c r="B365" s="10" t="s">
        <v>1109</v>
      </c>
      <c r="C365" s="41" t="s">
        <v>151</v>
      </c>
      <c r="D365" s="11">
        <v>5503.75</v>
      </c>
      <c r="E365" s="10" t="s">
        <v>447</v>
      </c>
      <c r="F365" s="10" t="s">
        <v>436</v>
      </c>
    </row>
    <row r="366" spans="1:6" hidden="1">
      <c r="A366" s="10" t="s">
        <v>1110</v>
      </c>
      <c r="B366" s="10" t="s">
        <v>533</v>
      </c>
      <c r="C366" s="41" t="s">
        <v>533</v>
      </c>
      <c r="D366" s="11">
        <v>5441.84</v>
      </c>
      <c r="E366" s="10" t="s">
        <v>447</v>
      </c>
      <c r="F366" s="10" t="s">
        <v>471</v>
      </c>
    </row>
    <row r="367" spans="1:6" hidden="1">
      <c r="A367" s="10" t="s">
        <v>900</v>
      </c>
      <c r="B367" s="10" t="s">
        <v>810</v>
      </c>
      <c r="C367" s="41" t="s">
        <v>151</v>
      </c>
      <c r="D367" s="11">
        <v>5420.36</v>
      </c>
      <c r="E367" s="10" t="s">
        <v>447</v>
      </c>
      <c r="F367" s="10" t="s">
        <v>436</v>
      </c>
    </row>
    <row r="368" spans="1:6" hidden="1">
      <c r="A368" s="10" t="s">
        <v>1111</v>
      </c>
      <c r="B368" s="10" t="s">
        <v>515</v>
      </c>
      <c r="C368" s="41" t="s">
        <v>515</v>
      </c>
      <c r="D368" s="11">
        <v>5389.72</v>
      </c>
      <c r="E368" s="10" t="s">
        <v>447</v>
      </c>
      <c r="F368" s="10" t="s">
        <v>441</v>
      </c>
    </row>
    <row r="369" spans="1:6" hidden="1">
      <c r="A369" s="10" t="s">
        <v>978</v>
      </c>
      <c r="B369" s="10" t="s">
        <v>862</v>
      </c>
      <c r="C369" s="41" t="s">
        <v>193</v>
      </c>
      <c r="D369" s="11">
        <v>5334.74</v>
      </c>
      <c r="E369" s="10" t="s">
        <v>447</v>
      </c>
      <c r="F369" s="10" t="s">
        <v>441</v>
      </c>
    </row>
    <row r="370" spans="1:6" hidden="1">
      <c r="A370" s="10" t="s">
        <v>1098</v>
      </c>
      <c r="B370" s="10" t="s">
        <v>479</v>
      </c>
      <c r="C370" s="41" t="s">
        <v>479</v>
      </c>
      <c r="D370" s="11">
        <v>5324.88</v>
      </c>
      <c r="E370" s="10" t="s">
        <v>435</v>
      </c>
      <c r="F370" s="10" t="s">
        <v>441</v>
      </c>
    </row>
    <row r="371" spans="1:6" hidden="1">
      <c r="A371" s="10" t="s">
        <v>1112</v>
      </c>
      <c r="B371" s="10" t="s">
        <v>1113</v>
      </c>
      <c r="C371" s="41" t="s">
        <v>462</v>
      </c>
      <c r="D371" s="11">
        <v>5273.43</v>
      </c>
      <c r="E371" s="10" t="s">
        <v>447</v>
      </c>
      <c r="F371" s="10" t="s">
        <v>471</v>
      </c>
    </row>
    <row r="372" spans="1:6" hidden="1">
      <c r="A372" s="10" t="s">
        <v>1114</v>
      </c>
      <c r="B372" s="10" t="s">
        <v>862</v>
      </c>
      <c r="C372" s="41" t="s">
        <v>193</v>
      </c>
      <c r="D372" s="11">
        <v>5251.5</v>
      </c>
      <c r="E372" s="10" t="s">
        <v>447</v>
      </c>
      <c r="F372" s="10" t="s">
        <v>436</v>
      </c>
    </row>
    <row r="373" spans="1:6" hidden="1">
      <c r="A373" s="10" t="s">
        <v>1115</v>
      </c>
      <c r="B373" s="10" t="s">
        <v>1116</v>
      </c>
      <c r="C373" s="41" t="s">
        <v>225</v>
      </c>
      <c r="D373" s="11">
        <v>5250.83</v>
      </c>
      <c r="E373" s="10" t="s">
        <v>435</v>
      </c>
      <c r="F373" s="10" t="s">
        <v>471</v>
      </c>
    </row>
    <row r="374" spans="1:6" hidden="1">
      <c r="A374" s="10" t="s">
        <v>1078</v>
      </c>
      <c r="B374" s="10" t="s">
        <v>960</v>
      </c>
      <c r="C374" s="41" t="s">
        <v>515</v>
      </c>
      <c r="D374" s="11">
        <v>5150.07</v>
      </c>
      <c r="E374" s="10" t="s">
        <v>447</v>
      </c>
      <c r="F374" s="10" t="s">
        <v>441</v>
      </c>
    </row>
    <row r="375" spans="1:6" hidden="1">
      <c r="A375" s="10" t="s">
        <v>1117</v>
      </c>
      <c r="B375" s="10" t="s">
        <v>482</v>
      </c>
      <c r="C375" s="41" t="s">
        <v>482</v>
      </c>
      <c r="D375" s="11">
        <v>5136.63</v>
      </c>
      <c r="E375" s="10" t="s">
        <v>447</v>
      </c>
      <c r="F375" s="10" t="s">
        <v>441</v>
      </c>
    </row>
    <row r="376" spans="1:6" hidden="1">
      <c r="A376" s="10" t="s">
        <v>1118</v>
      </c>
      <c r="B376" s="10" t="s">
        <v>1119</v>
      </c>
      <c r="C376" s="41" t="s">
        <v>482</v>
      </c>
      <c r="D376" s="11">
        <v>5128.5</v>
      </c>
      <c r="E376" s="10" t="s">
        <v>447</v>
      </c>
      <c r="F376" s="10" t="s">
        <v>441</v>
      </c>
    </row>
    <row r="377" spans="1:6" hidden="1">
      <c r="A377" s="10" t="s">
        <v>1118</v>
      </c>
      <c r="B377" s="10" t="s">
        <v>1077</v>
      </c>
      <c r="C377" s="41" t="s">
        <v>482</v>
      </c>
      <c r="D377" s="11">
        <v>5128.5</v>
      </c>
      <c r="E377" s="10" t="s">
        <v>447</v>
      </c>
      <c r="F377" s="10" t="s">
        <v>441</v>
      </c>
    </row>
    <row r="378" spans="1:6" hidden="1">
      <c r="A378" s="10" t="s">
        <v>1120</v>
      </c>
      <c r="B378" s="10" t="s">
        <v>1121</v>
      </c>
      <c r="C378" s="41" t="s">
        <v>539</v>
      </c>
      <c r="D378" s="11">
        <v>5091.83</v>
      </c>
      <c r="E378" s="10" t="s">
        <v>540</v>
      </c>
      <c r="F378" s="10" t="s">
        <v>471</v>
      </c>
    </row>
    <row r="379" spans="1:6" hidden="1">
      <c r="A379" s="10" t="s">
        <v>968</v>
      </c>
      <c r="B379" s="10" t="s">
        <v>862</v>
      </c>
      <c r="C379" s="41" t="s">
        <v>193</v>
      </c>
      <c r="D379" s="11">
        <v>5088.47</v>
      </c>
      <c r="E379" s="10" t="s">
        <v>447</v>
      </c>
      <c r="F379" s="10" t="s">
        <v>441</v>
      </c>
    </row>
    <row r="380" spans="1:6" hidden="1">
      <c r="A380" s="10" t="s">
        <v>944</v>
      </c>
      <c r="B380" s="10" t="s">
        <v>982</v>
      </c>
      <c r="C380" s="41" t="s">
        <v>193</v>
      </c>
      <c r="D380" s="11">
        <v>5040.9399999999996</v>
      </c>
      <c r="E380" s="10" t="s">
        <v>447</v>
      </c>
      <c r="F380" s="10" t="s">
        <v>441</v>
      </c>
    </row>
    <row r="381" spans="1:6" hidden="1">
      <c r="A381" s="10" t="s">
        <v>1122</v>
      </c>
      <c r="B381" s="10" t="s">
        <v>467</v>
      </c>
      <c r="C381" s="41" t="s">
        <v>467</v>
      </c>
      <c r="D381" s="11">
        <v>5040.9399999999996</v>
      </c>
      <c r="E381" s="10" t="s">
        <v>447</v>
      </c>
      <c r="F381" s="10" t="s">
        <v>441</v>
      </c>
    </row>
    <row r="382" spans="1:6" hidden="1">
      <c r="A382" s="10" t="s">
        <v>1123</v>
      </c>
      <c r="B382" s="10" t="s">
        <v>688</v>
      </c>
      <c r="C382" s="41" t="s">
        <v>482</v>
      </c>
      <c r="D382" s="11">
        <v>5028.51</v>
      </c>
      <c r="E382" s="10" t="s">
        <v>447</v>
      </c>
      <c r="F382" s="10" t="s">
        <v>436</v>
      </c>
    </row>
    <row r="383" spans="1:6" hidden="1">
      <c r="A383" s="10" t="s">
        <v>1124</v>
      </c>
      <c r="B383" s="10" t="s">
        <v>462</v>
      </c>
      <c r="C383" s="41" t="s">
        <v>462</v>
      </c>
      <c r="D383" s="11">
        <v>5000.29</v>
      </c>
      <c r="E383" s="10" t="s">
        <v>447</v>
      </c>
      <c r="F383" s="10" t="s">
        <v>471</v>
      </c>
    </row>
    <row r="384" spans="1:6">
      <c r="A384" s="10" t="s">
        <v>1125</v>
      </c>
      <c r="B384" s="10" t="s">
        <v>1126</v>
      </c>
      <c r="C384" s="41" t="s">
        <v>213</v>
      </c>
      <c r="D384" s="11">
        <v>4903.34</v>
      </c>
      <c r="E384" s="10" t="s">
        <v>447</v>
      </c>
      <c r="F384" s="10" t="s">
        <v>436</v>
      </c>
    </row>
    <row r="385" spans="1:6" hidden="1">
      <c r="A385" s="10" t="s">
        <v>995</v>
      </c>
      <c r="B385" s="10" t="s">
        <v>1021</v>
      </c>
      <c r="C385" s="41" t="s">
        <v>466</v>
      </c>
      <c r="D385" s="11">
        <v>4888.75</v>
      </c>
      <c r="E385" s="10" t="s">
        <v>447</v>
      </c>
      <c r="F385" s="10" t="s">
        <v>436</v>
      </c>
    </row>
    <row r="386" spans="1:6" hidden="1">
      <c r="A386" s="10" t="s">
        <v>1127</v>
      </c>
      <c r="B386" s="10" t="s">
        <v>1128</v>
      </c>
      <c r="C386" s="41" t="s">
        <v>499</v>
      </c>
      <c r="D386" s="11">
        <v>4880.0200000000004</v>
      </c>
      <c r="E386" s="10" t="s">
        <v>447</v>
      </c>
      <c r="F386" s="10" t="s">
        <v>471</v>
      </c>
    </row>
    <row r="387" spans="1:6" hidden="1">
      <c r="A387" s="10" t="s">
        <v>1129</v>
      </c>
      <c r="B387" s="10" t="s">
        <v>1130</v>
      </c>
      <c r="C387" s="41" t="s">
        <v>538</v>
      </c>
      <c r="D387" s="11">
        <v>4879.99</v>
      </c>
      <c r="E387" s="10" t="s">
        <v>447</v>
      </c>
      <c r="F387" s="10" t="s">
        <v>471</v>
      </c>
    </row>
    <row r="388" spans="1:6" hidden="1">
      <c r="A388" s="10" t="s">
        <v>1131</v>
      </c>
      <c r="B388" s="10" t="s">
        <v>1132</v>
      </c>
      <c r="C388" s="41" t="s">
        <v>466</v>
      </c>
      <c r="D388" s="11">
        <v>4879.1099999999997</v>
      </c>
      <c r="E388" s="10" t="s">
        <v>447</v>
      </c>
      <c r="F388" s="10" t="s">
        <v>436</v>
      </c>
    </row>
    <row r="389" spans="1:6" hidden="1">
      <c r="A389" s="10" t="s">
        <v>1133</v>
      </c>
      <c r="B389" s="10" t="s">
        <v>1130</v>
      </c>
      <c r="C389" s="41" t="s">
        <v>538</v>
      </c>
      <c r="D389" s="11">
        <v>4874.4799999999996</v>
      </c>
      <c r="E389" s="10" t="s">
        <v>447</v>
      </c>
      <c r="F389" s="10" t="s">
        <v>471</v>
      </c>
    </row>
    <row r="390" spans="1:6" hidden="1">
      <c r="A390" s="10" t="s">
        <v>949</v>
      </c>
      <c r="B390" s="10" t="s">
        <v>1134</v>
      </c>
      <c r="C390" s="41" t="s">
        <v>459</v>
      </c>
      <c r="D390" s="11">
        <v>4796.5</v>
      </c>
      <c r="E390" s="10" t="s">
        <v>435</v>
      </c>
      <c r="F390" s="10" t="s">
        <v>436</v>
      </c>
    </row>
    <row r="391" spans="1:6" hidden="1">
      <c r="A391" s="10" t="s">
        <v>1057</v>
      </c>
      <c r="B391" s="10" t="s">
        <v>1135</v>
      </c>
      <c r="C391" s="41" t="s">
        <v>534</v>
      </c>
      <c r="D391" s="11">
        <v>4791.22</v>
      </c>
      <c r="E391" s="10" t="s">
        <v>447</v>
      </c>
      <c r="F391" s="10" t="s">
        <v>441</v>
      </c>
    </row>
    <row r="392" spans="1:6" hidden="1">
      <c r="A392" s="10" t="s">
        <v>1136</v>
      </c>
      <c r="B392" s="10" t="s">
        <v>1137</v>
      </c>
      <c r="C392" s="41" t="s">
        <v>532</v>
      </c>
      <c r="D392" s="11">
        <v>4762</v>
      </c>
      <c r="E392" s="10" t="s">
        <v>540</v>
      </c>
      <c r="F392" s="10" t="s">
        <v>471</v>
      </c>
    </row>
    <row r="393" spans="1:6" hidden="1">
      <c r="A393" s="10" t="s">
        <v>1138</v>
      </c>
      <c r="B393" s="10" t="s">
        <v>1139</v>
      </c>
      <c r="C393" s="41" t="s">
        <v>531</v>
      </c>
      <c r="D393" s="11">
        <v>4739.8999999999996</v>
      </c>
      <c r="E393" s="10" t="s">
        <v>447</v>
      </c>
      <c r="F393" s="10" t="s">
        <v>441</v>
      </c>
    </row>
    <row r="394" spans="1:6" hidden="1">
      <c r="A394" s="10" t="s">
        <v>1140</v>
      </c>
      <c r="B394" s="10" t="s">
        <v>533</v>
      </c>
      <c r="C394" s="41" t="s">
        <v>533</v>
      </c>
      <c r="D394" s="11">
        <v>4739.74</v>
      </c>
      <c r="E394" s="10" t="s">
        <v>447</v>
      </c>
      <c r="F394" s="10" t="s">
        <v>471</v>
      </c>
    </row>
    <row r="395" spans="1:6" hidden="1">
      <c r="A395" s="10" t="s">
        <v>922</v>
      </c>
      <c r="B395" s="10" t="s">
        <v>515</v>
      </c>
      <c r="C395" s="41" t="s">
        <v>515</v>
      </c>
      <c r="D395" s="11">
        <v>4732.3900000000003</v>
      </c>
      <c r="E395" s="10" t="s">
        <v>540</v>
      </c>
      <c r="F395" s="10" t="s">
        <v>436</v>
      </c>
    </row>
    <row r="396" spans="1:6" hidden="1">
      <c r="A396" s="10" t="s">
        <v>1114</v>
      </c>
      <c r="B396" s="10" t="s">
        <v>728</v>
      </c>
      <c r="C396" s="41" t="s">
        <v>193</v>
      </c>
      <c r="D396" s="11">
        <v>4720.84</v>
      </c>
      <c r="E396" s="10" t="s">
        <v>447</v>
      </c>
      <c r="F396" s="10" t="s">
        <v>436</v>
      </c>
    </row>
    <row r="397" spans="1:6" hidden="1">
      <c r="A397" s="10" t="s">
        <v>983</v>
      </c>
      <c r="B397" s="10" t="s">
        <v>1141</v>
      </c>
      <c r="C397" s="41" t="s">
        <v>538</v>
      </c>
      <c r="D397" s="11">
        <v>4622.8100000000004</v>
      </c>
      <c r="E397" s="10" t="s">
        <v>447</v>
      </c>
      <c r="F397" s="10" t="s">
        <v>471</v>
      </c>
    </row>
    <row r="398" spans="1:6" hidden="1">
      <c r="A398" s="10" t="s">
        <v>959</v>
      </c>
      <c r="B398" s="10" t="s">
        <v>375</v>
      </c>
      <c r="C398" s="41" t="s">
        <v>375</v>
      </c>
      <c r="D398" s="11">
        <v>4621.54</v>
      </c>
      <c r="E398" s="10" t="s">
        <v>435</v>
      </c>
      <c r="F398" s="10" t="s">
        <v>436</v>
      </c>
    </row>
    <row r="399" spans="1:6" hidden="1">
      <c r="A399" s="10" t="s">
        <v>1142</v>
      </c>
      <c r="B399" s="10" t="s">
        <v>854</v>
      </c>
      <c r="C399" s="41" t="s">
        <v>475</v>
      </c>
      <c r="D399" s="11">
        <v>4556.2299999999996</v>
      </c>
      <c r="E399" s="10" t="s">
        <v>447</v>
      </c>
      <c r="F399" s="10" t="s">
        <v>441</v>
      </c>
    </row>
    <row r="400" spans="1:6" hidden="1">
      <c r="A400" s="10" t="s">
        <v>1143</v>
      </c>
      <c r="B400" s="10" t="s">
        <v>1144</v>
      </c>
      <c r="C400" s="41" t="s">
        <v>464</v>
      </c>
      <c r="D400" s="11">
        <v>4544.7700000000004</v>
      </c>
      <c r="E400" s="10" t="s">
        <v>447</v>
      </c>
      <c r="F400" s="10" t="s">
        <v>436</v>
      </c>
    </row>
    <row r="401" spans="1:6" hidden="1">
      <c r="A401" s="10" t="s">
        <v>1074</v>
      </c>
      <c r="B401" s="10" t="s">
        <v>151</v>
      </c>
      <c r="C401" s="41" t="s">
        <v>151</v>
      </c>
      <c r="D401" s="11">
        <v>4534.34</v>
      </c>
      <c r="E401" s="10" t="s">
        <v>447</v>
      </c>
      <c r="F401" s="10" t="s">
        <v>436</v>
      </c>
    </row>
    <row r="402" spans="1:6" hidden="1">
      <c r="A402" s="10" t="s">
        <v>1018</v>
      </c>
      <c r="B402" s="10" t="s">
        <v>515</v>
      </c>
      <c r="C402" s="41" t="s">
        <v>515</v>
      </c>
      <c r="D402" s="11">
        <v>4524.0200000000004</v>
      </c>
      <c r="E402" s="10" t="s">
        <v>447</v>
      </c>
      <c r="F402" s="10" t="s">
        <v>441</v>
      </c>
    </row>
    <row r="403" spans="1:6" hidden="1">
      <c r="A403" s="10" t="s">
        <v>1145</v>
      </c>
      <c r="B403" s="10" t="s">
        <v>1146</v>
      </c>
      <c r="C403" s="41" t="s">
        <v>314</v>
      </c>
      <c r="D403" s="11">
        <v>4513.49</v>
      </c>
      <c r="E403" s="10" t="s">
        <v>447</v>
      </c>
      <c r="F403" s="10" t="s">
        <v>436</v>
      </c>
    </row>
    <row r="404" spans="1:6" hidden="1">
      <c r="A404" s="10" t="s">
        <v>1124</v>
      </c>
      <c r="B404" s="10" t="s">
        <v>985</v>
      </c>
      <c r="C404" s="41" t="s">
        <v>462</v>
      </c>
      <c r="D404" s="11">
        <v>4501.8500000000004</v>
      </c>
      <c r="E404" s="10" t="s">
        <v>447</v>
      </c>
      <c r="F404" s="10" t="s">
        <v>471</v>
      </c>
    </row>
    <row r="405" spans="1:6" hidden="1">
      <c r="A405" s="10" t="s">
        <v>1147</v>
      </c>
      <c r="B405" s="10" t="s">
        <v>1148</v>
      </c>
      <c r="C405" s="41" t="s">
        <v>530</v>
      </c>
      <c r="D405" s="11">
        <v>4398.83</v>
      </c>
      <c r="E405" s="10" t="s">
        <v>447</v>
      </c>
      <c r="F405" s="10" t="s">
        <v>441</v>
      </c>
    </row>
    <row r="406" spans="1:6" hidden="1">
      <c r="A406" s="10" t="s">
        <v>936</v>
      </c>
      <c r="B406" s="10" t="s">
        <v>1149</v>
      </c>
      <c r="C406" s="41" t="s">
        <v>151</v>
      </c>
      <c r="D406" s="11">
        <v>4367.04</v>
      </c>
      <c r="E406" s="10" t="s">
        <v>540</v>
      </c>
      <c r="F406" s="10" t="s">
        <v>441</v>
      </c>
    </row>
    <row r="407" spans="1:6" hidden="1">
      <c r="A407" s="10" t="s">
        <v>1150</v>
      </c>
      <c r="B407" s="10" t="s">
        <v>1141</v>
      </c>
      <c r="C407" s="41" t="s">
        <v>538</v>
      </c>
      <c r="D407" s="11">
        <v>4366</v>
      </c>
      <c r="E407" s="10" t="s">
        <v>447</v>
      </c>
      <c r="F407" s="10" t="s">
        <v>471</v>
      </c>
    </row>
    <row r="408" spans="1:6" hidden="1">
      <c r="A408" s="10" t="s">
        <v>1151</v>
      </c>
      <c r="B408" s="10" t="s">
        <v>1152</v>
      </c>
      <c r="C408" s="41" t="s">
        <v>491</v>
      </c>
      <c r="D408" s="11">
        <v>4342.13</v>
      </c>
      <c r="E408" s="10" t="s">
        <v>447</v>
      </c>
      <c r="F408" s="10" t="s">
        <v>471</v>
      </c>
    </row>
    <row r="409" spans="1:6">
      <c r="A409" s="10" t="s">
        <v>805</v>
      </c>
      <c r="B409" s="10" t="s">
        <v>702</v>
      </c>
      <c r="C409" s="41" t="s">
        <v>213</v>
      </c>
      <c r="D409" s="11">
        <v>4299.8100000000004</v>
      </c>
      <c r="E409" s="10" t="s">
        <v>447</v>
      </c>
      <c r="F409" s="10" t="s">
        <v>436</v>
      </c>
    </row>
    <row r="410" spans="1:6" hidden="1">
      <c r="A410" s="10" t="s">
        <v>1153</v>
      </c>
      <c r="B410" s="10" t="s">
        <v>831</v>
      </c>
      <c r="C410" s="41" t="s">
        <v>462</v>
      </c>
      <c r="D410" s="11">
        <v>4277.92</v>
      </c>
      <c r="E410" s="10" t="s">
        <v>447</v>
      </c>
      <c r="F410" s="10" t="s">
        <v>441</v>
      </c>
    </row>
    <row r="411" spans="1:6" hidden="1">
      <c r="A411" s="10" t="s">
        <v>1154</v>
      </c>
      <c r="B411" s="10" t="s">
        <v>1155</v>
      </c>
      <c r="C411" s="41" t="s">
        <v>480</v>
      </c>
      <c r="D411" s="11">
        <v>4267.49</v>
      </c>
      <c r="E411" s="10" t="s">
        <v>435</v>
      </c>
      <c r="F411" s="10" t="s">
        <v>436</v>
      </c>
    </row>
    <row r="412" spans="1:6" hidden="1">
      <c r="A412" s="10" t="s">
        <v>1156</v>
      </c>
      <c r="B412" s="10" t="s">
        <v>760</v>
      </c>
      <c r="C412" s="41" t="s">
        <v>446</v>
      </c>
      <c r="D412" s="11">
        <v>4249.46</v>
      </c>
      <c r="E412" s="10" t="s">
        <v>447</v>
      </c>
      <c r="F412" s="10" t="s">
        <v>436</v>
      </c>
    </row>
    <row r="413" spans="1:6" hidden="1">
      <c r="A413" s="10" t="s">
        <v>1072</v>
      </c>
      <c r="B413" s="10" t="s">
        <v>679</v>
      </c>
      <c r="C413" s="41" t="s">
        <v>446</v>
      </c>
      <c r="D413" s="11">
        <v>4230.3500000000004</v>
      </c>
      <c r="E413" s="10" t="s">
        <v>447</v>
      </c>
      <c r="F413" s="10" t="s">
        <v>436</v>
      </c>
    </row>
    <row r="414" spans="1:6" hidden="1">
      <c r="A414" s="10" t="s">
        <v>1157</v>
      </c>
      <c r="B414" s="10" t="s">
        <v>462</v>
      </c>
      <c r="C414" s="41" t="s">
        <v>462</v>
      </c>
      <c r="D414" s="11">
        <v>4224.1000000000004</v>
      </c>
      <c r="E414" s="10" t="s">
        <v>447</v>
      </c>
      <c r="F414" s="10" t="s">
        <v>471</v>
      </c>
    </row>
    <row r="415" spans="1:6" hidden="1">
      <c r="A415" s="10" t="s">
        <v>1157</v>
      </c>
      <c r="B415" s="10" t="s">
        <v>1113</v>
      </c>
      <c r="C415" s="41" t="s">
        <v>462</v>
      </c>
      <c r="D415" s="11">
        <v>4224.1000000000004</v>
      </c>
      <c r="E415" s="10" t="s">
        <v>447</v>
      </c>
      <c r="F415" s="10" t="s">
        <v>471</v>
      </c>
    </row>
    <row r="416" spans="1:6" hidden="1">
      <c r="A416" s="10" t="s">
        <v>1158</v>
      </c>
      <c r="B416" s="10" t="s">
        <v>1159</v>
      </c>
      <c r="C416" s="41" t="s">
        <v>566</v>
      </c>
      <c r="D416" s="11">
        <v>4207.24</v>
      </c>
      <c r="E416" s="10" t="s">
        <v>540</v>
      </c>
      <c r="F416" s="10" t="s">
        <v>471</v>
      </c>
    </row>
    <row r="417" spans="1:6" hidden="1">
      <c r="A417" s="10" t="s">
        <v>824</v>
      </c>
      <c r="B417" s="10" t="s">
        <v>1160</v>
      </c>
      <c r="C417" s="41" t="s">
        <v>469</v>
      </c>
      <c r="D417" s="11">
        <v>4176.34</v>
      </c>
      <c r="E417" s="10" t="s">
        <v>447</v>
      </c>
      <c r="F417" s="10" t="s">
        <v>441</v>
      </c>
    </row>
    <row r="418" spans="1:6" hidden="1">
      <c r="A418" s="10" t="s">
        <v>1161</v>
      </c>
      <c r="B418" s="10" t="s">
        <v>1162</v>
      </c>
      <c r="C418" s="41" t="s">
        <v>544</v>
      </c>
      <c r="D418" s="11">
        <v>4174.93</v>
      </c>
      <c r="E418" s="10" t="s">
        <v>447</v>
      </c>
      <c r="F418" s="10" t="s">
        <v>471</v>
      </c>
    </row>
    <row r="419" spans="1:6" hidden="1">
      <c r="A419" s="10" t="s">
        <v>944</v>
      </c>
      <c r="B419" s="10" t="s">
        <v>862</v>
      </c>
      <c r="C419" s="41" t="s">
        <v>193</v>
      </c>
      <c r="D419" s="11">
        <v>4168.47</v>
      </c>
      <c r="E419" s="10" t="s">
        <v>447</v>
      </c>
      <c r="F419" s="10" t="s">
        <v>441</v>
      </c>
    </row>
    <row r="420" spans="1:6" hidden="1">
      <c r="A420" s="10" t="s">
        <v>846</v>
      </c>
      <c r="B420" s="10" t="s">
        <v>823</v>
      </c>
      <c r="C420" s="41" t="s">
        <v>151</v>
      </c>
      <c r="D420" s="11">
        <v>4131.28</v>
      </c>
      <c r="E420" s="10" t="s">
        <v>447</v>
      </c>
      <c r="F420" s="10" t="s">
        <v>436</v>
      </c>
    </row>
    <row r="421" spans="1:6" hidden="1">
      <c r="A421" s="10" t="s">
        <v>1163</v>
      </c>
      <c r="B421" s="10" t="s">
        <v>1164</v>
      </c>
      <c r="C421" s="41" t="s">
        <v>512</v>
      </c>
      <c r="D421" s="11">
        <v>4101.2299999999996</v>
      </c>
      <c r="E421" s="10" t="s">
        <v>435</v>
      </c>
      <c r="F421" s="10" t="s">
        <v>441</v>
      </c>
    </row>
    <row r="422" spans="1:6" hidden="1">
      <c r="A422" s="10" t="s">
        <v>1165</v>
      </c>
      <c r="B422" s="10" t="s">
        <v>1166</v>
      </c>
      <c r="C422" s="41" t="s">
        <v>482</v>
      </c>
      <c r="D422" s="11">
        <v>4090.91</v>
      </c>
      <c r="E422" s="10" t="s">
        <v>447</v>
      </c>
      <c r="F422" s="10" t="s">
        <v>436</v>
      </c>
    </row>
    <row r="423" spans="1:6" hidden="1">
      <c r="A423" s="10" t="s">
        <v>730</v>
      </c>
      <c r="B423" s="10" t="s">
        <v>1167</v>
      </c>
      <c r="C423" s="41" t="s">
        <v>532</v>
      </c>
      <c r="D423" s="11">
        <v>4075.28</v>
      </c>
      <c r="E423" s="10" t="s">
        <v>540</v>
      </c>
      <c r="F423" s="10" t="s">
        <v>471</v>
      </c>
    </row>
    <row r="424" spans="1:6" hidden="1">
      <c r="A424" s="10" t="s">
        <v>1168</v>
      </c>
      <c r="B424" s="10" t="s">
        <v>151</v>
      </c>
      <c r="C424" s="41" t="s">
        <v>151</v>
      </c>
      <c r="D424" s="11">
        <v>4074.97</v>
      </c>
      <c r="E424" s="10" t="s">
        <v>447</v>
      </c>
      <c r="F424" s="10" t="s">
        <v>436</v>
      </c>
    </row>
    <row r="425" spans="1:6" hidden="1">
      <c r="A425" s="10" t="s">
        <v>1169</v>
      </c>
      <c r="B425" s="10" t="s">
        <v>1170</v>
      </c>
      <c r="C425" s="41" t="s">
        <v>151</v>
      </c>
      <c r="D425" s="11">
        <v>4047.29</v>
      </c>
      <c r="E425" s="10" t="s">
        <v>447</v>
      </c>
      <c r="F425" s="10" t="s">
        <v>436</v>
      </c>
    </row>
    <row r="426" spans="1:6" hidden="1">
      <c r="A426" s="10" t="s">
        <v>1171</v>
      </c>
      <c r="B426" s="10" t="s">
        <v>1172</v>
      </c>
      <c r="C426" s="41" t="s">
        <v>151</v>
      </c>
      <c r="D426" s="11">
        <v>4041.26</v>
      </c>
      <c r="E426" s="10" t="s">
        <v>435</v>
      </c>
      <c r="F426" s="10" t="s">
        <v>441</v>
      </c>
    </row>
    <row r="427" spans="1:6" hidden="1">
      <c r="A427" s="10" t="s">
        <v>924</v>
      </c>
      <c r="B427" s="10" t="s">
        <v>1173</v>
      </c>
      <c r="C427" s="41" t="s">
        <v>469</v>
      </c>
      <c r="D427" s="11">
        <v>4032.75</v>
      </c>
      <c r="E427" s="10" t="s">
        <v>447</v>
      </c>
      <c r="F427" s="10" t="s">
        <v>441</v>
      </c>
    </row>
    <row r="428" spans="1:6" hidden="1">
      <c r="A428" s="10" t="s">
        <v>1174</v>
      </c>
      <c r="B428" s="10" t="s">
        <v>462</v>
      </c>
      <c r="C428" s="41" t="s">
        <v>462</v>
      </c>
      <c r="D428" s="11">
        <v>4000.38</v>
      </c>
      <c r="E428" s="10" t="s">
        <v>447</v>
      </c>
      <c r="F428" s="10" t="s">
        <v>441</v>
      </c>
    </row>
    <row r="429" spans="1:6" hidden="1">
      <c r="A429" s="10" t="s">
        <v>1175</v>
      </c>
      <c r="B429" s="10" t="s">
        <v>1176</v>
      </c>
      <c r="C429" s="41" t="s">
        <v>469</v>
      </c>
      <c r="D429" s="11">
        <v>3993.64</v>
      </c>
      <c r="E429" s="10" t="s">
        <v>435</v>
      </c>
      <c r="F429" s="10" t="s">
        <v>441</v>
      </c>
    </row>
    <row r="430" spans="1:6" hidden="1">
      <c r="A430" s="10" t="s">
        <v>1177</v>
      </c>
      <c r="B430" s="10" t="s">
        <v>482</v>
      </c>
      <c r="C430" s="41" t="s">
        <v>482</v>
      </c>
      <c r="D430" s="11">
        <v>3951.65</v>
      </c>
      <c r="E430" s="10" t="s">
        <v>447</v>
      </c>
      <c r="F430" s="10" t="s">
        <v>436</v>
      </c>
    </row>
    <row r="431" spans="1:6" hidden="1">
      <c r="A431" s="10" t="s">
        <v>1168</v>
      </c>
      <c r="B431" s="10" t="s">
        <v>1170</v>
      </c>
      <c r="C431" s="41" t="s">
        <v>151</v>
      </c>
      <c r="D431" s="11">
        <v>3911.31</v>
      </c>
      <c r="E431" s="10" t="s">
        <v>447</v>
      </c>
      <c r="F431" s="10" t="s">
        <v>436</v>
      </c>
    </row>
    <row r="432" spans="1:6" hidden="1">
      <c r="A432" s="10" t="s">
        <v>1178</v>
      </c>
      <c r="B432" s="10" t="s">
        <v>862</v>
      </c>
      <c r="C432" s="41" t="s">
        <v>193</v>
      </c>
      <c r="D432" s="11">
        <v>3848.46</v>
      </c>
      <c r="E432" s="10" t="s">
        <v>447</v>
      </c>
      <c r="F432" s="10" t="s">
        <v>441</v>
      </c>
    </row>
    <row r="433" spans="1:6" hidden="1">
      <c r="A433" s="10" t="s">
        <v>1179</v>
      </c>
      <c r="B433" s="10" t="s">
        <v>865</v>
      </c>
      <c r="C433" s="41" t="s">
        <v>465</v>
      </c>
      <c r="D433" s="11">
        <v>3791.02</v>
      </c>
      <c r="E433" s="10" t="s">
        <v>435</v>
      </c>
      <c r="F433" s="10" t="s">
        <v>436</v>
      </c>
    </row>
    <row r="434" spans="1:6" hidden="1">
      <c r="A434" s="10" t="s">
        <v>1180</v>
      </c>
      <c r="B434" s="10" t="s">
        <v>467</v>
      </c>
      <c r="C434" s="41" t="s">
        <v>467</v>
      </c>
      <c r="D434" s="11">
        <v>3782.58</v>
      </c>
      <c r="E434" s="10" t="s">
        <v>447</v>
      </c>
      <c r="F434" s="10" t="s">
        <v>441</v>
      </c>
    </row>
    <row r="435" spans="1:6" hidden="1">
      <c r="A435" s="10" t="s">
        <v>1181</v>
      </c>
      <c r="B435" s="10" t="s">
        <v>1068</v>
      </c>
      <c r="C435" s="41" t="s">
        <v>535</v>
      </c>
      <c r="D435" s="11">
        <v>3732.67</v>
      </c>
      <c r="E435" s="10" t="s">
        <v>447</v>
      </c>
      <c r="F435" s="10" t="s">
        <v>471</v>
      </c>
    </row>
    <row r="436" spans="1:6" hidden="1">
      <c r="A436" s="10" t="s">
        <v>1182</v>
      </c>
      <c r="B436" s="10" t="s">
        <v>1183</v>
      </c>
      <c r="C436" s="41" t="s">
        <v>539</v>
      </c>
      <c r="D436" s="11">
        <v>3729.68</v>
      </c>
      <c r="E436" s="10" t="s">
        <v>502</v>
      </c>
      <c r="F436" s="10" t="s">
        <v>471</v>
      </c>
    </row>
    <row r="437" spans="1:6" hidden="1">
      <c r="A437" s="10" t="s">
        <v>1184</v>
      </c>
      <c r="B437" s="10" t="s">
        <v>838</v>
      </c>
      <c r="C437" s="41" t="s">
        <v>151</v>
      </c>
      <c r="D437" s="11">
        <v>3709.56</v>
      </c>
      <c r="E437" s="10" t="s">
        <v>447</v>
      </c>
      <c r="F437" s="10" t="s">
        <v>436</v>
      </c>
    </row>
    <row r="438" spans="1:6" hidden="1">
      <c r="A438" s="10" t="s">
        <v>1185</v>
      </c>
      <c r="B438" s="10" t="s">
        <v>151</v>
      </c>
      <c r="C438" s="41" t="s">
        <v>151</v>
      </c>
      <c r="D438" s="11">
        <v>3702.94</v>
      </c>
      <c r="E438" s="10" t="s">
        <v>540</v>
      </c>
      <c r="F438" s="10" t="s">
        <v>441</v>
      </c>
    </row>
    <row r="439" spans="1:6">
      <c r="A439" s="10" t="s">
        <v>1186</v>
      </c>
      <c r="B439" s="10" t="s">
        <v>681</v>
      </c>
      <c r="C439" s="41" t="s">
        <v>213</v>
      </c>
      <c r="D439" s="11">
        <v>3689.39</v>
      </c>
      <c r="E439" s="10" t="s">
        <v>447</v>
      </c>
      <c r="F439" s="10" t="s">
        <v>436</v>
      </c>
    </row>
    <row r="440" spans="1:6" hidden="1">
      <c r="A440" s="10" t="s">
        <v>1187</v>
      </c>
      <c r="B440" s="10" t="s">
        <v>1188</v>
      </c>
      <c r="C440" s="41" t="s">
        <v>533</v>
      </c>
      <c r="D440" s="11">
        <v>3673.13</v>
      </c>
      <c r="E440" s="10" t="s">
        <v>447</v>
      </c>
      <c r="F440" s="10" t="s">
        <v>471</v>
      </c>
    </row>
    <row r="441" spans="1:6" hidden="1">
      <c r="A441" s="10" t="s">
        <v>1189</v>
      </c>
      <c r="B441" s="10" t="s">
        <v>462</v>
      </c>
      <c r="C441" s="41" t="s">
        <v>462</v>
      </c>
      <c r="D441" s="11">
        <v>3657.08</v>
      </c>
      <c r="E441" s="10" t="s">
        <v>447</v>
      </c>
      <c r="F441" s="10" t="s">
        <v>441</v>
      </c>
    </row>
    <row r="442" spans="1:6" hidden="1">
      <c r="A442" s="10" t="s">
        <v>1190</v>
      </c>
      <c r="B442" s="10" t="s">
        <v>1191</v>
      </c>
      <c r="C442" s="41" t="s">
        <v>466</v>
      </c>
      <c r="D442" s="11">
        <v>3650.26</v>
      </c>
      <c r="E442" s="10" t="s">
        <v>447</v>
      </c>
      <c r="F442" s="10" t="s">
        <v>436</v>
      </c>
    </row>
    <row r="443" spans="1:6" hidden="1">
      <c r="A443" s="10" t="s">
        <v>1192</v>
      </c>
      <c r="B443" s="10" t="s">
        <v>375</v>
      </c>
      <c r="C443" s="41" t="s">
        <v>375</v>
      </c>
      <c r="D443" s="11">
        <v>3627.47</v>
      </c>
      <c r="E443" s="10" t="s">
        <v>435</v>
      </c>
      <c r="F443" s="10" t="s">
        <v>436</v>
      </c>
    </row>
    <row r="444" spans="1:6" hidden="1">
      <c r="A444" s="10" t="s">
        <v>1193</v>
      </c>
      <c r="B444" s="10" t="s">
        <v>929</v>
      </c>
      <c r="C444" s="41" t="s">
        <v>446</v>
      </c>
      <c r="D444" s="11">
        <v>3602.46</v>
      </c>
      <c r="E444" s="10" t="s">
        <v>447</v>
      </c>
      <c r="F444" s="10" t="s">
        <v>436</v>
      </c>
    </row>
    <row r="445" spans="1:6" hidden="1">
      <c r="A445" s="10" t="s">
        <v>961</v>
      </c>
      <c r="B445" s="10" t="s">
        <v>1194</v>
      </c>
      <c r="C445" s="41" t="s">
        <v>375</v>
      </c>
      <c r="D445" s="11">
        <v>3600.89</v>
      </c>
      <c r="E445" s="10" t="s">
        <v>435</v>
      </c>
      <c r="F445" s="10" t="s">
        <v>436</v>
      </c>
    </row>
    <row r="446" spans="1:6" hidden="1">
      <c r="A446" s="10" t="s">
        <v>1062</v>
      </c>
      <c r="B446" s="10" t="s">
        <v>1195</v>
      </c>
      <c r="C446" s="41" t="s">
        <v>466</v>
      </c>
      <c r="D446" s="11">
        <v>3568.06</v>
      </c>
      <c r="E446" s="10" t="s">
        <v>447</v>
      </c>
      <c r="F446" s="10" t="s">
        <v>436</v>
      </c>
    </row>
    <row r="447" spans="1:6" hidden="1">
      <c r="A447" s="10" t="s">
        <v>1050</v>
      </c>
      <c r="B447" s="10" t="s">
        <v>1196</v>
      </c>
      <c r="C447" s="41" t="s">
        <v>482</v>
      </c>
      <c r="D447" s="11">
        <v>3539.08</v>
      </c>
      <c r="E447" s="10" t="s">
        <v>447</v>
      </c>
      <c r="F447" s="10" t="s">
        <v>436</v>
      </c>
    </row>
    <row r="448" spans="1:6" hidden="1">
      <c r="A448" s="10" t="s">
        <v>1112</v>
      </c>
      <c r="B448" s="10" t="s">
        <v>462</v>
      </c>
      <c r="C448" s="41" t="s">
        <v>462</v>
      </c>
      <c r="D448" s="11">
        <v>3533.82</v>
      </c>
      <c r="E448" s="10" t="s">
        <v>447</v>
      </c>
      <c r="F448" s="10" t="s">
        <v>471</v>
      </c>
    </row>
    <row r="449" spans="1:6" hidden="1">
      <c r="A449" s="10" t="s">
        <v>1123</v>
      </c>
      <c r="B449" s="10" t="s">
        <v>1197</v>
      </c>
      <c r="C449" s="41" t="s">
        <v>482</v>
      </c>
      <c r="D449" s="11">
        <v>3503.91</v>
      </c>
      <c r="E449" s="10" t="s">
        <v>447</v>
      </c>
      <c r="F449" s="10" t="s">
        <v>436</v>
      </c>
    </row>
    <row r="450" spans="1:6" hidden="1">
      <c r="A450" s="10" t="s">
        <v>1198</v>
      </c>
      <c r="B450" s="10" t="s">
        <v>458</v>
      </c>
      <c r="C450" s="41" t="s">
        <v>458</v>
      </c>
      <c r="D450" s="11">
        <v>3502.39</v>
      </c>
      <c r="E450" s="10" t="s">
        <v>447</v>
      </c>
      <c r="F450" s="10" t="s">
        <v>436</v>
      </c>
    </row>
    <row r="451" spans="1:6" hidden="1">
      <c r="A451" s="10" t="s">
        <v>1156</v>
      </c>
      <c r="B451" s="10" t="s">
        <v>1010</v>
      </c>
      <c r="C451" s="41" t="s">
        <v>446</v>
      </c>
      <c r="D451" s="11">
        <v>3496.6</v>
      </c>
      <c r="E451" s="10" t="s">
        <v>447</v>
      </c>
      <c r="F451" s="10" t="s">
        <v>436</v>
      </c>
    </row>
    <row r="452" spans="1:6" hidden="1">
      <c r="A452" s="10" t="s">
        <v>1060</v>
      </c>
      <c r="B452" s="10" t="s">
        <v>1199</v>
      </c>
      <c r="C452" s="41" t="s">
        <v>466</v>
      </c>
      <c r="D452" s="11">
        <v>3458.61</v>
      </c>
      <c r="E452" s="10" t="s">
        <v>447</v>
      </c>
      <c r="F452" s="10" t="s">
        <v>436</v>
      </c>
    </row>
    <row r="453" spans="1:6" hidden="1">
      <c r="A453" s="10" t="s">
        <v>1200</v>
      </c>
      <c r="B453" s="10" t="s">
        <v>1201</v>
      </c>
      <c r="C453" s="41" t="s">
        <v>475</v>
      </c>
      <c r="D453" s="11">
        <v>3458.4</v>
      </c>
      <c r="E453" s="10" t="s">
        <v>447</v>
      </c>
      <c r="F453" s="10" t="s">
        <v>471</v>
      </c>
    </row>
    <row r="454" spans="1:6" hidden="1">
      <c r="A454" s="10" t="s">
        <v>1193</v>
      </c>
      <c r="B454" s="10" t="s">
        <v>851</v>
      </c>
      <c r="C454" s="41" t="s">
        <v>446</v>
      </c>
      <c r="D454" s="11">
        <v>3452.35</v>
      </c>
      <c r="E454" s="10" t="s">
        <v>447</v>
      </c>
      <c r="F454" s="10" t="s">
        <v>436</v>
      </c>
    </row>
    <row r="455" spans="1:6" hidden="1">
      <c r="A455" s="10" t="s">
        <v>1202</v>
      </c>
      <c r="B455" s="10" t="s">
        <v>752</v>
      </c>
      <c r="C455" s="41" t="s">
        <v>225</v>
      </c>
      <c r="D455" s="11">
        <v>3439.85</v>
      </c>
      <c r="E455" s="10" t="s">
        <v>435</v>
      </c>
      <c r="F455" s="10" t="s">
        <v>441</v>
      </c>
    </row>
    <row r="456" spans="1:6" hidden="1">
      <c r="A456" s="10" t="s">
        <v>1203</v>
      </c>
      <c r="B456" s="10" t="s">
        <v>1204</v>
      </c>
      <c r="C456" s="41" t="s">
        <v>564</v>
      </c>
      <c r="D456" s="11">
        <v>3342.9</v>
      </c>
      <c r="E456" s="10" t="s">
        <v>540</v>
      </c>
      <c r="F456" s="10" t="s">
        <v>471</v>
      </c>
    </row>
    <row r="457" spans="1:6" hidden="1">
      <c r="A457" s="10" t="s">
        <v>1205</v>
      </c>
      <c r="B457" s="10" t="s">
        <v>1206</v>
      </c>
      <c r="C457" s="41" t="s">
        <v>545</v>
      </c>
      <c r="D457" s="11">
        <v>3341.91</v>
      </c>
      <c r="E457" s="10" t="s">
        <v>447</v>
      </c>
      <c r="F457" s="10" t="s">
        <v>471</v>
      </c>
    </row>
    <row r="458" spans="1:6" hidden="1">
      <c r="A458" s="10" t="s">
        <v>1207</v>
      </c>
      <c r="B458" s="10" t="s">
        <v>375</v>
      </c>
      <c r="C458" s="41" t="s">
        <v>375</v>
      </c>
      <c r="D458" s="11">
        <v>3318.93</v>
      </c>
      <c r="E458" s="10" t="s">
        <v>435</v>
      </c>
      <c r="F458" s="10" t="s">
        <v>436</v>
      </c>
    </row>
    <row r="459" spans="1:6" hidden="1">
      <c r="A459" s="10" t="s">
        <v>1003</v>
      </c>
      <c r="B459" s="10" t="s">
        <v>878</v>
      </c>
      <c r="C459" s="41" t="s">
        <v>469</v>
      </c>
      <c r="D459" s="11">
        <v>3308.51</v>
      </c>
      <c r="E459" s="10" t="s">
        <v>447</v>
      </c>
      <c r="F459" s="10" t="s">
        <v>436</v>
      </c>
    </row>
    <row r="460" spans="1:6" hidden="1">
      <c r="A460" s="10" t="s">
        <v>1208</v>
      </c>
      <c r="B460" s="10" t="s">
        <v>1209</v>
      </c>
      <c r="C460" s="41" t="s">
        <v>151</v>
      </c>
      <c r="D460" s="11">
        <v>3283.49</v>
      </c>
      <c r="E460" s="10" t="s">
        <v>447</v>
      </c>
      <c r="F460" s="10" t="s">
        <v>436</v>
      </c>
    </row>
    <row r="461" spans="1:6" hidden="1">
      <c r="A461" s="10" t="s">
        <v>1210</v>
      </c>
      <c r="B461" s="10" t="s">
        <v>151</v>
      </c>
      <c r="C461" s="41" t="s">
        <v>151</v>
      </c>
      <c r="D461" s="11">
        <v>3268.9</v>
      </c>
      <c r="E461" s="10" t="s">
        <v>447</v>
      </c>
      <c r="F461" s="10" t="s">
        <v>436</v>
      </c>
    </row>
    <row r="462" spans="1:6" hidden="1">
      <c r="A462" s="10" t="s">
        <v>791</v>
      </c>
      <c r="B462" s="10" t="s">
        <v>890</v>
      </c>
      <c r="C462" s="41" t="s">
        <v>475</v>
      </c>
      <c r="D462" s="11">
        <v>3260.65</v>
      </c>
      <c r="E462" s="10" t="s">
        <v>447</v>
      </c>
      <c r="F462" s="10" t="s">
        <v>471</v>
      </c>
    </row>
    <row r="463" spans="1:6" hidden="1">
      <c r="A463" s="10" t="s">
        <v>1211</v>
      </c>
      <c r="B463" s="10" t="s">
        <v>548</v>
      </c>
      <c r="C463" s="41" t="s">
        <v>548</v>
      </c>
      <c r="D463" s="11">
        <v>3235.08</v>
      </c>
      <c r="E463" s="10" t="s">
        <v>447</v>
      </c>
      <c r="F463" s="10" t="s">
        <v>471</v>
      </c>
    </row>
    <row r="464" spans="1:6" hidden="1">
      <c r="A464" s="10" t="s">
        <v>1212</v>
      </c>
      <c r="B464" s="10" t="s">
        <v>1213</v>
      </c>
      <c r="C464" s="41" t="s">
        <v>515</v>
      </c>
      <c r="D464" s="11">
        <v>3204.48</v>
      </c>
      <c r="E464" s="10" t="s">
        <v>447</v>
      </c>
      <c r="F464" s="10" t="s">
        <v>441</v>
      </c>
    </row>
    <row r="465" spans="1:6" hidden="1">
      <c r="A465" s="10" t="s">
        <v>1214</v>
      </c>
      <c r="B465" s="10" t="s">
        <v>789</v>
      </c>
      <c r="C465" s="41" t="s">
        <v>462</v>
      </c>
      <c r="D465" s="11">
        <v>3197.34</v>
      </c>
      <c r="E465" s="10" t="s">
        <v>435</v>
      </c>
      <c r="F465" s="10" t="s">
        <v>441</v>
      </c>
    </row>
    <row r="466" spans="1:6" hidden="1">
      <c r="A466" s="10" t="s">
        <v>1215</v>
      </c>
      <c r="B466" s="10" t="s">
        <v>151</v>
      </c>
      <c r="C466" s="41" t="s">
        <v>151</v>
      </c>
      <c r="D466" s="11">
        <v>3195.15</v>
      </c>
      <c r="E466" s="10" t="s">
        <v>447</v>
      </c>
      <c r="F466" s="10" t="s">
        <v>436</v>
      </c>
    </row>
    <row r="467" spans="1:6" hidden="1">
      <c r="A467" s="10" t="s">
        <v>1216</v>
      </c>
      <c r="B467" s="10" t="s">
        <v>1071</v>
      </c>
      <c r="C467" s="41" t="s">
        <v>462</v>
      </c>
      <c r="D467" s="11">
        <v>3189.68</v>
      </c>
      <c r="E467" s="10" t="s">
        <v>447</v>
      </c>
      <c r="F467" s="10" t="s">
        <v>441</v>
      </c>
    </row>
    <row r="468" spans="1:6" hidden="1">
      <c r="A468" s="10" t="s">
        <v>1217</v>
      </c>
      <c r="B468" s="10" t="s">
        <v>1005</v>
      </c>
      <c r="C468" s="41" t="s">
        <v>469</v>
      </c>
      <c r="D468" s="11">
        <v>3159</v>
      </c>
      <c r="E468" s="10" t="s">
        <v>447</v>
      </c>
      <c r="F468" s="10" t="s">
        <v>436</v>
      </c>
    </row>
    <row r="469" spans="1:6" hidden="1">
      <c r="A469" s="10" t="s">
        <v>966</v>
      </c>
      <c r="B469" s="10" t="s">
        <v>1218</v>
      </c>
      <c r="C469" s="41" t="s">
        <v>525</v>
      </c>
      <c r="D469" s="11">
        <v>3157.31</v>
      </c>
      <c r="E469" s="10" t="s">
        <v>447</v>
      </c>
      <c r="F469" s="10" t="s">
        <v>471</v>
      </c>
    </row>
    <row r="470" spans="1:6" hidden="1">
      <c r="A470" s="10" t="s">
        <v>1219</v>
      </c>
      <c r="B470" s="10" t="s">
        <v>989</v>
      </c>
      <c r="C470" s="41" t="s">
        <v>151</v>
      </c>
      <c r="D470" s="11">
        <v>3086.7</v>
      </c>
      <c r="E470" s="10" t="s">
        <v>447</v>
      </c>
      <c r="F470" s="10" t="s">
        <v>436</v>
      </c>
    </row>
    <row r="471" spans="1:6" hidden="1">
      <c r="A471" s="10" t="s">
        <v>1039</v>
      </c>
      <c r="B471" s="10" t="s">
        <v>758</v>
      </c>
      <c r="C471" s="41" t="s">
        <v>475</v>
      </c>
      <c r="D471" s="11">
        <v>3057.04</v>
      </c>
      <c r="E471" s="10" t="s">
        <v>447</v>
      </c>
      <c r="F471" s="10" t="s">
        <v>441</v>
      </c>
    </row>
    <row r="472" spans="1:6" hidden="1">
      <c r="A472" s="10" t="s">
        <v>1220</v>
      </c>
      <c r="B472" s="10" t="s">
        <v>1221</v>
      </c>
      <c r="C472" s="41" t="s">
        <v>553</v>
      </c>
      <c r="D472" s="11">
        <v>3047.08</v>
      </c>
      <c r="E472" s="10" t="s">
        <v>447</v>
      </c>
      <c r="F472" s="10" t="s">
        <v>471</v>
      </c>
    </row>
    <row r="473" spans="1:6" hidden="1">
      <c r="A473" s="10" t="s">
        <v>1006</v>
      </c>
      <c r="B473" s="10" t="s">
        <v>512</v>
      </c>
      <c r="C473" s="41" t="s">
        <v>512</v>
      </c>
      <c r="D473" s="11">
        <v>3043.74</v>
      </c>
      <c r="E473" s="10" t="s">
        <v>435</v>
      </c>
      <c r="F473" s="10" t="s">
        <v>441</v>
      </c>
    </row>
    <row r="474" spans="1:6" hidden="1">
      <c r="A474" s="10" t="s">
        <v>1222</v>
      </c>
      <c r="B474" s="10" t="s">
        <v>538</v>
      </c>
      <c r="C474" s="41" t="s">
        <v>538</v>
      </c>
      <c r="D474" s="11">
        <v>3011.69</v>
      </c>
      <c r="E474" s="10" t="s">
        <v>447</v>
      </c>
      <c r="F474" s="10" t="s">
        <v>471</v>
      </c>
    </row>
    <row r="475" spans="1:6" hidden="1">
      <c r="A475" s="10" t="s">
        <v>1187</v>
      </c>
      <c r="B475" s="10" t="s">
        <v>533</v>
      </c>
      <c r="C475" s="41" t="s">
        <v>533</v>
      </c>
      <c r="D475" s="11">
        <v>3003.3</v>
      </c>
      <c r="E475" s="10" t="s">
        <v>447</v>
      </c>
      <c r="F475" s="10" t="s">
        <v>471</v>
      </c>
    </row>
    <row r="476" spans="1:6" hidden="1">
      <c r="A476" s="10" t="s">
        <v>1223</v>
      </c>
      <c r="B476" s="10" t="s">
        <v>1224</v>
      </c>
      <c r="C476" s="41" t="s">
        <v>469</v>
      </c>
      <c r="D476" s="11">
        <v>2997.3</v>
      </c>
      <c r="E476" s="10" t="s">
        <v>435</v>
      </c>
      <c r="F476" s="10" t="s">
        <v>441</v>
      </c>
    </row>
    <row r="477" spans="1:6" hidden="1">
      <c r="A477" s="10" t="s">
        <v>1058</v>
      </c>
      <c r="B477" s="10" t="s">
        <v>375</v>
      </c>
      <c r="C477" s="41" t="s">
        <v>375</v>
      </c>
      <c r="D477" s="11">
        <v>2989.54</v>
      </c>
      <c r="E477" s="10" t="s">
        <v>435</v>
      </c>
      <c r="F477" s="10" t="s">
        <v>436</v>
      </c>
    </row>
    <row r="478" spans="1:6" hidden="1">
      <c r="A478" s="10" t="s">
        <v>1225</v>
      </c>
      <c r="B478" s="10" t="s">
        <v>1226</v>
      </c>
      <c r="C478" s="41" t="s">
        <v>548</v>
      </c>
      <c r="D478" s="11">
        <v>2983.28</v>
      </c>
      <c r="E478" s="10" t="s">
        <v>447</v>
      </c>
      <c r="F478" s="10" t="s">
        <v>471</v>
      </c>
    </row>
    <row r="479" spans="1:6" hidden="1">
      <c r="A479" s="10" t="s">
        <v>1227</v>
      </c>
      <c r="B479" s="10" t="s">
        <v>462</v>
      </c>
      <c r="C479" s="41" t="s">
        <v>462</v>
      </c>
      <c r="D479" s="11">
        <v>2971.71</v>
      </c>
      <c r="E479" s="10" t="s">
        <v>447</v>
      </c>
      <c r="F479" s="10" t="s">
        <v>471</v>
      </c>
    </row>
    <row r="480" spans="1:6" hidden="1">
      <c r="A480" s="10" t="s">
        <v>1228</v>
      </c>
      <c r="B480" s="10" t="s">
        <v>556</v>
      </c>
      <c r="C480" s="41" t="s">
        <v>556</v>
      </c>
      <c r="D480" s="11">
        <v>2929.06</v>
      </c>
      <c r="E480" s="10" t="s">
        <v>447</v>
      </c>
      <c r="F480" s="10" t="s">
        <v>471</v>
      </c>
    </row>
    <row r="481" spans="1:6" hidden="1">
      <c r="A481" s="10" t="s">
        <v>1229</v>
      </c>
      <c r="B481" s="10" t="s">
        <v>458</v>
      </c>
      <c r="C481" s="41" t="s">
        <v>458</v>
      </c>
      <c r="D481" s="11">
        <v>2894</v>
      </c>
      <c r="E481" s="10" t="s">
        <v>447</v>
      </c>
      <c r="F481" s="10" t="s">
        <v>436</v>
      </c>
    </row>
    <row r="482" spans="1:6" hidden="1">
      <c r="A482" s="10" t="s">
        <v>1088</v>
      </c>
      <c r="B482" s="10" t="s">
        <v>1035</v>
      </c>
      <c r="C482" s="41" t="s">
        <v>470</v>
      </c>
      <c r="D482" s="11">
        <v>2832.97</v>
      </c>
      <c r="E482" s="10" t="s">
        <v>435</v>
      </c>
      <c r="F482" s="10" t="s">
        <v>471</v>
      </c>
    </row>
    <row r="483" spans="1:6" hidden="1">
      <c r="A483" s="10" t="s">
        <v>1227</v>
      </c>
      <c r="B483" s="10" t="s">
        <v>1113</v>
      </c>
      <c r="C483" s="41" t="s">
        <v>462</v>
      </c>
      <c r="D483" s="11">
        <v>2828.18</v>
      </c>
      <c r="E483" s="10" t="s">
        <v>447</v>
      </c>
      <c r="F483" s="10" t="s">
        <v>471</v>
      </c>
    </row>
    <row r="484" spans="1:6" hidden="1">
      <c r="A484" s="10" t="s">
        <v>1228</v>
      </c>
      <c r="B484" s="10" t="s">
        <v>1230</v>
      </c>
      <c r="C484" s="41" t="s">
        <v>556</v>
      </c>
      <c r="D484" s="11">
        <v>2807.54</v>
      </c>
      <c r="E484" s="10" t="s">
        <v>447</v>
      </c>
      <c r="F484" s="10" t="s">
        <v>471</v>
      </c>
    </row>
    <row r="485" spans="1:6" hidden="1">
      <c r="A485" s="10" t="s">
        <v>1231</v>
      </c>
      <c r="B485" s="10" t="s">
        <v>890</v>
      </c>
      <c r="C485" s="41" t="s">
        <v>475</v>
      </c>
      <c r="D485" s="11">
        <v>2800.16</v>
      </c>
      <c r="E485" s="10" t="s">
        <v>447</v>
      </c>
      <c r="F485" s="10" t="s">
        <v>471</v>
      </c>
    </row>
    <row r="486" spans="1:6" hidden="1">
      <c r="A486" s="10" t="s">
        <v>940</v>
      </c>
      <c r="B486" s="10" t="s">
        <v>851</v>
      </c>
      <c r="C486" s="41" t="s">
        <v>446</v>
      </c>
      <c r="D486" s="11">
        <v>2762.45</v>
      </c>
      <c r="E486" s="10" t="s">
        <v>447</v>
      </c>
      <c r="F486" s="10" t="s">
        <v>436</v>
      </c>
    </row>
    <row r="487" spans="1:6" hidden="1">
      <c r="A487" s="10" t="s">
        <v>1110</v>
      </c>
      <c r="B487" s="10" t="s">
        <v>1232</v>
      </c>
      <c r="C487" s="41" t="s">
        <v>533</v>
      </c>
      <c r="D487" s="11">
        <v>2728.94</v>
      </c>
      <c r="E487" s="10" t="s">
        <v>447</v>
      </c>
      <c r="F487" s="10" t="s">
        <v>471</v>
      </c>
    </row>
    <row r="488" spans="1:6" hidden="1">
      <c r="A488" s="10" t="s">
        <v>1233</v>
      </c>
      <c r="B488" s="10" t="s">
        <v>1234</v>
      </c>
      <c r="C488" s="41" t="s">
        <v>491</v>
      </c>
      <c r="D488" s="11">
        <v>2706.91</v>
      </c>
      <c r="E488" s="10" t="s">
        <v>447</v>
      </c>
      <c r="F488" s="10" t="s">
        <v>471</v>
      </c>
    </row>
    <row r="489" spans="1:6" hidden="1">
      <c r="A489" s="10" t="s">
        <v>1235</v>
      </c>
      <c r="B489" s="10" t="s">
        <v>1236</v>
      </c>
      <c r="C489" s="41" t="s">
        <v>225</v>
      </c>
      <c r="D489" s="11">
        <v>2689.33</v>
      </c>
      <c r="E489" s="10" t="s">
        <v>435</v>
      </c>
      <c r="F489" s="10" t="s">
        <v>436</v>
      </c>
    </row>
    <row r="490" spans="1:6" hidden="1">
      <c r="A490" s="10" t="s">
        <v>1161</v>
      </c>
      <c r="B490" s="10" t="s">
        <v>1237</v>
      </c>
      <c r="C490" s="41" t="s">
        <v>544</v>
      </c>
      <c r="D490" s="11">
        <v>2679.33</v>
      </c>
      <c r="E490" s="10" t="s">
        <v>447</v>
      </c>
      <c r="F490" s="10" t="s">
        <v>471</v>
      </c>
    </row>
    <row r="491" spans="1:6" hidden="1">
      <c r="A491" s="10" t="s">
        <v>1041</v>
      </c>
      <c r="B491" s="10" t="s">
        <v>1238</v>
      </c>
      <c r="C491" s="41" t="s">
        <v>544</v>
      </c>
      <c r="D491" s="11">
        <v>2659.11</v>
      </c>
      <c r="E491" s="10" t="s">
        <v>447</v>
      </c>
      <c r="F491" s="10" t="s">
        <v>471</v>
      </c>
    </row>
    <row r="492" spans="1:6" hidden="1">
      <c r="A492" s="10" t="s">
        <v>1239</v>
      </c>
      <c r="B492" s="10" t="s">
        <v>458</v>
      </c>
      <c r="C492" s="41" t="s">
        <v>458</v>
      </c>
      <c r="D492" s="11">
        <v>2651.81</v>
      </c>
      <c r="E492" s="10" t="s">
        <v>447</v>
      </c>
      <c r="F492" s="10" t="s">
        <v>436</v>
      </c>
    </row>
    <row r="493" spans="1:6" hidden="1">
      <c r="A493" s="10" t="s">
        <v>1108</v>
      </c>
      <c r="B493" s="10" t="s">
        <v>823</v>
      </c>
      <c r="C493" s="41" t="s">
        <v>151</v>
      </c>
      <c r="D493" s="11">
        <v>2601.77</v>
      </c>
      <c r="E493" s="10" t="s">
        <v>447</v>
      </c>
      <c r="F493" s="10" t="s">
        <v>436</v>
      </c>
    </row>
    <row r="494" spans="1:6" hidden="1">
      <c r="A494" s="10" t="s">
        <v>1240</v>
      </c>
      <c r="B494" s="10" t="s">
        <v>515</v>
      </c>
      <c r="C494" s="41" t="s">
        <v>515</v>
      </c>
      <c r="D494" s="11">
        <v>2596.77</v>
      </c>
      <c r="E494" s="10" t="s">
        <v>540</v>
      </c>
      <c r="F494" s="10" t="s">
        <v>436</v>
      </c>
    </row>
    <row r="495" spans="1:6" hidden="1">
      <c r="A495" s="10" t="s">
        <v>1241</v>
      </c>
      <c r="B495" s="10" t="s">
        <v>854</v>
      </c>
      <c r="C495" s="41" t="s">
        <v>475</v>
      </c>
      <c r="D495" s="11">
        <v>2595.52</v>
      </c>
      <c r="E495" s="10" t="s">
        <v>447</v>
      </c>
      <c r="F495" s="10" t="s">
        <v>441</v>
      </c>
    </row>
    <row r="496" spans="1:6" hidden="1">
      <c r="A496" s="10" t="s">
        <v>830</v>
      </c>
      <c r="B496" s="10" t="s">
        <v>1242</v>
      </c>
      <c r="C496" s="41" t="s">
        <v>462</v>
      </c>
      <c r="D496" s="11">
        <v>2554.9699999999998</v>
      </c>
      <c r="E496" s="10" t="s">
        <v>447</v>
      </c>
      <c r="F496" s="10" t="s">
        <v>441</v>
      </c>
    </row>
    <row r="497" spans="1:6" hidden="1">
      <c r="A497" s="10" t="s">
        <v>1243</v>
      </c>
      <c r="B497" s="10" t="s">
        <v>1244</v>
      </c>
      <c r="C497" s="41" t="s">
        <v>533</v>
      </c>
      <c r="D497" s="11">
        <v>2532.98</v>
      </c>
      <c r="E497" s="10" t="s">
        <v>447</v>
      </c>
      <c r="F497" s="10" t="s">
        <v>471</v>
      </c>
    </row>
    <row r="498" spans="1:6" hidden="1">
      <c r="A498" s="10" t="s">
        <v>1245</v>
      </c>
      <c r="B498" s="10" t="s">
        <v>533</v>
      </c>
      <c r="C498" s="41" t="s">
        <v>533</v>
      </c>
      <c r="D498" s="11">
        <v>2511.39</v>
      </c>
      <c r="E498" s="10" t="s">
        <v>447</v>
      </c>
      <c r="F498" s="10" t="s">
        <v>471</v>
      </c>
    </row>
    <row r="499" spans="1:6" hidden="1">
      <c r="A499" s="10" t="s">
        <v>1246</v>
      </c>
      <c r="B499" s="10" t="s">
        <v>1247</v>
      </c>
      <c r="C499" s="41" t="s">
        <v>539</v>
      </c>
      <c r="D499" s="11">
        <v>2483.34</v>
      </c>
      <c r="E499" s="10" t="s">
        <v>502</v>
      </c>
      <c r="F499" s="10" t="s">
        <v>471</v>
      </c>
    </row>
    <row r="500" spans="1:6" hidden="1">
      <c r="A500" s="10" t="s">
        <v>1248</v>
      </c>
      <c r="B500" s="10" t="s">
        <v>1249</v>
      </c>
      <c r="C500" s="41" t="s">
        <v>534</v>
      </c>
      <c r="D500" s="11">
        <v>2473.04</v>
      </c>
      <c r="E500" s="10" t="s">
        <v>540</v>
      </c>
      <c r="F500" s="10" t="s">
        <v>471</v>
      </c>
    </row>
    <row r="501" spans="1:6" hidden="1">
      <c r="A501" s="10" t="s">
        <v>1250</v>
      </c>
      <c r="B501" s="10" t="s">
        <v>1251</v>
      </c>
      <c r="C501" s="41" t="s">
        <v>457</v>
      </c>
      <c r="D501" s="11">
        <v>2469.34</v>
      </c>
      <c r="E501" s="10" t="s">
        <v>447</v>
      </c>
      <c r="F501" s="10" t="s">
        <v>441</v>
      </c>
    </row>
    <row r="502" spans="1:6">
      <c r="A502" s="10" t="s">
        <v>1252</v>
      </c>
      <c r="B502" s="10" t="s">
        <v>691</v>
      </c>
      <c r="C502" s="41" t="s">
        <v>213</v>
      </c>
      <c r="D502" s="11">
        <v>2434.25</v>
      </c>
      <c r="E502" s="10" t="s">
        <v>447</v>
      </c>
      <c r="F502" s="10" t="s">
        <v>436</v>
      </c>
    </row>
    <row r="503" spans="1:6" hidden="1">
      <c r="A503" s="10" t="s">
        <v>1253</v>
      </c>
      <c r="B503" s="10" t="s">
        <v>1254</v>
      </c>
      <c r="C503" s="41" t="s">
        <v>478</v>
      </c>
      <c r="D503" s="11">
        <v>2430.71</v>
      </c>
      <c r="E503" s="10" t="s">
        <v>435</v>
      </c>
      <c r="F503" s="10" t="s">
        <v>441</v>
      </c>
    </row>
    <row r="504" spans="1:6" hidden="1">
      <c r="A504" s="10" t="s">
        <v>1136</v>
      </c>
      <c r="B504" s="10" t="s">
        <v>1255</v>
      </c>
      <c r="C504" s="41" t="s">
        <v>532</v>
      </c>
      <c r="D504" s="11">
        <v>2283.02</v>
      </c>
      <c r="E504" s="10" t="s">
        <v>540</v>
      </c>
      <c r="F504" s="10" t="s">
        <v>471</v>
      </c>
    </row>
    <row r="505" spans="1:6" hidden="1">
      <c r="A505" s="10" t="s">
        <v>1256</v>
      </c>
      <c r="B505" s="10" t="s">
        <v>446</v>
      </c>
      <c r="C505" s="41" t="s">
        <v>446</v>
      </c>
      <c r="D505" s="11">
        <v>2269.7800000000002</v>
      </c>
      <c r="E505" s="10" t="s">
        <v>447</v>
      </c>
      <c r="F505" s="10" t="s">
        <v>436</v>
      </c>
    </row>
    <row r="506" spans="1:6" hidden="1">
      <c r="A506" s="10" t="s">
        <v>1219</v>
      </c>
      <c r="B506" s="10" t="s">
        <v>151</v>
      </c>
      <c r="C506" s="41" t="s">
        <v>151</v>
      </c>
      <c r="D506" s="11">
        <v>2255.83</v>
      </c>
      <c r="E506" s="10" t="s">
        <v>447</v>
      </c>
      <c r="F506" s="10" t="s">
        <v>436</v>
      </c>
    </row>
    <row r="507" spans="1:6" hidden="1">
      <c r="A507" s="10" t="s">
        <v>1257</v>
      </c>
      <c r="B507" s="10" t="s">
        <v>1258</v>
      </c>
      <c r="C507" s="41" t="s">
        <v>474</v>
      </c>
      <c r="D507" s="11">
        <v>2251.54</v>
      </c>
      <c r="E507" s="10" t="s">
        <v>447</v>
      </c>
      <c r="F507" s="10" t="s">
        <v>471</v>
      </c>
    </row>
    <row r="508" spans="1:6" hidden="1">
      <c r="A508" s="10" t="s">
        <v>1259</v>
      </c>
      <c r="B508" s="10" t="s">
        <v>994</v>
      </c>
      <c r="C508" s="41" t="s">
        <v>225</v>
      </c>
      <c r="D508" s="11">
        <v>2250.81</v>
      </c>
      <c r="E508" s="10" t="s">
        <v>435</v>
      </c>
      <c r="F508" s="10" t="s">
        <v>441</v>
      </c>
    </row>
    <row r="509" spans="1:6" hidden="1">
      <c r="A509" s="10" t="s">
        <v>1260</v>
      </c>
      <c r="B509" s="10" t="s">
        <v>1261</v>
      </c>
      <c r="C509" s="41" t="s">
        <v>173</v>
      </c>
      <c r="D509" s="11">
        <v>2250.4899999999998</v>
      </c>
      <c r="E509" s="10" t="s">
        <v>447</v>
      </c>
      <c r="F509" s="10" t="s">
        <v>471</v>
      </c>
    </row>
    <row r="510" spans="1:6" hidden="1">
      <c r="A510" s="10" t="s">
        <v>1262</v>
      </c>
      <c r="B510" s="10" t="s">
        <v>1263</v>
      </c>
      <c r="C510" s="41" t="s">
        <v>475</v>
      </c>
      <c r="D510" s="11">
        <v>2241.11</v>
      </c>
      <c r="E510" s="10" t="s">
        <v>447</v>
      </c>
      <c r="F510" s="10" t="s">
        <v>441</v>
      </c>
    </row>
    <row r="511" spans="1:6" hidden="1">
      <c r="A511" s="10" t="s">
        <v>1264</v>
      </c>
      <c r="B511" s="10" t="s">
        <v>1017</v>
      </c>
      <c r="C511" s="41" t="s">
        <v>546</v>
      </c>
      <c r="D511" s="11">
        <v>2237.25</v>
      </c>
      <c r="E511" s="10" t="s">
        <v>447</v>
      </c>
      <c r="F511" s="10" t="s">
        <v>471</v>
      </c>
    </row>
    <row r="512" spans="1:6" hidden="1">
      <c r="A512" s="10" t="s">
        <v>1265</v>
      </c>
      <c r="B512" s="10" t="s">
        <v>1266</v>
      </c>
      <c r="C512" s="41" t="s">
        <v>500</v>
      </c>
      <c r="D512" s="11">
        <v>2229.6999999999998</v>
      </c>
      <c r="E512" s="10" t="s">
        <v>447</v>
      </c>
      <c r="F512" s="10" t="s">
        <v>471</v>
      </c>
    </row>
    <row r="513" spans="1:6" hidden="1">
      <c r="A513" s="10" t="s">
        <v>1210</v>
      </c>
      <c r="B513" s="10" t="s">
        <v>1267</v>
      </c>
      <c r="C513" s="41" t="s">
        <v>151</v>
      </c>
      <c r="D513" s="11">
        <v>2184.8200000000002</v>
      </c>
      <c r="E513" s="10" t="s">
        <v>447</v>
      </c>
      <c r="F513" s="10" t="s">
        <v>436</v>
      </c>
    </row>
    <row r="514" spans="1:6" hidden="1">
      <c r="A514" s="10" t="s">
        <v>846</v>
      </c>
      <c r="B514" s="10" t="s">
        <v>1268</v>
      </c>
      <c r="C514" s="41" t="s">
        <v>151</v>
      </c>
      <c r="D514" s="11">
        <v>2152.5100000000002</v>
      </c>
      <c r="E514" s="10" t="s">
        <v>447</v>
      </c>
      <c r="F514" s="10" t="s">
        <v>436</v>
      </c>
    </row>
    <row r="515" spans="1:6" hidden="1">
      <c r="A515" s="10" t="s">
        <v>1269</v>
      </c>
      <c r="B515" s="10" t="s">
        <v>1270</v>
      </c>
      <c r="C515" s="41" t="s">
        <v>470</v>
      </c>
      <c r="D515" s="11">
        <v>2105.6</v>
      </c>
      <c r="E515" s="10" t="s">
        <v>447</v>
      </c>
      <c r="F515" s="10" t="s">
        <v>471</v>
      </c>
    </row>
    <row r="516" spans="1:6" hidden="1">
      <c r="A516" s="10" t="s">
        <v>866</v>
      </c>
      <c r="B516" s="10" t="s">
        <v>1271</v>
      </c>
      <c r="C516" s="41" t="s">
        <v>314</v>
      </c>
      <c r="D516" s="11">
        <v>2076.83</v>
      </c>
      <c r="E516" s="10" t="s">
        <v>447</v>
      </c>
      <c r="F516" s="10" t="s">
        <v>436</v>
      </c>
    </row>
    <row r="517" spans="1:6" hidden="1">
      <c r="A517" s="10" t="s">
        <v>1272</v>
      </c>
      <c r="B517" s="10" t="s">
        <v>1273</v>
      </c>
      <c r="C517" s="41" t="s">
        <v>530</v>
      </c>
      <c r="D517" s="11">
        <v>2062.6</v>
      </c>
      <c r="E517" s="10" t="s">
        <v>447</v>
      </c>
      <c r="F517" s="10" t="s">
        <v>441</v>
      </c>
    </row>
    <row r="518" spans="1:6" hidden="1">
      <c r="A518" s="10" t="s">
        <v>1274</v>
      </c>
      <c r="B518" s="10" t="s">
        <v>1275</v>
      </c>
      <c r="C518" s="41" t="s">
        <v>535</v>
      </c>
      <c r="D518" s="11">
        <v>2061.12</v>
      </c>
      <c r="E518" s="10" t="s">
        <v>447</v>
      </c>
      <c r="F518" s="10" t="s">
        <v>441</v>
      </c>
    </row>
    <row r="519" spans="1:6" hidden="1">
      <c r="A519" s="10" t="s">
        <v>815</v>
      </c>
      <c r="B519" s="10" t="s">
        <v>1276</v>
      </c>
      <c r="C519" s="41" t="s">
        <v>452</v>
      </c>
      <c r="D519" s="11">
        <v>2051.92</v>
      </c>
      <c r="E519" s="10" t="s">
        <v>447</v>
      </c>
      <c r="F519" s="10" t="s">
        <v>441</v>
      </c>
    </row>
    <row r="520" spans="1:6" hidden="1">
      <c r="A520" s="10" t="s">
        <v>1277</v>
      </c>
      <c r="B520" s="10" t="s">
        <v>1232</v>
      </c>
      <c r="C520" s="41" t="s">
        <v>533</v>
      </c>
      <c r="D520" s="11">
        <v>2035.4</v>
      </c>
      <c r="E520" s="10" t="s">
        <v>447</v>
      </c>
      <c r="F520" s="10" t="s">
        <v>471</v>
      </c>
    </row>
    <row r="521" spans="1:6" hidden="1">
      <c r="A521" s="10" t="s">
        <v>1278</v>
      </c>
      <c r="B521" s="10" t="s">
        <v>1279</v>
      </c>
      <c r="C521" s="41" t="s">
        <v>544</v>
      </c>
      <c r="D521" s="11">
        <v>2011.27</v>
      </c>
      <c r="E521" s="10" t="s">
        <v>447</v>
      </c>
      <c r="F521" s="10" t="s">
        <v>471</v>
      </c>
    </row>
    <row r="522" spans="1:6" hidden="1">
      <c r="A522" s="10" t="s">
        <v>1280</v>
      </c>
      <c r="B522" s="10" t="s">
        <v>1247</v>
      </c>
      <c r="C522" s="41" t="s">
        <v>539</v>
      </c>
      <c r="D522" s="11">
        <v>1988.81</v>
      </c>
      <c r="E522" s="10" t="s">
        <v>502</v>
      </c>
      <c r="F522" s="10" t="s">
        <v>471</v>
      </c>
    </row>
    <row r="523" spans="1:6" hidden="1">
      <c r="A523" s="10" t="s">
        <v>1281</v>
      </c>
      <c r="B523" s="10" t="s">
        <v>551</v>
      </c>
      <c r="C523" s="41" t="s">
        <v>551</v>
      </c>
      <c r="D523" s="11">
        <v>1988.23</v>
      </c>
      <c r="E523" s="10" t="s">
        <v>447</v>
      </c>
      <c r="F523" s="10" t="s">
        <v>471</v>
      </c>
    </row>
    <row r="524" spans="1:6" hidden="1">
      <c r="A524" s="10" t="s">
        <v>1282</v>
      </c>
      <c r="B524" s="10" t="s">
        <v>462</v>
      </c>
      <c r="C524" s="41" t="s">
        <v>462</v>
      </c>
      <c r="D524" s="11">
        <v>1961.34</v>
      </c>
      <c r="E524" s="10" t="s">
        <v>447</v>
      </c>
      <c r="F524" s="10" t="s">
        <v>441</v>
      </c>
    </row>
    <row r="525" spans="1:6" hidden="1">
      <c r="A525" s="10" t="s">
        <v>1283</v>
      </c>
      <c r="B525" s="10" t="s">
        <v>972</v>
      </c>
      <c r="C525" s="41" t="s">
        <v>546</v>
      </c>
      <c r="D525" s="11">
        <v>1957.59</v>
      </c>
      <c r="E525" s="10" t="s">
        <v>447</v>
      </c>
      <c r="F525" s="10" t="s">
        <v>471</v>
      </c>
    </row>
    <row r="526" spans="1:6" hidden="1">
      <c r="A526" s="10" t="s">
        <v>1034</v>
      </c>
      <c r="B526" s="10" t="s">
        <v>1284</v>
      </c>
      <c r="C526" s="41" t="s">
        <v>470</v>
      </c>
      <c r="D526" s="11">
        <v>1904.89</v>
      </c>
      <c r="E526" s="10" t="s">
        <v>435</v>
      </c>
      <c r="F526" s="10" t="s">
        <v>471</v>
      </c>
    </row>
    <row r="527" spans="1:6" hidden="1">
      <c r="A527" s="10" t="s">
        <v>874</v>
      </c>
      <c r="B527" s="10" t="s">
        <v>1285</v>
      </c>
      <c r="C527" s="41" t="s">
        <v>151</v>
      </c>
      <c r="D527" s="11">
        <v>1891.29</v>
      </c>
      <c r="E527" s="10" t="s">
        <v>447</v>
      </c>
      <c r="F527" s="10" t="s">
        <v>436</v>
      </c>
    </row>
    <row r="528" spans="1:6" hidden="1">
      <c r="A528" s="10" t="s">
        <v>1286</v>
      </c>
      <c r="B528" s="10" t="s">
        <v>1287</v>
      </c>
      <c r="C528" s="41" t="s">
        <v>464</v>
      </c>
      <c r="D528" s="11">
        <v>1834.13</v>
      </c>
      <c r="E528" s="10" t="s">
        <v>447</v>
      </c>
      <c r="F528" s="10" t="s">
        <v>436</v>
      </c>
    </row>
    <row r="529" spans="1:6" hidden="1">
      <c r="A529" s="10" t="s">
        <v>1288</v>
      </c>
      <c r="B529" s="10" t="s">
        <v>1289</v>
      </c>
      <c r="C529" s="41" t="s">
        <v>115</v>
      </c>
      <c r="D529" s="11">
        <v>1795.61</v>
      </c>
      <c r="E529" s="10" t="s">
        <v>435</v>
      </c>
      <c r="F529" s="10" t="s">
        <v>441</v>
      </c>
    </row>
    <row r="530" spans="1:6" hidden="1">
      <c r="A530" s="10" t="s">
        <v>1127</v>
      </c>
      <c r="B530" s="10" t="s">
        <v>499</v>
      </c>
      <c r="C530" s="41" t="s">
        <v>499</v>
      </c>
      <c r="D530" s="11">
        <v>1774.02</v>
      </c>
      <c r="E530" s="10" t="s">
        <v>447</v>
      </c>
      <c r="F530" s="10" t="s">
        <v>471</v>
      </c>
    </row>
    <row r="531" spans="1:6" hidden="1">
      <c r="A531" s="10" t="s">
        <v>1290</v>
      </c>
      <c r="B531" s="10" t="s">
        <v>1128</v>
      </c>
      <c r="C531" s="41" t="s">
        <v>499</v>
      </c>
      <c r="D531" s="11">
        <v>1773.71</v>
      </c>
      <c r="E531" s="10" t="s">
        <v>447</v>
      </c>
      <c r="F531" s="10" t="s">
        <v>471</v>
      </c>
    </row>
    <row r="532" spans="1:6" hidden="1">
      <c r="A532" s="10" t="s">
        <v>1058</v>
      </c>
      <c r="B532" s="10" t="s">
        <v>710</v>
      </c>
      <c r="C532" s="41" t="s">
        <v>375</v>
      </c>
      <c r="D532" s="11">
        <v>1743.9</v>
      </c>
      <c r="E532" s="10" t="s">
        <v>435</v>
      </c>
      <c r="F532" s="10" t="s">
        <v>436</v>
      </c>
    </row>
    <row r="533" spans="1:6" hidden="1">
      <c r="A533" s="10" t="s">
        <v>1291</v>
      </c>
      <c r="B533" s="10" t="s">
        <v>1167</v>
      </c>
      <c r="C533" s="41" t="s">
        <v>532</v>
      </c>
      <c r="D533" s="11">
        <v>1729.3</v>
      </c>
      <c r="E533" s="10" t="s">
        <v>540</v>
      </c>
      <c r="F533" s="10" t="s">
        <v>471</v>
      </c>
    </row>
    <row r="534" spans="1:6" hidden="1">
      <c r="A534" s="10" t="s">
        <v>1292</v>
      </c>
      <c r="B534" s="10" t="s">
        <v>1263</v>
      </c>
      <c r="C534" s="41" t="s">
        <v>475</v>
      </c>
      <c r="D534" s="11">
        <v>1726.18</v>
      </c>
      <c r="E534" s="10" t="s">
        <v>447</v>
      </c>
      <c r="F534" s="10" t="s">
        <v>441</v>
      </c>
    </row>
    <row r="535" spans="1:6" hidden="1">
      <c r="A535" s="10" t="s">
        <v>1293</v>
      </c>
      <c r="B535" s="10" t="s">
        <v>1294</v>
      </c>
      <c r="C535" s="41" t="s">
        <v>544</v>
      </c>
      <c r="D535" s="11">
        <v>1719.92</v>
      </c>
      <c r="E535" s="10" t="s">
        <v>447</v>
      </c>
      <c r="F535" s="10" t="s">
        <v>471</v>
      </c>
    </row>
    <row r="536" spans="1:6" hidden="1">
      <c r="A536" s="10" t="s">
        <v>1293</v>
      </c>
      <c r="B536" s="10" t="s">
        <v>1295</v>
      </c>
      <c r="C536" s="41" t="s">
        <v>544</v>
      </c>
      <c r="D536" s="11">
        <v>1719.92</v>
      </c>
      <c r="E536" s="10" t="s">
        <v>447</v>
      </c>
      <c r="F536" s="10" t="s">
        <v>471</v>
      </c>
    </row>
    <row r="537" spans="1:6" hidden="1">
      <c r="A537" s="10" t="s">
        <v>1205</v>
      </c>
      <c r="B537" s="10" t="s">
        <v>1296</v>
      </c>
      <c r="C537" s="41" t="s">
        <v>545</v>
      </c>
      <c r="D537" s="11">
        <v>1718.72</v>
      </c>
      <c r="E537" s="10" t="s">
        <v>447</v>
      </c>
      <c r="F537" s="10" t="s">
        <v>471</v>
      </c>
    </row>
    <row r="538" spans="1:6" hidden="1">
      <c r="A538" s="10" t="s">
        <v>1297</v>
      </c>
      <c r="B538" s="10" t="s">
        <v>530</v>
      </c>
      <c r="C538" s="41" t="s">
        <v>530</v>
      </c>
      <c r="D538" s="11">
        <v>1714.45</v>
      </c>
      <c r="E538" s="10" t="s">
        <v>447</v>
      </c>
      <c r="F538" s="10" t="s">
        <v>441</v>
      </c>
    </row>
    <row r="539" spans="1:6" hidden="1">
      <c r="A539" s="10" t="s">
        <v>1283</v>
      </c>
      <c r="B539" s="10" t="s">
        <v>546</v>
      </c>
      <c r="C539" s="41" t="s">
        <v>546</v>
      </c>
      <c r="D539" s="11">
        <v>1696.57</v>
      </c>
      <c r="E539" s="10" t="s">
        <v>447</v>
      </c>
      <c r="F539" s="10" t="s">
        <v>471</v>
      </c>
    </row>
    <row r="540" spans="1:6" hidden="1">
      <c r="A540" s="10" t="s">
        <v>1298</v>
      </c>
      <c r="B540" s="10" t="s">
        <v>1191</v>
      </c>
      <c r="C540" s="41" t="s">
        <v>466</v>
      </c>
      <c r="D540" s="11">
        <v>1690.27</v>
      </c>
      <c r="E540" s="10" t="s">
        <v>447</v>
      </c>
      <c r="F540" s="10" t="s">
        <v>436</v>
      </c>
    </row>
    <row r="541" spans="1:6" hidden="1">
      <c r="A541" s="10" t="s">
        <v>1299</v>
      </c>
      <c r="B541" s="10" t="s">
        <v>1300</v>
      </c>
      <c r="C541" s="41" t="s">
        <v>466</v>
      </c>
      <c r="D541" s="11">
        <v>1675.14</v>
      </c>
      <c r="E541" s="10" t="s">
        <v>447</v>
      </c>
      <c r="F541" s="10" t="s">
        <v>436</v>
      </c>
    </row>
    <row r="542" spans="1:6" hidden="1">
      <c r="A542" s="10" t="s">
        <v>1220</v>
      </c>
      <c r="B542" s="10" t="s">
        <v>553</v>
      </c>
      <c r="C542" s="41" t="s">
        <v>553</v>
      </c>
      <c r="D542" s="11">
        <v>1668.01</v>
      </c>
      <c r="E542" s="10" t="s">
        <v>447</v>
      </c>
      <c r="F542" s="10" t="s">
        <v>471</v>
      </c>
    </row>
    <row r="543" spans="1:6" hidden="1">
      <c r="A543" s="10" t="s">
        <v>1301</v>
      </c>
      <c r="B543" s="10" t="s">
        <v>933</v>
      </c>
      <c r="C543" s="41" t="s">
        <v>375</v>
      </c>
      <c r="D543" s="11">
        <v>1556.69</v>
      </c>
      <c r="E543" s="10" t="s">
        <v>435</v>
      </c>
      <c r="F543" s="10" t="s">
        <v>436</v>
      </c>
    </row>
    <row r="544" spans="1:6" hidden="1">
      <c r="A544" s="10" t="s">
        <v>1302</v>
      </c>
      <c r="B544" s="10" t="s">
        <v>1303</v>
      </c>
      <c r="C544" s="41" t="s">
        <v>539</v>
      </c>
      <c r="D544" s="11">
        <v>1546.68</v>
      </c>
      <c r="E544" s="10" t="s">
        <v>540</v>
      </c>
      <c r="F544" s="10" t="s">
        <v>471</v>
      </c>
    </row>
    <row r="545" spans="1:6" hidden="1">
      <c r="A545" s="10" t="s">
        <v>934</v>
      </c>
      <c r="B545" s="10" t="s">
        <v>1304</v>
      </c>
      <c r="C545" s="41" t="s">
        <v>534</v>
      </c>
      <c r="D545" s="11">
        <v>1484.86</v>
      </c>
      <c r="E545" s="10" t="s">
        <v>447</v>
      </c>
      <c r="F545" s="10" t="s">
        <v>441</v>
      </c>
    </row>
    <row r="546" spans="1:6" hidden="1">
      <c r="A546" s="10" t="s">
        <v>1305</v>
      </c>
      <c r="B546" s="10" t="s">
        <v>1306</v>
      </c>
      <c r="C546" s="41" t="s">
        <v>525</v>
      </c>
      <c r="D546" s="11">
        <v>1446.01</v>
      </c>
      <c r="E546" s="10" t="s">
        <v>447</v>
      </c>
      <c r="F546" s="10" t="s">
        <v>471</v>
      </c>
    </row>
    <row r="547" spans="1:6" hidden="1">
      <c r="A547" s="10" t="s">
        <v>1307</v>
      </c>
      <c r="B547" s="10" t="s">
        <v>1132</v>
      </c>
      <c r="C547" s="41" t="s">
        <v>466</v>
      </c>
      <c r="D547" s="11">
        <v>1390.32</v>
      </c>
      <c r="E547" s="10" t="s">
        <v>447</v>
      </c>
      <c r="F547" s="10" t="s">
        <v>436</v>
      </c>
    </row>
    <row r="548" spans="1:6" hidden="1">
      <c r="A548" s="10" t="s">
        <v>1308</v>
      </c>
      <c r="B548" s="10" t="s">
        <v>851</v>
      </c>
      <c r="C548" s="41" t="s">
        <v>446</v>
      </c>
      <c r="D548" s="11">
        <v>1386.55</v>
      </c>
      <c r="E548" s="10" t="s">
        <v>447</v>
      </c>
      <c r="F548" s="10" t="s">
        <v>436</v>
      </c>
    </row>
    <row r="549" spans="1:6" hidden="1">
      <c r="A549" s="10" t="s">
        <v>1309</v>
      </c>
      <c r="B549" s="10" t="s">
        <v>515</v>
      </c>
      <c r="C549" s="41" t="s">
        <v>515</v>
      </c>
      <c r="D549" s="11">
        <v>1351.86</v>
      </c>
      <c r="E549" s="10" t="s">
        <v>540</v>
      </c>
      <c r="F549" s="10" t="s">
        <v>436</v>
      </c>
    </row>
    <row r="550" spans="1:6" hidden="1">
      <c r="A550" s="10" t="s">
        <v>1310</v>
      </c>
      <c r="B550" s="10" t="s">
        <v>1311</v>
      </c>
      <c r="C550" s="41" t="s">
        <v>469</v>
      </c>
      <c r="D550" s="11">
        <v>1328.41</v>
      </c>
      <c r="E550" s="10" t="s">
        <v>447</v>
      </c>
      <c r="F550" s="10" t="s">
        <v>441</v>
      </c>
    </row>
    <row r="551" spans="1:6" hidden="1">
      <c r="A551" s="10" t="s">
        <v>1312</v>
      </c>
      <c r="B551" s="10" t="s">
        <v>963</v>
      </c>
      <c r="C551" s="41" t="s">
        <v>375</v>
      </c>
      <c r="D551" s="11">
        <v>1307.1400000000001</v>
      </c>
      <c r="E551" s="10" t="s">
        <v>435</v>
      </c>
      <c r="F551" s="10" t="s">
        <v>436</v>
      </c>
    </row>
    <row r="552" spans="1:6" hidden="1">
      <c r="A552" s="10" t="s">
        <v>1313</v>
      </c>
      <c r="B552" s="10" t="s">
        <v>1314</v>
      </c>
      <c r="C552" s="41" t="s">
        <v>151</v>
      </c>
      <c r="D552" s="11">
        <v>1304.22</v>
      </c>
      <c r="E552" s="10" t="s">
        <v>540</v>
      </c>
      <c r="F552" s="10" t="s">
        <v>471</v>
      </c>
    </row>
    <row r="553" spans="1:6" hidden="1">
      <c r="A553" s="10" t="s">
        <v>1310</v>
      </c>
      <c r="B553" s="10" t="s">
        <v>1315</v>
      </c>
      <c r="C553" s="41" t="s">
        <v>469</v>
      </c>
      <c r="D553" s="11">
        <v>1274.3699999999999</v>
      </c>
      <c r="E553" s="10" t="s">
        <v>447</v>
      </c>
      <c r="F553" s="10" t="s">
        <v>441</v>
      </c>
    </row>
    <row r="554" spans="1:6" hidden="1">
      <c r="A554" s="10" t="s">
        <v>1316</v>
      </c>
      <c r="B554" s="10" t="s">
        <v>931</v>
      </c>
      <c r="C554" s="41" t="s">
        <v>446</v>
      </c>
      <c r="D554" s="11">
        <v>1255.02</v>
      </c>
      <c r="E554" s="10" t="s">
        <v>447</v>
      </c>
      <c r="F554" s="10" t="s">
        <v>436</v>
      </c>
    </row>
    <row r="555" spans="1:6" hidden="1">
      <c r="A555" s="10" t="s">
        <v>1240</v>
      </c>
      <c r="B555" s="10" t="s">
        <v>1317</v>
      </c>
      <c r="C555" s="41" t="s">
        <v>515</v>
      </c>
      <c r="D555" s="11">
        <v>1245.8499999999999</v>
      </c>
      <c r="E555" s="10" t="s">
        <v>540</v>
      </c>
      <c r="F555" s="10" t="s">
        <v>436</v>
      </c>
    </row>
    <row r="556" spans="1:6" hidden="1">
      <c r="A556" s="10" t="s">
        <v>1318</v>
      </c>
      <c r="B556" s="10" t="s">
        <v>462</v>
      </c>
      <c r="C556" s="41" t="s">
        <v>462</v>
      </c>
      <c r="D556" s="11">
        <v>1233.3399999999999</v>
      </c>
      <c r="E556" s="10" t="s">
        <v>447</v>
      </c>
      <c r="F556" s="10" t="s">
        <v>441</v>
      </c>
    </row>
    <row r="557" spans="1:6" hidden="1">
      <c r="A557" s="10" t="s">
        <v>1319</v>
      </c>
      <c r="B557" s="10" t="s">
        <v>515</v>
      </c>
      <c r="C557" s="41" t="s">
        <v>515</v>
      </c>
      <c r="D557" s="11">
        <v>1224.79</v>
      </c>
      <c r="E557" s="10" t="s">
        <v>540</v>
      </c>
      <c r="F557" s="10" t="s">
        <v>436</v>
      </c>
    </row>
    <row r="558" spans="1:6" hidden="1">
      <c r="A558" s="10" t="s">
        <v>1320</v>
      </c>
      <c r="B558" s="10" t="s">
        <v>467</v>
      </c>
      <c r="C558" s="41" t="s">
        <v>467</v>
      </c>
      <c r="D558" s="11">
        <v>1188.31</v>
      </c>
      <c r="E558" s="10" t="s">
        <v>447</v>
      </c>
      <c r="F558" s="10" t="s">
        <v>441</v>
      </c>
    </row>
    <row r="559" spans="1:6">
      <c r="A559" s="10" t="s">
        <v>1321</v>
      </c>
      <c r="B559" s="10" t="s">
        <v>691</v>
      </c>
      <c r="C559" s="41" t="s">
        <v>213</v>
      </c>
      <c r="D559" s="11">
        <v>1161.8900000000001</v>
      </c>
      <c r="E559" s="10" t="s">
        <v>447</v>
      </c>
      <c r="F559" s="10" t="s">
        <v>436</v>
      </c>
    </row>
    <row r="560" spans="1:6" hidden="1">
      <c r="A560" s="10" t="s">
        <v>1318</v>
      </c>
      <c r="B560" s="10" t="s">
        <v>748</v>
      </c>
      <c r="C560" s="41" t="s">
        <v>462</v>
      </c>
      <c r="D560" s="11">
        <v>1160.79</v>
      </c>
      <c r="E560" s="10" t="s">
        <v>447</v>
      </c>
      <c r="F560" s="10" t="s">
        <v>441</v>
      </c>
    </row>
    <row r="561" spans="1:6" hidden="1">
      <c r="A561" s="10" t="s">
        <v>1292</v>
      </c>
      <c r="B561" s="10" t="s">
        <v>475</v>
      </c>
      <c r="C561" s="41" t="s">
        <v>475</v>
      </c>
      <c r="D561" s="11">
        <v>1150.78</v>
      </c>
      <c r="E561" s="10" t="s">
        <v>447</v>
      </c>
      <c r="F561" s="10" t="s">
        <v>441</v>
      </c>
    </row>
    <row r="562" spans="1:6" hidden="1">
      <c r="A562" s="10" t="s">
        <v>1322</v>
      </c>
      <c r="B562" s="10" t="s">
        <v>1323</v>
      </c>
      <c r="C562" s="41" t="s">
        <v>545</v>
      </c>
      <c r="D562" s="11">
        <v>1148.9100000000001</v>
      </c>
      <c r="E562" s="10" t="s">
        <v>447</v>
      </c>
      <c r="F562" s="10" t="s">
        <v>471</v>
      </c>
    </row>
    <row r="563" spans="1:6" hidden="1">
      <c r="A563" s="10" t="s">
        <v>1233</v>
      </c>
      <c r="B563" s="10" t="s">
        <v>1324</v>
      </c>
      <c r="C563" s="41" t="s">
        <v>491</v>
      </c>
      <c r="D563" s="11">
        <v>1115.8</v>
      </c>
      <c r="E563" s="10" t="s">
        <v>447</v>
      </c>
      <c r="F563" s="10" t="s">
        <v>471</v>
      </c>
    </row>
    <row r="564" spans="1:6" hidden="1">
      <c r="A564" s="10" t="s">
        <v>1325</v>
      </c>
      <c r="B564" s="10" t="s">
        <v>531</v>
      </c>
      <c r="C564" s="41" t="s">
        <v>531</v>
      </c>
      <c r="D564" s="11">
        <v>1101.01</v>
      </c>
      <c r="E564" s="10" t="s">
        <v>447</v>
      </c>
      <c r="F564" s="10" t="s">
        <v>441</v>
      </c>
    </row>
    <row r="565" spans="1:6" hidden="1">
      <c r="A565" s="10" t="s">
        <v>1326</v>
      </c>
      <c r="B565" s="10" t="s">
        <v>1327</v>
      </c>
      <c r="C565" s="41" t="s">
        <v>557</v>
      </c>
      <c r="D565" s="11">
        <v>1093.25</v>
      </c>
      <c r="E565" s="10" t="s">
        <v>447</v>
      </c>
      <c r="F565" s="10" t="s">
        <v>471</v>
      </c>
    </row>
    <row r="566" spans="1:6" hidden="1">
      <c r="A566" s="10" t="s">
        <v>1328</v>
      </c>
      <c r="B566" s="10" t="s">
        <v>1141</v>
      </c>
      <c r="C566" s="41" t="s">
        <v>538</v>
      </c>
      <c r="D566" s="11">
        <v>1048.53</v>
      </c>
      <c r="E566" s="10" t="s">
        <v>447</v>
      </c>
      <c r="F566" s="10" t="s">
        <v>471</v>
      </c>
    </row>
    <row r="567" spans="1:6">
      <c r="A567" s="10" t="s">
        <v>1073</v>
      </c>
      <c r="B567" s="10" t="s">
        <v>702</v>
      </c>
      <c r="C567" s="41" t="s">
        <v>213</v>
      </c>
      <c r="D567" s="11">
        <v>1028.83</v>
      </c>
      <c r="E567" s="10" t="s">
        <v>447</v>
      </c>
      <c r="F567" s="10" t="s">
        <v>436</v>
      </c>
    </row>
    <row r="568" spans="1:6" hidden="1">
      <c r="A568" s="10" t="s">
        <v>1329</v>
      </c>
      <c r="B568" s="10" t="s">
        <v>1197</v>
      </c>
      <c r="C568" s="41" t="s">
        <v>482</v>
      </c>
      <c r="D568" s="11">
        <v>1015.91</v>
      </c>
      <c r="E568" s="10" t="s">
        <v>447</v>
      </c>
      <c r="F568" s="10" t="s">
        <v>436</v>
      </c>
    </row>
    <row r="569" spans="1:6" hidden="1">
      <c r="A569" s="10" t="s">
        <v>1179</v>
      </c>
      <c r="B569" s="10" t="s">
        <v>465</v>
      </c>
      <c r="C569" s="41" t="s">
        <v>465</v>
      </c>
      <c r="D569" s="11">
        <v>1013.19</v>
      </c>
      <c r="E569" s="10" t="s">
        <v>435</v>
      </c>
      <c r="F569" s="10" t="s">
        <v>436</v>
      </c>
    </row>
    <row r="570" spans="1:6" hidden="1">
      <c r="A570" s="10" t="s">
        <v>1330</v>
      </c>
      <c r="B570" s="10" t="s">
        <v>1331</v>
      </c>
      <c r="C570" s="41" t="s">
        <v>515</v>
      </c>
      <c r="D570" s="11">
        <v>1004.85</v>
      </c>
      <c r="E570" s="10" t="s">
        <v>540</v>
      </c>
      <c r="F570" s="10" t="s">
        <v>471</v>
      </c>
    </row>
    <row r="571" spans="1:6" hidden="1">
      <c r="A571" s="10" t="s">
        <v>1332</v>
      </c>
      <c r="B571" s="10" t="s">
        <v>1218</v>
      </c>
      <c r="C571" s="41" t="s">
        <v>525</v>
      </c>
      <c r="D571" s="11">
        <v>997.35</v>
      </c>
      <c r="E571" s="10" t="s">
        <v>447</v>
      </c>
      <c r="F571" s="10" t="s">
        <v>471</v>
      </c>
    </row>
    <row r="572" spans="1:6" hidden="1">
      <c r="A572" s="10" t="s">
        <v>1217</v>
      </c>
      <c r="B572" s="10" t="s">
        <v>1333</v>
      </c>
      <c r="C572" s="41" t="s">
        <v>469</v>
      </c>
      <c r="D572" s="11">
        <v>986.89</v>
      </c>
      <c r="E572" s="10" t="s">
        <v>447</v>
      </c>
      <c r="F572" s="10" t="s">
        <v>436</v>
      </c>
    </row>
    <row r="573" spans="1:6" hidden="1">
      <c r="A573" s="10" t="s">
        <v>1102</v>
      </c>
      <c r="B573" s="10" t="s">
        <v>933</v>
      </c>
      <c r="C573" s="41" t="s">
        <v>375</v>
      </c>
      <c r="D573" s="11">
        <v>956.9</v>
      </c>
      <c r="E573" s="10" t="s">
        <v>435</v>
      </c>
      <c r="F573" s="10" t="s">
        <v>436</v>
      </c>
    </row>
    <row r="574" spans="1:6" hidden="1">
      <c r="A574" s="10" t="s">
        <v>1334</v>
      </c>
      <c r="B574" s="10" t="s">
        <v>548</v>
      </c>
      <c r="C574" s="41" t="s">
        <v>548</v>
      </c>
      <c r="D574" s="11">
        <v>956.9</v>
      </c>
      <c r="E574" s="10" t="s">
        <v>447</v>
      </c>
      <c r="F574" s="10" t="s">
        <v>471</v>
      </c>
    </row>
    <row r="575" spans="1:6" hidden="1">
      <c r="A575" s="10" t="s">
        <v>1335</v>
      </c>
      <c r="B575" s="10" t="s">
        <v>1336</v>
      </c>
      <c r="C575" s="41" t="s">
        <v>151</v>
      </c>
      <c r="D575" s="11">
        <v>956.28</v>
      </c>
      <c r="E575" s="10" t="s">
        <v>540</v>
      </c>
      <c r="F575" s="10" t="s">
        <v>471</v>
      </c>
    </row>
    <row r="576" spans="1:6" hidden="1">
      <c r="A576" s="10" t="s">
        <v>1337</v>
      </c>
      <c r="B576" s="10" t="s">
        <v>1287</v>
      </c>
      <c r="C576" s="41" t="s">
        <v>464</v>
      </c>
      <c r="D576" s="11">
        <v>936.06</v>
      </c>
      <c r="E576" s="10" t="s">
        <v>447</v>
      </c>
      <c r="F576" s="10" t="s">
        <v>436</v>
      </c>
    </row>
    <row r="577" spans="1:6" hidden="1">
      <c r="A577" s="10" t="s">
        <v>1034</v>
      </c>
      <c r="B577" s="10" t="s">
        <v>1338</v>
      </c>
      <c r="C577" s="41" t="s">
        <v>470</v>
      </c>
      <c r="D577" s="11">
        <v>915.16</v>
      </c>
      <c r="E577" s="10" t="s">
        <v>435</v>
      </c>
      <c r="F577" s="10" t="s">
        <v>471</v>
      </c>
    </row>
    <row r="578" spans="1:6" hidden="1">
      <c r="A578" s="10" t="s">
        <v>1291</v>
      </c>
      <c r="B578" s="10" t="s">
        <v>1339</v>
      </c>
      <c r="C578" s="41" t="s">
        <v>532</v>
      </c>
      <c r="D578" s="11">
        <v>905.83</v>
      </c>
      <c r="E578" s="10" t="s">
        <v>540</v>
      </c>
      <c r="F578" s="10" t="s">
        <v>471</v>
      </c>
    </row>
    <row r="579" spans="1:6" hidden="1">
      <c r="A579" s="10" t="s">
        <v>1340</v>
      </c>
      <c r="B579" s="10" t="s">
        <v>553</v>
      </c>
      <c r="C579" s="41" t="s">
        <v>553</v>
      </c>
      <c r="D579" s="11">
        <v>890.19</v>
      </c>
      <c r="E579" s="10" t="s">
        <v>447</v>
      </c>
      <c r="F579" s="10" t="s">
        <v>471</v>
      </c>
    </row>
    <row r="580" spans="1:6" hidden="1">
      <c r="A580" s="10" t="s">
        <v>1341</v>
      </c>
      <c r="B580" s="10" t="s">
        <v>1342</v>
      </c>
      <c r="C580" s="41" t="s">
        <v>565</v>
      </c>
      <c r="D580" s="11">
        <v>883.88</v>
      </c>
      <c r="E580" s="10" t="s">
        <v>540</v>
      </c>
      <c r="F580" s="10" t="s">
        <v>471</v>
      </c>
    </row>
    <row r="581" spans="1:6" hidden="1">
      <c r="A581" s="10" t="s">
        <v>1302</v>
      </c>
      <c r="B581" s="10" t="s">
        <v>1343</v>
      </c>
      <c r="C581" s="41" t="s">
        <v>539</v>
      </c>
      <c r="D581" s="11">
        <v>876.72</v>
      </c>
      <c r="E581" s="10" t="s">
        <v>540</v>
      </c>
      <c r="F581" s="10" t="s">
        <v>471</v>
      </c>
    </row>
    <row r="582" spans="1:6" hidden="1">
      <c r="A582" s="10" t="s">
        <v>1322</v>
      </c>
      <c r="B582" s="10" t="s">
        <v>974</v>
      </c>
      <c r="C582" s="41" t="s">
        <v>545</v>
      </c>
      <c r="D582" s="11">
        <v>872.68</v>
      </c>
      <c r="E582" s="10" t="s">
        <v>447</v>
      </c>
      <c r="F582" s="10" t="s">
        <v>471</v>
      </c>
    </row>
    <row r="583" spans="1:6" hidden="1">
      <c r="A583" s="10" t="s">
        <v>1340</v>
      </c>
      <c r="B583" s="10" t="s">
        <v>1344</v>
      </c>
      <c r="C583" s="41" t="s">
        <v>553</v>
      </c>
      <c r="D583" s="11">
        <v>861</v>
      </c>
      <c r="E583" s="10" t="s">
        <v>447</v>
      </c>
      <c r="F583" s="10" t="s">
        <v>471</v>
      </c>
    </row>
    <row r="584" spans="1:6" hidden="1">
      <c r="A584" s="10" t="s">
        <v>1345</v>
      </c>
      <c r="B584" s="10" t="s">
        <v>673</v>
      </c>
      <c r="C584" s="41" t="s">
        <v>469</v>
      </c>
      <c r="D584" s="11">
        <v>855.53</v>
      </c>
      <c r="E584" s="10" t="s">
        <v>447</v>
      </c>
      <c r="F584" s="10" t="s">
        <v>436</v>
      </c>
    </row>
    <row r="585" spans="1:6" hidden="1">
      <c r="A585" s="10" t="s">
        <v>1346</v>
      </c>
      <c r="B585" s="10" t="s">
        <v>1085</v>
      </c>
      <c r="C585" s="41" t="s">
        <v>464</v>
      </c>
      <c r="D585" s="11">
        <v>852.52</v>
      </c>
      <c r="E585" s="10" t="s">
        <v>502</v>
      </c>
      <c r="F585" s="10" t="s">
        <v>436</v>
      </c>
    </row>
    <row r="586" spans="1:6" hidden="1">
      <c r="A586" s="10" t="s">
        <v>1347</v>
      </c>
      <c r="B586" s="10" t="s">
        <v>1019</v>
      </c>
      <c r="C586" s="41" t="s">
        <v>515</v>
      </c>
      <c r="D586" s="11">
        <v>845.11</v>
      </c>
      <c r="E586" s="10" t="s">
        <v>447</v>
      </c>
      <c r="F586" s="10" t="s">
        <v>441</v>
      </c>
    </row>
    <row r="587" spans="1:6" hidden="1">
      <c r="A587" s="10" t="s">
        <v>1229</v>
      </c>
      <c r="B587" s="10" t="s">
        <v>1053</v>
      </c>
      <c r="C587" s="41" t="s">
        <v>458</v>
      </c>
      <c r="D587" s="11">
        <v>836.82</v>
      </c>
      <c r="E587" s="10" t="s">
        <v>447</v>
      </c>
      <c r="F587" s="10" t="s">
        <v>436</v>
      </c>
    </row>
    <row r="588" spans="1:6" hidden="1">
      <c r="A588" s="10" t="s">
        <v>1348</v>
      </c>
      <c r="B588" s="10" t="s">
        <v>1349</v>
      </c>
      <c r="C588" s="41" t="s">
        <v>544</v>
      </c>
      <c r="D588" s="11">
        <v>778.34</v>
      </c>
      <c r="E588" s="10" t="s">
        <v>447</v>
      </c>
      <c r="F588" s="10" t="s">
        <v>471</v>
      </c>
    </row>
    <row r="589" spans="1:6" hidden="1">
      <c r="A589" s="10" t="s">
        <v>1350</v>
      </c>
      <c r="B589" s="10" t="s">
        <v>1113</v>
      </c>
      <c r="C589" s="41" t="s">
        <v>462</v>
      </c>
      <c r="D589" s="11">
        <v>767.53</v>
      </c>
      <c r="E589" s="10" t="s">
        <v>447</v>
      </c>
      <c r="F589" s="10" t="s">
        <v>471</v>
      </c>
    </row>
    <row r="590" spans="1:6" hidden="1">
      <c r="A590" s="10" t="s">
        <v>1351</v>
      </c>
      <c r="B590" s="10" t="s">
        <v>1099</v>
      </c>
      <c r="C590" s="41" t="s">
        <v>479</v>
      </c>
      <c r="D590" s="11">
        <v>711.42</v>
      </c>
      <c r="E590" s="10" t="s">
        <v>435</v>
      </c>
      <c r="F590" s="10" t="s">
        <v>441</v>
      </c>
    </row>
    <row r="591" spans="1:6" hidden="1">
      <c r="A591" s="10" t="s">
        <v>1352</v>
      </c>
      <c r="B591" s="10" t="s">
        <v>1353</v>
      </c>
      <c r="C591" s="41" t="s">
        <v>561</v>
      </c>
      <c r="D591" s="11">
        <v>654.72</v>
      </c>
      <c r="E591" s="10" t="s">
        <v>540</v>
      </c>
      <c r="F591" s="10" t="s">
        <v>471</v>
      </c>
    </row>
    <row r="592" spans="1:6" hidden="1">
      <c r="A592" s="10" t="s">
        <v>1309</v>
      </c>
      <c r="B592" s="10" t="s">
        <v>1317</v>
      </c>
      <c r="C592" s="41" t="s">
        <v>515</v>
      </c>
      <c r="D592" s="11">
        <v>641.79</v>
      </c>
      <c r="E592" s="10" t="s">
        <v>540</v>
      </c>
      <c r="F592" s="10" t="s">
        <v>436</v>
      </c>
    </row>
    <row r="593" spans="1:6" hidden="1">
      <c r="A593" s="10" t="s">
        <v>1354</v>
      </c>
      <c r="B593" s="10" t="s">
        <v>1355</v>
      </c>
      <c r="C593" s="41" t="s">
        <v>546</v>
      </c>
      <c r="D593" s="11">
        <v>640.83000000000004</v>
      </c>
      <c r="E593" s="10" t="s">
        <v>447</v>
      </c>
      <c r="F593" s="10" t="s">
        <v>471</v>
      </c>
    </row>
    <row r="594" spans="1:6" hidden="1">
      <c r="A594" s="10" t="s">
        <v>1356</v>
      </c>
      <c r="B594" s="10" t="s">
        <v>1357</v>
      </c>
      <c r="C594" s="41" t="s">
        <v>459</v>
      </c>
      <c r="D594" s="11">
        <v>635.59</v>
      </c>
      <c r="E594" s="10" t="s">
        <v>435</v>
      </c>
      <c r="F594" s="10" t="s">
        <v>436</v>
      </c>
    </row>
    <row r="595" spans="1:6" hidden="1">
      <c r="A595" s="10" t="s">
        <v>1358</v>
      </c>
      <c r="B595" s="10" t="s">
        <v>151</v>
      </c>
      <c r="C595" s="41" t="s">
        <v>151</v>
      </c>
      <c r="D595" s="11">
        <v>598.32000000000005</v>
      </c>
      <c r="E595" s="10" t="s">
        <v>447</v>
      </c>
      <c r="F595" s="10" t="s">
        <v>436</v>
      </c>
    </row>
    <row r="596" spans="1:6" hidden="1">
      <c r="A596" s="10" t="s">
        <v>1359</v>
      </c>
      <c r="B596" s="10" t="s">
        <v>1360</v>
      </c>
      <c r="C596" s="41" t="s">
        <v>490</v>
      </c>
      <c r="D596" s="11">
        <v>554.54</v>
      </c>
      <c r="E596" s="10" t="s">
        <v>540</v>
      </c>
      <c r="F596" s="10" t="s">
        <v>471</v>
      </c>
    </row>
    <row r="597" spans="1:6" hidden="1">
      <c r="A597" s="10" t="s">
        <v>1220</v>
      </c>
      <c r="B597" s="10" t="s">
        <v>558</v>
      </c>
      <c r="C597" s="41" t="s">
        <v>558</v>
      </c>
      <c r="D597" s="11">
        <v>541.78</v>
      </c>
      <c r="E597" s="10" t="s">
        <v>447</v>
      </c>
      <c r="F597" s="10" t="s">
        <v>471</v>
      </c>
    </row>
    <row r="598" spans="1:6" hidden="1">
      <c r="A598" s="10" t="s">
        <v>1123</v>
      </c>
      <c r="B598" s="10" t="s">
        <v>482</v>
      </c>
      <c r="C598" s="41" t="s">
        <v>482</v>
      </c>
      <c r="D598" s="11">
        <v>521.57000000000005</v>
      </c>
      <c r="E598" s="10" t="s">
        <v>447</v>
      </c>
      <c r="F598" s="10" t="s">
        <v>436</v>
      </c>
    </row>
    <row r="599" spans="1:6" hidden="1">
      <c r="A599" s="10" t="s">
        <v>1356</v>
      </c>
      <c r="B599" s="10" t="s">
        <v>1361</v>
      </c>
      <c r="C599" s="41" t="s">
        <v>459</v>
      </c>
      <c r="D599" s="11">
        <v>492.84</v>
      </c>
      <c r="E599" s="10" t="s">
        <v>435</v>
      </c>
      <c r="F599" s="10" t="s">
        <v>436</v>
      </c>
    </row>
    <row r="600" spans="1:6" hidden="1">
      <c r="A600" s="10" t="s">
        <v>1362</v>
      </c>
      <c r="B600" s="10" t="s">
        <v>1363</v>
      </c>
      <c r="C600" s="41" t="s">
        <v>482</v>
      </c>
      <c r="D600" s="11">
        <v>488.77</v>
      </c>
      <c r="E600" s="10" t="s">
        <v>447</v>
      </c>
      <c r="F600" s="10" t="s">
        <v>441</v>
      </c>
    </row>
    <row r="601" spans="1:6" hidden="1">
      <c r="A601" s="10" t="s">
        <v>1364</v>
      </c>
      <c r="B601" s="10" t="s">
        <v>1365</v>
      </c>
      <c r="C601" s="41" t="s">
        <v>497</v>
      </c>
      <c r="D601" s="11">
        <v>477.41</v>
      </c>
      <c r="E601" s="10" t="s">
        <v>447</v>
      </c>
      <c r="F601" s="10" t="s">
        <v>441</v>
      </c>
    </row>
    <row r="602" spans="1:6" hidden="1">
      <c r="A602" s="10" t="s">
        <v>1366</v>
      </c>
      <c r="B602" s="10" t="s">
        <v>1089</v>
      </c>
      <c r="C602" s="41" t="s">
        <v>470</v>
      </c>
      <c r="D602" s="11">
        <v>446.8</v>
      </c>
      <c r="E602" s="10" t="s">
        <v>447</v>
      </c>
      <c r="F602" s="10" t="s">
        <v>471</v>
      </c>
    </row>
    <row r="603" spans="1:6">
      <c r="A603" s="10" t="s">
        <v>1367</v>
      </c>
      <c r="B603" s="10" t="s">
        <v>691</v>
      </c>
      <c r="C603" s="41" t="s">
        <v>213</v>
      </c>
      <c r="D603" s="11">
        <v>406.01</v>
      </c>
      <c r="E603" s="10" t="s">
        <v>447</v>
      </c>
      <c r="F603" s="10" t="s">
        <v>436</v>
      </c>
    </row>
    <row r="604" spans="1:6" hidden="1">
      <c r="A604" s="10" t="s">
        <v>1368</v>
      </c>
      <c r="B604" s="10" t="s">
        <v>1261</v>
      </c>
      <c r="C604" s="41" t="s">
        <v>173</v>
      </c>
      <c r="D604" s="11">
        <v>388.49</v>
      </c>
      <c r="E604" s="10" t="s">
        <v>447</v>
      </c>
      <c r="F604" s="10" t="s">
        <v>471</v>
      </c>
    </row>
    <row r="605" spans="1:6" hidden="1">
      <c r="A605" s="10" t="s">
        <v>1369</v>
      </c>
      <c r="B605" s="10" t="s">
        <v>1370</v>
      </c>
      <c r="C605" s="41" t="s">
        <v>532</v>
      </c>
      <c r="D605" s="11">
        <v>380.45</v>
      </c>
      <c r="E605" s="10" t="s">
        <v>447</v>
      </c>
      <c r="F605" s="10" t="s">
        <v>441</v>
      </c>
    </row>
    <row r="606" spans="1:6" hidden="1">
      <c r="A606" s="10" t="s">
        <v>1371</v>
      </c>
      <c r="B606" s="10" t="s">
        <v>1372</v>
      </c>
      <c r="C606" s="41" t="s">
        <v>563</v>
      </c>
      <c r="D606" s="11">
        <v>366.81</v>
      </c>
      <c r="E606" s="10" t="s">
        <v>540</v>
      </c>
      <c r="F606" s="10" t="s">
        <v>471</v>
      </c>
    </row>
    <row r="607" spans="1:6" hidden="1">
      <c r="A607" s="10" t="s">
        <v>1373</v>
      </c>
      <c r="B607" s="10" t="s">
        <v>1374</v>
      </c>
      <c r="C607" s="41" t="s">
        <v>497</v>
      </c>
      <c r="D607" s="11">
        <v>352.01</v>
      </c>
      <c r="E607" s="10" t="s">
        <v>447</v>
      </c>
      <c r="F607" s="10" t="s">
        <v>441</v>
      </c>
    </row>
    <row r="608" spans="1:6" hidden="1">
      <c r="A608" s="10" t="s">
        <v>1375</v>
      </c>
      <c r="B608" s="10" t="s">
        <v>1376</v>
      </c>
      <c r="C608" s="41" t="s">
        <v>470</v>
      </c>
      <c r="D608" s="11">
        <v>329.87</v>
      </c>
      <c r="E608" s="10" t="s">
        <v>447</v>
      </c>
      <c r="F608" s="10" t="s">
        <v>471</v>
      </c>
    </row>
    <row r="609" spans="1:6" hidden="1">
      <c r="A609" s="10" t="s">
        <v>1377</v>
      </c>
      <c r="B609" s="10" t="s">
        <v>1378</v>
      </c>
      <c r="C609" s="41" t="s">
        <v>549</v>
      </c>
      <c r="D609" s="11">
        <v>313.76</v>
      </c>
      <c r="E609" s="10" t="s">
        <v>447</v>
      </c>
      <c r="F609" s="10" t="s">
        <v>471</v>
      </c>
    </row>
    <row r="610" spans="1:6" hidden="1">
      <c r="A610" s="10" t="s">
        <v>1379</v>
      </c>
      <c r="B610" s="10" t="s">
        <v>1023</v>
      </c>
      <c r="C610" s="41" t="s">
        <v>531</v>
      </c>
      <c r="D610" s="11">
        <v>304.37</v>
      </c>
      <c r="E610" s="10" t="s">
        <v>447</v>
      </c>
      <c r="F610" s="10" t="s">
        <v>441</v>
      </c>
    </row>
    <row r="611" spans="1:6" hidden="1">
      <c r="A611" s="10" t="s">
        <v>1380</v>
      </c>
      <c r="B611" s="10" t="s">
        <v>1381</v>
      </c>
      <c r="C611" s="41" t="s">
        <v>549</v>
      </c>
      <c r="D611" s="11">
        <v>272.89</v>
      </c>
      <c r="E611" s="10" t="s">
        <v>447</v>
      </c>
      <c r="F611" s="10" t="s">
        <v>471</v>
      </c>
    </row>
    <row r="612" spans="1:6" hidden="1">
      <c r="A612" s="10" t="s">
        <v>1382</v>
      </c>
      <c r="B612" s="10" t="s">
        <v>1383</v>
      </c>
      <c r="C612" s="41" t="s">
        <v>545</v>
      </c>
      <c r="D612" s="11">
        <v>261.64</v>
      </c>
      <c r="E612" s="10" t="s">
        <v>447</v>
      </c>
      <c r="F612" s="10" t="s">
        <v>471</v>
      </c>
    </row>
    <row r="613" spans="1:6" hidden="1">
      <c r="A613" s="10" t="s">
        <v>1131</v>
      </c>
      <c r="B613" s="10" t="s">
        <v>1384</v>
      </c>
      <c r="C613" s="41" t="s">
        <v>466</v>
      </c>
      <c r="D613" s="11">
        <v>218.27</v>
      </c>
      <c r="E613" s="10" t="s">
        <v>447</v>
      </c>
      <c r="F613" s="10" t="s">
        <v>436</v>
      </c>
    </row>
    <row r="614" spans="1:6" hidden="1">
      <c r="A614" s="10" t="s">
        <v>1385</v>
      </c>
      <c r="B614" s="10" t="s">
        <v>1386</v>
      </c>
      <c r="C614" s="41" t="s">
        <v>478</v>
      </c>
      <c r="D614" s="11">
        <v>197.01</v>
      </c>
      <c r="E614" s="10" t="s">
        <v>447</v>
      </c>
      <c r="F614" s="10" t="s">
        <v>436</v>
      </c>
    </row>
    <row r="615" spans="1:6" hidden="1">
      <c r="A615" s="10" t="s">
        <v>1387</v>
      </c>
      <c r="B615" s="10" t="s">
        <v>1191</v>
      </c>
      <c r="C615" s="41" t="s">
        <v>466</v>
      </c>
      <c r="D615" s="11">
        <v>174.26</v>
      </c>
      <c r="E615" s="10" t="s">
        <v>447</v>
      </c>
      <c r="F615" s="10" t="s">
        <v>436</v>
      </c>
    </row>
    <row r="616" spans="1:6" hidden="1">
      <c r="A616" s="10" t="s">
        <v>1281</v>
      </c>
      <c r="B616" s="10" t="s">
        <v>1388</v>
      </c>
      <c r="C616" s="41" t="s">
        <v>559</v>
      </c>
      <c r="D616" s="11">
        <v>155.94</v>
      </c>
      <c r="E616" s="10" t="s">
        <v>447</v>
      </c>
      <c r="F616" s="10" t="s">
        <v>471</v>
      </c>
    </row>
    <row r="617" spans="1:6" hidden="1">
      <c r="A617" s="10" t="s">
        <v>1380</v>
      </c>
      <c r="B617" s="10" t="s">
        <v>1389</v>
      </c>
      <c r="C617" s="41" t="s">
        <v>560</v>
      </c>
      <c r="D617" s="11">
        <v>146.35</v>
      </c>
      <c r="E617" s="10" t="s">
        <v>447</v>
      </c>
      <c r="F617" s="10" t="s">
        <v>471</v>
      </c>
    </row>
    <row r="618" spans="1:6" hidden="1">
      <c r="A618" s="10" t="s">
        <v>1390</v>
      </c>
      <c r="B618" s="10" t="s">
        <v>1391</v>
      </c>
      <c r="C618" s="41" t="s">
        <v>173</v>
      </c>
      <c r="D618" s="11">
        <v>122.74</v>
      </c>
      <c r="E618" s="10" t="s">
        <v>447</v>
      </c>
      <c r="F618" s="10" t="s">
        <v>471</v>
      </c>
    </row>
    <row r="619" spans="1:6" hidden="1">
      <c r="A619" s="10" t="s">
        <v>1392</v>
      </c>
      <c r="B619" s="10" t="s">
        <v>1393</v>
      </c>
      <c r="C619" s="41" t="s">
        <v>452</v>
      </c>
      <c r="D619" s="11">
        <v>119.25</v>
      </c>
      <c r="E619" s="10" t="s">
        <v>447</v>
      </c>
      <c r="F619" s="10" t="s">
        <v>441</v>
      </c>
    </row>
    <row r="620" spans="1:6" hidden="1">
      <c r="A620" s="10" t="s">
        <v>1394</v>
      </c>
      <c r="B620" s="10" t="s">
        <v>1395</v>
      </c>
      <c r="C620" s="41" t="s">
        <v>491</v>
      </c>
      <c r="D620" s="11">
        <v>115.91</v>
      </c>
      <c r="E620" s="10" t="s">
        <v>447</v>
      </c>
      <c r="F620" s="10" t="s">
        <v>471</v>
      </c>
    </row>
    <row r="621" spans="1:6" hidden="1">
      <c r="A621" s="10" t="s">
        <v>1396</v>
      </c>
      <c r="B621" s="10" t="s">
        <v>1397</v>
      </c>
      <c r="C621" s="41" t="s">
        <v>531</v>
      </c>
      <c r="D621" s="11">
        <v>115.72</v>
      </c>
      <c r="E621" s="10" t="s">
        <v>447</v>
      </c>
      <c r="F621" s="10" t="s">
        <v>441</v>
      </c>
    </row>
    <row r="622" spans="1:6" hidden="1">
      <c r="A622" s="10" t="s">
        <v>1398</v>
      </c>
      <c r="B622" s="10" t="s">
        <v>1188</v>
      </c>
      <c r="C622" s="41" t="s">
        <v>533</v>
      </c>
      <c r="D622" s="11">
        <v>108.41</v>
      </c>
      <c r="E622" s="10" t="s">
        <v>447</v>
      </c>
      <c r="F622" s="10" t="s">
        <v>471</v>
      </c>
    </row>
    <row r="623" spans="1:6" hidden="1">
      <c r="A623" s="10" t="s">
        <v>1399</v>
      </c>
      <c r="B623" s="10" t="s">
        <v>1400</v>
      </c>
      <c r="C623" s="41" t="s">
        <v>530</v>
      </c>
      <c r="D623" s="11">
        <v>95.67</v>
      </c>
      <c r="E623" s="10" t="s">
        <v>447</v>
      </c>
      <c r="F623" s="10" t="s">
        <v>441</v>
      </c>
    </row>
    <row r="624" spans="1:6" hidden="1">
      <c r="A624" s="10" t="s">
        <v>1250</v>
      </c>
      <c r="B624" s="10" t="s">
        <v>1401</v>
      </c>
      <c r="C624" s="41" t="s">
        <v>457</v>
      </c>
      <c r="D624" s="11">
        <v>48.99</v>
      </c>
      <c r="E624" s="10" t="s">
        <v>447</v>
      </c>
      <c r="F624" s="10" t="s">
        <v>441</v>
      </c>
    </row>
  </sheetData>
  <autoFilter ref="A4:F624" xr:uid="{00000000-0001-0000-0500-000000000000}">
    <filterColumn colId="2">
      <filters>
        <filter val="ALCAPLANT"/>
      </filters>
    </filterColumn>
  </autoFilter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Plan acciones</vt:lpstr>
      <vt:lpstr>Diseño A-B</vt:lpstr>
      <vt:lpstr>Priorización</vt:lpstr>
      <vt:lpstr>Supuestos</vt:lpstr>
      <vt:lpstr>Mapa familias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2026-09-29T09:14:37Z</dcterms:created>
  <dcterms:modified xsi:type="dcterms:W3CDTF">2026-09-29T09:14:37Z</dcterms:modified>
</cp:coreProperties>
</file>