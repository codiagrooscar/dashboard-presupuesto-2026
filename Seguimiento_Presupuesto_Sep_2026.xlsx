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B45309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08/10/2026 | Generado: 08/10/2026 07:30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53,240 u</t>
        </is>
      </c>
      <c r="E6" s="4" t="n"/>
      <c r="F6" s="9" t="inlineStr">
        <is>
          <t>29.3%</t>
        </is>
      </c>
      <c r="G6" s="4" t="n"/>
      <c r="H6" s="10" t="inlineStr">
        <is>
          <t>128,726 u</t>
        </is>
      </c>
      <c r="I6" s="4" t="n"/>
      <c r="J6" s="7" t="inlineStr">
        <is>
          <t>38,800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2</v>
      </c>
      <c r="D10" s="15" t="n">
        <v>2320</v>
      </c>
      <c r="E10" s="15" t="n">
        <v>1680</v>
      </c>
      <c r="F10" s="15" t="n">
        <v>1680</v>
      </c>
      <c r="G10" s="15" t="n">
        <v>0</v>
      </c>
      <c r="H10" s="15">
        <f>MAX(0, D10-E10)</f>
        <v/>
      </c>
      <c r="I10" s="15">
        <f>'Alfonso'!J14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1</v>
      </c>
      <c r="D11" s="19" t="n">
        <v>37832</v>
      </c>
      <c r="E11" s="19" t="n">
        <v>37800</v>
      </c>
      <c r="F11" s="19" t="n">
        <v>0</v>
      </c>
      <c r="G11" s="19" t="n">
        <v>37800</v>
      </c>
      <c r="H11" s="19">
        <f>MAX(0, D11-E11)</f>
        <v/>
      </c>
      <c r="I11" s="19">
        <f>'García'!J35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2</v>
      </c>
      <c r="D12" s="15" t="n">
        <v>21914</v>
      </c>
      <c r="E12" s="15" t="n">
        <v>6620</v>
      </c>
      <c r="F12" s="15" t="n">
        <v>6620</v>
      </c>
      <c r="G12" s="15" t="n">
        <v>0</v>
      </c>
      <c r="H12" s="15">
        <f>MAX(0, D12-E12)</f>
        <v/>
      </c>
      <c r="I12" s="15">
        <f>'Irene'!J45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2</v>
      </c>
      <c r="D13" s="19" t="n">
        <v>17100</v>
      </c>
      <c r="E13" s="19" t="n">
        <v>2460</v>
      </c>
      <c r="F13" s="19" t="n">
        <v>1460</v>
      </c>
      <c r="G13" s="19" t="n">
        <v>1000</v>
      </c>
      <c r="H13" s="19">
        <f>MAX(0, D13-E13)</f>
        <v/>
      </c>
      <c r="I13" s="19">
        <f>'Javier'!J22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2</v>
      </c>
      <c r="D15" s="19" t="n">
        <v>17340</v>
      </c>
      <c r="E15" s="19" t="n">
        <v>4680</v>
      </c>
      <c r="F15" s="19" t="n">
        <v>4680</v>
      </c>
      <c r="G15" s="19" t="n">
        <v>0</v>
      </c>
      <c r="H15" s="19">
        <f>MAX(0, D15-E15)</f>
        <v/>
      </c>
      <c r="I15" s="19">
        <f>'Pedro'!J25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0</v>
      </c>
      <c r="D16" s="15" t="n">
        <v>46000</v>
      </c>
      <c r="E16" s="15" t="n">
        <v>0</v>
      </c>
      <c r="F16" s="15" t="n">
        <v>0</v>
      </c>
      <c r="G16" s="15" t="n">
        <v>0</v>
      </c>
      <c r="H16" s="15">
        <f>MAX(0, D16-E16)</f>
        <v/>
      </c>
      <c r="I16" s="15">
        <f>'Ricardo'!J12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08/10/2026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5" t="inlineStr">
        <is>
          <t>1,680 u</t>
        </is>
      </c>
      <c r="E6" s="4" t="n"/>
      <c r="F6" s="26" t="inlineStr">
        <is>
          <t>72.4%</t>
        </is>
      </c>
      <c r="G6" s="4" t="n"/>
      <c r="H6" s="26" t="inlineStr">
        <is>
          <t>640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En Curso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AGROTÉCNICA DEL NORTE, S.L</t>
        </is>
      </c>
      <c r="C12" s="29" t="inlineStr">
        <is>
          <t>PT0005</t>
        </is>
      </c>
      <c r="D12" s="28" t="inlineStr">
        <is>
          <t>AGROPOTASION, 5 L</t>
        </is>
      </c>
      <c r="E12" s="15" t="n">
        <v>0</v>
      </c>
      <c r="F12" s="15" t="n">
        <v>400</v>
      </c>
      <c r="G12" s="15" t="n">
        <v>400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AGROVEYCA,S.L</t>
        </is>
      </c>
      <c r="C13" s="32" t="inlineStr">
        <is>
          <t>BIO0020</t>
        </is>
      </c>
      <c r="D13" s="31" t="inlineStr">
        <is>
          <t>BIORAD-20, 20 L</t>
        </is>
      </c>
      <c r="E13" s="19" t="n">
        <v>400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 ht="24" customHeight="1">
      <c r="B14" s="21" t="inlineStr">
        <is>
          <t>TOTAL ALFONSO</t>
        </is>
      </c>
      <c r="C14" s="36" t="inlineStr">
        <is>
          <t>276 líneas</t>
        </is>
      </c>
      <c r="D14" s="37" t="inlineStr"/>
      <c r="E14" s="23">
        <f>SUM(E10:E13)</f>
        <v/>
      </c>
      <c r="F14" s="23">
        <f>SUM(F10:F13)</f>
        <v/>
      </c>
      <c r="G14" s="23">
        <f>SUM(G10:G13)</f>
        <v/>
      </c>
      <c r="H14" s="23">
        <f>SUM(H10:H13)</f>
        <v/>
      </c>
      <c r="I14" s="23">
        <f>SUM(I10:I13)</f>
        <v/>
      </c>
      <c r="J14" s="23">
        <f>SUM(J10:J13)</f>
        <v/>
      </c>
      <c r="K14" s="24">
        <f>IF(E14&gt;0, F14/E14, 0)</f>
        <v/>
      </c>
      <c r="L14" s="22">
        <f>IF(K14&gt;=1,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3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08/10/2026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5" t="inlineStr">
        <is>
          <t>37,800 u</t>
        </is>
      </c>
      <c r="E6" s="4" t="n"/>
      <c r="F6" s="26" t="inlineStr">
        <is>
          <t>99.9%</t>
        </is>
      </c>
      <c r="G6" s="4" t="n"/>
      <c r="H6" s="26" t="inlineStr">
        <is>
          <t>32 u</t>
        </is>
      </c>
      <c r="I6" s="4" t="n"/>
      <c r="J6" s="25" t="inlineStr">
        <is>
          <t>37,800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8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8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8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8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8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8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8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5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AGXK0005</t>
        </is>
      </c>
      <c r="D24" s="28" t="inlineStr">
        <is>
          <t>AGROXILATO+K</t>
        </is>
      </c>
      <c r="E24" s="15" t="n">
        <v>0</v>
      </c>
      <c r="F24" s="15" t="n">
        <v>16800</v>
      </c>
      <c r="G24" s="15" t="n">
        <v>0</v>
      </c>
      <c r="H24" s="15" t="n">
        <v>16800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DOTRA CHEMICALS</t>
        </is>
      </c>
      <c r="C25" s="32" t="inlineStr">
        <is>
          <t>SSEG0005</t>
        </is>
      </c>
      <c r="D25" s="31" t="inlineStr">
        <is>
          <t>SAL-WAX Ca</t>
        </is>
      </c>
      <c r="E25" s="19" t="n">
        <v>20000</v>
      </c>
      <c r="F25" s="19" t="n">
        <v>21000</v>
      </c>
      <c r="G25" s="19" t="n">
        <v>0</v>
      </c>
      <c r="H25" s="19" t="n">
        <v>21000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9" t="inlineStr">
        <is>
          <t>Superado</t>
        </is>
      </c>
    </row>
    <row r="26">
      <c r="B26" s="28" t="inlineStr">
        <is>
          <t>INIESTA DEL PINO DISTRIBUCIONES S.L.U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640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8" t="inlineStr">
        <is>
          <t>Sin Pedido</t>
        </is>
      </c>
    </row>
    <row r="27">
      <c r="B27" s="31" t="inlineStr">
        <is>
          <t>INIESTA DEL PINO DISTRIBUCIONES S.L.U</t>
        </is>
      </c>
      <c r="C27" s="32" t="inlineStr">
        <is>
          <t>TRI0005</t>
        </is>
      </c>
      <c r="D27" s="31" t="inlineStr">
        <is>
          <t>TRIFENO-94, 5L</t>
        </is>
      </c>
      <c r="E27" s="19" t="n">
        <v>60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5" t="inlineStr">
        <is>
          <t>Sin Pedido</t>
        </is>
      </c>
    </row>
    <row r="28">
      <c r="B28" s="28" t="inlineStr">
        <is>
          <t>SERVIAGRI´ 97, S.L.</t>
        </is>
      </c>
      <c r="C28" s="29" t="inlineStr">
        <is>
          <t>AGXK0005</t>
        </is>
      </c>
      <c r="D28" s="28" t="inlineStr">
        <is>
          <t>AGROXILATO-K, 5 L</t>
        </is>
      </c>
      <c r="E28" s="15" t="n">
        <v>200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8" t="inlineStr">
        <is>
          <t>Sin Pedido</t>
        </is>
      </c>
    </row>
    <row r="29">
      <c r="B29" s="31" t="inlineStr">
        <is>
          <t>SERVIAGRI´ 97, S.L.</t>
        </is>
      </c>
      <c r="C29" s="32" t="inlineStr">
        <is>
          <t>AVAN0005</t>
        </is>
      </c>
      <c r="D29" s="31" t="inlineStr">
        <is>
          <t>FLORAMEC AVANCE, 5 L</t>
        </is>
      </c>
      <c r="E29" s="19" t="n">
        <v>100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Sin Pedido</t>
        </is>
      </c>
    </row>
    <row r="30">
      <c r="B30" s="28" t="inlineStr">
        <is>
          <t>SERVIAGRI´ 97, S.L.</t>
        </is>
      </c>
      <c r="C30" s="29" t="inlineStr">
        <is>
          <t>B0001</t>
        </is>
      </c>
      <c r="D30" s="28" t="inlineStr">
        <is>
          <t>BOROCAL,1 L</t>
        </is>
      </c>
      <c r="E30" s="15" t="n">
        <v>12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8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BIO0005</t>
        </is>
      </c>
      <c r="D31" s="31" t="inlineStr">
        <is>
          <t>BIORAD-20, 5L</t>
        </is>
      </c>
      <c r="E31" s="19" t="n">
        <v>300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5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FTK0005</t>
        </is>
      </c>
      <c r="D32" s="28" t="inlineStr">
        <is>
          <t>FITOKONTROL CA FLOW, 5 KG</t>
        </is>
      </c>
      <c r="E32" s="15" t="n">
        <v>300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8" t="inlineStr">
        <is>
          <t>Sin Pedido</t>
        </is>
      </c>
    </row>
    <row r="33">
      <c r="B33" s="31" t="inlineStr">
        <is>
          <t>SERVIAGRI´ 97, S.L.</t>
        </is>
      </c>
      <c r="C33" s="32" t="inlineStr">
        <is>
          <t>JF0005</t>
        </is>
      </c>
      <c r="D33" s="31" t="inlineStr">
        <is>
          <t>CODIGIN-FOS, 5 L</t>
        </is>
      </c>
      <c r="E33" s="19" t="n">
        <v>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5" t="inlineStr">
        <is>
          <t>Sin Pedido</t>
        </is>
      </c>
    </row>
    <row r="34">
      <c r="B34" s="28" t="inlineStr">
        <is>
          <t>TRATAMIENTOS AGRICOLAS BRENES, S.L.</t>
        </is>
      </c>
      <c r="C34" s="29" t="inlineStr">
        <is>
          <t>WHITE0020</t>
        </is>
      </c>
      <c r="D34" s="28" t="inlineStr">
        <is>
          <t>AGROWHITE, 20 KG</t>
        </is>
      </c>
      <c r="E34" s="15" t="n">
        <v>1100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8" t="inlineStr">
        <is>
          <t>Sin Pedido</t>
        </is>
      </c>
    </row>
    <row r="35" ht="24" customHeight="1">
      <c r="B35" s="21" t="inlineStr">
        <is>
          <t>TOTAL GARCÍA</t>
        </is>
      </c>
      <c r="C35" s="36" t="inlineStr">
        <is>
          <t>230 líneas</t>
        </is>
      </c>
      <c r="D35" s="37" t="inlineStr"/>
      <c r="E35" s="23">
        <f>SUM(E10:E34)</f>
        <v/>
      </c>
      <c r="F35" s="23">
        <f>SUM(F10:F34)</f>
        <v/>
      </c>
      <c r="G35" s="23">
        <f>SUM(G10:G34)</f>
        <v/>
      </c>
      <c r="H35" s="23">
        <f>SUM(H10:H34)</f>
        <v/>
      </c>
      <c r="I35" s="23">
        <f>SUM(I10:I34)</f>
        <v/>
      </c>
      <c r="J35" s="23">
        <f>SUM(J10:J34)</f>
        <v/>
      </c>
      <c r="K35" s="24">
        <f>IF(E35&gt;0, F35/E35, 0)</f>
        <v/>
      </c>
      <c r="L35" s="22">
        <f>IF(K35&gt;=1,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08/10/2026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6,620 u</t>
        </is>
      </c>
      <c r="E6" s="4" t="n"/>
      <c r="F6" s="26" t="inlineStr">
        <is>
          <t>30.2%</t>
        </is>
      </c>
      <c r="G6" s="4" t="n"/>
      <c r="H6" s="26" t="inlineStr">
        <is>
          <t>15,294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8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8" t="inlineStr">
        <is>
          <t>Sin Pedido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CAMPOEJIDO S.C.A.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640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8" t="inlineStr">
        <is>
          <t>Sin Pedido</t>
        </is>
      </c>
    </row>
    <row r="15">
      <c r="B15" s="31" t="inlineStr">
        <is>
          <t>CAMPOEJIDO S.C.A.</t>
        </is>
      </c>
      <c r="C15" s="32" t="inlineStr">
        <is>
          <t>C-GLB0001</t>
        </is>
      </c>
      <c r="D15" s="31" t="inlineStr">
        <is>
          <t>CODIORGAN GLB, 1 KG</t>
        </is>
      </c>
      <c r="E15" s="19" t="n">
        <v>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C-L0005</t>
        </is>
      </c>
      <c r="D16" s="28" t="inlineStr">
        <is>
          <t>CODIBOR-L, 5 L</t>
        </is>
      </c>
      <c r="E16" s="15" t="n">
        <v>300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8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C-MB0001</t>
        </is>
      </c>
      <c r="D17" s="31" t="inlineStr">
        <is>
          <t>CODIFOL-MB, 1 L</t>
        </is>
      </c>
      <c r="E17" s="19" t="n">
        <v>48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C-MB0005</t>
        </is>
      </c>
      <c r="D18" s="28" t="inlineStr">
        <is>
          <t>CODIFOL-MB, 5 L</t>
        </is>
      </c>
      <c r="E18" s="15" t="n">
        <v>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8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CALCIO0005</t>
        </is>
      </c>
      <c r="D19" s="31" t="inlineStr">
        <is>
          <t>CALCIAMEC, 5 KG</t>
        </is>
      </c>
      <c r="E19" s="19" t="n">
        <v>800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Sin Pedido</t>
        </is>
      </c>
    </row>
    <row r="20">
      <c r="B20" s="28" t="inlineStr">
        <is>
          <t>CAMPOEJIDO S.C.A.</t>
        </is>
      </c>
      <c r="C20" s="29" t="inlineStr">
        <is>
          <t>CPLUS0020</t>
        </is>
      </c>
      <c r="D20" s="28" t="inlineStr">
        <is>
          <t>CALCIPLUS, 20 L</t>
        </is>
      </c>
      <c r="E20" s="15" t="n">
        <v>1280</v>
      </c>
      <c r="F20" s="15" t="n">
        <v>640</v>
      </c>
      <c r="G20" s="15" t="n">
        <v>640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0" t="inlineStr">
        <is>
          <t>En Curso</t>
        </is>
      </c>
    </row>
    <row r="21">
      <c r="B21" s="31" t="inlineStr">
        <is>
          <t>CAMPOEJIDO S.C.A.</t>
        </is>
      </c>
      <c r="C21" s="32" t="inlineStr">
        <is>
          <t>PHD0005</t>
        </is>
      </c>
      <c r="D21" s="31" t="inlineStr">
        <is>
          <t>PH-DOWNER, 5 L</t>
        </is>
      </c>
      <c r="E21" s="19" t="n">
        <v>100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Sin Pedido</t>
        </is>
      </c>
    </row>
    <row r="22">
      <c r="B22" s="28" t="inlineStr">
        <is>
          <t>CAMPOEJIDO S.C.A.</t>
        </is>
      </c>
      <c r="C22" s="29" t="inlineStr">
        <is>
          <t>PIV0020</t>
        </is>
      </c>
      <c r="D22" s="28" t="inlineStr">
        <is>
          <t>PGR IV, 20 L</t>
        </is>
      </c>
      <c r="E22" s="15" t="n">
        <v>3200</v>
      </c>
      <c r="F22" s="15" t="n">
        <v>640</v>
      </c>
      <c r="G22" s="15" t="n">
        <v>640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40" t="inlineStr">
        <is>
          <t>Rezagado</t>
        </is>
      </c>
    </row>
    <row r="23">
      <c r="B23" s="31" t="inlineStr">
        <is>
          <t>CAMPOEJIDO S.C.A.</t>
        </is>
      </c>
      <c r="C23" s="32" t="inlineStr">
        <is>
          <t>S0020</t>
        </is>
      </c>
      <c r="D23" s="31" t="inlineStr">
        <is>
          <t>SAL-WAX STAR, 20 L</t>
        </is>
      </c>
      <c r="E23" s="19" t="n">
        <v>640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5" t="inlineStr">
        <is>
          <t>Sin Pedido</t>
        </is>
      </c>
    </row>
    <row r="24">
      <c r="B24" s="28" t="inlineStr">
        <is>
          <t>CAMPOEJIDO S.C.A.</t>
        </is>
      </c>
      <c r="C24" s="29" t="inlineStr">
        <is>
          <t>TRI0005</t>
        </is>
      </c>
      <c r="D24" s="28" t="inlineStr">
        <is>
          <t>TRIFENO-94, 5L</t>
        </is>
      </c>
      <c r="E24" s="15" t="n">
        <v>100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8" t="inlineStr">
        <is>
          <t>Sin Pedido</t>
        </is>
      </c>
    </row>
    <row r="25">
      <c r="B25" s="31" t="inlineStr">
        <is>
          <t>COOP.AGRIC. SAN ISIDRO S.C.A.</t>
        </is>
      </c>
      <c r="C25" s="32" t="inlineStr">
        <is>
          <t>AGXK0020</t>
        </is>
      </c>
      <c r="D25" s="31" t="inlineStr">
        <is>
          <t>AGROXILATO-K, 20 L</t>
        </is>
      </c>
      <c r="E25" s="19" t="n">
        <v>3200</v>
      </c>
      <c r="F25" s="19" t="n">
        <v>640</v>
      </c>
      <c r="G25" s="19" t="n">
        <v>640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41" t="inlineStr">
        <is>
          <t>Rezagado</t>
        </is>
      </c>
    </row>
    <row r="26">
      <c r="B26" s="28" t="inlineStr">
        <is>
          <t>COOP.AGRIC. SAN ISIDRO S.C.A.</t>
        </is>
      </c>
      <c r="C26" s="29" t="inlineStr">
        <is>
          <t>AGXK0200</t>
        </is>
      </c>
      <c r="D26" s="28" t="inlineStr">
        <is>
          <t>AGROXILATO-K, 200 L</t>
        </is>
      </c>
      <c r="E26" s="15" t="n">
        <v>400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8" t="inlineStr">
        <is>
          <t>Sin Pedido</t>
        </is>
      </c>
    </row>
    <row r="27">
      <c r="B27" s="31" t="inlineStr">
        <is>
          <t>COOP.AGRIC. SAN ISIDRO S.C.A.</t>
        </is>
      </c>
      <c r="C27" s="32" t="inlineStr">
        <is>
          <t>AGZ-M0001</t>
        </is>
      </c>
      <c r="D27" s="31" t="inlineStr">
        <is>
          <t>AGROXILATO-ZN-MN, 1 KG</t>
        </is>
      </c>
      <c r="E27" s="19" t="n">
        <v>0</v>
      </c>
      <c r="F27" s="19" t="n">
        <v>80</v>
      </c>
      <c r="G27" s="19" t="n">
        <v>80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9" t="inlineStr">
        <is>
          <t>Extra Estimación</t>
        </is>
      </c>
    </row>
    <row r="28">
      <c r="B28" s="28" t="inlineStr">
        <is>
          <t>COOP.AGRIC. SAN ISIDRO S.C.A.</t>
        </is>
      </c>
      <c r="C28" s="29" t="inlineStr">
        <is>
          <t>AGZ-M0005</t>
        </is>
      </c>
      <c r="D28" s="28" t="inlineStr">
        <is>
          <t>AGROXILATO-ZN-MN, 5 KG</t>
        </is>
      </c>
      <c r="E28" s="15" t="n">
        <v>0</v>
      </c>
      <c r="F28" s="15" t="n">
        <v>100</v>
      </c>
      <c r="G28" s="15" t="n">
        <v>100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Extra Estimación</t>
        </is>
      </c>
    </row>
    <row r="29">
      <c r="B29" s="31" t="inlineStr">
        <is>
          <t>COOP.AGRIC. SAN ISIDRO S.C.A.</t>
        </is>
      </c>
      <c r="C29" s="32" t="inlineStr">
        <is>
          <t>AVAN0005</t>
        </is>
      </c>
      <c r="D29" s="31" t="inlineStr">
        <is>
          <t>FLORAMEC AVANCE, 5 L</t>
        </is>
      </c>
      <c r="E29" s="19" t="n">
        <v>1200</v>
      </c>
      <c r="F29" s="19" t="n">
        <v>600</v>
      </c>
      <c r="G29" s="19" t="n">
        <v>600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3" t="inlineStr">
        <is>
          <t>En Curso</t>
        </is>
      </c>
    </row>
    <row r="30">
      <c r="B30" s="28" t="inlineStr">
        <is>
          <t>COOP.AGRIC. SAN ISIDRO S.C.A.</t>
        </is>
      </c>
      <c r="C30" s="29" t="inlineStr">
        <is>
          <t>C-L0005</t>
        </is>
      </c>
      <c r="D30" s="28" t="inlineStr">
        <is>
          <t>CODIBOR-L, 5 L</t>
        </is>
      </c>
      <c r="E30" s="15" t="n">
        <v>200</v>
      </c>
      <c r="F30" s="15" t="n">
        <v>200</v>
      </c>
      <c r="G30" s="15" t="n">
        <v>200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4" t="inlineStr">
        <is>
          <t>Superado</t>
        </is>
      </c>
    </row>
    <row r="31">
      <c r="B31" s="31" t="inlineStr">
        <is>
          <t>COOP.AGRIC. SAN ISIDRO S.C.A.</t>
        </is>
      </c>
      <c r="C31" s="32" t="inlineStr">
        <is>
          <t>C-MB0005</t>
        </is>
      </c>
      <c r="D31" s="31" t="inlineStr">
        <is>
          <t>CODIFOL-MB, 5 L</t>
        </is>
      </c>
      <c r="E31" s="19" t="n">
        <v>300</v>
      </c>
      <c r="F31" s="19" t="n">
        <v>200</v>
      </c>
      <c r="G31" s="19" t="n">
        <v>200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En Curso</t>
        </is>
      </c>
    </row>
    <row r="32">
      <c r="B32" s="28" t="inlineStr">
        <is>
          <t>COOP.AGRIC. SAN ISIDRO S.C.A.</t>
        </is>
      </c>
      <c r="C32" s="29" t="inlineStr">
        <is>
          <t>CPLUS0020</t>
        </is>
      </c>
      <c r="D32" s="28" t="inlineStr">
        <is>
          <t>CALCIPLUS, 20 L</t>
        </is>
      </c>
      <c r="E32" s="15" t="n">
        <v>640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8" t="inlineStr">
        <is>
          <t>Sin Pedido</t>
        </is>
      </c>
    </row>
    <row r="33">
      <c r="B33" s="31" t="inlineStr">
        <is>
          <t>COOP.AGRIC. SAN ISIDRO S.C.A.</t>
        </is>
      </c>
      <c r="C33" s="32" t="inlineStr">
        <is>
          <t>PIV0020</t>
        </is>
      </c>
      <c r="D33" s="31" t="inlineStr">
        <is>
          <t>PGR IV, 20 L</t>
        </is>
      </c>
      <c r="E33" s="19" t="n">
        <v>1280</v>
      </c>
      <c r="F33" s="19" t="n">
        <v>2560</v>
      </c>
      <c r="G33" s="19" t="n">
        <v>2560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9" t="inlineStr">
        <is>
          <t>Superado</t>
        </is>
      </c>
    </row>
    <row r="34">
      <c r="B34" s="28" t="inlineStr">
        <is>
          <t>COOP.AGRIC. SAN ISIDRO S.C.A.</t>
        </is>
      </c>
      <c r="C34" s="29" t="inlineStr">
        <is>
          <t>PT0020</t>
        </is>
      </c>
      <c r="D34" s="28" t="inlineStr">
        <is>
          <t>AGROPOTASION, 20 L</t>
        </is>
      </c>
      <c r="E34" s="15" t="n">
        <v>0</v>
      </c>
      <c r="F34" s="15" t="n">
        <v>320</v>
      </c>
      <c r="G34" s="15" t="n">
        <v>320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4" t="inlineStr">
        <is>
          <t>Extra Estimación</t>
        </is>
      </c>
    </row>
    <row r="35">
      <c r="B35" s="31" t="inlineStr">
        <is>
          <t>COOP.AGRIC. SAN ISIDRO S.C.A.</t>
        </is>
      </c>
      <c r="C35" s="32" t="inlineStr">
        <is>
          <t>S0020</t>
        </is>
      </c>
      <c r="D35" s="31" t="inlineStr">
        <is>
          <t>SAL-WAX STAR, 20 L</t>
        </is>
      </c>
      <c r="E35" s="19" t="n">
        <v>0</v>
      </c>
      <c r="F35" s="19" t="n">
        <v>640</v>
      </c>
      <c r="G35" s="19" t="n">
        <v>640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9" t="inlineStr">
        <is>
          <t>Extra Estimación</t>
        </is>
      </c>
    </row>
    <row r="36">
      <c r="B36" s="28" t="inlineStr">
        <is>
          <t>GUIVARTO AGRICOLA, S.L.</t>
        </is>
      </c>
      <c r="C36" s="29" t="inlineStr">
        <is>
          <t>A-50(2)0005</t>
        </is>
      </c>
      <c r="D36" s="28" t="inlineStr">
        <is>
          <t>CODIORGAN A-50, 5 KG</t>
        </is>
      </c>
      <c r="E36" s="15" t="n">
        <v>100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8" t="inlineStr">
        <is>
          <t>Sin Pedido</t>
        </is>
      </c>
    </row>
    <row r="37">
      <c r="B37" s="31" t="inlineStr">
        <is>
          <t>GUIVARTO AGRICOLA, S.L.</t>
        </is>
      </c>
      <c r="C37" s="32" t="inlineStr">
        <is>
          <t>AGXK0020</t>
        </is>
      </c>
      <c r="D37" s="31" t="inlineStr">
        <is>
          <t>AGROXILATO-K, 20 L</t>
        </is>
      </c>
      <c r="E37" s="19" t="n">
        <v>1240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5" t="inlineStr">
        <is>
          <t>Sin Pedido</t>
        </is>
      </c>
    </row>
    <row r="38">
      <c r="B38" s="28" t="inlineStr">
        <is>
          <t>GUIVARTO AGRICOLA, S.L.</t>
        </is>
      </c>
      <c r="C38" s="29" t="inlineStr">
        <is>
          <t>AGZNP0005</t>
        </is>
      </c>
      <c r="D38" s="28" t="inlineStr">
        <is>
          <t>AGROXILATO-ZN PLUS, 5 KG</t>
        </is>
      </c>
      <c r="E38" s="15" t="n">
        <v>50</v>
      </c>
      <c r="F38" s="15" t="n">
        <v>0</v>
      </c>
      <c r="G38" s="15" t="n">
        <v>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8" t="inlineStr">
        <is>
          <t>Sin Pedido</t>
        </is>
      </c>
    </row>
    <row r="39">
      <c r="B39" s="31" t="inlineStr">
        <is>
          <t>GUIVARTO AGRICOLA, S.L.</t>
        </is>
      </c>
      <c r="C39" s="32" t="inlineStr">
        <is>
          <t>AQUOM0005</t>
        </is>
      </c>
      <c r="D39" s="31" t="inlineStr">
        <is>
          <t>AQUOM, 5 L</t>
        </is>
      </c>
      <c r="E39" s="19" t="n">
        <v>200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5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AVAN0020</t>
        </is>
      </c>
      <c r="D40" s="28" t="inlineStr">
        <is>
          <t>FLORAMEC AVANCE, 20 L</t>
        </is>
      </c>
      <c r="E40" s="15" t="n">
        <v>640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8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BEY0020</t>
        </is>
      </c>
      <c r="D41" s="31" t="inlineStr">
        <is>
          <t>FLORAMEC PLUS 20 L</t>
        </is>
      </c>
      <c r="E41" s="19" t="n">
        <v>80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Sin Pedido</t>
        </is>
      </c>
    </row>
    <row r="42">
      <c r="B42" s="28" t="inlineStr">
        <is>
          <t>GUIVARTO AGRICOLA, S.L.</t>
        </is>
      </c>
      <c r="C42" s="29" t="inlineStr">
        <is>
          <t>BROTA0005</t>
        </is>
      </c>
      <c r="D42" s="28" t="inlineStr">
        <is>
          <t>BROTAMEC, 5 L</t>
        </is>
      </c>
      <c r="E42" s="15" t="n">
        <v>600</v>
      </c>
      <c r="F42" s="15" t="n">
        <v>0</v>
      </c>
      <c r="G42" s="15" t="n">
        <v>0</v>
      </c>
      <c r="H42" s="15" t="n">
        <v>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8" t="inlineStr">
        <is>
          <t>Sin Pedido</t>
        </is>
      </c>
    </row>
    <row r="43">
      <c r="B43" s="31" t="inlineStr">
        <is>
          <t>GUIVARTO AGRICOLA, S.L.</t>
        </is>
      </c>
      <c r="C43" s="32" t="inlineStr">
        <is>
          <t>C-M-P0001</t>
        </is>
      </c>
      <c r="D43" s="31" t="inlineStr">
        <is>
          <t>CODIFOL Mo-PLUS, 1 L</t>
        </is>
      </c>
      <c r="E43" s="19" t="n">
        <v>36</v>
      </c>
      <c r="F43" s="19" t="n">
        <v>0</v>
      </c>
      <c r="G43" s="19" t="n">
        <v>0</v>
      </c>
      <c r="H43" s="19" t="n">
        <v>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Sin Pedido</t>
        </is>
      </c>
    </row>
    <row r="44">
      <c r="B44" s="28" t="inlineStr">
        <is>
          <t>GUIVARTO AGRICOLA, S.L.</t>
        </is>
      </c>
      <c r="C44" s="29" t="inlineStr">
        <is>
          <t>FTK0005</t>
        </is>
      </c>
      <c r="D44" s="28" t="inlineStr">
        <is>
          <t>FITOKONTROL CA FLOW, 5 KG</t>
        </is>
      </c>
      <c r="E44" s="15" t="n">
        <v>800</v>
      </c>
      <c r="F44" s="15" t="n">
        <v>0</v>
      </c>
      <c r="G44" s="15" t="n">
        <v>0</v>
      </c>
      <c r="H44" s="15" t="n">
        <v>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8" t="inlineStr">
        <is>
          <t>Sin Pedido</t>
        </is>
      </c>
    </row>
    <row r="45" ht="24" customHeight="1">
      <c r="B45" s="21" t="inlineStr">
        <is>
          <t>TOTAL IRENE</t>
        </is>
      </c>
      <c r="C45" s="36" t="inlineStr">
        <is>
          <t>89 líneas</t>
        </is>
      </c>
      <c r="D45" s="37" t="inlineStr"/>
      <c r="E45" s="23">
        <f>SUM(E10:E44)</f>
        <v/>
      </c>
      <c r="F45" s="23">
        <f>SUM(F10:F44)</f>
        <v/>
      </c>
      <c r="G45" s="23">
        <f>SUM(G10:G44)</f>
        <v/>
      </c>
      <c r="H45" s="23">
        <f>SUM(H10:H44)</f>
        <v/>
      </c>
      <c r="I45" s="23">
        <f>SUM(I10:I44)</f>
        <v/>
      </c>
      <c r="J45" s="23">
        <f>SUM(J10:J44)</f>
        <v/>
      </c>
      <c r="K45" s="24">
        <f>IF(E45&gt;0, F45/E45, 0)</f>
        <v/>
      </c>
      <c r="L45" s="22">
        <f>IF(K45&gt;=1,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08/10/2026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2,460 u</t>
        </is>
      </c>
      <c r="E6" s="4" t="n"/>
      <c r="F6" s="26" t="inlineStr">
        <is>
          <t>14.4%</t>
        </is>
      </c>
      <c r="G6" s="4" t="n"/>
      <c r="H6" s="26" t="inlineStr">
        <is>
          <t>14,640 u</t>
        </is>
      </c>
      <c r="I6" s="4" t="n"/>
      <c r="J6" s="25" t="inlineStr">
        <is>
          <t>1,000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AGXK0200</t>
        </is>
      </c>
      <c r="D10" s="28" t="inlineStr">
        <is>
          <t>AGROXILATO-K, 200 L</t>
        </is>
      </c>
      <c r="E10" s="15" t="n">
        <v>1600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8" t="inlineStr">
        <is>
          <t>Sin Pedido</t>
        </is>
      </c>
    </row>
    <row r="11">
      <c r="B11" s="31" t="inlineStr">
        <is>
          <t>AGROQUIMICAS DRAGO S.L.</t>
        </is>
      </c>
      <c r="C11" s="32" t="inlineStr">
        <is>
          <t>AN0020</t>
        </is>
      </c>
      <c r="D11" s="31" t="inlineStr">
        <is>
          <t>ALCAPLANT NEW, 20 KG</t>
        </is>
      </c>
      <c r="E11" s="19" t="n">
        <v>1100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CABRERA MORALES FRANCISCO</t>
        </is>
      </c>
      <c r="C12" s="29" t="inlineStr">
        <is>
          <t>ANAE0005</t>
        </is>
      </c>
      <c r="D12" s="28" t="inlineStr">
        <is>
          <t>ALCAPLANT NEW AE, 5 KG</t>
        </is>
      </c>
      <c r="E12" s="15" t="n">
        <v>6600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8" t="inlineStr">
        <is>
          <t>Sin Pedido</t>
        </is>
      </c>
    </row>
    <row r="13">
      <c r="B13" s="31" t="inlineStr">
        <is>
          <t>CODIMED EXPORT,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0</v>
      </c>
      <c r="F13" s="19" t="n">
        <v>300</v>
      </c>
      <c r="G13" s="19" t="n">
        <v>300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Extra Estimación</t>
        </is>
      </c>
    </row>
    <row r="14">
      <c r="B14" s="28" t="inlineStr">
        <is>
          <t>CODIMED EXPORT, S.L.</t>
        </is>
      </c>
      <c r="C14" s="29" t="inlineStr">
        <is>
          <t>C-L0005</t>
        </is>
      </c>
      <c r="D14" s="28" t="inlineStr">
        <is>
          <t>CODIBOR-L, 5 L</t>
        </is>
      </c>
      <c r="E14" s="15" t="n">
        <v>200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8" t="inlineStr">
        <is>
          <t>Sin Pedido</t>
        </is>
      </c>
    </row>
    <row r="15">
      <c r="B15" s="31" t="inlineStr">
        <is>
          <t>CODIMED EXPORT, S.L.</t>
        </is>
      </c>
      <c r="C15" s="32" t="inlineStr">
        <is>
          <t>C-L0020</t>
        </is>
      </c>
      <c r="D15" s="31" t="inlineStr">
        <is>
          <t>CODIBOR-L,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CODIMED EXPORT, S.L.</t>
        </is>
      </c>
      <c r="C16" s="29" t="inlineStr">
        <is>
          <t>JF1000</t>
        </is>
      </c>
      <c r="D16" s="28" t="inlineStr">
        <is>
          <t>CODIGIN-FOS, 1000 L</t>
        </is>
      </c>
      <c r="E16" s="15" t="n">
        <v>0</v>
      </c>
      <c r="F16" s="15" t="n">
        <v>1000</v>
      </c>
      <c r="G16" s="15" t="n">
        <v>0</v>
      </c>
      <c r="H16" s="15" t="n">
        <v>1000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4" t="inlineStr">
        <is>
          <t>Extra Estimación</t>
        </is>
      </c>
    </row>
    <row r="17">
      <c r="B17" s="31" t="inlineStr">
        <is>
          <t>CODIMED EXPORT, S.L.</t>
        </is>
      </c>
      <c r="C17" s="32" t="inlineStr">
        <is>
          <t>PT0005</t>
        </is>
      </c>
      <c r="D17" s="31" t="inlineStr">
        <is>
          <t>AGROPOTASION, 5 L</t>
        </is>
      </c>
      <c r="E17" s="19" t="n">
        <v>0</v>
      </c>
      <c r="F17" s="19" t="n">
        <v>200</v>
      </c>
      <c r="G17" s="19" t="n">
        <v>200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Extra Estimación</t>
        </is>
      </c>
    </row>
    <row r="18">
      <c r="B18" s="28" t="inlineStr">
        <is>
          <t>CODIMED EXPORT, S.L.</t>
        </is>
      </c>
      <c r="C18" s="29" t="inlineStr">
        <is>
          <t>PT0020</t>
        </is>
      </c>
      <c r="D18" s="28" t="inlineStr">
        <is>
          <t>AGROPOTASION, 20 L</t>
        </is>
      </c>
      <c r="E18" s="15" t="n">
        <v>0</v>
      </c>
      <c r="F18" s="15" t="n">
        <v>320</v>
      </c>
      <c r="G18" s="15" t="n">
        <v>320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Extra Estimación</t>
        </is>
      </c>
    </row>
    <row r="19">
      <c r="B19" s="31" t="inlineStr">
        <is>
          <t>FITOSANITARIOS CARCAIXENT, S.L.</t>
        </is>
      </c>
      <c r="C19" s="32" t="inlineStr">
        <is>
          <t>PT0020</t>
        </is>
      </c>
      <c r="D19" s="31" t="inlineStr">
        <is>
          <t>AGROPOTASION, 20 L</t>
        </is>
      </c>
      <c r="E19" s="19" t="n">
        <v>0</v>
      </c>
      <c r="F19" s="19" t="n">
        <v>640</v>
      </c>
      <c r="G19" s="19" t="n">
        <v>640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Extra Estimación</t>
        </is>
      </c>
    </row>
    <row r="20">
      <c r="B20" s="28" t="inlineStr">
        <is>
          <t>FITOXENT S.C.L.V.</t>
        </is>
      </c>
      <c r="C20" s="29" t="inlineStr">
        <is>
          <t>FTK0005</t>
        </is>
      </c>
      <c r="D20" s="28" t="inlineStr">
        <is>
          <t>FITOKONTROL CA FLOW, 5 KG</t>
        </is>
      </c>
      <c r="E20" s="15" t="n">
        <v>4400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8" t="inlineStr">
        <is>
          <t>Sin Pedido</t>
        </is>
      </c>
    </row>
    <row r="21">
      <c r="B21" s="31" t="inlineStr">
        <is>
          <t>FITOXENT S.C.L.V.</t>
        </is>
      </c>
      <c r="C21" s="32" t="inlineStr">
        <is>
          <t>PT0020</t>
        </is>
      </c>
      <c r="D21" s="31" t="inlineStr">
        <is>
          <t>AGROPOTASION, 20 L</t>
        </is>
      </c>
      <c r="E21" s="19" t="n">
        <v>2560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Sin Pedido</t>
        </is>
      </c>
    </row>
    <row r="22" ht="24" customHeight="1">
      <c r="B22" s="21" t="inlineStr">
        <is>
          <t>TOTAL JAVIER</t>
        </is>
      </c>
      <c r="C22" s="36" t="inlineStr">
        <is>
          <t>175 líneas</t>
        </is>
      </c>
      <c r="D22" s="37" t="inlineStr"/>
      <c r="E22" s="23">
        <f>SUM(E10:E21)</f>
        <v/>
      </c>
      <c r="F22" s="23">
        <f>SUM(F10:F21)</f>
        <v/>
      </c>
      <c r="G22" s="23">
        <f>SUM(G10:G21)</f>
        <v/>
      </c>
      <c r="H22" s="23">
        <f>SUM(H10:H21)</f>
        <v/>
      </c>
      <c r="I22" s="23">
        <f>SUM(I10:I21)</f>
        <v/>
      </c>
      <c r="J22" s="23">
        <f>SUM(J10:J21)</f>
        <v/>
      </c>
      <c r="K22" s="24">
        <f>IF(E22&gt;0, F22/E22, 0)</f>
        <v/>
      </c>
      <c r="L22" s="22">
        <f>IF(K22&gt;=1,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08/10/2026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8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8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8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 ht="24" customHeight="1">
      <c r="B16" s="21" t="inlineStr">
        <is>
          <t>TOTAL MEHMET</t>
        </is>
      </c>
      <c r="C16" s="36" t="inlineStr">
        <is>
          <t>61 líneas</t>
        </is>
      </c>
      <c r="D16" s="37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08/10/2026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4,680 u</t>
        </is>
      </c>
      <c r="E6" s="4" t="n"/>
      <c r="F6" s="26" t="inlineStr">
        <is>
          <t>27.0%</t>
        </is>
      </c>
      <c r="G6" s="4" t="n"/>
      <c r="H6" s="26" t="inlineStr">
        <is>
          <t>12,660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8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8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8" t="inlineStr">
        <is>
          <t>Sin Pedido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8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800</v>
      </c>
      <c r="G24" s="15" t="n">
        <v>800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 ht="24" customHeight="1">
      <c r="B25" s="21" t="inlineStr">
        <is>
          <t>TOTAL PEDRO</t>
        </is>
      </c>
      <c r="C25" s="36" t="inlineStr">
        <is>
          <t>104 líneas</t>
        </is>
      </c>
      <c r="D25" s="37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08/10/2026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46,000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8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 ht="24" customHeight="1">
      <c r="B12" s="21" t="inlineStr">
        <is>
          <t>TOTAL RICARDO</t>
        </is>
      </c>
      <c r="C12" s="36" t="inlineStr">
        <is>
          <t>115 líneas</t>
        </is>
      </c>
      <c r="D12" s="37" t="inlineStr"/>
      <c r="E12" s="23">
        <f>SUM(E10:E11)</f>
        <v/>
      </c>
      <c r="F12" s="23">
        <f>SUM(F10:F11)</f>
        <v/>
      </c>
      <c r="G12" s="23">
        <f>SUM(G10:G11)</f>
        <v/>
      </c>
      <c r="H12" s="23">
        <f>SUM(H10:H11)</f>
        <v/>
      </c>
      <c r="I12" s="23">
        <f>SUM(I10:I11)</f>
        <v/>
      </c>
      <c r="J12" s="23">
        <f>SUM(J10:J11)</f>
        <v/>
      </c>
      <c r="K12" s="24">
        <f>IF(E12&gt;0, F12/E12, 0)</f>
        <v/>
      </c>
      <c r="L12" s="22">
        <f>IF(K12&gt;=1,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2026-10-08T05:30:35Z</dcterms:created>
  <dcterms:modified xmlns:dcterms="http://purl.org/dc/terms/" xmlns:xsi="http://www.w3.org/2001/XMLSchema-instance" xsi:type="dcterms:W3CDTF">2026-10-08T05:30:36Z</dcterms:modified>
</cp:coreProperties>
</file>