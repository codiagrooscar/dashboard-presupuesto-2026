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siones_Pedro" sheetId="1" state="visible" r:id="rId1"/>
  </sheets>
  <definedNames/>
  <calcPr calcId="124519" fullCalcOnLoad="1"/>
</workbook>
</file>

<file path=xl/styles.xml><?xml version="1.0" encoding="utf-8"?>
<styleSheet xmlns="http://schemas.openxmlformats.org/spreadsheetml/2006/main">
  <numFmts count="4">
    <numFmt numFmtId="164" formatCode="#,##0&quot; u&quot;"/>
    <numFmt numFmtId="165" formatCode="0.0%"/>
    <numFmt numFmtId="166" formatCode="+#,##0 u;-#,##0 u;0 u"/>
    <numFmt numFmtId="167" formatCode="+#,##0;-#,##0;0"/>
  </numFmts>
  <fonts count="17">
    <font>
      <name val="Calibri"/>
      <family val="2"/>
      <color theme="1"/>
      <sz val="11"/>
      <scheme val="minor"/>
    </font>
    <font>
      <name val="Segoe UI"/>
      <b val="1"/>
      <color rgb="00FFFFFF"/>
      <sz val="15"/>
    </font>
    <font>
      <name val="Segoe UI"/>
      <i val="1"/>
      <color rgb="00E2E8F0"/>
      <sz val="10"/>
    </font>
    <font>
      <name val="Segoe UI"/>
      <b val="1"/>
      <color rgb="001E293B"/>
      <sz val="9"/>
    </font>
    <font>
      <name val="Segoe UI"/>
      <b val="1"/>
      <color rgb="00334155"/>
      <sz val="9"/>
    </font>
    <font>
      <name val="Segoe UI"/>
      <b val="1"/>
      <color rgb="002563EB"/>
      <sz val="15"/>
    </font>
    <font>
      <name val="Segoe UI"/>
      <b val="1"/>
      <color rgb="00047857"/>
      <sz val="15"/>
    </font>
    <font>
      <name val="Segoe UI"/>
      <b val="1"/>
      <color rgb="000284C7"/>
      <sz val="15"/>
    </font>
    <font>
      <name val="Segoe UI"/>
      <b val="1"/>
      <color rgb="00475569"/>
      <sz val="15"/>
    </font>
    <font>
      <name val="Segoe UI"/>
      <b val="1"/>
      <color rgb="00D97706"/>
      <sz val="15"/>
    </font>
    <font>
      <name val="Segoe UI"/>
      <b val="1"/>
      <color rgb="00FFFFFF"/>
      <sz val="10"/>
    </font>
    <font>
      <name val="Segoe UI"/>
      <b val="1"/>
      <color rgb="00FFFFFF"/>
      <sz val="9"/>
    </font>
    <font>
      <name val="Segoe UI"/>
      <color rgb="00000000"/>
      <sz val="9"/>
    </font>
    <font>
      <name val="Consolas"/>
      <b val="1"/>
      <color rgb="001E293B"/>
      <sz val="9"/>
    </font>
    <font>
      <name val="Segoe UI"/>
      <b val="1"/>
      <color rgb="001E3A8A"/>
      <sz val="9"/>
    </font>
    <font>
      <name val="Segoe UI"/>
      <b val="1"/>
      <color rgb="00064E3B"/>
      <sz val="9"/>
    </font>
    <font>
      <name val="Segoe UI"/>
      <b val="1"/>
      <sz val="9"/>
    </font>
  </fonts>
  <fills count="21">
    <fill>
      <patternFill/>
    </fill>
    <fill>
      <patternFill patternType="gray125"/>
    </fill>
    <fill>
      <patternFill patternType="solid">
        <fgColor rgb="000F172A"/>
        <bgColor rgb="000F172A"/>
      </patternFill>
    </fill>
    <fill>
      <patternFill patternType="solid">
        <fgColor rgb="00FEF9C3"/>
        <bgColor rgb="00FEF9C3"/>
      </patternFill>
    </fill>
    <fill>
      <patternFill patternType="solid">
        <fgColor rgb="00DBEAFE"/>
        <bgColor rgb="00DBEAFE"/>
      </patternFill>
    </fill>
    <fill>
      <patternFill patternType="solid">
        <fgColor rgb="00D1FAE5"/>
        <bgColor rgb="00D1FAE5"/>
      </patternFill>
    </fill>
    <fill>
      <patternFill patternType="solid">
        <fgColor rgb="00E0F2FE"/>
        <bgColor rgb="00E0F2FE"/>
      </patternFill>
    </fill>
    <fill>
      <patternFill patternType="solid">
        <fgColor rgb="00F1F5F9"/>
        <bgColor rgb="00F1F5F9"/>
      </patternFill>
    </fill>
    <fill>
      <patternFill patternType="solid">
        <fgColor rgb="00ECFDF5"/>
        <bgColor rgb="00ECFDF5"/>
      </patternFill>
    </fill>
    <fill>
      <patternFill patternType="solid">
        <fgColor rgb="00FEF3C7"/>
        <bgColor rgb="00FEF3C7"/>
      </patternFill>
    </fill>
    <fill>
      <patternFill patternType="solid">
        <fgColor rgb="001E293B"/>
        <bgColor rgb="001E293B"/>
      </patternFill>
    </fill>
    <fill>
      <patternFill patternType="solid">
        <fgColor rgb="001D4ED8"/>
        <bgColor rgb="001D4ED8"/>
      </patternFill>
    </fill>
    <fill>
      <patternFill patternType="solid">
        <fgColor rgb="00047857"/>
        <bgColor rgb="00047857"/>
      </patternFill>
    </fill>
    <fill>
      <patternFill patternType="solid">
        <fgColor rgb="00475569"/>
        <bgColor rgb="00475569"/>
      </patternFill>
    </fill>
    <fill>
      <patternFill patternType="solid">
        <fgColor rgb="00334155"/>
        <bgColor rgb="00334155"/>
      </patternFill>
    </fill>
    <fill>
      <patternFill patternType="solid">
        <fgColor rgb="002563EB"/>
        <bgColor rgb="002563EB"/>
      </patternFill>
    </fill>
    <fill>
      <patternFill patternType="solid">
        <fgColor rgb="00059669"/>
        <bgColor rgb="00059669"/>
      </patternFill>
    </fill>
    <fill>
      <patternFill patternType="solid">
        <fgColor rgb="0064748B"/>
        <bgColor rgb="0064748B"/>
      </patternFill>
    </fill>
    <fill>
      <patternFill patternType="solid">
        <fgColor rgb="00FFFFFF"/>
        <bgColor rgb="00FFFFFF"/>
      </patternFill>
    </fill>
    <fill>
      <patternFill patternType="solid">
        <fgColor rgb="00FEFCE8"/>
        <bgColor rgb="00FEFCE8"/>
      </patternFill>
    </fill>
    <fill>
      <patternFill patternType="solid">
        <fgColor rgb="00F8FAFC"/>
        <bgColor rgb="00F8FAFC"/>
      </patternFill>
    </fill>
  </fills>
  <borders count="4">
    <border>
      <left/>
      <right/>
      <top/>
      <bottom/>
      <diagonal/>
    </border>
    <border>
      <left style="thin">
        <color rgb="00CBD5E1"/>
      </left>
      <right style="thin">
        <color rgb="00CBD5E1"/>
      </right>
      <top style="thin">
        <color rgb="00CBD5E1"/>
      </top>
      <bottom style="thin">
        <color rgb="00CBD5E1"/>
      </bottom>
    </border>
    <border>
      <left style="thin">
        <color rgb="0010B981"/>
      </left>
      <right style="thin">
        <color rgb="0010B981"/>
      </right>
      <top style="thin">
        <color rgb="0010B981"/>
      </top>
      <bottom style="thin">
        <color rgb="0010B981"/>
      </bottom>
    </border>
    <border>
      <left style="thin">
        <color rgb="00CBD5E1"/>
      </left>
      <right style="thin">
        <color rgb="00CBD5E1"/>
      </right>
      <top style="medium">
        <color rgb="0038BDF8"/>
      </top>
      <bottom style="double">
        <color rgb="0038BDF8"/>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164" fontId="5" fillId="4" borderId="0" applyAlignment="1" pivotButton="0" quotePrefix="0" xfId="0">
      <alignment horizontal="center" vertical="center"/>
    </xf>
    <xf numFmtId="164" fontId="6" fillId="5" borderId="0" applyAlignment="1" pivotButton="0" quotePrefix="0" xfId="0">
      <alignment horizontal="center" vertical="center"/>
    </xf>
    <xf numFmtId="165" fontId="7" fillId="6" borderId="0" applyAlignment="1" pivotButton="0" quotePrefix="0" xfId="0">
      <alignment horizontal="center" vertical="center"/>
    </xf>
    <xf numFmtId="164" fontId="8" fillId="7" borderId="0" applyAlignment="1" pivotButton="0" quotePrefix="0" xfId="0">
      <alignment horizontal="center" vertical="center"/>
    </xf>
    <xf numFmtId="164" fontId="6" fillId="8" borderId="0" applyAlignment="1" pivotButton="0" quotePrefix="0" xfId="0">
      <alignment horizontal="center" vertical="center"/>
    </xf>
    <xf numFmtId="166" fontId="9" fillId="9" borderId="0" applyAlignment="1" pivotButton="0" quotePrefix="0" xfId="0">
      <alignment horizontal="center" vertical="center"/>
    </xf>
    <xf numFmtId="0" fontId="10" fillId="10" borderId="0" applyAlignment="1" pivotButton="0" quotePrefix="0" xfId="0">
      <alignment horizontal="center" vertical="center"/>
    </xf>
    <xf numFmtId="0" fontId="10" fillId="11" borderId="0" applyAlignment="1" pivotButton="0" quotePrefix="0" xfId="0">
      <alignment horizontal="center" vertical="center"/>
    </xf>
    <xf numFmtId="0" fontId="10" fillId="12" borderId="0" applyAlignment="1" pivotButton="0" quotePrefix="0" xfId="0">
      <alignment horizontal="center" vertical="center"/>
    </xf>
    <xf numFmtId="0" fontId="10" fillId="13" borderId="0" applyAlignment="1" pivotButton="0" quotePrefix="0" xfId="0">
      <alignment horizontal="center" vertical="center"/>
    </xf>
    <xf numFmtId="0" fontId="11" fillId="14" borderId="1" applyAlignment="1" pivotButton="0" quotePrefix="0" xfId="0">
      <alignment horizontal="center" vertical="center" wrapText="1"/>
    </xf>
    <xf numFmtId="0" fontId="11" fillId="15" borderId="1" applyAlignment="1" pivotButton="0" quotePrefix="0" xfId="0">
      <alignment horizontal="center" vertical="center" wrapText="1"/>
    </xf>
    <xf numFmtId="0" fontId="11"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2" fillId="18" borderId="1" applyAlignment="1" pivotButton="0" quotePrefix="0" xfId="0">
      <alignment horizontal="center" vertical="center"/>
    </xf>
    <xf numFmtId="0" fontId="12" fillId="18" borderId="1" applyAlignment="1" pivotButton="0" quotePrefix="0" xfId="0">
      <alignment horizontal="left" vertical="center"/>
    </xf>
    <xf numFmtId="0" fontId="13" fillId="18" borderId="1" applyAlignment="1" pivotButton="0" quotePrefix="0" xfId="0">
      <alignment horizontal="center" vertical="center"/>
    </xf>
    <xf numFmtId="3" fontId="12" fillId="7" borderId="1" applyAlignment="1" pivotButton="0" quotePrefix="0" xfId="0">
      <alignment horizontal="right" vertical="center"/>
    </xf>
    <xf numFmtId="3" fontId="14" fillId="18" borderId="1" applyAlignment="1" pivotButton="0" quotePrefix="0" xfId="0">
      <alignment horizontal="right" vertical="center"/>
    </xf>
    <xf numFmtId="3" fontId="12" fillId="0" borderId="1" applyAlignment="1" pivotButton="0" quotePrefix="0" xfId="0">
      <alignment horizontal="right" vertical="center"/>
    </xf>
    <xf numFmtId="165" fontId="12" fillId="0" borderId="1" applyAlignment="1" pivotButton="0" quotePrefix="0" xfId="0">
      <alignment horizontal="right" vertical="center"/>
    </xf>
    <xf numFmtId="0" fontId="12" fillId="19" borderId="1" applyAlignment="1" pivotButton="0" quotePrefix="0" xfId="0">
      <alignment horizontal="left" vertical="center"/>
    </xf>
    <xf numFmtId="3" fontId="15" fillId="8" borderId="2" applyAlignment="1" pivotButton="0" quotePrefix="0" xfId="0">
      <alignment horizontal="right" vertical="center"/>
    </xf>
    <xf numFmtId="167" fontId="16" fillId="0" borderId="1" applyAlignment="1" pivotButton="0" quotePrefix="0" xfId="0">
      <alignment horizontal="right" vertical="center"/>
    </xf>
    <xf numFmtId="0" fontId="12" fillId="0" borderId="1" applyAlignment="1" pivotButton="0" quotePrefix="0" xfId="0">
      <alignment horizontal="left" vertical="center"/>
    </xf>
    <xf numFmtId="0" fontId="12" fillId="20" borderId="1" applyAlignment="1" pivotButton="0" quotePrefix="0" xfId="0">
      <alignment horizontal="center" vertical="center"/>
    </xf>
    <xf numFmtId="0" fontId="12" fillId="20" borderId="1" applyAlignment="1" pivotButton="0" quotePrefix="0" xfId="0">
      <alignment horizontal="left" vertical="center"/>
    </xf>
    <xf numFmtId="0" fontId="13" fillId="20" borderId="1" applyAlignment="1" pivotButton="0" quotePrefix="0" xfId="0">
      <alignment horizontal="center" vertical="center"/>
    </xf>
    <xf numFmtId="3" fontId="14" fillId="20" borderId="1" applyAlignment="1" pivotButton="0" quotePrefix="0" xfId="0">
      <alignment horizontal="right" vertical="center"/>
    </xf>
    <xf numFmtId="0" fontId="10" fillId="2" borderId="3" applyAlignment="1" pivotButton="0" quotePrefix="0" xfId="0">
      <alignment horizontal="center" vertical="center"/>
    </xf>
    <xf numFmtId="0" fontId="0" fillId="2" borderId="3" pivotButton="0" quotePrefix="0" xfId="0"/>
    <xf numFmtId="3" fontId="10" fillId="2" borderId="3" applyAlignment="1" pivotButton="0" quotePrefix="0" xfId="0">
      <alignment horizontal="right" vertical="center"/>
    </xf>
    <xf numFmtId="165" fontId="10" fillId="2" borderId="3" applyAlignment="1" pivotButton="0" quotePrefix="0" xfId="0">
      <alignment horizontal="right" vertical="center"/>
    </xf>
    <xf numFmtId="0" fontId="10" fillId="2" borderId="3" applyAlignment="1" pivotButton="0" quotePrefix="0" xfId="0">
      <alignment horizontal="right" vertical="center"/>
    </xf>
    <xf numFmtId="167" fontId="10" fillId="2" borderId="3"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R54"/>
  <sheetViews>
    <sheetView showGridLines="1" workbookViewId="0">
      <selection activeCell="A1" sqref="A1"/>
    </sheetView>
  </sheetViews>
  <sheetFormatPr baseColWidth="8" defaultRowHeight="15"/>
  <cols>
    <col width="3" customWidth="1" min="1" max="1"/>
    <col width="14" customWidth="1" min="2" max="2"/>
    <col width="34" customWidth="1" min="3" max="3"/>
    <col width="15" customWidth="1" min="4" max="4"/>
    <col width="32" customWidth="1" min="5" max="5"/>
    <col width="16" customWidth="1" min="6" max="6"/>
    <col width="16" customWidth="1" min="7" max="7"/>
    <col width="16" customWidth="1" min="8" max="8"/>
    <col width="14"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4" customWidth="1" min="17" max="17"/>
    <col width="30" customWidth="1" min="18" max="18"/>
  </cols>
  <sheetData>
    <row r="2" ht="30" customHeight="1">
      <c r="B2" s="1" t="inlineStr">
        <is>
          <t>CODIAGRO · ACTUALIZACIÓN DE PREVISIONES COMERCIALES Q4 2026 (OCTUBRE - DICIEMBRE)</t>
        </is>
      </c>
    </row>
    <row r="3" ht="20" customHeight="1">
      <c r="B3" s="2" t="inlineStr">
        <is>
          <t>DELEGADO COMERCIAL: PEDRO | Real Octubre a Fecha de Hoy (27/10/2026) vs Previsiones a Final de Año | Generado: 27/10/2026</t>
        </is>
      </c>
    </row>
    <row r="4" ht="24" customHeight="1">
      <c r="B4" s="3" t="inlineStr">
        <is>
          <t>📌 INSTRUCCIONES: 1) Revise el bloque de OCTUBRE (Previsión Vigente, Real a 27/10 y Desviación) e indique en col. J el comentario correspondiente. 2) En las columnas verdes (L y N), revise y actualice sus cantidades estimadas de NOVIEMBRE y DICIEMBRE. 3) Comente en col. R cualquier justificación relevante sobre la variación total del Q4.</t>
        </is>
      </c>
    </row>
    <row r="5" ht="18" customHeight="1">
      <c r="B5" s="4" t="inlineStr">
        <is>
          <t>PREVISIÓN OCTUBRE VIGENTE (U)</t>
        </is>
      </c>
      <c r="E5" s="5" t="inlineStr">
        <is>
          <t>REAL OCTUBRE A 27/10 (U)</t>
        </is>
      </c>
      <c r="H5" s="6" t="inlineStr">
        <is>
          <t>% CONSECUCIÓN A FECHA DE HOY</t>
        </is>
      </c>
      <c r="J5" s="7" t="inlineStr">
        <is>
          <t>PREVISIÓN VIGENTE Q4 (U)</t>
        </is>
      </c>
      <c r="M5" s="8" t="inlineStr">
        <is>
          <t>PREVISIÓN REVISADA Q4 (U)</t>
        </is>
      </c>
      <c r="P5" s="9" t="inlineStr">
        <is>
          <t>VARIACIÓN NETA Q4 (U)</t>
        </is>
      </c>
    </row>
    <row r="6" ht="26" customHeight="1">
      <c r="B6" s="10">
        <f>F54</f>
        <v/>
      </c>
      <c r="E6" s="11">
        <f>G54</f>
        <v/>
      </c>
      <c r="H6" s="12">
        <f>I54</f>
        <v/>
      </c>
      <c r="J6" s="13">
        <f>O54</f>
        <v/>
      </c>
      <c r="M6" s="14">
        <f>P54</f>
        <v/>
      </c>
      <c r="P6" s="15">
        <f>Q54</f>
        <v/>
      </c>
    </row>
    <row r="8" ht="22" customHeight="1">
      <c r="B8" s="16" t="inlineStr">
        <is>
          <t>DATOS CLIENTE Y ARTÍCULO</t>
        </is>
      </c>
      <c r="F8" s="17" t="inlineStr">
        <is>
          <t>OCTUBRE 2026 (EN CURSO - REAL AL 27/10/2026)</t>
        </is>
      </c>
      <c r="K8" s="18" t="inlineStr">
        <is>
          <t>REVISIÓN PREVISIONES (NOVIEMBRE Y DICIEMBRE 2026)</t>
        </is>
      </c>
      <c r="O8" s="19" t="inlineStr">
        <is>
          <t>IMPACTO TOTAL Q4 Y JUSTIFICACIÓN</t>
        </is>
      </c>
    </row>
    <row r="9" ht="28" customHeight="1">
      <c r="B9" s="20" t="inlineStr">
        <is>
          <t>País</t>
        </is>
      </c>
      <c r="C9" s="20" t="inlineStr">
        <is>
          <t>Cliente</t>
        </is>
      </c>
      <c r="D9" s="20" t="inlineStr">
        <is>
          <t>Cód. SKU</t>
        </is>
      </c>
      <c r="E9" s="20" t="inlineStr">
        <is>
          <t>Descripción Artículo</t>
        </is>
      </c>
      <c r="F9" s="21" t="inlineStr">
        <is>
          <t>Oct Prev. Vigente (u)</t>
        </is>
      </c>
      <c r="G9" s="21" t="inlineStr">
        <is>
          <t>Oct Real a 27/10 (u)</t>
        </is>
      </c>
      <c r="H9" s="21" t="inlineStr">
        <is>
          <t>Pendiente / Desv. (u)</t>
        </is>
      </c>
      <c r="I9" s="21" t="inlineStr">
        <is>
          <t>% Consec. a 27/10</t>
        </is>
      </c>
      <c r="J9" s="21" t="inlineStr">
        <is>
          <t>Comentario Octubre (¿Cierre previsto / Atraso / Extra?)</t>
        </is>
      </c>
      <c r="K9" s="22" t="inlineStr">
        <is>
          <t>Nov Prev. Anterior (u)</t>
        </is>
      </c>
      <c r="L9" s="22" t="inlineStr">
        <is>
          <t>Nov Revisado (u)</t>
        </is>
      </c>
      <c r="M9" s="22" t="inlineStr">
        <is>
          <t>Dic Prev. Anterior (u)</t>
        </is>
      </c>
      <c r="N9" s="22" t="inlineStr">
        <is>
          <t>Dic Revisado (u)</t>
        </is>
      </c>
      <c r="O9" s="23" t="inlineStr">
        <is>
          <t>Total Q4 Ant (u)</t>
        </is>
      </c>
      <c r="P9" s="23" t="inlineStr">
        <is>
          <t>Total Q4 Rev (u)</t>
        </is>
      </c>
      <c r="Q9" s="23" t="inlineStr">
        <is>
          <t>Dif Q4 (u)</t>
        </is>
      </c>
      <c r="R9" s="23" t="inlineStr">
        <is>
          <t>Comentarios / Justificación Q4</t>
        </is>
      </c>
    </row>
    <row r="10" ht="19" customHeight="1">
      <c r="B10" s="24" t="inlineStr">
        <is>
          <t>ESPAÑA</t>
        </is>
      </c>
      <c r="C10" s="25" t="inlineStr">
        <is>
          <t>ASESORAMIENTO TECNICO DE CULTIVOS, S.L.</t>
        </is>
      </c>
      <c r="D10" s="26" t="inlineStr">
        <is>
          <t>AGXK0020</t>
        </is>
      </c>
      <c r="E10" s="25" t="inlineStr">
        <is>
          <t>AGROXILATO-K, 20 L</t>
        </is>
      </c>
      <c r="F10" s="27" t="n">
        <v>640</v>
      </c>
      <c r="G10" s="28" t="n">
        <v>640</v>
      </c>
      <c r="H10" s="29">
        <f>ABS(G10-F10)</f>
        <v/>
      </c>
      <c r="I10" s="30">
        <f>IF(F10&gt;0, G10/F10, IF(G10&gt;0, 1.0, 0.0))</f>
        <v/>
      </c>
      <c r="J10" s="31" t="inlineStr">
        <is>
          <t>Cierre según previsto</t>
        </is>
      </c>
      <c r="K10" s="27" t="n">
        <v>0</v>
      </c>
      <c r="L10" s="32" t="n">
        <v>0</v>
      </c>
      <c r="M10" s="27" t="n">
        <v>0</v>
      </c>
      <c r="N10" s="32" t="n">
        <v>0</v>
      </c>
      <c r="O10" s="27">
        <f>F10+K10+M10</f>
        <v/>
      </c>
      <c r="P10" s="32">
        <f>F10+L10+N10</f>
        <v/>
      </c>
      <c r="Q10" s="33">
        <f>P10-O10</f>
        <v/>
      </c>
      <c r="R10" s="34" t="inlineStr"/>
    </row>
    <row r="11" ht="19" customHeight="1">
      <c r="B11" s="35" t="inlineStr">
        <is>
          <t>ESPAÑA</t>
        </is>
      </c>
      <c r="C11" s="36" t="inlineStr">
        <is>
          <t>ASESORAMIENTO TECNICO DE CULTIVOS, S.L.</t>
        </is>
      </c>
      <c r="D11" s="37" t="inlineStr">
        <is>
          <t>B0005</t>
        </is>
      </c>
      <c r="E11" s="36" t="inlineStr">
        <is>
          <t>BOROCAL, 5 L</t>
        </is>
      </c>
      <c r="F11" s="27" t="n">
        <v>300</v>
      </c>
      <c r="G11" s="38" t="n">
        <v>0</v>
      </c>
      <c r="H11" s="29">
        <f>ABS(G11-F11)</f>
        <v/>
      </c>
      <c r="I11" s="30">
        <f>IF(F11&gt;0, G11/F11, IF(G11&gt;0, 1.0, 0.0))</f>
        <v/>
      </c>
      <c r="J11" s="31" t="inlineStr"/>
      <c r="K11" s="27" t="n">
        <v>0</v>
      </c>
      <c r="L11" s="32" t="n">
        <v>0</v>
      </c>
      <c r="M11" s="27" t="n">
        <v>0</v>
      </c>
      <c r="N11" s="32" t="n">
        <v>0</v>
      </c>
      <c r="O11" s="27">
        <f>F11+K11+M11</f>
        <v/>
      </c>
      <c r="P11" s="32">
        <f>F11+L11+N11</f>
        <v/>
      </c>
      <c r="Q11" s="33">
        <f>P11-O11</f>
        <v/>
      </c>
      <c r="R11" s="34" t="inlineStr"/>
    </row>
    <row r="12" ht="19" customHeight="1">
      <c r="B12" s="24" t="inlineStr">
        <is>
          <t>ESPAÑA</t>
        </is>
      </c>
      <c r="C12" s="25" t="inlineStr">
        <is>
          <t>ASESORAMIENTO TECNICO DE CULTIVOS, S.L.</t>
        </is>
      </c>
      <c r="D12" s="26" t="inlineStr">
        <is>
          <t>B0020</t>
        </is>
      </c>
      <c r="E12" s="25" t="inlineStr">
        <is>
          <t>BOROCAL, 20 L</t>
        </is>
      </c>
      <c r="F12" s="27" t="n">
        <v>1280</v>
      </c>
      <c r="G12" s="28" t="n">
        <v>0</v>
      </c>
      <c r="H12" s="29">
        <f>ABS(G12-F12)</f>
        <v/>
      </c>
      <c r="I12" s="30">
        <f>IF(F12&gt;0, G12/F12, IF(G12&gt;0, 1.0, 0.0))</f>
        <v/>
      </c>
      <c r="J12" s="31" t="inlineStr"/>
      <c r="K12" s="27" t="n">
        <v>640</v>
      </c>
      <c r="L12" s="32" t="n">
        <v>640</v>
      </c>
      <c r="M12" s="27" t="n">
        <v>0</v>
      </c>
      <c r="N12" s="32" t="n">
        <v>0</v>
      </c>
      <c r="O12" s="27">
        <f>F12+K12+M12</f>
        <v/>
      </c>
      <c r="P12" s="32">
        <f>F12+L12+N12</f>
        <v/>
      </c>
      <c r="Q12" s="33">
        <f>P12-O12</f>
        <v/>
      </c>
      <c r="R12" s="34" t="inlineStr"/>
    </row>
    <row r="13" ht="19" customHeight="1">
      <c r="B13" s="35" t="inlineStr">
        <is>
          <t>ESPAÑA</t>
        </is>
      </c>
      <c r="C13" s="36" t="inlineStr">
        <is>
          <t>ASESORAMIENTO TECNICO DE CULTIVOS, S.L.</t>
        </is>
      </c>
      <c r="D13" s="37" t="inlineStr">
        <is>
          <t>C-CU0020</t>
        </is>
      </c>
      <c r="E13" s="36" t="inlineStr">
        <is>
          <t>CODICOBRE, 20 L</t>
        </is>
      </c>
      <c r="F13" s="27" t="n">
        <v>1280</v>
      </c>
      <c r="G13" s="38" t="n">
        <v>640</v>
      </c>
      <c r="H13" s="29">
        <f>ABS(G13-F13)</f>
        <v/>
      </c>
      <c r="I13" s="30">
        <f>IF(F13&gt;0, G13/F13, IF(G13&gt;0, 1.0, 0.0))</f>
        <v/>
      </c>
      <c r="J13" s="31" t="inlineStr"/>
      <c r="K13" s="27" t="n">
        <v>1280</v>
      </c>
      <c r="L13" s="32" t="n">
        <v>1280</v>
      </c>
      <c r="M13" s="27" t="n">
        <v>0</v>
      </c>
      <c r="N13" s="32" t="n">
        <v>0</v>
      </c>
      <c r="O13" s="27">
        <f>F13+K13+M13</f>
        <v/>
      </c>
      <c r="P13" s="32">
        <f>F13+L13+N13</f>
        <v/>
      </c>
      <c r="Q13" s="33">
        <f>P13-O13</f>
        <v/>
      </c>
      <c r="R13" s="34" t="inlineStr"/>
    </row>
    <row r="14" ht="19" customHeight="1">
      <c r="B14" s="24" t="inlineStr">
        <is>
          <t>ESPAÑA</t>
        </is>
      </c>
      <c r="C14" s="25" t="inlineStr">
        <is>
          <t>ASESORAMIENTO TECNICO DE CULTIVOS, S.L.</t>
        </is>
      </c>
      <c r="D14" s="26" t="inlineStr">
        <is>
          <t>CBASI0005</t>
        </is>
      </c>
      <c r="E14" s="25" t="inlineStr">
        <is>
          <t>BIOCULTURE BASI, 5 KG</t>
        </is>
      </c>
      <c r="F14" s="27" t="n">
        <v>500</v>
      </c>
      <c r="G14" s="28" t="n">
        <v>100</v>
      </c>
      <c r="H14" s="29">
        <f>ABS(G14-F14)</f>
        <v/>
      </c>
      <c r="I14" s="30">
        <f>IF(F14&gt;0, G14/F14, IF(G14&gt;0, 1.0, 0.0))</f>
        <v/>
      </c>
      <c r="J14" s="31" t="inlineStr"/>
      <c r="K14" s="27" t="n">
        <v>0</v>
      </c>
      <c r="L14" s="32" t="n">
        <v>0</v>
      </c>
      <c r="M14" s="27" t="n">
        <v>0</v>
      </c>
      <c r="N14" s="32" t="n">
        <v>0</v>
      </c>
      <c r="O14" s="27">
        <f>F14+K14+M14</f>
        <v/>
      </c>
      <c r="P14" s="32">
        <f>F14+L14+N14</f>
        <v/>
      </c>
      <c r="Q14" s="33">
        <f>P14-O14</f>
        <v/>
      </c>
      <c r="R14" s="34" t="inlineStr"/>
    </row>
    <row r="15" ht="19" customHeight="1">
      <c r="B15" s="35" t="inlineStr">
        <is>
          <t>ESPAÑA</t>
        </is>
      </c>
      <c r="C15" s="36" t="inlineStr">
        <is>
          <t>ASESORAMIENTO TECNICO DE CULTIVOS, S.L.</t>
        </is>
      </c>
      <c r="D15" s="37" t="inlineStr">
        <is>
          <t>PT0020</t>
        </is>
      </c>
      <c r="E15" s="36" t="inlineStr">
        <is>
          <t>AGROPOTASION, 20 L</t>
        </is>
      </c>
      <c r="F15" s="27" t="n">
        <v>1920</v>
      </c>
      <c r="G15" s="38" t="n">
        <v>640</v>
      </c>
      <c r="H15" s="29">
        <f>ABS(G15-F15)</f>
        <v/>
      </c>
      <c r="I15" s="30">
        <f>IF(F15&gt;0, G15/F15, IF(G15&gt;0, 1.0, 0.0))</f>
        <v/>
      </c>
      <c r="J15" s="31" t="inlineStr"/>
      <c r="K15" s="27" t="n">
        <v>1920</v>
      </c>
      <c r="L15" s="32" t="n">
        <v>1920</v>
      </c>
      <c r="M15" s="27" t="n">
        <v>0</v>
      </c>
      <c r="N15" s="32" t="n">
        <v>0</v>
      </c>
      <c r="O15" s="27">
        <f>F15+K15+M15</f>
        <v/>
      </c>
      <c r="P15" s="32">
        <f>F15+L15+N15</f>
        <v/>
      </c>
      <c r="Q15" s="33">
        <f>P15-O15</f>
        <v/>
      </c>
      <c r="R15" s="34" t="inlineStr"/>
    </row>
    <row r="16" ht="19" customHeight="1">
      <c r="B16" s="24" t="inlineStr">
        <is>
          <t>ESPAÑA</t>
        </is>
      </c>
      <c r="C16" s="25" t="inlineStr">
        <is>
          <t>COMERCIAL TÉCNICA FITOCARTHAGO, S.L.</t>
        </is>
      </c>
      <c r="D16" s="26" t="inlineStr">
        <is>
          <t>AGXK0200</t>
        </is>
      </c>
      <c r="E16" s="25" t="inlineStr">
        <is>
          <t>AGROXILATO-K, 200 L</t>
        </is>
      </c>
      <c r="F16" s="27" t="n">
        <v>800</v>
      </c>
      <c r="G16" s="28" t="n">
        <v>0</v>
      </c>
      <c r="H16" s="29">
        <f>ABS(G16-F16)</f>
        <v/>
      </c>
      <c r="I16" s="30">
        <f>IF(F16&gt;0, G16/F16, IF(G16&gt;0, 1.0, 0.0))</f>
        <v/>
      </c>
      <c r="J16" s="31" t="inlineStr"/>
      <c r="K16" s="27" t="n">
        <v>0</v>
      </c>
      <c r="L16" s="32" t="n">
        <v>0</v>
      </c>
      <c r="M16" s="27" t="n">
        <v>0</v>
      </c>
      <c r="N16" s="32" t="n">
        <v>0</v>
      </c>
      <c r="O16" s="27">
        <f>F16+K16+M16</f>
        <v/>
      </c>
      <c r="P16" s="32">
        <f>F16+L16+N16</f>
        <v/>
      </c>
      <c r="Q16" s="33">
        <f>P16-O16</f>
        <v/>
      </c>
      <c r="R16" s="34" t="inlineStr"/>
    </row>
    <row r="17" ht="19" customHeight="1">
      <c r="B17" s="35" t="inlineStr">
        <is>
          <t>ESPAÑA</t>
        </is>
      </c>
      <c r="C17" s="36" t="inlineStr">
        <is>
          <t>COMERCIAL TÉCNICA FITOCARTHAGO, S.L.</t>
        </is>
      </c>
      <c r="D17" s="37" t="inlineStr">
        <is>
          <t>AGXK1000</t>
        </is>
      </c>
      <c r="E17" s="36" t="inlineStr">
        <is>
          <t>AGROXILATO-K, 1000 L</t>
        </is>
      </c>
      <c r="F17" s="27" t="n">
        <v>2000</v>
      </c>
      <c r="G17" s="38" t="n">
        <v>0</v>
      </c>
      <c r="H17" s="29">
        <f>ABS(G17-F17)</f>
        <v/>
      </c>
      <c r="I17" s="30">
        <f>IF(F17&gt;0, G17/F17, IF(G17&gt;0, 1.0, 0.0))</f>
        <v/>
      </c>
      <c r="J17" s="31" t="inlineStr"/>
      <c r="K17" s="27" t="n">
        <v>1000</v>
      </c>
      <c r="L17" s="32" t="n">
        <v>1000</v>
      </c>
      <c r="M17" s="27" t="n">
        <v>0</v>
      </c>
      <c r="N17" s="32" t="n">
        <v>0</v>
      </c>
      <c r="O17" s="27">
        <f>F17+K17+M17</f>
        <v/>
      </c>
      <c r="P17" s="32">
        <f>F17+L17+N17</f>
        <v/>
      </c>
      <c r="Q17" s="33">
        <f>P17-O17</f>
        <v/>
      </c>
      <c r="R17" s="34" t="inlineStr"/>
    </row>
    <row r="18" ht="19" customHeight="1">
      <c r="B18" s="24" t="inlineStr">
        <is>
          <t>ESPAÑA</t>
        </is>
      </c>
      <c r="C18" s="25" t="inlineStr">
        <is>
          <t>COMERCIAL TÉCNICA FITOCARTHAGO, S.L.</t>
        </is>
      </c>
      <c r="D18" s="26" t="inlineStr">
        <is>
          <t>AN0020</t>
        </is>
      </c>
      <c r="E18" s="25" t="inlineStr">
        <is>
          <t>ALCAPLANT NEW, 20 KG</t>
        </is>
      </c>
      <c r="F18" s="27" t="n">
        <v>6500</v>
      </c>
      <c r="G18" s="28" t="n">
        <v>5500</v>
      </c>
      <c r="H18" s="29">
        <f>ABS(G18-F18)</f>
        <v/>
      </c>
      <c r="I18" s="30">
        <f>IF(F18&gt;0, G18/F18, IF(G18&gt;0, 1.0, 0.0))</f>
        <v/>
      </c>
      <c r="J18" s="31" t="inlineStr"/>
      <c r="K18" s="27" t="n">
        <v>6500</v>
      </c>
      <c r="L18" s="32" t="n">
        <v>6500</v>
      </c>
      <c r="M18" s="27" t="n">
        <v>0</v>
      </c>
      <c r="N18" s="32" t="n">
        <v>0</v>
      </c>
      <c r="O18" s="27">
        <f>F18+K18+M18</f>
        <v/>
      </c>
      <c r="P18" s="32">
        <f>F18+L18+N18</f>
        <v/>
      </c>
      <c r="Q18" s="33">
        <f>P18-O18</f>
        <v/>
      </c>
      <c r="R18" s="34" t="inlineStr"/>
    </row>
    <row r="19" ht="19" customHeight="1">
      <c r="B19" s="35" t="inlineStr">
        <is>
          <t>ESPAÑA</t>
        </is>
      </c>
      <c r="C19" s="36" t="inlineStr">
        <is>
          <t>COMERCIAL TÉCNICA FITOCARTHAGO, S.L.</t>
        </is>
      </c>
      <c r="D19" s="37" t="inlineStr">
        <is>
          <t>ANAE0020</t>
        </is>
      </c>
      <c r="E19" s="36" t="inlineStr">
        <is>
          <t>ALCAPLANT NEW AE, 20 KG</t>
        </is>
      </c>
      <c r="F19" s="27" t="n">
        <v>2200</v>
      </c>
      <c r="G19" s="38" t="n">
        <v>1100</v>
      </c>
      <c r="H19" s="29">
        <f>ABS(G19-F19)</f>
        <v/>
      </c>
      <c r="I19" s="30">
        <f>IF(F19&gt;0, G19/F19, IF(G19&gt;0, 1.0, 0.0))</f>
        <v/>
      </c>
      <c r="J19" s="31" t="inlineStr"/>
      <c r="K19" s="27" t="n">
        <v>2200</v>
      </c>
      <c r="L19" s="32" t="n">
        <v>2200</v>
      </c>
      <c r="M19" s="27" t="n">
        <v>0</v>
      </c>
      <c r="N19" s="32" t="n">
        <v>0</v>
      </c>
      <c r="O19" s="27">
        <f>F19+K19+M19</f>
        <v/>
      </c>
      <c r="P19" s="32">
        <f>F19+L19+N19</f>
        <v/>
      </c>
      <c r="Q19" s="33">
        <f>P19-O19</f>
        <v/>
      </c>
      <c r="R19" s="34" t="inlineStr"/>
    </row>
    <row r="20" ht="19" customHeight="1">
      <c r="B20" s="24" t="inlineStr">
        <is>
          <t>ESPAÑA</t>
        </is>
      </c>
      <c r="C20" s="25" t="inlineStr">
        <is>
          <t>COMERCIAL TÉCNICA FITOCARTHAGO, S.L.</t>
        </is>
      </c>
      <c r="D20" s="26" t="inlineStr">
        <is>
          <t>AQUOM0005</t>
        </is>
      </c>
      <c r="E20" s="25" t="inlineStr">
        <is>
          <t>AQUOM, 5 L</t>
        </is>
      </c>
      <c r="F20" s="27" t="n">
        <v>0</v>
      </c>
      <c r="G20" s="28" t="n">
        <v>100</v>
      </c>
      <c r="H20" s="29">
        <f>ABS(G20-F20)</f>
        <v/>
      </c>
      <c r="I20" s="30">
        <f>IF(F20&gt;0, G20/F20, IF(G20&gt;0, 1.0, 0.0))</f>
        <v/>
      </c>
      <c r="J20" s="31" t="inlineStr">
        <is>
          <t>Pedido extra no previsto</t>
        </is>
      </c>
      <c r="K20" s="27" t="n">
        <v>0</v>
      </c>
      <c r="L20" s="32" t="n">
        <v>0</v>
      </c>
      <c r="M20" s="27" t="n">
        <v>0</v>
      </c>
      <c r="N20" s="32" t="n">
        <v>0</v>
      </c>
      <c r="O20" s="27">
        <f>F20+K20+M20</f>
        <v/>
      </c>
      <c r="P20" s="32">
        <f>F20+L20+N20</f>
        <v/>
      </c>
      <c r="Q20" s="33">
        <f>P20-O20</f>
        <v/>
      </c>
      <c r="R20" s="34" t="inlineStr"/>
    </row>
    <row r="21" ht="19" customHeight="1">
      <c r="B21" s="35" t="inlineStr">
        <is>
          <t>ESPAÑA</t>
        </is>
      </c>
      <c r="C21" s="36" t="inlineStr">
        <is>
          <t>COMERCIAL TÉCNICA FITOCARTHAGO, S.L.</t>
        </is>
      </c>
      <c r="D21" s="37" t="inlineStr">
        <is>
          <t>AQUOM0020</t>
        </is>
      </c>
      <c r="E21" s="36" t="inlineStr">
        <is>
          <t>AQUOM, 20 L</t>
        </is>
      </c>
      <c r="F21" s="27" t="n">
        <v>100</v>
      </c>
      <c r="G21" s="38" t="n">
        <v>0</v>
      </c>
      <c r="H21" s="29">
        <f>ABS(G21-F21)</f>
        <v/>
      </c>
      <c r="I21" s="30">
        <f>IF(F21&gt;0, G21/F21, IF(G21&gt;0, 1.0, 0.0))</f>
        <v/>
      </c>
      <c r="J21" s="31" t="inlineStr"/>
      <c r="K21" s="27" t="n">
        <v>100</v>
      </c>
      <c r="L21" s="32" t="n">
        <v>100</v>
      </c>
      <c r="M21" s="27" t="n">
        <v>0</v>
      </c>
      <c r="N21" s="32" t="n">
        <v>0</v>
      </c>
      <c r="O21" s="27">
        <f>F21+K21+M21</f>
        <v/>
      </c>
      <c r="P21" s="32">
        <f>F21+L21+N21</f>
        <v/>
      </c>
      <c r="Q21" s="33">
        <f>P21-O21</f>
        <v/>
      </c>
      <c r="R21" s="34" t="inlineStr"/>
    </row>
    <row r="22" ht="19" customHeight="1">
      <c r="B22" s="24" t="inlineStr">
        <is>
          <t>ESPAÑA</t>
        </is>
      </c>
      <c r="C22" s="25" t="inlineStr">
        <is>
          <t>COMERCIAL TÉCNICA FITOCARTHAGO, S.L.</t>
        </is>
      </c>
      <c r="D22" s="26" t="inlineStr">
        <is>
          <t>C-CU0020</t>
        </is>
      </c>
      <c r="E22" s="25" t="inlineStr">
        <is>
          <t>CODICOBRE, 20 L</t>
        </is>
      </c>
      <c r="F22" s="27" t="n">
        <v>200</v>
      </c>
      <c r="G22" s="28" t="n">
        <v>0</v>
      </c>
      <c r="H22" s="29">
        <f>ABS(G22-F22)</f>
        <v/>
      </c>
      <c r="I22" s="30">
        <f>IF(F22&gt;0, G22/F22, IF(G22&gt;0, 1.0, 0.0))</f>
        <v/>
      </c>
      <c r="J22" s="31" t="inlineStr"/>
      <c r="K22" s="27" t="n">
        <v>200</v>
      </c>
      <c r="L22" s="32" t="n">
        <v>200</v>
      </c>
      <c r="M22" s="27" t="n">
        <v>0</v>
      </c>
      <c r="N22" s="32" t="n">
        <v>0</v>
      </c>
      <c r="O22" s="27">
        <f>F22+K22+M22</f>
        <v/>
      </c>
      <c r="P22" s="32">
        <f>F22+L22+N22</f>
        <v/>
      </c>
      <c r="Q22" s="33">
        <f>P22-O22</f>
        <v/>
      </c>
      <c r="R22" s="34" t="inlineStr"/>
    </row>
    <row r="23" ht="19" customHeight="1">
      <c r="B23" s="35" t="inlineStr">
        <is>
          <t>ESPAÑA</t>
        </is>
      </c>
      <c r="C23" s="36" t="inlineStr">
        <is>
          <t>COMERCIAL TÉCNICA FITOCARTHAGO, S.L.</t>
        </is>
      </c>
      <c r="D23" s="37" t="inlineStr">
        <is>
          <t>FROST-P0020</t>
        </is>
      </c>
      <c r="E23" s="36" t="inlineStr">
        <is>
          <t>CODIFROST PLUS, 20 L</t>
        </is>
      </c>
      <c r="F23" s="27" t="n">
        <v>0</v>
      </c>
      <c r="G23" s="38" t="n">
        <v>0</v>
      </c>
      <c r="H23" s="29">
        <f>ABS(G23-F23)</f>
        <v/>
      </c>
      <c r="I23" s="30">
        <f>IF(F23&gt;0, G23/F23, IF(G23&gt;0, 1.0, 0.0))</f>
        <v/>
      </c>
      <c r="J23" s="31" t="inlineStr"/>
      <c r="K23" s="27" t="n">
        <v>100</v>
      </c>
      <c r="L23" s="32" t="n">
        <v>100</v>
      </c>
      <c r="M23" s="27" t="n">
        <v>0</v>
      </c>
      <c r="N23" s="32" t="n">
        <v>0</v>
      </c>
      <c r="O23" s="27">
        <f>F23+K23+M23</f>
        <v/>
      </c>
      <c r="P23" s="32">
        <f>F23+L23+N23</f>
        <v/>
      </c>
      <c r="Q23" s="33">
        <f>P23-O23</f>
        <v/>
      </c>
      <c r="R23" s="34" t="inlineStr"/>
    </row>
    <row r="24" ht="19" customHeight="1">
      <c r="B24" s="24" t="inlineStr">
        <is>
          <t>ESPAÑA</t>
        </is>
      </c>
      <c r="C24" s="25" t="inlineStr">
        <is>
          <t>COMERCIAL TÉCNICA FITOCARTHAGO, S.L.</t>
        </is>
      </c>
      <c r="D24" s="26" t="inlineStr">
        <is>
          <t>N0200</t>
        </is>
      </c>
      <c r="E24" s="25" t="inlineStr">
        <is>
          <t>NUTRICALE, 200 L</t>
        </is>
      </c>
      <c r="F24" s="27" t="n">
        <v>0</v>
      </c>
      <c r="G24" s="28" t="n">
        <v>0</v>
      </c>
      <c r="H24" s="29">
        <f>ABS(G24-F24)</f>
        <v/>
      </c>
      <c r="I24" s="30">
        <f>IF(F24&gt;0, G24/F24, IF(G24&gt;0, 1.0, 0.0))</f>
        <v/>
      </c>
      <c r="J24" s="31" t="inlineStr"/>
      <c r="K24" s="27" t="n">
        <v>0</v>
      </c>
      <c r="L24" s="32" t="n">
        <v>0</v>
      </c>
      <c r="M24" s="27" t="n">
        <v>0</v>
      </c>
      <c r="N24" s="32" t="n">
        <v>0</v>
      </c>
      <c r="O24" s="27">
        <f>F24+K24+M24</f>
        <v/>
      </c>
      <c r="P24" s="32">
        <f>F24+L24+N24</f>
        <v/>
      </c>
      <c r="Q24" s="33">
        <f>P24-O24</f>
        <v/>
      </c>
      <c r="R24" s="34" t="inlineStr"/>
    </row>
    <row r="25" ht="19" customHeight="1">
      <c r="B25" s="35" t="inlineStr">
        <is>
          <t>ESPAÑA</t>
        </is>
      </c>
      <c r="C25" s="36" t="inlineStr">
        <is>
          <t>COMERCIAL TÉCNICA FITOCARTHAGO, S.L.</t>
        </is>
      </c>
      <c r="D25" s="37" t="inlineStr">
        <is>
          <t>PT0020</t>
        </is>
      </c>
      <c r="E25" s="36" t="inlineStr">
        <is>
          <t>AGROPOTASION, 20 L</t>
        </is>
      </c>
      <c r="F25" s="27" t="n">
        <v>640</v>
      </c>
      <c r="G25" s="38" t="n">
        <v>0</v>
      </c>
      <c r="H25" s="29">
        <f>ABS(G25-F25)</f>
        <v/>
      </c>
      <c r="I25" s="30">
        <f>IF(F25&gt;0, G25/F25, IF(G25&gt;0, 1.0, 0.0))</f>
        <v/>
      </c>
      <c r="J25" s="31" t="inlineStr"/>
      <c r="K25" s="27" t="n">
        <v>640</v>
      </c>
      <c r="L25" s="32" t="n">
        <v>640</v>
      </c>
      <c r="M25" s="27" t="n">
        <v>0</v>
      </c>
      <c r="N25" s="32" t="n">
        <v>0</v>
      </c>
      <c r="O25" s="27">
        <f>F25+K25+M25</f>
        <v/>
      </c>
      <c r="P25" s="32">
        <f>F25+L25+N25</f>
        <v/>
      </c>
      <c r="Q25" s="33">
        <f>P25-O25</f>
        <v/>
      </c>
      <c r="R25" s="34" t="inlineStr"/>
    </row>
    <row r="26" ht="19" customHeight="1">
      <c r="B26" s="24" t="inlineStr">
        <is>
          <t>ESPAÑA</t>
        </is>
      </c>
      <c r="C26" s="25" t="inlineStr">
        <is>
          <t>COMERCIAL TÉCNICA FITOCARTHAGO, S.L.</t>
        </is>
      </c>
      <c r="D26" s="26" t="inlineStr">
        <is>
          <t>PT0200</t>
        </is>
      </c>
      <c r="E26" s="25" t="inlineStr">
        <is>
          <t>AGROPOTASION, 200 L</t>
        </is>
      </c>
      <c r="F26" s="27" t="n">
        <v>0</v>
      </c>
      <c r="G26" s="28" t="n">
        <v>0</v>
      </c>
      <c r="H26" s="29">
        <f>ABS(G26-F26)</f>
        <v/>
      </c>
      <c r="I26" s="30">
        <f>IF(F26&gt;0, G26/F26, IF(G26&gt;0, 1.0, 0.0))</f>
        <v/>
      </c>
      <c r="J26" s="31" t="inlineStr"/>
      <c r="K26" s="27" t="n">
        <v>0</v>
      </c>
      <c r="L26" s="32" t="n">
        <v>0</v>
      </c>
      <c r="M26" s="27" t="n">
        <v>0</v>
      </c>
      <c r="N26" s="32" t="n">
        <v>0</v>
      </c>
      <c r="O26" s="27">
        <f>F26+K26+M26</f>
        <v/>
      </c>
      <c r="P26" s="32">
        <f>F26+L26+N26</f>
        <v/>
      </c>
      <c r="Q26" s="33">
        <f>P26-O26</f>
        <v/>
      </c>
      <c r="R26" s="34" t="inlineStr"/>
    </row>
    <row r="27" ht="19" customHeight="1">
      <c r="B27" s="35" t="inlineStr">
        <is>
          <t>ESPAÑA</t>
        </is>
      </c>
      <c r="C27" s="36" t="inlineStr">
        <is>
          <t>COMERCIAL TÉCNICA FITOCARTHAGO, S.L.</t>
        </is>
      </c>
      <c r="D27" s="37" t="inlineStr">
        <is>
          <t>PT1000</t>
        </is>
      </c>
      <c r="E27" s="36" t="inlineStr">
        <is>
          <t>AGROPOTASION, 1000 L</t>
        </is>
      </c>
      <c r="F27" s="27" t="n">
        <v>0</v>
      </c>
      <c r="G27" s="38" t="n">
        <v>0</v>
      </c>
      <c r="H27" s="29">
        <f>ABS(G27-F27)</f>
        <v/>
      </c>
      <c r="I27" s="30">
        <f>IF(F27&gt;0, G27/F27, IF(G27&gt;0, 1.0, 0.0))</f>
        <v/>
      </c>
      <c r="J27" s="31" t="inlineStr"/>
      <c r="K27" s="27" t="n">
        <v>0</v>
      </c>
      <c r="L27" s="32" t="n">
        <v>0</v>
      </c>
      <c r="M27" s="27" t="n">
        <v>0</v>
      </c>
      <c r="N27" s="32" t="n">
        <v>0</v>
      </c>
      <c r="O27" s="27">
        <f>F27+K27+M27</f>
        <v/>
      </c>
      <c r="P27" s="32">
        <f>F27+L27+N27</f>
        <v/>
      </c>
      <c r="Q27" s="33">
        <f>P27-O27</f>
        <v/>
      </c>
      <c r="R27" s="34" t="inlineStr"/>
    </row>
    <row r="28" ht="19" customHeight="1">
      <c r="B28" s="24" t="inlineStr">
        <is>
          <t>ESPAÑA</t>
        </is>
      </c>
      <c r="C28" s="25" t="inlineStr">
        <is>
          <t>COMERCIAL TÉCNICA FITOCARTHAGO, S.L.</t>
        </is>
      </c>
      <c r="D28" s="26" t="inlineStr">
        <is>
          <t>S0020</t>
        </is>
      </c>
      <c r="E28" s="25" t="inlineStr">
        <is>
          <t>SAL-WAX STAR, 20 L</t>
        </is>
      </c>
      <c r="F28" s="27" t="n">
        <v>1280</v>
      </c>
      <c r="G28" s="28" t="n">
        <v>2560</v>
      </c>
      <c r="H28" s="29">
        <f>ABS(G28-F28)</f>
        <v/>
      </c>
      <c r="I28" s="30">
        <f>IF(F28&gt;0, G28/F28, IF(G28&gt;0, 1.0, 0.0))</f>
        <v/>
      </c>
      <c r="J28" s="31" t="inlineStr">
        <is>
          <t>Cierre según previsto</t>
        </is>
      </c>
      <c r="K28" s="27" t="n">
        <v>1280</v>
      </c>
      <c r="L28" s="32" t="n">
        <v>1280</v>
      </c>
      <c r="M28" s="27" t="n">
        <v>0</v>
      </c>
      <c r="N28" s="32" t="n">
        <v>0</v>
      </c>
      <c r="O28" s="27">
        <f>F28+K28+M28</f>
        <v/>
      </c>
      <c r="P28" s="32">
        <f>F28+L28+N28</f>
        <v/>
      </c>
      <c r="Q28" s="33">
        <f>P28-O28</f>
        <v/>
      </c>
      <c r="R28" s="34" t="inlineStr"/>
    </row>
    <row r="29" ht="19" customHeight="1">
      <c r="B29" s="35" t="inlineStr">
        <is>
          <t>ESPAÑA</t>
        </is>
      </c>
      <c r="C29" s="36" t="inlineStr">
        <is>
          <t>COMERCIAL TÉCNICA FITOCARTHAGO, S.L.</t>
        </is>
      </c>
      <c r="D29" s="37" t="inlineStr">
        <is>
          <t>S0200</t>
        </is>
      </c>
      <c r="E29" s="36" t="inlineStr">
        <is>
          <t>SAL-WAX STAR, 200 L</t>
        </is>
      </c>
      <c r="F29" s="27" t="n">
        <v>1600</v>
      </c>
      <c r="G29" s="38" t="n">
        <v>3200</v>
      </c>
      <c r="H29" s="29">
        <f>ABS(G29-F29)</f>
        <v/>
      </c>
      <c r="I29" s="30">
        <f>IF(F29&gt;0, G29/F29, IF(G29&gt;0, 1.0, 0.0))</f>
        <v/>
      </c>
      <c r="J29" s="31" t="inlineStr">
        <is>
          <t>Cierre según previsto</t>
        </is>
      </c>
      <c r="K29" s="27" t="n">
        <v>1600</v>
      </c>
      <c r="L29" s="32" t="n">
        <v>1600</v>
      </c>
      <c r="M29" s="27" t="n">
        <v>0</v>
      </c>
      <c r="N29" s="32" t="n">
        <v>0</v>
      </c>
      <c r="O29" s="27">
        <f>F29+K29+M29</f>
        <v/>
      </c>
      <c r="P29" s="32">
        <f>F29+L29+N29</f>
        <v/>
      </c>
      <c r="Q29" s="33">
        <f>P29-O29</f>
        <v/>
      </c>
      <c r="R29" s="34" t="inlineStr"/>
    </row>
    <row r="30" ht="19" customHeight="1">
      <c r="B30" s="24" t="inlineStr">
        <is>
          <t>ESPAÑA</t>
        </is>
      </c>
      <c r="C30" s="25" t="inlineStr">
        <is>
          <t>COMERCIAL TÉCNICA FITOCARTHAGO, S.L.</t>
        </is>
      </c>
      <c r="D30" s="26" t="inlineStr">
        <is>
          <t>S1000</t>
        </is>
      </c>
      <c r="E30" s="25" t="inlineStr">
        <is>
          <t>SAL-WAX STAR, 1000 L</t>
        </is>
      </c>
      <c r="F30" s="27" t="n">
        <v>3000</v>
      </c>
      <c r="G30" s="28" t="n">
        <v>0</v>
      </c>
      <c r="H30" s="29">
        <f>ABS(G30-F30)</f>
        <v/>
      </c>
      <c r="I30" s="30">
        <f>IF(F30&gt;0, G30/F30, IF(G30&gt;0, 1.0, 0.0))</f>
        <v/>
      </c>
      <c r="J30" s="31" t="inlineStr"/>
      <c r="K30" s="27" t="n">
        <v>4000</v>
      </c>
      <c r="L30" s="32" t="n">
        <v>4000</v>
      </c>
      <c r="M30" s="27" t="n">
        <v>0</v>
      </c>
      <c r="N30" s="32" t="n">
        <v>0</v>
      </c>
      <c r="O30" s="27">
        <f>F30+K30+M30</f>
        <v/>
      </c>
      <c r="P30" s="32">
        <f>F30+L30+N30</f>
        <v/>
      </c>
      <c r="Q30" s="33">
        <f>P30-O30</f>
        <v/>
      </c>
      <c r="R30" s="34" t="inlineStr"/>
    </row>
    <row r="31" ht="19" customHeight="1">
      <c r="B31" s="35" t="inlineStr">
        <is>
          <t>ESPAÑA</t>
        </is>
      </c>
      <c r="C31" s="36" t="inlineStr">
        <is>
          <t>COMERCIAL TÉCNICA FITOCARTHAGO, S.L.</t>
        </is>
      </c>
      <c r="D31" s="37" t="inlineStr">
        <is>
          <t>SPCE2B0020</t>
        </is>
      </c>
      <c r="E31" s="36" t="inlineStr">
        <is>
          <t>SPRINTENE CON BORO, 20 L</t>
        </is>
      </c>
      <c r="F31" s="27" t="n">
        <v>1280</v>
      </c>
      <c r="G31" s="38" t="n">
        <v>320</v>
      </c>
      <c r="H31" s="29">
        <f>ABS(G31-F31)</f>
        <v/>
      </c>
      <c r="I31" s="30">
        <f>IF(F31&gt;0, G31/F31, IF(G31&gt;0, 1.0, 0.0))</f>
        <v/>
      </c>
      <c r="J31" s="31" t="inlineStr"/>
      <c r="K31" s="27" t="n">
        <v>0</v>
      </c>
      <c r="L31" s="32" t="n">
        <v>0</v>
      </c>
      <c r="M31" s="27" t="n">
        <v>0</v>
      </c>
      <c r="N31" s="32" t="n">
        <v>0</v>
      </c>
      <c r="O31" s="27">
        <f>F31+K31+M31</f>
        <v/>
      </c>
      <c r="P31" s="32">
        <f>F31+L31+N31</f>
        <v/>
      </c>
      <c r="Q31" s="33">
        <f>P31-O31</f>
        <v/>
      </c>
      <c r="R31" s="34" t="inlineStr"/>
    </row>
    <row r="32" ht="19" customHeight="1">
      <c r="B32" s="24" t="inlineStr">
        <is>
          <t>ESPAÑA</t>
        </is>
      </c>
      <c r="C32" s="25" t="inlineStr">
        <is>
          <t>COMERCIAL TÉCNICA FITOCARTHAGO, S.L.</t>
        </is>
      </c>
      <c r="D32" s="26" t="inlineStr">
        <is>
          <t>SS0020</t>
        </is>
      </c>
      <c r="E32" s="25" t="inlineStr">
        <is>
          <t>SAL-WAX-Ca sólido, 20 KG</t>
        </is>
      </c>
      <c r="F32" s="27" t="n">
        <v>2400</v>
      </c>
      <c r="G32" s="28" t="n">
        <v>1600</v>
      </c>
      <c r="H32" s="29">
        <f>ABS(G32-F32)</f>
        <v/>
      </c>
      <c r="I32" s="30">
        <f>IF(F32&gt;0, G32/F32, IF(G32&gt;0, 1.0, 0.0))</f>
        <v/>
      </c>
      <c r="J32" s="31" t="inlineStr"/>
      <c r="K32" s="27" t="n">
        <v>2400</v>
      </c>
      <c r="L32" s="32" t="n">
        <v>2400</v>
      </c>
      <c r="M32" s="27" t="n">
        <v>0</v>
      </c>
      <c r="N32" s="32" t="n">
        <v>0</v>
      </c>
      <c r="O32" s="27">
        <f>F32+K32+M32</f>
        <v/>
      </c>
      <c r="P32" s="32">
        <f>F32+L32+N32</f>
        <v/>
      </c>
      <c r="Q32" s="33">
        <f>P32-O32</f>
        <v/>
      </c>
      <c r="R32" s="34" t="inlineStr"/>
    </row>
    <row r="33" ht="19" customHeight="1">
      <c r="B33" s="35" t="inlineStr">
        <is>
          <t>ESPAÑA</t>
        </is>
      </c>
      <c r="C33" s="36" t="inlineStr">
        <is>
          <t>FITOMURCIA S.L.</t>
        </is>
      </c>
      <c r="D33" s="37" t="inlineStr">
        <is>
          <t>A-50(2)0005</t>
        </is>
      </c>
      <c r="E33" s="36" t="inlineStr">
        <is>
          <t>CODIORGAN A-50, 5 KG</t>
        </is>
      </c>
      <c r="F33" s="27" t="n">
        <v>0</v>
      </c>
      <c r="G33" s="38" t="n">
        <v>0</v>
      </c>
      <c r="H33" s="29">
        <f>ABS(G33-F33)</f>
        <v/>
      </c>
      <c r="I33" s="30">
        <f>IF(F33&gt;0, G33/F33, IF(G33&gt;0, 1.0, 0.0))</f>
        <v/>
      </c>
      <c r="J33" s="31" t="inlineStr"/>
      <c r="K33" s="27" t="n">
        <v>500</v>
      </c>
      <c r="L33" s="32" t="n">
        <v>500</v>
      </c>
      <c r="M33" s="27" t="n">
        <v>0</v>
      </c>
      <c r="N33" s="32" t="n">
        <v>0</v>
      </c>
      <c r="O33" s="27">
        <f>F33+K33+M33</f>
        <v/>
      </c>
      <c r="P33" s="32">
        <f>F33+L33+N33</f>
        <v/>
      </c>
      <c r="Q33" s="33">
        <f>P33-O33</f>
        <v/>
      </c>
      <c r="R33" s="34" t="inlineStr"/>
    </row>
    <row r="34" ht="19" customHeight="1">
      <c r="B34" s="24" t="inlineStr">
        <is>
          <t>ESPAÑA</t>
        </is>
      </c>
      <c r="C34" s="25" t="inlineStr">
        <is>
          <t>FITOMURCIA S.L.</t>
        </is>
      </c>
      <c r="D34" s="26" t="inlineStr">
        <is>
          <t>AGXKC0020</t>
        </is>
      </c>
      <c r="E34" s="25" t="inlineStr">
        <is>
          <t>AGROXILATO-COMPLET, 20 L</t>
        </is>
      </c>
      <c r="F34" s="27" t="n">
        <v>0</v>
      </c>
      <c r="G34" s="28" t="n">
        <v>0</v>
      </c>
      <c r="H34" s="29">
        <f>ABS(G34-F34)</f>
        <v/>
      </c>
      <c r="I34" s="30">
        <f>IF(F34&gt;0, G34/F34, IF(G34&gt;0, 1.0, 0.0))</f>
        <v/>
      </c>
      <c r="J34" s="31" t="inlineStr"/>
      <c r="K34" s="27" t="n">
        <v>1280</v>
      </c>
      <c r="L34" s="32" t="n">
        <v>1280</v>
      </c>
      <c r="M34" s="27" t="n">
        <v>0</v>
      </c>
      <c r="N34" s="32" t="n">
        <v>0</v>
      </c>
      <c r="O34" s="27">
        <f>F34+K34+M34</f>
        <v/>
      </c>
      <c r="P34" s="32">
        <f>F34+L34+N34</f>
        <v/>
      </c>
      <c r="Q34" s="33">
        <f>P34-O34</f>
        <v/>
      </c>
      <c r="R34" s="34" t="inlineStr"/>
    </row>
    <row r="35" ht="19" customHeight="1">
      <c r="B35" s="35" t="inlineStr">
        <is>
          <t>ESPAÑA</t>
        </is>
      </c>
      <c r="C35" s="36" t="inlineStr">
        <is>
          <t>FITOMURCIA S.L.</t>
        </is>
      </c>
      <c r="D35" s="37" t="inlineStr">
        <is>
          <t>AGXKC1000</t>
        </is>
      </c>
      <c r="E35" s="36" t="inlineStr">
        <is>
          <t>AGROXILATO-COMPLET, 1000 L</t>
        </is>
      </c>
      <c r="F35" s="27" t="n">
        <v>0</v>
      </c>
      <c r="G35" s="38" t="n">
        <v>0</v>
      </c>
      <c r="H35" s="29">
        <f>ABS(G35-F35)</f>
        <v/>
      </c>
      <c r="I35" s="30">
        <f>IF(F35&gt;0, G35/F35, IF(G35&gt;0, 1.0, 0.0))</f>
        <v/>
      </c>
      <c r="J35" s="31" t="inlineStr"/>
      <c r="K35" s="27" t="n">
        <v>5000</v>
      </c>
      <c r="L35" s="32" t="n">
        <v>5000</v>
      </c>
      <c r="M35" s="27" t="n">
        <v>0</v>
      </c>
      <c r="N35" s="32" t="n">
        <v>0</v>
      </c>
      <c r="O35" s="27">
        <f>F35+K35+M35</f>
        <v/>
      </c>
      <c r="P35" s="32">
        <f>F35+L35+N35</f>
        <v/>
      </c>
      <c r="Q35" s="33">
        <f>P35-O35</f>
        <v/>
      </c>
      <c r="R35" s="34" t="inlineStr"/>
    </row>
    <row r="36" ht="19" customHeight="1">
      <c r="B36" s="24" t="inlineStr">
        <is>
          <t>ESPAÑA</t>
        </is>
      </c>
      <c r="C36" s="25" t="inlineStr">
        <is>
          <t>FITOMURCIA S.L.</t>
        </is>
      </c>
      <c r="D36" s="26" t="inlineStr">
        <is>
          <t>AGZNP0005</t>
        </is>
      </c>
      <c r="E36" s="25" t="inlineStr">
        <is>
          <t>AGROXILATO-ZN PLUS, 5 KG</t>
        </is>
      </c>
      <c r="F36" s="27" t="n">
        <v>0</v>
      </c>
      <c r="G36" s="28" t="n">
        <v>0</v>
      </c>
      <c r="H36" s="29">
        <f>ABS(G36-F36)</f>
        <v/>
      </c>
      <c r="I36" s="30">
        <f>IF(F36&gt;0, G36/F36, IF(G36&gt;0, 1.0, 0.0))</f>
        <v/>
      </c>
      <c r="J36" s="31" t="inlineStr"/>
      <c r="K36" s="27" t="n">
        <v>0</v>
      </c>
      <c r="L36" s="32" t="n">
        <v>0</v>
      </c>
      <c r="M36" s="27" t="n">
        <v>0</v>
      </c>
      <c r="N36" s="32" t="n">
        <v>0</v>
      </c>
      <c r="O36" s="27">
        <f>F36+K36+M36</f>
        <v/>
      </c>
      <c r="P36" s="32">
        <f>F36+L36+N36</f>
        <v/>
      </c>
      <c r="Q36" s="33">
        <f>P36-O36</f>
        <v/>
      </c>
      <c r="R36" s="34" t="inlineStr"/>
    </row>
    <row r="37" ht="19" customHeight="1">
      <c r="B37" s="35" t="inlineStr">
        <is>
          <t>ESPAÑA</t>
        </is>
      </c>
      <c r="C37" s="36" t="inlineStr">
        <is>
          <t>FITOMURCIA S.L.</t>
        </is>
      </c>
      <c r="D37" s="37" t="inlineStr">
        <is>
          <t>AN0020</t>
        </is>
      </c>
      <c r="E37" s="36" t="inlineStr">
        <is>
          <t>ALCAPLANT NEW, 20 KG</t>
        </is>
      </c>
      <c r="F37" s="27" t="n">
        <v>0</v>
      </c>
      <c r="G37" s="38" t="n">
        <v>0</v>
      </c>
      <c r="H37" s="29">
        <f>ABS(G37-F37)</f>
        <v/>
      </c>
      <c r="I37" s="30">
        <f>IF(F37&gt;0, G37/F37, IF(G37&gt;0, 1.0, 0.0))</f>
        <v/>
      </c>
      <c r="J37" s="31" t="inlineStr"/>
      <c r="K37" s="27" t="n">
        <v>3300</v>
      </c>
      <c r="L37" s="32" t="n">
        <v>3300</v>
      </c>
      <c r="M37" s="27" t="n">
        <v>0</v>
      </c>
      <c r="N37" s="32" t="n">
        <v>0</v>
      </c>
      <c r="O37" s="27">
        <f>F37+K37+M37</f>
        <v/>
      </c>
      <c r="P37" s="32">
        <f>F37+L37+N37</f>
        <v/>
      </c>
      <c r="Q37" s="33">
        <f>P37-O37</f>
        <v/>
      </c>
      <c r="R37" s="34" t="inlineStr"/>
    </row>
    <row r="38" ht="19" customHeight="1">
      <c r="B38" s="24" t="inlineStr">
        <is>
          <t>ESPAÑA</t>
        </is>
      </c>
      <c r="C38" s="25" t="inlineStr">
        <is>
          <t>FITOMURCIA S.L.</t>
        </is>
      </c>
      <c r="D38" s="26" t="inlineStr">
        <is>
          <t>B0020</t>
        </is>
      </c>
      <c r="E38" s="25" t="inlineStr">
        <is>
          <t>BOROCAL, 20 L</t>
        </is>
      </c>
      <c r="F38" s="27" t="n">
        <v>0</v>
      </c>
      <c r="G38" s="28" t="n">
        <v>0</v>
      </c>
      <c r="H38" s="29">
        <f>ABS(G38-F38)</f>
        <v/>
      </c>
      <c r="I38" s="30">
        <f>IF(F38&gt;0, G38/F38, IF(G38&gt;0, 1.0, 0.0))</f>
        <v/>
      </c>
      <c r="J38" s="31" t="inlineStr"/>
      <c r="K38" s="27" t="n">
        <v>1280</v>
      </c>
      <c r="L38" s="32" t="n">
        <v>1280</v>
      </c>
      <c r="M38" s="27" t="n">
        <v>0</v>
      </c>
      <c r="N38" s="32" t="n">
        <v>0</v>
      </c>
      <c r="O38" s="27">
        <f>F38+K38+M38</f>
        <v/>
      </c>
      <c r="P38" s="32">
        <f>F38+L38+N38</f>
        <v/>
      </c>
      <c r="Q38" s="33">
        <f>P38-O38</f>
        <v/>
      </c>
      <c r="R38" s="34" t="inlineStr"/>
    </row>
    <row r="39" ht="19" customHeight="1">
      <c r="B39" s="35" t="inlineStr">
        <is>
          <t>ESPAÑA</t>
        </is>
      </c>
      <c r="C39" s="36" t="inlineStr">
        <is>
          <t>FITOMURCIA S.L.</t>
        </is>
      </c>
      <c r="D39" s="37" t="inlineStr">
        <is>
          <t>BIO0020</t>
        </is>
      </c>
      <c r="E39" s="36" t="inlineStr">
        <is>
          <t>BIORAD-20, 20 L</t>
        </is>
      </c>
      <c r="F39" s="27" t="n">
        <v>0</v>
      </c>
      <c r="G39" s="38" t="n">
        <v>0</v>
      </c>
      <c r="H39" s="29">
        <f>ABS(G39-F39)</f>
        <v/>
      </c>
      <c r="I39" s="30">
        <f>IF(F39&gt;0, G39/F39, IF(G39&gt;0, 1.0, 0.0))</f>
        <v/>
      </c>
      <c r="J39" s="31" t="inlineStr"/>
      <c r="K39" s="27" t="n">
        <v>1280</v>
      </c>
      <c r="L39" s="32" t="n">
        <v>1280</v>
      </c>
      <c r="M39" s="27" t="n">
        <v>0</v>
      </c>
      <c r="N39" s="32" t="n">
        <v>0</v>
      </c>
      <c r="O39" s="27">
        <f>F39+K39+M39</f>
        <v/>
      </c>
      <c r="P39" s="32">
        <f>F39+L39+N39</f>
        <v/>
      </c>
      <c r="Q39" s="33">
        <f>P39-O39</f>
        <v/>
      </c>
      <c r="R39" s="34" t="inlineStr"/>
    </row>
    <row r="40" ht="19" customHeight="1">
      <c r="B40" s="24" t="inlineStr">
        <is>
          <t>ESPAÑA</t>
        </is>
      </c>
      <c r="C40" s="25" t="inlineStr">
        <is>
          <t>FITOMURCIA S.L.</t>
        </is>
      </c>
      <c r="D40" s="26" t="inlineStr">
        <is>
          <t>BIO1000</t>
        </is>
      </c>
      <c r="E40" s="25" t="inlineStr">
        <is>
          <t>BIORAD-20, 1000 L</t>
        </is>
      </c>
      <c r="F40" s="27" t="n">
        <v>0</v>
      </c>
      <c r="G40" s="28" t="n">
        <v>1000</v>
      </c>
      <c r="H40" s="29">
        <f>ABS(G40-F40)</f>
        <v/>
      </c>
      <c r="I40" s="30">
        <f>IF(F40&gt;0, G40/F40, IF(G40&gt;0, 1.0, 0.0))</f>
        <v/>
      </c>
      <c r="J40" s="31" t="inlineStr"/>
      <c r="K40" s="27" t="n">
        <v>4000</v>
      </c>
      <c r="L40" s="32" t="n">
        <v>4000</v>
      </c>
      <c r="M40" s="27" t="n">
        <v>0</v>
      </c>
      <c r="N40" s="32" t="n">
        <v>0</v>
      </c>
      <c r="O40" s="27">
        <f>F40+K40+M40</f>
        <v/>
      </c>
      <c r="P40" s="32">
        <f>F40+L40+N40</f>
        <v/>
      </c>
      <c r="Q40" s="33">
        <f>P40-O40</f>
        <v/>
      </c>
      <c r="R40" s="34" t="inlineStr"/>
    </row>
    <row r="41" ht="19" customHeight="1">
      <c r="B41" s="35" t="inlineStr">
        <is>
          <t>ESPAÑA</t>
        </is>
      </c>
      <c r="C41" s="36" t="inlineStr">
        <is>
          <t>FITOMURCIA S.L.</t>
        </is>
      </c>
      <c r="D41" s="37" t="inlineStr">
        <is>
          <t>C-L0020</t>
        </is>
      </c>
      <c r="E41" s="36" t="inlineStr">
        <is>
          <t>CODIBOR-L, 20 L</t>
        </is>
      </c>
      <c r="F41" s="27" t="n">
        <v>0</v>
      </c>
      <c r="G41" s="38" t="n">
        <v>0</v>
      </c>
      <c r="H41" s="29">
        <f>ABS(G41-F41)</f>
        <v/>
      </c>
      <c r="I41" s="30">
        <f>IF(F41&gt;0, G41/F41, IF(G41&gt;0, 1.0, 0.0))</f>
        <v/>
      </c>
      <c r="J41" s="31" t="inlineStr"/>
      <c r="K41" s="27" t="n">
        <v>0</v>
      </c>
      <c r="L41" s="32" t="n">
        <v>0</v>
      </c>
      <c r="M41" s="27" t="n">
        <v>0</v>
      </c>
      <c r="N41" s="32" t="n">
        <v>0</v>
      </c>
      <c r="O41" s="27">
        <f>F41+K41+M41</f>
        <v/>
      </c>
      <c r="P41" s="32">
        <f>F41+L41+N41</f>
        <v/>
      </c>
      <c r="Q41" s="33">
        <f>P41-O41</f>
        <v/>
      </c>
      <c r="R41" s="34" t="inlineStr"/>
    </row>
    <row r="42" ht="19" customHeight="1">
      <c r="B42" s="24" t="inlineStr">
        <is>
          <t>ESPAÑA</t>
        </is>
      </c>
      <c r="C42" s="25" t="inlineStr">
        <is>
          <t>FITOMURCIA S.L.</t>
        </is>
      </c>
      <c r="D42" s="26" t="inlineStr">
        <is>
          <t>C-M-P0005</t>
        </is>
      </c>
      <c r="E42" s="25" t="inlineStr">
        <is>
          <t>CODIFOL-MO-PLUS, 5 L</t>
        </is>
      </c>
      <c r="F42" s="27" t="n">
        <v>0</v>
      </c>
      <c r="G42" s="28" t="n">
        <v>100</v>
      </c>
      <c r="H42" s="29">
        <f>ABS(G42-F42)</f>
        <v/>
      </c>
      <c r="I42" s="30">
        <f>IF(F42&gt;0, G42/F42, IF(G42&gt;0, 1.0, 0.0))</f>
        <v/>
      </c>
      <c r="J42" s="31" t="inlineStr">
        <is>
          <t>Pedido extra no previsto</t>
        </is>
      </c>
      <c r="K42" s="27" t="n">
        <v>0</v>
      </c>
      <c r="L42" s="32" t="n">
        <v>0</v>
      </c>
      <c r="M42" s="27" t="n">
        <v>0</v>
      </c>
      <c r="N42" s="32" t="n">
        <v>0</v>
      </c>
      <c r="O42" s="27">
        <f>F42+K42+M42</f>
        <v/>
      </c>
      <c r="P42" s="32">
        <f>F42+L42+N42</f>
        <v/>
      </c>
      <c r="Q42" s="33">
        <f>P42-O42</f>
        <v/>
      </c>
      <c r="R42" s="34" t="inlineStr"/>
    </row>
    <row r="43" ht="19" customHeight="1">
      <c r="B43" s="35" t="inlineStr">
        <is>
          <t>ESPAÑA</t>
        </is>
      </c>
      <c r="C43" s="36" t="inlineStr">
        <is>
          <t>FITOMURCIA S.L.</t>
        </is>
      </c>
      <c r="D43" s="37" t="inlineStr">
        <is>
          <t>C-MB0005</t>
        </is>
      </c>
      <c r="E43" s="36" t="inlineStr">
        <is>
          <t>CODIFOL-MB, 5 L</t>
        </is>
      </c>
      <c r="F43" s="27" t="n">
        <v>0</v>
      </c>
      <c r="G43" s="38" t="n">
        <v>0</v>
      </c>
      <c r="H43" s="29">
        <f>ABS(G43-F43)</f>
        <v/>
      </c>
      <c r="I43" s="30">
        <f>IF(F43&gt;0, G43/F43, IF(G43&gt;0, 1.0, 0.0))</f>
        <v/>
      </c>
      <c r="J43" s="31" t="inlineStr"/>
      <c r="K43" s="27" t="n">
        <v>0</v>
      </c>
      <c r="L43" s="32" t="n">
        <v>0</v>
      </c>
      <c r="M43" s="27" t="n">
        <v>0</v>
      </c>
      <c r="N43" s="32" t="n">
        <v>0</v>
      </c>
      <c r="O43" s="27">
        <f>F43+K43+M43</f>
        <v/>
      </c>
      <c r="P43" s="32">
        <f>F43+L43+N43</f>
        <v/>
      </c>
      <c r="Q43" s="33">
        <f>P43-O43</f>
        <v/>
      </c>
      <c r="R43" s="34" t="inlineStr"/>
    </row>
    <row r="44" ht="19" customHeight="1">
      <c r="B44" s="24" t="inlineStr">
        <is>
          <t>ESPAÑA</t>
        </is>
      </c>
      <c r="C44" s="25" t="inlineStr">
        <is>
          <t>FITOMURCIA S.L.</t>
        </is>
      </c>
      <c r="D44" s="26" t="inlineStr">
        <is>
          <t>C-MB0020</t>
        </is>
      </c>
      <c r="E44" s="25" t="inlineStr">
        <is>
          <t>CODIFOL-MB, 20 L</t>
        </is>
      </c>
      <c r="F44" s="27" t="n">
        <v>0</v>
      </c>
      <c r="G44" s="28" t="n">
        <v>0</v>
      </c>
      <c r="H44" s="29">
        <f>ABS(G44-F44)</f>
        <v/>
      </c>
      <c r="I44" s="30">
        <f>IF(F44&gt;0, G44/F44, IF(G44&gt;0, 1.0, 0.0))</f>
        <v/>
      </c>
      <c r="J44" s="31" t="inlineStr"/>
      <c r="K44" s="27" t="n">
        <v>0</v>
      </c>
      <c r="L44" s="32" t="n">
        <v>0</v>
      </c>
      <c r="M44" s="27" t="n">
        <v>0</v>
      </c>
      <c r="N44" s="32" t="n">
        <v>0</v>
      </c>
      <c r="O44" s="27">
        <f>F44+K44+M44</f>
        <v/>
      </c>
      <c r="P44" s="32">
        <f>F44+L44+N44</f>
        <v/>
      </c>
      <c r="Q44" s="33">
        <f>P44-O44</f>
        <v/>
      </c>
      <c r="R44" s="34" t="inlineStr"/>
    </row>
    <row r="45" ht="19" customHeight="1">
      <c r="B45" s="35" t="inlineStr">
        <is>
          <t>ESPAÑA</t>
        </is>
      </c>
      <c r="C45" s="36" t="inlineStr">
        <is>
          <t>FITOMURCIA S.L.</t>
        </is>
      </c>
      <c r="D45" s="37" t="inlineStr">
        <is>
          <t>FROST-P0020</t>
        </is>
      </c>
      <c r="E45" s="36" t="inlineStr">
        <is>
          <t>CODIFROST PLUS, 20 L</t>
        </is>
      </c>
      <c r="F45" s="27" t="n">
        <v>0</v>
      </c>
      <c r="G45" s="38" t="n">
        <v>0</v>
      </c>
      <c r="H45" s="29">
        <f>ABS(G45-F45)</f>
        <v/>
      </c>
      <c r="I45" s="30">
        <f>IF(F45&gt;0, G45/F45, IF(G45&gt;0, 1.0, 0.0))</f>
        <v/>
      </c>
      <c r="J45" s="31" t="inlineStr"/>
      <c r="K45" s="27" t="n">
        <v>1280</v>
      </c>
      <c r="L45" s="32" t="n">
        <v>1280</v>
      </c>
      <c r="M45" s="27" t="n">
        <v>0</v>
      </c>
      <c r="N45" s="32" t="n">
        <v>0</v>
      </c>
      <c r="O45" s="27">
        <f>F45+K45+M45</f>
        <v/>
      </c>
      <c r="P45" s="32">
        <f>F45+L45+N45</f>
        <v/>
      </c>
      <c r="Q45" s="33">
        <f>P45-O45</f>
        <v/>
      </c>
      <c r="R45" s="34" t="inlineStr"/>
    </row>
    <row r="46" ht="19" customHeight="1">
      <c r="B46" s="24" t="inlineStr">
        <is>
          <t>ESPAÑA</t>
        </is>
      </c>
      <c r="C46" s="25" t="inlineStr">
        <is>
          <t>FITOMURCIA S.L.</t>
        </is>
      </c>
      <c r="D46" s="26" t="inlineStr">
        <is>
          <t>G30020</t>
        </is>
      </c>
      <c r="E46" s="25" t="inlineStr">
        <is>
          <t>GREEN-UP, 20 L</t>
        </is>
      </c>
      <c r="F46" s="27" t="n">
        <v>1280</v>
      </c>
      <c r="G46" s="28" t="n">
        <v>0</v>
      </c>
      <c r="H46" s="29">
        <f>ABS(G46-F46)</f>
        <v/>
      </c>
      <c r="I46" s="30">
        <f>IF(F46&gt;0, G46/F46, IF(G46&gt;0, 1.0, 0.0))</f>
        <v/>
      </c>
      <c r="J46" s="31" t="inlineStr"/>
      <c r="K46" s="27" t="n">
        <v>1280</v>
      </c>
      <c r="L46" s="32" t="n">
        <v>1280</v>
      </c>
      <c r="M46" s="27" t="n">
        <v>0</v>
      </c>
      <c r="N46" s="32" t="n">
        <v>0</v>
      </c>
      <c r="O46" s="27">
        <f>F46+K46+M46</f>
        <v/>
      </c>
      <c r="P46" s="32">
        <f>F46+L46+N46</f>
        <v/>
      </c>
      <c r="Q46" s="33">
        <f>P46-O46</f>
        <v/>
      </c>
      <c r="R46" s="34" t="inlineStr"/>
    </row>
    <row r="47" ht="19" customHeight="1">
      <c r="B47" s="35" t="inlineStr">
        <is>
          <t>ESPAÑA</t>
        </is>
      </c>
      <c r="C47" s="36" t="inlineStr">
        <is>
          <t>FITOMURCIA S.L.</t>
        </is>
      </c>
      <c r="D47" s="37" t="inlineStr">
        <is>
          <t>HST0020</t>
        </is>
      </c>
      <c r="E47" s="36" t="inlineStr">
        <is>
          <t>HIDROSTRESS, 20 L</t>
        </is>
      </c>
      <c r="F47" s="27" t="n">
        <v>1280</v>
      </c>
      <c r="G47" s="38" t="n">
        <v>0</v>
      </c>
      <c r="H47" s="29">
        <f>ABS(G47-F47)</f>
        <v/>
      </c>
      <c r="I47" s="30">
        <f>IF(F47&gt;0, G47/F47, IF(G47&gt;0, 1.0, 0.0))</f>
        <v/>
      </c>
      <c r="J47" s="31" t="inlineStr"/>
      <c r="K47" s="27" t="n">
        <v>1280</v>
      </c>
      <c r="L47" s="32" t="n">
        <v>1280</v>
      </c>
      <c r="M47" s="27" t="n">
        <v>0</v>
      </c>
      <c r="N47" s="32" t="n">
        <v>0</v>
      </c>
      <c r="O47" s="27">
        <f>F47+K47+M47</f>
        <v/>
      </c>
      <c r="P47" s="32">
        <f>F47+L47+N47</f>
        <v/>
      </c>
      <c r="Q47" s="33">
        <f>P47-O47</f>
        <v/>
      </c>
      <c r="R47" s="34" t="inlineStr"/>
    </row>
    <row r="48" ht="19" customHeight="1">
      <c r="B48" s="24" t="inlineStr">
        <is>
          <t>ESPAÑA</t>
        </is>
      </c>
      <c r="C48" s="25" t="inlineStr">
        <is>
          <t>FITOMURCIA S.L.</t>
        </is>
      </c>
      <c r="D48" s="26" t="inlineStr">
        <is>
          <t>N0020</t>
        </is>
      </c>
      <c r="E48" s="25" t="inlineStr">
        <is>
          <t>NUTRICALE, 20 L</t>
        </is>
      </c>
      <c r="F48" s="27" t="n">
        <v>1280</v>
      </c>
      <c r="G48" s="28" t="n">
        <v>0</v>
      </c>
      <c r="H48" s="29">
        <f>ABS(G48-F48)</f>
        <v/>
      </c>
      <c r="I48" s="30">
        <f>IF(F48&gt;0, G48/F48, IF(G48&gt;0, 1.0, 0.0))</f>
        <v/>
      </c>
      <c r="J48" s="31" t="inlineStr"/>
      <c r="K48" s="27" t="n">
        <v>1280</v>
      </c>
      <c r="L48" s="32" t="n">
        <v>1280</v>
      </c>
      <c r="M48" s="27" t="n">
        <v>0</v>
      </c>
      <c r="N48" s="32" t="n">
        <v>0</v>
      </c>
      <c r="O48" s="27">
        <f>F48+K48+M48</f>
        <v/>
      </c>
      <c r="P48" s="32">
        <f>F48+L48+N48</f>
        <v/>
      </c>
      <c r="Q48" s="33">
        <f>P48-O48</f>
        <v/>
      </c>
      <c r="R48" s="34" t="inlineStr"/>
    </row>
    <row r="49" ht="19" customHeight="1">
      <c r="B49" s="35" t="inlineStr">
        <is>
          <t>ESPAÑA</t>
        </is>
      </c>
      <c r="C49" s="36" t="inlineStr">
        <is>
          <t>FITOMURCIA S.L.</t>
        </is>
      </c>
      <c r="D49" s="37" t="inlineStr">
        <is>
          <t>PT0020</t>
        </is>
      </c>
      <c r="E49" s="36" t="inlineStr">
        <is>
          <t>AGROPOTASION, 20 L</t>
        </is>
      </c>
      <c r="F49" s="27" t="n">
        <v>1280</v>
      </c>
      <c r="G49" s="38" t="n">
        <v>0</v>
      </c>
      <c r="H49" s="29">
        <f>ABS(G49-F49)</f>
        <v/>
      </c>
      <c r="I49" s="30">
        <f>IF(F49&gt;0, G49/F49, IF(G49&gt;0, 1.0, 0.0))</f>
        <v/>
      </c>
      <c r="J49" s="31" t="inlineStr"/>
      <c r="K49" s="27" t="n">
        <v>1280</v>
      </c>
      <c r="L49" s="32" t="n">
        <v>1280</v>
      </c>
      <c r="M49" s="27" t="n">
        <v>0</v>
      </c>
      <c r="N49" s="32" t="n">
        <v>0</v>
      </c>
      <c r="O49" s="27">
        <f>F49+K49+M49</f>
        <v/>
      </c>
      <c r="P49" s="32">
        <f>F49+L49+N49</f>
        <v/>
      </c>
      <c r="Q49" s="33">
        <f>P49-O49</f>
        <v/>
      </c>
      <c r="R49" s="34" t="inlineStr"/>
    </row>
    <row r="50" ht="19" customHeight="1">
      <c r="B50" s="24" t="inlineStr">
        <is>
          <t>ESPAÑA</t>
        </is>
      </c>
      <c r="C50" s="25" t="inlineStr">
        <is>
          <t>FITOMURCIA S.L.</t>
        </is>
      </c>
      <c r="D50" s="26" t="inlineStr">
        <is>
          <t>S1000</t>
        </is>
      </c>
      <c r="E50" s="25" t="inlineStr">
        <is>
          <t>SAL-WAX STAR, 1000 L</t>
        </is>
      </c>
      <c r="F50" s="27" t="n">
        <v>9000</v>
      </c>
      <c r="G50" s="28" t="n">
        <v>0</v>
      </c>
      <c r="H50" s="29">
        <f>ABS(G50-F50)</f>
        <v/>
      </c>
      <c r="I50" s="30">
        <f>IF(F50&gt;0, G50/F50, IF(G50&gt;0, 1.0, 0.0))</f>
        <v/>
      </c>
      <c r="J50" s="31" t="inlineStr"/>
      <c r="K50" s="27" t="n">
        <v>9000</v>
      </c>
      <c r="L50" s="32" t="n">
        <v>9000</v>
      </c>
      <c r="M50" s="27" t="n">
        <v>0</v>
      </c>
      <c r="N50" s="32" t="n">
        <v>0</v>
      </c>
      <c r="O50" s="27">
        <f>F50+K50+M50</f>
        <v/>
      </c>
      <c r="P50" s="32">
        <f>F50+L50+N50</f>
        <v/>
      </c>
      <c r="Q50" s="33">
        <f>P50-O50</f>
        <v/>
      </c>
      <c r="R50" s="34" t="inlineStr"/>
    </row>
    <row r="51" ht="19" customHeight="1">
      <c r="B51" s="35" t="inlineStr">
        <is>
          <t>ESPAÑA</t>
        </is>
      </c>
      <c r="C51" s="36" t="inlineStr">
        <is>
          <t>FITOMURCIA S.L.</t>
        </is>
      </c>
      <c r="D51" s="37" t="inlineStr">
        <is>
          <t>SPCE2B0020</t>
        </is>
      </c>
      <c r="E51" s="36" t="inlineStr">
        <is>
          <t>SPRINTENE CON BORO, 20 L</t>
        </is>
      </c>
      <c r="F51" s="27" t="n">
        <v>0</v>
      </c>
      <c r="G51" s="38" t="n">
        <v>0</v>
      </c>
      <c r="H51" s="29">
        <f>ABS(G51-F51)</f>
        <v/>
      </c>
      <c r="I51" s="30">
        <f>IF(F51&gt;0, G51/F51, IF(G51&gt;0, 1.0, 0.0))</f>
        <v/>
      </c>
      <c r="J51" s="31" t="inlineStr"/>
      <c r="K51" s="27" t="n">
        <v>0</v>
      </c>
      <c r="L51" s="32" t="n">
        <v>0</v>
      </c>
      <c r="M51" s="27" t="n">
        <v>0</v>
      </c>
      <c r="N51" s="32" t="n">
        <v>0</v>
      </c>
      <c r="O51" s="27">
        <f>F51+K51+M51</f>
        <v/>
      </c>
      <c r="P51" s="32">
        <f>F51+L51+N51</f>
        <v/>
      </c>
      <c r="Q51" s="33">
        <f>P51-O51</f>
        <v/>
      </c>
      <c r="R51" s="34" t="inlineStr"/>
    </row>
    <row r="52" ht="19" customHeight="1">
      <c r="B52" s="24" t="inlineStr">
        <is>
          <t>ESPAÑA</t>
        </is>
      </c>
      <c r="C52" s="25" t="inlineStr">
        <is>
          <t>FITOMURCIA S.L.</t>
        </is>
      </c>
      <c r="D52" s="26" t="inlineStr">
        <is>
          <t>SS0005</t>
        </is>
      </c>
      <c r="E52" s="25" t="inlineStr">
        <is>
          <t>SAL-WAX-Ca sólido, 5 KG</t>
        </is>
      </c>
      <c r="F52" s="27" t="n">
        <v>0</v>
      </c>
      <c r="G52" s="28" t="n">
        <v>0</v>
      </c>
      <c r="H52" s="29">
        <f>ABS(G52-F52)</f>
        <v/>
      </c>
      <c r="I52" s="30">
        <f>IF(F52&gt;0, G52/F52, IF(G52&gt;0, 1.0, 0.0))</f>
        <v/>
      </c>
      <c r="J52" s="31" t="inlineStr"/>
      <c r="K52" s="27" t="n">
        <v>0</v>
      </c>
      <c r="L52" s="32" t="n">
        <v>0</v>
      </c>
      <c r="M52" s="27" t="n">
        <v>0</v>
      </c>
      <c r="N52" s="32" t="n">
        <v>0</v>
      </c>
      <c r="O52" s="27">
        <f>F52+K52+M52</f>
        <v/>
      </c>
      <c r="P52" s="32">
        <f>F52+L52+N52</f>
        <v/>
      </c>
      <c r="Q52" s="33">
        <f>P52-O52</f>
        <v/>
      </c>
      <c r="R52" s="34" t="inlineStr"/>
    </row>
    <row r="53" ht="19" customHeight="1">
      <c r="B53" s="35" t="inlineStr">
        <is>
          <t>ESPAÑA</t>
        </is>
      </c>
      <c r="C53" s="36" t="inlineStr">
        <is>
          <t>FITOMURCIA S.L.</t>
        </is>
      </c>
      <c r="D53" s="37" t="inlineStr">
        <is>
          <t>SS0020</t>
        </is>
      </c>
      <c r="E53" s="36" t="inlineStr">
        <is>
          <t>SAL-WAX-Ca sólido, 20 KG</t>
        </is>
      </c>
      <c r="F53" s="27" t="n">
        <v>800</v>
      </c>
      <c r="G53" s="38" t="n">
        <v>0</v>
      </c>
      <c r="H53" s="29">
        <f>ABS(G53-F53)</f>
        <v/>
      </c>
      <c r="I53" s="30">
        <f>IF(F53&gt;0, G53/F53, IF(G53&gt;0, 1.0, 0.0))</f>
        <v/>
      </c>
      <c r="J53" s="31" t="inlineStr"/>
      <c r="K53" s="27" t="n">
        <v>800</v>
      </c>
      <c r="L53" s="32" t="n">
        <v>800</v>
      </c>
      <c r="M53" s="27" t="n">
        <v>0</v>
      </c>
      <c r="N53" s="32" t="n">
        <v>0</v>
      </c>
      <c r="O53" s="27">
        <f>F53+K53+M53</f>
        <v/>
      </c>
      <c r="P53" s="32">
        <f>F53+L53+N53</f>
        <v/>
      </c>
      <c r="Q53" s="33">
        <f>P53-O53</f>
        <v/>
      </c>
      <c r="R53" s="34" t="inlineStr"/>
    </row>
    <row r="54" ht="24" customHeight="1">
      <c r="B54" s="39" t="inlineStr">
        <is>
          <t>TOTAL CONSOLIDADO - PEDRO (UNIDADES)</t>
        </is>
      </c>
      <c r="C54" s="40" t="n"/>
      <c r="D54" s="40" t="n"/>
      <c r="E54" s="40" t="n"/>
      <c r="F54" s="41">
        <f>SUM(F10:F53)</f>
        <v/>
      </c>
      <c r="G54" s="41">
        <f>SUM(G10:G53)</f>
        <v/>
      </c>
      <c r="H54" s="41">
        <f>SUM(H10:H53)</f>
        <v/>
      </c>
      <c r="I54" s="42">
        <f>IF(F54&gt;0, G54/F54, 1.0)</f>
        <v/>
      </c>
      <c r="J54" s="43" t="n"/>
      <c r="K54" s="41">
        <f>SUM(K10:K53)</f>
        <v/>
      </c>
      <c r="L54" s="41">
        <f>SUM(L10:L53)</f>
        <v/>
      </c>
      <c r="M54" s="41">
        <f>SUM(M10:M53)</f>
        <v/>
      </c>
      <c r="N54" s="41">
        <f>SUM(N10:N53)</f>
        <v/>
      </c>
      <c r="O54" s="41">
        <f>SUM(O10:O53)</f>
        <v/>
      </c>
      <c r="P54" s="41">
        <f>SUM(P10:P53)</f>
        <v/>
      </c>
      <c r="Q54" s="44">
        <f>SUM(Q10:Q53)</f>
        <v/>
      </c>
      <c r="R54" s="43" t="n"/>
    </row>
  </sheetData>
  <mergeCells count="20">
    <mergeCell ref="B4:R4"/>
    <mergeCell ref="J6:L6"/>
    <mergeCell ref="O8:R8"/>
    <mergeCell ref="B3:R3"/>
    <mergeCell ref="M6:O6"/>
    <mergeCell ref="E6:G6"/>
    <mergeCell ref="H6:I6"/>
    <mergeCell ref="B54:E54"/>
    <mergeCell ref="B2:R2"/>
    <mergeCell ref="B6:D6"/>
    <mergeCell ref="F8:J8"/>
    <mergeCell ref="B5:D5"/>
    <mergeCell ref="P5:R5"/>
    <mergeCell ref="J5:L5"/>
    <mergeCell ref="B8:E8"/>
    <mergeCell ref="E5:G5"/>
    <mergeCell ref="M5:O5"/>
    <mergeCell ref="H5:I5"/>
    <mergeCell ref="K8:N8"/>
    <mergeCell ref="P6:R6"/>
  </mergeCells>
  <dataValidations count="1">
    <dataValidation sqref="J10 J11 J12 J13 J14 J15 J16 J17 J18 J19 J20 J21 J22 J23 J24 J25 J26 J27 J28 J29 J30 J31 J32 J33 J34 J35 J36 J37 J38 J39 J40 J41 J42 J43 J44 J45 J46 J47 J48 J49 J50 J51 J52 J53" showDropDown="0" showInputMessage="0" showErrorMessage="0" allowBlank="1" type="list">
      <formula1>"Cierre según previsto,Atraso a Noviembre,Atraso a Diciembre,Adelanto de campaña,Pedido extra no previsto,Caída de venta"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2026-10-28T08:32:11Z</dcterms:created>
  <dcterms:modified xmlns:dcterms="http://purl.org/dc/terms/" xmlns:xsi="http://www.w3.org/2001/XMLSchema-instance" xsi:type="dcterms:W3CDTF">2026-10-28T08:32:11Z</dcterms:modified>
</cp:coreProperties>
</file>