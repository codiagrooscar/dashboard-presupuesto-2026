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Revision_Previsiones_Q4_2026/"/>
    </mc:Choice>
  </mc:AlternateContent>
  <xr:revisionPtr revIDLastSave="0" documentId="8_{AE708714-20A4-453C-8EBC-087A8E74CE60}" xr6:coauthVersionLast="47" xr6:coauthVersionMax="47" xr10:uidLastSave="{00000000-0000-0000-0000-000000000000}"/>
  <bookViews>
    <workbookView xWindow="-25710" yWindow="-110" windowWidth="25820" windowHeight="13900" xr2:uid="{00000000-000D-0000-FFFF-FFFF00000000}"/>
  </bookViews>
  <sheets>
    <sheet name="Previsiones_Irene" sheetId="1" r:id="rId1"/>
  </sheets>
  <definedNames>
    <definedName name="_xlnm._FilterDatabase" localSheetId="0" hidden="1">Previsiones_Irene!$B$9:$T$74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1" i="1" l="1"/>
  <c r="P74" i="1" l="1"/>
  <c r="O74" i="1"/>
  <c r="N74" i="1"/>
  <c r="M74" i="1"/>
  <c r="L74" i="1"/>
  <c r="K74" i="1"/>
  <c r="G74" i="1"/>
  <c r="E6" i="1" s="1"/>
  <c r="F74" i="1"/>
  <c r="R73" i="1"/>
  <c r="Q73" i="1"/>
  <c r="I73" i="1"/>
  <c r="H73" i="1"/>
  <c r="R72" i="1"/>
  <c r="Q72" i="1"/>
  <c r="S72" i="1" s="1"/>
  <c r="I72" i="1"/>
  <c r="H72" i="1"/>
  <c r="R71" i="1"/>
  <c r="Q71" i="1"/>
  <c r="I71" i="1"/>
  <c r="H71" i="1"/>
  <c r="R70" i="1"/>
  <c r="Q70" i="1"/>
  <c r="I70" i="1"/>
  <c r="H70" i="1"/>
  <c r="R69" i="1"/>
  <c r="Q69" i="1"/>
  <c r="I69" i="1"/>
  <c r="H69" i="1"/>
  <c r="R68" i="1"/>
  <c r="Q68" i="1"/>
  <c r="I68" i="1"/>
  <c r="H68" i="1"/>
  <c r="R67" i="1"/>
  <c r="Q67" i="1"/>
  <c r="I67" i="1"/>
  <c r="H67" i="1"/>
  <c r="R66" i="1"/>
  <c r="Q66" i="1"/>
  <c r="I66" i="1"/>
  <c r="H66" i="1"/>
  <c r="R65" i="1"/>
  <c r="Q65" i="1"/>
  <c r="I65" i="1"/>
  <c r="H65" i="1"/>
  <c r="R64" i="1"/>
  <c r="Q64" i="1"/>
  <c r="I64" i="1"/>
  <c r="H64" i="1"/>
  <c r="R63" i="1"/>
  <c r="Q63" i="1"/>
  <c r="I63" i="1"/>
  <c r="H63" i="1"/>
  <c r="R62" i="1"/>
  <c r="Q62" i="1"/>
  <c r="I62" i="1"/>
  <c r="H62" i="1"/>
  <c r="R61" i="1"/>
  <c r="Q61" i="1"/>
  <c r="I61" i="1"/>
  <c r="H61" i="1"/>
  <c r="R60" i="1"/>
  <c r="Q60" i="1"/>
  <c r="I60" i="1"/>
  <c r="H60" i="1"/>
  <c r="R59" i="1"/>
  <c r="Q59" i="1"/>
  <c r="I59" i="1"/>
  <c r="H59" i="1"/>
  <c r="R58" i="1"/>
  <c r="Q58" i="1"/>
  <c r="I58" i="1"/>
  <c r="H58" i="1"/>
  <c r="R57" i="1"/>
  <c r="Q57" i="1"/>
  <c r="I57" i="1"/>
  <c r="H57" i="1"/>
  <c r="R56" i="1"/>
  <c r="Q56" i="1"/>
  <c r="S56" i="1" s="1"/>
  <c r="I56" i="1"/>
  <c r="H56" i="1"/>
  <c r="R55" i="1"/>
  <c r="Q55" i="1"/>
  <c r="I55" i="1"/>
  <c r="H55" i="1"/>
  <c r="R54" i="1"/>
  <c r="Q54" i="1"/>
  <c r="S54" i="1" s="1"/>
  <c r="I54" i="1"/>
  <c r="H54" i="1"/>
  <c r="R53" i="1"/>
  <c r="Q53" i="1"/>
  <c r="I53" i="1"/>
  <c r="H53" i="1"/>
  <c r="R52" i="1"/>
  <c r="Q52" i="1"/>
  <c r="I52" i="1"/>
  <c r="H52" i="1"/>
  <c r="R51" i="1"/>
  <c r="Q51" i="1"/>
  <c r="I51" i="1"/>
  <c r="H51" i="1"/>
  <c r="R50" i="1"/>
  <c r="Q50" i="1"/>
  <c r="I50" i="1"/>
  <c r="H50" i="1"/>
  <c r="R49" i="1"/>
  <c r="Q49" i="1"/>
  <c r="I49" i="1"/>
  <c r="H49" i="1"/>
  <c r="R48" i="1"/>
  <c r="Q48" i="1"/>
  <c r="I48" i="1"/>
  <c r="H48" i="1"/>
  <c r="R47" i="1"/>
  <c r="Q47" i="1"/>
  <c r="I47" i="1"/>
  <c r="H47" i="1"/>
  <c r="R46" i="1"/>
  <c r="Q46" i="1"/>
  <c r="S46" i="1" s="1"/>
  <c r="I46" i="1"/>
  <c r="H46" i="1"/>
  <c r="R45" i="1"/>
  <c r="Q45" i="1"/>
  <c r="I45" i="1"/>
  <c r="H45" i="1"/>
  <c r="R44" i="1"/>
  <c r="Q44" i="1"/>
  <c r="I44" i="1"/>
  <c r="H44" i="1"/>
  <c r="R43" i="1"/>
  <c r="Q43" i="1"/>
  <c r="I43" i="1"/>
  <c r="H43" i="1"/>
  <c r="R42" i="1"/>
  <c r="Q42" i="1"/>
  <c r="I42" i="1"/>
  <c r="H42" i="1"/>
  <c r="R41" i="1"/>
  <c r="Q41" i="1"/>
  <c r="I41" i="1"/>
  <c r="H41" i="1"/>
  <c r="R40" i="1"/>
  <c r="Q40" i="1"/>
  <c r="I40" i="1"/>
  <c r="H40" i="1"/>
  <c r="R39" i="1"/>
  <c r="Q39" i="1"/>
  <c r="I39" i="1"/>
  <c r="H39" i="1"/>
  <c r="R38" i="1"/>
  <c r="Q38" i="1"/>
  <c r="S38" i="1" s="1"/>
  <c r="I38" i="1"/>
  <c r="H38" i="1"/>
  <c r="R37" i="1"/>
  <c r="Q37" i="1"/>
  <c r="I37" i="1"/>
  <c r="H37" i="1"/>
  <c r="R36" i="1"/>
  <c r="Q36" i="1"/>
  <c r="I36" i="1"/>
  <c r="H36" i="1"/>
  <c r="R35" i="1"/>
  <c r="Q35" i="1"/>
  <c r="I35" i="1"/>
  <c r="H35" i="1"/>
  <c r="R34" i="1"/>
  <c r="Q34" i="1"/>
  <c r="S34" i="1" s="1"/>
  <c r="I34" i="1"/>
  <c r="H34" i="1"/>
  <c r="R33" i="1"/>
  <c r="Q33" i="1"/>
  <c r="I33" i="1"/>
  <c r="H33" i="1"/>
  <c r="R32" i="1"/>
  <c r="Q32" i="1"/>
  <c r="I32" i="1"/>
  <c r="H32" i="1"/>
  <c r="R31" i="1"/>
  <c r="Q31" i="1"/>
  <c r="I31" i="1"/>
  <c r="H31" i="1"/>
  <c r="R30" i="1"/>
  <c r="Q30" i="1"/>
  <c r="S30" i="1" s="1"/>
  <c r="I30" i="1"/>
  <c r="H30" i="1"/>
  <c r="R29" i="1"/>
  <c r="Q29" i="1"/>
  <c r="I29" i="1"/>
  <c r="H29" i="1"/>
  <c r="R28" i="1"/>
  <c r="Q28" i="1"/>
  <c r="I28" i="1"/>
  <c r="H28" i="1"/>
  <c r="R27" i="1"/>
  <c r="Q27" i="1"/>
  <c r="I27" i="1"/>
  <c r="H27" i="1"/>
  <c r="R26" i="1"/>
  <c r="Q26" i="1"/>
  <c r="I26" i="1"/>
  <c r="H26" i="1"/>
  <c r="R25" i="1"/>
  <c r="Q25" i="1"/>
  <c r="I25" i="1"/>
  <c r="H25" i="1"/>
  <c r="R24" i="1"/>
  <c r="Q24" i="1"/>
  <c r="I24" i="1"/>
  <c r="H24" i="1"/>
  <c r="R23" i="1"/>
  <c r="Q23" i="1"/>
  <c r="I23" i="1"/>
  <c r="H23" i="1"/>
  <c r="R22" i="1"/>
  <c r="Q22" i="1"/>
  <c r="I22" i="1"/>
  <c r="H22" i="1"/>
  <c r="Q21" i="1"/>
  <c r="S21" i="1" s="1"/>
  <c r="I21" i="1"/>
  <c r="H21" i="1"/>
  <c r="R20" i="1"/>
  <c r="Q20" i="1"/>
  <c r="I20" i="1"/>
  <c r="H20" i="1"/>
  <c r="Q19" i="1"/>
  <c r="S19" i="1" s="1"/>
  <c r="I19" i="1"/>
  <c r="H19" i="1"/>
  <c r="R18" i="1"/>
  <c r="Q18" i="1"/>
  <c r="I18" i="1"/>
  <c r="H18" i="1"/>
  <c r="R17" i="1"/>
  <c r="Q17" i="1"/>
  <c r="I17" i="1"/>
  <c r="H17" i="1"/>
  <c r="R16" i="1"/>
  <c r="Q16" i="1"/>
  <c r="I16" i="1"/>
  <c r="H16" i="1"/>
  <c r="R15" i="1"/>
  <c r="Q15" i="1"/>
  <c r="I15" i="1"/>
  <c r="H15" i="1"/>
  <c r="R14" i="1"/>
  <c r="Q14" i="1"/>
  <c r="I14" i="1"/>
  <c r="H14" i="1"/>
  <c r="R13" i="1"/>
  <c r="Q13" i="1"/>
  <c r="I13" i="1"/>
  <c r="H13" i="1"/>
  <c r="R12" i="1"/>
  <c r="Q12" i="1"/>
  <c r="I12" i="1"/>
  <c r="H12" i="1"/>
  <c r="R11" i="1"/>
  <c r="Q11" i="1"/>
  <c r="I11" i="1"/>
  <c r="H11" i="1"/>
  <c r="R10" i="1"/>
  <c r="Q10" i="1"/>
  <c r="I10" i="1"/>
  <c r="H10" i="1"/>
  <c r="S24" i="1" l="1"/>
  <c r="S40" i="1"/>
  <c r="S57" i="1"/>
  <c r="S59" i="1"/>
  <c r="S60" i="1"/>
  <c r="S64" i="1"/>
  <c r="S10" i="1"/>
  <c r="S18" i="1"/>
  <c r="I74" i="1"/>
  <c r="H6" i="1" s="1"/>
  <c r="B6" i="1"/>
  <c r="S28" i="1"/>
  <c r="S36" i="1"/>
  <c r="S41" i="1"/>
  <c r="S43" i="1"/>
  <c r="S44" i="1"/>
  <c r="S48" i="1"/>
  <c r="S52" i="1"/>
  <c r="S62" i="1"/>
  <c r="S66" i="1"/>
  <c r="S20" i="1"/>
  <c r="S25" i="1"/>
  <c r="S27" i="1"/>
  <c r="S32" i="1"/>
  <c r="S16" i="1"/>
  <c r="S22" i="1"/>
  <c r="S68" i="1"/>
  <c r="S50" i="1"/>
  <c r="S67" i="1"/>
  <c r="S11" i="1"/>
  <c r="S12" i="1"/>
  <c r="S15" i="1"/>
  <c r="S29" i="1"/>
  <c r="S31" i="1"/>
  <c r="S45" i="1"/>
  <c r="S47" i="1"/>
  <c r="S61" i="1"/>
  <c r="S63" i="1"/>
  <c r="H74" i="1"/>
  <c r="S17" i="1"/>
  <c r="S33" i="1"/>
  <c r="S35" i="1"/>
  <c r="S49" i="1"/>
  <c r="S51" i="1"/>
  <c r="S65" i="1"/>
  <c r="S23" i="1"/>
  <c r="S26" i="1"/>
  <c r="S37" i="1"/>
  <c r="S39" i="1"/>
  <c r="S42" i="1"/>
  <c r="S53" i="1"/>
  <c r="S55" i="1"/>
  <c r="S58" i="1"/>
  <c r="S69" i="1"/>
  <c r="S70" i="1"/>
  <c r="S71" i="1"/>
  <c r="S73" i="1"/>
  <c r="R74" i="1"/>
  <c r="N6" i="1" s="1"/>
  <c r="S14" i="1"/>
  <c r="S13" i="1"/>
  <c r="Q74" i="1"/>
  <c r="K6" i="1" s="1"/>
  <c r="S74" i="1" l="1"/>
  <c r="Q6" i="1" s="1"/>
</calcChain>
</file>

<file path=xl/sharedStrings.xml><?xml version="1.0" encoding="utf-8"?>
<sst xmlns="http://schemas.openxmlformats.org/spreadsheetml/2006/main" count="334" uniqueCount="133">
  <si>
    <t>CODIAGRO · ACTUALIZACIÓN DE PREVISIONES COMERCIALES Q4 2026 (OCTUBRE - DICIEMBRE)</t>
  </si>
  <si>
    <t>DELEGADO COMERCIAL: IRENE | Cierre Septiembre Oficial (01/10/2026) vs Previsiones a Final de Año | Generado: 01/10/2026 14:16</t>
  </si>
  <si>
    <t>📌 INSTRUCCIONES: 1) Revise el bloque de SEPTIEMBRE (Previsto, Real, Desviación en Valor Absoluto y % Consecución) e indique en col. J el motivo de la desviación (adelanto, atraso, extra). 2) En las columnas verdes (L, N, P), revise y actualice las cantidades estimadas de Octubre, Noviembre y Diciembre si prevé cambios. 3) Comente en col. T cualquier nota de campaña.</t>
  </si>
  <si>
    <t>PREVISTO SEP 2026 (U)</t>
  </si>
  <si>
    <t>REAL PEDIDOS SEP 2026 (U)</t>
  </si>
  <si>
    <t>% CONSECUCIÓN SEP</t>
  </si>
  <si>
    <t>PREVISIÓN INICIAL Q4 (U)</t>
  </si>
  <si>
    <t>PREVISIÓN REVISADA Q4 (U)</t>
  </si>
  <si>
    <t>VARIACIÓN NETA Q4 (U)</t>
  </si>
  <si>
    <t>DATOS CLIENTE Y ARTÍCULO</t>
  </si>
  <si>
    <t>CIERRE SEPTIEMBRE 2026 (CALIBRACIÓN Y ANÁLISIS)</t>
  </si>
  <si>
    <t>REVISIÓN PREVISIONES MES A MES (HASTA FINAL DE AÑO 2026)</t>
  </si>
  <si>
    <t>IMPACTO Q4 Y JUSTIFICACIÓN</t>
  </si>
  <si>
    <t>País</t>
  </si>
  <si>
    <t>Cliente</t>
  </si>
  <si>
    <t>Cód. SKU</t>
  </si>
  <si>
    <t>Descripción Artículo</t>
  </si>
  <si>
    <t>Sep Previsto (u)</t>
  </si>
  <si>
    <t>Sep Real (u)</t>
  </si>
  <si>
    <t>Desv. Sep (u)</t>
  </si>
  <si>
    <t>% Consec.</t>
  </si>
  <si>
    <t>Comentario Sep (¿Adelanto/Atraso/Extra?)</t>
  </si>
  <si>
    <t>Oct Anterior (u)</t>
  </si>
  <si>
    <t>Oct Revisado (u)</t>
  </si>
  <si>
    <t>Nov Anterior (u)</t>
  </si>
  <si>
    <t>Nov Revisado (u)</t>
  </si>
  <si>
    <t>Dic Anterior (u)</t>
  </si>
  <si>
    <t>Dic Revisado (u)</t>
  </si>
  <si>
    <t>Total Q4 Ant (u)</t>
  </si>
  <si>
    <t>Total Q4 Rev (u)</t>
  </si>
  <si>
    <t>Dif Q4 (u)</t>
  </si>
  <si>
    <t>Comentarios / Justificación Q4</t>
  </si>
  <si>
    <t>ESPAÑA</t>
  </si>
  <si>
    <t>CAMPOEJIDO S.C.A.</t>
  </si>
  <si>
    <t>A-50(2)0005</t>
  </si>
  <si>
    <t>CODIORGAN-A50, 5 KG</t>
  </si>
  <si>
    <t>AGN0005</t>
  </si>
  <si>
    <t>AGROXILATO N, 5 L</t>
  </si>
  <si>
    <t>Pedido extra no previsto</t>
  </si>
  <si>
    <t>AGXK0020</t>
  </si>
  <si>
    <t>AGROXILATO-K, 20 L</t>
  </si>
  <si>
    <t>AVAN0005</t>
  </si>
  <si>
    <t>FLORAMEC AVANCE, 5 L</t>
  </si>
  <si>
    <t>AVAN0020</t>
  </si>
  <si>
    <t>FLORAMEC AVANCE, 20 L</t>
  </si>
  <si>
    <t>B0001</t>
  </si>
  <si>
    <t>BOROCAL,1 L</t>
  </si>
  <si>
    <t>B0005</t>
  </si>
  <si>
    <t>BOROCAL, 5 L</t>
  </si>
  <si>
    <t>BIO0020</t>
  </si>
  <si>
    <t>BIORAD-20, 20 L</t>
  </si>
  <si>
    <t>BROTA0005</t>
  </si>
  <si>
    <t>BROTAMEC, 5 L</t>
  </si>
  <si>
    <t>C-CUAE0005</t>
  </si>
  <si>
    <t>CUPRAMEC, 5 L</t>
  </si>
  <si>
    <t>C-GLB0001</t>
  </si>
  <si>
    <t>CODIORGAN GLB, 1 KG</t>
  </si>
  <si>
    <t>C-L0005</t>
  </si>
  <si>
    <t>CODIBOR-L, 5 L</t>
  </si>
  <si>
    <t>C-MB0001</t>
  </si>
  <si>
    <t>CODIFOL-MB, 1 L</t>
  </si>
  <si>
    <t>C-MB0005</t>
  </si>
  <si>
    <t>CODIFOL-MB, 5 L</t>
  </si>
  <si>
    <t>CALCIO0005</t>
  </si>
  <si>
    <t>CALCIAMEC, 5 KG</t>
  </si>
  <si>
    <t>CPLUS0020</t>
  </si>
  <si>
    <t>CALCIPLUS, 20 L</t>
  </si>
  <si>
    <t>FTK0005</t>
  </si>
  <si>
    <t>FITOKONTROL CA FLOW, 5 KG</t>
  </si>
  <si>
    <t>HST0005</t>
  </si>
  <si>
    <t>HIDROSTRESS, 5 L</t>
  </si>
  <si>
    <t>PHD0001</t>
  </si>
  <si>
    <t>PH-DOWNER, 1 L</t>
  </si>
  <si>
    <t>PHD0005</t>
  </si>
  <si>
    <t>PH-DOWNER, 5 L</t>
  </si>
  <si>
    <t>PIV0020</t>
  </si>
  <si>
    <t>PGR IV, 20 L</t>
  </si>
  <si>
    <t>PT0005</t>
  </si>
  <si>
    <t>AGROPOTASION, 5 L</t>
  </si>
  <si>
    <t>S0020</t>
  </si>
  <si>
    <t>SAL-WAX STAR, 20 L</t>
  </si>
  <si>
    <t>TRI0001</t>
  </si>
  <si>
    <t>TRIFENO-94, 1 L</t>
  </si>
  <si>
    <t>TRI0005</t>
  </si>
  <si>
    <t>TRIFENO-94, 5L</t>
  </si>
  <si>
    <t>COOP.AGRIC. SAN ISIDRO S.C.A.</t>
  </si>
  <si>
    <t>AGXK0200</t>
  </si>
  <si>
    <t>AGROXILATO-K, 200 L</t>
  </si>
  <si>
    <t>AGZ-M0001</t>
  </si>
  <si>
    <t>AGROXILATO-ZN-MN, 1 KG</t>
  </si>
  <si>
    <t>AGZ-M0005</t>
  </si>
  <si>
    <t>AGROXILATO-ZN-MN, 5 KG</t>
  </si>
  <si>
    <t>AMIMG0020</t>
  </si>
  <si>
    <t>AMINOSOIL MG, 20 L</t>
  </si>
  <si>
    <t>PT0020</t>
  </si>
  <si>
    <t>AGROPOTASION, 20 L</t>
  </si>
  <si>
    <t>GUIVARTO AGRICOLA, S.L.</t>
  </si>
  <si>
    <t>CODIORGAN A-50, 5 KG</t>
  </si>
  <si>
    <t>AGXK1000</t>
  </si>
  <si>
    <t>AGROXILATO-K, 1000 L</t>
  </si>
  <si>
    <t>AGZNP0005</t>
  </si>
  <si>
    <t>AGROXILATO-ZN PLUS, 5 KG</t>
  </si>
  <si>
    <t>AQUOM0005</t>
  </si>
  <si>
    <t>AQUOM, 5 L</t>
  </si>
  <si>
    <t>BEY0020</t>
  </si>
  <si>
    <t>FLORAMEC PLUS 20 L</t>
  </si>
  <si>
    <t>C-M-P0001</t>
  </si>
  <si>
    <t>CODIFOL Mo-PLUS, 1 L</t>
  </si>
  <si>
    <t>P-5X0005</t>
  </si>
  <si>
    <t>P.M.S. 5x, 5 L</t>
  </si>
  <si>
    <t>SALWAX STAR, 20 L</t>
  </si>
  <si>
    <t>SUCA, S.C.A.</t>
  </si>
  <si>
    <t>TOTAL CONSOLIDADO - IRENE (UNIDADES)</t>
  </si>
  <si>
    <t>Atraso de pedidos</t>
  </si>
  <si>
    <t>Adelanto de pedidos</t>
  </si>
  <si>
    <t>Otro motivo</t>
  </si>
  <si>
    <t>Mayor venta en envases 20l</t>
  </si>
  <si>
    <t>Campaña habitual</t>
  </si>
  <si>
    <t>Han ido adelantados en compras, tienen en stock más de 6000 l y las plantaciones van este año más atrasadas.</t>
  </si>
  <si>
    <t>Esta saliendo m´sa en formato 20 l</t>
  </si>
  <si>
    <t>El stock es grande y la aplicación de este producto es bien avanzado el Q4</t>
  </si>
  <si>
    <t>Según cliente tienen bastante stcok.Van adelantados en compras (el pedido que se cuatriplicó).</t>
  </si>
  <si>
    <t xml:space="preserve">Adelanto de pedidos, </t>
  </si>
  <si>
    <t>Van adelantado en pedidos</t>
  </si>
  <si>
    <t>Van adelantados en los pedidos</t>
  </si>
  <si>
    <t>Se habían adelantodo algunos litros a agosto.</t>
  </si>
  <si>
    <t>Retraso en pedidos, pienso que por retraso en siembras, suele ser estable las ventas de este producto.</t>
  </si>
  <si>
    <t>Van con Stock y por temas de Auditorías no han querido realizar pedidos en Septiembre</t>
  </si>
  <si>
    <t>Es un cliente en concreto el que se lo lleva, este año no lo ha pedido.</t>
  </si>
  <si>
    <t>Se adelantaron a Agosto los pedidos</t>
  </si>
  <si>
    <t>Por motivos de Auditorías no han querido realizar pedidos en Septiembre</t>
  </si>
  <si>
    <t>Salió una operación de jaulas para un cliente, lo que merma la compra de garrafas de 20l</t>
  </si>
  <si>
    <t>Cliente que va bajo demanda de campo, complicado preveer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</si>
</sst>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\+#,##0;\-#,##0;0"/>
    <numFmt numFmtId="166" formatCode="#,##0\ &quot;u&quot;"/>
    <numFmt numFmtId="167" formatCode="\+#,##0\ &quot;u&quot;;\-#,##0\ &quot;u&quot;;0\ &quot;u&quot;"/>
  </numFmts>
  <fonts count="15" x14ac:knownFonts="1">
    <font>
      <sz val="11"/>
      <color theme="1"/>
      <name val="Calibri"/>
      <family val="2"/>
      <scheme val="minor"/>
    </font>
    <font>
      <b/>
      <sz val="15"/>
      <color rgb="FFFFFFFF"/>
      <name val="Segoe UI"/>
    </font>
    <font>
      <i/>
      <sz val="10"/>
      <color rgb="FF94A3B8"/>
      <name val="Segoe UI"/>
    </font>
    <font>
      <b/>
      <sz val="9"/>
      <color rgb="FF1E293B"/>
      <name val="Segoe UI"/>
    </font>
    <font>
      <b/>
      <sz val="10"/>
      <color rgb="FFFFFFFF"/>
      <name val="Segoe UI"/>
    </font>
    <font>
      <b/>
      <sz val="9"/>
      <color rgb="FFFFFFFF"/>
      <name val="Segoe UI"/>
    </font>
    <font>
      <sz val="9"/>
      <color rgb="FF1E293B"/>
      <name val="Segoe UI"/>
    </font>
    <font>
      <b/>
      <sz val="9"/>
      <color rgb="FF0F172A"/>
      <name val="Segoe UI"/>
    </font>
    <font>
      <b/>
      <sz val="9"/>
      <color rgb="FF065F46"/>
      <name val="Segoe UI"/>
    </font>
    <font>
      <b/>
      <sz val="10"/>
      <color rgb="FF0F172A"/>
      <name val="Segoe UI"/>
    </font>
    <font>
      <b/>
      <sz val="9"/>
      <color rgb="FF64748B"/>
      <name val="Segoe UI"/>
    </font>
    <font>
      <b/>
      <sz val="13"/>
      <color rgb="FF1D4ED8"/>
      <name val="Segoe UI"/>
    </font>
    <font>
      <b/>
      <sz val="13"/>
      <color rgb="FF047857"/>
      <name val="Segoe UI"/>
    </font>
    <font>
      <b/>
      <sz val="13"/>
      <color rgb="FF0F172A"/>
      <name val="Segoe UI"/>
    </font>
    <font>
      <b/>
      <sz val="13"/>
      <color rgb="FFB45309"/>
      <name val="Segoe UI"/>
    </font>
  </fonts>
  <fills count="17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1E293B"/>
        <bgColor rgb="FF1E293B"/>
      </patternFill>
    </fill>
    <fill>
      <patternFill patternType="solid">
        <fgColor rgb="FFEFF6FF"/>
        <bgColor rgb="FFEFF6FF"/>
      </patternFill>
    </fill>
    <fill>
      <patternFill patternType="solid">
        <fgColor rgb="FF334155"/>
        <bgColor rgb="FF334155"/>
      </patternFill>
    </fill>
    <fill>
      <patternFill patternType="solid">
        <fgColor rgb="FF1D4ED8"/>
        <bgColor rgb="FF1D4ED8"/>
      </patternFill>
    </fill>
    <fill>
      <patternFill patternType="solid">
        <fgColor rgb="FF047857"/>
        <bgColor rgb="FF047857"/>
      </patternFill>
    </fill>
    <fill>
      <patternFill patternType="solid">
        <fgColor rgb="FF475569"/>
        <bgColor rgb="FF475569"/>
      </patternFill>
    </fill>
    <fill>
      <patternFill patternType="solid">
        <fgColor rgb="FF2563EB"/>
        <bgColor rgb="FF2563EB"/>
      </patternFill>
    </fill>
    <fill>
      <patternFill patternType="solid">
        <fgColor rgb="FF059669"/>
        <bgColor rgb="FF059669"/>
      </patternFill>
    </fill>
    <fill>
      <patternFill patternType="solid">
        <fgColor rgb="FFFEF9C3"/>
        <bgColor rgb="FFFEF9C3"/>
      </patternFill>
    </fill>
    <fill>
      <patternFill patternType="solid">
        <fgColor rgb="FFF8FAFC"/>
        <bgColor rgb="FFF8FAFC"/>
      </patternFill>
    </fill>
    <fill>
      <patternFill patternType="solid">
        <fgColor rgb="FFECFDF5"/>
        <bgColor rgb="FFECFDF5"/>
      </patternFill>
    </fill>
    <fill>
      <patternFill patternType="solid">
        <fgColor rgb="FFE2E8F0"/>
        <bgColor rgb="FFE2E8F0"/>
      </patternFill>
    </fill>
    <fill>
      <patternFill patternType="solid">
        <fgColor rgb="FFF1F5F9"/>
        <bgColor rgb="FFF1F5F9"/>
      </patternFill>
    </fill>
    <fill>
      <patternFill patternType="solid">
        <fgColor rgb="FFFEF3C7"/>
        <bgColor rgb="FFFEF3C7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10B981"/>
      </left>
      <right style="thin">
        <color rgb="FF10B981"/>
      </right>
      <top style="thin">
        <color rgb="FF10B981"/>
      </top>
      <bottom style="thin">
        <color rgb="FF10B981"/>
      </bottom>
      <diagonal/>
    </border>
    <border>
      <left style="thin">
        <color rgb="FFCBD5E1"/>
      </left>
      <right style="thin">
        <color rgb="FFCBD5E1"/>
      </right>
      <top style="thin">
        <color rgb="FF94A3B8"/>
      </top>
      <bottom style="double">
        <color rgb="FF0F172A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5" fillId="3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right" vertical="center"/>
    </xf>
    <xf numFmtId="3" fontId="7" fillId="0" borderId="1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0" fontId="6" fillId="11" borderId="1" xfId="0" applyFont="1" applyFill="1" applyBorder="1" applyAlignment="1">
      <alignment horizontal="left" vertical="center"/>
    </xf>
    <xf numFmtId="3" fontId="6" fillId="12" borderId="1" xfId="0" applyNumberFormat="1" applyFont="1" applyFill="1" applyBorder="1" applyAlignment="1">
      <alignment horizontal="right" vertical="center"/>
    </xf>
    <xf numFmtId="3" fontId="8" fillId="13" borderId="2" xfId="0" applyNumberFormat="1" applyFont="1" applyFill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9" fillId="14" borderId="3" xfId="0" applyNumberFormat="1" applyFont="1" applyFill="1" applyBorder="1" applyAlignment="1">
      <alignment horizontal="right" vertical="center"/>
    </xf>
    <xf numFmtId="164" fontId="9" fillId="14" borderId="3" xfId="0" applyNumberFormat="1" applyFont="1" applyFill="1" applyBorder="1" applyAlignment="1">
      <alignment horizontal="right" vertical="center"/>
    </xf>
    <xf numFmtId="0" fontId="0" fillId="14" borderId="3" xfId="0" applyFill="1" applyBorder="1"/>
    <xf numFmtId="165" fontId="9" fillId="14" borderId="3" xfId="0" applyNumberFormat="1" applyFont="1" applyFill="1" applyBorder="1" applyAlignment="1">
      <alignment horizontal="right" vertical="center"/>
    </xf>
    <xf numFmtId="0" fontId="6" fillId="1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14" borderId="3" xfId="0" applyFill="1" applyBorder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4" fillId="5" borderId="0" xfId="0" applyFont="1" applyFill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0" fillId="0" borderId="1" xfId="0" applyBorder="1"/>
    <xf numFmtId="0" fontId="10" fillId="4" borderId="1" xfId="0" applyFont="1" applyFill="1" applyBorder="1" applyAlignment="1">
      <alignment horizontal="center" vertical="center"/>
    </xf>
    <xf numFmtId="167" fontId="14" fillId="16" borderId="1" xfId="0" applyNumberFormat="1" applyFont="1" applyFill="1" applyBorder="1" applyAlignment="1">
      <alignment horizontal="center" vertical="center"/>
    </xf>
    <xf numFmtId="164" fontId="13" fillId="15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  <xf numFmtId="0" fontId="4" fillId="8" borderId="0" xfId="0" applyFont="1" applyFill="1" applyAlignment="1">
      <alignment horizontal="center" vertical="center"/>
    </xf>
    <xf numFmtId="166" fontId="11" fillId="4" borderId="1" xfId="0" applyNumberFormat="1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0" fontId="9" fillId="14" borderId="3" xfId="0" applyFont="1" applyFill="1" applyBorder="1" applyAlignment="1">
      <alignment horizontal="right" vertical="center" indent="1"/>
    </xf>
    <xf numFmtId="0" fontId="0" fillId="0" borderId="3" xfId="0" applyBorder="1"/>
    <xf numFmtId="166" fontId="12" fillId="13" borderId="1" xfId="0" applyNumberFormat="1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 wrapText="1" indent="1"/>
    </xf>
    <xf numFmtId="0" fontId="4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74"/>
  <sheetViews>
    <sheetView tabSelected="1" topLeftCell="A11" workbookViewId="0">
      <selection activeCell="F11" sqref="F11"/>
    </sheetView>
  </sheetViews>
  <sheetFormatPr baseColWidth="10" defaultColWidth="9.1796875" defaultRowHeight="14.5" x14ac:dyDescent="0.35"/>
  <cols>
    <col min="1" max="1" width="3" customWidth="1"/>
    <col min="2" max="2" width="7.26953125" bestFit="1" customWidth="1"/>
    <col min="3" max="3" width="25.81640625" bestFit="1" customWidth="1"/>
    <col min="4" max="4" width="10.81640625" bestFit="1" customWidth="1"/>
    <col min="5" max="5" width="24.54296875" bestFit="1" customWidth="1"/>
    <col min="6" max="6" width="13.54296875" bestFit="1" customWidth="1"/>
    <col min="7" max="7" width="10.453125" bestFit="1" customWidth="1"/>
    <col min="8" max="8" width="11.453125" bestFit="1" customWidth="1"/>
    <col min="9" max="9" width="8.81640625" bestFit="1" customWidth="1"/>
    <col min="10" max="10" width="35.1796875" bestFit="1" customWidth="1"/>
    <col min="11" max="11" width="13.54296875" bestFit="1" customWidth="1"/>
    <col min="12" max="13" width="14" bestFit="1" customWidth="1"/>
    <col min="14" max="14" width="14.453125" bestFit="1" customWidth="1"/>
    <col min="15" max="15" width="13.26953125" bestFit="1" customWidth="1"/>
    <col min="16" max="16" width="13.7265625" bestFit="1" customWidth="1"/>
    <col min="17" max="17" width="13.54296875" bestFit="1" customWidth="1"/>
    <col min="18" max="18" width="13.81640625" bestFit="1" customWidth="1"/>
    <col min="19" max="19" width="8.7265625" bestFit="1" customWidth="1"/>
    <col min="20" max="20" width="85.7265625" style="20" bestFit="1" customWidth="1"/>
  </cols>
  <sheetData>
    <row r="2" spans="2:20" ht="36" customHeight="1" x14ac:dyDescent="0.35">
      <c r="B2" s="21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</row>
    <row r="3" spans="2:20" ht="20.149999999999999" customHeight="1" x14ac:dyDescent="0.35">
      <c r="B3" s="29" t="s">
        <v>1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</row>
    <row r="4" spans="2:20" ht="26.15" customHeight="1" x14ac:dyDescent="0.35">
      <c r="B4" s="38" t="s">
        <v>2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</row>
    <row r="5" spans="2:20" ht="16" customHeight="1" x14ac:dyDescent="0.35">
      <c r="B5" s="26" t="s">
        <v>3</v>
      </c>
      <c r="C5" s="25"/>
      <c r="D5" s="25"/>
      <c r="E5" s="24" t="s">
        <v>4</v>
      </c>
      <c r="F5" s="25"/>
      <c r="G5" s="25"/>
      <c r="H5" s="32" t="s">
        <v>5</v>
      </c>
      <c r="I5" s="25"/>
      <c r="J5" s="25"/>
      <c r="K5" s="26" t="s">
        <v>6</v>
      </c>
      <c r="L5" s="25"/>
      <c r="M5" s="25"/>
      <c r="N5" s="24" t="s">
        <v>7</v>
      </c>
      <c r="O5" s="25"/>
      <c r="P5" s="25"/>
      <c r="Q5" s="33" t="s">
        <v>8</v>
      </c>
      <c r="R5" s="25"/>
      <c r="S5" s="25"/>
      <c r="T5" s="25"/>
    </row>
    <row r="6" spans="2:20" ht="26.15" customHeight="1" x14ac:dyDescent="0.35">
      <c r="B6" s="31">
        <f>F74</f>
        <v>21914</v>
      </c>
      <c r="C6" s="25"/>
      <c r="D6" s="25"/>
      <c r="E6" s="36">
        <f>G74</f>
        <v>23674</v>
      </c>
      <c r="F6" s="25"/>
      <c r="G6" s="25"/>
      <c r="H6" s="28">
        <f>I74</f>
        <v>1.080313954549603</v>
      </c>
      <c r="I6" s="25"/>
      <c r="J6" s="25"/>
      <c r="K6" s="31">
        <f>Q74</f>
        <v>83666</v>
      </c>
      <c r="L6" s="25"/>
      <c r="M6" s="25"/>
      <c r="N6" s="36">
        <f>R74</f>
        <v>85746</v>
      </c>
      <c r="O6" s="25"/>
      <c r="P6" s="25"/>
      <c r="Q6" s="27">
        <f>S74</f>
        <v>2080</v>
      </c>
      <c r="R6" s="25"/>
      <c r="S6" s="25"/>
      <c r="T6" s="25"/>
    </row>
    <row r="8" spans="2:20" ht="22" customHeight="1" x14ac:dyDescent="0.35">
      <c r="B8" s="23" t="s">
        <v>9</v>
      </c>
      <c r="C8" s="22"/>
      <c r="D8" s="22"/>
      <c r="E8" s="22"/>
      <c r="F8" s="39" t="s">
        <v>10</v>
      </c>
      <c r="G8" s="22"/>
      <c r="H8" s="22"/>
      <c r="I8" s="22"/>
      <c r="J8" s="22"/>
      <c r="K8" s="37" t="s">
        <v>11</v>
      </c>
      <c r="L8" s="22"/>
      <c r="M8" s="22"/>
      <c r="N8" s="22"/>
      <c r="O8" s="22"/>
      <c r="P8" s="22"/>
      <c r="Q8" s="30" t="s">
        <v>12</v>
      </c>
      <c r="R8" s="22"/>
      <c r="S8" s="22"/>
      <c r="T8" s="22"/>
    </row>
    <row r="9" spans="2:20" ht="28" customHeight="1" x14ac:dyDescent="0.35">
      <c r="B9" s="1" t="s">
        <v>13</v>
      </c>
      <c r="C9" s="1" t="s">
        <v>14</v>
      </c>
      <c r="D9" s="1" t="s">
        <v>15</v>
      </c>
      <c r="E9" s="1" t="s">
        <v>16</v>
      </c>
      <c r="F9" s="2" t="s">
        <v>17</v>
      </c>
      <c r="G9" s="2" t="s">
        <v>18</v>
      </c>
      <c r="H9" s="2" t="s">
        <v>19</v>
      </c>
      <c r="I9" s="2" t="s">
        <v>20</v>
      </c>
      <c r="J9" s="2" t="s">
        <v>21</v>
      </c>
      <c r="K9" s="3" t="s">
        <v>22</v>
      </c>
      <c r="L9" s="3" t="s">
        <v>23</v>
      </c>
      <c r="M9" s="3" t="s">
        <v>24</v>
      </c>
      <c r="N9" s="3" t="s">
        <v>25</v>
      </c>
      <c r="O9" s="3" t="s">
        <v>26</v>
      </c>
      <c r="P9" s="3" t="s">
        <v>27</v>
      </c>
      <c r="Q9" s="1" t="s">
        <v>28</v>
      </c>
      <c r="R9" s="1" t="s">
        <v>29</v>
      </c>
      <c r="S9" s="1" t="s">
        <v>30</v>
      </c>
      <c r="T9" s="18" t="s">
        <v>31</v>
      </c>
    </row>
    <row r="10" spans="2:20" ht="20.149999999999999" customHeight="1" x14ac:dyDescent="0.35">
      <c r="B10" s="4" t="s">
        <v>32</v>
      </c>
      <c r="C10" s="5" t="s">
        <v>33</v>
      </c>
      <c r="D10" s="4" t="s">
        <v>34</v>
      </c>
      <c r="E10" s="5" t="s">
        <v>35</v>
      </c>
      <c r="F10" s="6">
        <v>200</v>
      </c>
      <c r="G10" s="7">
        <v>100</v>
      </c>
      <c r="H10" s="6">
        <f t="shared" ref="H10:H41" si="0">ABS(G10-F10)</f>
        <v>100</v>
      </c>
      <c r="I10" s="8">
        <f t="shared" ref="I10:I41" si="1">IF(F10&gt;0, G10/F10, IF(G10&gt;0, 1, 0))</f>
        <v>0.5</v>
      </c>
      <c r="J10" s="9" t="s">
        <v>113</v>
      </c>
      <c r="K10" s="10">
        <v>0</v>
      </c>
      <c r="L10" s="11">
        <v>100</v>
      </c>
      <c r="M10" s="10">
        <v>0</v>
      </c>
      <c r="N10" s="11">
        <v>0</v>
      </c>
      <c r="O10" s="10">
        <v>200</v>
      </c>
      <c r="P10" s="11">
        <v>100</v>
      </c>
      <c r="Q10" s="6">
        <f t="shared" ref="Q10:Q41" si="2">K10+M10+O10</f>
        <v>200</v>
      </c>
      <c r="R10" s="7">
        <f t="shared" ref="R10:R41" si="3">L10+N10+P10</f>
        <v>200</v>
      </c>
      <c r="S10" s="12">
        <f t="shared" ref="S10:S41" si="4">R10-Q10</f>
        <v>0</v>
      </c>
      <c r="T10" s="17"/>
    </row>
    <row r="11" spans="2:20" ht="20.149999999999999" customHeight="1" x14ac:dyDescent="0.35">
      <c r="B11" s="4" t="s">
        <v>32</v>
      </c>
      <c r="C11" s="5" t="s">
        <v>33</v>
      </c>
      <c r="D11" s="4" t="s">
        <v>36</v>
      </c>
      <c r="E11" s="5" t="s">
        <v>37</v>
      </c>
      <c r="F11" s="6">
        <v>0</v>
      </c>
      <c r="G11" s="7">
        <v>20</v>
      </c>
      <c r="H11" s="6">
        <f t="shared" si="0"/>
        <v>20</v>
      </c>
      <c r="I11" s="8">
        <f t="shared" si="1"/>
        <v>1</v>
      </c>
      <c r="J11" s="9" t="s">
        <v>38</v>
      </c>
      <c r="K11" s="10">
        <v>0</v>
      </c>
      <c r="L11" s="11">
        <v>0</v>
      </c>
      <c r="M11" s="10">
        <v>0</v>
      </c>
      <c r="N11" s="11">
        <v>0</v>
      </c>
      <c r="O11" s="10">
        <v>0</v>
      </c>
      <c r="P11" s="11">
        <v>0</v>
      </c>
      <c r="Q11" s="6">
        <f t="shared" si="2"/>
        <v>0</v>
      </c>
      <c r="R11" s="7">
        <f t="shared" si="3"/>
        <v>0</v>
      </c>
      <c r="S11" s="12">
        <f t="shared" si="4"/>
        <v>0</v>
      </c>
      <c r="T11" s="17"/>
    </row>
    <row r="12" spans="2:20" ht="20.149999999999999" customHeight="1" x14ac:dyDescent="0.35">
      <c r="B12" s="4" t="s">
        <v>32</v>
      </c>
      <c r="C12" s="5" t="s">
        <v>33</v>
      </c>
      <c r="D12" s="4" t="s">
        <v>39</v>
      </c>
      <c r="E12" s="5" t="s">
        <v>40</v>
      </c>
      <c r="F12" s="6">
        <v>1920</v>
      </c>
      <c r="G12" s="7">
        <v>640</v>
      </c>
      <c r="H12" s="6">
        <f t="shared" si="0"/>
        <v>1280</v>
      </c>
      <c r="I12" s="8">
        <f t="shared" si="1"/>
        <v>0.33333333333333331</v>
      </c>
      <c r="J12" s="9" t="s">
        <v>113</v>
      </c>
      <c r="K12" s="10">
        <v>5060</v>
      </c>
      <c r="L12" s="11">
        <v>3840</v>
      </c>
      <c r="M12" s="10">
        <v>1920</v>
      </c>
      <c r="N12" s="11">
        <v>3200</v>
      </c>
      <c r="O12" s="10">
        <v>3200</v>
      </c>
      <c r="P12" s="11">
        <v>3840</v>
      </c>
      <c r="Q12" s="6">
        <f t="shared" si="2"/>
        <v>10180</v>
      </c>
      <c r="R12" s="7">
        <f t="shared" si="3"/>
        <v>10880</v>
      </c>
      <c r="S12" s="12">
        <f t="shared" si="4"/>
        <v>700</v>
      </c>
      <c r="T12" s="17" t="s">
        <v>118</v>
      </c>
    </row>
    <row r="13" spans="2:20" ht="20.149999999999999" customHeight="1" x14ac:dyDescent="0.35">
      <c r="B13" s="4" t="s">
        <v>32</v>
      </c>
      <c r="C13" s="5" t="s">
        <v>33</v>
      </c>
      <c r="D13" s="4" t="s">
        <v>41</v>
      </c>
      <c r="E13" s="5" t="s">
        <v>42</v>
      </c>
      <c r="F13" s="6">
        <v>300</v>
      </c>
      <c r="G13" s="7">
        <v>0</v>
      </c>
      <c r="H13" s="6">
        <f t="shared" si="0"/>
        <v>300</v>
      </c>
      <c r="I13" s="8">
        <f t="shared" si="1"/>
        <v>0</v>
      </c>
      <c r="J13" s="9" t="s">
        <v>116</v>
      </c>
      <c r="K13" s="10">
        <v>300</v>
      </c>
      <c r="L13" s="11">
        <v>200</v>
      </c>
      <c r="M13" s="10">
        <v>0</v>
      </c>
      <c r="N13" s="11">
        <v>0</v>
      </c>
      <c r="O13" s="10">
        <v>300</v>
      </c>
      <c r="P13" s="11">
        <v>300</v>
      </c>
      <c r="Q13" s="6">
        <f t="shared" si="2"/>
        <v>600</v>
      </c>
      <c r="R13" s="7">
        <f t="shared" si="3"/>
        <v>500</v>
      </c>
      <c r="S13" s="12">
        <f t="shared" si="4"/>
        <v>-100</v>
      </c>
      <c r="T13" s="17" t="s">
        <v>119</v>
      </c>
    </row>
    <row r="14" spans="2:20" ht="20.149999999999999" customHeight="1" x14ac:dyDescent="0.35">
      <c r="B14" s="4" t="s">
        <v>32</v>
      </c>
      <c r="C14" s="5" t="s">
        <v>33</v>
      </c>
      <c r="D14" s="4" t="s">
        <v>43</v>
      </c>
      <c r="E14" s="5" t="s">
        <v>44</v>
      </c>
      <c r="F14" s="6">
        <v>960</v>
      </c>
      <c r="G14" s="7">
        <v>2560</v>
      </c>
      <c r="H14" s="6">
        <f t="shared" si="0"/>
        <v>1600</v>
      </c>
      <c r="I14" s="8">
        <f t="shared" si="1"/>
        <v>2.6666666666666665</v>
      </c>
      <c r="J14" s="9" t="s">
        <v>114</v>
      </c>
      <c r="K14" s="10">
        <v>640</v>
      </c>
      <c r="L14" s="11">
        <v>1280</v>
      </c>
      <c r="M14" s="10">
        <v>960</v>
      </c>
      <c r="N14" s="11">
        <v>640</v>
      </c>
      <c r="O14" s="10">
        <v>1280</v>
      </c>
      <c r="P14" s="11">
        <v>1280</v>
      </c>
      <c r="Q14" s="6">
        <f t="shared" si="2"/>
        <v>2880</v>
      </c>
      <c r="R14" s="7">
        <f t="shared" si="3"/>
        <v>3200</v>
      </c>
      <c r="S14" s="12">
        <f t="shared" si="4"/>
        <v>320</v>
      </c>
      <c r="T14" s="17"/>
    </row>
    <row r="15" spans="2:20" ht="20.149999999999999" customHeight="1" x14ac:dyDescent="0.35">
      <c r="B15" s="4" t="s">
        <v>32</v>
      </c>
      <c r="C15" s="5" t="s">
        <v>33</v>
      </c>
      <c r="D15" s="4" t="s">
        <v>45</v>
      </c>
      <c r="E15" s="5" t="s">
        <v>46</v>
      </c>
      <c r="F15" s="6">
        <v>0</v>
      </c>
      <c r="G15" s="7">
        <v>0</v>
      </c>
      <c r="H15" s="6">
        <f t="shared" si="0"/>
        <v>0</v>
      </c>
      <c r="I15" s="8">
        <f t="shared" si="1"/>
        <v>0</v>
      </c>
      <c r="J15" s="9"/>
      <c r="K15" s="10">
        <v>0</v>
      </c>
      <c r="L15" s="11">
        <v>0</v>
      </c>
      <c r="M15" s="10">
        <v>0</v>
      </c>
      <c r="N15" s="11">
        <v>0</v>
      </c>
      <c r="O15" s="10">
        <v>36</v>
      </c>
      <c r="P15" s="11">
        <v>36</v>
      </c>
      <c r="Q15" s="6">
        <f t="shared" si="2"/>
        <v>36</v>
      </c>
      <c r="R15" s="7">
        <f t="shared" si="3"/>
        <v>36</v>
      </c>
      <c r="S15" s="12">
        <f t="shared" si="4"/>
        <v>0</v>
      </c>
      <c r="T15" s="17"/>
    </row>
    <row r="16" spans="2:20" ht="20.149999999999999" customHeight="1" x14ac:dyDescent="0.35">
      <c r="B16" s="4" t="s">
        <v>32</v>
      </c>
      <c r="C16" s="5" t="s">
        <v>33</v>
      </c>
      <c r="D16" s="4" t="s">
        <v>47</v>
      </c>
      <c r="E16" s="5" t="s">
        <v>48</v>
      </c>
      <c r="F16" s="6">
        <v>0</v>
      </c>
      <c r="G16" s="7">
        <v>0</v>
      </c>
      <c r="H16" s="6">
        <f t="shared" si="0"/>
        <v>0</v>
      </c>
      <c r="I16" s="8">
        <f t="shared" si="1"/>
        <v>0</v>
      </c>
      <c r="J16" s="9"/>
      <c r="K16" s="10">
        <v>100</v>
      </c>
      <c r="L16" s="11">
        <v>100</v>
      </c>
      <c r="M16" s="10">
        <v>0</v>
      </c>
      <c r="N16" s="11">
        <v>0</v>
      </c>
      <c r="O16" s="10">
        <v>100</v>
      </c>
      <c r="P16" s="11">
        <v>100</v>
      </c>
      <c r="Q16" s="6">
        <f t="shared" si="2"/>
        <v>200</v>
      </c>
      <c r="R16" s="7">
        <f t="shared" si="3"/>
        <v>200</v>
      </c>
      <c r="S16" s="12">
        <f t="shared" si="4"/>
        <v>0</v>
      </c>
      <c r="T16" s="17"/>
    </row>
    <row r="17" spans="2:20" ht="20.149999999999999" customHeight="1" x14ac:dyDescent="0.35">
      <c r="B17" s="4" t="s">
        <v>32</v>
      </c>
      <c r="C17" s="5" t="s">
        <v>33</v>
      </c>
      <c r="D17" s="4" t="s">
        <v>49</v>
      </c>
      <c r="E17" s="5" t="s">
        <v>50</v>
      </c>
      <c r="F17" s="6">
        <v>640</v>
      </c>
      <c r="G17" s="7">
        <v>640</v>
      </c>
      <c r="H17" s="6">
        <f t="shared" si="0"/>
        <v>0</v>
      </c>
      <c r="I17" s="8">
        <f t="shared" si="1"/>
        <v>1</v>
      </c>
      <c r="J17" s="9" t="s">
        <v>117</v>
      </c>
      <c r="K17" s="10">
        <v>640</v>
      </c>
      <c r="L17" s="11">
        <v>640</v>
      </c>
      <c r="M17" s="10">
        <v>640</v>
      </c>
      <c r="N17" s="11">
        <v>640</v>
      </c>
      <c r="O17" s="10">
        <v>640</v>
      </c>
      <c r="P17" s="11">
        <v>640</v>
      </c>
      <c r="Q17" s="6">
        <f t="shared" si="2"/>
        <v>1920</v>
      </c>
      <c r="R17" s="7">
        <f t="shared" si="3"/>
        <v>1920</v>
      </c>
      <c r="S17" s="12">
        <f t="shared" si="4"/>
        <v>0</v>
      </c>
      <c r="T17" s="17"/>
    </row>
    <row r="18" spans="2:20" ht="20.149999999999999" customHeight="1" x14ac:dyDescent="0.35">
      <c r="B18" s="4" t="s">
        <v>32</v>
      </c>
      <c r="C18" s="5" t="s">
        <v>33</v>
      </c>
      <c r="D18" s="4" t="s">
        <v>51</v>
      </c>
      <c r="E18" s="5" t="s">
        <v>52</v>
      </c>
      <c r="F18" s="6">
        <v>0</v>
      </c>
      <c r="G18" s="7">
        <v>0</v>
      </c>
      <c r="H18" s="6">
        <f t="shared" si="0"/>
        <v>0</v>
      </c>
      <c r="I18" s="8">
        <f t="shared" si="1"/>
        <v>0</v>
      </c>
      <c r="J18" s="9"/>
      <c r="K18" s="10">
        <v>200</v>
      </c>
      <c r="L18" s="11">
        <v>200</v>
      </c>
      <c r="M18" s="10">
        <v>100</v>
      </c>
      <c r="N18" s="11">
        <v>100</v>
      </c>
      <c r="O18" s="10">
        <v>100</v>
      </c>
      <c r="P18" s="11">
        <v>100</v>
      </c>
      <c r="Q18" s="6">
        <f t="shared" si="2"/>
        <v>400</v>
      </c>
      <c r="R18" s="7">
        <f t="shared" si="3"/>
        <v>400</v>
      </c>
      <c r="S18" s="12">
        <f t="shared" si="4"/>
        <v>0</v>
      </c>
      <c r="T18" s="17"/>
    </row>
    <row r="19" spans="2:20" ht="20.149999999999999" customHeight="1" x14ac:dyDescent="0.35">
      <c r="B19" s="4" t="s">
        <v>32</v>
      </c>
      <c r="C19" s="5" t="s">
        <v>33</v>
      </c>
      <c r="D19" s="4" t="s">
        <v>53</v>
      </c>
      <c r="E19" s="5" t="s">
        <v>54</v>
      </c>
      <c r="F19" s="6">
        <v>0</v>
      </c>
      <c r="G19" s="7">
        <v>0</v>
      </c>
      <c r="H19" s="6">
        <f t="shared" si="0"/>
        <v>0</v>
      </c>
      <c r="I19" s="8">
        <f t="shared" si="1"/>
        <v>0</v>
      </c>
      <c r="J19" s="9"/>
      <c r="K19" s="10">
        <v>0</v>
      </c>
      <c r="L19" s="11">
        <v>0</v>
      </c>
      <c r="M19" s="10">
        <v>600</v>
      </c>
      <c r="N19" s="11">
        <v>600</v>
      </c>
      <c r="O19" s="10">
        <v>300</v>
      </c>
      <c r="P19" s="11">
        <v>300</v>
      </c>
      <c r="Q19" s="6">
        <f t="shared" si="2"/>
        <v>900</v>
      </c>
      <c r="R19" s="7">
        <v>600</v>
      </c>
      <c r="S19" s="12">
        <f t="shared" si="4"/>
        <v>-300</v>
      </c>
      <c r="T19" s="17" t="s">
        <v>120</v>
      </c>
    </row>
    <row r="20" spans="2:20" ht="20.149999999999999" customHeight="1" x14ac:dyDescent="0.35">
      <c r="B20" s="4" t="s">
        <v>32</v>
      </c>
      <c r="C20" s="5" t="s">
        <v>33</v>
      </c>
      <c r="D20" s="4" t="s">
        <v>55</v>
      </c>
      <c r="E20" s="5" t="s">
        <v>56</v>
      </c>
      <c r="F20" s="6">
        <v>60</v>
      </c>
      <c r="G20" s="7">
        <v>0</v>
      </c>
      <c r="H20" s="6">
        <f t="shared" si="0"/>
        <v>60</v>
      </c>
      <c r="I20" s="8">
        <f t="shared" si="1"/>
        <v>0</v>
      </c>
      <c r="J20" s="9" t="s">
        <v>113</v>
      </c>
      <c r="K20" s="10">
        <v>120</v>
      </c>
      <c r="L20" s="11">
        <v>120</v>
      </c>
      <c r="M20" s="10">
        <v>108</v>
      </c>
      <c r="N20" s="11">
        <v>108</v>
      </c>
      <c r="O20" s="10">
        <v>108</v>
      </c>
      <c r="P20" s="11">
        <v>108</v>
      </c>
      <c r="Q20" s="6">
        <f t="shared" si="2"/>
        <v>336</v>
      </c>
      <c r="R20" s="7">
        <f t="shared" si="3"/>
        <v>336</v>
      </c>
      <c r="S20" s="12">
        <f t="shared" si="4"/>
        <v>0</v>
      </c>
      <c r="T20" s="17"/>
    </row>
    <row r="21" spans="2:20" ht="20.149999999999999" customHeight="1" x14ac:dyDescent="0.35">
      <c r="B21" s="4" t="s">
        <v>32</v>
      </c>
      <c r="C21" s="5" t="s">
        <v>33</v>
      </c>
      <c r="D21" s="4" t="s">
        <v>57</v>
      </c>
      <c r="E21" s="5" t="s">
        <v>58</v>
      </c>
      <c r="F21" s="6">
        <v>300</v>
      </c>
      <c r="G21" s="7">
        <v>0</v>
      </c>
      <c r="H21" s="6">
        <f t="shared" si="0"/>
        <v>300</v>
      </c>
      <c r="I21" s="8">
        <f t="shared" si="1"/>
        <v>0</v>
      </c>
      <c r="J21" s="9" t="s">
        <v>113</v>
      </c>
      <c r="K21" s="10">
        <v>0</v>
      </c>
      <c r="L21" s="11">
        <v>0</v>
      </c>
      <c r="M21" s="10">
        <v>400</v>
      </c>
      <c r="N21" s="11">
        <v>200</v>
      </c>
      <c r="O21" s="10">
        <v>300</v>
      </c>
      <c r="P21" s="11">
        <v>0</v>
      </c>
      <c r="Q21" s="6">
        <f t="shared" si="2"/>
        <v>700</v>
      </c>
      <c r="R21" s="7">
        <f t="shared" si="3"/>
        <v>200</v>
      </c>
      <c r="S21" s="12">
        <f t="shared" si="4"/>
        <v>-500</v>
      </c>
      <c r="T21" s="17" t="s">
        <v>121</v>
      </c>
    </row>
    <row r="22" spans="2:20" ht="20.149999999999999" customHeight="1" x14ac:dyDescent="0.35">
      <c r="B22" s="4" t="s">
        <v>32</v>
      </c>
      <c r="C22" s="5" t="s">
        <v>33</v>
      </c>
      <c r="D22" s="4" t="s">
        <v>59</v>
      </c>
      <c r="E22" s="5" t="s">
        <v>60</v>
      </c>
      <c r="F22" s="6">
        <v>48</v>
      </c>
      <c r="G22" s="7">
        <v>36</v>
      </c>
      <c r="H22" s="6">
        <f t="shared" si="0"/>
        <v>12</v>
      </c>
      <c r="I22" s="8">
        <f t="shared" si="1"/>
        <v>0.75</v>
      </c>
      <c r="J22" s="9" t="s">
        <v>113</v>
      </c>
      <c r="K22" s="10">
        <v>0</v>
      </c>
      <c r="L22" s="11">
        <v>0</v>
      </c>
      <c r="M22" s="10">
        <v>0</v>
      </c>
      <c r="N22" s="11">
        <v>0</v>
      </c>
      <c r="O22" s="10">
        <v>0</v>
      </c>
      <c r="P22" s="11">
        <v>0</v>
      </c>
      <c r="Q22" s="6">
        <f t="shared" si="2"/>
        <v>0</v>
      </c>
      <c r="R22" s="7">
        <f t="shared" si="3"/>
        <v>0</v>
      </c>
      <c r="S22" s="12">
        <f t="shared" si="4"/>
        <v>0</v>
      </c>
      <c r="T22" s="17"/>
    </row>
    <row r="23" spans="2:20" ht="20.149999999999999" customHeight="1" x14ac:dyDescent="0.35">
      <c r="B23" s="4" t="s">
        <v>32</v>
      </c>
      <c r="C23" s="5" t="s">
        <v>33</v>
      </c>
      <c r="D23" s="4" t="s">
        <v>61</v>
      </c>
      <c r="E23" s="5" t="s">
        <v>62</v>
      </c>
      <c r="F23" s="6">
        <v>400</v>
      </c>
      <c r="G23" s="7">
        <v>1300</v>
      </c>
      <c r="H23" s="6">
        <f t="shared" si="0"/>
        <v>900</v>
      </c>
      <c r="I23" s="8">
        <f t="shared" si="1"/>
        <v>3.25</v>
      </c>
      <c r="J23" s="9" t="s">
        <v>114</v>
      </c>
      <c r="K23" s="10">
        <v>120</v>
      </c>
      <c r="L23" s="11">
        <v>300</v>
      </c>
      <c r="M23" s="10">
        <v>200</v>
      </c>
      <c r="N23" s="11">
        <v>0</v>
      </c>
      <c r="O23" s="10">
        <v>300</v>
      </c>
      <c r="P23" s="11">
        <v>200</v>
      </c>
      <c r="Q23" s="6">
        <f t="shared" si="2"/>
        <v>620</v>
      </c>
      <c r="R23" s="7">
        <f t="shared" si="3"/>
        <v>500</v>
      </c>
      <c r="S23" s="12">
        <f t="shared" si="4"/>
        <v>-120</v>
      </c>
      <c r="T23" s="17" t="s">
        <v>122</v>
      </c>
    </row>
    <row r="24" spans="2:20" ht="20.149999999999999" customHeight="1" x14ac:dyDescent="0.35">
      <c r="B24" s="4" t="s">
        <v>32</v>
      </c>
      <c r="C24" s="5" t="s">
        <v>33</v>
      </c>
      <c r="D24" s="4" t="s">
        <v>63</v>
      </c>
      <c r="E24" s="5" t="s">
        <v>64</v>
      </c>
      <c r="F24" s="6">
        <v>800</v>
      </c>
      <c r="G24" s="7">
        <v>1600</v>
      </c>
      <c r="H24" s="6">
        <f t="shared" si="0"/>
        <v>800</v>
      </c>
      <c r="I24" s="8">
        <f t="shared" si="1"/>
        <v>2</v>
      </c>
      <c r="J24" s="9" t="s">
        <v>114</v>
      </c>
      <c r="K24" s="10">
        <v>850</v>
      </c>
      <c r="L24" s="11">
        <v>750</v>
      </c>
      <c r="M24" s="10">
        <v>500</v>
      </c>
      <c r="N24" s="11">
        <v>750</v>
      </c>
      <c r="O24" s="10">
        <v>1200</v>
      </c>
      <c r="P24" s="11">
        <v>750</v>
      </c>
      <c r="Q24" s="6">
        <f t="shared" si="2"/>
        <v>2550</v>
      </c>
      <c r="R24" s="7">
        <f t="shared" si="3"/>
        <v>2250</v>
      </c>
      <c r="S24" s="12">
        <f t="shared" si="4"/>
        <v>-300</v>
      </c>
      <c r="T24" s="17" t="s">
        <v>123</v>
      </c>
    </row>
    <row r="25" spans="2:20" ht="20.149999999999999" customHeight="1" x14ac:dyDescent="0.35">
      <c r="B25" s="4" t="s">
        <v>32</v>
      </c>
      <c r="C25" s="5" t="s">
        <v>33</v>
      </c>
      <c r="D25" s="4" t="s">
        <v>65</v>
      </c>
      <c r="E25" s="5" t="s">
        <v>66</v>
      </c>
      <c r="F25" s="6">
        <v>1280</v>
      </c>
      <c r="G25" s="7">
        <v>4480</v>
      </c>
      <c r="H25" s="6">
        <f t="shared" si="0"/>
        <v>3200</v>
      </c>
      <c r="I25" s="8">
        <f t="shared" si="1"/>
        <v>3.5</v>
      </c>
      <c r="J25" s="9" t="s">
        <v>114</v>
      </c>
      <c r="K25" s="10">
        <v>4480</v>
      </c>
      <c r="L25" s="11">
        <v>3200</v>
      </c>
      <c r="M25" s="10">
        <v>2560</v>
      </c>
      <c r="N25" s="11">
        <v>2560</v>
      </c>
      <c r="O25" s="10">
        <v>1920</v>
      </c>
      <c r="P25" s="11">
        <v>1920</v>
      </c>
      <c r="Q25" s="6">
        <f t="shared" si="2"/>
        <v>8960</v>
      </c>
      <c r="R25" s="7">
        <f t="shared" si="3"/>
        <v>7680</v>
      </c>
      <c r="S25" s="12">
        <f t="shared" si="4"/>
        <v>-1280</v>
      </c>
      <c r="T25" s="17" t="s">
        <v>124</v>
      </c>
    </row>
    <row r="26" spans="2:20" ht="20.149999999999999" customHeight="1" x14ac:dyDescent="0.35">
      <c r="B26" s="4" t="s">
        <v>32</v>
      </c>
      <c r="C26" s="5" t="s">
        <v>33</v>
      </c>
      <c r="D26" s="4" t="s">
        <v>67</v>
      </c>
      <c r="E26" s="5" t="s">
        <v>68</v>
      </c>
      <c r="F26" s="6">
        <v>0</v>
      </c>
      <c r="G26" s="7">
        <v>0</v>
      </c>
      <c r="H26" s="6">
        <f t="shared" si="0"/>
        <v>0</v>
      </c>
      <c r="I26" s="8">
        <f t="shared" si="1"/>
        <v>0</v>
      </c>
      <c r="J26" s="9"/>
      <c r="K26" s="10">
        <v>0</v>
      </c>
      <c r="L26" s="11">
        <v>0</v>
      </c>
      <c r="M26" s="10">
        <v>300</v>
      </c>
      <c r="N26" s="11">
        <v>300</v>
      </c>
      <c r="O26" s="10">
        <v>300</v>
      </c>
      <c r="P26" s="11">
        <v>300</v>
      </c>
      <c r="Q26" s="6">
        <f t="shared" si="2"/>
        <v>600</v>
      </c>
      <c r="R26" s="7">
        <f t="shared" si="3"/>
        <v>600</v>
      </c>
      <c r="S26" s="12">
        <f t="shared" si="4"/>
        <v>0</v>
      </c>
      <c r="T26" s="17"/>
    </row>
    <row r="27" spans="2:20" ht="20.149999999999999" customHeight="1" x14ac:dyDescent="0.35">
      <c r="B27" s="4" t="s">
        <v>32</v>
      </c>
      <c r="C27" s="5" t="s">
        <v>33</v>
      </c>
      <c r="D27" s="4" t="s">
        <v>69</v>
      </c>
      <c r="E27" s="5" t="s">
        <v>70</v>
      </c>
      <c r="F27" s="6">
        <v>0</v>
      </c>
      <c r="G27" s="7">
        <v>0</v>
      </c>
      <c r="H27" s="6">
        <f t="shared" si="0"/>
        <v>0</v>
      </c>
      <c r="I27" s="8">
        <f t="shared" si="1"/>
        <v>0</v>
      </c>
      <c r="J27" s="9"/>
      <c r="K27" s="10">
        <v>0</v>
      </c>
      <c r="L27" s="11">
        <v>0</v>
      </c>
      <c r="M27" s="10">
        <v>0</v>
      </c>
      <c r="N27" s="11">
        <v>0</v>
      </c>
      <c r="O27" s="10">
        <v>100</v>
      </c>
      <c r="P27" s="11">
        <v>100</v>
      </c>
      <c r="Q27" s="6">
        <f t="shared" si="2"/>
        <v>100</v>
      </c>
      <c r="R27" s="7">
        <f t="shared" si="3"/>
        <v>100</v>
      </c>
      <c r="S27" s="12">
        <f t="shared" si="4"/>
        <v>0</v>
      </c>
      <c r="T27" s="17"/>
    </row>
    <row r="28" spans="2:20" ht="20.149999999999999" customHeight="1" x14ac:dyDescent="0.35">
      <c r="B28" s="4" t="s">
        <v>32</v>
      </c>
      <c r="C28" s="5" t="s">
        <v>33</v>
      </c>
      <c r="D28" s="4" t="s">
        <v>71</v>
      </c>
      <c r="E28" s="5" t="s">
        <v>72</v>
      </c>
      <c r="F28" s="6">
        <v>0</v>
      </c>
      <c r="G28" s="7">
        <v>48</v>
      </c>
      <c r="H28" s="6">
        <f t="shared" si="0"/>
        <v>48</v>
      </c>
      <c r="I28" s="8">
        <f t="shared" si="1"/>
        <v>1</v>
      </c>
      <c r="J28" s="9" t="s">
        <v>38</v>
      </c>
      <c r="K28" s="10">
        <v>0</v>
      </c>
      <c r="L28" s="11">
        <v>0</v>
      </c>
      <c r="M28" s="10">
        <v>0</v>
      </c>
      <c r="N28" s="11">
        <v>0</v>
      </c>
      <c r="O28" s="10">
        <v>0</v>
      </c>
      <c r="P28" s="11">
        <v>0</v>
      </c>
      <c r="Q28" s="6">
        <f t="shared" si="2"/>
        <v>0</v>
      </c>
      <c r="R28" s="7">
        <f t="shared" si="3"/>
        <v>0</v>
      </c>
      <c r="S28" s="12">
        <f t="shared" si="4"/>
        <v>0</v>
      </c>
      <c r="T28" s="17"/>
    </row>
    <row r="29" spans="2:20" ht="20.149999999999999" customHeight="1" x14ac:dyDescent="0.35">
      <c r="B29" s="4" t="s">
        <v>32</v>
      </c>
      <c r="C29" s="5" t="s">
        <v>33</v>
      </c>
      <c r="D29" s="4" t="s">
        <v>73</v>
      </c>
      <c r="E29" s="5" t="s">
        <v>74</v>
      </c>
      <c r="F29" s="6">
        <v>100</v>
      </c>
      <c r="G29" s="7">
        <v>300</v>
      </c>
      <c r="H29" s="6">
        <f t="shared" si="0"/>
        <v>200</v>
      </c>
      <c r="I29" s="8">
        <f t="shared" si="1"/>
        <v>3</v>
      </c>
      <c r="J29" s="9" t="s">
        <v>115</v>
      </c>
      <c r="K29" s="10">
        <v>0</v>
      </c>
      <c r="L29" s="11">
        <v>0</v>
      </c>
      <c r="M29" s="10">
        <v>100</v>
      </c>
      <c r="N29" s="11">
        <v>100</v>
      </c>
      <c r="O29" s="10">
        <v>0</v>
      </c>
      <c r="P29" s="11">
        <v>0</v>
      </c>
      <c r="Q29" s="6">
        <f t="shared" si="2"/>
        <v>100</v>
      </c>
      <c r="R29" s="7">
        <f t="shared" si="3"/>
        <v>100</v>
      </c>
      <c r="S29" s="12">
        <f t="shared" si="4"/>
        <v>0</v>
      </c>
      <c r="T29" s="17"/>
    </row>
    <row r="30" spans="2:20" ht="20.149999999999999" customHeight="1" x14ac:dyDescent="0.35">
      <c r="B30" s="4" t="s">
        <v>32</v>
      </c>
      <c r="C30" s="5" t="s">
        <v>33</v>
      </c>
      <c r="D30" s="4" t="s">
        <v>75</v>
      </c>
      <c r="E30" s="5" t="s">
        <v>76</v>
      </c>
      <c r="F30" s="6">
        <v>3200</v>
      </c>
      <c r="G30" s="7">
        <v>640</v>
      </c>
      <c r="H30" s="6">
        <f t="shared" si="0"/>
        <v>2560</v>
      </c>
      <c r="I30" s="8">
        <f t="shared" si="1"/>
        <v>0.2</v>
      </c>
      <c r="J30" s="9" t="s">
        <v>113</v>
      </c>
      <c r="K30" s="10">
        <v>1280</v>
      </c>
      <c r="L30" s="11">
        <v>1920</v>
      </c>
      <c r="M30" s="10">
        <v>1920</v>
      </c>
      <c r="N30" s="11">
        <v>1920</v>
      </c>
      <c r="O30" s="10">
        <v>640</v>
      </c>
      <c r="P30" s="11">
        <v>640</v>
      </c>
      <c r="Q30" s="6">
        <f t="shared" si="2"/>
        <v>3840</v>
      </c>
      <c r="R30" s="7">
        <f t="shared" si="3"/>
        <v>4480</v>
      </c>
      <c r="S30" s="12">
        <f t="shared" si="4"/>
        <v>640</v>
      </c>
      <c r="T30" s="17" t="s">
        <v>125</v>
      </c>
    </row>
    <row r="31" spans="2:20" ht="20.149999999999999" customHeight="1" x14ac:dyDescent="0.35">
      <c r="B31" s="4" t="s">
        <v>32</v>
      </c>
      <c r="C31" s="5" t="s">
        <v>33</v>
      </c>
      <c r="D31" s="4" t="s">
        <v>77</v>
      </c>
      <c r="E31" s="5" t="s">
        <v>78</v>
      </c>
      <c r="F31" s="6">
        <v>0</v>
      </c>
      <c r="G31" s="7">
        <v>0</v>
      </c>
      <c r="H31" s="6">
        <f t="shared" si="0"/>
        <v>0</v>
      </c>
      <c r="I31" s="8">
        <f t="shared" si="1"/>
        <v>0</v>
      </c>
      <c r="J31" s="9"/>
      <c r="K31" s="10">
        <v>100</v>
      </c>
      <c r="L31" s="11">
        <v>100</v>
      </c>
      <c r="M31" s="10">
        <v>0</v>
      </c>
      <c r="N31" s="11">
        <v>0</v>
      </c>
      <c r="O31" s="10">
        <v>100</v>
      </c>
      <c r="P31" s="11">
        <v>100</v>
      </c>
      <c r="Q31" s="6">
        <f t="shared" si="2"/>
        <v>200</v>
      </c>
      <c r="R31" s="7">
        <f t="shared" si="3"/>
        <v>200</v>
      </c>
      <c r="S31" s="12">
        <f t="shared" si="4"/>
        <v>0</v>
      </c>
      <c r="T31" s="17"/>
    </row>
    <row r="32" spans="2:20" ht="20.149999999999999" customHeight="1" x14ac:dyDescent="0.35">
      <c r="B32" s="4" t="s">
        <v>32</v>
      </c>
      <c r="C32" s="5" t="s">
        <v>33</v>
      </c>
      <c r="D32" s="4" t="s">
        <v>79</v>
      </c>
      <c r="E32" s="5" t="s">
        <v>80</v>
      </c>
      <c r="F32" s="6">
        <v>640</v>
      </c>
      <c r="G32" s="7">
        <v>0</v>
      </c>
      <c r="H32" s="6">
        <f t="shared" si="0"/>
        <v>640</v>
      </c>
      <c r="I32" s="8">
        <f t="shared" si="1"/>
        <v>0</v>
      </c>
      <c r="J32" s="9" t="s">
        <v>113</v>
      </c>
      <c r="K32" s="10">
        <v>0</v>
      </c>
      <c r="L32" s="11">
        <v>0</v>
      </c>
      <c r="M32" s="10">
        <v>0</v>
      </c>
      <c r="N32" s="11">
        <v>0</v>
      </c>
      <c r="O32" s="10">
        <v>0</v>
      </c>
      <c r="P32" s="11">
        <v>0</v>
      </c>
      <c r="Q32" s="6">
        <f t="shared" si="2"/>
        <v>0</v>
      </c>
      <c r="R32" s="7">
        <f t="shared" si="3"/>
        <v>0</v>
      </c>
      <c r="S32" s="12">
        <f t="shared" si="4"/>
        <v>0</v>
      </c>
      <c r="T32" s="17" t="s">
        <v>126</v>
      </c>
    </row>
    <row r="33" spans="2:20" ht="20.149999999999999" customHeight="1" x14ac:dyDescent="0.35">
      <c r="B33" s="4" t="s">
        <v>32</v>
      </c>
      <c r="C33" s="5" t="s">
        <v>33</v>
      </c>
      <c r="D33" s="4" t="s">
        <v>81</v>
      </c>
      <c r="E33" s="5" t="s">
        <v>82</v>
      </c>
      <c r="F33" s="6">
        <v>0</v>
      </c>
      <c r="G33" s="7">
        <v>0</v>
      </c>
      <c r="H33" s="6">
        <f t="shared" si="0"/>
        <v>0</v>
      </c>
      <c r="I33" s="8">
        <f t="shared" si="1"/>
        <v>0</v>
      </c>
      <c r="J33" s="9"/>
      <c r="K33" s="10">
        <v>0</v>
      </c>
      <c r="L33" s="11">
        <v>0</v>
      </c>
      <c r="M33" s="10">
        <v>0</v>
      </c>
      <c r="N33" s="11">
        <v>0</v>
      </c>
      <c r="O33" s="10">
        <v>108</v>
      </c>
      <c r="P33" s="11">
        <v>108</v>
      </c>
      <c r="Q33" s="6">
        <f t="shared" si="2"/>
        <v>108</v>
      </c>
      <c r="R33" s="7">
        <f t="shared" si="3"/>
        <v>108</v>
      </c>
      <c r="S33" s="12">
        <f t="shared" si="4"/>
        <v>0</v>
      </c>
      <c r="T33" s="17"/>
    </row>
    <row r="34" spans="2:20" ht="20.149999999999999" customHeight="1" x14ac:dyDescent="0.35">
      <c r="B34" s="4" t="s">
        <v>32</v>
      </c>
      <c r="C34" s="5" t="s">
        <v>33</v>
      </c>
      <c r="D34" s="4" t="s">
        <v>83</v>
      </c>
      <c r="E34" s="5" t="s">
        <v>84</v>
      </c>
      <c r="F34" s="6">
        <v>100</v>
      </c>
      <c r="G34" s="7">
        <v>100</v>
      </c>
      <c r="H34" s="6">
        <f t="shared" si="0"/>
        <v>0</v>
      </c>
      <c r="I34" s="8">
        <f t="shared" si="1"/>
        <v>1</v>
      </c>
      <c r="J34" s="9"/>
      <c r="K34" s="10">
        <v>100</v>
      </c>
      <c r="L34" s="11">
        <v>100</v>
      </c>
      <c r="M34" s="10">
        <v>100</v>
      </c>
      <c r="N34" s="11">
        <v>100</v>
      </c>
      <c r="O34" s="10">
        <v>200</v>
      </c>
      <c r="P34" s="11">
        <v>200</v>
      </c>
      <c r="Q34" s="6">
        <f t="shared" si="2"/>
        <v>400</v>
      </c>
      <c r="R34" s="7">
        <f t="shared" si="3"/>
        <v>400</v>
      </c>
      <c r="S34" s="12">
        <f t="shared" si="4"/>
        <v>0</v>
      </c>
      <c r="T34" s="17"/>
    </row>
    <row r="35" spans="2:20" ht="20.149999999999999" customHeight="1" x14ac:dyDescent="0.35">
      <c r="B35" s="4" t="s">
        <v>32</v>
      </c>
      <c r="C35" s="5" t="s">
        <v>85</v>
      </c>
      <c r="D35" s="4" t="s">
        <v>34</v>
      </c>
      <c r="E35" s="5" t="s">
        <v>35</v>
      </c>
      <c r="F35" s="6">
        <v>0</v>
      </c>
      <c r="G35" s="7">
        <v>0</v>
      </c>
      <c r="H35" s="6">
        <f t="shared" si="0"/>
        <v>0</v>
      </c>
      <c r="I35" s="8">
        <f t="shared" si="1"/>
        <v>0</v>
      </c>
      <c r="J35" s="9"/>
      <c r="K35" s="10">
        <v>0</v>
      </c>
      <c r="L35" s="11">
        <v>0</v>
      </c>
      <c r="M35" s="10">
        <v>0</v>
      </c>
      <c r="N35" s="11">
        <v>0</v>
      </c>
      <c r="O35" s="10">
        <v>200</v>
      </c>
      <c r="P35" s="11">
        <v>200</v>
      </c>
      <c r="Q35" s="6">
        <f t="shared" si="2"/>
        <v>200</v>
      </c>
      <c r="R35" s="7">
        <f t="shared" si="3"/>
        <v>200</v>
      </c>
      <c r="S35" s="12">
        <f t="shared" si="4"/>
        <v>0</v>
      </c>
      <c r="T35" s="17"/>
    </row>
    <row r="36" spans="2:20" ht="20.149999999999999" customHeight="1" x14ac:dyDescent="0.35">
      <c r="B36" s="4" t="s">
        <v>32</v>
      </c>
      <c r="C36" s="5" t="s">
        <v>85</v>
      </c>
      <c r="D36" s="4" t="s">
        <v>39</v>
      </c>
      <c r="E36" s="5" t="s">
        <v>40</v>
      </c>
      <c r="F36" s="6">
        <v>3200</v>
      </c>
      <c r="G36" s="7">
        <v>0</v>
      </c>
      <c r="H36" s="6">
        <f t="shared" si="0"/>
        <v>3200</v>
      </c>
      <c r="I36" s="8">
        <f t="shared" si="1"/>
        <v>0</v>
      </c>
      <c r="J36" s="9" t="s">
        <v>113</v>
      </c>
      <c r="K36" s="10">
        <v>5120</v>
      </c>
      <c r="L36" s="11">
        <v>5120</v>
      </c>
      <c r="M36" s="10">
        <v>3840</v>
      </c>
      <c r="N36" s="11">
        <v>3840</v>
      </c>
      <c r="O36" s="10">
        <v>7040</v>
      </c>
      <c r="P36" s="11">
        <v>7040</v>
      </c>
      <c r="Q36" s="6">
        <f t="shared" si="2"/>
        <v>16000</v>
      </c>
      <c r="R36" s="7">
        <f t="shared" si="3"/>
        <v>16000</v>
      </c>
      <c r="S36" s="12">
        <f t="shared" si="4"/>
        <v>0</v>
      </c>
      <c r="T36" s="17" t="s">
        <v>127</v>
      </c>
    </row>
    <row r="37" spans="2:20" ht="20.149999999999999" customHeight="1" x14ac:dyDescent="0.35">
      <c r="B37" s="4" t="s">
        <v>32</v>
      </c>
      <c r="C37" s="5" t="s">
        <v>85</v>
      </c>
      <c r="D37" s="4" t="s">
        <v>86</v>
      </c>
      <c r="E37" s="5" t="s">
        <v>87</v>
      </c>
      <c r="F37" s="6">
        <v>400</v>
      </c>
      <c r="G37" s="7">
        <v>0</v>
      </c>
      <c r="H37" s="6">
        <f t="shared" si="0"/>
        <v>400</v>
      </c>
      <c r="I37" s="8">
        <f t="shared" si="1"/>
        <v>0</v>
      </c>
      <c r="J37" s="9"/>
      <c r="K37" s="10">
        <v>0</v>
      </c>
      <c r="L37" s="11">
        <v>0</v>
      </c>
      <c r="M37" s="10">
        <v>0</v>
      </c>
      <c r="N37" s="11">
        <v>0</v>
      </c>
      <c r="O37" s="10">
        <v>0</v>
      </c>
      <c r="P37" s="11">
        <v>0</v>
      </c>
      <c r="Q37" s="6">
        <f t="shared" si="2"/>
        <v>0</v>
      </c>
      <c r="R37" s="7">
        <f t="shared" si="3"/>
        <v>0</v>
      </c>
      <c r="S37" s="12">
        <f t="shared" si="4"/>
        <v>0</v>
      </c>
      <c r="T37" s="17" t="s">
        <v>128</v>
      </c>
    </row>
    <row r="38" spans="2:20" ht="20.149999999999999" customHeight="1" x14ac:dyDescent="0.35">
      <c r="B38" s="4" t="s">
        <v>32</v>
      </c>
      <c r="C38" s="5" t="s">
        <v>85</v>
      </c>
      <c r="D38" s="4" t="s">
        <v>88</v>
      </c>
      <c r="E38" s="5" t="s">
        <v>89</v>
      </c>
      <c r="F38" s="6">
        <v>0</v>
      </c>
      <c r="G38" s="7">
        <v>0</v>
      </c>
      <c r="H38" s="6">
        <f t="shared" si="0"/>
        <v>0</v>
      </c>
      <c r="I38" s="8">
        <f t="shared" si="1"/>
        <v>0</v>
      </c>
      <c r="J38" s="9"/>
      <c r="K38" s="10">
        <v>0</v>
      </c>
      <c r="L38" s="11">
        <v>0</v>
      </c>
      <c r="M38" s="10">
        <v>112</v>
      </c>
      <c r="N38" s="11">
        <v>112</v>
      </c>
      <c r="O38" s="10">
        <v>0</v>
      </c>
      <c r="P38" s="11">
        <v>0</v>
      </c>
      <c r="Q38" s="6">
        <f t="shared" si="2"/>
        <v>112</v>
      </c>
      <c r="R38" s="7">
        <f t="shared" si="3"/>
        <v>112</v>
      </c>
      <c r="S38" s="12">
        <f t="shared" si="4"/>
        <v>0</v>
      </c>
      <c r="T38" s="17"/>
    </row>
    <row r="39" spans="2:20" ht="20.149999999999999" customHeight="1" x14ac:dyDescent="0.35">
      <c r="B39" s="4" t="s">
        <v>32</v>
      </c>
      <c r="C39" s="5" t="s">
        <v>85</v>
      </c>
      <c r="D39" s="4" t="s">
        <v>90</v>
      </c>
      <c r="E39" s="5" t="s">
        <v>91</v>
      </c>
      <c r="F39" s="6">
        <v>0</v>
      </c>
      <c r="G39" s="7">
        <v>0</v>
      </c>
      <c r="H39" s="6">
        <f t="shared" si="0"/>
        <v>0</v>
      </c>
      <c r="I39" s="8">
        <f t="shared" si="1"/>
        <v>0</v>
      </c>
      <c r="J39" s="9"/>
      <c r="K39" s="10">
        <v>0</v>
      </c>
      <c r="L39" s="11">
        <v>0</v>
      </c>
      <c r="M39" s="10">
        <v>0</v>
      </c>
      <c r="N39" s="11">
        <v>0</v>
      </c>
      <c r="O39" s="10">
        <v>200</v>
      </c>
      <c r="P39" s="11">
        <v>200</v>
      </c>
      <c r="Q39" s="6">
        <f t="shared" si="2"/>
        <v>200</v>
      </c>
      <c r="R39" s="7">
        <f t="shared" si="3"/>
        <v>200</v>
      </c>
      <c r="S39" s="12">
        <f t="shared" si="4"/>
        <v>0</v>
      </c>
      <c r="T39" s="17"/>
    </row>
    <row r="40" spans="2:20" ht="20.149999999999999" customHeight="1" x14ac:dyDescent="0.35">
      <c r="B40" s="4" t="s">
        <v>32</v>
      </c>
      <c r="C40" s="5" t="s">
        <v>85</v>
      </c>
      <c r="D40" s="4" t="s">
        <v>92</v>
      </c>
      <c r="E40" s="5" t="s">
        <v>93</v>
      </c>
      <c r="F40" s="6">
        <v>0</v>
      </c>
      <c r="G40" s="7">
        <v>0</v>
      </c>
      <c r="H40" s="6">
        <f t="shared" si="0"/>
        <v>0</v>
      </c>
      <c r="I40" s="8">
        <f t="shared" si="1"/>
        <v>0</v>
      </c>
      <c r="J40" s="9"/>
      <c r="K40" s="10">
        <v>0</v>
      </c>
      <c r="L40" s="11">
        <v>0</v>
      </c>
      <c r="M40" s="10">
        <v>640</v>
      </c>
      <c r="N40" s="11">
        <v>640</v>
      </c>
      <c r="O40" s="10">
        <v>300</v>
      </c>
      <c r="P40" s="11">
        <v>300</v>
      </c>
      <c r="Q40" s="6">
        <f t="shared" si="2"/>
        <v>940</v>
      </c>
      <c r="R40" s="7">
        <f t="shared" si="3"/>
        <v>940</v>
      </c>
      <c r="S40" s="12">
        <f t="shared" si="4"/>
        <v>0</v>
      </c>
      <c r="T40" s="17"/>
    </row>
    <row r="41" spans="2:20" ht="20.149999999999999" customHeight="1" x14ac:dyDescent="0.35">
      <c r="B41" s="4" t="s">
        <v>32</v>
      </c>
      <c r="C41" s="5" t="s">
        <v>85</v>
      </c>
      <c r="D41" s="4" t="s">
        <v>41</v>
      </c>
      <c r="E41" s="5" t="s">
        <v>42</v>
      </c>
      <c r="F41" s="6">
        <v>1200</v>
      </c>
      <c r="G41" s="7">
        <v>0</v>
      </c>
      <c r="H41" s="6">
        <f t="shared" si="0"/>
        <v>1200</v>
      </c>
      <c r="I41" s="8">
        <f t="shared" si="1"/>
        <v>0</v>
      </c>
      <c r="J41" s="9" t="s">
        <v>114</v>
      </c>
      <c r="K41" s="10">
        <v>900</v>
      </c>
      <c r="L41" s="11">
        <v>1200</v>
      </c>
      <c r="M41" s="10">
        <v>0</v>
      </c>
      <c r="N41" s="11">
        <v>0</v>
      </c>
      <c r="O41" s="10">
        <v>600</v>
      </c>
      <c r="P41" s="11">
        <v>600</v>
      </c>
      <c r="Q41" s="6">
        <f t="shared" si="2"/>
        <v>1500</v>
      </c>
      <c r="R41" s="7">
        <f t="shared" si="3"/>
        <v>1800</v>
      </c>
      <c r="S41" s="12">
        <f t="shared" si="4"/>
        <v>300</v>
      </c>
      <c r="T41" s="17" t="s">
        <v>129</v>
      </c>
    </row>
    <row r="42" spans="2:20" ht="20.149999999999999" customHeight="1" x14ac:dyDescent="0.35">
      <c r="B42" s="4" t="s">
        <v>32</v>
      </c>
      <c r="C42" s="5" t="s">
        <v>85</v>
      </c>
      <c r="D42" s="4" t="s">
        <v>51</v>
      </c>
      <c r="E42" s="5" t="s">
        <v>52</v>
      </c>
      <c r="F42" s="6">
        <v>0</v>
      </c>
      <c r="G42" s="7">
        <v>0</v>
      </c>
      <c r="H42" s="6">
        <f t="shared" ref="H42:H73" si="5">ABS(G42-F42)</f>
        <v>0</v>
      </c>
      <c r="I42" s="8">
        <f t="shared" ref="I42:I73" si="6">IF(F42&gt;0, G42/F42, IF(G42&gt;0, 1, 0))</f>
        <v>0</v>
      </c>
      <c r="J42" s="9"/>
      <c r="K42" s="10">
        <v>400</v>
      </c>
      <c r="L42" s="11">
        <v>400</v>
      </c>
      <c r="M42" s="10">
        <v>0</v>
      </c>
      <c r="N42" s="11">
        <v>0</v>
      </c>
      <c r="O42" s="10">
        <v>300</v>
      </c>
      <c r="P42" s="11">
        <v>300</v>
      </c>
      <c r="Q42" s="6">
        <f t="shared" ref="Q42:Q73" si="7">K42+M42+O42</f>
        <v>700</v>
      </c>
      <c r="R42" s="7">
        <f t="shared" ref="R42:R73" si="8">L42+N42+P42</f>
        <v>700</v>
      </c>
      <c r="S42" s="12">
        <f t="shared" ref="S42:S73" si="9">R42-Q42</f>
        <v>0</v>
      </c>
      <c r="T42" s="17"/>
    </row>
    <row r="43" spans="2:20" ht="20.149999999999999" customHeight="1" x14ac:dyDescent="0.35">
      <c r="B43" s="4" t="s">
        <v>32</v>
      </c>
      <c r="C43" s="5" t="s">
        <v>85</v>
      </c>
      <c r="D43" s="4" t="s">
        <v>53</v>
      </c>
      <c r="E43" s="5" t="s">
        <v>54</v>
      </c>
      <c r="F43" s="6">
        <v>0</v>
      </c>
      <c r="G43" s="7">
        <v>0</v>
      </c>
      <c r="H43" s="6">
        <f t="shared" si="5"/>
        <v>0</v>
      </c>
      <c r="I43" s="8">
        <f t="shared" si="6"/>
        <v>0</v>
      </c>
      <c r="J43" s="9"/>
      <c r="K43" s="10">
        <v>0</v>
      </c>
      <c r="L43" s="11">
        <v>0</v>
      </c>
      <c r="M43" s="10">
        <v>300</v>
      </c>
      <c r="N43" s="11">
        <v>300</v>
      </c>
      <c r="O43" s="10">
        <v>300</v>
      </c>
      <c r="P43" s="11">
        <v>300</v>
      </c>
      <c r="Q43" s="6">
        <f t="shared" si="7"/>
        <v>600</v>
      </c>
      <c r="R43" s="7">
        <f t="shared" si="8"/>
        <v>600</v>
      </c>
      <c r="S43" s="12">
        <f t="shared" si="9"/>
        <v>0</v>
      </c>
      <c r="T43" s="17"/>
    </row>
    <row r="44" spans="2:20" ht="20.149999999999999" customHeight="1" x14ac:dyDescent="0.35">
      <c r="B44" s="4" t="s">
        <v>32</v>
      </c>
      <c r="C44" s="5" t="s">
        <v>85</v>
      </c>
      <c r="D44" s="4" t="s">
        <v>57</v>
      </c>
      <c r="E44" s="5" t="s">
        <v>58</v>
      </c>
      <c r="F44" s="6">
        <v>200</v>
      </c>
      <c r="G44" s="7">
        <v>0</v>
      </c>
      <c r="H44" s="6">
        <f t="shared" si="5"/>
        <v>200</v>
      </c>
      <c r="I44" s="8">
        <f t="shared" si="6"/>
        <v>0</v>
      </c>
      <c r="J44" s="9" t="s">
        <v>113</v>
      </c>
      <c r="K44" s="10">
        <v>0</v>
      </c>
      <c r="L44" s="11">
        <v>200</v>
      </c>
      <c r="M44" s="10">
        <v>0</v>
      </c>
      <c r="N44" s="11">
        <v>0</v>
      </c>
      <c r="O44" s="10">
        <v>0</v>
      </c>
      <c r="P44" s="11">
        <v>0</v>
      </c>
      <c r="Q44" s="6">
        <f t="shared" si="7"/>
        <v>0</v>
      </c>
      <c r="R44" s="7">
        <f t="shared" si="8"/>
        <v>200</v>
      </c>
      <c r="S44" s="12">
        <f t="shared" si="9"/>
        <v>200</v>
      </c>
      <c r="T44" s="17"/>
    </row>
    <row r="45" spans="2:20" ht="20.149999999999999" customHeight="1" x14ac:dyDescent="0.35">
      <c r="B45" s="4" t="s">
        <v>32</v>
      </c>
      <c r="C45" s="5" t="s">
        <v>85</v>
      </c>
      <c r="D45" s="4" t="s">
        <v>61</v>
      </c>
      <c r="E45" s="5" t="s">
        <v>62</v>
      </c>
      <c r="F45" s="6">
        <v>300</v>
      </c>
      <c r="G45" s="7">
        <v>0</v>
      </c>
      <c r="H45" s="6">
        <f t="shared" si="5"/>
        <v>300</v>
      </c>
      <c r="I45" s="8">
        <f t="shared" si="6"/>
        <v>0</v>
      </c>
      <c r="J45" s="9" t="s">
        <v>113</v>
      </c>
      <c r="K45" s="10">
        <v>300</v>
      </c>
      <c r="L45" s="11">
        <v>400</v>
      </c>
      <c r="M45" s="10">
        <v>0</v>
      </c>
      <c r="N45" s="11">
        <v>0</v>
      </c>
      <c r="O45" s="10">
        <v>600</v>
      </c>
      <c r="P45" s="11">
        <v>600</v>
      </c>
      <c r="Q45" s="6">
        <f t="shared" si="7"/>
        <v>900</v>
      </c>
      <c r="R45" s="7">
        <f t="shared" si="8"/>
        <v>1000</v>
      </c>
      <c r="S45" s="12">
        <f t="shared" si="9"/>
        <v>100</v>
      </c>
      <c r="T45" s="17" t="s">
        <v>127</v>
      </c>
    </row>
    <row r="46" spans="2:20" ht="20.149999999999999" customHeight="1" x14ac:dyDescent="0.35">
      <c r="B46" s="4" t="s">
        <v>32</v>
      </c>
      <c r="C46" s="5" t="s">
        <v>85</v>
      </c>
      <c r="D46" s="4" t="s">
        <v>63</v>
      </c>
      <c r="E46" s="5" t="s">
        <v>64</v>
      </c>
      <c r="F46" s="6">
        <v>0</v>
      </c>
      <c r="G46" s="7">
        <v>0</v>
      </c>
      <c r="H46" s="6">
        <f t="shared" si="5"/>
        <v>0</v>
      </c>
      <c r="I46" s="8">
        <f t="shared" si="6"/>
        <v>0</v>
      </c>
      <c r="J46" s="9"/>
      <c r="K46" s="10">
        <v>0</v>
      </c>
      <c r="L46" s="11">
        <v>0</v>
      </c>
      <c r="M46" s="10">
        <v>100</v>
      </c>
      <c r="N46" s="11">
        <v>100</v>
      </c>
      <c r="O46" s="10">
        <v>0</v>
      </c>
      <c r="P46" s="11">
        <v>0</v>
      </c>
      <c r="Q46" s="6">
        <f t="shared" si="7"/>
        <v>100</v>
      </c>
      <c r="R46" s="7">
        <f t="shared" si="8"/>
        <v>100</v>
      </c>
      <c r="S46" s="12">
        <f t="shared" si="9"/>
        <v>0</v>
      </c>
      <c r="T46" s="17"/>
    </row>
    <row r="47" spans="2:20" ht="20.149999999999999" customHeight="1" x14ac:dyDescent="0.35">
      <c r="B47" s="4" t="s">
        <v>32</v>
      </c>
      <c r="C47" s="5" t="s">
        <v>85</v>
      </c>
      <c r="D47" s="4" t="s">
        <v>65</v>
      </c>
      <c r="E47" s="5" t="s">
        <v>66</v>
      </c>
      <c r="F47" s="6">
        <v>640</v>
      </c>
      <c r="G47" s="7">
        <v>0</v>
      </c>
      <c r="H47" s="6">
        <f t="shared" si="5"/>
        <v>640</v>
      </c>
      <c r="I47" s="8">
        <f t="shared" si="6"/>
        <v>0</v>
      </c>
      <c r="J47" s="9" t="s">
        <v>114</v>
      </c>
      <c r="K47" s="10">
        <v>1280</v>
      </c>
      <c r="L47" s="11">
        <v>1280</v>
      </c>
      <c r="M47" s="10">
        <v>1280</v>
      </c>
      <c r="N47" s="11">
        <v>1280</v>
      </c>
      <c r="O47" s="10">
        <v>0</v>
      </c>
      <c r="P47" s="11">
        <v>0</v>
      </c>
      <c r="Q47" s="6">
        <f t="shared" si="7"/>
        <v>2560</v>
      </c>
      <c r="R47" s="7">
        <f t="shared" si="8"/>
        <v>2560</v>
      </c>
      <c r="S47" s="12">
        <f t="shared" si="9"/>
        <v>0</v>
      </c>
      <c r="T47" s="17" t="s">
        <v>125</v>
      </c>
    </row>
    <row r="48" spans="2:20" ht="20.149999999999999" customHeight="1" x14ac:dyDescent="0.35">
      <c r="B48" s="4" t="s">
        <v>32</v>
      </c>
      <c r="C48" s="5" t="s">
        <v>85</v>
      </c>
      <c r="D48" s="4" t="s">
        <v>75</v>
      </c>
      <c r="E48" s="5" t="s">
        <v>76</v>
      </c>
      <c r="F48" s="6">
        <v>1280</v>
      </c>
      <c r="G48" s="7">
        <v>0</v>
      </c>
      <c r="H48" s="6">
        <f t="shared" si="5"/>
        <v>1280</v>
      </c>
      <c r="I48" s="8">
        <f t="shared" si="6"/>
        <v>0</v>
      </c>
      <c r="J48" s="9" t="s">
        <v>113</v>
      </c>
      <c r="K48" s="10">
        <v>1280</v>
      </c>
      <c r="L48" s="11">
        <v>3200</v>
      </c>
      <c r="M48" s="10">
        <v>1920</v>
      </c>
      <c r="N48" s="11">
        <v>1280</v>
      </c>
      <c r="O48" s="10">
        <v>1280</v>
      </c>
      <c r="P48" s="11">
        <v>1280</v>
      </c>
      <c r="Q48" s="6">
        <f t="shared" si="7"/>
        <v>4480</v>
      </c>
      <c r="R48" s="7">
        <f t="shared" si="8"/>
        <v>5760</v>
      </c>
      <c r="S48" s="12">
        <f t="shared" si="9"/>
        <v>1280</v>
      </c>
      <c r="T48" s="17" t="s">
        <v>130</v>
      </c>
    </row>
    <row r="49" spans="2:20" ht="20.149999999999999" customHeight="1" x14ac:dyDescent="0.35">
      <c r="B49" s="4" t="s">
        <v>32</v>
      </c>
      <c r="C49" s="5" t="s">
        <v>85</v>
      </c>
      <c r="D49" s="4" t="s">
        <v>77</v>
      </c>
      <c r="E49" s="5" t="s">
        <v>78</v>
      </c>
      <c r="F49" s="6">
        <v>0</v>
      </c>
      <c r="G49" s="7">
        <v>0</v>
      </c>
      <c r="H49" s="6">
        <f t="shared" si="5"/>
        <v>0</v>
      </c>
      <c r="I49" s="8">
        <f t="shared" si="6"/>
        <v>0</v>
      </c>
      <c r="J49" s="9"/>
      <c r="K49" s="10">
        <v>0</v>
      </c>
      <c r="L49" s="11">
        <v>0</v>
      </c>
      <c r="M49" s="10">
        <v>0</v>
      </c>
      <c r="N49" s="11">
        <v>0</v>
      </c>
      <c r="O49" s="10">
        <v>200</v>
      </c>
      <c r="P49" s="11">
        <v>200</v>
      </c>
      <c r="Q49" s="6">
        <f t="shared" si="7"/>
        <v>200</v>
      </c>
      <c r="R49" s="7">
        <f t="shared" si="8"/>
        <v>200</v>
      </c>
      <c r="S49" s="12">
        <f t="shared" si="9"/>
        <v>0</v>
      </c>
      <c r="T49" s="17"/>
    </row>
    <row r="50" spans="2:20" ht="20.149999999999999" customHeight="1" x14ac:dyDescent="0.35">
      <c r="B50" s="4" t="s">
        <v>32</v>
      </c>
      <c r="C50" s="5" t="s">
        <v>85</v>
      </c>
      <c r="D50" s="4" t="s">
        <v>94</v>
      </c>
      <c r="E50" s="5" t="s">
        <v>95</v>
      </c>
      <c r="F50" s="6">
        <v>0</v>
      </c>
      <c r="G50" s="7">
        <v>0</v>
      </c>
      <c r="H50" s="6">
        <f t="shared" si="5"/>
        <v>0</v>
      </c>
      <c r="I50" s="8">
        <f t="shared" si="6"/>
        <v>0</v>
      </c>
      <c r="J50" s="9"/>
      <c r="K50" s="10">
        <v>0</v>
      </c>
      <c r="L50" s="11">
        <v>0</v>
      </c>
      <c r="M50" s="10">
        <v>0</v>
      </c>
      <c r="N50" s="11">
        <v>0</v>
      </c>
      <c r="O50" s="10">
        <v>300</v>
      </c>
      <c r="P50" s="11">
        <v>300</v>
      </c>
      <c r="Q50" s="6">
        <f t="shared" si="7"/>
        <v>300</v>
      </c>
      <c r="R50" s="7">
        <f t="shared" si="8"/>
        <v>300</v>
      </c>
      <c r="S50" s="12">
        <f t="shared" si="9"/>
        <v>0</v>
      </c>
      <c r="T50" s="17"/>
    </row>
    <row r="51" spans="2:20" ht="20.149999999999999" customHeight="1" x14ac:dyDescent="0.35">
      <c r="B51" s="4" t="s">
        <v>32</v>
      </c>
      <c r="C51" s="5" t="s">
        <v>85</v>
      </c>
      <c r="D51" s="4" t="s">
        <v>79</v>
      </c>
      <c r="E51" s="5" t="s">
        <v>80</v>
      </c>
      <c r="F51" s="6">
        <v>0</v>
      </c>
      <c r="G51" s="7">
        <v>0</v>
      </c>
      <c r="H51" s="6">
        <f t="shared" si="5"/>
        <v>0</v>
      </c>
      <c r="I51" s="8">
        <f t="shared" si="6"/>
        <v>0</v>
      </c>
      <c r="J51" s="9"/>
      <c r="K51" s="10">
        <v>640</v>
      </c>
      <c r="L51" s="11">
        <v>640</v>
      </c>
      <c r="M51" s="10">
        <v>640</v>
      </c>
      <c r="N51" s="11">
        <v>640</v>
      </c>
      <c r="O51" s="10">
        <v>640</v>
      </c>
      <c r="P51" s="11">
        <v>640</v>
      </c>
      <c r="Q51" s="6">
        <f t="shared" si="7"/>
        <v>1920</v>
      </c>
      <c r="R51" s="7">
        <f t="shared" si="8"/>
        <v>1920</v>
      </c>
      <c r="S51" s="12">
        <f t="shared" si="9"/>
        <v>0</v>
      </c>
      <c r="T51" s="17"/>
    </row>
    <row r="52" spans="2:20" ht="20.149999999999999" customHeight="1" x14ac:dyDescent="0.35">
      <c r="B52" s="4" t="s">
        <v>32</v>
      </c>
      <c r="C52" s="5" t="s">
        <v>85</v>
      </c>
      <c r="D52" s="4" t="s">
        <v>81</v>
      </c>
      <c r="E52" s="5" t="s">
        <v>82</v>
      </c>
      <c r="F52" s="6">
        <v>0</v>
      </c>
      <c r="G52" s="7">
        <v>0</v>
      </c>
      <c r="H52" s="6">
        <f t="shared" si="5"/>
        <v>0</v>
      </c>
      <c r="I52" s="8">
        <f t="shared" si="6"/>
        <v>0</v>
      </c>
      <c r="J52" s="9"/>
      <c r="K52" s="10">
        <v>0</v>
      </c>
      <c r="L52" s="11">
        <v>0</v>
      </c>
      <c r="M52" s="10">
        <v>0</v>
      </c>
      <c r="N52" s="11">
        <v>0</v>
      </c>
      <c r="O52" s="10">
        <v>108</v>
      </c>
      <c r="P52" s="11">
        <v>108</v>
      </c>
      <c r="Q52" s="6">
        <f t="shared" si="7"/>
        <v>108</v>
      </c>
      <c r="R52" s="7">
        <f t="shared" si="8"/>
        <v>108</v>
      </c>
      <c r="S52" s="12">
        <f t="shared" si="9"/>
        <v>0</v>
      </c>
      <c r="T52" s="17"/>
    </row>
    <row r="53" spans="2:20" ht="20.149999999999999" customHeight="1" x14ac:dyDescent="0.35">
      <c r="B53" s="4" t="s">
        <v>32</v>
      </c>
      <c r="C53" s="5" t="s">
        <v>96</v>
      </c>
      <c r="D53" s="4" t="s">
        <v>34</v>
      </c>
      <c r="E53" s="5" t="s">
        <v>97</v>
      </c>
      <c r="F53" s="6">
        <v>100</v>
      </c>
      <c r="G53" s="7">
        <v>0</v>
      </c>
      <c r="H53" s="6">
        <f t="shared" si="5"/>
        <v>100</v>
      </c>
      <c r="I53" s="8">
        <f t="shared" si="6"/>
        <v>0</v>
      </c>
      <c r="J53" s="9" t="s">
        <v>113</v>
      </c>
      <c r="K53" s="10">
        <v>0</v>
      </c>
      <c r="L53" s="11">
        <v>100</v>
      </c>
      <c r="M53" s="10">
        <v>100</v>
      </c>
      <c r="N53" s="11">
        <v>100</v>
      </c>
      <c r="O53" s="10">
        <v>0</v>
      </c>
      <c r="P53" s="11">
        <v>0</v>
      </c>
      <c r="Q53" s="6">
        <f t="shared" si="7"/>
        <v>100</v>
      </c>
      <c r="R53" s="7">
        <f t="shared" si="8"/>
        <v>200</v>
      </c>
      <c r="S53" s="12">
        <f t="shared" si="9"/>
        <v>100</v>
      </c>
      <c r="T53" s="17"/>
    </row>
    <row r="54" spans="2:20" ht="20.149999999999999" customHeight="1" x14ac:dyDescent="0.35">
      <c r="B54" s="4" t="s">
        <v>32</v>
      </c>
      <c r="C54" s="5" t="s">
        <v>96</v>
      </c>
      <c r="D54" s="4" t="s">
        <v>39</v>
      </c>
      <c r="E54" s="5" t="s">
        <v>40</v>
      </c>
      <c r="F54" s="6">
        <v>1240</v>
      </c>
      <c r="G54" s="7">
        <v>0</v>
      </c>
      <c r="H54" s="6">
        <f t="shared" si="5"/>
        <v>1240</v>
      </c>
      <c r="I54" s="8">
        <f t="shared" si="6"/>
        <v>0</v>
      </c>
      <c r="J54" s="9" t="s">
        <v>115</v>
      </c>
      <c r="K54" s="10">
        <v>2480</v>
      </c>
      <c r="L54" s="11">
        <v>2480</v>
      </c>
      <c r="M54" s="10">
        <v>1240</v>
      </c>
      <c r="N54" s="11">
        <v>1240</v>
      </c>
      <c r="O54" s="10">
        <v>1960</v>
      </c>
      <c r="P54" s="11">
        <v>1960</v>
      </c>
      <c r="Q54" s="6">
        <f t="shared" si="7"/>
        <v>5680</v>
      </c>
      <c r="R54" s="7">
        <f t="shared" si="8"/>
        <v>5680</v>
      </c>
      <c r="S54" s="12">
        <f t="shared" si="9"/>
        <v>0</v>
      </c>
      <c r="T54" s="17" t="s">
        <v>131</v>
      </c>
    </row>
    <row r="55" spans="2:20" ht="20.149999999999999" customHeight="1" x14ac:dyDescent="0.35">
      <c r="B55" s="4" t="s">
        <v>32</v>
      </c>
      <c r="C55" s="5" t="s">
        <v>96</v>
      </c>
      <c r="D55" s="4" t="s">
        <v>98</v>
      </c>
      <c r="E55" s="5" t="s">
        <v>99</v>
      </c>
      <c r="F55" s="6">
        <v>0</v>
      </c>
      <c r="G55" s="7">
        <v>8000</v>
      </c>
      <c r="H55" s="6">
        <f t="shared" si="5"/>
        <v>8000</v>
      </c>
      <c r="I55" s="8">
        <f t="shared" si="6"/>
        <v>1</v>
      </c>
      <c r="J55" s="9" t="s">
        <v>38</v>
      </c>
      <c r="K55" s="10">
        <v>0</v>
      </c>
      <c r="L55" s="11">
        <v>0</v>
      </c>
      <c r="M55" s="10">
        <v>1000</v>
      </c>
      <c r="N55" s="11">
        <v>1000</v>
      </c>
      <c r="O55" s="10">
        <v>0</v>
      </c>
      <c r="P55" s="11">
        <v>0</v>
      </c>
      <c r="Q55" s="6">
        <f t="shared" si="7"/>
        <v>1000</v>
      </c>
      <c r="R55" s="7">
        <f t="shared" si="8"/>
        <v>1000</v>
      </c>
      <c r="S55" s="12">
        <f t="shared" si="9"/>
        <v>0</v>
      </c>
      <c r="T55" s="17"/>
    </row>
    <row r="56" spans="2:20" ht="20.149999999999999" customHeight="1" x14ac:dyDescent="0.35">
      <c r="B56" s="4" t="s">
        <v>32</v>
      </c>
      <c r="C56" s="5" t="s">
        <v>96</v>
      </c>
      <c r="D56" s="4" t="s">
        <v>100</v>
      </c>
      <c r="E56" s="5" t="s">
        <v>101</v>
      </c>
      <c r="F56" s="6">
        <v>50</v>
      </c>
      <c r="G56" s="7">
        <v>50</v>
      </c>
      <c r="H56" s="6">
        <f t="shared" si="5"/>
        <v>0</v>
      </c>
      <c r="I56" s="8">
        <f t="shared" si="6"/>
        <v>1</v>
      </c>
      <c r="J56" s="9"/>
      <c r="K56" s="10">
        <v>0</v>
      </c>
      <c r="L56" s="11">
        <v>0</v>
      </c>
      <c r="M56" s="10">
        <v>0</v>
      </c>
      <c r="N56" s="11">
        <v>0</v>
      </c>
      <c r="O56" s="10">
        <v>0</v>
      </c>
      <c r="P56" s="11">
        <v>0</v>
      </c>
      <c r="Q56" s="6">
        <f t="shared" si="7"/>
        <v>0</v>
      </c>
      <c r="R56" s="7">
        <f t="shared" si="8"/>
        <v>0</v>
      </c>
      <c r="S56" s="12">
        <f t="shared" si="9"/>
        <v>0</v>
      </c>
      <c r="T56" s="17"/>
    </row>
    <row r="57" spans="2:20" ht="20.149999999999999" customHeight="1" x14ac:dyDescent="0.35">
      <c r="B57" s="4" t="s">
        <v>32</v>
      </c>
      <c r="C57" s="5" t="s">
        <v>96</v>
      </c>
      <c r="D57" s="4" t="s">
        <v>102</v>
      </c>
      <c r="E57" s="5" t="s">
        <v>103</v>
      </c>
      <c r="F57" s="6">
        <v>200</v>
      </c>
      <c r="G57" s="7">
        <v>200</v>
      </c>
      <c r="H57" s="6">
        <f t="shared" si="5"/>
        <v>0</v>
      </c>
      <c r="I57" s="8">
        <f t="shared" si="6"/>
        <v>1</v>
      </c>
      <c r="J57" s="9"/>
      <c r="K57" s="10">
        <v>0</v>
      </c>
      <c r="L57" s="11">
        <v>0</v>
      </c>
      <c r="M57" s="10">
        <v>0</v>
      </c>
      <c r="N57" s="11">
        <v>0</v>
      </c>
      <c r="O57" s="10">
        <v>0</v>
      </c>
      <c r="P57" s="11">
        <v>0</v>
      </c>
      <c r="Q57" s="6">
        <f t="shared" si="7"/>
        <v>0</v>
      </c>
      <c r="R57" s="7">
        <f t="shared" si="8"/>
        <v>0</v>
      </c>
      <c r="S57" s="12">
        <f t="shared" si="9"/>
        <v>0</v>
      </c>
      <c r="T57" s="17"/>
    </row>
    <row r="58" spans="2:20" ht="20.149999999999999" customHeight="1" x14ac:dyDescent="0.35">
      <c r="B58" s="4" t="s">
        <v>32</v>
      </c>
      <c r="C58" s="5" t="s">
        <v>96</v>
      </c>
      <c r="D58" s="4" t="s">
        <v>41</v>
      </c>
      <c r="E58" s="5" t="s">
        <v>42</v>
      </c>
      <c r="F58" s="6">
        <v>0</v>
      </c>
      <c r="G58" s="7">
        <v>0</v>
      </c>
      <c r="H58" s="6">
        <f t="shared" si="5"/>
        <v>0</v>
      </c>
      <c r="I58" s="8">
        <f t="shared" si="6"/>
        <v>0</v>
      </c>
      <c r="J58" s="9"/>
      <c r="K58" s="10">
        <v>300</v>
      </c>
      <c r="L58" s="11">
        <v>300</v>
      </c>
      <c r="M58" s="10">
        <v>300</v>
      </c>
      <c r="N58" s="11">
        <v>300</v>
      </c>
      <c r="O58" s="10">
        <v>300</v>
      </c>
      <c r="P58" s="11">
        <v>300</v>
      </c>
      <c r="Q58" s="6">
        <f t="shared" si="7"/>
        <v>900</v>
      </c>
      <c r="R58" s="7">
        <f t="shared" si="8"/>
        <v>900</v>
      </c>
      <c r="S58" s="12">
        <f t="shared" si="9"/>
        <v>0</v>
      </c>
      <c r="T58" s="17"/>
    </row>
    <row r="59" spans="2:20" ht="20.149999999999999" customHeight="1" x14ac:dyDescent="0.35">
      <c r="B59" s="4" t="s">
        <v>32</v>
      </c>
      <c r="C59" s="5" t="s">
        <v>96</v>
      </c>
      <c r="D59" s="4" t="s">
        <v>43</v>
      </c>
      <c r="E59" s="5" t="s">
        <v>44</v>
      </c>
      <c r="F59" s="6">
        <v>640</v>
      </c>
      <c r="G59" s="7">
        <v>640</v>
      </c>
      <c r="H59" s="6">
        <f t="shared" si="5"/>
        <v>0</v>
      </c>
      <c r="I59" s="8">
        <f t="shared" si="6"/>
        <v>1</v>
      </c>
      <c r="J59" s="9"/>
      <c r="K59" s="10">
        <v>640</v>
      </c>
      <c r="L59" s="11">
        <v>640</v>
      </c>
      <c r="M59" s="10">
        <v>0</v>
      </c>
      <c r="N59" s="11">
        <v>0</v>
      </c>
      <c r="O59" s="10">
        <v>0</v>
      </c>
      <c r="P59" s="11">
        <v>640</v>
      </c>
      <c r="Q59" s="6">
        <f t="shared" si="7"/>
        <v>640</v>
      </c>
      <c r="R59" s="7">
        <f t="shared" si="8"/>
        <v>1280</v>
      </c>
      <c r="S59" s="12">
        <f t="shared" si="9"/>
        <v>640</v>
      </c>
      <c r="T59" s="17"/>
    </row>
    <row r="60" spans="2:20" ht="20.149999999999999" customHeight="1" x14ac:dyDescent="0.35">
      <c r="B60" s="4" t="s">
        <v>32</v>
      </c>
      <c r="C60" s="5" t="s">
        <v>96</v>
      </c>
      <c r="D60" s="4" t="s">
        <v>104</v>
      </c>
      <c r="E60" s="5" t="s">
        <v>105</v>
      </c>
      <c r="F60" s="6">
        <v>80</v>
      </c>
      <c r="G60" s="7">
        <v>80</v>
      </c>
      <c r="H60" s="6">
        <f t="shared" si="5"/>
        <v>0</v>
      </c>
      <c r="I60" s="8">
        <f t="shared" si="6"/>
        <v>1</v>
      </c>
      <c r="J60" s="9"/>
      <c r="K60" s="10">
        <v>0</v>
      </c>
      <c r="L60" s="11">
        <v>0</v>
      </c>
      <c r="M60" s="10">
        <v>0</v>
      </c>
      <c r="N60" s="11">
        <v>0</v>
      </c>
      <c r="O60" s="10">
        <v>0</v>
      </c>
      <c r="P60" s="11">
        <v>0</v>
      </c>
      <c r="Q60" s="6">
        <f t="shared" si="7"/>
        <v>0</v>
      </c>
      <c r="R60" s="7">
        <f t="shared" si="8"/>
        <v>0</v>
      </c>
      <c r="S60" s="12">
        <f t="shared" si="9"/>
        <v>0</v>
      </c>
      <c r="T60" s="17"/>
    </row>
    <row r="61" spans="2:20" ht="20.149999999999999" customHeight="1" x14ac:dyDescent="0.35">
      <c r="B61" s="4" t="s">
        <v>32</v>
      </c>
      <c r="C61" s="5" t="s">
        <v>96</v>
      </c>
      <c r="D61" s="4" t="s">
        <v>51</v>
      </c>
      <c r="E61" s="5" t="s">
        <v>52</v>
      </c>
      <c r="F61" s="6">
        <v>600</v>
      </c>
      <c r="G61" s="7">
        <v>600</v>
      </c>
      <c r="H61" s="6">
        <f t="shared" si="5"/>
        <v>0</v>
      </c>
      <c r="I61" s="8">
        <f t="shared" si="6"/>
        <v>1</v>
      </c>
      <c r="J61" s="9"/>
      <c r="K61" s="10">
        <v>0</v>
      </c>
      <c r="L61" s="11">
        <v>300</v>
      </c>
      <c r="M61" s="10">
        <v>0</v>
      </c>
      <c r="N61" s="11">
        <v>300</v>
      </c>
      <c r="O61" s="10">
        <v>300</v>
      </c>
      <c r="P61" s="11">
        <v>300</v>
      </c>
      <c r="Q61" s="6">
        <f t="shared" si="7"/>
        <v>300</v>
      </c>
      <c r="R61" s="7">
        <f t="shared" si="8"/>
        <v>900</v>
      </c>
      <c r="S61" s="12">
        <f t="shared" si="9"/>
        <v>600</v>
      </c>
      <c r="T61" s="17"/>
    </row>
    <row r="62" spans="2:20" ht="20.149999999999999" customHeight="1" x14ac:dyDescent="0.35">
      <c r="B62" s="4" t="s">
        <v>32</v>
      </c>
      <c r="C62" s="5" t="s">
        <v>96</v>
      </c>
      <c r="D62" s="4" t="s">
        <v>55</v>
      </c>
      <c r="E62" s="5" t="s">
        <v>56</v>
      </c>
      <c r="F62" s="6">
        <v>0</v>
      </c>
      <c r="G62" s="7">
        <v>0</v>
      </c>
      <c r="H62" s="6">
        <f t="shared" si="5"/>
        <v>0</v>
      </c>
      <c r="I62" s="8">
        <f t="shared" si="6"/>
        <v>0</v>
      </c>
      <c r="J62" s="9"/>
      <c r="K62" s="10">
        <v>108</v>
      </c>
      <c r="L62" s="11">
        <v>108</v>
      </c>
      <c r="M62" s="10">
        <v>0</v>
      </c>
      <c r="N62" s="11">
        <v>0</v>
      </c>
      <c r="O62" s="10">
        <v>108</v>
      </c>
      <c r="P62" s="11">
        <v>108</v>
      </c>
      <c r="Q62" s="6">
        <f t="shared" si="7"/>
        <v>216</v>
      </c>
      <c r="R62" s="7">
        <f t="shared" si="8"/>
        <v>216</v>
      </c>
      <c r="S62" s="12">
        <f t="shared" si="9"/>
        <v>0</v>
      </c>
      <c r="T62" s="17"/>
    </row>
    <row r="63" spans="2:20" ht="20.149999999999999" customHeight="1" x14ac:dyDescent="0.35">
      <c r="B63" s="4" t="s">
        <v>32</v>
      </c>
      <c r="C63" s="5" t="s">
        <v>96</v>
      </c>
      <c r="D63" s="4" t="s">
        <v>106</v>
      </c>
      <c r="E63" s="5" t="s">
        <v>107</v>
      </c>
      <c r="F63" s="6">
        <v>36</v>
      </c>
      <c r="G63" s="7">
        <v>0</v>
      </c>
      <c r="H63" s="6">
        <f t="shared" si="5"/>
        <v>36</v>
      </c>
      <c r="I63" s="8">
        <f t="shared" si="6"/>
        <v>0</v>
      </c>
      <c r="J63" s="9"/>
      <c r="K63" s="10">
        <v>0</v>
      </c>
      <c r="L63" s="11">
        <v>0</v>
      </c>
      <c r="M63" s="10">
        <v>0</v>
      </c>
      <c r="N63" s="11">
        <v>0</v>
      </c>
      <c r="O63" s="10">
        <v>0</v>
      </c>
      <c r="P63" s="11">
        <v>0</v>
      </c>
      <c r="Q63" s="6">
        <f t="shared" si="7"/>
        <v>0</v>
      </c>
      <c r="R63" s="7">
        <f t="shared" si="8"/>
        <v>0</v>
      </c>
      <c r="S63" s="12">
        <f t="shared" si="9"/>
        <v>0</v>
      </c>
      <c r="T63" s="17"/>
    </row>
    <row r="64" spans="2:20" ht="20.149999999999999" customHeight="1" x14ac:dyDescent="0.35">
      <c r="B64" s="4" t="s">
        <v>32</v>
      </c>
      <c r="C64" s="5" t="s">
        <v>96</v>
      </c>
      <c r="D64" s="4" t="s">
        <v>61</v>
      </c>
      <c r="E64" s="5" t="s">
        <v>62</v>
      </c>
      <c r="F64" s="6">
        <v>0</v>
      </c>
      <c r="G64" s="7">
        <v>0</v>
      </c>
      <c r="H64" s="6">
        <f t="shared" si="5"/>
        <v>0</v>
      </c>
      <c r="I64" s="8">
        <f t="shared" si="6"/>
        <v>0</v>
      </c>
      <c r="J64" s="9"/>
      <c r="K64" s="10">
        <v>100</v>
      </c>
      <c r="L64" s="11">
        <v>100</v>
      </c>
      <c r="M64" s="10">
        <v>0</v>
      </c>
      <c r="N64" s="11">
        <v>0</v>
      </c>
      <c r="O64" s="10">
        <v>0</v>
      </c>
      <c r="P64" s="11">
        <v>0</v>
      </c>
      <c r="Q64" s="6">
        <f t="shared" si="7"/>
        <v>100</v>
      </c>
      <c r="R64" s="7">
        <f t="shared" si="8"/>
        <v>100</v>
      </c>
      <c r="S64" s="12">
        <f t="shared" si="9"/>
        <v>0</v>
      </c>
      <c r="T64" s="17"/>
    </row>
    <row r="65" spans="2:20" ht="20.149999999999999" customHeight="1" x14ac:dyDescent="0.35">
      <c r="B65" s="4" t="s">
        <v>32</v>
      </c>
      <c r="C65" s="5" t="s">
        <v>96</v>
      </c>
      <c r="D65" s="4" t="s">
        <v>67</v>
      </c>
      <c r="E65" s="5" t="s">
        <v>68</v>
      </c>
      <c r="F65" s="6">
        <v>800</v>
      </c>
      <c r="G65" s="7">
        <v>800</v>
      </c>
      <c r="H65" s="6">
        <f t="shared" si="5"/>
        <v>0</v>
      </c>
      <c r="I65" s="8">
        <f t="shared" si="6"/>
        <v>1</v>
      </c>
      <c r="J65" s="9"/>
      <c r="K65" s="10">
        <v>0</v>
      </c>
      <c r="L65" s="11">
        <v>0</v>
      </c>
      <c r="M65" s="10">
        <v>0</v>
      </c>
      <c r="N65" s="11">
        <v>0</v>
      </c>
      <c r="O65" s="10">
        <v>600</v>
      </c>
      <c r="P65" s="11">
        <v>600</v>
      </c>
      <c r="Q65" s="6">
        <f t="shared" si="7"/>
        <v>600</v>
      </c>
      <c r="R65" s="7">
        <f t="shared" si="8"/>
        <v>600</v>
      </c>
      <c r="S65" s="12">
        <f t="shared" si="9"/>
        <v>0</v>
      </c>
      <c r="T65" s="17"/>
    </row>
    <row r="66" spans="2:20" ht="20.149999999999999" customHeight="1" x14ac:dyDescent="0.35">
      <c r="B66" s="4" t="s">
        <v>32</v>
      </c>
      <c r="C66" s="5" t="s">
        <v>96</v>
      </c>
      <c r="D66" s="4" t="s">
        <v>69</v>
      </c>
      <c r="E66" s="5" t="s">
        <v>70</v>
      </c>
      <c r="F66" s="6">
        <v>0</v>
      </c>
      <c r="G66" s="7">
        <v>0</v>
      </c>
      <c r="H66" s="6">
        <f t="shared" si="5"/>
        <v>0</v>
      </c>
      <c r="I66" s="8">
        <f t="shared" si="6"/>
        <v>0</v>
      </c>
      <c r="J66" s="9"/>
      <c r="K66" s="10">
        <v>40</v>
      </c>
      <c r="L66" s="11">
        <v>40</v>
      </c>
      <c r="M66" s="10">
        <v>40</v>
      </c>
      <c r="N66" s="11">
        <v>40</v>
      </c>
      <c r="O66" s="10">
        <v>40</v>
      </c>
      <c r="P66" s="11">
        <v>40</v>
      </c>
      <c r="Q66" s="6">
        <f t="shared" si="7"/>
        <v>120</v>
      </c>
      <c r="R66" s="7">
        <f t="shared" si="8"/>
        <v>120</v>
      </c>
      <c r="S66" s="12">
        <f t="shared" si="9"/>
        <v>0</v>
      </c>
      <c r="T66" s="17"/>
    </row>
    <row r="67" spans="2:20" ht="20.149999999999999" customHeight="1" x14ac:dyDescent="0.35">
      <c r="B67" s="4" t="s">
        <v>32</v>
      </c>
      <c r="C67" s="5" t="s">
        <v>96</v>
      </c>
      <c r="D67" s="4" t="s">
        <v>108</v>
      </c>
      <c r="E67" s="5" t="s">
        <v>109</v>
      </c>
      <c r="F67" s="6">
        <v>0</v>
      </c>
      <c r="G67" s="7">
        <v>0</v>
      </c>
      <c r="H67" s="6">
        <f t="shared" si="5"/>
        <v>0</v>
      </c>
      <c r="I67" s="8">
        <f t="shared" si="6"/>
        <v>0</v>
      </c>
      <c r="J67" s="9"/>
      <c r="K67" s="10">
        <v>0</v>
      </c>
      <c r="L67" s="11">
        <v>0</v>
      </c>
      <c r="M67" s="10">
        <v>0</v>
      </c>
      <c r="N67" s="11">
        <v>0</v>
      </c>
      <c r="O67" s="10">
        <v>100</v>
      </c>
      <c r="P67" s="11">
        <v>100</v>
      </c>
      <c r="Q67" s="6">
        <f t="shared" si="7"/>
        <v>100</v>
      </c>
      <c r="R67" s="7">
        <f t="shared" si="8"/>
        <v>100</v>
      </c>
      <c r="S67" s="12">
        <f t="shared" si="9"/>
        <v>0</v>
      </c>
      <c r="T67" s="17"/>
    </row>
    <row r="68" spans="2:20" ht="20.149999999999999" customHeight="1" x14ac:dyDescent="0.35">
      <c r="B68" s="4" t="s">
        <v>32</v>
      </c>
      <c r="C68" s="5" t="s">
        <v>96</v>
      </c>
      <c r="D68" s="4" t="s">
        <v>77</v>
      </c>
      <c r="E68" s="5" t="s">
        <v>78</v>
      </c>
      <c r="F68" s="6">
        <v>0</v>
      </c>
      <c r="G68" s="7">
        <v>0</v>
      </c>
      <c r="H68" s="6">
        <f t="shared" si="5"/>
        <v>0</v>
      </c>
      <c r="I68" s="8">
        <f t="shared" si="6"/>
        <v>0</v>
      </c>
      <c r="J68" s="9"/>
      <c r="K68" s="10">
        <v>0</v>
      </c>
      <c r="L68" s="11">
        <v>100</v>
      </c>
      <c r="M68" s="10">
        <v>100</v>
      </c>
      <c r="N68" s="11">
        <v>0</v>
      </c>
      <c r="O68" s="10">
        <v>200</v>
      </c>
      <c r="P68" s="11">
        <v>200</v>
      </c>
      <c r="Q68" s="6">
        <f t="shared" si="7"/>
        <v>300</v>
      </c>
      <c r="R68" s="7">
        <f t="shared" si="8"/>
        <v>300</v>
      </c>
      <c r="S68" s="12">
        <f t="shared" si="9"/>
        <v>0</v>
      </c>
      <c r="T68" s="17"/>
    </row>
    <row r="69" spans="2:20" ht="20.149999999999999" customHeight="1" x14ac:dyDescent="0.35">
      <c r="B69" s="4" t="s">
        <v>32</v>
      </c>
      <c r="C69" s="5" t="s">
        <v>96</v>
      </c>
      <c r="D69" s="4" t="s">
        <v>79</v>
      </c>
      <c r="E69" s="5" t="s">
        <v>110</v>
      </c>
      <c r="F69" s="6">
        <v>0</v>
      </c>
      <c r="G69" s="7">
        <v>0</v>
      </c>
      <c r="H69" s="6">
        <f t="shared" si="5"/>
        <v>0</v>
      </c>
      <c r="I69" s="8">
        <f t="shared" si="6"/>
        <v>0</v>
      </c>
      <c r="J69" s="9"/>
      <c r="K69" s="10">
        <v>640</v>
      </c>
      <c r="L69" s="11">
        <v>640</v>
      </c>
      <c r="M69" s="10">
        <v>0</v>
      </c>
      <c r="N69" s="11">
        <v>0</v>
      </c>
      <c r="O69" s="10">
        <v>0</v>
      </c>
      <c r="P69" s="11">
        <v>0</v>
      </c>
      <c r="Q69" s="6">
        <f t="shared" si="7"/>
        <v>640</v>
      </c>
      <c r="R69" s="7">
        <f t="shared" si="8"/>
        <v>640</v>
      </c>
      <c r="S69" s="12">
        <f t="shared" si="9"/>
        <v>0</v>
      </c>
      <c r="T69" s="17"/>
    </row>
    <row r="70" spans="2:20" ht="20.149999999999999" customHeight="1" x14ac:dyDescent="0.35">
      <c r="B70" s="4" t="s">
        <v>32</v>
      </c>
      <c r="C70" s="5" t="s">
        <v>96</v>
      </c>
      <c r="D70" s="4" t="s">
        <v>83</v>
      </c>
      <c r="E70" s="5" t="s">
        <v>84</v>
      </c>
      <c r="F70" s="6">
        <v>0</v>
      </c>
      <c r="G70" s="7">
        <v>0</v>
      </c>
      <c r="H70" s="6">
        <f t="shared" si="5"/>
        <v>0</v>
      </c>
      <c r="I70" s="8">
        <f t="shared" si="6"/>
        <v>0</v>
      </c>
      <c r="J70" s="9"/>
      <c r="K70" s="10">
        <v>300</v>
      </c>
      <c r="L70" s="11">
        <v>300</v>
      </c>
      <c r="M70" s="10">
        <v>300</v>
      </c>
      <c r="N70" s="11">
        <v>300</v>
      </c>
      <c r="O70" s="10">
        <v>0</v>
      </c>
      <c r="P70" s="11">
        <v>0</v>
      </c>
      <c r="Q70" s="6">
        <f t="shared" si="7"/>
        <v>600</v>
      </c>
      <c r="R70" s="7">
        <f t="shared" si="8"/>
        <v>600</v>
      </c>
      <c r="S70" s="12">
        <f t="shared" si="9"/>
        <v>0</v>
      </c>
      <c r="T70" s="17"/>
    </row>
    <row r="71" spans="2:20" ht="20.149999999999999" customHeight="1" x14ac:dyDescent="0.35">
      <c r="B71" s="4" t="s">
        <v>32</v>
      </c>
      <c r="C71" s="5" t="s">
        <v>111</v>
      </c>
      <c r="D71" s="4" t="s">
        <v>39</v>
      </c>
      <c r="E71" s="5" t="s">
        <v>40</v>
      </c>
      <c r="F71" s="6">
        <v>0</v>
      </c>
      <c r="G71" s="7">
        <v>640</v>
      </c>
      <c r="H71" s="6">
        <f t="shared" si="5"/>
        <v>640</v>
      </c>
      <c r="I71" s="8">
        <f t="shared" si="6"/>
        <v>1</v>
      </c>
      <c r="J71" s="9" t="s">
        <v>38</v>
      </c>
      <c r="K71" s="10">
        <v>2760</v>
      </c>
      <c r="L71" s="11">
        <v>2560</v>
      </c>
      <c r="M71" s="10">
        <v>1280</v>
      </c>
      <c r="N71" s="11">
        <v>1280</v>
      </c>
      <c r="O71" s="10">
        <v>1280</v>
      </c>
      <c r="P71" s="11">
        <v>1280</v>
      </c>
      <c r="Q71" s="6">
        <f t="shared" si="7"/>
        <v>5320</v>
      </c>
      <c r="R71" s="7">
        <f t="shared" si="8"/>
        <v>5120</v>
      </c>
      <c r="S71" s="12">
        <f t="shared" si="9"/>
        <v>-200</v>
      </c>
      <c r="T71" s="17" t="s">
        <v>132</v>
      </c>
    </row>
    <row r="72" spans="2:20" ht="20.149999999999999" customHeight="1" x14ac:dyDescent="0.35">
      <c r="B72" s="4" t="s">
        <v>32</v>
      </c>
      <c r="C72" s="5" t="s">
        <v>111</v>
      </c>
      <c r="D72" s="4" t="s">
        <v>86</v>
      </c>
      <c r="E72" s="5" t="s">
        <v>87</v>
      </c>
      <c r="F72" s="6">
        <v>0</v>
      </c>
      <c r="G72" s="7">
        <v>0</v>
      </c>
      <c r="H72" s="6">
        <f t="shared" si="5"/>
        <v>0</v>
      </c>
      <c r="I72" s="8">
        <f t="shared" si="6"/>
        <v>0</v>
      </c>
      <c r="J72" s="9"/>
      <c r="K72" s="10">
        <v>0</v>
      </c>
      <c r="L72" s="11">
        <v>0</v>
      </c>
      <c r="M72" s="10">
        <v>0</v>
      </c>
      <c r="N72" s="11">
        <v>0</v>
      </c>
      <c r="O72" s="10">
        <v>200</v>
      </c>
      <c r="P72" s="11">
        <v>200</v>
      </c>
      <c r="Q72" s="6">
        <f t="shared" si="7"/>
        <v>200</v>
      </c>
      <c r="R72" s="7">
        <f t="shared" si="8"/>
        <v>200</v>
      </c>
      <c r="S72" s="12">
        <f t="shared" si="9"/>
        <v>0</v>
      </c>
      <c r="T72" s="17"/>
    </row>
    <row r="73" spans="2:20" ht="20.149999999999999" customHeight="1" x14ac:dyDescent="0.35">
      <c r="B73" s="4" t="s">
        <v>32</v>
      </c>
      <c r="C73" s="5" t="s">
        <v>111</v>
      </c>
      <c r="D73" s="4" t="s">
        <v>43</v>
      </c>
      <c r="E73" s="5" t="s">
        <v>44</v>
      </c>
      <c r="F73" s="6">
        <v>0</v>
      </c>
      <c r="G73" s="7">
        <v>200</v>
      </c>
      <c r="H73" s="6">
        <f t="shared" si="5"/>
        <v>200</v>
      </c>
      <c r="I73" s="8">
        <f t="shared" si="6"/>
        <v>1</v>
      </c>
      <c r="J73" s="9" t="s">
        <v>38</v>
      </c>
      <c r="K73" s="10">
        <v>0</v>
      </c>
      <c r="L73" s="11">
        <v>0</v>
      </c>
      <c r="M73" s="10">
        <v>0</v>
      </c>
      <c r="N73" s="11">
        <v>0</v>
      </c>
      <c r="O73" s="10">
        <v>200</v>
      </c>
      <c r="P73" s="11">
        <v>200</v>
      </c>
      <c r="Q73" s="6">
        <f t="shared" si="7"/>
        <v>200</v>
      </c>
      <c r="R73" s="7">
        <f t="shared" si="8"/>
        <v>200</v>
      </c>
      <c r="S73" s="12">
        <f t="shared" si="9"/>
        <v>0</v>
      </c>
      <c r="T73" s="17" t="s">
        <v>132</v>
      </c>
    </row>
    <row r="74" spans="2:20" ht="25" customHeight="1" x14ac:dyDescent="0.35">
      <c r="B74" s="34" t="s">
        <v>112</v>
      </c>
      <c r="C74" s="35"/>
      <c r="D74" s="35"/>
      <c r="E74" s="35"/>
      <c r="F74" s="13">
        <f>SUM(F10:F73)</f>
        <v>21914</v>
      </c>
      <c r="G74" s="13">
        <f>SUM(G10:G73)</f>
        <v>23674</v>
      </c>
      <c r="H74" s="13">
        <f>SUM(H10:H73)</f>
        <v>29456</v>
      </c>
      <c r="I74" s="14">
        <f>IF(F74&gt;0, G74/F74, 1)</f>
        <v>1.080313954549603</v>
      </c>
      <c r="J74" s="15"/>
      <c r="K74" s="13">
        <f t="shared" ref="K74:S74" si="10">SUM(K10:K73)</f>
        <v>31278</v>
      </c>
      <c r="L74" s="13">
        <f t="shared" si="10"/>
        <v>32958</v>
      </c>
      <c r="M74" s="13">
        <f t="shared" si="10"/>
        <v>23600</v>
      </c>
      <c r="N74" s="13">
        <f t="shared" si="10"/>
        <v>23970</v>
      </c>
      <c r="O74" s="13">
        <f t="shared" si="10"/>
        <v>28788</v>
      </c>
      <c r="P74" s="13">
        <f t="shared" si="10"/>
        <v>29118</v>
      </c>
      <c r="Q74" s="13">
        <f t="shared" si="10"/>
        <v>83666</v>
      </c>
      <c r="R74" s="13">
        <f t="shared" si="10"/>
        <v>85746</v>
      </c>
      <c r="S74" s="16">
        <f t="shared" si="10"/>
        <v>2080</v>
      </c>
      <c r="T74" s="19"/>
    </row>
  </sheetData>
  <mergeCells count="20">
    <mergeCell ref="B74:E74"/>
    <mergeCell ref="N5:P5"/>
    <mergeCell ref="E6:G6"/>
    <mergeCell ref="K8:P8"/>
    <mergeCell ref="B4:T4"/>
    <mergeCell ref="B6:D6"/>
    <mergeCell ref="F8:J8"/>
    <mergeCell ref="N6:P6"/>
    <mergeCell ref="B2:T2"/>
    <mergeCell ref="B8:E8"/>
    <mergeCell ref="E5:G5"/>
    <mergeCell ref="K5:M5"/>
    <mergeCell ref="Q6:T6"/>
    <mergeCell ref="H6:J6"/>
    <mergeCell ref="B3:T3"/>
    <mergeCell ref="B5:D5"/>
    <mergeCell ref="Q8:T8"/>
    <mergeCell ref="K6:M6"/>
    <mergeCell ref="H5:J5"/>
    <mergeCell ref="Q5:T5"/>
  </mergeCells>
  <dataValidations count="1">
    <dataValidation type="list" allowBlank="1" errorTitle="Motivo de Desviación" error="Por favor seleccione un motivo de la lista o escriba su comentario" sqref="J10:J127" xr:uid="{00000000-0002-0000-0000-000000000000}">
      <formula1>"Adelanto de pedidos,Atraso de pedidos,Pedido extra no previsto,Campaña habitual,Cancelado / Sin siembra,Otro motivo"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Previsiones_Irene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Ocampo</cp:lastModifiedBy>
  <dcterms:created xsi:type="dcterms:W3CDTF">2026-10-01T12:16:56Z</dcterms:created>
  <dcterms:modified xsi:type="dcterms:W3CDTF">2026-10-05T06:37:12Z</dcterms:modified>
</cp:coreProperties>
</file>