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92400E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5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27/10/2026 | Generado: 27/10/2026 07:39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254,091 u</t>
        </is>
      </c>
      <c r="E6" s="4" t="n"/>
      <c r="F6" s="8" t="inlineStr">
        <is>
          <t>139.6%</t>
        </is>
      </c>
      <c r="G6" s="4" t="n"/>
      <c r="H6" s="9" t="inlineStr">
        <is>
          <t>41,738 u</t>
        </is>
      </c>
      <c r="I6" s="4" t="n"/>
      <c r="J6" s="7" t="inlineStr">
        <is>
          <t>187,680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6</v>
      </c>
      <c r="D10" s="14" t="n">
        <v>2320</v>
      </c>
      <c r="E10" s="14" t="n">
        <v>7164</v>
      </c>
      <c r="F10" s="14" t="n">
        <v>7164</v>
      </c>
      <c r="G10" s="14" t="n">
        <v>0</v>
      </c>
      <c r="H10" s="14">
        <f>MAX(0, D10-E10)</f>
        <v/>
      </c>
      <c r="I10" s="14">
        <f>'Alfonso'!J28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81476</v>
      </c>
      <c r="F11" s="18" t="n">
        <v>6680</v>
      </c>
      <c r="G11" s="18" t="n">
        <v>74796</v>
      </c>
      <c r="H11" s="18">
        <f>MAX(0, D11-E11)</f>
        <v/>
      </c>
      <c r="I11" s="18">
        <f>'García'!J50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4</v>
      </c>
      <c r="D12" s="14" t="n">
        <v>21914</v>
      </c>
      <c r="E12" s="14" t="n">
        <v>23753</v>
      </c>
      <c r="F12" s="14" t="n">
        <v>20245</v>
      </c>
      <c r="G12" s="14" t="n">
        <v>3508</v>
      </c>
      <c r="H12" s="14">
        <f>MAX(0, D12-E12)</f>
        <v/>
      </c>
      <c r="I12" s="14">
        <f>'Irene'!J55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6</v>
      </c>
      <c r="D13" s="18" t="n">
        <v>17100</v>
      </c>
      <c r="E13" s="18" t="n">
        <v>14822</v>
      </c>
      <c r="F13" s="18" t="n">
        <v>14822</v>
      </c>
      <c r="G13" s="18" t="n">
        <v>0</v>
      </c>
      <c r="H13" s="18">
        <f>MAX(0, D13-E13)</f>
        <v/>
      </c>
      <c r="I13" s="18">
        <f>'Javier'!J37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0</v>
      </c>
      <c r="D14" s="14" t="n">
        <v>39460</v>
      </c>
      <c r="E14" s="14" t="n">
        <v>0</v>
      </c>
      <c r="F14" s="14" t="n">
        <v>0</v>
      </c>
      <c r="G14" s="14" t="n">
        <v>0</v>
      </c>
      <c r="H14" s="14">
        <f>MAX(0, D14-E14)</f>
        <v/>
      </c>
      <c r="I14" s="14">
        <f>'Mehmet'!J16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17500</v>
      </c>
      <c r="F15" s="18" t="n">
        <v>17500</v>
      </c>
      <c r="G15" s="18" t="n">
        <v>0</v>
      </c>
      <c r="H15" s="18">
        <f>MAX(0, D15-E15)</f>
        <v/>
      </c>
      <c r="I15" s="18">
        <f>'Pedro'!J28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4</v>
      </c>
      <c r="D16" s="14" t="n">
        <v>46000</v>
      </c>
      <c r="E16" s="14" t="n">
        <v>109376</v>
      </c>
      <c r="F16" s="14" t="n">
        <v>0</v>
      </c>
      <c r="G16" s="14" t="n">
        <v>109376</v>
      </c>
      <c r="H16" s="14">
        <f>MAX(0, D16-E16)</f>
        <v/>
      </c>
      <c r="I16" s="14">
        <f>'Ricardo'!J50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7,164 u</t>
        </is>
      </c>
      <c r="E6" s="4" t="n"/>
      <c r="F6" s="25" t="inlineStr">
        <is>
          <t>308.8%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AGROCAMP CANET S.L.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A-50(2)0005</t>
        </is>
      </c>
      <c r="D13" s="30" t="inlineStr">
        <is>
          <t>CODIORGAN-A50, 5 KG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BR-590005</t>
        </is>
      </c>
      <c r="D14" s="27" t="inlineStr">
        <is>
          <t>BR-59, 5 KG</t>
        </is>
      </c>
      <c r="E14" s="14" t="n">
        <v>0</v>
      </c>
      <c r="F14" s="14" t="n">
        <v>300</v>
      </c>
      <c r="G14" s="14" t="n">
        <v>300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PT0005</t>
        </is>
      </c>
      <c r="D15" s="30" t="inlineStr">
        <is>
          <t>AGROPOTASION, 5 L</t>
        </is>
      </c>
      <c r="E15" s="18" t="n">
        <v>0</v>
      </c>
      <c r="F15" s="18" t="n">
        <v>400</v>
      </c>
      <c r="G15" s="18" t="n">
        <v>400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AGROVEYCA,S.L</t>
        </is>
      </c>
      <c r="C16" s="28" t="inlineStr">
        <is>
          <t>AN0020</t>
        </is>
      </c>
      <c r="D16" s="27" t="inlineStr">
        <is>
          <t>ALCAPLANT NEW, 20 KG</t>
        </is>
      </c>
      <c r="E16" s="14" t="n">
        <v>0</v>
      </c>
      <c r="F16" s="14" t="n">
        <v>1100</v>
      </c>
      <c r="G16" s="14" t="n">
        <v>1100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AQUOM0020</t>
        </is>
      </c>
      <c r="D17" s="30" t="inlineStr">
        <is>
          <t>AQUOM, 20 L</t>
        </is>
      </c>
      <c r="E17" s="18" t="n">
        <v>0</v>
      </c>
      <c r="F17" s="18" t="n">
        <v>320</v>
      </c>
      <c r="G17" s="18" t="n">
        <v>320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Sin Pedido</t>
        </is>
      </c>
    </row>
    <row r="19">
      <c r="B19" s="30" t="inlineStr">
        <is>
          <t>AGROVEYCA,S.L</t>
        </is>
      </c>
      <c r="C19" s="31" t="inlineStr">
        <is>
          <t>S0020</t>
        </is>
      </c>
      <c r="D19" s="30" t="inlineStr">
        <is>
          <t>SAL-WAX STAR, 20 L</t>
        </is>
      </c>
      <c r="E19" s="18" t="n">
        <v>0</v>
      </c>
      <c r="F19" s="18" t="n">
        <v>640</v>
      </c>
      <c r="G19" s="18" t="n">
        <v>640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PLANTALDIA SLU</t>
        </is>
      </c>
      <c r="C20" s="28" t="inlineStr">
        <is>
          <t>A-50(2)0005</t>
        </is>
      </c>
      <c r="D20" s="27" t="inlineStr">
        <is>
          <t>CODIORGAN A-50, 5 KG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PLANTALDIA SLU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0</v>
      </c>
      <c r="F21" s="18" t="n">
        <v>200</v>
      </c>
      <c r="G21" s="18" t="n">
        <v>200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VILLALTA SATIVUM, S.L.</t>
        </is>
      </c>
      <c r="C22" s="28" t="inlineStr">
        <is>
          <t>AGXKAEP0020</t>
        </is>
      </c>
      <c r="D22" s="27" t="inlineStr">
        <is>
          <t>BIOCULTURE POTASIO PLUS, 20 L</t>
        </is>
      </c>
      <c r="E22" s="14" t="n">
        <v>0</v>
      </c>
      <c r="F22" s="14" t="n">
        <v>140</v>
      </c>
      <c r="G22" s="14" t="n">
        <v>140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VILLALTA SATIVUM, S.L.</t>
        </is>
      </c>
      <c r="C23" s="31" t="inlineStr">
        <is>
          <t>AQUOM0020</t>
        </is>
      </c>
      <c r="D23" s="30" t="inlineStr">
        <is>
          <t>AQUOM, 20 L</t>
        </is>
      </c>
      <c r="E23" s="18" t="n">
        <v>0</v>
      </c>
      <c r="F23" s="18" t="n">
        <v>40</v>
      </c>
      <c r="G23" s="18" t="n">
        <v>40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VILLALTA SATIVUM, S.L.</t>
        </is>
      </c>
      <c r="C24" s="28" t="inlineStr">
        <is>
          <t>C-CUAE0020</t>
        </is>
      </c>
      <c r="D24" s="27" t="inlineStr">
        <is>
          <t>CUPRAMEC, 20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VILLALTA SATIVUM, S.L.</t>
        </is>
      </c>
      <c r="C25" s="31" t="inlineStr">
        <is>
          <t>PT0001</t>
        </is>
      </c>
      <c r="D25" s="30" t="inlineStr">
        <is>
          <t>AGROPOTASION, 1 L</t>
        </is>
      </c>
      <c r="E25" s="18" t="n">
        <v>0</v>
      </c>
      <c r="F25" s="18" t="n">
        <v>24</v>
      </c>
      <c r="G25" s="18" t="n">
        <v>24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VILLALTA SATIVUM, S.L.</t>
        </is>
      </c>
      <c r="C26" s="28" t="inlineStr">
        <is>
          <t>PT0005</t>
        </is>
      </c>
      <c r="D26" s="27" t="inlineStr">
        <is>
          <t>AGROPOTASION, 5 L</t>
        </is>
      </c>
      <c r="E26" s="14" t="n">
        <v>0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VILLALTA SATIVUM, S.L.</t>
        </is>
      </c>
      <c r="C27" s="31" t="inlineStr">
        <is>
          <t>PT0020</t>
        </is>
      </c>
      <c r="D27" s="30" t="inlineStr">
        <is>
          <t>AGROPOTASION, 20 L</t>
        </is>
      </c>
      <c r="E27" s="18" t="n">
        <v>0</v>
      </c>
      <c r="F27" s="18" t="n">
        <v>100</v>
      </c>
      <c r="G27" s="18" t="n">
        <v>100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 ht="24" customHeight="1">
      <c r="B28" s="20" t="inlineStr">
        <is>
          <t>TOTAL ALFONSO</t>
        </is>
      </c>
      <c r="C28" s="34" t="inlineStr">
        <is>
          <t>279 líneas</t>
        </is>
      </c>
      <c r="D28" s="35" t="inlineStr"/>
      <c r="E28" s="22">
        <f>SUM(E10:E27)</f>
        <v/>
      </c>
      <c r="F28" s="22">
        <f>SUM(F10:F27)</f>
        <v/>
      </c>
      <c r="G28" s="22">
        <f>SUM(G10:G27)</f>
        <v/>
      </c>
      <c r="H28" s="22">
        <f>SUM(H10:H27)</f>
        <v/>
      </c>
      <c r="I28" s="22">
        <f>SUM(I10:I27)</f>
        <v/>
      </c>
      <c r="J28" s="22">
        <f>SUM(J10:J27)</f>
        <v/>
      </c>
      <c r="K28" s="23">
        <f>IF(E28&gt;0, F28/E28, 0)</f>
        <v/>
      </c>
      <c r="L28" s="21">
        <f>IF(K28&gt;=1,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81,476 u</t>
        </is>
      </c>
      <c r="E6" s="4" t="n"/>
      <c r="F6" s="25" t="inlineStr">
        <is>
          <t>215.4%</t>
        </is>
      </c>
      <c r="G6" s="4" t="n"/>
      <c r="H6" s="25" t="inlineStr">
        <is>
          <t>0 u</t>
        </is>
      </c>
      <c r="I6" s="4" t="n"/>
      <c r="J6" s="24" t="inlineStr">
        <is>
          <t>74,796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6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6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6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6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6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6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AGXK0005EG</t>
        </is>
      </c>
      <c r="D24" s="27" t="inlineStr">
        <is>
          <t>AGROXILATO-K, 5 L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SPCE2B0001EG</t>
        </is>
      </c>
      <c r="D25" s="30" t="inlineStr">
        <is>
          <t>SPRINTENE CON BORO, 1 L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6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6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3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6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A-500020MA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AGXK0020MA</t>
        </is>
      </c>
      <c r="D39" s="30" t="inlineStr">
        <is>
          <t>AGROXILATO-K, 20 L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AVAN0020MA</t>
        </is>
      </c>
      <c r="D40" s="27" t="inlineStr">
        <is>
          <t>FLORAMEC AVANCE, 20 L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BR-590005MA</t>
        </is>
      </c>
      <c r="D41" s="30" t="inlineStr">
        <is>
          <t>BR-59, 5 KG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BROTA0005</t>
        </is>
      </c>
      <c r="D42" s="27" t="inlineStr">
        <is>
          <t>BROTAMEC, 5 L</t>
        </is>
      </c>
      <c r="E42" s="14" t="n">
        <v>0</v>
      </c>
      <c r="F42" s="14" t="n">
        <v>200</v>
      </c>
      <c r="G42" s="14" t="n">
        <v>0</v>
      </c>
      <c r="H42" s="14" t="n">
        <v>200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C-CU0005MA</t>
        </is>
      </c>
      <c r="D43" s="30" t="inlineStr">
        <is>
          <t>CODICOBRE, 5 L</t>
        </is>
      </c>
      <c r="E43" s="18" t="n">
        <v>0</v>
      </c>
      <c r="F43" s="18" t="n">
        <v>1000</v>
      </c>
      <c r="G43" s="18" t="n">
        <v>0</v>
      </c>
      <c r="H43" s="18" t="n">
        <v>1000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PHD0005</t>
        </is>
      </c>
      <c r="D44" s="27" t="inlineStr">
        <is>
          <t>PH-DOWNER, 5 L</t>
        </is>
      </c>
      <c r="E44" s="14" t="n">
        <v>0</v>
      </c>
      <c r="F44" s="14" t="n">
        <v>600</v>
      </c>
      <c r="G44" s="14" t="n">
        <v>0</v>
      </c>
      <c r="H44" s="14" t="n">
        <v>600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PHD0020MA</t>
        </is>
      </c>
      <c r="D45" s="30" t="inlineStr">
        <is>
          <t xml:space="preserve">PH-DOWNER, 20 L   </t>
        </is>
      </c>
      <c r="E45" s="18" t="n">
        <v>0</v>
      </c>
      <c r="F45" s="18" t="n">
        <v>600</v>
      </c>
      <c r="G45" s="18" t="n">
        <v>0</v>
      </c>
      <c r="H45" s="18" t="n">
        <v>600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STE BBMAGRI, SARL</t>
        </is>
      </c>
      <c r="C46" s="28" t="inlineStr">
        <is>
          <t>PT0020MA</t>
        </is>
      </c>
      <c r="D46" s="27" t="inlineStr">
        <is>
          <t>AGROPOTASION, 20 L</t>
        </is>
      </c>
      <c r="E46" s="14" t="n">
        <v>0</v>
      </c>
      <c r="F46" s="14" t="n">
        <v>3000</v>
      </c>
      <c r="G46" s="14" t="n">
        <v>0</v>
      </c>
      <c r="H46" s="14" t="n">
        <v>3000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STE BBMAGRI, SARL</t>
        </is>
      </c>
      <c r="C47" s="31" t="inlineStr">
        <is>
          <t>SS0020MA</t>
        </is>
      </c>
      <c r="D47" s="30" t="inlineStr">
        <is>
          <t>SALWAX-CA, 20 KG</t>
        </is>
      </c>
      <c r="E47" s="18" t="n">
        <v>0</v>
      </c>
      <c r="F47" s="18" t="n">
        <v>2000</v>
      </c>
      <c r="G47" s="18" t="n">
        <v>0</v>
      </c>
      <c r="H47" s="18" t="n">
        <v>2000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TRATAMIENTOS AGRICOLAS BRENES, S.L.</t>
        </is>
      </c>
      <c r="C48" s="28" t="inlineStr">
        <is>
          <t>PT0020</t>
        </is>
      </c>
      <c r="D48" s="27" t="inlineStr">
        <is>
          <t>AGROPOTASION, 20 L</t>
        </is>
      </c>
      <c r="E48" s="14" t="n">
        <v>0</v>
      </c>
      <c r="F48" s="14" t="n">
        <v>640</v>
      </c>
      <c r="G48" s="14" t="n">
        <v>640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TRATAMIENTOS AGRICOLAS BRENES, S.L.</t>
        </is>
      </c>
      <c r="C49" s="31" t="inlineStr">
        <is>
          <t>WHITE0020</t>
        </is>
      </c>
      <c r="D49" s="30" t="inlineStr">
        <is>
          <t>AGROWHITE, 20 KG</t>
        </is>
      </c>
      <c r="E49" s="18" t="n">
        <v>1100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6" t="inlineStr">
        <is>
          <t>Sin Pedido</t>
        </is>
      </c>
    </row>
    <row r="50" ht="24" customHeight="1">
      <c r="B50" s="20" t="inlineStr">
        <is>
          <t>TOTAL GARCÍA</t>
        </is>
      </c>
      <c r="C50" s="34" t="inlineStr">
        <is>
          <t>244 líneas</t>
        </is>
      </c>
      <c r="D50" s="35" t="inlineStr"/>
      <c r="E50" s="22">
        <f>SUM(E10:E49)</f>
        <v/>
      </c>
      <c r="F50" s="22">
        <f>SUM(F10:F49)</f>
        <v/>
      </c>
      <c r="G50" s="22">
        <f>SUM(G10:G49)</f>
        <v/>
      </c>
      <c r="H50" s="22">
        <f>SUM(H10:H49)</f>
        <v/>
      </c>
      <c r="I50" s="22">
        <f>SUM(I10:I49)</f>
        <v/>
      </c>
      <c r="J50" s="22">
        <f>SUM(J10:J49)</f>
        <v/>
      </c>
      <c r="K50" s="23">
        <f>IF(E50&gt;0, F50/E50, 0)</f>
        <v/>
      </c>
      <c r="L50" s="21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23,753 u</t>
        </is>
      </c>
      <c r="E6" s="4" t="n"/>
      <c r="F6" s="25" t="inlineStr">
        <is>
          <t>108.4%</t>
        </is>
      </c>
      <c r="G6" s="4" t="n"/>
      <c r="H6" s="25" t="inlineStr">
        <is>
          <t>0 u</t>
        </is>
      </c>
      <c r="I6" s="4" t="n"/>
      <c r="J6" s="24" t="inlineStr">
        <is>
          <t>3,508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3200</v>
      </c>
      <c r="G11" s="18" t="n">
        <v>3200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8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1280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6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6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Sin Pedido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9" t="inlineStr">
        <is>
          <t>Rezagado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Sin Pedido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JF0005</t>
        </is>
      </c>
      <c r="D22" s="27" t="inlineStr">
        <is>
          <t>CODIGIN-FOS, 5 L</t>
        </is>
      </c>
      <c r="E22" s="14" t="n">
        <v>0</v>
      </c>
      <c r="F22" s="14" t="n">
        <v>600</v>
      </c>
      <c r="G22" s="14" t="n">
        <v>600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6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40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6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205</v>
      </c>
      <c r="G26" s="14" t="n">
        <v>205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4480</v>
      </c>
      <c r="G27" s="18" t="n">
        <v>1920</v>
      </c>
      <c r="H27" s="18" t="n">
        <v>2560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Superado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AGZ-M0001</t>
        </is>
      </c>
      <c r="D29" s="30" t="inlineStr">
        <is>
          <t>AGROXILATO-ZN-MN, 1 KG</t>
        </is>
      </c>
      <c r="E29" s="18" t="n">
        <v>0</v>
      </c>
      <c r="F29" s="18" t="n">
        <v>80</v>
      </c>
      <c r="G29" s="18" t="n">
        <v>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COOP.AGRIC. SAN ISIDRO S.C.A.</t>
        </is>
      </c>
      <c r="C30" s="28" t="inlineStr">
        <is>
          <t>AGZ-M0005</t>
        </is>
      </c>
      <c r="D30" s="27" t="inlineStr">
        <is>
          <t>AGROXILATO-ZN-MN, 5 KG</t>
        </is>
      </c>
      <c r="E30" s="14" t="n">
        <v>0</v>
      </c>
      <c r="F30" s="14" t="n">
        <v>100</v>
      </c>
      <c r="G30" s="14" t="n">
        <v>100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AMIMG0020</t>
        </is>
      </c>
      <c r="D31" s="30" t="inlineStr">
        <is>
          <t>AMINOSOIL MG,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COOP.AGRIC. SAN ISIDRO S.C.A.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1200</v>
      </c>
      <c r="F32" s="14" t="n">
        <v>600</v>
      </c>
      <c r="G32" s="14" t="n">
        <v>600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8" t="inlineStr">
        <is>
          <t>En Curso</t>
        </is>
      </c>
    </row>
    <row r="33">
      <c r="B33" s="30" t="inlineStr">
        <is>
          <t>COOP.AGRIC. SAN ISIDRO S.C.A.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200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COOP.AGRIC. SAN ISIDRO S.C.A.</t>
        </is>
      </c>
      <c r="C34" s="28" t="inlineStr">
        <is>
          <t>C-MB0005</t>
        </is>
      </c>
      <c r="D34" s="27" t="inlineStr">
        <is>
          <t>CODIFOL-MB, 5 L</t>
        </is>
      </c>
      <c r="E34" s="14" t="n">
        <v>300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8" t="inlineStr">
        <is>
          <t>En Curso</t>
        </is>
      </c>
    </row>
    <row r="35">
      <c r="B35" s="30" t="inlineStr">
        <is>
          <t>COOP.AGRIC. SAN ISIDRO S.C.A.</t>
        </is>
      </c>
      <c r="C35" s="31" t="inlineStr">
        <is>
          <t>CPLUS0020</t>
        </is>
      </c>
      <c r="D35" s="30" t="inlineStr">
        <is>
          <t>CALCIPLUS, 20 L</t>
        </is>
      </c>
      <c r="E35" s="18" t="n">
        <v>640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6" t="inlineStr">
        <is>
          <t>Sin Pedido</t>
        </is>
      </c>
    </row>
    <row r="36">
      <c r="B36" s="27" t="inlineStr">
        <is>
          <t>COOP.AGRIC. SAN ISIDRO S.C.A.</t>
        </is>
      </c>
      <c r="C36" s="28" t="inlineStr">
        <is>
          <t>PIV0020</t>
        </is>
      </c>
      <c r="D36" s="27" t="inlineStr">
        <is>
          <t>PGR IV, 20 L</t>
        </is>
      </c>
      <c r="E36" s="14" t="n">
        <v>1280</v>
      </c>
      <c r="F36" s="14" t="n">
        <v>2560</v>
      </c>
      <c r="G36" s="14" t="n">
        <v>2560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Superado</t>
        </is>
      </c>
    </row>
    <row r="37">
      <c r="B37" s="30" t="inlineStr">
        <is>
          <t>COOP.AGRIC. SAN ISIDRO S.C.A.</t>
        </is>
      </c>
      <c r="C37" s="31" t="inlineStr">
        <is>
          <t>PT0005</t>
        </is>
      </c>
      <c r="D37" s="30" t="inlineStr">
        <is>
          <t>AGROPOTASION, 5 L</t>
        </is>
      </c>
      <c r="E37" s="18" t="n">
        <v>0</v>
      </c>
      <c r="F37" s="18" t="n">
        <v>200</v>
      </c>
      <c r="G37" s="18" t="n">
        <v>0</v>
      </c>
      <c r="H37" s="18" t="n">
        <v>200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COOP.AGRIC. SAN ISIDRO S.C.A.</t>
        </is>
      </c>
      <c r="C38" s="28" t="inlineStr">
        <is>
          <t>PT0020</t>
        </is>
      </c>
      <c r="D38" s="27" t="inlineStr">
        <is>
          <t>AGROPOTASION, 20 L</t>
        </is>
      </c>
      <c r="E38" s="14" t="n">
        <v>0</v>
      </c>
      <c r="F38" s="14" t="n">
        <v>320</v>
      </c>
      <c r="G38" s="14" t="n">
        <v>320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COOP.AGRIC. SAN ISIDRO S.C.A.</t>
        </is>
      </c>
      <c r="C39" s="31" t="inlineStr">
        <is>
          <t>S0020</t>
        </is>
      </c>
      <c r="D39" s="30" t="inlineStr">
        <is>
          <t>SAL-WAX STAR, 20 L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COOP.AGRIC. SAN ISIDRO S.C.A.</t>
        </is>
      </c>
      <c r="C40" s="28" t="inlineStr">
        <is>
          <t>TRI0001</t>
        </is>
      </c>
      <c r="D40" s="27" t="inlineStr">
        <is>
          <t>TRIFENO-94, 1 L</t>
        </is>
      </c>
      <c r="E40" s="14" t="n">
        <v>0</v>
      </c>
      <c r="F40" s="14" t="n">
        <v>108</v>
      </c>
      <c r="G40" s="14" t="n">
        <v>0</v>
      </c>
      <c r="H40" s="14" t="n">
        <v>108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GUIVARTO AGRICOLA, S.L.</t>
        </is>
      </c>
      <c r="C41" s="31" t="inlineStr">
        <is>
          <t>A-50(2)0005</t>
        </is>
      </c>
      <c r="D41" s="30" t="inlineStr">
        <is>
          <t>CODIORGAN A-50, 5 KG</t>
        </is>
      </c>
      <c r="E41" s="18" t="n">
        <v>100</v>
      </c>
      <c r="F41" s="18" t="n">
        <v>100</v>
      </c>
      <c r="G41" s="18" t="n">
        <v>100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AGXK0020</t>
        </is>
      </c>
      <c r="D42" s="27" t="inlineStr">
        <is>
          <t>AGROXILATO-K, 20 L</t>
        </is>
      </c>
      <c r="E42" s="14" t="n">
        <v>1240</v>
      </c>
      <c r="F42" s="14" t="n">
        <v>2560</v>
      </c>
      <c r="G42" s="14" t="n">
        <v>2560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Superado</t>
        </is>
      </c>
    </row>
    <row r="43">
      <c r="B43" s="30" t="inlineStr">
        <is>
          <t>GUIVARTO AGRICOLA, S.L.</t>
        </is>
      </c>
      <c r="C43" s="31" t="inlineStr">
        <is>
          <t>AGZNP0005</t>
        </is>
      </c>
      <c r="D43" s="30" t="inlineStr">
        <is>
          <t>AGROXILATO-ZN PLUS, 5 KG</t>
        </is>
      </c>
      <c r="E43" s="18" t="n">
        <v>50</v>
      </c>
      <c r="F43" s="18" t="n">
        <v>0</v>
      </c>
      <c r="G43" s="18" t="n">
        <v>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6" t="inlineStr">
        <is>
          <t>Sin Pedido</t>
        </is>
      </c>
    </row>
    <row r="44">
      <c r="B44" s="27" t="inlineStr">
        <is>
          <t>GUIVARTO AGRICOLA, S.L.</t>
        </is>
      </c>
      <c r="C44" s="28" t="inlineStr">
        <is>
          <t>AQUOM0005</t>
        </is>
      </c>
      <c r="D44" s="27" t="inlineStr">
        <is>
          <t>AQUOM, 5 L</t>
        </is>
      </c>
      <c r="E44" s="14" t="n">
        <v>200</v>
      </c>
      <c r="F44" s="14" t="n">
        <v>0</v>
      </c>
      <c r="G44" s="14" t="n">
        <v>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Sin Pedido</t>
        </is>
      </c>
    </row>
    <row r="45">
      <c r="B45" s="30" t="inlineStr">
        <is>
          <t>GUIVARTO AGRICOLA, S.L.</t>
        </is>
      </c>
      <c r="C45" s="31" t="inlineStr">
        <is>
          <t>AVAN0005</t>
        </is>
      </c>
      <c r="D45" s="30" t="inlineStr">
        <is>
          <t>FLORAMEC AVANCE, 5 L</t>
        </is>
      </c>
      <c r="E45" s="18" t="n">
        <v>0</v>
      </c>
      <c r="F45" s="18" t="n">
        <v>600</v>
      </c>
      <c r="G45" s="18" t="n">
        <v>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GUIVARTO AGRICOLA, S.L.</t>
        </is>
      </c>
      <c r="C46" s="28" t="inlineStr">
        <is>
          <t>AVAN0020</t>
        </is>
      </c>
      <c r="D46" s="27" t="inlineStr">
        <is>
          <t>FLORAMEC AVANCE, 20 L</t>
        </is>
      </c>
      <c r="E46" s="14" t="n">
        <v>640</v>
      </c>
      <c r="F46" s="14" t="n">
        <v>640</v>
      </c>
      <c r="G46" s="14" t="n">
        <v>640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GUIVARTO AGRICOLA, S.L.</t>
        </is>
      </c>
      <c r="C47" s="31" t="inlineStr">
        <is>
          <t>BEY0005</t>
        </is>
      </c>
      <c r="D47" s="30" t="inlineStr">
        <is>
          <t>FLORAMEC PLUS, 5 L</t>
        </is>
      </c>
      <c r="E47" s="18" t="n">
        <v>0</v>
      </c>
      <c r="F47" s="18" t="n">
        <v>100</v>
      </c>
      <c r="G47" s="18" t="n">
        <v>100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GUIVARTO AGRICOLA, S.L.</t>
        </is>
      </c>
      <c r="C48" s="28" t="inlineStr">
        <is>
          <t>BEY0020</t>
        </is>
      </c>
      <c r="D48" s="27" t="inlineStr">
        <is>
          <t>FLORAMEC PLUS 20 L</t>
        </is>
      </c>
      <c r="E48" s="14" t="n">
        <v>80</v>
      </c>
      <c r="F48" s="14" t="n">
        <v>120</v>
      </c>
      <c r="G48" s="14" t="n">
        <v>120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GUIVARTO AGRICOLA, S.L.</t>
        </is>
      </c>
      <c r="C49" s="31" t="inlineStr">
        <is>
          <t>BROTA0005</t>
        </is>
      </c>
      <c r="D49" s="30" t="inlineStr">
        <is>
          <t>BROTAMEC, 5 L</t>
        </is>
      </c>
      <c r="E49" s="18" t="n">
        <v>600</v>
      </c>
      <c r="F49" s="18" t="n">
        <v>600</v>
      </c>
      <c r="G49" s="18" t="n">
        <v>600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Superado</t>
        </is>
      </c>
    </row>
    <row r="50">
      <c r="B50" s="27" t="inlineStr">
        <is>
          <t>GUIVARTO AGRICOLA, S.L.</t>
        </is>
      </c>
      <c r="C50" s="28" t="inlineStr">
        <is>
          <t>C-M-P0001</t>
        </is>
      </c>
      <c r="D50" s="27" t="inlineStr">
        <is>
          <t>CODIFOL Mo-PLUS, 1 L</t>
        </is>
      </c>
      <c r="E50" s="14" t="n">
        <v>36</v>
      </c>
      <c r="F50" s="14" t="n">
        <v>0</v>
      </c>
      <c r="G50" s="14" t="n">
        <v>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33" t="inlineStr">
        <is>
          <t>Sin Pedido</t>
        </is>
      </c>
    </row>
    <row r="51">
      <c r="B51" s="30" t="inlineStr">
        <is>
          <t>GUIVARTO AGRICOLA, S.L.</t>
        </is>
      </c>
      <c r="C51" s="31" t="inlineStr">
        <is>
          <t>FTK0005</t>
        </is>
      </c>
      <c r="D51" s="30" t="inlineStr">
        <is>
          <t>FITOKONTROL CA FLOW, 5 KG</t>
        </is>
      </c>
      <c r="E51" s="18" t="n">
        <v>800</v>
      </c>
      <c r="F51" s="18" t="n">
        <v>0</v>
      </c>
      <c r="G51" s="18" t="n">
        <v>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6" t="inlineStr">
        <is>
          <t>Sin Pedido</t>
        </is>
      </c>
    </row>
    <row r="52">
      <c r="B52" s="27" t="inlineStr">
        <is>
          <t>GUIVARTO AGRICOLA, S.L.</t>
        </is>
      </c>
      <c r="C52" s="28" t="inlineStr">
        <is>
          <t>TRI0001</t>
        </is>
      </c>
      <c r="D52" s="27" t="inlineStr">
        <is>
          <t>TRIFENO-94, 1 L</t>
        </is>
      </c>
      <c r="E52" s="14" t="n">
        <v>0</v>
      </c>
      <c r="F52" s="14" t="n">
        <v>60</v>
      </c>
      <c r="G52" s="14" t="n">
        <v>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GUIVARTO AGRICOLA, S.L.</t>
        </is>
      </c>
      <c r="C53" s="31" t="inlineStr">
        <is>
          <t>TRI0005</t>
        </is>
      </c>
      <c r="D53" s="30" t="inlineStr">
        <is>
          <t>TRIFENO-94, 5L</t>
        </is>
      </c>
      <c r="E53" s="18" t="n">
        <v>0</v>
      </c>
      <c r="F53" s="18" t="n">
        <v>600</v>
      </c>
      <c r="G53" s="18" t="n">
        <v>600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Extra Estimación</t>
        </is>
      </c>
    </row>
    <row r="54">
      <c r="B54" s="27" t="inlineStr">
        <is>
          <t>SUCA, S.C.A.</t>
        </is>
      </c>
      <c r="C54" s="28" t="inlineStr">
        <is>
          <t>AGXK0020</t>
        </is>
      </c>
      <c r="D54" s="27" t="inlineStr">
        <is>
          <t>AGROXILATO-K, 20 L</t>
        </is>
      </c>
      <c r="E54" s="14" t="n">
        <v>0</v>
      </c>
      <c r="F54" s="14" t="n">
        <v>640</v>
      </c>
      <c r="G54" s="14" t="n">
        <v>640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 ht="24" customHeight="1">
      <c r="B55" s="20" t="inlineStr">
        <is>
          <t>TOTAL IRENE</t>
        </is>
      </c>
      <c r="C55" s="34" t="inlineStr">
        <is>
          <t>89 líneas</t>
        </is>
      </c>
      <c r="D55" s="35" t="inlineStr"/>
      <c r="E55" s="22">
        <f>SUM(E10:E54)</f>
        <v/>
      </c>
      <c r="F55" s="22">
        <f>SUM(F10:F54)</f>
        <v/>
      </c>
      <c r="G55" s="22">
        <f>SUM(G10:G54)</f>
        <v/>
      </c>
      <c r="H55" s="22">
        <f>SUM(H10:H54)</f>
        <v/>
      </c>
      <c r="I55" s="22">
        <f>SUM(I10:I54)</f>
        <v/>
      </c>
      <c r="J55" s="22">
        <f>SUM(J10:J54)</f>
        <v/>
      </c>
      <c r="K55" s="23">
        <f>IF(E55&gt;0, F55/E55, 0)</f>
        <v/>
      </c>
      <c r="L55" s="21">
        <f>IF(K55&gt;=1,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14,822 u</t>
        </is>
      </c>
      <c r="E6" s="4" t="n"/>
      <c r="F6" s="41" t="inlineStr">
        <is>
          <t>86.7%</t>
        </is>
      </c>
      <c r="G6" s="4" t="n"/>
      <c r="H6" s="41" t="inlineStr">
        <is>
          <t>2,278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0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6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1000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FITOSANITARIOS DRAGO S.L.U</t>
        </is>
      </c>
      <c r="C31" s="31" t="inlineStr">
        <is>
          <t>AGZNP0005</t>
        </is>
      </c>
      <c r="D31" s="30" t="inlineStr">
        <is>
          <t>AGROXILATO ZN PLUS, 5 KG</t>
        </is>
      </c>
      <c r="E31" s="18" t="n">
        <v>0</v>
      </c>
      <c r="F31" s="18" t="n">
        <v>50</v>
      </c>
      <c r="G31" s="18" t="n">
        <v>50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FITOSANITARIOS DRAGO S.L.U</t>
        </is>
      </c>
      <c r="C32" s="28" t="inlineStr">
        <is>
          <t>B0001</t>
        </is>
      </c>
      <c r="D32" s="27" t="inlineStr">
        <is>
          <t>BOROCAL,1 L</t>
        </is>
      </c>
      <c r="E32" s="14" t="n">
        <v>0</v>
      </c>
      <c r="F32" s="14" t="n">
        <v>12</v>
      </c>
      <c r="G32" s="14" t="n">
        <v>12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FITOSANITARIOS DRAGO S.L.U</t>
        </is>
      </c>
      <c r="C33" s="31" t="inlineStr">
        <is>
          <t>C-CU0005</t>
        </is>
      </c>
      <c r="D33" s="30" t="inlineStr">
        <is>
          <t>CODICOBRE, 5 L</t>
        </is>
      </c>
      <c r="E33" s="18" t="n">
        <v>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FITOSANITARIOS DRAGO S.L.U</t>
        </is>
      </c>
      <c r="C34" s="28" t="inlineStr">
        <is>
          <t>S1000</t>
        </is>
      </c>
      <c r="D34" s="27" t="inlineStr">
        <is>
          <t>SAL-WAX STAR, 1000 L</t>
        </is>
      </c>
      <c r="E34" s="14" t="n">
        <v>0</v>
      </c>
      <c r="F34" s="14" t="n">
        <v>1000</v>
      </c>
      <c r="G34" s="14" t="n">
        <v>1000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FITOXENT S.C.L.V.</t>
        </is>
      </c>
      <c r="C35" s="31" t="inlineStr">
        <is>
          <t>FTK0005</t>
        </is>
      </c>
      <c r="D35" s="30" t="inlineStr">
        <is>
          <t>FITOKONTROL CA FLOW, 5 KG</t>
        </is>
      </c>
      <c r="E35" s="18" t="n">
        <v>4400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6" t="inlineStr">
        <is>
          <t>Sin Pedido</t>
        </is>
      </c>
    </row>
    <row r="36">
      <c r="B36" s="27" t="inlineStr">
        <is>
          <t>FITOXENT S.C.L.V.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2560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Sin Pedido</t>
        </is>
      </c>
    </row>
    <row r="37" ht="24" customHeight="1">
      <c r="B37" s="20" t="inlineStr">
        <is>
          <t>TOTAL JAVIER</t>
        </is>
      </c>
      <c r="C37" s="34" t="inlineStr">
        <is>
          <t>180 líneas</t>
        </is>
      </c>
      <c r="D37" s="35" t="inlineStr"/>
      <c r="E37" s="22">
        <f>SUM(E10:E36)</f>
        <v/>
      </c>
      <c r="F37" s="22">
        <f>SUM(F10:F36)</f>
        <v/>
      </c>
      <c r="G37" s="22">
        <f>SUM(G10:G36)</f>
        <v/>
      </c>
      <c r="H37" s="22">
        <f>SUM(H10:H36)</f>
        <v/>
      </c>
      <c r="I37" s="22">
        <f>SUM(I10:I36)</f>
        <v/>
      </c>
      <c r="J37" s="22">
        <f>SUM(J10:J36)</f>
        <v/>
      </c>
      <c r="K37" s="23">
        <f>IF(E37&gt;0, F37/E37, 0)</f>
        <v/>
      </c>
      <c r="L37" s="21">
        <f>IF(K37&gt;=1,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0 u</t>
        </is>
      </c>
      <c r="E6" s="4" t="n"/>
      <c r="F6" s="41" t="inlineStr">
        <is>
          <t>0.0%</t>
        </is>
      </c>
      <c r="G6" s="4" t="n"/>
      <c r="H6" s="41" t="inlineStr">
        <is>
          <t>39,460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Sin Pedido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6" t="inlineStr">
        <is>
          <t>Sin Pedido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6" t="inlineStr">
        <is>
          <t>Sin Pedido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Sin Pedido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6" t="inlineStr">
        <is>
          <t>Sin Pedido</t>
        </is>
      </c>
    </row>
    <row r="16" ht="24" customHeight="1">
      <c r="B16" s="20" t="inlineStr">
        <is>
          <t>TOTAL MEHMET</t>
        </is>
      </c>
      <c r="C16" s="34" t="inlineStr">
        <is>
          <t>61 líneas</t>
        </is>
      </c>
      <c r="D16" s="35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17,500 u</t>
        </is>
      </c>
      <c r="E6" s="4" t="n"/>
      <c r="F6" s="25" t="inlineStr">
        <is>
          <t>100.9%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6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9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6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6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8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C-M-P0005</t>
        </is>
      </c>
      <c r="D27" s="30" t="inlineStr">
        <is>
          <t>CODIFOL MO-PLUS, 5 L</t>
        </is>
      </c>
      <c r="E27" s="18" t="n">
        <v>0</v>
      </c>
      <c r="F27" s="18" t="n">
        <v>100</v>
      </c>
      <c r="G27" s="18" t="n">
        <v>100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 ht="24" customHeight="1">
      <c r="B28" s="20" t="inlineStr">
        <is>
          <t>TOTAL PEDRO</t>
        </is>
      </c>
      <c r="C28" s="34" t="inlineStr">
        <is>
          <t>104 líneas</t>
        </is>
      </c>
      <c r="D28" s="35" t="inlineStr"/>
      <c r="E28" s="22">
        <f>SUM(E10:E27)</f>
        <v/>
      </c>
      <c r="F28" s="22">
        <f>SUM(F10:F27)</f>
        <v/>
      </c>
      <c r="G28" s="22">
        <f>SUM(G10:G27)</f>
        <v/>
      </c>
      <c r="H28" s="22">
        <f>SUM(H10:H27)</f>
        <v/>
      </c>
      <c r="I28" s="22">
        <f>SUM(I10:I27)</f>
        <v/>
      </c>
      <c r="J28" s="22">
        <f>SUM(J10:J27)</f>
        <v/>
      </c>
      <c r="K28" s="23">
        <f>IF(E28&gt;0, F28/E28, 0)</f>
        <v/>
      </c>
      <c r="L28" s="21">
        <f>IF(K28&gt;=1,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27/10/2026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109,376 u</t>
        </is>
      </c>
      <c r="E6" s="4" t="n"/>
      <c r="F6" s="25" t="inlineStr">
        <is>
          <t>237.8%</t>
        </is>
      </c>
      <c r="G6" s="4" t="n"/>
      <c r="H6" s="25" t="inlineStr">
        <is>
          <t>0 u</t>
        </is>
      </c>
      <c r="I6" s="4" t="n"/>
      <c r="J6" s="24" t="inlineStr">
        <is>
          <t>109,376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ECUAQUIMICA</t>
        </is>
      </c>
      <c r="C10" s="28" t="inlineStr">
        <is>
          <t>AN0005</t>
        </is>
      </c>
      <c r="D10" s="27" t="inlineStr">
        <is>
          <t>ALCAPLANT NEW</t>
        </is>
      </c>
      <c r="E10" s="14" t="n">
        <v>0</v>
      </c>
      <c r="F10" s="14" t="n">
        <v>2200</v>
      </c>
      <c r="G10" s="14" t="n">
        <v>0</v>
      </c>
      <c r="H10" s="14" t="n">
        <v>2200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ECUAQUIMICA</t>
        </is>
      </c>
      <c r="C11" s="31" t="inlineStr">
        <is>
          <t>AN0020</t>
        </is>
      </c>
      <c r="D11" s="30" t="inlineStr">
        <is>
          <t>ALCAPLANT NEW</t>
        </is>
      </c>
      <c r="E11" s="18" t="n">
        <v>0</v>
      </c>
      <c r="F11" s="18" t="n">
        <v>4400</v>
      </c>
      <c r="G11" s="18" t="n">
        <v>0</v>
      </c>
      <c r="H11" s="18" t="n">
        <v>4400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EUROFERTIL, S.A.</t>
        </is>
      </c>
      <c r="C12" s="28" t="inlineStr">
        <is>
          <t>F-A1000</t>
        </is>
      </c>
      <c r="D12" s="27" t="inlineStr">
        <is>
          <t>FITOLIN AGRO</t>
        </is>
      </c>
      <c r="E12" s="14" t="n">
        <v>2000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Sin Pedido</t>
        </is>
      </c>
    </row>
    <row r="13">
      <c r="B13" s="30" t="inlineStr">
        <is>
          <t xml:space="preserve">EUROFERTIL, S.A.    </t>
        </is>
      </c>
      <c r="C13" s="31" t="inlineStr">
        <is>
          <t>AGXCR1000</t>
        </is>
      </c>
      <c r="D13" s="30" t="inlineStr">
        <is>
          <t>AGROXILATO-K, 1000 L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 xml:space="preserve">EUROFERTIL, S.A.    </t>
        </is>
      </c>
      <c r="C14" s="28" t="inlineStr">
        <is>
          <t>AN0020</t>
        </is>
      </c>
      <c r="D14" s="27" t="inlineStr">
        <is>
          <t>ALCAPLANT, 20 KG</t>
        </is>
      </c>
      <c r="E14" s="14" t="n">
        <v>0</v>
      </c>
      <c r="F14" s="14" t="n">
        <v>22000</v>
      </c>
      <c r="G14" s="14" t="n">
        <v>0</v>
      </c>
      <c r="H14" s="14" t="n">
        <v>22000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B1000</t>
        </is>
      </c>
      <c r="D15" s="30" t="inlineStr">
        <is>
          <t>FORTALEZA, 1000 L</t>
        </is>
      </c>
      <c r="E15" s="18" t="n">
        <v>0</v>
      </c>
      <c r="F15" s="18" t="n">
        <v>2000</v>
      </c>
      <c r="G15" s="18" t="n">
        <v>0</v>
      </c>
      <c r="H15" s="18" t="n">
        <v>2000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C-CU1000</t>
        </is>
      </c>
      <c r="D16" s="27" t="inlineStr">
        <is>
          <t>CODICOBRE, 1000 L</t>
        </is>
      </c>
      <c r="E16" s="14" t="n">
        <v>0</v>
      </c>
      <c r="F16" s="14" t="n">
        <v>1000</v>
      </c>
      <c r="G16" s="14" t="n">
        <v>0</v>
      </c>
      <c r="H16" s="14" t="n">
        <v>1000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CODIR1000</t>
        </is>
      </c>
      <c r="D17" s="30" t="inlineStr">
        <is>
          <t>CODIRESIST, 1000 L</t>
        </is>
      </c>
      <c r="E17" s="18" t="n">
        <v>0</v>
      </c>
      <c r="F17" s="18" t="n">
        <v>1000</v>
      </c>
      <c r="G17" s="18" t="n">
        <v>0</v>
      </c>
      <c r="H17" s="18" t="n">
        <v>1000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DECA0005</t>
        </is>
      </c>
      <c r="D18" s="27" t="inlineStr">
        <is>
          <t>DEFENS-CA-AE, 5 KG</t>
        </is>
      </c>
      <c r="E18" s="14" t="n">
        <v>0</v>
      </c>
      <c r="F18" s="14" t="n">
        <v>2200</v>
      </c>
      <c r="G18" s="14" t="n">
        <v>0</v>
      </c>
      <c r="H18" s="14" t="n">
        <v>2200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FLORCR1000</t>
        </is>
      </c>
      <c r="D19" s="30" t="inlineStr">
        <is>
          <t>FLORAMEC, 1000 L</t>
        </is>
      </c>
      <c r="E19" s="18" t="n">
        <v>0</v>
      </c>
      <c r="F19" s="18" t="n">
        <v>2000</v>
      </c>
      <c r="G19" s="18" t="n">
        <v>0</v>
      </c>
      <c r="H19" s="18" t="n">
        <v>2000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G1000</t>
        </is>
      </c>
      <c r="D20" s="27" t="inlineStr">
        <is>
          <t>TRANSLOCADOR, 1000 L</t>
        </is>
      </c>
      <c r="E20" s="14" t="n">
        <v>0</v>
      </c>
      <c r="F20" s="14" t="n">
        <v>1000</v>
      </c>
      <c r="G20" s="14" t="n">
        <v>0</v>
      </c>
      <c r="H20" s="14" t="n">
        <v>1000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NB1000</t>
        </is>
      </c>
      <c r="D21" s="30" t="inlineStr">
        <is>
          <t>NITROBALANCE, 1000 L</t>
        </is>
      </c>
      <c r="E21" s="18" t="n">
        <v>0</v>
      </c>
      <c r="F21" s="18" t="n">
        <v>2000</v>
      </c>
      <c r="G21" s="18" t="n">
        <v>0</v>
      </c>
      <c r="H21" s="18" t="n">
        <v>2000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PT1000</t>
        </is>
      </c>
      <c r="D22" s="27" t="inlineStr">
        <is>
          <t>POTASION PLUS, 1000 L</t>
        </is>
      </c>
      <c r="E22" s="14" t="n">
        <v>0</v>
      </c>
      <c r="F22" s="14" t="n">
        <v>4000</v>
      </c>
      <c r="G22" s="14" t="n">
        <v>0</v>
      </c>
      <c r="H22" s="14" t="n">
        <v>4000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640</v>
      </c>
      <c r="G23" s="18" t="n">
        <v>0</v>
      </c>
      <c r="H23" s="18" t="n">
        <v>640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A-50(2)0001</t>
        </is>
      </c>
      <c r="D24" s="27" t="inlineStr">
        <is>
          <t>CODIORGAN A-50</t>
        </is>
      </c>
      <c r="E24" s="14" t="n">
        <v>0</v>
      </c>
      <c r="F24" s="14" t="n">
        <v>2448</v>
      </c>
      <c r="G24" s="14" t="n">
        <v>0</v>
      </c>
      <c r="H24" s="14" t="n">
        <v>2448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AGXK0001</t>
        </is>
      </c>
      <c r="D25" s="30" t="inlineStr">
        <is>
          <t>AGROXILATO-K</t>
        </is>
      </c>
      <c r="E25" s="18" t="n">
        <v>0</v>
      </c>
      <c r="F25" s="18" t="n">
        <v>1788</v>
      </c>
      <c r="G25" s="18" t="n">
        <v>0</v>
      </c>
      <c r="H25" s="18" t="n">
        <v>1788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AN0005</t>
        </is>
      </c>
      <c r="D26" s="27" t="inlineStr">
        <is>
          <t>ALCAPLANT NEW</t>
        </is>
      </c>
      <c r="E26" s="14" t="n">
        <v>0</v>
      </c>
      <c r="F26" s="14" t="n">
        <v>1800</v>
      </c>
      <c r="G26" s="14" t="n">
        <v>0</v>
      </c>
      <c r="H26" s="14" t="n">
        <v>1800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B0001</t>
        </is>
      </c>
      <c r="D27" s="30" t="inlineStr">
        <is>
          <t>BOROCAL</t>
        </is>
      </c>
      <c r="E27" s="18" t="n">
        <v>0</v>
      </c>
      <c r="F27" s="18" t="n">
        <v>2808</v>
      </c>
      <c r="G27" s="18" t="n">
        <v>0</v>
      </c>
      <c r="H27" s="18" t="n">
        <v>2808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BEY0001</t>
        </is>
      </c>
      <c r="D28" s="27" t="inlineStr">
        <is>
          <t>BERRY-FLOR, 1 L</t>
        </is>
      </c>
      <c r="E28" s="14" t="n">
        <v>0</v>
      </c>
      <c r="F28" s="14" t="n">
        <v>36</v>
      </c>
      <c r="G28" s="14" t="n">
        <v>0</v>
      </c>
      <c r="H28" s="14" t="n">
        <v>36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BIO0001</t>
        </is>
      </c>
      <c r="D29" s="30" t="inlineStr">
        <is>
          <t>BIORAD-20</t>
        </is>
      </c>
      <c r="E29" s="18" t="n">
        <v>0</v>
      </c>
      <c r="F29" s="18" t="n">
        <v>2892</v>
      </c>
      <c r="G29" s="18" t="n">
        <v>0</v>
      </c>
      <c r="H29" s="18" t="n">
        <v>2892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BIO0005</t>
        </is>
      </c>
      <c r="D30" s="27" t="inlineStr">
        <is>
          <t>BIORAD-20</t>
        </is>
      </c>
      <c r="E30" s="14" t="n">
        <v>0</v>
      </c>
      <c r="F30" s="14" t="n">
        <v>3900</v>
      </c>
      <c r="G30" s="14" t="n">
        <v>0</v>
      </c>
      <c r="H30" s="14" t="n">
        <v>3900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BIO0020</t>
        </is>
      </c>
      <c r="D31" s="30" t="inlineStr">
        <is>
          <t>BIORAD-20</t>
        </is>
      </c>
      <c r="E31" s="18" t="n">
        <v>0</v>
      </c>
      <c r="F31" s="18" t="n">
        <v>6400</v>
      </c>
      <c r="G31" s="18" t="n">
        <v>0</v>
      </c>
      <c r="H31" s="18" t="n">
        <v>6400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JUAN JIMENEZ, SRL</t>
        </is>
      </c>
      <c r="C32" s="28" t="inlineStr">
        <is>
          <t>BR-590005</t>
        </is>
      </c>
      <c r="D32" s="27" t="inlineStr">
        <is>
          <t>BR-59, 5 KG</t>
        </is>
      </c>
      <c r="E32" s="14" t="n">
        <v>0</v>
      </c>
      <c r="F32" s="14" t="n">
        <v>480</v>
      </c>
      <c r="G32" s="14" t="n">
        <v>0</v>
      </c>
      <c r="H32" s="14" t="n">
        <v>480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JUAN JIMENEZ, SRL</t>
        </is>
      </c>
      <c r="C33" s="31" t="inlineStr">
        <is>
          <t>C-CU0001</t>
        </is>
      </c>
      <c r="D33" s="30" t="inlineStr">
        <is>
          <t>CODICOBRE</t>
        </is>
      </c>
      <c r="E33" s="18" t="n">
        <v>0</v>
      </c>
      <c r="F33" s="18" t="n">
        <v>1200</v>
      </c>
      <c r="G33" s="18" t="n">
        <v>0</v>
      </c>
      <c r="H33" s="18" t="n">
        <v>1200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JUAN JIMENEZ, SRL</t>
        </is>
      </c>
      <c r="C34" s="28" t="inlineStr">
        <is>
          <t>C-L0001</t>
        </is>
      </c>
      <c r="D34" s="27" t="inlineStr">
        <is>
          <t>CODIBOR-L, 1 L</t>
        </is>
      </c>
      <c r="E34" s="14" t="n">
        <v>0</v>
      </c>
      <c r="F34" s="14" t="n">
        <v>84</v>
      </c>
      <c r="G34" s="14" t="n">
        <v>0</v>
      </c>
      <c r="H34" s="14" t="n">
        <v>84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JUAN JIMENEZ, SRL</t>
        </is>
      </c>
      <c r="C35" s="31" t="inlineStr">
        <is>
          <t>F-A0001</t>
        </is>
      </c>
      <c r="D35" s="30" t="inlineStr">
        <is>
          <t>FITOLIN-AGRO</t>
        </is>
      </c>
      <c r="E35" s="18" t="n">
        <v>0</v>
      </c>
      <c r="F35" s="18" t="n">
        <v>984</v>
      </c>
      <c r="G35" s="18" t="n">
        <v>0</v>
      </c>
      <c r="H35" s="18" t="n">
        <v>984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JUAN JIMENEZ, SRL</t>
        </is>
      </c>
      <c r="C36" s="28" t="inlineStr">
        <is>
          <t>F-A0005</t>
        </is>
      </c>
      <c r="D36" s="27" t="inlineStr">
        <is>
          <t>FITOLIN-AGRO</t>
        </is>
      </c>
      <c r="E36" s="14" t="n">
        <v>0</v>
      </c>
      <c r="F36" s="14" t="n">
        <v>2040</v>
      </c>
      <c r="G36" s="14" t="n">
        <v>0</v>
      </c>
      <c r="H36" s="14" t="n">
        <v>2040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JUAN JIMENEZ, SRL</t>
        </is>
      </c>
      <c r="C37" s="31" t="inlineStr">
        <is>
          <t>FLOR0001</t>
        </is>
      </c>
      <c r="D37" s="30" t="inlineStr">
        <is>
          <t>FLORAMEC</t>
        </is>
      </c>
      <c r="E37" s="18" t="n">
        <v>0</v>
      </c>
      <c r="F37" s="18" t="n">
        <v>648</v>
      </c>
      <c r="G37" s="18" t="n">
        <v>0</v>
      </c>
      <c r="H37" s="18" t="n">
        <v>648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JUAN JIMENEZ, SRL</t>
        </is>
      </c>
      <c r="C38" s="28" t="inlineStr">
        <is>
          <t>LP0001</t>
        </is>
      </c>
      <c r="D38" s="27" t="inlineStr">
        <is>
          <t>LAVAPLANT GRANEL</t>
        </is>
      </c>
      <c r="E38" s="14" t="n">
        <v>0</v>
      </c>
      <c r="F38" s="14" t="n">
        <v>1092</v>
      </c>
      <c r="G38" s="14" t="n">
        <v>0</v>
      </c>
      <c r="H38" s="14" t="n">
        <v>1092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JUAN JIMENEZ, SRL</t>
        </is>
      </c>
      <c r="C39" s="31" t="inlineStr">
        <is>
          <t>LP0005</t>
        </is>
      </c>
      <c r="D39" s="30" t="inlineStr">
        <is>
          <t>LAVAPLANT, 5 L</t>
        </is>
      </c>
      <c r="E39" s="18" t="n">
        <v>0</v>
      </c>
      <c r="F39" s="18" t="n">
        <v>1160</v>
      </c>
      <c r="G39" s="18" t="n">
        <v>0</v>
      </c>
      <c r="H39" s="18" t="n">
        <v>1160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JUAN JIMENEZ, SRL</t>
        </is>
      </c>
      <c r="C40" s="28" t="inlineStr">
        <is>
          <t>PT0001</t>
        </is>
      </c>
      <c r="D40" s="27" t="inlineStr">
        <is>
          <t>AGROPOTASION</t>
        </is>
      </c>
      <c r="E40" s="14" t="n">
        <v>0</v>
      </c>
      <c r="F40" s="14" t="n">
        <v>2520</v>
      </c>
      <c r="G40" s="14" t="n">
        <v>0</v>
      </c>
      <c r="H40" s="14" t="n">
        <v>2520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JUAN JIMENEZ, SRL</t>
        </is>
      </c>
      <c r="C41" s="31" t="inlineStr">
        <is>
          <t>PT0005</t>
        </is>
      </c>
      <c r="D41" s="30" t="inlineStr">
        <is>
          <t>AGROPOTASION, 5 L</t>
        </is>
      </c>
      <c r="E41" s="18" t="n">
        <v>0</v>
      </c>
      <c r="F41" s="18" t="n">
        <v>1260</v>
      </c>
      <c r="G41" s="18" t="n">
        <v>0</v>
      </c>
      <c r="H41" s="18" t="n">
        <v>1260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JUAN JIMENEZ, SRL</t>
        </is>
      </c>
      <c r="C42" s="28" t="inlineStr">
        <is>
          <t>RUN0001</t>
        </is>
      </c>
      <c r="D42" s="27" t="inlineStr">
        <is>
          <t>RUN STRESS</t>
        </is>
      </c>
      <c r="E42" s="14" t="n">
        <v>0</v>
      </c>
      <c r="F42" s="14" t="n">
        <v>204</v>
      </c>
      <c r="G42" s="14" t="n">
        <v>0</v>
      </c>
      <c r="H42" s="14" t="n">
        <v>204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JUAN JIMENEZ, SRL</t>
        </is>
      </c>
      <c r="C43" s="31" t="inlineStr">
        <is>
          <t>SPCE2B0001</t>
        </is>
      </c>
      <c r="D43" s="30" t="inlineStr">
        <is>
          <t>SPRINTENE</t>
        </is>
      </c>
      <c r="E43" s="18" t="n">
        <v>0</v>
      </c>
      <c r="F43" s="18" t="n">
        <v>300</v>
      </c>
      <c r="G43" s="18" t="n">
        <v>0</v>
      </c>
      <c r="H43" s="18" t="n">
        <v>300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JUAN JIMENEZ, SRL</t>
        </is>
      </c>
      <c r="C44" s="28" t="inlineStr">
        <is>
          <t>SS0001</t>
        </is>
      </c>
      <c r="D44" s="27" t="inlineStr">
        <is>
          <t>SAL-WAX</t>
        </is>
      </c>
      <c r="E44" s="14" t="n">
        <v>0</v>
      </c>
      <c r="F44" s="14" t="n">
        <v>1088</v>
      </c>
      <c r="G44" s="14" t="n">
        <v>0</v>
      </c>
      <c r="H44" s="14" t="n">
        <v>1088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JUAN JIMENEZ, SRL</t>
        </is>
      </c>
      <c r="C45" s="31" t="inlineStr">
        <is>
          <t>START20001</t>
        </is>
      </c>
      <c r="D45" s="30" t="inlineStr">
        <is>
          <t>RADISOL</t>
        </is>
      </c>
      <c r="E45" s="18" t="n">
        <v>0</v>
      </c>
      <c r="F45" s="18" t="n">
        <v>2904</v>
      </c>
      <c r="G45" s="18" t="n">
        <v>0</v>
      </c>
      <c r="H45" s="18" t="n">
        <v>2904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LEKKERBIO B.V.</t>
        </is>
      </c>
      <c r="C46" s="28" t="inlineStr">
        <is>
          <t>AO0020</t>
        </is>
      </c>
      <c r="D46" s="27" t="inlineStr">
        <is>
          <t>ALCAPLANT NEW</t>
        </is>
      </c>
      <c r="E46" s="14" t="n">
        <v>44000</v>
      </c>
      <c r="F46" s="14" t="n">
        <v>19800</v>
      </c>
      <c r="G46" s="14" t="n">
        <v>0</v>
      </c>
      <c r="H46" s="14" t="n">
        <v>19800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40" t="inlineStr">
        <is>
          <t>Rezagado</t>
        </is>
      </c>
    </row>
    <row r="47">
      <c r="B47" s="30" t="inlineStr">
        <is>
          <t>LEKKERBIO B.V.</t>
        </is>
      </c>
      <c r="C47" s="31" t="inlineStr">
        <is>
          <t>CAG</t>
        </is>
      </c>
      <c r="D47" s="30" t="inlineStr">
        <is>
          <t xml:space="preserve">CAJA "CODIAGRO NUEVA CALIDAD"  5L       </t>
        </is>
      </c>
      <c r="E47" s="18" t="n">
        <v>0</v>
      </c>
      <c r="F47" s="18" t="n">
        <v>60</v>
      </c>
      <c r="G47" s="18" t="n">
        <v>0</v>
      </c>
      <c r="H47" s="18" t="n">
        <v>60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LEKKERBIO B.V.</t>
        </is>
      </c>
      <c r="C48" s="28" t="inlineStr">
        <is>
          <t>CWH</t>
        </is>
      </c>
      <c r="D48" s="27" t="inlineStr">
        <is>
          <t>CAJA AGROWHITE</t>
        </is>
      </c>
      <c r="E48" s="14" t="n">
        <v>0</v>
      </c>
      <c r="F48" s="14" t="n">
        <v>40</v>
      </c>
      <c r="G48" s="14" t="n">
        <v>0</v>
      </c>
      <c r="H48" s="14" t="n">
        <v>40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LEKKERBIO B.V.</t>
        </is>
      </c>
      <c r="C49" s="31" t="inlineStr">
        <is>
          <t>DECA0020</t>
        </is>
      </c>
      <c r="D49" s="30" t="inlineStr">
        <is>
          <t>DEFENS-CA-AE, 20 KG</t>
        </is>
      </c>
      <c r="E49" s="18" t="n">
        <v>0</v>
      </c>
      <c r="F49" s="18" t="n">
        <v>3000</v>
      </c>
      <c r="G49" s="18" t="n">
        <v>0</v>
      </c>
      <c r="H49" s="18" t="n">
        <v>3000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 ht="24" customHeight="1">
      <c r="B50" s="20" t="inlineStr">
        <is>
          <t>TOTAL RICARDO</t>
        </is>
      </c>
      <c r="C50" s="34" t="inlineStr">
        <is>
          <t>130 líneas</t>
        </is>
      </c>
      <c r="D50" s="35" t="inlineStr"/>
      <c r="E50" s="22">
        <f>SUM(E10:E49)</f>
        <v/>
      </c>
      <c r="F50" s="22">
        <f>SUM(F10:F49)</f>
        <v/>
      </c>
      <c r="G50" s="22">
        <f>SUM(G10:G49)</f>
        <v/>
      </c>
      <c r="H50" s="22">
        <f>SUM(H10:H49)</f>
        <v/>
      </c>
      <c r="I50" s="22">
        <f>SUM(I10:I49)</f>
        <v/>
      </c>
      <c r="J50" s="22">
        <f>SUM(J10:J49)</f>
        <v/>
      </c>
      <c r="K50" s="23">
        <f>IF(E50&gt;0, F50/E50, 0)</f>
        <v/>
      </c>
      <c r="L50" s="21">
        <f>IF(K50&gt;=1,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2026-10-27T06:39:57Z</dcterms:created>
  <dcterms:modified xmlns:dcterms="http://purl.org/dc/terms/" xmlns:xsi="http://www.w3.org/2001/XMLSchema-instance" xsi:type="dcterms:W3CDTF">2026-10-27T06:40:00Z</dcterms:modified>
</cp:coreProperties>
</file>