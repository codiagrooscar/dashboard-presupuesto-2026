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24" documentId="8_{7B61CFC0-E0CE-4A52-9ACF-8AE540B08367}" xr6:coauthVersionLast="47" xr6:coauthVersionMax="47" xr10:uidLastSave="{0A39FDDF-2B28-45D1-979E-4BDD5F17992C}"/>
  <bookViews>
    <workbookView xWindow="-25710" yWindow="-110" windowWidth="25820" windowHeight="13900" xr2:uid="{98158736-BF56-4FFC-90E7-0D5AFB7C782B}"/>
  </bookViews>
  <sheets>
    <sheet name="LineasPedidoCliente" sheetId="1" r:id="rId1"/>
  </sheets>
  <definedNames>
    <definedName name="DatosExternos_1" localSheetId="0" hidden="1">LineasPedidoCliente!$A$1:$P$139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39" i="1" l="1"/>
  <c r="N139" i="1"/>
  <c r="N134" i="1"/>
  <c r="N135" i="1"/>
  <c r="N136" i="1"/>
  <c r="N137" i="1"/>
  <c r="N138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10" i="1"/>
  <c r="N111" i="1"/>
  <c r="N112" i="1"/>
  <c r="N109" i="1"/>
  <c r="N105" i="1"/>
  <c r="N106" i="1"/>
  <c r="N107" i="1"/>
  <c r="N108" i="1"/>
  <c r="N104" i="1"/>
  <c r="N103" i="1"/>
  <c r="O103" i="1" s="1"/>
  <c r="N101" i="1"/>
  <c r="N102" i="1"/>
  <c r="N100" i="1"/>
  <c r="O100" i="1" s="1"/>
  <c r="N97" i="1"/>
  <c r="N98" i="1"/>
  <c r="N99" i="1"/>
  <c r="N96" i="1"/>
  <c r="N95" i="1"/>
  <c r="N94" i="1"/>
  <c r="N9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3C5701-4270-4E01-927D-3C75BC21F8BA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<sst xmlns="http://schemas.openxmlformats.org/spreadsheetml/2006/main" count="644" uniqueCount="229">
  <si>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</si>
  <si>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</si>
  <si>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</si>
  <si>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</si>
  <si>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</si>
  <si>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</si>
  <si>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</si>
  <si>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</si>
  <si>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</si>
  <si>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</si>
  <si>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</si>
  <si>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</si>
  <si>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</si>
  <si>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</si>
  <si>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</si>
  <si>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</si>
  <si>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</si>
  <si>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</si>
  <si>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</si>
  <si>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</si>
  <si>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</si>
  <si>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</si>
  <si>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</si>
  <si>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</si>
  <si>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</si>
  <si>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</si>
  <si>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</si>
  <si>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</si>
  <si>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</si>
  <si>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</si>
  <si>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</si>
  <si>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</si>
  <si>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</si>
  <si>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</si>
  <si>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</si>
  <si>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</si>
  <si>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</si>
  <si>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</si>
  <si>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</si>
  <si>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</si>
  <si>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</si>
  <si>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</si>
  <si>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</si>
  <si>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</si>
  <si>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</si>
  <si>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</si>
  <si>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</si>
  <si>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</si>
  <si>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</si>
  <si>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</si>
  <si>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</si>
  <si>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</si>
  <si>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</si>
  <si>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</si>
  <si>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</si>
  <si>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</si>
  <si>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</si>
  <si>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</si>
  <si>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</si>
  <si>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</si>
  <si>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</si>
  <si>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</si>
  <si>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</si>
  <si>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</si>
  <si>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</si>
  <si>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</si>
  <si>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</si>
  <si>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</si>
  <si>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</si>
  <si>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</si>
  <si>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</si>
  <si>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</si>
  <si>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</si>
  <si>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</si>
  <si>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</si>
  <si>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</si>
  <si>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</si>
  <si>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</si>
  <si>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</si>
  <si>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 xml:space="preserve">AGXK0005     </t>
  </si>
  <si>
    <t>AGROXILATO+K,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</si>
  <si>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</si>
  <si>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</si>
  <si>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</si>
  <si>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</si>
  <si>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</si>
  <si>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</si>
  <si>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</si>
  <si>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</si>
  <si>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</si>
  <si>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</si>
  <si>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</si>
  <si>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</si>
  <si>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</si>
  <si>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</si>
  <si>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</si>
  <si>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</si>
  <si>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</si>
  <si>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</si>
  <si>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</si>
  <si>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</si>
  <si>
    <t>430000384</t>
  </si>
  <si>
    <t>AGRONEW FITO, S.L.</t>
  </si>
  <si>
    <t>ANAE0020</t>
  </si>
  <si>
    <t>ALCAPLANT NEW AE, 20 KG</t>
  </si>
  <si>
    <t>AN0020</t>
  </si>
  <si>
    <t>ALCAPLANT NEW, 20 KG</t>
  </si>
  <si>
    <t>AVAN0020</t>
  </si>
  <si>
    <t>FLORAMEC AVANCE, 20 L</t>
  </si>
  <si>
    <t>B0005</t>
  </si>
  <si>
    <t>BOROCAL, 5 L</t>
  </si>
  <si>
    <t>430000003</t>
  </si>
  <si>
    <t>AGROQUIMICAS DRAGO S.L.</t>
  </si>
  <si>
    <t>PHD0005</t>
  </si>
  <si>
    <t xml:space="preserve">PH-DOWNER, 5 L   </t>
  </si>
  <si>
    <t>AGXK0005</t>
  </si>
  <si>
    <t>AGROXILATO-K, 5 L</t>
  </si>
  <si>
    <t>AGXK0200</t>
  </si>
  <si>
    <t>AGROXILATO-K, 200 L</t>
  </si>
  <si>
    <t>CALCIO0020</t>
  </si>
  <si>
    <t>CALCIAMEC, 20 KG</t>
  </si>
  <si>
    <t>430000332</t>
  </si>
  <si>
    <t>SERVIAGRI´ 97, S.L.</t>
  </si>
  <si>
    <t>BIO1000</t>
  </si>
  <si>
    <t>BIORAD-20, 1000 L</t>
  </si>
  <si>
    <t>430000295</t>
  </si>
  <si>
    <t>GUIVARTO AGRICOLA, S.L.</t>
  </si>
  <si>
    <t>BROTA0005</t>
  </si>
  <si>
    <t>BROTAMEC, 5 L</t>
  </si>
  <si>
    <t>A-50(2)0005</t>
  </si>
  <si>
    <t>CODIORGAN-A50, 5 KG</t>
  </si>
  <si>
    <t>430000205</t>
  </si>
  <si>
    <t>AGROCAMP CANET S.L.</t>
  </si>
  <si>
    <t>430000006</t>
  </si>
  <si>
    <t>FITOMURCIA S.L.</t>
  </si>
  <si>
    <t>430000105</t>
  </si>
  <si>
    <t>TRATAMIENTOS AGRICOLAS BRENES, S.L.</t>
  </si>
  <si>
    <t>430000326</t>
  </si>
  <si>
    <t>FINCA DOÑA ANA C.B.</t>
  </si>
  <si>
    <t>PT1000</t>
  </si>
  <si>
    <t>AGROPOTASION, 1000 L</t>
  </si>
  <si>
    <t>430000382</t>
  </si>
  <si>
    <t>STE BBMAGRI, SARL</t>
  </si>
  <si>
    <t xml:space="preserve">A-500020     </t>
  </si>
  <si>
    <t>CODIORGAN-A50, 20 KG</t>
  </si>
  <si>
    <t xml:space="preserve">PT0020       </t>
  </si>
  <si>
    <t xml:space="preserve">C-CU0005     </t>
  </si>
  <si>
    <t>CODICOBRE, 5 L</t>
  </si>
  <si>
    <t xml:space="preserve">PHD0020      </t>
  </si>
  <si>
    <t xml:space="preserve">PH-DOWNER, 20 L   </t>
  </si>
  <si>
    <t xml:space="preserve">SS0020       </t>
  </si>
  <si>
    <t>BR-590005</t>
  </si>
  <si>
    <t>BR-59, 5 KG</t>
  </si>
  <si>
    <t xml:space="preserve">AGXK0020     </t>
  </si>
  <si>
    <t>SSEG0005EG</t>
  </si>
  <si>
    <t>SALWAX CALCIO EGIPTO, 5 KG</t>
  </si>
  <si>
    <t>SPCE2B0001</t>
  </si>
  <si>
    <t>NEW SPRINTENE, 1 L</t>
  </si>
  <si>
    <t>430000386</t>
  </si>
  <si>
    <t>VILLALTA SATIVUM, S.L.</t>
  </si>
  <si>
    <t>PT0001</t>
  </si>
  <si>
    <t>AGROPOTASION, 1 L</t>
  </si>
  <si>
    <t>C-CUAE0020</t>
  </si>
  <si>
    <t>CUPRAMEC, 20 L</t>
  </si>
  <si>
    <t>AGXKAEP0020</t>
  </si>
  <si>
    <t>BIOCULTURE POTASIO PLUS, 20 L</t>
  </si>
  <si>
    <t>AQUOM0020</t>
  </si>
  <si>
    <t>AQUOM, 20 L</t>
  </si>
  <si>
    <t>BEY0005</t>
  </si>
  <si>
    <t>FLORAMEC PLUS, 5 L</t>
  </si>
  <si>
    <t>BEY0020</t>
  </si>
  <si>
    <t>FLORAMEC PLUS 20 L</t>
  </si>
  <si>
    <t>430000190</t>
  </si>
  <si>
    <t>SUCA, S.C.A.</t>
  </si>
  <si>
    <t>430000380</t>
  </si>
  <si>
    <t>LEKKERBIO B.V.</t>
  </si>
  <si>
    <t>AO0020</t>
  </si>
  <si>
    <t>DECA0020</t>
  </si>
  <si>
    <t>DEFENS-CA-AE, 20 KG</t>
  </si>
  <si>
    <t>CABRERA MORALES FRANCISCO</t>
  </si>
  <si>
    <t>430000015</t>
  </si>
  <si>
    <t>SS0005</t>
  </si>
  <si>
    <t>BIO0005</t>
  </si>
  <si>
    <t>ANAE0005</t>
  </si>
  <si>
    <t>SALWAX-CA, 5 KG</t>
  </si>
  <si>
    <t>BIORAD-20, 5L</t>
  </si>
  <si>
    <t>ALCAPLANT NEW AE, 5 KG</t>
  </si>
  <si>
    <t>FTK0005</t>
  </si>
  <si>
    <t>FITOKONTROL CA FLOW, 5 KG</t>
  </si>
  <si>
    <t>430000054</t>
  </si>
  <si>
    <t>JUAN JIMENEZ, SRL</t>
  </si>
  <si>
    <t xml:space="preserve">AGXK0001     </t>
  </si>
  <si>
    <t>BEY0001</t>
  </si>
  <si>
    <t>BIO0001</t>
  </si>
  <si>
    <t xml:space="preserve">B0001        </t>
  </si>
  <si>
    <t xml:space="preserve">C-L0001      </t>
  </si>
  <si>
    <t xml:space="preserve">C-CU0001     </t>
  </si>
  <si>
    <t>A-50(2)0001</t>
  </si>
  <si>
    <t xml:space="preserve">F-A0005      </t>
  </si>
  <si>
    <t xml:space="preserve">F-A0001      </t>
  </si>
  <si>
    <t xml:space="preserve">LP0005       </t>
  </si>
  <si>
    <t xml:space="preserve">LP0001       </t>
  </si>
  <si>
    <t xml:space="preserve">PT0005       </t>
  </si>
  <si>
    <t xml:space="preserve">PT0001       </t>
  </si>
  <si>
    <t>START20001</t>
  </si>
  <si>
    <t>SS0001</t>
  </si>
  <si>
    <t>FLOR0001</t>
  </si>
  <si>
    <t>AGROXILATO-K, 1 L</t>
  </si>
  <si>
    <t>BERRY-FLOR, 1 L</t>
  </si>
  <si>
    <t>BIORAD-20, 1L</t>
  </si>
  <si>
    <t>BOROCAL,1 L</t>
  </si>
  <si>
    <t>CODIBOR-L, 1 L</t>
  </si>
  <si>
    <t>CODICOBRE, 1 L</t>
  </si>
  <si>
    <t>CODIORGAN-A50, 1 KG</t>
  </si>
  <si>
    <t>FITOLIN-AGRO, 5 L</t>
  </si>
  <si>
    <t>FITOLIN-AGRO, 1 L</t>
  </si>
  <si>
    <t>LAVAPLANT, 5 L</t>
  </si>
  <si>
    <t>LAVAPLANT, 1 L</t>
  </si>
  <si>
    <t>RADISOL STARTER, 1 L</t>
  </si>
  <si>
    <t>SALWAX-CA, 1 KG</t>
  </si>
  <si>
    <t>SPRINTENE CON BORO, 1 L</t>
  </si>
  <si>
    <t>FLORAMEC, 1 LTR.</t>
  </si>
  <si>
    <t>AGNF0001</t>
  </si>
  <si>
    <t>START0001</t>
  </si>
  <si>
    <t>BC0020</t>
  </si>
  <si>
    <t>CODIGREEN, 1L</t>
  </si>
  <si>
    <t>BITTER-CAL, 20 KG</t>
  </si>
  <si>
    <t>JF0005</t>
  </si>
  <si>
    <t>CODIGIN-FOS, 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</si>
</sst>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1BEB63-F55C-4AB6-A386-A276D3F7899E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60ACA-9758-4E2F-8714-43288D8F7891}" name="LineasPedidoCliente" displayName="LineasPedidoCliente" ref="A1:P139" tableType="queryTable" totalsRowShown="0">
  <autoFilter ref="A1:P139" xr:uid="{6292CA43-A9C0-4280-B40A-9DD133760E8A}"/>
  <sortState xmlns:xlrd2="http://schemas.microsoft.com/office/spreadsheetml/2017/richdata2" ref="A2:P92">
    <sortCondition ref="A1:A92"/>
  </sortState>
  <tableColumns count="16">
    <tableColumn id="1" xr3:uid="{79FFDC31-DA67-4C1C-BF5A-16A44C08086A}" uniqueName="1" name="FechaPedido" queryTableFieldId="1" dataDxfId="5"/>
    <tableColumn id="2" xr3:uid="{B7A5BD2F-A0AA-4D2A-AD36-68A160353B28}" uniqueName="2" name="Ejercicio" queryTableFieldId="2"/>
    <tableColumn id="3" xr3:uid="{26952493-0B9E-4422-B66B-6E40E050CBF9}" uniqueName="3" name="Serie" queryTableFieldId="3" dataDxfId="4"/>
    <tableColumn id="4" xr3:uid="{10B4CFE4-809C-42C6-B2D5-9983FC62B930}" uniqueName="4" name="Pedido" queryTableFieldId="4"/>
    <tableColumn id="5" xr3:uid="{E2FFA7F6-5091-4D5A-8A15-7B6B0DD7A244}" uniqueName="5" name="CodigoCliente" queryTableFieldId="5" dataDxfId="3"/>
    <tableColumn id="6" xr3:uid="{BED21177-8E3E-4721-88F0-0FE6F8D4E245}" uniqueName="6" name="Cliente" queryTableFieldId="6" dataDxfId="2"/>
    <tableColumn id="7" xr3:uid="{32594C1A-7418-4B58-8F9A-36634B58AFFC}" uniqueName="7" name="CodigoArticulo" queryTableFieldId="7" dataDxfId="1"/>
    <tableColumn id="8" xr3:uid="{1F7F79D5-CC59-4DF9-BB7D-158F1ABA8184}" uniqueName="8" name="Articulo" queryTableFieldId="8" dataDxfId="0"/>
    <tableColumn id="9" xr3:uid="{63FB6AB6-C078-4B20-B394-D439DB3BC7E9}" uniqueName="9" name="Pedidas" queryTableFieldId="9"/>
    <tableColumn id="10" xr3:uid="{EBACB453-ECDA-4A66-B124-BA30C6F33D8E}" uniqueName="10" name="Servidas" queryTableFieldId="10"/>
    <tableColumn id="11" xr3:uid="{7499DAFD-C12E-4ADE-8A95-08E6656FD3CD}" uniqueName="11" name="Pendientes" queryTableFieldId="11"/>
    <tableColumn id="12" xr3:uid="{5F706293-EF08-4E30-A6F4-04814AF54AB7}" uniqueName="12" name="Precio" queryTableFieldId="12"/>
    <tableColumn id="13" xr3:uid="{718320C5-4C54-4306-B414-A5595AD3472D}" uniqueName="13" name="Descuento" queryTableFieldId="13"/>
    <tableColumn id="14" xr3:uid="{406B55BD-57EB-4F00-B2D1-2EF85BE05968}" uniqueName="14" name="ImporteNeto" queryTableFieldId="14"/>
    <tableColumn id="15" xr3:uid="{952AE950-1418-485E-A67A-632E0425BF3C}" uniqueName="15" name="ImporteNetoPendiente" queryTableFieldId="15"/>
    <tableColumn id="16" xr3:uid="{B75C0E86-67B8-4820-BB58-9789149D0CB9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F8C7-4EF9-4D9B-A009-B6059F02B37C}">
  <dimension ref="A1:P139"/>
  <sheetViews>
    <sheetView tabSelected="1" topLeftCell="D1" workbookViewId="0">
      <pane ySplit="1" topLeftCell="A118" activePane="bottomLeft" state="frozen"/>
      <selection activeCell="D1" sqref="D1"/>
      <selection pane="bottomLeft" activeCell="P140" sqref="P140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0</v>
      </c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0</v>
      </c>
      <c r="K33">
        <v>1000</v>
      </c>
      <c r="L33">
        <v>2.12</v>
      </c>
      <c r="M33">
        <v>0</v>
      </c>
      <c r="N33">
        <v>2120</v>
      </c>
      <c r="O33">
        <v>2120</v>
      </c>
      <c r="P33">
        <v>0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16</v>
      </c>
      <c r="D44">
        <v>869</v>
      </c>
      <c r="E44" t="s">
        <v>101</v>
      </c>
      <c r="F44" t="s">
        <v>102</v>
      </c>
      <c r="G44" t="s">
        <v>103</v>
      </c>
      <c r="H44" t="s">
        <v>104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16</v>
      </c>
      <c r="D45">
        <v>870</v>
      </c>
      <c r="E45" t="s">
        <v>39</v>
      </c>
      <c r="F45" t="s">
        <v>40</v>
      </c>
      <c r="G45" t="s">
        <v>105</v>
      </c>
      <c r="H45" t="s">
        <v>106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16</v>
      </c>
      <c r="D46">
        <v>871</v>
      </c>
      <c r="E46" t="s">
        <v>17</v>
      </c>
      <c r="F46" t="s">
        <v>18</v>
      </c>
      <c r="G46" t="s">
        <v>107</v>
      </c>
      <c r="H46" t="s">
        <v>108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16</v>
      </c>
      <c r="D47">
        <v>871</v>
      </c>
      <c r="E47" t="s">
        <v>17</v>
      </c>
      <c r="F47" t="s">
        <v>18</v>
      </c>
      <c r="G47" t="s">
        <v>109</v>
      </c>
      <c r="H47" t="s">
        <v>110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16</v>
      </c>
      <c r="D48">
        <v>871</v>
      </c>
      <c r="E48" t="s">
        <v>17</v>
      </c>
      <c r="F48" t="s">
        <v>18</v>
      </c>
      <c r="G48" t="s">
        <v>25</v>
      </c>
      <c r="H48" t="s">
        <v>26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16</v>
      </c>
      <c r="D49">
        <v>871</v>
      </c>
      <c r="E49" t="s">
        <v>17</v>
      </c>
      <c r="F49" t="s">
        <v>18</v>
      </c>
      <c r="G49" t="s">
        <v>57</v>
      </c>
      <c r="H49" t="s">
        <v>58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16</v>
      </c>
      <c r="D50">
        <v>872</v>
      </c>
      <c r="E50" t="s">
        <v>17</v>
      </c>
      <c r="F50" t="s">
        <v>18</v>
      </c>
      <c r="G50" t="s">
        <v>23</v>
      </c>
      <c r="H50" t="s">
        <v>24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16</v>
      </c>
      <c r="D51">
        <v>872</v>
      </c>
      <c r="E51" t="s">
        <v>17</v>
      </c>
      <c r="F51" t="s">
        <v>18</v>
      </c>
      <c r="G51" t="s">
        <v>67</v>
      </c>
      <c r="H51" t="s">
        <v>68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16</v>
      </c>
      <c r="D52">
        <v>873</v>
      </c>
      <c r="E52" t="s">
        <v>111</v>
      </c>
      <c r="F52" t="s">
        <v>112</v>
      </c>
      <c r="G52" t="s">
        <v>113</v>
      </c>
      <c r="H52" t="s">
        <v>114</v>
      </c>
      <c r="I52">
        <v>40</v>
      </c>
      <c r="J52">
        <v>20</v>
      </c>
      <c r="K52">
        <v>20</v>
      </c>
      <c r="L52">
        <v>3.72</v>
      </c>
      <c r="M52">
        <v>0</v>
      </c>
      <c r="N52">
        <v>148.80000000000001</v>
      </c>
      <c r="O52">
        <v>74.400000000000006</v>
      </c>
      <c r="P52">
        <v>0</v>
      </c>
    </row>
    <row r="53" spans="1:16" x14ac:dyDescent="0.35">
      <c r="A53" s="1">
        <v>46308</v>
      </c>
      <c r="B53">
        <v>2026</v>
      </c>
      <c r="C53" t="s">
        <v>16</v>
      </c>
      <c r="D53">
        <v>873</v>
      </c>
      <c r="E53" t="s">
        <v>111</v>
      </c>
      <c r="F53" t="s">
        <v>112</v>
      </c>
      <c r="G53" t="s">
        <v>115</v>
      </c>
      <c r="H53" t="s">
        <v>116</v>
      </c>
      <c r="I53">
        <v>20</v>
      </c>
      <c r="J53">
        <v>20</v>
      </c>
      <c r="K53">
        <v>0</v>
      </c>
      <c r="L53">
        <v>3.32</v>
      </c>
      <c r="M53">
        <v>0</v>
      </c>
      <c r="N53">
        <v>66.400000000000006</v>
      </c>
      <c r="O53">
        <v>0</v>
      </c>
      <c r="P53">
        <v>2</v>
      </c>
    </row>
    <row r="54" spans="1:16" x14ac:dyDescent="0.35">
      <c r="A54" s="1">
        <v>46308</v>
      </c>
      <c r="B54">
        <v>2026</v>
      </c>
      <c r="C54" t="s">
        <v>16</v>
      </c>
      <c r="D54">
        <v>873</v>
      </c>
      <c r="E54" t="s">
        <v>111</v>
      </c>
      <c r="F54" t="s">
        <v>112</v>
      </c>
      <c r="G54" t="s">
        <v>117</v>
      </c>
      <c r="H54" t="s">
        <v>118</v>
      </c>
      <c r="I54">
        <v>2400</v>
      </c>
      <c r="J54">
        <v>2400</v>
      </c>
      <c r="K54">
        <v>0</v>
      </c>
      <c r="L54">
        <v>2.97</v>
      </c>
      <c r="M54">
        <v>0</v>
      </c>
      <c r="N54">
        <v>7128</v>
      </c>
      <c r="O54">
        <v>0</v>
      </c>
      <c r="P54">
        <v>2</v>
      </c>
    </row>
    <row r="55" spans="1:16" x14ac:dyDescent="0.35">
      <c r="A55" s="1">
        <v>46308</v>
      </c>
      <c r="B55">
        <v>2026</v>
      </c>
      <c r="C55" t="s">
        <v>16</v>
      </c>
      <c r="D55">
        <v>873</v>
      </c>
      <c r="E55" t="s">
        <v>111</v>
      </c>
      <c r="F55" t="s">
        <v>112</v>
      </c>
      <c r="G55" t="s">
        <v>57</v>
      </c>
      <c r="H55" t="s">
        <v>58</v>
      </c>
      <c r="I55">
        <v>640</v>
      </c>
      <c r="J55">
        <v>640</v>
      </c>
      <c r="K55">
        <v>0</v>
      </c>
      <c r="L55">
        <v>3.06</v>
      </c>
      <c r="M55">
        <v>0</v>
      </c>
      <c r="N55">
        <v>1958.4</v>
      </c>
      <c r="O55">
        <v>0</v>
      </c>
      <c r="P55">
        <v>2</v>
      </c>
    </row>
    <row r="56" spans="1:16" x14ac:dyDescent="0.35">
      <c r="A56" s="1">
        <v>46308</v>
      </c>
      <c r="B56">
        <v>2026</v>
      </c>
      <c r="C56" t="s">
        <v>16</v>
      </c>
      <c r="D56">
        <v>873</v>
      </c>
      <c r="E56" t="s">
        <v>111</v>
      </c>
      <c r="F56" t="s">
        <v>112</v>
      </c>
      <c r="G56" t="s">
        <v>119</v>
      </c>
      <c r="H56" t="s">
        <v>120</v>
      </c>
      <c r="I56">
        <v>80</v>
      </c>
      <c r="J56">
        <v>80</v>
      </c>
      <c r="K56">
        <v>0</v>
      </c>
      <c r="L56">
        <v>3.66</v>
      </c>
      <c r="M56">
        <v>3</v>
      </c>
      <c r="N56">
        <v>284.02</v>
      </c>
      <c r="O56">
        <v>0</v>
      </c>
      <c r="P56">
        <v>2</v>
      </c>
    </row>
    <row r="57" spans="1:16" x14ac:dyDescent="0.35">
      <c r="A57" s="1">
        <v>46308</v>
      </c>
      <c r="B57">
        <v>2026</v>
      </c>
      <c r="C57" t="s">
        <v>16</v>
      </c>
      <c r="D57">
        <v>873</v>
      </c>
      <c r="E57" t="s">
        <v>111</v>
      </c>
      <c r="F57" t="s">
        <v>112</v>
      </c>
      <c r="G57" t="s">
        <v>119</v>
      </c>
      <c r="H57" t="s">
        <v>120</v>
      </c>
      <c r="I57">
        <v>20</v>
      </c>
      <c r="J57">
        <v>20</v>
      </c>
      <c r="K57">
        <v>0</v>
      </c>
      <c r="L57">
        <v>3.66</v>
      </c>
      <c r="M57">
        <v>0</v>
      </c>
      <c r="N57">
        <v>73.2</v>
      </c>
      <c r="O57">
        <v>0</v>
      </c>
      <c r="P57">
        <v>2</v>
      </c>
    </row>
    <row r="58" spans="1:16" x14ac:dyDescent="0.35">
      <c r="A58" s="1">
        <v>46308</v>
      </c>
      <c r="B58">
        <v>2026</v>
      </c>
      <c r="C58" t="s">
        <v>16</v>
      </c>
      <c r="D58">
        <v>873</v>
      </c>
      <c r="E58" t="s">
        <v>111</v>
      </c>
      <c r="F58" t="s">
        <v>112</v>
      </c>
      <c r="G58" t="s">
        <v>105</v>
      </c>
      <c r="H58" t="s">
        <v>106</v>
      </c>
      <c r="I58">
        <v>1100</v>
      </c>
      <c r="J58">
        <v>1100</v>
      </c>
      <c r="K58">
        <v>0</v>
      </c>
      <c r="L58">
        <v>1.64</v>
      </c>
      <c r="M58">
        <v>0</v>
      </c>
      <c r="N58">
        <v>1804</v>
      </c>
      <c r="O58">
        <v>0</v>
      </c>
      <c r="P58">
        <v>2</v>
      </c>
    </row>
    <row r="59" spans="1:16" x14ac:dyDescent="0.35">
      <c r="A59" s="1">
        <v>46308</v>
      </c>
      <c r="B59">
        <v>2026</v>
      </c>
      <c r="C59" t="s">
        <v>16</v>
      </c>
      <c r="D59">
        <v>874</v>
      </c>
      <c r="E59" t="s">
        <v>121</v>
      </c>
      <c r="F59" t="s">
        <v>122</v>
      </c>
      <c r="G59" t="s">
        <v>123</v>
      </c>
      <c r="H59" t="s">
        <v>124</v>
      </c>
      <c r="I59">
        <v>3000</v>
      </c>
      <c r="J59">
        <v>3000</v>
      </c>
      <c r="K59">
        <v>0</v>
      </c>
      <c r="L59">
        <v>2.21</v>
      </c>
      <c r="M59">
        <v>0</v>
      </c>
      <c r="N59">
        <v>6630</v>
      </c>
      <c r="O59">
        <v>0</v>
      </c>
      <c r="P59">
        <v>2</v>
      </c>
    </row>
    <row r="60" spans="1:16" x14ac:dyDescent="0.35">
      <c r="A60" s="1">
        <v>46309</v>
      </c>
      <c r="B60">
        <v>2026</v>
      </c>
      <c r="C60" t="s">
        <v>16</v>
      </c>
      <c r="D60">
        <v>875</v>
      </c>
      <c r="E60" t="s">
        <v>125</v>
      </c>
      <c r="F60" t="s">
        <v>126</v>
      </c>
      <c r="G60" t="s">
        <v>107</v>
      </c>
      <c r="H60" t="s">
        <v>108</v>
      </c>
      <c r="I60">
        <v>340</v>
      </c>
      <c r="J60">
        <v>340</v>
      </c>
      <c r="K60">
        <v>0</v>
      </c>
      <c r="L60">
        <v>5.33</v>
      </c>
      <c r="M60">
        <v>0</v>
      </c>
      <c r="N60">
        <v>1812.2</v>
      </c>
      <c r="O60">
        <v>0</v>
      </c>
      <c r="P60">
        <v>2</v>
      </c>
    </row>
    <row r="61" spans="1:16" x14ac:dyDescent="0.35">
      <c r="A61" s="1">
        <v>46309</v>
      </c>
      <c r="B61">
        <v>2026</v>
      </c>
      <c r="C61" t="s">
        <v>16</v>
      </c>
      <c r="D61">
        <v>875</v>
      </c>
      <c r="E61" t="s">
        <v>125</v>
      </c>
      <c r="F61" t="s">
        <v>126</v>
      </c>
      <c r="G61" t="s">
        <v>107</v>
      </c>
      <c r="H61" t="s">
        <v>108</v>
      </c>
      <c r="I61">
        <v>300</v>
      </c>
      <c r="J61">
        <v>300</v>
      </c>
      <c r="K61">
        <v>0</v>
      </c>
      <c r="L61">
        <v>5.33</v>
      </c>
      <c r="M61">
        <v>0</v>
      </c>
      <c r="N61">
        <v>1599</v>
      </c>
      <c r="O61">
        <v>0</v>
      </c>
      <c r="P61">
        <v>2</v>
      </c>
    </row>
    <row r="62" spans="1:16" x14ac:dyDescent="0.35">
      <c r="A62" s="1">
        <v>46309</v>
      </c>
      <c r="B62">
        <v>2026</v>
      </c>
      <c r="C62" t="s">
        <v>16</v>
      </c>
      <c r="D62">
        <v>875</v>
      </c>
      <c r="E62" t="s">
        <v>125</v>
      </c>
      <c r="F62" t="s">
        <v>126</v>
      </c>
      <c r="G62" t="s">
        <v>25</v>
      </c>
      <c r="H62" t="s">
        <v>26</v>
      </c>
      <c r="I62">
        <v>600</v>
      </c>
      <c r="J62">
        <v>600</v>
      </c>
      <c r="K62">
        <v>0</v>
      </c>
      <c r="L62">
        <v>5.66</v>
      </c>
      <c r="M62">
        <v>0</v>
      </c>
      <c r="N62">
        <v>3396</v>
      </c>
      <c r="O62">
        <v>0</v>
      </c>
      <c r="P62">
        <v>2</v>
      </c>
    </row>
    <row r="63" spans="1:16" x14ac:dyDescent="0.35">
      <c r="A63" s="1">
        <v>46309</v>
      </c>
      <c r="B63">
        <v>2026</v>
      </c>
      <c r="C63" t="s">
        <v>16</v>
      </c>
      <c r="D63">
        <v>875</v>
      </c>
      <c r="E63" t="s">
        <v>125</v>
      </c>
      <c r="F63" t="s">
        <v>126</v>
      </c>
      <c r="G63" t="s">
        <v>127</v>
      </c>
      <c r="H63" t="s">
        <v>128</v>
      </c>
      <c r="I63">
        <v>600</v>
      </c>
      <c r="J63">
        <v>600</v>
      </c>
      <c r="K63">
        <v>0</v>
      </c>
      <c r="L63">
        <v>3.62</v>
      </c>
      <c r="M63">
        <v>0</v>
      </c>
      <c r="N63">
        <v>2172</v>
      </c>
      <c r="O63">
        <v>0</v>
      </c>
      <c r="P63">
        <v>2</v>
      </c>
    </row>
    <row r="64" spans="1:16" x14ac:dyDescent="0.35">
      <c r="A64" s="1">
        <v>46309</v>
      </c>
      <c r="B64">
        <v>2026</v>
      </c>
      <c r="C64" t="s">
        <v>16</v>
      </c>
      <c r="D64">
        <v>875</v>
      </c>
      <c r="E64" t="s">
        <v>125</v>
      </c>
      <c r="F64" t="s">
        <v>126</v>
      </c>
      <c r="G64" t="s">
        <v>65</v>
      </c>
      <c r="H64" t="s">
        <v>66</v>
      </c>
      <c r="I64">
        <v>300</v>
      </c>
      <c r="J64">
        <v>300</v>
      </c>
      <c r="K64">
        <v>0</v>
      </c>
      <c r="L64">
        <v>11.03</v>
      </c>
      <c r="M64">
        <v>0</v>
      </c>
      <c r="N64">
        <v>3309</v>
      </c>
      <c r="O64">
        <v>0</v>
      </c>
      <c r="P64">
        <v>2</v>
      </c>
    </row>
    <row r="65" spans="1:16" x14ac:dyDescent="0.35">
      <c r="A65" s="1">
        <v>46309</v>
      </c>
      <c r="B65">
        <v>2026</v>
      </c>
      <c r="C65" t="s">
        <v>16</v>
      </c>
      <c r="D65">
        <v>875</v>
      </c>
      <c r="E65" t="s">
        <v>125</v>
      </c>
      <c r="F65" t="s">
        <v>126</v>
      </c>
      <c r="G65" t="s">
        <v>129</v>
      </c>
      <c r="H65" t="s">
        <v>130</v>
      </c>
      <c r="I65">
        <v>100</v>
      </c>
      <c r="J65">
        <v>100</v>
      </c>
      <c r="K65">
        <v>0</v>
      </c>
      <c r="L65">
        <v>5.47</v>
      </c>
      <c r="M65">
        <v>0</v>
      </c>
      <c r="N65">
        <v>547</v>
      </c>
      <c r="O65">
        <v>0</v>
      </c>
      <c r="P65">
        <v>2</v>
      </c>
    </row>
    <row r="66" spans="1:16" x14ac:dyDescent="0.35">
      <c r="A66" s="1">
        <v>46309</v>
      </c>
      <c r="B66">
        <v>2026</v>
      </c>
      <c r="C66" t="s">
        <v>16</v>
      </c>
      <c r="D66">
        <v>876</v>
      </c>
      <c r="E66" t="s">
        <v>131</v>
      </c>
      <c r="F66" t="s">
        <v>132</v>
      </c>
      <c r="G66" t="s">
        <v>57</v>
      </c>
      <c r="H66" t="s">
        <v>58</v>
      </c>
      <c r="I66">
        <v>640</v>
      </c>
      <c r="J66">
        <v>640</v>
      </c>
      <c r="K66">
        <v>0</v>
      </c>
      <c r="L66">
        <v>3.17</v>
      </c>
      <c r="M66">
        <v>0</v>
      </c>
      <c r="N66">
        <v>2028.8</v>
      </c>
      <c r="O66">
        <v>0</v>
      </c>
      <c r="P66">
        <v>2</v>
      </c>
    </row>
    <row r="67" spans="1:16" x14ac:dyDescent="0.35">
      <c r="A67" s="1">
        <v>46309</v>
      </c>
      <c r="B67">
        <v>2026</v>
      </c>
      <c r="C67" t="s">
        <v>16</v>
      </c>
      <c r="D67">
        <v>877</v>
      </c>
      <c r="E67" t="s">
        <v>133</v>
      </c>
      <c r="F67" t="s">
        <v>134</v>
      </c>
      <c r="G67" t="s">
        <v>123</v>
      </c>
      <c r="H67" t="s">
        <v>124</v>
      </c>
      <c r="I67">
        <v>1000</v>
      </c>
      <c r="J67">
        <v>1000</v>
      </c>
      <c r="K67">
        <v>0</v>
      </c>
      <c r="L67">
        <v>1.97</v>
      </c>
      <c r="M67">
        <v>0</v>
      </c>
      <c r="N67">
        <v>1970</v>
      </c>
      <c r="O67">
        <v>0</v>
      </c>
      <c r="P67">
        <v>2</v>
      </c>
    </row>
    <row r="68" spans="1:16" x14ac:dyDescent="0.35">
      <c r="A68" s="1">
        <v>46309</v>
      </c>
      <c r="B68">
        <v>2026</v>
      </c>
      <c r="C68" t="s">
        <v>16</v>
      </c>
      <c r="D68">
        <v>878</v>
      </c>
      <c r="E68" t="s">
        <v>135</v>
      </c>
      <c r="F68" t="s">
        <v>136</v>
      </c>
      <c r="G68" t="s">
        <v>73</v>
      </c>
      <c r="H68" t="s">
        <v>74</v>
      </c>
      <c r="I68">
        <v>640</v>
      </c>
      <c r="J68">
        <v>640</v>
      </c>
      <c r="K68">
        <v>0</v>
      </c>
      <c r="L68">
        <v>3.81</v>
      </c>
      <c r="M68">
        <v>0</v>
      </c>
      <c r="N68">
        <v>2438.4</v>
      </c>
      <c r="O68">
        <v>0</v>
      </c>
      <c r="P68">
        <v>2</v>
      </c>
    </row>
    <row r="69" spans="1:16" x14ac:dyDescent="0.35">
      <c r="A69" s="1">
        <v>46309</v>
      </c>
      <c r="B69">
        <v>2026</v>
      </c>
      <c r="C69" t="s">
        <v>16</v>
      </c>
      <c r="D69">
        <v>879</v>
      </c>
      <c r="E69" t="s">
        <v>137</v>
      </c>
      <c r="F69" t="s">
        <v>138</v>
      </c>
      <c r="G69" t="s">
        <v>139</v>
      </c>
      <c r="H69" t="s">
        <v>140</v>
      </c>
      <c r="I69">
        <v>1000</v>
      </c>
      <c r="J69">
        <v>1000</v>
      </c>
      <c r="K69">
        <v>0</v>
      </c>
      <c r="L69">
        <v>3</v>
      </c>
      <c r="M69">
        <v>0</v>
      </c>
      <c r="N69">
        <v>3000</v>
      </c>
      <c r="O69">
        <v>0</v>
      </c>
      <c r="P69">
        <v>2</v>
      </c>
    </row>
    <row r="70" spans="1:16" x14ac:dyDescent="0.35">
      <c r="A70" s="1">
        <v>46309</v>
      </c>
      <c r="B70">
        <v>2026</v>
      </c>
      <c r="C70" t="s">
        <v>76</v>
      </c>
      <c r="D70">
        <v>145</v>
      </c>
      <c r="E70" t="s">
        <v>141</v>
      </c>
      <c r="F70" t="s">
        <v>142</v>
      </c>
      <c r="G70" t="s">
        <v>107</v>
      </c>
      <c r="H70" t="s">
        <v>108</v>
      </c>
      <c r="I70">
        <v>2000</v>
      </c>
      <c r="J70">
        <v>0</v>
      </c>
      <c r="K70">
        <v>2000</v>
      </c>
      <c r="L70">
        <v>4.3099999999999996</v>
      </c>
      <c r="M70">
        <v>0</v>
      </c>
      <c r="N70">
        <v>8620</v>
      </c>
      <c r="O70">
        <v>8620</v>
      </c>
      <c r="P70">
        <v>0</v>
      </c>
    </row>
    <row r="71" spans="1:16" x14ac:dyDescent="0.35">
      <c r="A71" s="1">
        <v>46309</v>
      </c>
      <c r="B71">
        <v>2026</v>
      </c>
      <c r="C71" t="s">
        <v>76</v>
      </c>
      <c r="D71">
        <v>145</v>
      </c>
      <c r="E71" t="s">
        <v>141</v>
      </c>
      <c r="F71" t="s">
        <v>142</v>
      </c>
      <c r="G71" t="s">
        <v>143</v>
      </c>
      <c r="H71" t="s">
        <v>144</v>
      </c>
      <c r="I71">
        <v>1500</v>
      </c>
      <c r="J71">
        <v>0</v>
      </c>
      <c r="K71">
        <v>1500</v>
      </c>
      <c r="L71">
        <v>4.1399999999999997</v>
      </c>
      <c r="M71">
        <v>0</v>
      </c>
      <c r="N71">
        <v>6210</v>
      </c>
      <c r="O71">
        <v>6210</v>
      </c>
      <c r="P71">
        <v>0</v>
      </c>
    </row>
    <row r="72" spans="1:16" x14ac:dyDescent="0.35">
      <c r="A72" s="1">
        <v>46309</v>
      </c>
      <c r="B72">
        <v>2026</v>
      </c>
      <c r="C72" t="s">
        <v>76</v>
      </c>
      <c r="D72">
        <v>145</v>
      </c>
      <c r="E72" t="s">
        <v>141</v>
      </c>
      <c r="F72" t="s">
        <v>142</v>
      </c>
      <c r="G72" t="s">
        <v>145</v>
      </c>
      <c r="H72" t="s">
        <v>74</v>
      </c>
      <c r="I72">
        <v>3000</v>
      </c>
      <c r="J72">
        <v>0</v>
      </c>
      <c r="K72">
        <v>3000</v>
      </c>
      <c r="L72">
        <v>3.05</v>
      </c>
      <c r="M72">
        <v>0</v>
      </c>
      <c r="N72">
        <v>9150</v>
      </c>
      <c r="O72">
        <v>9150</v>
      </c>
      <c r="P72">
        <v>0</v>
      </c>
    </row>
    <row r="73" spans="1:16" x14ac:dyDescent="0.35">
      <c r="A73" s="1">
        <v>46309</v>
      </c>
      <c r="B73">
        <v>2026</v>
      </c>
      <c r="C73" t="s">
        <v>76</v>
      </c>
      <c r="D73">
        <v>145</v>
      </c>
      <c r="E73" t="s">
        <v>141</v>
      </c>
      <c r="F73" t="s">
        <v>142</v>
      </c>
      <c r="G73" t="s">
        <v>146</v>
      </c>
      <c r="H73" t="s">
        <v>147</v>
      </c>
      <c r="I73">
        <v>1000</v>
      </c>
      <c r="J73">
        <v>0</v>
      </c>
      <c r="K73">
        <v>1000</v>
      </c>
      <c r="L73">
        <v>3.57</v>
      </c>
      <c r="M73">
        <v>0</v>
      </c>
      <c r="N73">
        <v>3570</v>
      </c>
      <c r="O73">
        <v>3570</v>
      </c>
      <c r="P73">
        <v>0</v>
      </c>
    </row>
    <row r="74" spans="1:16" x14ac:dyDescent="0.35">
      <c r="A74" s="1">
        <v>46309</v>
      </c>
      <c r="B74">
        <v>2026</v>
      </c>
      <c r="C74" t="s">
        <v>76</v>
      </c>
      <c r="D74">
        <v>145</v>
      </c>
      <c r="E74" t="s">
        <v>141</v>
      </c>
      <c r="F74" t="s">
        <v>142</v>
      </c>
      <c r="G74" t="s">
        <v>148</v>
      </c>
      <c r="H74" t="s">
        <v>149</v>
      </c>
      <c r="I74">
        <v>600</v>
      </c>
      <c r="J74">
        <v>0</v>
      </c>
      <c r="K74">
        <v>600</v>
      </c>
      <c r="L74">
        <v>3.13</v>
      </c>
      <c r="M74">
        <v>0</v>
      </c>
      <c r="N74">
        <v>1878</v>
      </c>
      <c r="O74">
        <v>1878</v>
      </c>
      <c r="P74">
        <v>0</v>
      </c>
    </row>
    <row r="75" spans="1:16" x14ac:dyDescent="0.35">
      <c r="A75" s="1">
        <v>46309</v>
      </c>
      <c r="B75">
        <v>2026</v>
      </c>
      <c r="C75" t="s">
        <v>76</v>
      </c>
      <c r="D75">
        <v>145</v>
      </c>
      <c r="E75" t="s">
        <v>141</v>
      </c>
      <c r="F75" t="s">
        <v>142</v>
      </c>
      <c r="G75" t="s">
        <v>150</v>
      </c>
      <c r="H75" t="s">
        <v>50</v>
      </c>
      <c r="I75">
        <v>2000</v>
      </c>
      <c r="J75">
        <v>0</v>
      </c>
      <c r="K75">
        <v>2000</v>
      </c>
      <c r="L75">
        <v>3.55</v>
      </c>
      <c r="M75">
        <v>0</v>
      </c>
      <c r="N75">
        <v>7100</v>
      </c>
      <c r="O75">
        <v>7100</v>
      </c>
      <c r="P75">
        <v>0</v>
      </c>
    </row>
    <row r="76" spans="1:16" x14ac:dyDescent="0.35">
      <c r="A76" s="1">
        <v>46309</v>
      </c>
      <c r="B76">
        <v>2026</v>
      </c>
      <c r="C76" t="s">
        <v>76</v>
      </c>
      <c r="D76">
        <v>145</v>
      </c>
      <c r="E76" t="s">
        <v>141</v>
      </c>
      <c r="F76" t="s">
        <v>142</v>
      </c>
      <c r="G76" t="s">
        <v>151</v>
      </c>
      <c r="H76" t="s">
        <v>152</v>
      </c>
      <c r="I76">
        <v>800</v>
      </c>
      <c r="J76">
        <v>0</v>
      </c>
      <c r="K76">
        <v>800</v>
      </c>
      <c r="L76">
        <v>2.12</v>
      </c>
      <c r="M76">
        <v>0</v>
      </c>
      <c r="N76">
        <v>1696</v>
      </c>
      <c r="O76">
        <v>1696</v>
      </c>
      <c r="P76">
        <v>0</v>
      </c>
    </row>
    <row r="77" spans="1:16" x14ac:dyDescent="0.35">
      <c r="A77" s="1">
        <v>46309</v>
      </c>
      <c r="B77">
        <v>2026</v>
      </c>
      <c r="C77" t="s">
        <v>76</v>
      </c>
      <c r="D77">
        <v>145</v>
      </c>
      <c r="E77" t="s">
        <v>141</v>
      </c>
      <c r="F77" t="s">
        <v>142</v>
      </c>
      <c r="G77" t="s">
        <v>153</v>
      </c>
      <c r="H77" t="s">
        <v>58</v>
      </c>
      <c r="I77">
        <v>7000</v>
      </c>
      <c r="J77">
        <v>0</v>
      </c>
      <c r="K77">
        <v>7000</v>
      </c>
      <c r="L77">
        <v>2.76</v>
      </c>
      <c r="M77">
        <v>0</v>
      </c>
      <c r="N77">
        <v>19320</v>
      </c>
      <c r="O77">
        <v>19320</v>
      </c>
      <c r="P77">
        <v>0</v>
      </c>
    </row>
    <row r="78" spans="1:16" x14ac:dyDescent="0.35">
      <c r="A78" s="1">
        <v>46309</v>
      </c>
      <c r="B78">
        <v>2026</v>
      </c>
      <c r="C78" t="s">
        <v>76</v>
      </c>
      <c r="D78">
        <v>146</v>
      </c>
      <c r="E78" t="s">
        <v>77</v>
      </c>
      <c r="F78" t="s">
        <v>78</v>
      </c>
      <c r="G78" t="s">
        <v>154</v>
      </c>
      <c r="H78" t="s">
        <v>155</v>
      </c>
      <c r="I78">
        <v>8000</v>
      </c>
      <c r="J78">
        <v>0</v>
      </c>
      <c r="K78">
        <v>8000</v>
      </c>
      <c r="L78">
        <v>3.87</v>
      </c>
      <c r="M78">
        <v>0</v>
      </c>
      <c r="N78">
        <v>30960</v>
      </c>
      <c r="O78">
        <v>30960</v>
      </c>
      <c r="P78">
        <v>0</v>
      </c>
    </row>
    <row r="79" spans="1:16" x14ac:dyDescent="0.35">
      <c r="A79" s="1">
        <v>46309</v>
      </c>
      <c r="B79">
        <v>2026</v>
      </c>
      <c r="C79" t="s">
        <v>76</v>
      </c>
      <c r="D79">
        <v>146</v>
      </c>
      <c r="E79" t="s">
        <v>77</v>
      </c>
      <c r="F79" t="s">
        <v>78</v>
      </c>
      <c r="G79" t="s">
        <v>156</v>
      </c>
      <c r="H79" t="s">
        <v>157</v>
      </c>
      <c r="I79">
        <v>10296</v>
      </c>
      <c r="J79">
        <v>0</v>
      </c>
      <c r="K79">
        <v>10296</v>
      </c>
      <c r="L79">
        <v>12.55</v>
      </c>
      <c r="M79">
        <v>0</v>
      </c>
      <c r="N79">
        <v>129214.8</v>
      </c>
      <c r="O79">
        <v>129214.8</v>
      </c>
      <c r="P79">
        <v>0</v>
      </c>
    </row>
    <row r="80" spans="1:16" x14ac:dyDescent="0.35">
      <c r="A80" s="1">
        <v>46310</v>
      </c>
      <c r="B80">
        <v>2026</v>
      </c>
      <c r="C80" t="s">
        <v>16</v>
      </c>
      <c r="D80">
        <v>880</v>
      </c>
      <c r="E80" t="s">
        <v>158</v>
      </c>
      <c r="F80" t="s">
        <v>159</v>
      </c>
      <c r="G80" t="s">
        <v>160</v>
      </c>
      <c r="H80" t="s">
        <v>161</v>
      </c>
      <c r="I80">
        <v>12</v>
      </c>
      <c r="J80">
        <v>12</v>
      </c>
      <c r="K80">
        <v>0</v>
      </c>
      <c r="L80">
        <v>4.58</v>
      </c>
      <c r="M80">
        <v>0</v>
      </c>
      <c r="N80">
        <v>54.96</v>
      </c>
      <c r="O80">
        <v>0</v>
      </c>
      <c r="P80">
        <v>2</v>
      </c>
    </row>
    <row r="81" spans="1:16" x14ac:dyDescent="0.35">
      <c r="A81" s="1">
        <v>46310</v>
      </c>
      <c r="B81">
        <v>2026</v>
      </c>
      <c r="C81" t="s">
        <v>16</v>
      </c>
      <c r="D81">
        <v>880</v>
      </c>
      <c r="E81" t="s">
        <v>158</v>
      </c>
      <c r="F81" t="s">
        <v>159</v>
      </c>
      <c r="G81" t="s">
        <v>162</v>
      </c>
      <c r="H81" t="s">
        <v>163</v>
      </c>
      <c r="I81">
        <v>200</v>
      </c>
      <c r="J81">
        <v>200</v>
      </c>
      <c r="K81">
        <v>0</v>
      </c>
      <c r="L81">
        <v>4.09</v>
      </c>
      <c r="M81">
        <v>0</v>
      </c>
      <c r="N81">
        <v>818</v>
      </c>
      <c r="O81">
        <v>0</v>
      </c>
      <c r="P81">
        <v>2</v>
      </c>
    </row>
    <row r="82" spans="1:16" x14ac:dyDescent="0.35">
      <c r="A82" s="1">
        <v>46310</v>
      </c>
      <c r="B82">
        <v>2026</v>
      </c>
      <c r="C82" t="s">
        <v>16</v>
      </c>
      <c r="D82">
        <v>880</v>
      </c>
      <c r="E82" t="s">
        <v>158</v>
      </c>
      <c r="F82" t="s">
        <v>159</v>
      </c>
      <c r="G82" t="s">
        <v>73</v>
      </c>
      <c r="H82" t="s">
        <v>74</v>
      </c>
      <c r="I82">
        <v>100</v>
      </c>
      <c r="J82">
        <v>100</v>
      </c>
      <c r="K82">
        <v>0</v>
      </c>
      <c r="L82">
        <v>3.25</v>
      </c>
      <c r="M82">
        <v>0</v>
      </c>
      <c r="N82">
        <v>325</v>
      </c>
      <c r="O82">
        <v>0</v>
      </c>
      <c r="P82">
        <v>2</v>
      </c>
    </row>
    <row r="83" spans="1:16" x14ac:dyDescent="0.35">
      <c r="A83" s="1">
        <v>46310</v>
      </c>
      <c r="B83">
        <v>2026</v>
      </c>
      <c r="C83" t="s">
        <v>16</v>
      </c>
      <c r="D83">
        <v>880</v>
      </c>
      <c r="E83" t="s">
        <v>158</v>
      </c>
      <c r="F83" t="s">
        <v>159</v>
      </c>
      <c r="G83" t="s">
        <v>164</v>
      </c>
      <c r="H83" t="s">
        <v>165</v>
      </c>
      <c r="I83">
        <v>140</v>
      </c>
      <c r="J83">
        <v>140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</row>
    <row r="84" spans="1:16" x14ac:dyDescent="0.35">
      <c r="A84" s="1">
        <v>46310</v>
      </c>
      <c r="B84">
        <v>2026</v>
      </c>
      <c r="C84" t="s">
        <v>16</v>
      </c>
      <c r="D84">
        <v>880</v>
      </c>
      <c r="E84" t="s">
        <v>158</v>
      </c>
      <c r="F84" t="s">
        <v>159</v>
      </c>
      <c r="G84" t="s">
        <v>53</v>
      </c>
      <c r="H84" t="s">
        <v>54</v>
      </c>
      <c r="I84">
        <v>100</v>
      </c>
      <c r="J84">
        <v>100</v>
      </c>
      <c r="K84">
        <v>0</v>
      </c>
      <c r="L84">
        <v>3.52</v>
      </c>
      <c r="M84">
        <v>0</v>
      </c>
      <c r="N84">
        <v>352</v>
      </c>
      <c r="O84">
        <v>0</v>
      </c>
      <c r="P84">
        <v>2</v>
      </c>
    </row>
    <row r="85" spans="1:16" x14ac:dyDescent="0.35">
      <c r="A85" s="1">
        <v>46310</v>
      </c>
      <c r="B85">
        <v>2026</v>
      </c>
      <c r="C85" t="s">
        <v>16</v>
      </c>
      <c r="D85">
        <v>880</v>
      </c>
      <c r="E85" t="s">
        <v>158</v>
      </c>
      <c r="F85" t="s">
        <v>159</v>
      </c>
      <c r="G85" t="s">
        <v>160</v>
      </c>
      <c r="H85" t="s">
        <v>161</v>
      </c>
      <c r="I85">
        <v>12</v>
      </c>
      <c r="J85">
        <v>12</v>
      </c>
      <c r="K85">
        <v>0</v>
      </c>
      <c r="L85">
        <v>4.58</v>
      </c>
      <c r="M85">
        <v>0</v>
      </c>
      <c r="N85">
        <v>54.96</v>
      </c>
      <c r="O85">
        <v>0</v>
      </c>
      <c r="P85">
        <v>2</v>
      </c>
    </row>
    <row r="86" spans="1:16" x14ac:dyDescent="0.35">
      <c r="A86" s="1">
        <v>46310</v>
      </c>
      <c r="B86">
        <v>2026</v>
      </c>
      <c r="C86" t="s">
        <v>16</v>
      </c>
      <c r="D86">
        <v>880</v>
      </c>
      <c r="E86" t="s">
        <v>158</v>
      </c>
      <c r="F86" t="s">
        <v>159</v>
      </c>
      <c r="G86" t="s">
        <v>166</v>
      </c>
      <c r="H86" t="s">
        <v>167</v>
      </c>
      <c r="I86">
        <v>40</v>
      </c>
      <c r="J86">
        <v>40</v>
      </c>
      <c r="K86">
        <v>0</v>
      </c>
      <c r="L86">
        <v>11.6</v>
      </c>
      <c r="M86">
        <v>0</v>
      </c>
      <c r="N86">
        <v>464</v>
      </c>
      <c r="O86">
        <v>0</v>
      </c>
      <c r="P86">
        <v>2</v>
      </c>
    </row>
    <row r="87" spans="1:16" x14ac:dyDescent="0.35">
      <c r="A87" s="1">
        <v>46310</v>
      </c>
      <c r="B87">
        <v>2026</v>
      </c>
      <c r="C87" t="s">
        <v>16</v>
      </c>
      <c r="D87">
        <v>881</v>
      </c>
      <c r="E87" t="s">
        <v>125</v>
      </c>
      <c r="F87" t="s">
        <v>126</v>
      </c>
      <c r="G87" t="s">
        <v>57</v>
      </c>
      <c r="H87" t="s">
        <v>58</v>
      </c>
      <c r="I87">
        <v>640</v>
      </c>
      <c r="J87">
        <v>640</v>
      </c>
      <c r="K87">
        <v>0</v>
      </c>
      <c r="L87">
        <v>3.48</v>
      </c>
      <c r="M87">
        <v>0</v>
      </c>
      <c r="N87">
        <v>2227.1999999999998</v>
      </c>
      <c r="O87">
        <v>0</v>
      </c>
      <c r="P87">
        <v>2</v>
      </c>
    </row>
    <row r="88" spans="1:16" x14ac:dyDescent="0.35">
      <c r="A88" s="1">
        <v>46310</v>
      </c>
      <c r="B88">
        <v>2026</v>
      </c>
      <c r="C88" t="s">
        <v>16</v>
      </c>
      <c r="D88">
        <v>881</v>
      </c>
      <c r="E88" t="s">
        <v>125</v>
      </c>
      <c r="F88" t="s">
        <v>126</v>
      </c>
      <c r="G88" t="s">
        <v>168</v>
      </c>
      <c r="H88" t="s">
        <v>169</v>
      </c>
      <c r="I88">
        <v>100</v>
      </c>
      <c r="J88">
        <v>100</v>
      </c>
      <c r="K88">
        <v>0</v>
      </c>
      <c r="L88">
        <v>4.5</v>
      </c>
      <c r="M88">
        <v>0</v>
      </c>
      <c r="N88">
        <v>450</v>
      </c>
      <c r="O88">
        <v>0</v>
      </c>
      <c r="P88">
        <v>2</v>
      </c>
    </row>
    <row r="89" spans="1:16" x14ac:dyDescent="0.35">
      <c r="A89" s="1">
        <v>46310</v>
      </c>
      <c r="B89">
        <v>2026</v>
      </c>
      <c r="C89" t="s">
        <v>16</v>
      </c>
      <c r="D89">
        <v>881</v>
      </c>
      <c r="E89" t="s">
        <v>125</v>
      </c>
      <c r="F89" t="s">
        <v>126</v>
      </c>
      <c r="G89" t="s">
        <v>170</v>
      </c>
      <c r="H89" t="s">
        <v>171</v>
      </c>
      <c r="I89">
        <v>120</v>
      </c>
      <c r="J89">
        <v>120</v>
      </c>
      <c r="K89">
        <v>0</v>
      </c>
      <c r="L89">
        <v>4.1500000000000004</v>
      </c>
      <c r="M89">
        <v>0</v>
      </c>
      <c r="N89">
        <v>498</v>
      </c>
      <c r="O89">
        <v>0</v>
      </c>
      <c r="P89">
        <v>2</v>
      </c>
    </row>
    <row r="90" spans="1:16" x14ac:dyDescent="0.35">
      <c r="A90" s="1">
        <v>46310</v>
      </c>
      <c r="B90">
        <v>2026</v>
      </c>
      <c r="C90" t="s">
        <v>16</v>
      </c>
      <c r="D90">
        <v>882</v>
      </c>
      <c r="E90" t="s">
        <v>172</v>
      </c>
      <c r="F90" t="s">
        <v>173</v>
      </c>
      <c r="G90" t="s">
        <v>57</v>
      </c>
      <c r="H90" t="s">
        <v>58</v>
      </c>
      <c r="I90">
        <v>640</v>
      </c>
      <c r="J90">
        <v>640</v>
      </c>
      <c r="K90">
        <v>0</v>
      </c>
      <c r="L90">
        <v>3.48</v>
      </c>
      <c r="M90">
        <v>0</v>
      </c>
      <c r="N90">
        <v>2227.1999999999998</v>
      </c>
      <c r="O90">
        <v>0</v>
      </c>
      <c r="P90">
        <v>2</v>
      </c>
    </row>
    <row r="91" spans="1:16" x14ac:dyDescent="0.35">
      <c r="A91" s="1">
        <v>46310</v>
      </c>
      <c r="B91">
        <v>2026</v>
      </c>
      <c r="C91" t="s">
        <v>76</v>
      </c>
      <c r="D91">
        <v>147</v>
      </c>
      <c r="E91" t="s">
        <v>174</v>
      </c>
      <c r="F91" t="s">
        <v>175</v>
      </c>
      <c r="G91" t="s">
        <v>176</v>
      </c>
      <c r="H91" t="s">
        <v>106</v>
      </c>
      <c r="I91">
        <v>19800</v>
      </c>
      <c r="J91">
        <v>0</v>
      </c>
      <c r="K91">
        <v>19800</v>
      </c>
      <c r="L91">
        <v>1.73</v>
      </c>
      <c r="M91">
        <v>0</v>
      </c>
      <c r="N91">
        <v>34254</v>
      </c>
      <c r="O91">
        <v>34254</v>
      </c>
      <c r="P91">
        <v>0</v>
      </c>
    </row>
    <row r="92" spans="1:16" x14ac:dyDescent="0.35">
      <c r="A92" s="1">
        <v>46310</v>
      </c>
      <c r="B92">
        <v>2026</v>
      </c>
      <c r="C92" t="s">
        <v>76</v>
      </c>
      <c r="D92">
        <v>147</v>
      </c>
      <c r="E92" t="s">
        <v>174</v>
      </c>
      <c r="F92" t="s">
        <v>175</v>
      </c>
      <c r="G92" t="s">
        <v>177</v>
      </c>
      <c r="H92" t="s">
        <v>178</v>
      </c>
      <c r="I92">
        <v>3000</v>
      </c>
      <c r="J92">
        <v>0</v>
      </c>
      <c r="K92">
        <v>3000</v>
      </c>
      <c r="L92">
        <v>2.38</v>
      </c>
      <c r="M92">
        <v>0</v>
      </c>
      <c r="N92">
        <v>7140</v>
      </c>
      <c r="O92">
        <v>7140</v>
      </c>
      <c r="P92">
        <v>0</v>
      </c>
    </row>
    <row r="93" spans="1:16" x14ac:dyDescent="0.35">
      <c r="A93" s="1">
        <v>46311</v>
      </c>
      <c r="B93">
        <v>2026</v>
      </c>
      <c r="D93">
        <v>883</v>
      </c>
      <c r="E93">
        <v>430000005</v>
      </c>
      <c r="F93" t="s">
        <v>56</v>
      </c>
      <c r="G93" t="s">
        <v>71</v>
      </c>
      <c r="H93" t="s">
        <v>72</v>
      </c>
      <c r="I93">
        <v>640</v>
      </c>
      <c r="J93">
        <v>640</v>
      </c>
      <c r="K93">
        <v>0</v>
      </c>
      <c r="L93">
        <v>3.65</v>
      </c>
      <c r="M93">
        <v>0</v>
      </c>
      <c r="N93">
        <f>LineasPedidoCliente[[#This Row],[Precio]]*LineasPedidoCliente[[#This Row],[Servidas]]</f>
        <v>2336</v>
      </c>
      <c r="O93">
        <v>0</v>
      </c>
      <c r="P93">
        <v>2</v>
      </c>
    </row>
    <row r="94" spans="1:16" x14ac:dyDescent="0.35">
      <c r="A94" s="1">
        <v>46311</v>
      </c>
      <c r="B94">
        <v>2026</v>
      </c>
      <c r="D94">
        <v>883</v>
      </c>
      <c r="E94">
        <v>430000005</v>
      </c>
      <c r="F94" t="s">
        <v>56</v>
      </c>
      <c r="G94" t="s">
        <v>73</v>
      </c>
      <c r="H94" t="s">
        <v>74</v>
      </c>
      <c r="I94">
        <v>640</v>
      </c>
      <c r="J94">
        <v>640</v>
      </c>
      <c r="K94">
        <v>0</v>
      </c>
      <c r="L94">
        <v>3.19</v>
      </c>
      <c r="M94">
        <v>0</v>
      </c>
      <c r="N94">
        <f>LineasPedidoCliente[[#This Row],[Precio]]*LineasPedidoCliente[[#This Row],[Servidas]]</f>
        <v>2041.6</v>
      </c>
      <c r="O94">
        <v>0</v>
      </c>
      <c r="P94">
        <v>2</v>
      </c>
    </row>
    <row r="95" spans="1:16" x14ac:dyDescent="0.35">
      <c r="A95" s="1">
        <v>46311</v>
      </c>
      <c r="B95">
        <v>2026</v>
      </c>
      <c r="D95">
        <v>884</v>
      </c>
      <c r="E95">
        <v>430000001</v>
      </c>
      <c r="F95" t="s">
        <v>40</v>
      </c>
      <c r="G95" t="s">
        <v>49</v>
      </c>
      <c r="H95" t="s">
        <v>50</v>
      </c>
      <c r="I95">
        <v>800</v>
      </c>
      <c r="J95">
        <v>800</v>
      </c>
      <c r="K95">
        <v>0</v>
      </c>
      <c r="L95">
        <v>3.82</v>
      </c>
      <c r="M95">
        <v>0</v>
      </c>
      <c r="N95">
        <f>LineasPedidoCliente[[#This Row],[Precio]]*LineasPedidoCliente[[#This Row],[Servidas]]</f>
        <v>3056</v>
      </c>
      <c r="O95">
        <v>0</v>
      </c>
      <c r="P95">
        <v>2</v>
      </c>
    </row>
    <row r="96" spans="1:16" x14ac:dyDescent="0.35">
      <c r="A96" s="1">
        <v>46311</v>
      </c>
      <c r="B96">
        <v>2026</v>
      </c>
      <c r="D96">
        <v>885</v>
      </c>
      <c r="E96">
        <v>430000015</v>
      </c>
      <c r="F96" t="s">
        <v>179</v>
      </c>
      <c r="G96" t="s">
        <v>181</v>
      </c>
      <c r="H96" t="s">
        <v>184</v>
      </c>
      <c r="I96">
        <v>1300</v>
      </c>
      <c r="J96">
        <v>1300</v>
      </c>
      <c r="K96">
        <v>0</v>
      </c>
      <c r="L96">
        <v>3.84</v>
      </c>
      <c r="M96">
        <v>0</v>
      </c>
      <c r="N96">
        <f>LineasPedidoCliente[[#This Row],[Precio]]*LineasPedidoCliente[[#This Row],[Pedidas]]</f>
        <v>4992</v>
      </c>
      <c r="O96">
        <v>0</v>
      </c>
      <c r="P96">
        <v>2</v>
      </c>
    </row>
    <row r="97" spans="1:16" x14ac:dyDescent="0.35">
      <c r="A97" s="1">
        <v>46311</v>
      </c>
      <c r="B97">
        <v>2026</v>
      </c>
      <c r="D97">
        <v>885</v>
      </c>
      <c r="E97" t="s">
        <v>180</v>
      </c>
      <c r="F97" t="s">
        <v>179</v>
      </c>
      <c r="G97" t="s">
        <v>182</v>
      </c>
      <c r="H97" t="s">
        <v>185</v>
      </c>
      <c r="I97">
        <v>600</v>
      </c>
      <c r="J97">
        <v>600</v>
      </c>
      <c r="K97">
        <v>0</v>
      </c>
      <c r="L97">
        <v>2.12</v>
      </c>
      <c r="M97">
        <v>0</v>
      </c>
      <c r="N97">
        <f>LineasPedidoCliente[[#This Row],[Precio]]*LineasPedidoCliente[[#This Row],[Pedidas]]</f>
        <v>1272</v>
      </c>
      <c r="O97">
        <v>0</v>
      </c>
      <c r="P97">
        <v>2</v>
      </c>
    </row>
    <row r="98" spans="1:16" x14ac:dyDescent="0.35">
      <c r="A98" s="1">
        <v>46311</v>
      </c>
      <c r="B98">
        <v>2026</v>
      </c>
      <c r="D98">
        <v>885</v>
      </c>
      <c r="E98" t="s">
        <v>180</v>
      </c>
      <c r="F98" t="s">
        <v>179</v>
      </c>
      <c r="G98" t="s">
        <v>103</v>
      </c>
      <c r="H98" t="s">
        <v>104</v>
      </c>
      <c r="I98">
        <v>1100</v>
      </c>
      <c r="J98">
        <v>1100</v>
      </c>
      <c r="K98">
        <v>0</v>
      </c>
      <c r="L98">
        <v>1.59</v>
      </c>
      <c r="M98">
        <v>0</v>
      </c>
      <c r="N98">
        <f>LineasPedidoCliente[[#This Row],[Precio]]*LineasPedidoCliente[[#This Row],[Pedidas]]</f>
        <v>1749</v>
      </c>
      <c r="O98">
        <v>0</v>
      </c>
      <c r="P98">
        <v>2</v>
      </c>
    </row>
    <row r="99" spans="1:16" x14ac:dyDescent="0.35">
      <c r="A99" s="1">
        <v>46311</v>
      </c>
      <c r="B99">
        <v>2026</v>
      </c>
      <c r="D99">
        <v>885</v>
      </c>
      <c r="E99" t="s">
        <v>180</v>
      </c>
      <c r="F99" t="s">
        <v>179</v>
      </c>
      <c r="G99" t="s">
        <v>183</v>
      </c>
      <c r="H99" t="s">
        <v>186</v>
      </c>
      <c r="I99">
        <v>2200</v>
      </c>
      <c r="J99">
        <v>2200</v>
      </c>
      <c r="K99">
        <v>0</v>
      </c>
      <c r="L99">
        <v>1.77</v>
      </c>
      <c r="M99">
        <v>0</v>
      </c>
      <c r="N99">
        <f>LineasPedidoCliente[[#This Row],[Precio]]*LineasPedidoCliente[[#This Row],[Pedidas]]</f>
        <v>3894</v>
      </c>
      <c r="O99">
        <v>0</v>
      </c>
      <c r="P99">
        <v>2</v>
      </c>
    </row>
    <row r="100" spans="1:16" x14ac:dyDescent="0.35">
      <c r="A100" s="1">
        <v>46314</v>
      </c>
      <c r="B100">
        <v>2026</v>
      </c>
      <c r="D100">
        <v>886</v>
      </c>
      <c r="E100">
        <v>430000019</v>
      </c>
      <c r="F100" t="s">
        <v>18</v>
      </c>
      <c r="G100" t="s">
        <v>107</v>
      </c>
      <c r="H100" t="s">
        <v>108</v>
      </c>
      <c r="I100">
        <v>640</v>
      </c>
      <c r="J100">
        <v>0</v>
      </c>
      <c r="K100">
        <v>640</v>
      </c>
      <c r="L100">
        <v>5.1100000000000003</v>
      </c>
      <c r="M100">
        <v>0</v>
      </c>
      <c r="N100">
        <f>LineasPedidoCliente[[#This Row],[Precio]]*LineasPedidoCliente[[#This Row],[Pedidas]]</f>
        <v>3270.4</v>
      </c>
      <c r="O100">
        <f>LineasPedidoCliente[[#This Row],[ImporteNeto]]</f>
        <v>3270.4</v>
      </c>
      <c r="P100">
        <v>0</v>
      </c>
    </row>
    <row r="101" spans="1:16" x14ac:dyDescent="0.35">
      <c r="A101" s="1">
        <v>46314</v>
      </c>
      <c r="B101">
        <v>2026</v>
      </c>
      <c r="D101">
        <v>886</v>
      </c>
      <c r="E101" t="s">
        <v>17</v>
      </c>
      <c r="F101" t="s">
        <v>18</v>
      </c>
      <c r="G101" t="s">
        <v>65</v>
      </c>
      <c r="H101" t="s">
        <v>66</v>
      </c>
      <c r="I101">
        <v>200</v>
      </c>
      <c r="J101">
        <v>200</v>
      </c>
      <c r="K101">
        <v>0</v>
      </c>
      <c r="L101">
        <v>10.57</v>
      </c>
      <c r="M101">
        <v>0</v>
      </c>
      <c r="N101">
        <f>LineasPedidoCliente[[#This Row],[Precio]]*LineasPedidoCliente[[#This Row],[Pedidas]]</f>
        <v>2114</v>
      </c>
      <c r="O101">
        <v>0</v>
      </c>
      <c r="P101">
        <v>2</v>
      </c>
    </row>
    <row r="102" spans="1:16" x14ac:dyDescent="0.35">
      <c r="A102" s="1">
        <v>46314</v>
      </c>
      <c r="B102">
        <v>2026</v>
      </c>
      <c r="D102">
        <v>886</v>
      </c>
      <c r="E102" t="s">
        <v>17</v>
      </c>
      <c r="F102" t="s">
        <v>18</v>
      </c>
      <c r="G102" t="s">
        <v>65</v>
      </c>
      <c r="H102" t="s">
        <v>66</v>
      </c>
      <c r="I102">
        <v>5</v>
      </c>
      <c r="J102">
        <v>5</v>
      </c>
      <c r="K102">
        <v>0</v>
      </c>
      <c r="L102">
        <v>0</v>
      </c>
      <c r="M102">
        <v>0</v>
      </c>
      <c r="N102">
        <f>LineasPedidoCliente[[#This Row],[Precio]]*LineasPedidoCliente[[#This Row],[Pedidas]]</f>
        <v>0</v>
      </c>
      <c r="O102">
        <v>0</v>
      </c>
      <c r="P102">
        <v>2</v>
      </c>
    </row>
    <row r="103" spans="1:16" x14ac:dyDescent="0.35">
      <c r="A103" s="1">
        <v>46315</v>
      </c>
      <c r="B103">
        <v>2026</v>
      </c>
      <c r="D103">
        <v>887</v>
      </c>
      <c r="E103" t="s">
        <v>21</v>
      </c>
      <c r="F103" t="s">
        <v>22</v>
      </c>
      <c r="G103" t="s">
        <v>153</v>
      </c>
      <c r="H103" t="s">
        <v>58</v>
      </c>
      <c r="I103">
        <v>1280</v>
      </c>
      <c r="J103">
        <v>0</v>
      </c>
      <c r="K103">
        <v>1280</v>
      </c>
      <c r="L103">
        <v>3.31</v>
      </c>
      <c r="M103">
        <v>0</v>
      </c>
      <c r="N103">
        <f>LineasPedidoCliente[[#This Row],[Precio]]*LineasPedidoCliente[[#This Row],[Pedidas]]</f>
        <v>4236.8</v>
      </c>
      <c r="O103">
        <f>LineasPedidoCliente[[#This Row],[ImporteNeto]]</f>
        <v>4236.8</v>
      </c>
      <c r="P103">
        <v>0</v>
      </c>
    </row>
    <row r="104" spans="1:16" x14ac:dyDescent="0.35">
      <c r="A104" s="1">
        <v>46315</v>
      </c>
      <c r="B104">
        <v>2026</v>
      </c>
      <c r="D104">
        <v>888</v>
      </c>
      <c r="E104" t="s">
        <v>39</v>
      </c>
      <c r="F104" t="s">
        <v>40</v>
      </c>
      <c r="G104" t="s">
        <v>105</v>
      </c>
      <c r="H104" t="s">
        <v>106</v>
      </c>
      <c r="I104">
        <v>3300</v>
      </c>
      <c r="J104">
        <v>3300</v>
      </c>
      <c r="K104">
        <v>0</v>
      </c>
      <c r="L104">
        <v>1.65</v>
      </c>
      <c r="M104">
        <v>0</v>
      </c>
      <c r="N104">
        <f>LineasPedidoCliente[[#This Row],[Pedidas]]*LineasPedidoCliente[[#This Row],[Precio]]</f>
        <v>5445</v>
      </c>
      <c r="O104">
        <v>0</v>
      </c>
      <c r="P104">
        <v>2</v>
      </c>
    </row>
    <row r="105" spans="1:16" x14ac:dyDescent="0.35">
      <c r="A105" s="1">
        <v>46315</v>
      </c>
      <c r="B105">
        <v>2026</v>
      </c>
      <c r="D105">
        <v>888</v>
      </c>
      <c r="E105" t="s">
        <v>39</v>
      </c>
      <c r="F105" t="s">
        <v>40</v>
      </c>
      <c r="G105" t="s">
        <v>103</v>
      </c>
      <c r="H105" t="s">
        <v>104</v>
      </c>
      <c r="I105">
        <v>1100</v>
      </c>
      <c r="J105">
        <v>1100</v>
      </c>
      <c r="K105">
        <v>0</v>
      </c>
      <c r="L105">
        <v>1.82</v>
      </c>
      <c r="M105">
        <v>0</v>
      </c>
      <c r="N105">
        <f>LineasPedidoCliente[[#This Row],[Pedidas]]*LineasPedidoCliente[[#This Row],[Precio]]</f>
        <v>2002</v>
      </c>
      <c r="O105">
        <v>0</v>
      </c>
      <c r="P105">
        <v>2</v>
      </c>
    </row>
    <row r="106" spans="1:16" x14ac:dyDescent="0.35">
      <c r="A106" s="1">
        <v>46315</v>
      </c>
      <c r="B106">
        <v>2026</v>
      </c>
      <c r="D106">
        <v>888</v>
      </c>
      <c r="E106" t="s">
        <v>39</v>
      </c>
      <c r="F106" t="s">
        <v>40</v>
      </c>
      <c r="G106" t="s">
        <v>41</v>
      </c>
      <c r="H106" t="s">
        <v>42</v>
      </c>
      <c r="I106">
        <v>400</v>
      </c>
      <c r="J106">
        <v>400</v>
      </c>
      <c r="K106">
        <v>0</v>
      </c>
      <c r="L106">
        <v>2.0099999999999998</v>
      </c>
      <c r="M106">
        <v>0</v>
      </c>
      <c r="N106">
        <f>LineasPedidoCliente[[#This Row],[Pedidas]]*LineasPedidoCliente[[#This Row],[Precio]]</f>
        <v>803.99999999999989</v>
      </c>
      <c r="O106">
        <v>0</v>
      </c>
      <c r="P106">
        <v>2</v>
      </c>
    </row>
    <row r="107" spans="1:16" x14ac:dyDescent="0.35">
      <c r="A107" s="1">
        <v>46315</v>
      </c>
      <c r="B107">
        <v>2026</v>
      </c>
      <c r="D107">
        <v>888</v>
      </c>
      <c r="E107" t="s">
        <v>39</v>
      </c>
      <c r="F107" t="s">
        <v>40</v>
      </c>
      <c r="G107" t="s">
        <v>47</v>
      </c>
      <c r="H107" t="s">
        <v>48</v>
      </c>
      <c r="I107">
        <v>640</v>
      </c>
      <c r="J107">
        <v>640</v>
      </c>
      <c r="K107">
        <v>0</v>
      </c>
      <c r="L107">
        <v>2.1</v>
      </c>
      <c r="M107">
        <v>0</v>
      </c>
      <c r="N107">
        <f>LineasPedidoCliente[[#This Row],[Pedidas]]*LineasPedidoCliente[[#This Row],[Precio]]</f>
        <v>1344</v>
      </c>
      <c r="O107">
        <v>0</v>
      </c>
      <c r="P107">
        <v>2</v>
      </c>
    </row>
    <row r="108" spans="1:16" x14ac:dyDescent="0.35">
      <c r="A108" s="1">
        <v>46315</v>
      </c>
      <c r="B108">
        <v>2026</v>
      </c>
      <c r="D108">
        <v>888</v>
      </c>
      <c r="E108" t="s">
        <v>39</v>
      </c>
      <c r="F108" t="s">
        <v>40</v>
      </c>
      <c r="G108" t="s">
        <v>41</v>
      </c>
      <c r="H108" t="s">
        <v>42</v>
      </c>
      <c r="I108">
        <v>2000</v>
      </c>
      <c r="J108">
        <v>2000</v>
      </c>
      <c r="K108">
        <v>0</v>
      </c>
      <c r="L108">
        <v>2.0099999999999998</v>
      </c>
      <c r="M108">
        <v>0</v>
      </c>
      <c r="N108">
        <f>LineasPedidoCliente[[#This Row],[Pedidas]]*LineasPedidoCliente[[#This Row],[Precio]]</f>
        <v>4019.9999999999995</v>
      </c>
      <c r="O108">
        <v>0</v>
      </c>
      <c r="P108">
        <v>2</v>
      </c>
    </row>
    <row r="109" spans="1:16" x14ac:dyDescent="0.35">
      <c r="A109" s="1">
        <v>46315</v>
      </c>
      <c r="B109">
        <v>2026</v>
      </c>
      <c r="D109">
        <v>889</v>
      </c>
      <c r="E109">
        <v>430000429</v>
      </c>
      <c r="F109" t="s">
        <v>84</v>
      </c>
      <c r="G109" t="s">
        <v>187</v>
      </c>
      <c r="H109" t="s">
        <v>188</v>
      </c>
      <c r="I109">
        <v>200</v>
      </c>
      <c r="J109">
        <v>200</v>
      </c>
      <c r="K109">
        <v>0</v>
      </c>
      <c r="L109">
        <v>2.64</v>
      </c>
      <c r="M109">
        <v>0</v>
      </c>
      <c r="N109">
        <f>LineasPedidoCliente[[#This Row],[Pedidas]]*LineasPedidoCliente[[#This Row],[Precio]]</f>
        <v>528</v>
      </c>
      <c r="O109">
        <v>0</v>
      </c>
      <c r="P109">
        <v>2</v>
      </c>
    </row>
    <row r="110" spans="1:16" x14ac:dyDescent="0.35">
      <c r="A110" s="1">
        <v>46315</v>
      </c>
      <c r="B110">
        <v>2026</v>
      </c>
      <c r="D110">
        <v>889</v>
      </c>
      <c r="E110">
        <v>430000429</v>
      </c>
      <c r="F110" t="s">
        <v>84</v>
      </c>
      <c r="G110" t="s">
        <v>151</v>
      </c>
      <c r="H110" t="s">
        <v>152</v>
      </c>
      <c r="I110">
        <v>100</v>
      </c>
      <c r="J110">
        <v>100</v>
      </c>
      <c r="K110">
        <v>0</v>
      </c>
      <c r="L110">
        <v>2.2200000000000002</v>
      </c>
      <c r="M110">
        <v>0</v>
      </c>
      <c r="N110">
        <f>LineasPedidoCliente[[#This Row],[Pedidas]]*LineasPedidoCliente[[#This Row],[Precio]]</f>
        <v>222.00000000000003</v>
      </c>
      <c r="O110">
        <v>0</v>
      </c>
      <c r="P110">
        <v>2</v>
      </c>
    </row>
    <row r="111" spans="1:16" x14ac:dyDescent="0.35">
      <c r="A111" s="1">
        <v>46315</v>
      </c>
      <c r="B111">
        <v>2026</v>
      </c>
      <c r="D111">
        <v>889</v>
      </c>
      <c r="E111">
        <v>430000429</v>
      </c>
      <c r="F111" t="s">
        <v>84</v>
      </c>
      <c r="G111" t="s">
        <v>73</v>
      </c>
      <c r="H111" t="s">
        <v>74</v>
      </c>
      <c r="I111">
        <v>100</v>
      </c>
      <c r="J111">
        <v>100</v>
      </c>
      <c r="K111">
        <v>0</v>
      </c>
      <c r="L111">
        <v>3.16</v>
      </c>
      <c r="M111">
        <v>0</v>
      </c>
      <c r="N111">
        <f>LineasPedidoCliente[[#This Row],[Pedidas]]*LineasPedidoCliente[[#This Row],[Precio]]</f>
        <v>316</v>
      </c>
      <c r="O111">
        <v>0</v>
      </c>
      <c r="P111">
        <v>2</v>
      </c>
    </row>
    <row r="112" spans="1:16" x14ac:dyDescent="0.35">
      <c r="A112" s="1">
        <v>46315</v>
      </c>
      <c r="B112">
        <v>2026</v>
      </c>
      <c r="D112">
        <v>889</v>
      </c>
      <c r="E112">
        <v>430000429</v>
      </c>
      <c r="F112" t="s">
        <v>84</v>
      </c>
      <c r="G112" t="s">
        <v>95</v>
      </c>
      <c r="H112" t="s">
        <v>96</v>
      </c>
      <c r="I112">
        <v>200</v>
      </c>
      <c r="J112">
        <v>200</v>
      </c>
      <c r="K112">
        <v>0</v>
      </c>
      <c r="L112">
        <v>2.34</v>
      </c>
      <c r="M112">
        <v>0</v>
      </c>
      <c r="N112">
        <f>LineasPedidoCliente[[#This Row],[Pedidas]]*LineasPedidoCliente[[#This Row],[Precio]]</f>
        <v>468</v>
      </c>
      <c r="O112">
        <v>0</v>
      </c>
      <c r="P112">
        <v>2</v>
      </c>
    </row>
    <row r="113" spans="1:16" x14ac:dyDescent="0.35">
      <c r="A113" s="1"/>
      <c r="C113" s="2"/>
      <c r="D113">
        <v>148</v>
      </c>
      <c r="E113" s="3" t="s">
        <v>189</v>
      </c>
      <c r="F113" s="3" t="s">
        <v>190</v>
      </c>
      <c r="G113" s="2" t="s">
        <v>61</v>
      </c>
      <c r="H113" s="2" t="s">
        <v>62</v>
      </c>
      <c r="I113">
        <v>1800</v>
      </c>
      <c r="J113">
        <v>0</v>
      </c>
      <c r="K113">
        <v>1800</v>
      </c>
      <c r="L113">
        <v>1.88</v>
      </c>
      <c r="M113" s="3">
        <v>0</v>
      </c>
      <c r="N113" s="3">
        <f>LineasPedidoCliente[[#This Row],[Pedidas]]*LineasPedidoCliente[[#This Row],[Precio]]</f>
        <v>3384</v>
      </c>
      <c r="O113">
        <v>3384</v>
      </c>
      <c r="P113" s="3">
        <v>0</v>
      </c>
    </row>
    <row r="114" spans="1:16" x14ac:dyDescent="0.35">
      <c r="A114" s="1"/>
      <c r="C114" s="2"/>
      <c r="D114">
        <v>148</v>
      </c>
      <c r="E114" s="3" t="s">
        <v>189</v>
      </c>
      <c r="F114" s="3" t="s">
        <v>190</v>
      </c>
      <c r="G114" s="2" t="s">
        <v>191</v>
      </c>
      <c r="H114" s="2" t="s">
        <v>207</v>
      </c>
      <c r="I114">
        <v>1788</v>
      </c>
      <c r="J114">
        <v>0</v>
      </c>
      <c r="K114">
        <v>1788</v>
      </c>
      <c r="L114">
        <v>3.99</v>
      </c>
      <c r="M114" s="3">
        <v>0</v>
      </c>
      <c r="N114" s="3">
        <f>LineasPedidoCliente[[#This Row],[Pedidas]]*LineasPedidoCliente[[#This Row],[Precio]]</f>
        <v>7134.1200000000008</v>
      </c>
      <c r="O114">
        <v>7134.1200000000008</v>
      </c>
      <c r="P114" s="3">
        <v>0</v>
      </c>
    </row>
    <row r="115" spans="1:16" x14ac:dyDescent="0.35">
      <c r="A115" s="1"/>
      <c r="C115" s="2"/>
      <c r="D115">
        <v>148</v>
      </c>
      <c r="E115" s="3" t="s">
        <v>189</v>
      </c>
      <c r="F115" s="3" t="s">
        <v>190</v>
      </c>
      <c r="G115" s="2" t="s">
        <v>192</v>
      </c>
      <c r="H115" s="2" t="s">
        <v>208</v>
      </c>
      <c r="I115">
        <v>36</v>
      </c>
      <c r="J115">
        <v>0</v>
      </c>
      <c r="K115">
        <v>36</v>
      </c>
      <c r="L115">
        <v>4.74</v>
      </c>
      <c r="M115" s="3">
        <v>0</v>
      </c>
      <c r="N115" s="3">
        <f>LineasPedidoCliente[[#This Row],[Pedidas]]*LineasPedidoCliente[[#This Row],[Precio]]</f>
        <v>170.64000000000001</v>
      </c>
      <c r="O115">
        <v>170.64000000000001</v>
      </c>
      <c r="P115" s="3">
        <v>0</v>
      </c>
    </row>
    <row r="116" spans="1:16" x14ac:dyDescent="0.35">
      <c r="A116" s="1"/>
      <c r="C116" s="2"/>
      <c r="D116">
        <v>148</v>
      </c>
      <c r="E116" s="3" t="s">
        <v>189</v>
      </c>
      <c r="F116" s="3" t="s">
        <v>190</v>
      </c>
      <c r="G116" s="2" t="s">
        <v>182</v>
      </c>
      <c r="H116" s="2" t="s">
        <v>185</v>
      </c>
      <c r="I116">
        <v>3900</v>
      </c>
      <c r="J116">
        <v>0</v>
      </c>
      <c r="K116">
        <v>3900</v>
      </c>
      <c r="L116">
        <v>2.4700000000000002</v>
      </c>
      <c r="M116" s="3">
        <v>0</v>
      </c>
      <c r="N116" s="3">
        <f>LineasPedidoCliente[[#This Row],[Pedidas]]*LineasPedidoCliente[[#This Row],[Precio]]</f>
        <v>9633</v>
      </c>
      <c r="O116">
        <v>9633</v>
      </c>
      <c r="P116" s="3">
        <v>0</v>
      </c>
    </row>
    <row r="117" spans="1:16" x14ac:dyDescent="0.35">
      <c r="A117" s="1"/>
      <c r="C117" s="2"/>
      <c r="D117">
        <v>148</v>
      </c>
      <c r="E117" s="3" t="s">
        <v>189</v>
      </c>
      <c r="F117" s="3" t="s">
        <v>190</v>
      </c>
      <c r="G117" s="2" t="s">
        <v>95</v>
      </c>
      <c r="H117" s="2" t="s">
        <v>96</v>
      </c>
      <c r="I117">
        <v>6400</v>
      </c>
      <c r="J117">
        <v>0</v>
      </c>
      <c r="K117">
        <v>6400</v>
      </c>
      <c r="L117">
        <v>2.39</v>
      </c>
      <c r="M117" s="3">
        <v>0</v>
      </c>
      <c r="N117" s="3">
        <f>LineasPedidoCliente[[#This Row],[Pedidas]]*LineasPedidoCliente[[#This Row],[Precio]]</f>
        <v>15296</v>
      </c>
      <c r="O117">
        <v>15296</v>
      </c>
      <c r="P117" s="3">
        <v>0</v>
      </c>
    </row>
    <row r="118" spans="1:16" x14ac:dyDescent="0.35">
      <c r="A118" s="1"/>
      <c r="C118" s="2"/>
      <c r="D118">
        <v>148</v>
      </c>
      <c r="E118" s="3" t="s">
        <v>189</v>
      </c>
      <c r="F118" s="3" t="s">
        <v>190</v>
      </c>
      <c r="G118" s="2" t="s">
        <v>193</v>
      </c>
      <c r="H118" s="2" t="s">
        <v>209</v>
      </c>
      <c r="I118">
        <v>2892</v>
      </c>
      <c r="J118">
        <v>0</v>
      </c>
      <c r="K118">
        <v>2892</v>
      </c>
      <c r="L118">
        <v>3.5</v>
      </c>
      <c r="M118" s="3">
        <v>0</v>
      </c>
      <c r="N118" s="3">
        <f>LineasPedidoCliente[[#This Row],[Pedidas]]*LineasPedidoCliente[[#This Row],[Precio]]</f>
        <v>10122</v>
      </c>
      <c r="O118">
        <v>10122</v>
      </c>
      <c r="P118" s="3">
        <v>0</v>
      </c>
    </row>
    <row r="119" spans="1:16" x14ac:dyDescent="0.35">
      <c r="A119" s="1"/>
      <c r="C119" s="2"/>
      <c r="D119">
        <v>148</v>
      </c>
      <c r="E119" s="3" t="s">
        <v>189</v>
      </c>
      <c r="F119" s="3" t="s">
        <v>190</v>
      </c>
      <c r="G119" s="2" t="s">
        <v>194</v>
      </c>
      <c r="H119" s="2" t="s">
        <v>210</v>
      </c>
      <c r="I119">
        <v>2808</v>
      </c>
      <c r="J119">
        <v>0</v>
      </c>
      <c r="K119">
        <v>2808</v>
      </c>
      <c r="L119">
        <v>4.75</v>
      </c>
      <c r="M119" s="3">
        <v>0</v>
      </c>
      <c r="N119" s="3">
        <f>LineasPedidoCliente[[#This Row],[Pedidas]]*LineasPedidoCliente[[#This Row],[Precio]]</f>
        <v>13338</v>
      </c>
      <c r="O119">
        <v>13338</v>
      </c>
      <c r="P119" s="3">
        <v>0</v>
      </c>
    </row>
    <row r="120" spans="1:16" x14ac:dyDescent="0.35">
      <c r="A120" s="1"/>
      <c r="C120" s="2"/>
      <c r="D120">
        <v>148</v>
      </c>
      <c r="E120" s="3" t="s">
        <v>189</v>
      </c>
      <c r="F120" s="3" t="s">
        <v>190</v>
      </c>
      <c r="G120" s="2" t="s">
        <v>151</v>
      </c>
      <c r="H120" s="2" t="s">
        <v>152</v>
      </c>
      <c r="I120">
        <v>480</v>
      </c>
      <c r="J120">
        <v>0</v>
      </c>
      <c r="K120">
        <v>480</v>
      </c>
      <c r="L120">
        <v>2.42</v>
      </c>
      <c r="M120" s="3">
        <v>0</v>
      </c>
      <c r="N120" s="3">
        <f>LineasPedidoCliente[[#This Row],[Pedidas]]*LineasPedidoCliente[[#This Row],[Precio]]</f>
        <v>1161.5999999999999</v>
      </c>
      <c r="O120">
        <v>1161.5999999999999</v>
      </c>
      <c r="P120" s="3">
        <v>0</v>
      </c>
    </row>
    <row r="121" spans="1:16" x14ac:dyDescent="0.35">
      <c r="A121" s="1"/>
      <c r="C121" s="2"/>
      <c r="D121">
        <v>148</v>
      </c>
      <c r="E121" s="3" t="s">
        <v>189</v>
      </c>
      <c r="F121" s="3" t="s">
        <v>190</v>
      </c>
      <c r="G121" s="2" t="s">
        <v>195</v>
      </c>
      <c r="H121" s="2" t="s">
        <v>211</v>
      </c>
      <c r="I121">
        <v>84</v>
      </c>
      <c r="J121">
        <v>0</v>
      </c>
      <c r="K121">
        <v>84</v>
      </c>
      <c r="L121">
        <v>5.58</v>
      </c>
      <c r="M121" s="3">
        <v>0</v>
      </c>
      <c r="N121" s="3">
        <f>LineasPedidoCliente[[#This Row],[Pedidas]]*LineasPedidoCliente[[#This Row],[Precio]]</f>
        <v>468.72</v>
      </c>
      <c r="O121">
        <v>468.72</v>
      </c>
      <c r="P121" s="3">
        <v>0</v>
      </c>
    </row>
    <row r="122" spans="1:16" x14ac:dyDescent="0.35">
      <c r="A122" s="1"/>
      <c r="C122" s="2"/>
      <c r="D122">
        <v>148</v>
      </c>
      <c r="E122" s="3" t="s">
        <v>189</v>
      </c>
      <c r="F122" s="3" t="s">
        <v>190</v>
      </c>
      <c r="G122" s="2" t="s">
        <v>196</v>
      </c>
      <c r="H122" s="2" t="s">
        <v>212</v>
      </c>
      <c r="I122">
        <v>1200</v>
      </c>
      <c r="J122">
        <v>0</v>
      </c>
      <c r="K122">
        <v>1200</v>
      </c>
      <c r="L122">
        <v>4.83</v>
      </c>
      <c r="M122" s="3">
        <v>0</v>
      </c>
      <c r="N122" s="3">
        <f>LineasPedidoCliente[[#This Row],[Pedidas]]*LineasPedidoCliente[[#This Row],[Precio]]</f>
        <v>5796</v>
      </c>
      <c r="O122">
        <v>5796</v>
      </c>
      <c r="P122" s="3">
        <v>0</v>
      </c>
    </row>
    <row r="123" spans="1:16" x14ac:dyDescent="0.35">
      <c r="A123" s="1"/>
      <c r="C123" s="2"/>
      <c r="D123">
        <v>148</v>
      </c>
      <c r="E123" s="3" t="s">
        <v>189</v>
      </c>
      <c r="F123" s="3" t="s">
        <v>190</v>
      </c>
      <c r="G123" s="2" t="s">
        <v>197</v>
      </c>
      <c r="H123" s="2" t="s">
        <v>213</v>
      </c>
      <c r="I123">
        <v>2448</v>
      </c>
      <c r="J123">
        <v>0</v>
      </c>
      <c r="K123">
        <v>2448</v>
      </c>
      <c r="L123">
        <v>5.31</v>
      </c>
      <c r="M123" s="3">
        <v>0</v>
      </c>
      <c r="N123" s="3">
        <f>LineasPedidoCliente[[#This Row],[Pedidas]]*LineasPedidoCliente[[#This Row],[Precio]]</f>
        <v>12998.88</v>
      </c>
      <c r="O123">
        <v>12998.88</v>
      </c>
      <c r="P123" s="3">
        <v>0</v>
      </c>
    </row>
    <row r="124" spans="1:16" x14ac:dyDescent="0.35">
      <c r="A124" s="1"/>
      <c r="C124" s="2"/>
      <c r="D124">
        <v>148</v>
      </c>
      <c r="E124" s="3" t="s">
        <v>189</v>
      </c>
      <c r="F124" s="3" t="s">
        <v>190</v>
      </c>
      <c r="G124" s="2" t="s">
        <v>198</v>
      </c>
      <c r="H124" s="2" t="s">
        <v>214</v>
      </c>
      <c r="I124">
        <v>2040</v>
      </c>
      <c r="J124">
        <v>0</v>
      </c>
      <c r="K124">
        <v>2040</v>
      </c>
      <c r="L124">
        <v>4.7699999999999996</v>
      </c>
      <c r="M124" s="3">
        <v>0</v>
      </c>
      <c r="N124" s="3">
        <f>LineasPedidoCliente[[#This Row],[Pedidas]]*LineasPedidoCliente[[#This Row],[Precio]]</f>
        <v>9730.7999999999993</v>
      </c>
      <c r="O124">
        <v>9730.7999999999993</v>
      </c>
      <c r="P124" s="3">
        <v>0</v>
      </c>
    </row>
    <row r="125" spans="1:16" x14ac:dyDescent="0.35">
      <c r="A125" s="1"/>
      <c r="C125" s="2"/>
      <c r="D125">
        <v>148</v>
      </c>
      <c r="E125" s="3" t="s">
        <v>189</v>
      </c>
      <c r="F125" s="3" t="s">
        <v>190</v>
      </c>
      <c r="G125" s="2" t="s">
        <v>199</v>
      </c>
      <c r="H125" s="2" t="s">
        <v>215</v>
      </c>
      <c r="I125">
        <v>984</v>
      </c>
      <c r="J125">
        <v>0</v>
      </c>
      <c r="K125">
        <v>984</v>
      </c>
      <c r="L125">
        <v>5.78</v>
      </c>
      <c r="M125" s="3">
        <v>0</v>
      </c>
      <c r="N125" s="3">
        <f>LineasPedidoCliente[[#This Row],[Pedidas]]*LineasPedidoCliente[[#This Row],[Precio]]</f>
        <v>5687.52</v>
      </c>
      <c r="O125">
        <v>5687.52</v>
      </c>
      <c r="P125" s="3">
        <v>0</v>
      </c>
    </row>
    <row r="126" spans="1:16" x14ac:dyDescent="0.35">
      <c r="A126" s="1"/>
      <c r="C126" s="2"/>
      <c r="D126">
        <v>148</v>
      </c>
      <c r="E126" s="3" t="s">
        <v>189</v>
      </c>
      <c r="F126" s="3" t="s">
        <v>190</v>
      </c>
      <c r="G126" s="2" t="s">
        <v>200</v>
      </c>
      <c r="H126" s="2" t="s">
        <v>216</v>
      </c>
      <c r="I126">
        <v>1160</v>
      </c>
      <c r="J126">
        <v>0</v>
      </c>
      <c r="K126">
        <v>1160</v>
      </c>
      <c r="L126">
        <v>3.74</v>
      </c>
      <c r="M126" s="3">
        <v>0</v>
      </c>
      <c r="N126" s="3">
        <f>LineasPedidoCliente[[#This Row],[Pedidas]]*LineasPedidoCliente[[#This Row],[Precio]]</f>
        <v>4338.4000000000005</v>
      </c>
      <c r="O126">
        <v>4338.4000000000005</v>
      </c>
      <c r="P126" s="3">
        <v>0</v>
      </c>
    </row>
    <row r="127" spans="1:16" x14ac:dyDescent="0.35">
      <c r="A127" s="1"/>
      <c r="C127" s="2"/>
      <c r="D127">
        <v>148</v>
      </c>
      <c r="E127" s="3" t="s">
        <v>189</v>
      </c>
      <c r="F127" s="3" t="s">
        <v>190</v>
      </c>
      <c r="G127" s="2" t="s">
        <v>201</v>
      </c>
      <c r="H127" s="2" t="s">
        <v>217</v>
      </c>
      <c r="I127">
        <v>1092</v>
      </c>
      <c r="J127">
        <v>0</v>
      </c>
      <c r="K127">
        <v>1092</v>
      </c>
      <c r="L127">
        <v>4.68</v>
      </c>
      <c r="M127" s="3">
        <v>0</v>
      </c>
      <c r="N127" s="3">
        <f>LineasPedidoCliente[[#This Row],[Pedidas]]*LineasPedidoCliente[[#This Row],[Precio]]</f>
        <v>5110.5599999999995</v>
      </c>
      <c r="O127">
        <v>5110.5599999999995</v>
      </c>
      <c r="P127" s="3">
        <v>0</v>
      </c>
    </row>
    <row r="128" spans="1:16" x14ac:dyDescent="0.35">
      <c r="A128" s="1"/>
      <c r="C128" s="2"/>
      <c r="D128">
        <v>148</v>
      </c>
      <c r="E128" s="3" t="s">
        <v>189</v>
      </c>
      <c r="F128" s="3" t="s">
        <v>190</v>
      </c>
      <c r="G128" s="2" t="s">
        <v>202</v>
      </c>
      <c r="H128" s="2" t="s">
        <v>54</v>
      </c>
      <c r="I128">
        <v>1260</v>
      </c>
      <c r="J128">
        <v>0</v>
      </c>
      <c r="K128">
        <v>1260</v>
      </c>
      <c r="L128">
        <v>3.21</v>
      </c>
      <c r="M128" s="3">
        <v>0</v>
      </c>
      <c r="N128" s="3">
        <f>LineasPedidoCliente[[#This Row],[Pedidas]]*LineasPedidoCliente[[#This Row],[Precio]]</f>
        <v>4044.6</v>
      </c>
      <c r="O128">
        <v>4044.6</v>
      </c>
      <c r="P128" s="3">
        <v>0</v>
      </c>
    </row>
    <row r="129" spans="1:16" x14ac:dyDescent="0.35">
      <c r="A129" s="1"/>
      <c r="C129" s="2"/>
      <c r="D129">
        <v>148</v>
      </c>
      <c r="E129" s="3" t="s">
        <v>189</v>
      </c>
      <c r="F129" s="3" t="s">
        <v>190</v>
      </c>
      <c r="G129" s="2" t="s">
        <v>203</v>
      </c>
      <c r="H129" s="2" t="s">
        <v>161</v>
      </c>
      <c r="I129">
        <v>2520</v>
      </c>
      <c r="J129">
        <v>0</v>
      </c>
      <c r="K129">
        <v>2520</v>
      </c>
      <c r="L129">
        <v>4.16</v>
      </c>
      <c r="M129" s="3">
        <v>0</v>
      </c>
      <c r="N129" s="3">
        <f>LineasPedidoCliente[[#This Row],[Pedidas]]*LineasPedidoCliente[[#This Row],[Precio]]</f>
        <v>10483.200000000001</v>
      </c>
      <c r="O129">
        <v>10483.200000000001</v>
      </c>
      <c r="P129" s="3">
        <v>0</v>
      </c>
    </row>
    <row r="130" spans="1:16" x14ac:dyDescent="0.35">
      <c r="A130" s="1"/>
      <c r="C130" s="2"/>
      <c r="D130">
        <v>148</v>
      </c>
      <c r="E130" s="3" t="s">
        <v>189</v>
      </c>
      <c r="F130" s="3" t="s">
        <v>190</v>
      </c>
      <c r="G130" s="2" t="s">
        <v>204</v>
      </c>
      <c r="H130" s="2" t="s">
        <v>218</v>
      </c>
      <c r="I130">
        <v>2904</v>
      </c>
      <c r="J130">
        <v>0</v>
      </c>
      <c r="K130">
        <v>2904</v>
      </c>
      <c r="L130">
        <v>5.87</v>
      </c>
      <c r="M130" s="3">
        <v>0</v>
      </c>
      <c r="N130" s="3">
        <f>LineasPedidoCliente[[#This Row],[Pedidas]]*LineasPedidoCliente[[#This Row],[Precio]]</f>
        <v>17046.48</v>
      </c>
      <c r="O130">
        <v>17046.48</v>
      </c>
      <c r="P130" s="3">
        <v>0</v>
      </c>
    </row>
    <row r="131" spans="1:16" x14ac:dyDescent="0.35">
      <c r="A131" s="1"/>
      <c r="C131" s="2"/>
      <c r="D131">
        <v>148</v>
      </c>
      <c r="E131" s="3" t="s">
        <v>189</v>
      </c>
      <c r="F131" s="3" t="s">
        <v>190</v>
      </c>
      <c r="G131" s="2" t="s">
        <v>205</v>
      </c>
      <c r="H131" s="2" t="s">
        <v>219</v>
      </c>
      <c r="I131">
        <v>1088</v>
      </c>
      <c r="J131">
        <v>0</v>
      </c>
      <c r="K131">
        <v>1088</v>
      </c>
      <c r="L131">
        <v>4.53</v>
      </c>
      <c r="M131" s="3">
        <v>0</v>
      </c>
      <c r="N131" s="3">
        <f>LineasPedidoCliente[[#This Row],[Pedidas]]*LineasPedidoCliente[[#This Row],[Precio]]</f>
        <v>4928.6400000000003</v>
      </c>
      <c r="O131">
        <v>4928.6400000000003</v>
      </c>
      <c r="P131" s="3">
        <v>0</v>
      </c>
    </row>
    <row r="132" spans="1:16" x14ac:dyDescent="0.35">
      <c r="A132" s="1"/>
      <c r="C132" s="2"/>
      <c r="D132">
        <v>148</v>
      </c>
      <c r="E132" s="3" t="s">
        <v>189</v>
      </c>
      <c r="F132" s="3" t="s">
        <v>190</v>
      </c>
      <c r="G132" s="2" t="s">
        <v>156</v>
      </c>
      <c r="H132" s="2" t="s">
        <v>220</v>
      </c>
      <c r="I132">
        <v>300</v>
      </c>
      <c r="J132">
        <v>0</v>
      </c>
      <c r="K132">
        <v>300</v>
      </c>
      <c r="L132">
        <v>12.83</v>
      </c>
      <c r="M132" s="3">
        <v>0</v>
      </c>
      <c r="N132" s="3">
        <f>LineasPedidoCliente[[#This Row],[Pedidas]]*LineasPedidoCliente[[#This Row],[Precio]]</f>
        <v>3849</v>
      </c>
      <c r="O132">
        <v>3849</v>
      </c>
      <c r="P132" s="3">
        <v>0</v>
      </c>
    </row>
    <row r="133" spans="1:16" x14ac:dyDescent="0.35">
      <c r="A133" s="1"/>
      <c r="C133" s="2"/>
      <c r="D133">
        <v>148</v>
      </c>
      <c r="E133" s="3" t="s">
        <v>189</v>
      </c>
      <c r="F133" s="3" t="s">
        <v>190</v>
      </c>
      <c r="G133" s="2" t="s">
        <v>206</v>
      </c>
      <c r="H133" s="2" t="s">
        <v>221</v>
      </c>
      <c r="I133">
        <v>648</v>
      </c>
      <c r="J133">
        <v>0</v>
      </c>
      <c r="K133">
        <v>648</v>
      </c>
      <c r="L133">
        <v>3.83</v>
      </c>
      <c r="M133" s="3">
        <v>0</v>
      </c>
      <c r="N133" s="3">
        <f>LineasPedidoCliente[[#This Row],[Pedidas]]*LineasPedidoCliente[[#This Row],[Precio]]</f>
        <v>2481.84</v>
      </c>
      <c r="O133">
        <v>2481.84</v>
      </c>
      <c r="P133" s="3">
        <v>0</v>
      </c>
    </row>
    <row r="134" spans="1:16" x14ac:dyDescent="0.35">
      <c r="A134" s="1"/>
      <c r="C134" s="2"/>
      <c r="D134">
        <v>891</v>
      </c>
      <c r="E134" s="2">
        <v>430000427</v>
      </c>
      <c r="F134" s="2" t="s">
        <v>30</v>
      </c>
      <c r="G134" s="2" t="s">
        <v>222</v>
      </c>
      <c r="H134" s="2" t="s">
        <v>225</v>
      </c>
      <c r="I134">
        <v>2772</v>
      </c>
      <c r="J134" s="3">
        <v>0</v>
      </c>
      <c r="K134">
        <v>2772</v>
      </c>
      <c r="L134">
        <v>3.23</v>
      </c>
      <c r="M134" s="3">
        <v>0</v>
      </c>
      <c r="N134" s="3">
        <f>LineasPedidoCliente[[#This Row],[Pedidas]]*LineasPedidoCliente[[#This Row],[Precio]]</f>
        <v>8953.56</v>
      </c>
      <c r="O134">
        <v>8953.56</v>
      </c>
      <c r="P134" s="3">
        <v>0</v>
      </c>
    </row>
    <row r="135" spans="1:16" x14ac:dyDescent="0.35">
      <c r="A135" s="1"/>
      <c r="C135" s="2"/>
      <c r="D135" s="3">
        <v>891</v>
      </c>
      <c r="E135" s="2">
        <v>430000427</v>
      </c>
      <c r="F135" s="2" t="s">
        <v>30</v>
      </c>
      <c r="G135" s="2" t="s">
        <v>223</v>
      </c>
      <c r="H135" s="2" t="s">
        <v>218</v>
      </c>
      <c r="I135">
        <v>1848</v>
      </c>
      <c r="J135" s="3">
        <v>0</v>
      </c>
      <c r="K135">
        <v>1848</v>
      </c>
      <c r="L135">
        <v>4.97</v>
      </c>
      <c r="M135" s="3">
        <v>0</v>
      </c>
      <c r="N135" s="3">
        <f>LineasPedidoCliente[[#This Row],[Pedidas]]*LineasPedidoCliente[[#This Row],[Precio]]</f>
        <v>9184.56</v>
      </c>
      <c r="O135">
        <v>9184.56</v>
      </c>
      <c r="P135" s="3">
        <v>0</v>
      </c>
    </row>
    <row r="136" spans="1:16" x14ac:dyDescent="0.35">
      <c r="A136" s="1"/>
      <c r="C136" s="2"/>
      <c r="D136" s="3">
        <v>891</v>
      </c>
      <c r="E136" s="2">
        <v>430000427</v>
      </c>
      <c r="F136" s="2" t="s">
        <v>30</v>
      </c>
      <c r="G136" s="2" t="s">
        <v>191</v>
      </c>
      <c r="H136" s="2" t="s">
        <v>207</v>
      </c>
      <c r="I136">
        <v>2772</v>
      </c>
      <c r="J136" s="3">
        <v>0</v>
      </c>
      <c r="K136">
        <v>2772</v>
      </c>
      <c r="L136">
        <v>3.29</v>
      </c>
      <c r="M136" s="3">
        <v>0</v>
      </c>
      <c r="N136" s="3">
        <f>LineasPedidoCliente[[#This Row],[Pedidas]]*LineasPedidoCliente[[#This Row],[Precio]]</f>
        <v>9119.8799999999992</v>
      </c>
      <c r="O136">
        <v>9119.8799999999992</v>
      </c>
      <c r="P136" s="3">
        <v>0</v>
      </c>
    </row>
    <row r="137" spans="1:16" x14ac:dyDescent="0.35">
      <c r="A137" s="1"/>
      <c r="C137" s="2"/>
      <c r="D137" s="3">
        <v>891</v>
      </c>
      <c r="E137" s="2">
        <v>430000427</v>
      </c>
      <c r="F137" s="2" t="s">
        <v>30</v>
      </c>
      <c r="G137" s="2" t="s">
        <v>194</v>
      </c>
      <c r="H137" s="2" t="s">
        <v>210</v>
      </c>
      <c r="I137">
        <v>1848</v>
      </c>
      <c r="J137" s="3">
        <v>0</v>
      </c>
      <c r="K137">
        <v>1848</v>
      </c>
      <c r="L137">
        <v>3.42</v>
      </c>
      <c r="M137" s="3">
        <v>0</v>
      </c>
      <c r="N137" s="3">
        <f>LineasPedidoCliente[[#This Row],[Pedidas]]*LineasPedidoCliente[[#This Row],[Precio]]</f>
        <v>6320.16</v>
      </c>
      <c r="O137">
        <v>6320.16</v>
      </c>
      <c r="P137" s="3">
        <v>0</v>
      </c>
    </row>
    <row r="138" spans="1:16" x14ac:dyDescent="0.35">
      <c r="A138" s="1"/>
      <c r="C138" s="2"/>
      <c r="D138" s="3">
        <v>891</v>
      </c>
      <c r="E138" s="2">
        <v>430000427</v>
      </c>
      <c r="F138" s="2" t="s">
        <v>30</v>
      </c>
      <c r="G138" s="2" t="s">
        <v>224</v>
      </c>
      <c r="H138" s="2" t="s">
        <v>226</v>
      </c>
      <c r="I138">
        <v>1920</v>
      </c>
      <c r="J138" s="3">
        <v>0</v>
      </c>
      <c r="K138">
        <v>1920</v>
      </c>
      <c r="L138">
        <v>3.29</v>
      </c>
      <c r="M138" s="3">
        <v>0</v>
      </c>
      <c r="N138" s="3">
        <f>LineasPedidoCliente[[#This Row],[Pedidas]]*LineasPedidoCliente[[#This Row],[Precio]]</f>
        <v>6316.8</v>
      </c>
      <c r="O138">
        <v>6316.8</v>
      </c>
      <c r="P138" s="3">
        <v>0</v>
      </c>
    </row>
    <row r="139" spans="1:16" x14ac:dyDescent="0.35">
      <c r="A139" s="1"/>
      <c r="C139" s="2"/>
      <c r="D139">
        <v>892</v>
      </c>
      <c r="E139" s="2">
        <v>430000019</v>
      </c>
      <c r="F139" s="2" t="s">
        <v>18</v>
      </c>
      <c r="G139" s="2" t="s">
        <v>227</v>
      </c>
      <c r="H139" s="2" t="s">
        <v>228</v>
      </c>
      <c r="I139">
        <v>600</v>
      </c>
      <c r="J139">
        <v>0</v>
      </c>
      <c r="K139">
        <v>600</v>
      </c>
      <c r="L139">
        <v>3.07</v>
      </c>
      <c r="M139">
        <v>0</v>
      </c>
      <c r="N139" s="3">
        <f>LineasPedidoCliente[[#This Row],[Pedidas]]*LineasPedidoCliente[[#This Row],[Precio]]</f>
        <v>1842</v>
      </c>
      <c r="O139" s="3">
        <f>LineasPedidoCliente[[#This Row],[Pedidas]]*LineasPedidoCliente[[#This Row],[Precio]]</f>
        <v>1842</v>
      </c>
      <c r="P13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A0605-CC66-4772-B072-630BD14263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2026-10-20T05:43:34Z</dcterms:created>
  <dcterms:modified xsi:type="dcterms:W3CDTF">2026-10-22T06:20:22Z</dcterms:modified>
</cp:coreProperties>
</file>