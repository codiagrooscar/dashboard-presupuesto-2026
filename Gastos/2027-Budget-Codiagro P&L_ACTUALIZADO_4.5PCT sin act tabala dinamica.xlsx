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1" documentId="11_31E56D090FB686ED8EE2D5A13F87D909DF8EE496" xr6:coauthVersionLast="47" xr6:coauthVersionMax="47" xr10:uidLastSave="{3D7FE2E9-19EF-49E2-A73D-B3729679E9C2}"/>
  <bookViews>
    <workbookView xWindow="-120" yWindow="-120" windowWidth="29040" windowHeight="15720" tabRatio="804" xr2:uid="{00000000-000D-0000-FFFF-FFFF00000000}"/>
  </bookViews>
  <sheets>
    <sheet name="2027" sheetId="1" r:id="rId1"/>
    <sheet name="TABLA" sheetId="2" r:id="rId2"/>
    <sheet name="PL Mensual 2027" sheetId="3" r:id="rId3"/>
    <sheet name="Ginger" sheetId="4" state="hidden" r:id="rId4"/>
    <sheet name="Extraitems 2026" sheetId="5" state="hidden" r:id="rId5"/>
    <sheet name="Ext Items 2026" sheetId="6" state="hidden" r:id="rId6"/>
    <sheet name="Ext Items Budget" sheetId="7" state="hidden" r:id="rId7"/>
    <sheet name="Ext Items 2025" sheetId="8" state="hidden" r:id="rId8"/>
    <sheet name="Cuenta Ok" sheetId="9" state="hidden" r:id="rId9"/>
  </sheets>
  <definedNames>
    <definedName name="_xlnm._FilterDatabase" localSheetId="7" hidden="1">'Ext Items 2025'!$B$2:$M$35</definedName>
    <definedName name="_xlnm._FilterDatabase" localSheetId="5" hidden="1">'Ext Items 2026'!$A$2:$O$59</definedName>
    <definedName name="_xlnm._FilterDatabase" localSheetId="3" hidden="1">Ginger!$A$1:$I$155</definedName>
    <definedName name="_xlnm._FilterDatabase" localSheetId="2" hidden="1">'PL Mensual 2027'!$B$3:$X$205</definedName>
    <definedName name="Datos">#REF!</definedName>
  </definedNames>
  <calcPr calcId="191029"/>
  <pivotCaches>
    <pivotCache cacheId="109" r:id="rId10"/>
    <pivotCache cacheId="11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0" i="9" l="1"/>
  <c r="B215" i="9" s="1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" i="7" s="1"/>
  <c r="L10" i="7"/>
  <c r="L9" i="7"/>
  <c r="L8" i="7"/>
  <c r="L7" i="7"/>
  <c r="L6" i="7"/>
  <c r="L5" i="7"/>
  <c r="L4" i="7"/>
  <c r="L3" i="7"/>
  <c r="N1" i="6"/>
  <c r="G156" i="4"/>
  <c r="H155" i="4"/>
  <c r="I155" i="4" s="1"/>
  <c r="H154" i="4"/>
  <c r="H153" i="4"/>
  <c r="I153" i="4" s="1"/>
  <c r="H152" i="4"/>
  <c r="H151" i="4"/>
  <c r="H150" i="4"/>
  <c r="H149" i="4"/>
  <c r="I149" i="4" s="1"/>
  <c r="H148" i="4"/>
  <c r="I148" i="4" s="1"/>
  <c r="I147" i="4"/>
  <c r="H147" i="4"/>
  <c r="H146" i="4"/>
  <c r="I146" i="4" s="1"/>
  <c r="I145" i="4"/>
  <c r="H145" i="4"/>
  <c r="I144" i="4"/>
  <c r="H144" i="4"/>
  <c r="H143" i="4"/>
  <c r="I143" i="4" s="1"/>
  <c r="H142" i="4"/>
  <c r="H141" i="4"/>
  <c r="I141" i="4" s="1"/>
  <c r="H140" i="4"/>
  <c r="I140" i="4" s="1"/>
  <c r="I139" i="4"/>
  <c r="H139" i="4"/>
  <c r="H138" i="4"/>
  <c r="H137" i="4"/>
  <c r="I137" i="4" s="1"/>
  <c r="H136" i="4"/>
  <c r="I136" i="4" s="1"/>
  <c r="H135" i="4"/>
  <c r="I135" i="4" s="1"/>
  <c r="H134" i="4"/>
  <c r="I134" i="4" s="1"/>
  <c r="H133" i="4"/>
  <c r="I133" i="4" s="1"/>
  <c r="I132" i="4"/>
  <c r="H132" i="4"/>
  <c r="H131" i="4"/>
  <c r="I130" i="4"/>
  <c r="H130" i="4"/>
  <c r="H129" i="4"/>
  <c r="I129" i="4" s="1"/>
  <c r="H128" i="4"/>
  <c r="I128" i="4" s="1"/>
  <c r="I127" i="4"/>
  <c r="H127" i="4"/>
  <c r="H126" i="4"/>
  <c r="H125" i="4"/>
  <c r="I125" i="4" s="1"/>
  <c r="I124" i="4"/>
  <c r="H124" i="4"/>
  <c r="H123" i="4"/>
  <c r="I123" i="4" s="1"/>
  <c r="H122" i="4"/>
  <c r="I122" i="4" s="1"/>
  <c r="H121" i="4"/>
  <c r="I121" i="4" s="1"/>
  <c r="H120" i="4"/>
  <c r="I119" i="4"/>
  <c r="H119" i="4"/>
  <c r="H118" i="4"/>
  <c r="H117" i="4"/>
  <c r="I117" i="4" s="1"/>
  <c r="I116" i="4"/>
  <c r="H116" i="4"/>
  <c r="H115" i="4"/>
  <c r="I114" i="4"/>
  <c r="H114" i="4"/>
  <c r="H113" i="4"/>
  <c r="I113" i="4" s="1"/>
  <c r="H112" i="4"/>
  <c r="H111" i="4"/>
  <c r="I111" i="4" s="1"/>
  <c r="H110" i="4"/>
  <c r="I110" i="4" s="1"/>
  <c r="H109" i="4"/>
  <c r="H108" i="4"/>
  <c r="I108" i="4" s="1"/>
  <c r="H107" i="4"/>
  <c r="I107" i="4" s="1"/>
  <c r="I106" i="4"/>
  <c r="H106" i="4"/>
  <c r="H105" i="4"/>
  <c r="I105" i="4" s="1"/>
  <c r="H104" i="4"/>
  <c r="H103" i="4"/>
  <c r="I103" i="4" s="1"/>
  <c r="H102" i="4"/>
  <c r="H101" i="4"/>
  <c r="H100" i="4"/>
  <c r="H99" i="4"/>
  <c r="I98" i="4"/>
  <c r="H98" i="4"/>
  <c r="I97" i="4"/>
  <c r="H97" i="4"/>
  <c r="I96" i="4"/>
  <c r="H96" i="4"/>
  <c r="H95" i="4"/>
  <c r="I95" i="4" s="1"/>
  <c r="H94" i="4"/>
  <c r="H93" i="4"/>
  <c r="H92" i="4"/>
  <c r="I92" i="4" s="1"/>
  <c r="H91" i="4"/>
  <c r="H90" i="4"/>
  <c r="H89" i="4"/>
  <c r="I88" i="4"/>
  <c r="H88" i="4"/>
  <c r="H87" i="4"/>
  <c r="H86" i="4"/>
  <c r="H85" i="4"/>
  <c r="I85" i="4" s="1"/>
  <c r="H84" i="4"/>
  <c r="H83" i="4"/>
  <c r="I83" i="4" s="1"/>
  <c r="H82" i="4"/>
  <c r="I82" i="4" s="1"/>
  <c r="H81" i="4"/>
  <c r="H80" i="4"/>
  <c r="I80" i="4" s="1"/>
  <c r="H79" i="4"/>
  <c r="I79" i="4" s="1"/>
  <c r="I78" i="4"/>
  <c r="H78" i="4"/>
  <c r="H77" i="4"/>
  <c r="I77" i="4" s="1"/>
  <c r="I76" i="4"/>
  <c r="H76" i="4"/>
  <c r="I75" i="4"/>
  <c r="H75" i="4"/>
  <c r="H74" i="4"/>
  <c r="I74" i="4" s="1"/>
  <c r="H73" i="4"/>
  <c r="I72" i="4"/>
  <c r="H72" i="4"/>
  <c r="I71" i="4"/>
  <c r="H71" i="4"/>
  <c r="H70" i="4"/>
  <c r="H69" i="4"/>
  <c r="H68" i="4"/>
  <c r="I68" i="4" s="1"/>
  <c r="H67" i="4"/>
  <c r="H66" i="4"/>
  <c r="H65" i="4"/>
  <c r="H64" i="4"/>
  <c r="H63" i="4"/>
  <c r="I63" i="4" s="1"/>
  <c r="H62" i="4"/>
  <c r="H61" i="4"/>
  <c r="H60" i="4"/>
  <c r="I60" i="4" s="1"/>
  <c r="I59" i="4"/>
  <c r="H59" i="4"/>
  <c r="H58" i="4"/>
  <c r="I58" i="4" s="1"/>
  <c r="H57" i="4"/>
  <c r="I57" i="4" s="1"/>
  <c r="H56" i="4"/>
  <c r="I56" i="4" s="1"/>
  <c r="H55" i="4"/>
  <c r="I55" i="4" s="1"/>
  <c r="I54" i="4"/>
  <c r="H54" i="4"/>
  <c r="H53" i="4"/>
  <c r="I52" i="4"/>
  <c r="H52" i="4"/>
  <c r="H51" i="4"/>
  <c r="I51" i="4" s="1"/>
  <c r="H50" i="4"/>
  <c r="H49" i="4"/>
  <c r="I49" i="4" s="1"/>
  <c r="H48" i="4"/>
  <c r="I48" i="4" s="1"/>
  <c r="H47" i="4"/>
  <c r="I47" i="4" s="1"/>
  <c r="H46" i="4"/>
  <c r="H45" i="4"/>
  <c r="H44" i="4"/>
  <c r="I44" i="4" s="1"/>
  <c r="I43" i="4"/>
  <c r="H43" i="4"/>
  <c r="H42" i="4"/>
  <c r="I42" i="4" s="1"/>
  <c r="H41" i="4"/>
  <c r="I41" i="4" s="1"/>
  <c r="H40" i="4"/>
  <c r="I40" i="4" s="1"/>
  <c r="H39" i="4"/>
  <c r="I39" i="4" s="1"/>
  <c r="I38" i="4"/>
  <c r="H38" i="4"/>
  <c r="H37" i="4"/>
  <c r="I36" i="4"/>
  <c r="H36" i="4"/>
  <c r="H35" i="4"/>
  <c r="I35" i="4" s="1"/>
  <c r="I34" i="4"/>
  <c r="H34" i="4"/>
  <c r="I33" i="4"/>
  <c r="H33" i="4"/>
  <c r="I32" i="4"/>
  <c r="H32" i="4"/>
  <c r="H31" i="4"/>
  <c r="I31" i="4" s="1"/>
  <c r="H30" i="4"/>
  <c r="I30" i="4" s="1"/>
  <c r="H29" i="4"/>
  <c r="H28" i="4"/>
  <c r="H27" i="4"/>
  <c r="H26" i="4"/>
  <c r="H25" i="4"/>
  <c r="H24" i="4"/>
  <c r="I24" i="4" s="1"/>
  <c r="H23" i="4"/>
  <c r="I23" i="4" s="1"/>
  <c r="I22" i="4"/>
  <c r="H22" i="4"/>
  <c r="I21" i="4"/>
  <c r="H21" i="4"/>
  <c r="I20" i="4"/>
  <c r="H20" i="4"/>
  <c r="I19" i="4"/>
  <c r="H19" i="4"/>
  <c r="H18" i="4"/>
  <c r="I18" i="4" s="1"/>
  <c r="H17" i="4"/>
  <c r="I17" i="4" s="1"/>
  <c r="H16" i="4"/>
  <c r="H15" i="4"/>
  <c r="I14" i="4"/>
  <c r="H14" i="4"/>
  <c r="H13" i="4"/>
  <c r="H12" i="4"/>
  <c r="I12" i="4" s="1"/>
  <c r="I11" i="4"/>
  <c r="H11" i="4"/>
  <c r="H10" i="4"/>
  <c r="I10" i="4" s="1"/>
  <c r="I9" i="4"/>
  <c r="H9" i="4"/>
  <c r="H8" i="4"/>
  <c r="H7" i="4"/>
  <c r="I7" i="4" s="1"/>
  <c r="H6" i="4"/>
  <c r="I6" i="4" s="1"/>
  <c r="H5" i="4"/>
  <c r="H4" i="4"/>
  <c r="I3" i="4"/>
  <c r="H3" i="4"/>
  <c r="I2" i="4"/>
  <c r="H2" i="4"/>
  <c r="W2" i="3"/>
  <c r="V2" i="3"/>
  <c r="U2" i="3"/>
  <c r="T2" i="3"/>
  <c r="S2" i="3"/>
  <c r="R2" i="3"/>
  <c r="Q2" i="3"/>
  <c r="P2" i="3"/>
  <c r="O2" i="3"/>
  <c r="G157" i="4" s="1"/>
  <c r="N2" i="3"/>
  <c r="M2" i="3"/>
  <c r="L2" i="3"/>
  <c r="K2" i="3"/>
  <c r="O19" i="2"/>
  <c r="O18" i="2"/>
  <c r="N18" i="2"/>
  <c r="L18" i="2"/>
  <c r="J18" i="2"/>
  <c r="I18" i="2"/>
  <c r="F18" i="2"/>
  <c r="D18" i="2"/>
  <c r="O17" i="2"/>
  <c r="N17" i="2"/>
  <c r="M17" i="2"/>
  <c r="M18" i="2" s="1"/>
  <c r="L17" i="2"/>
  <c r="K17" i="2"/>
  <c r="K18" i="2" s="1"/>
  <c r="J17" i="2"/>
  <c r="I17" i="2"/>
  <c r="H17" i="2"/>
  <c r="H18" i="2" s="1"/>
  <c r="G17" i="2"/>
  <c r="G18" i="2" s="1"/>
  <c r="F17" i="2"/>
  <c r="E17" i="2"/>
  <c r="E18" i="2" s="1"/>
  <c r="D17" i="2"/>
  <c r="C17" i="2"/>
  <c r="C18" i="2" s="1"/>
  <c r="DH28" i="1"/>
  <c r="DH27" i="1"/>
  <c r="DH20" i="1"/>
  <c r="DH21" i="1" s="1"/>
  <c r="DH19" i="1"/>
  <c r="DH18" i="1"/>
  <c r="DH16" i="1"/>
  <c r="DH15" i="1"/>
  <c r="DH11" i="1"/>
  <c r="DH12" i="1" s="1"/>
  <c r="DH10" i="1"/>
  <c r="CF28" i="1"/>
  <c r="CF27" i="1"/>
  <c r="U27" i="1"/>
  <c r="BE28" i="1"/>
  <c r="CX18" i="1"/>
  <c r="AM18" i="1"/>
  <c r="CO15" i="1"/>
  <c r="AD15" i="1"/>
  <c r="DG10" i="1"/>
  <c r="AV10" i="1"/>
  <c r="AD28" i="1"/>
  <c r="CX28" i="1"/>
  <c r="BE27" i="1"/>
  <c r="BW28" i="1"/>
  <c r="DG11" i="1"/>
  <c r="CO27" i="1"/>
  <c r="AM27" i="1"/>
  <c r="L27" i="1"/>
  <c r="C19" i="1"/>
  <c r="CF11" i="1"/>
  <c r="AM11" i="1"/>
  <c r="BN10" i="1"/>
  <c r="BN28" i="1"/>
  <c r="BW15" i="1"/>
  <c r="L11" i="1"/>
  <c r="BE11" i="1"/>
  <c r="BN19" i="1"/>
  <c r="U19" i="1"/>
  <c r="CX11" i="1"/>
  <c r="DG19" i="1"/>
  <c r="CO18" i="1"/>
  <c r="AV18" i="1"/>
  <c r="C18" i="1"/>
  <c r="AV15" i="1"/>
  <c r="C15" i="1"/>
  <c r="C27" i="1"/>
  <c r="L15" i="1"/>
  <c r="BW11" i="1"/>
  <c r="U10" i="1"/>
  <c r="U18" i="1"/>
  <c r="AM15" i="1"/>
  <c r="L28" i="1"/>
  <c r="AV19" i="1"/>
  <c r="L19" i="1"/>
  <c r="DG15" i="1"/>
  <c r="CX10" i="1"/>
  <c r="BW10" i="1"/>
  <c r="AD27" i="1"/>
  <c r="BE18" i="1"/>
  <c r="AM19" i="1"/>
  <c r="BN18" i="1"/>
  <c r="C28" i="1"/>
  <c r="BW27" i="1"/>
  <c r="C10" i="1"/>
  <c r="U28" i="1"/>
  <c r="BW19" i="1"/>
  <c r="AM10" i="1"/>
  <c r="L10" i="1"/>
  <c r="AD10" i="1"/>
  <c r="CF10" i="1"/>
  <c r="BE19" i="1"/>
  <c r="AV28" i="1"/>
  <c r="BN15" i="1"/>
  <c r="CO28" i="1"/>
  <c r="BE15" i="1"/>
  <c r="CO19" i="1"/>
  <c r="DG27" i="1"/>
  <c r="CF18" i="1"/>
  <c r="L18" i="1"/>
  <c r="CX15" i="1"/>
  <c r="BN11" i="1"/>
  <c r="AD11" i="1"/>
  <c r="C11" i="1"/>
  <c r="BW18" i="1"/>
  <c r="U15" i="1"/>
  <c r="DG28" i="1"/>
  <c r="BN27" i="1"/>
  <c r="CX19" i="1"/>
  <c r="CO11" i="1"/>
  <c r="CO10" i="1"/>
  <c r="CX27" i="1"/>
  <c r="AV27" i="1"/>
  <c r="AD19" i="1"/>
  <c r="DG18" i="1"/>
  <c r="AM28" i="1"/>
  <c r="BE10" i="1"/>
  <c r="U11" i="1"/>
  <c r="AD18" i="1"/>
  <c r="CF19" i="1"/>
  <c r="AV11" i="1"/>
  <c r="CF15" i="1"/>
  <c r="CF16" i="1" l="1"/>
  <c r="CI15" i="1"/>
  <c r="CH15" i="1"/>
  <c r="CL15" i="1"/>
  <c r="CJ15" i="1"/>
  <c r="AZ11" i="1"/>
  <c r="BB11" i="1" s="1"/>
  <c r="AY11" i="1"/>
  <c r="AX11" i="1"/>
  <c r="CJ19" i="1"/>
  <c r="CK19" i="1" s="1"/>
  <c r="CL19" i="1"/>
  <c r="CI19" i="1"/>
  <c r="CH19" i="1"/>
  <c r="AF18" i="1"/>
  <c r="AD20" i="1"/>
  <c r="AH18" i="1"/>
  <c r="AJ18" i="1" s="1"/>
  <c r="AG18" i="1"/>
  <c r="W11" i="1"/>
  <c r="X11" i="1"/>
  <c r="Y11" i="1"/>
  <c r="AA11" i="1"/>
  <c r="Z11" i="1"/>
  <c r="BJ10" i="1"/>
  <c r="BH10" i="1"/>
  <c r="BE12" i="1"/>
  <c r="BI10" i="1"/>
  <c r="BG10" i="1"/>
  <c r="AQ28" i="1"/>
  <c r="AS28" i="1" s="1"/>
  <c r="AR28" i="1"/>
  <c r="AO28" i="1"/>
  <c r="DG20" i="1"/>
  <c r="DK18" i="1"/>
  <c r="DK20" i="1" s="1"/>
  <c r="DJ18" i="1"/>
  <c r="DI18" i="1"/>
  <c r="AF19" i="1"/>
  <c r="AH19" i="1"/>
  <c r="AJ19" i="1" s="1"/>
  <c r="AG19" i="1"/>
  <c r="AY27" i="1"/>
  <c r="AX27" i="1"/>
  <c r="AZ27" i="1"/>
  <c r="BA27" i="1" s="1"/>
  <c r="BB27" i="1"/>
  <c r="DA27" i="1"/>
  <c r="CZ27" i="1"/>
  <c r="DD27" i="1"/>
  <c r="DB27" i="1"/>
  <c r="DC27" i="1" s="1"/>
  <c r="CO12" i="1"/>
  <c r="CT10" i="1"/>
  <c r="CS10" i="1"/>
  <c r="CR10" i="1"/>
  <c r="CQ10" i="1"/>
  <c r="CS11" i="1"/>
  <c r="CU11" i="1" s="1"/>
  <c r="CT11" i="1"/>
  <c r="CR11" i="1"/>
  <c r="CQ11" i="1"/>
  <c r="DD19" i="1"/>
  <c r="DB19" i="1"/>
  <c r="DC19" i="1" s="1"/>
  <c r="DA19" i="1"/>
  <c r="CZ19" i="1"/>
  <c r="BP27" i="1"/>
  <c r="BR27" i="1"/>
  <c r="BS27" i="1" s="1"/>
  <c r="BQ27" i="1"/>
  <c r="DI28" i="1"/>
  <c r="DK28" i="1"/>
  <c r="DL28" i="1" s="1"/>
  <c r="U16" i="1"/>
  <c r="Z15" i="1"/>
  <c r="Y15" i="1"/>
  <c r="X15" i="1"/>
  <c r="W15" i="1"/>
  <c r="BW20" i="1"/>
  <c r="CC18" i="1"/>
  <c r="BY18" i="1"/>
  <c r="CA18" i="1"/>
  <c r="BZ18" i="1"/>
  <c r="G11" i="1"/>
  <c r="H11" i="1" s="1"/>
  <c r="F11" i="1"/>
  <c r="E11" i="1"/>
  <c r="AH11" i="1"/>
  <c r="AI11" i="1"/>
  <c r="AG11" i="1"/>
  <c r="AF11" i="1"/>
  <c r="AJ11" i="1"/>
  <c r="BT11" i="1"/>
  <c r="BS11" i="1"/>
  <c r="BR11" i="1"/>
  <c r="BQ11" i="1"/>
  <c r="BP11" i="1"/>
  <c r="DA15" i="1"/>
  <c r="DD15" i="1"/>
  <c r="DB15" i="1"/>
  <c r="CZ15" i="1"/>
  <c r="CX16" i="1"/>
  <c r="L20" i="1"/>
  <c r="N18" i="1"/>
  <c r="R18" i="1"/>
  <c r="P18" i="1"/>
  <c r="P20" i="1" s="1"/>
  <c r="O18" i="1"/>
  <c r="CF20" i="1"/>
  <c r="CJ18" i="1"/>
  <c r="CJ20" i="1" s="1"/>
  <c r="CI18" i="1"/>
  <c r="CH18" i="1"/>
  <c r="DL27" i="1"/>
  <c r="DJ27" i="1"/>
  <c r="DI27" i="1"/>
  <c r="DK27" i="1"/>
  <c r="DM27" i="1" s="1"/>
  <c r="CT19" i="1"/>
  <c r="CQ19" i="1"/>
  <c r="CS19" i="1"/>
  <c r="CU19" i="1"/>
  <c r="CR19" i="1"/>
  <c r="BH15" i="1"/>
  <c r="BE16" i="1"/>
  <c r="BG15" i="1"/>
  <c r="BI15" i="1"/>
  <c r="BI16" i="1" s="1"/>
  <c r="CT28" i="1"/>
  <c r="CS28" i="1"/>
  <c r="CQ28" i="1"/>
  <c r="CU28" i="1"/>
  <c r="BN16" i="1"/>
  <c r="BR15" i="1"/>
  <c r="BR16" i="1" s="1"/>
  <c r="BQ15" i="1"/>
  <c r="BP15" i="1"/>
  <c r="AZ28" i="1"/>
  <c r="BB28" i="1" s="1"/>
  <c r="AX28" i="1"/>
  <c r="BG19" i="1"/>
  <c r="BH19" i="1"/>
  <c r="BJ19" i="1"/>
  <c r="BI19" i="1"/>
  <c r="BK19" i="1" s="1"/>
  <c r="CF12" i="1"/>
  <c r="CJ10" i="1"/>
  <c r="CJ12" i="1" s="1"/>
  <c r="CH10" i="1"/>
  <c r="CI10" i="1"/>
  <c r="AD12" i="1"/>
  <c r="AG10" i="1"/>
  <c r="AH10" i="1"/>
  <c r="AH12" i="1" s="1"/>
  <c r="AF10" i="1"/>
  <c r="R10" i="1"/>
  <c r="P10" i="1"/>
  <c r="Q10" i="1" s="1"/>
  <c r="O10" i="1"/>
  <c r="N10" i="1"/>
  <c r="L12" i="1"/>
  <c r="AQ10" i="1"/>
  <c r="AO10" i="1"/>
  <c r="AP10" i="1"/>
  <c r="AM12" i="1"/>
  <c r="BY19" i="1"/>
  <c r="CB19" i="1"/>
  <c r="CA19" i="1"/>
  <c r="CC19" i="1" s="1"/>
  <c r="BZ19" i="1"/>
  <c r="Y28" i="1"/>
  <c r="Z28" i="1" s="1"/>
  <c r="W28" i="1"/>
  <c r="H10" i="1"/>
  <c r="G10" i="1"/>
  <c r="E10" i="1"/>
  <c r="F10" i="1"/>
  <c r="C12" i="1"/>
  <c r="BZ27" i="1"/>
  <c r="BY27" i="1"/>
  <c r="CA27" i="1"/>
  <c r="CC27" i="1" s="1"/>
  <c r="G28" i="1"/>
  <c r="H28" i="1" s="1"/>
  <c r="E28" i="1"/>
  <c r="BN20" i="1"/>
  <c r="BR18" i="1"/>
  <c r="BQ18" i="1"/>
  <c r="BP18" i="1"/>
  <c r="AS19" i="1"/>
  <c r="AR19" i="1"/>
  <c r="AQ19" i="1"/>
  <c r="AP19" i="1"/>
  <c r="AO19" i="1"/>
  <c r="BH18" i="1"/>
  <c r="BG18" i="1"/>
  <c r="BI18" i="1"/>
  <c r="BK18" i="1" s="1"/>
  <c r="BE20" i="1"/>
  <c r="AI27" i="1"/>
  <c r="AH27" i="1"/>
  <c r="AG27" i="1"/>
  <c r="AF27" i="1"/>
  <c r="AJ27" i="1"/>
  <c r="BW12" i="1"/>
  <c r="CC10" i="1"/>
  <c r="BY10" i="1"/>
  <c r="CB10" i="1"/>
  <c r="CA10" i="1"/>
  <c r="CA12" i="1" s="1"/>
  <c r="BZ10" i="1"/>
  <c r="DC10" i="1"/>
  <c r="DB10" i="1"/>
  <c r="DA10" i="1"/>
  <c r="CZ10" i="1"/>
  <c r="CX12" i="1"/>
  <c r="DD10" i="1"/>
  <c r="DI15" i="1"/>
  <c r="DK15" i="1"/>
  <c r="DK16" i="1" s="1"/>
  <c r="DG16" i="1"/>
  <c r="DJ15" i="1"/>
  <c r="R19" i="1"/>
  <c r="N19" i="1"/>
  <c r="Q19" i="1"/>
  <c r="P19" i="1"/>
  <c r="O19" i="1"/>
  <c r="AX19" i="1"/>
  <c r="AY19" i="1"/>
  <c r="BB19" i="1"/>
  <c r="AZ19" i="1"/>
  <c r="BA19" i="1" s="1"/>
  <c r="N28" i="1"/>
  <c r="P28" i="1"/>
  <c r="Q28" i="1" s="1"/>
  <c r="AQ15" i="1"/>
  <c r="AQ16" i="1" s="1"/>
  <c r="AO15" i="1"/>
  <c r="AP15" i="1"/>
  <c r="AM16" i="1"/>
  <c r="U20" i="1"/>
  <c r="Z18" i="1"/>
  <c r="Y18" i="1"/>
  <c r="Y20" i="1" s="1"/>
  <c r="X18" i="1"/>
  <c r="W18" i="1"/>
  <c r="U12" i="1"/>
  <c r="W10" i="1"/>
  <c r="AA10" i="1"/>
  <c r="X10" i="1"/>
  <c r="Y10" i="1"/>
  <c r="BY11" i="1"/>
  <c r="CB11" i="1"/>
  <c r="CA11" i="1"/>
  <c r="BZ11" i="1"/>
  <c r="CC11" i="1"/>
  <c r="O15" i="1"/>
  <c r="Q15" i="1"/>
  <c r="L16" i="1"/>
  <c r="N15" i="1"/>
  <c r="P15" i="1"/>
  <c r="P16" i="1" s="1"/>
  <c r="G27" i="1"/>
  <c r="H27" i="1" s="1"/>
  <c r="F27" i="1"/>
  <c r="E27" i="1"/>
  <c r="I27" i="1"/>
  <c r="F15" i="1"/>
  <c r="E15" i="1"/>
  <c r="G15" i="1"/>
  <c r="G16" i="1" s="1"/>
  <c r="C16" i="1"/>
  <c r="AY15" i="1"/>
  <c r="BB15" i="1"/>
  <c r="AZ15" i="1"/>
  <c r="AX15" i="1"/>
  <c r="AV16" i="1"/>
  <c r="C20" i="1"/>
  <c r="F18" i="1"/>
  <c r="E18" i="1"/>
  <c r="I18" i="1"/>
  <c r="G18" i="1"/>
  <c r="AV20" i="1"/>
  <c r="BA18" i="1"/>
  <c r="AY18" i="1"/>
  <c r="AX18" i="1"/>
  <c r="BB18" i="1"/>
  <c r="AZ18" i="1"/>
  <c r="CO20" i="1"/>
  <c r="CR18" i="1"/>
  <c r="CQ18" i="1"/>
  <c r="CS18" i="1"/>
  <c r="CS20" i="1" s="1"/>
  <c r="DK19" i="1"/>
  <c r="DL19" i="1" s="1"/>
  <c r="DI19" i="1"/>
  <c r="DJ19" i="1"/>
  <c r="DM19" i="1"/>
  <c r="DB11" i="1"/>
  <c r="DC11" i="1" s="1"/>
  <c r="CZ11" i="1"/>
  <c r="DA11" i="1"/>
  <c r="Y19" i="1"/>
  <c r="Z19" i="1"/>
  <c r="W19" i="1"/>
  <c r="X19" i="1"/>
  <c r="AA19" i="1"/>
  <c r="BP19" i="1"/>
  <c r="BQ19" i="1"/>
  <c r="BR19" i="1"/>
  <c r="BT19" i="1" s="1"/>
  <c r="BI11" i="1"/>
  <c r="BK11" i="1" s="1"/>
  <c r="BG11" i="1"/>
  <c r="BH11" i="1"/>
  <c r="N11" i="1"/>
  <c r="P11" i="1"/>
  <c r="Q11" i="1" s="1"/>
  <c r="O11" i="1"/>
  <c r="R11" i="1"/>
  <c r="BW16" i="1"/>
  <c r="BZ15" i="1"/>
  <c r="CB15" i="1"/>
  <c r="CA15" i="1"/>
  <c r="CA16" i="1" s="1"/>
  <c r="BY15" i="1"/>
  <c r="BR28" i="1"/>
  <c r="BT28" i="1" s="1"/>
  <c r="BP28" i="1"/>
  <c r="BS28" i="1"/>
  <c r="BQ10" i="1"/>
  <c r="BS10" i="1"/>
  <c r="BR10" i="1"/>
  <c r="BR12" i="1" s="1"/>
  <c r="BP10" i="1"/>
  <c r="BN12" i="1"/>
  <c r="AQ11" i="1"/>
  <c r="AS11" i="1" s="1"/>
  <c r="AP11" i="1"/>
  <c r="AO11" i="1"/>
  <c r="CJ11" i="1"/>
  <c r="CI11" i="1"/>
  <c r="CK11" i="1"/>
  <c r="CL11" i="1"/>
  <c r="CH11" i="1"/>
  <c r="E19" i="1"/>
  <c r="G19" i="1"/>
  <c r="H19" i="1" s="1"/>
  <c r="F19" i="1"/>
  <c r="R27" i="1"/>
  <c r="O27" i="1"/>
  <c r="P27" i="1"/>
  <c r="Q27" i="1" s="1"/>
  <c r="N27" i="1"/>
  <c r="AP27" i="1"/>
  <c r="AO27" i="1"/>
  <c r="AS27" i="1"/>
  <c r="AQ27" i="1"/>
  <c r="AR27" i="1"/>
  <c r="CT27" i="1"/>
  <c r="CS27" i="1"/>
  <c r="CU27" i="1"/>
  <c r="CQ27" i="1"/>
  <c r="CR27" i="1"/>
  <c r="DL11" i="1"/>
  <c r="DK11" i="1"/>
  <c r="DM11" i="1" s="1"/>
  <c r="DJ11" i="1"/>
  <c r="DI11" i="1"/>
  <c r="BY28" i="1"/>
  <c r="CA28" i="1"/>
  <c r="CC28" i="1" s="1"/>
  <c r="BI27" i="1"/>
  <c r="BJ27" i="1" s="1"/>
  <c r="BK27" i="1"/>
  <c r="BH27" i="1"/>
  <c r="BG27" i="1"/>
  <c r="DC28" i="1"/>
  <c r="DB28" i="1"/>
  <c r="DD28" i="1" s="1"/>
  <c r="CZ28" i="1"/>
  <c r="AH28" i="1"/>
  <c r="AJ28" i="1" s="1"/>
  <c r="AF28" i="1"/>
  <c r="AI28" i="1"/>
  <c r="AX10" i="1"/>
  <c r="AV12" i="1"/>
  <c r="AZ10" i="1"/>
  <c r="AZ12" i="1" s="1"/>
  <c r="AY10" i="1"/>
  <c r="DI10" i="1"/>
  <c r="DJ10" i="1"/>
  <c r="DG12" i="1"/>
  <c r="DK10" i="1"/>
  <c r="DK12" i="1" s="1"/>
  <c r="DM10" i="1"/>
  <c r="DL10" i="1"/>
  <c r="AG15" i="1"/>
  <c r="AI15" i="1"/>
  <c r="AH15" i="1"/>
  <c r="AH16" i="1" s="1"/>
  <c r="AF15" i="1"/>
  <c r="AD16" i="1"/>
  <c r="CU15" i="1"/>
  <c r="CS15" i="1"/>
  <c r="CS16" i="1" s="1"/>
  <c r="CR15" i="1"/>
  <c r="CQ15" i="1"/>
  <c r="CO16" i="1"/>
  <c r="AM20" i="1"/>
  <c r="AO18" i="1"/>
  <c r="AR18" i="1"/>
  <c r="AQ18" i="1"/>
  <c r="AQ20" i="1" s="1"/>
  <c r="AP18" i="1"/>
  <c r="DA18" i="1"/>
  <c r="CX20" i="1"/>
  <c r="CZ18" i="1"/>
  <c r="DC18" i="1"/>
  <c r="DB18" i="1"/>
  <c r="DB20" i="1" s="1"/>
  <c r="BG28" i="1"/>
  <c r="BI28" i="1"/>
  <c r="BK28" i="1" s="1"/>
  <c r="Z27" i="1"/>
  <c r="Y27" i="1"/>
  <c r="AA27" i="1" s="1"/>
  <c r="X27" i="1"/>
  <c r="W27" i="1"/>
  <c r="CJ27" i="1"/>
  <c r="CL27" i="1" s="1"/>
  <c r="CI27" i="1"/>
  <c r="CH27" i="1"/>
  <c r="CJ28" i="1"/>
  <c r="CL28" i="1" s="1"/>
  <c r="CH28" i="1"/>
  <c r="CK28" i="1"/>
  <c r="DH13" i="1"/>
  <c r="DH24" i="1"/>
  <c r="DH22" i="1"/>
  <c r="DH23" i="1" s="1"/>
  <c r="G158" i="4"/>
  <c r="I156" i="4"/>
  <c r="H156" i="4"/>
  <c r="AR11" i="1" l="1"/>
  <c r="AZ16" i="1"/>
  <c r="CA13" i="1"/>
  <c r="I28" i="1"/>
  <c r="AQ12" i="1"/>
  <c r="CL18" i="1"/>
  <c r="I11" i="1"/>
  <c r="DM18" i="1"/>
  <c r="AZ13" i="1"/>
  <c r="O12" i="1"/>
  <c r="L24" i="1"/>
  <c r="R12" i="1"/>
  <c r="L13" i="1"/>
  <c r="N12" i="1"/>
  <c r="BB12" i="1"/>
  <c r="AY12" i="1"/>
  <c r="AX12" i="1"/>
  <c r="BA12" i="1"/>
  <c r="AV13" i="1"/>
  <c r="AA12" i="1"/>
  <c r="Z12" i="1"/>
  <c r="X12" i="1"/>
  <c r="W12" i="1"/>
  <c r="U13" i="1"/>
  <c r="AA28" i="1"/>
  <c r="BA10" i="1"/>
  <c r="BN13" i="1"/>
  <c r="BT12" i="1"/>
  <c r="BS12" i="1"/>
  <c r="BQ12" i="1"/>
  <c r="BP12" i="1"/>
  <c r="CK10" i="1"/>
  <c r="BT15" i="1"/>
  <c r="CF22" i="1"/>
  <c r="CH20" i="1"/>
  <c r="CL20" i="1"/>
  <c r="CF21" i="1"/>
  <c r="CK20" i="1"/>
  <c r="CI20" i="1"/>
  <c r="DM28" i="1"/>
  <c r="DL18" i="1"/>
  <c r="BB10" i="1"/>
  <c r="I19" i="1"/>
  <c r="CC15" i="1"/>
  <c r="BS19" i="1"/>
  <c r="AV21" i="1"/>
  <c r="AV22" i="1"/>
  <c r="BB20" i="1"/>
  <c r="AY20" i="1"/>
  <c r="AX20" i="1"/>
  <c r="R15" i="1"/>
  <c r="R28" i="1"/>
  <c r="DL15" i="1"/>
  <c r="CC12" i="1"/>
  <c r="BW13" i="1"/>
  <c r="BZ12" i="1"/>
  <c r="BY12" i="1"/>
  <c r="BW24" i="1"/>
  <c r="CB12" i="1"/>
  <c r="CK12" i="1"/>
  <c r="CF24" i="1"/>
  <c r="CL12" i="1"/>
  <c r="CI12" i="1"/>
  <c r="CH12" i="1"/>
  <c r="CF13" i="1"/>
  <c r="CA20" i="1"/>
  <c r="DJ20" i="1"/>
  <c r="DL20" i="1"/>
  <c r="DI20" i="1"/>
  <c r="DG22" i="1"/>
  <c r="DG21" i="1"/>
  <c r="DM20" i="1"/>
  <c r="AQ21" i="1"/>
  <c r="AQ22" i="1"/>
  <c r="AQ23" i="1" s="1"/>
  <c r="BR13" i="1"/>
  <c r="G20" i="1"/>
  <c r="Y22" i="1"/>
  <c r="Y23" i="1" s="1"/>
  <c r="Y21" i="1"/>
  <c r="DM15" i="1"/>
  <c r="CB27" i="1"/>
  <c r="P12" i="1"/>
  <c r="BS15" i="1"/>
  <c r="P22" i="1"/>
  <c r="P23" i="1" s="1"/>
  <c r="P21" i="1"/>
  <c r="DK21" i="1"/>
  <c r="DK22" i="1"/>
  <c r="DK23" i="1" s="1"/>
  <c r="DH25" i="1"/>
  <c r="DH29" i="1"/>
  <c r="DH30" i="1" s="1"/>
  <c r="BA11" i="1"/>
  <c r="CK27" i="1"/>
  <c r="CJ13" i="1"/>
  <c r="AS18" i="1"/>
  <c r="AJ15" i="1"/>
  <c r="CB28" i="1"/>
  <c r="BT10" i="1"/>
  <c r="CU18" i="1"/>
  <c r="I15" i="1"/>
  <c r="AA18" i="1"/>
  <c r="CB18" i="1"/>
  <c r="BT27" i="1"/>
  <c r="CS22" i="1"/>
  <c r="CS23" i="1" s="1"/>
  <c r="CS21" i="1"/>
  <c r="H15" i="1"/>
  <c r="U22" i="1"/>
  <c r="U21" i="1"/>
  <c r="AA20" i="1"/>
  <c r="Z20" i="1"/>
  <c r="X20" i="1"/>
  <c r="W20" i="1"/>
  <c r="DA12" i="1"/>
  <c r="DD12" i="1"/>
  <c r="DC12" i="1"/>
  <c r="CX13" i="1"/>
  <c r="CX24" i="1"/>
  <c r="CZ12" i="1"/>
  <c r="I12" i="1"/>
  <c r="F12" i="1"/>
  <c r="E12" i="1"/>
  <c r="C13" i="1"/>
  <c r="AH13" i="1"/>
  <c r="Q18" i="1"/>
  <c r="CC20" i="1"/>
  <c r="BZ20" i="1"/>
  <c r="BY20" i="1"/>
  <c r="BW22" i="1"/>
  <c r="CB20" i="1"/>
  <c r="BW21" i="1"/>
  <c r="CS12" i="1"/>
  <c r="CT12" i="1" s="1"/>
  <c r="AH20" i="1"/>
  <c r="CJ16" i="1"/>
  <c r="CX21" i="1"/>
  <c r="DC20" i="1"/>
  <c r="DA20" i="1"/>
  <c r="CX22" i="1"/>
  <c r="DD20" i="1"/>
  <c r="CZ20" i="1"/>
  <c r="BJ28" i="1"/>
  <c r="AM21" i="1"/>
  <c r="AO20" i="1"/>
  <c r="AP20" i="1"/>
  <c r="AM22" i="1"/>
  <c r="AM24" i="1" s="1"/>
  <c r="AR20" i="1"/>
  <c r="AS20" i="1"/>
  <c r="H18" i="1"/>
  <c r="AR15" i="1"/>
  <c r="BR20" i="1"/>
  <c r="AP12" i="1"/>
  <c r="AM13" i="1"/>
  <c r="AO12" i="1"/>
  <c r="AS12" i="1"/>
  <c r="AR12" i="1"/>
  <c r="Q20" i="1"/>
  <c r="O20" i="1"/>
  <c r="L22" i="1"/>
  <c r="L21" i="1"/>
  <c r="R20" i="1"/>
  <c r="N20" i="1"/>
  <c r="AG20" i="1"/>
  <c r="AD22" i="1"/>
  <c r="AD21" i="1"/>
  <c r="AJ20" i="1"/>
  <c r="AF20" i="1"/>
  <c r="AI20" i="1"/>
  <c r="CT15" i="1"/>
  <c r="DK13" i="1"/>
  <c r="DK24" i="1"/>
  <c r="BJ11" i="1"/>
  <c r="E20" i="1"/>
  <c r="C22" i="1"/>
  <c r="C24" i="1" s="1"/>
  <c r="C21" i="1"/>
  <c r="F20" i="1"/>
  <c r="AS15" i="1"/>
  <c r="BS18" i="1"/>
  <c r="AS10" i="1"/>
  <c r="AI10" i="1"/>
  <c r="CO24" i="1"/>
  <c r="CO13" i="1"/>
  <c r="CR12" i="1"/>
  <c r="CQ12" i="1"/>
  <c r="AI19" i="1"/>
  <c r="BI12" i="1"/>
  <c r="CJ22" i="1"/>
  <c r="CJ23" i="1" s="1"/>
  <c r="CJ21" i="1"/>
  <c r="CK18" i="1"/>
  <c r="DG24" i="1"/>
  <c r="DM12" i="1"/>
  <c r="DL12" i="1"/>
  <c r="DG13" i="1"/>
  <c r="DJ12" i="1"/>
  <c r="DI12" i="1"/>
  <c r="DD11" i="1"/>
  <c r="CT18" i="1"/>
  <c r="BA15" i="1"/>
  <c r="Y12" i="1"/>
  <c r="DB12" i="1"/>
  <c r="BH20" i="1"/>
  <c r="BE22" i="1"/>
  <c r="BE21" i="1"/>
  <c r="BG20" i="1"/>
  <c r="BT18" i="1"/>
  <c r="G12" i="1"/>
  <c r="AJ10" i="1"/>
  <c r="BA28" i="1"/>
  <c r="Y16" i="1"/>
  <c r="CU10" i="1"/>
  <c r="BK10" i="1"/>
  <c r="AI18" i="1"/>
  <c r="CK15" i="1"/>
  <c r="DB21" i="1"/>
  <c r="DB22" i="1"/>
  <c r="DB23" i="1" s="1"/>
  <c r="CR20" i="1"/>
  <c r="CO22" i="1"/>
  <c r="CO21" i="1"/>
  <c r="CU20" i="1"/>
  <c r="CT20" i="1"/>
  <c r="CQ20" i="1"/>
  <c r="BI20" i="1"/>
  <c r="BN21" i="1"/>
  <c r="BQ20" i="1"/>
  <c r="BP20" i="1"/>
  <c r="BN22" i="1"/>
  <c r="BN24" i="1" s="1"/>
  <c r="BS20" i="1"/>
  <c r="AR10" i="1"/>
  <c r="AD24" i="1"/>
  <c r="AJ12" i="1"/>
  <c r="AG12" i="1"/>
  <c r="AD13" i="1"/>
  <c r="AI12" i="1"/>
  <c r="AF12" i="1"/>
  <c r="BJ15" i="1"/>
  <c r="DB16" i="1"/>
  <c r="BJ12" i="1"/>
  <c r="BH12" i="1"/>
  <c r="BE13" i="1"/>
  <c r="BK12" i="1"/>
  <c r="BG12" i="1"/>
  <c r="DD18" i="1"/>
  <c r="AZ20" i="1"/>
  <c r="BA20" i="1" s="1"/>
  <c r="Z10" i="1"/>
  <c r="BJ18" i="1"/>
  <c r="I10" i="1"/>
  <c r="CL10" i="1"/>
  <c r="BK15" i="1"/>
  <c r="DC15" i="1"/>
  <c r="AA15" i="1"/>
  <c r="BP24" i="1" l="1"/>
  <c r="BN25" i="1"/>
  <c r="BQ25" i="1" s="1"/>
  <c r="BQ24" i="1"/>
  <c r="BN29" i="1"/>
  <c r="E24" i="1"/>
  <c r="F24" i="1"/>
  <c r="C29" i="1"/>
  <c r="C25" i="1"/>
  <c r="F25" i="1" s="1"/>
  <c r="AS24" i="1"/>
  <c r="AP24" i="1"/>
  <c r="AM25" i="1"/>
  <c r="AP25" i="1" s="1"/>
  <c r="AO24" i="1"/>
  <c r="AM29" i="1"/>
  <c r="L29" i="1"/>
  <c r="N24" i="1"/>
  <c r="L25" i="1"/>
  <c r="O25" i="1" s="1"/>
  <c r="O24" i="1"/>
  <c r="R24" i="1"/>
  <c r="CF29" i="1"/>
  <c r="CL24" i="1"/>
  <c r="CH24" i="1"/>
  <c r="CF25" i="1"/>
  <c r="CI25" i="1" s="1"/>
  <c r="CI24" i="1"/>
  <c r="AX22" i="1"/>
  <c r="AY22" i="1"/>
  <c r="AV23" i="1"/>
  <c r="CF23" i="1"/>
  <c r="CL22" i="1"/>
  <c r="CK22" i="1"/>
  <c r="CI22" i="1"/>
  <c r="CH22" i="1"/>
  <c r="CU12" i="1"/>
  <c r="DK29" i="1"/>
  <c r="DK30" i="1" s="1"/>
  <c r="DK25" i="1"/>
  <c r="BZ22" i="1"/>
  <c r="BW23" i="1"/>
  <c r="BY22" i="1"/>
  <c r="DD24" i="1"/>
  <c r="CX29" i="1"/>
  <c r="DA24" i="1"/>
  <c r="CZ24" i="1"/>
  <c r="CX25" i="1"/>
  <c r="DA25" i="1" s="1"/>
  <c r="DC24" i="1"/>
  <c r="BI21" i="1"/>
  <c r="BI22" i="1"/>
  <c r="BI23" i="1" s="1"/>
  <c r="G13" i="1"/>
  <c r="G22" i="1"/>
  <c r="G23" i="1" s="1"/>
  <c r="G21" i="1"/>
  <c r="R22" i="1"/>
  <c r="Q22" i="1"/>
  <c r="O22" i="1"/>
  <c r="N22" i="1"/>
  <c r="L23" i="1"/>
  <c r="AZ21" i="1"/>
  <c r="AZ22" i="1"/>
  <c r="CU22" i="1"/>
  <c r="CQ22" i="1"/>
  <c r="CR22" i="1"/>
  <c r="CO23" i="1"/>
  <c r="CT22" i="1"/>
  <c r="BK20" i="1"/>
  <c r="DL22" i="1"/>
  <c r="DJ22" i="1"/>
  <c r="DG23" i="1"/>
  <c r="DM22" i="1"/>
  <c r="DI22" i="1"/>
  <c r="AV24" i="1"/>
  <c r="CS24" i="1"/>
  <c r="CS13" i="1"/>
  <c r="AD25" i="1"/>
  <c r="AG25" i="1" s="1"/>
  <c r="AG24" i="1"/>
  <c r="AF24" i="1"/>
  <c r="AD29" i="1"/>
  <c r="DJ24" i="1"/>
  <c r="DI24" i="1"/>
  <c r="DG29" i="1"/>
  <c r="DL24" i="1"/>
  <c r="DM24" i="1"/>
  <c r="DG25" i="1"/>
  <c r="DJ25" i="1" s="1"/>
  <c r="DA22" i="1"/>
  <c r="CZ22" i="1"/>
  <c r="CX23" i="1"/>
  <c r="DD22" i="1"/>
  <c r="DC22" i="1"/>
  <c r="AQ24" i="1"/>
  <c r="AR24" i="1" s="1"/>
  <c r="AQ13" i="1"/>
  <c r="BG22" i="1"/>
  <c r="BE23" i="1"/>
  <c r="BH22" i="1"/>
  <c r="P13" i="1"/>
  <c r="P24" i="1"/>
  <c r="AJ22" i="1"/>
  <c r="AD23" i="1"/>
  <c r="AF22" i="1"/>
  <c r="AG22" i="1"/>
  <c r="AI22" i="1"/>
  <c r="BR22" i="1"/>
  <c r="BS22" i="1" s="1"/>
  <c r="BR21" i="1"/>
  <c r="H12" i="1"/>
  <c r="H20" i="1"/>
  <c r="AP22" i="1"/>
  <c r="AS22" i="1"/>
  <c r="AR22" i="1"/>
  <c r="AM23" i="1"/>
  <c r="AO22" i="1"/>
  <c r="CO29" i="1"/>
  <c r="CO25" i="1"/>
  <c r="CR25" i="1" s="1"/>
  <c r="CR24" i="1"/>
  <c r="CT24" i="1"/>
  <c r="CU24" i="1"/>
  <c r="CQ24" i="1"/>
  <c r="BW25" i="1"/>
  <c r="BZ25" i="1" s="1"/>
  <c r="BW29" i="1"/>
  <c r="BZ24" i="1"/>
  <c r="BY24" i="1"/>
  <c r="BT20" i="1"/>
  <c r="BJ20" i="1"/>
  <c r="I20" i="1"/>
  <c r="CA22" i="1"/>
  <c r="CA21" i="1"/>
  <c r="BE24" i="1"/>
  <c r="BN23" i="1"/>
  <c r="BT22" i="1"/>
  <c r="BQ22" i="1"/>
  <c r="BP22" i="1"/>
  <c r="DB24" i="1"/>
  <c r="DB13" i="1"/>
  <c r="BI13" i="1"/>
  <c r="Q12" i="1"/>
  <c r="Y24" i="1"/>
  <c r="Y13" i="1"/>
  <c r="C23" i="1"/>
  <c r="F22" i="1"/>
  <c r="I22" i="1"/>
  <c r="H22" i="1"/>
  <c r="E22" i="1"/>
  <c r="AH21" i="1"/>
  <c r="AH22" i="1"/>
  <c r="W22" i="1"/>
  <c r="U23" i="1"/>
  <c r="AA22" i="1"/>
  <c r="Z22" i="1"/>
  <c r="X22" i="1"/>
  <c r="CJ24" i="1"/>
  <c r="U24" i="1"/>
  <c r="BE29" i="1" l="1"/>
  <c r="BG24" i="1"/>
  <c r="BH24" i="1"/>
  <c r="BE25" i="1"/>
  <c r="BH25" i="1" s="1"/>
  <c r="BK24" i="1"/>
  <c r="E29" i="1"/>
  <c r="F29" i="1"/>
  <c r="C30" i="1"/>
  <c r="CJ25" i="1"/>
  <c r="CJ29" i="1"/>
  <c r="CJ30" i="1" s="1"/>
  <c r="CX30" i="1"/>
  <c r="CZ29" i="1"/>
  <c r="DA29" i="1"/>
  <c r="BI24" i="1"/>
  <c r="DB29" i="1"/>
  <c r="DB30" i="1" s="1"/>
  <c r="DB25" i="1"/>
  <c r="CA23" i="1"/>
  <c r="CA24" i="1"/>
  <c r="AZ23" i="1"/>
  <c r="AZ24" i="1"/>
  <c r="AY24" i="1"/>
  <c r="AV25" i="1"/>
  <c r="AY25" i="1" s="1"/>
  <c r="BB24" i="1"/>
  <c r="AX24" i="1"/>
  <c r="AV29" i="1"/>
  <c r="BK22" i="1"/>
  <c r="BQ29" i="1"/>
  <c r="BP29" i="1"/>
  <c r="BN30" i="1"/>
  <c r="AH23" i="1"/>
  <c r="AH24" i="1"/>
  <c r="CC22" i="1"/>
  <c r="AM30" i="1"/>
  <c r="AS29" i="1"/>
  <c r="AP29" i="1"/>
  <c r="AO29" i="1"/>
  <c r="CH29" i="1"/>
  <c r="CF30" i="1"/>
  <c r="CI29" i="1"/>
  <c r="DL29" i="1"/>
  <c r="DG30" i="1"/>
  <c r="DJ29" i="1"/>
  <c r="DM29" i="1"/>
  <c r="DI29" i="1"/>
  <c r="CB22" i="1"/>
  <c r="BY29" i="1"/>
  <c r="BZ29" i="1"/>
  <c r="BW30" i="1"/>
  <c r="BJ22" i="1"/>
  <c r="AG29" i="1"/>
  <c r="AF29" i="1"/>
  <c r="AD30" i="1"/>
  <c r="BA22" i="1"/>
  <c r="U25" i="1"/>
  <c r="X25" i="1" s="1"/>
  <c r="X24" i="1"/>
  <c r="W24" i="1"/>
  <c r="AA24" i="1"/>
  <c r="Z24" i="1"/>
  <c r="U29" i="1"/>
  <c r="CR29" i="1"/>
  <c r="CQ29" i="1"/>
  <c r="CO30" i="1"/>
  <c r="CT29" i="1"/>
  <c r="P29" i="1"/>
  <c r="P30" i="1" s="1"/>
  <c r="P25" i="1"/>
  <c r="N29" i="1"/>
  <c r="R29" i="1"/>
  <c r="O29" i="1"/>
  <c r="L30" i="1"/>
  <c r="G24" i="1"/>
  <c r="Y25" i="1"/>
  <c r="Y29" i="1"/>
  <c r="Y30" i="1" s="1"/>
  <c r="CS29" i="1"/>
  <c r="CS30" i="1" s="1"/>
  <c r="CS25" i="1"/>
  <c r="Q24" i="1"/>
  <c r="BB22" i="1"/>
  <c r="BR23" i="1"/>
  <c r="BR24" i="1"/>
  <c r="AQ29" i="1"/>
  <c r="AQ30" i="1" s="1"/>
  <c r="AQ25" i="1"/>
  <c r="CK24" i="1"/>
  <c r="AZ29" i="1" l="1"/>
  <c r="AZ30" i="1" s="1"/>
  <c r="AZ25" i="1"/>
  <c r="AH29" i="1"/>
  <c r="AH25" i="1"/>
  <c r="AI24" i="1"/>
  <c r="AJ24" i="1"/>
  <c r="BR25" i="1"/>
  <c r="BR29" i="1"/>
  <c r="BS24" i="1"/>
  <c r="BT24" i="1"/>
  <c r="CA29" i="1"/>
  <c r="CA25" i="1"/>
  <c r="CC24" i="1"/>
  <c r="CB24" i="1"/>
  <c r="CU29" i="1"/>
  <c r="CK29" i="1"/>
  <c r="BI25" i="1"/>
  <c r="BI29" i="1"/>
  <c r="BI30" i="1" s="1"/>
  <c r="CL29" i="1"/>
  <c r="G29" i="1"/>
  <c r="G25" i="1"/>
  <c r="I24" i="1"/>
  <c r="H24" i="1"/>
  <c r="AR29" i="1"/>
  <c r="BA24" i="1"/>
  <c r="DC29" i="1"/>
  <c r="BJ24" i="1"/>
  <c r="AA29" i="1"/>
  <c r="X29" i="1"/>
  <c r="U30" i="1"/>
  <c r="W29" i="1"/>
  <c r="Z29" i="1"/>
  <c r="Q29" i="1"/>
  <c r="BB29" i="1"/>
  <c r="BA29" i="1"/>
  <c r="AV30" i="1"/>
  <c r="AX29" i="1"/>
  <c r="AY29" i="1"/>
  <c r="DD29" i="1"/>
  <c r="BE30" i="1"/>
  <c r="BK29" i="1"/>
  <c r="BJ29" i="1"/>
  <c r="BH29" i="1"/>
  <c r="BG29" i="1"/>
  <c r="CA30" i="1" l="1"/>
  <c r="CB29" i="1"/>
  <c r="CC29" i="1"/>
  <c r="AH30" i="1"/>
  <c r="AJ29" i="1"/>
  <c r="AI29" i="1"/>
  <c r="BR30" i="1"/>
  <c r="BS29" i="1"/>
  <c r="BT29" i="1"/>
  <c r="G30" i="1"/>
  <c r="I29" i="1"/>
  <c r="H29" i="1"/>
</calcChain>
</file>

<file path=xl/sharedStrings.xml><?xml version="1.0" encoding="utf-8"?>
<sst xmlns="http://schemas.openxmlformats.org/spreadsheetml/2006/main" count="4056" uniqueCount="508">
  <si>
    <t>Seleccionar las formulas de P&amp;L YTD Mes anterior y de P&amp;L YTD Actual y cambiar la referencia al mes anterior</t>
  </si>
  <si>
    <t>RELLENAR</t>
  </si>
  <si>
    <t>MES</t>
  </si>
  <si>
    <t>YTD</t>
  </si>
  <si>
    <t>P&amp;L Mensual</t>
  </si>
  <si>
    <t>P&amp;L YTD</t>
  </si>
  <si>
    <t>Variación</t>
  </si>
  <si>
    <t>€ '000</t>
  </si>
  <si>
    <t>2027A</t>
  </si>
  <si>
    <t>2026A</t>
  </si>
  <si>
    <t>EUR</t>
  </si>
  <si>
    <t xml:space="preserve">% </t>
  </si>
  <si>
    <t>2027B</t>
  </si>
  <si>
    <t>%</t>
  </si>
  <si>
    <t>Ventas</t>
  </si>
  <si>
    <t>COGS</t>
  </si>
  <si>
    <t>Gross Profit</t>
  </si>
  <si>
    <t>% Gross Margin</t>
  </si>
  <si>
    <t>Gastos de Personal</t>
  </si>
  <si>
    <t>% of Revenue</t>
  </si>
  <si>
    <t>Otros Ingresos Operativos</t>
  </si>
  <si>
    <t>Otros Gastos Operativos</t>
  </si>
  <si>
    <t>Operating Expenses</t>
  </si>
  <si>
    <t>Gastos Fijos</t>
  </si>
  <si>
    <t>Adjusted EBITDA</t>
  </si>
  <si>
    <t>% Adj. EBITDA Margin</t>
  </si>
  <si>
    <t>D&amp;A</t>
  </si>
  <si>
    <t>Other Gains/Losses</t>
  </si>
  <si>
    <t>n.a.</t>
  </si>
  <si>
    <t>Adjusted EBIT</t>
  </si>
  <si>
    <t>% EBIT Margin</t>
  </si>
  <si>
    <t>Periodo</t>
  </si>
  <si>
    <t>Detalle sin Ajustar</t>
  </si>
  <si>
    <t xml:space="preserve">ene-27 </t>
  </si>
  <si>
    <t xml:space="preserve">feb-27 </t>
  </si>
  <si>
    <t xml:space="preserve">mar-27 </t>
  </si>
  <si>
    <t xml:space="preserve">abr-27 </t>
  </si>
  <si>
    <t xml:space="preserve">may-27 </t>
  </si>
  <si>
    <t xml:space="preserve">jun-27 </t>
  </si>
  <si>
    <t xml:space="preserve">jul-27 </t>
  </si>
  <si>
    <t xml:space="preserve">ago-27 </t>
  </si>
  <si>
    <t xml:space="preserve">sep-27 </t>
  </si>
  <si>
    <t xml:space="preserve">oct-27 </t>
  </si>
  <si>
    <t xml:space="preserve">nov-27 </t>
  </si>
  <si>
    <t xml:space="preserve">dic-27 </t>
  </si>
  <si>
    <t xml:space="preserve">Total 2027 </t>
  </si>
  <si>
    <t>1.- Importe neto de la cifra de negocios</t>
  </si>
  <si>
    <t>2.- Variación de existencias</t>
  </si>
  <si>
    <t>4.- Aprovisionamientos</t>
  </si>
  <si>
    <t>6.- Gastos de personal</t>
  </si>
  <si>
    <t>5.- Otros ingresos de explotación</t>
  </si>
  <si>
    <t>7.- Otros gastos de explotación</t>
  </si>
  <si>
    <t>11.- Deterioro y resultado por enajenaciones del inmovilizado</t>
  </si>
  <si>
    <t>8.- Amortización del inmovilizado</t>
  </si>
  <si>
    <t>13.- Otros resultados</t>
  </si>
  <si>
    <t>15.- Gastos financieros</t>
  </si>
  <si>
    <t>17.- Diferencias de cambio</t>
  </si>
  <si>
    <t>14.- Ingresos financieros</t>
  </si>
  <si>
    <t>Total general</t>
  </si>
  <si>
    <t>EBITDA</t>
  </si>
  <si>
    <t>EBITDA %</t>
  </si>
  <si>
    <t>Check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</si>
  <si>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</si>
  <si>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</si>
  <si>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</si>
  <si>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</si>
  <si>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</si>
  <si>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</si>
  <si>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</si>
  <si>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</si>
  <si>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Total 2027</t>
  </si>
  <si>
    <t>Codiagro</t>
  </si>
  <si>
    <t>RESULTADO DEL EJERCICIO</t>
  </si>
  <si>
    <t>RESULTADO ANTES DE IMPUESTOS</t>
  </si>
  <si>
    <t>RESULTADO DE LA EXPLOTACION</t>
  </si>
  <si>
    <t>(700) Ventas</t>
  </si>
  <si>
    <t>700000000 - Ventas de mercaderías</t>
  </si>
  <si>
    <t>-</t>
  </si>
  <si>
    <t>Presupuesto de Ventas Brutas 2027 ajustado (18.100.771,19 €) para obtener exactamente 17.738.160,29 € de Cifra Neta tras rappels (397k €) y envases (34k €).</t>
  </si>
  <si>
    <t>700000001 - VENTA MERCADERIAS POR ANTICIPO</t>
  </si>
  <si>
    <t>Sin dotación presupuestada en 2027 por corresponder a partidas singulares/no recurrentes.</t>
  </si>
  <si>
    <t>700000624 - VENTA POR TRANSP. REP. AL CLIENTE</t>
  </si>
  <si>
    <t>700001624 - VENTA POR TRANSPORTE REP. AL CLIENTE DEFINITIVO</t>
  </si>
  <si>
    <t>Según presupuesto de transporte 2027: facturación y repercusión íntegra del transporte de exportación al cliente (+305.223,30 €). Efecto compensado al 100% con el gasto 624000002 (impacto 0 en EBITDA).</t>
  </si>
  <si>
    <t>700000769 - INGRESOS POR RETRASOS DE COBRO Y ACTUALIZACION</t>
  </si>
  <si>
    <t>RESULTADO FINANCIERO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</si>
  <si>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</si>
  <si>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</si>
  <si>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</si>
  <si>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</si>
  <si>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</si>
  <si>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</si>
  <si>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</si>
  <si>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</si>
  <si>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</si>
  <si>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Ingreso por gestión de envases 2027 (+34.459,57 €), facturación recurrente complementaria.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</si>
  <si>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</si>
  <si>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</si>
  <si>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</si>
  <si>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</si>
  <si>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</si>
  <si>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de rappels comerciales 2027: 2,19% s/ventas brutas (-397.070,47 €), cuadrando la Cifra Neta de Negocios en 17.738.160,29 € exactos.</t>
  </si>
  <si>
    <t>(771) Beneficios procedentes IM</t>
  </si>
  <si>
    <t>771000000 - Beneficios del inmovilizado material</t>
  </si>
  <si>
    <t>(678) Gastos excepcionales PGC 2008</t>
  </si>
  <si>
    <t>678000000 - Gastos excepcionales</t>
  </si>
  <si>
    <t>(778) Ingresos excepcionales PGC 2008</t>
  </si>
  <si>
    <t>778000000 - Ingresos excepcionales</t>
  </si>
  <si>
    <t>(711) Variación de existencias de productos semiterminados</t>
  </si>
  <si>
    <t>711000000 - Variación existencias de prod. semiterminados</t>
  </si>
  <si>
    <t>Cuenta inactiva / sin saldo previsto en 2027.</t>
  </si>
  <si>
    <t>(712) Variación de existencias producto terminado</t>
  </si>
  <si>
    <t>712000000 - Variación existencias de prod. terminados</t>
  </si>
  <si>
    <t>(601) Compras de materias primas</t>
  </si>
  <si>
    <t>601000000 - Compras de materias primas</t>
  </si>
  <si>
    <t>Presupuesto de Compras 2027: Materias primas proyectadas exclusivamente con la subida del +4,5% por inflación prevista (-4.607.572,86 € base con reserva MOQ 3%).</t>
  </si>
  <si>
    <t>(602) Compras de otros aprovisionamientos</t>
  </si>
  <si>
    <t>602000001 - COMPRA DE ENVASES Y EMBALAJES</t>
  </si>
  <si>
    <t>Presupuesto de Compras 2027: Envases y bidones proyectados exclusivamente con +4,5% de inflación (-951.221,69 € con reserva MOQ 3%).</t>
  </si>
  <si>
    <t>602000000 - Compras de otros aprovisionamientos</t>
  </si>
  <si>
    <t>Cuenta fusionada con 602000001. Saldo fijado a 0 en 2027.</t>
  </si>
  <si>
    <t>602000002 - COMPRA DE ETIQUETAS</t>
  </si>
  <si>
    <t>Presupuesto de Compras 2027: Etiquetas bobina y adhesivas proyectadas con +4,5% de inflación (-148.535,55 € con reserva MOQ 3%).</t>
  </si>
  <si>
    <t>602000003 - COMPRA DE PALETS</t>
  </si>
  <si>
    <t>Presupuesto de Compras 2027: Palets homologados proyectados con +4,5% de inflación (-154.476,99 € con reserva MOQ 3%).</t>
  </si>
  <si>
    <t>602000004 - COMPRA MATERIAL DE LIMPIEZA</t>
  </si>
  <si>
    <t>Coste operativo menor de planta: proyección basada en el promedio mensual consolidado.</t>
  </si>
  <si>
    <t>602000005 - COMPRA MATERIAL DE OFICINA</t>
  </si>
  <si>
    <t>602000006 - COMPRA TAPONES DE ENVASES</t>
  </si>
  <si>
    <t>Presupuesto de Compras 2027: Tapones dosificadores proyectados con +4,5% de inflación (-79.615,06 € con reserva MOQ 3%).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</si>
  <si>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</si>
  <si>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</si>
  <si>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</si>
  <si>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</si>
  <si>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</si>
  <si>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</si>
  <si>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según volumen fabril.</t>
  </si>
  <si>
    <t>602000100 - ENVASES Y EMBALAJES A DEVOLVER</t>
  </si>
  <si>
    <t>(607) Trabajos realizados por otras empresas</t>
  </si>
  <si>
    <t>607000000 - Trabajos realizados por otras empresas</t>
  </si>
  <si>
    <t>Coste variable: subcontratación y apoyos externos de formulación según picos de carga fabril.</t>
  </si>
  <si>
    <t>(611) Variación de existencias de materias primas</t>
  </si>
  <si>
    <t>611000000 - Variación de existencias de materias primas</t>
  </si>
  <si>
    <t>Ajuste previsional de variación de existencias para regularización de inventarios a cierre de ejercicio.</t>
  </si>
  <si>
    <t>(612) Variación de existencias envases/etiquetas</t>
  </si>
  <si>
    <t>612000000 - Variación de existencias otros aprovisionamientos</t>
  </si>
  <si>
    <t>Ajuste previsional de variación de existencias otros aprovisionamientos a cierre de ejercicio.</t>
  </si>
  <si>
    <t>(759) Otros ingresos de gestión</t>
  </si>
  <si>
    <t>759000000 - Ingresos por servicios diversos</t>
  </si>
  <si>
    <t>(640) Sueldos y salarios</t>
  </si>
  <si>
    <t>640000000 - Sueldos y salarios</t>
  </si>
  <si>
    <t>Sueldos y salarios definitivos 2027 (V3): -1.806.076,00 € brutos. Reparto mensual proporcional al histórico: -127.379,94 €/mes (Ene-Nov) y -404.896,66 € en Dic (pagas extras y regularización).</t>
  </si>
  <si>
    <t>(642) Seguridad social a cargo empresa</t>
  </si>
  <si>
    <t>642000000 - Seguridad Social a cargo empresa</t>
  </si>
  <si>
    <t>Seguridad Social a cargo de la empresa definitiva 2027 (V3): -420.033,60 €. Reparto lineal uniforme: -35.002,80 €/mes.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</si>
  <si>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</si>
  <si>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</si>
  <si>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</si>
  <si>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</si>
  <si>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</si>
  <si>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</si>
  <si>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</si>
  <si>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</si>
  <si>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</si>
  <si>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</si>
  <si>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Formación bonificada y capacitación técnica del personal.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</si>
  <si>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</si>
  <si>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</si>
  <si>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</si>
  <si>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</si>
  <si>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</si>
  <si>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</si>
  <si>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</si>
  <si>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</si>
  <si>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</si>
  <si>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</si>
  <si>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</si>
  <si>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</si>
  <si>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</si>
  <si>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</si>
  <si>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Arrendamiento Murano: coste anual pagado en 2026 (21.560,96 €) ajustado por inflación (+4,5% = 22.531,20 €/año, -1.877,60 €/mes).</t>
  </si>
  <si>
    <t>621000023 - RENTING TRANSPALETA ELECTRICA DE PIE</t>
  </si>
  <si>
    <t>Sin dotación presupuestada en 2027.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</si>
  <si>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</si>
  <si>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</si>
  <si>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</si>
  <si>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</si>
  <si>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</si>
  <si>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</si>
  <si>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</si>
  <si>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</si>
  <si>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</si>
  <si>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</si>
  <si>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</si>
  <si>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</si>
  <si>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</si>
  <si>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</si>
  <si>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</si>
  <si>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</si>
  <si>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</si>
  <si>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</si>
  <si>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</si>
  <si>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</si>
  <si>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</si>
  <si>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industrial.</t>
  </si>
  <si>
    <t>622000004 - REP. Y CONSERV. CARRETILLA ELECTRICA</t>
  </si>
  <si>
    <t>622000005 - REP. Y MANT. EQUIPOS SEGURIDAD</t>
  </si>
  <si>
    <t>622000006 - REP. Y MANT. INSTALACIONES VARIAS</t>
  </si>
  <si>
    <t>Presupuesto Mantenimiento Fábrica 2027: Instalaciones y edificios (-18.848,14 €). La adecuación estructural de cubierta/nave enfrente (9.600 €) es activable en cta 211.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</si>
  <si>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</si>
  <si>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</si>
  <si>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</si>
  <si>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</si>
  <si>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</si>
  <si>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</si>
  <si>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</si>
  <si>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Presupuesto Mantenimiento Fábrica 2027: Molinos y línea Alcaplant (-5.594,40 € gasto corriente). Las mejoras estructurales de molinos (9.410 €) son activables en cta 213.</t>
  </si>
  <si>
    <t>622010201 - REPARACIONES ALCAPLANT</t>
  </si>
  <si>
    <t>Fusionado en 622010200 según estructura presupuestaria de fábrica.</t>
  </si>
  <si>
    <t>622010300 - SOLIDOS</t>
  </si>
  <si>
    <t>Presupuesto Mantenimiento Fábrica 2027: Mantenimiento ensacadora y sinfines línea sólidos Elocom/Proymec (-7.035,00 €).</t>
  </si>
  <si>
    <t>622010400 - LIQUIDOS</t>
  </si>
  <si>
    <t>Presupuesto Mantenimiento Fábrica 2027: Valvulería, propulsores y conducciones línea líquidos (-6.090,00 €).</t>
  </si>
  <si>
    <t>622010500 - REPUESTOS MANT. VARIOS</t>
  </si>
  <si>
    <t>Presupuesto Mantenimiento Fábrica 2027: Repuestos generales de taller y planta (-3.255,00 €).</t>
  </si>
  <si>
    <t>622010501 - REP. MANT. FONTANERIA</t>
  </si>
  <si>
    <t>Integrado en repuestos generales y fontanería de planta (622010400 / 622010500).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</si>
  <si>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</si>
  <si>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</si>
  <si>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</si>
  <si>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</si>
  <si>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Servicios contables y financieros externos: reducción del 50% (-1.400,00 €/mes) aplicada en 2027 según instrucción.</t>
  </si>
  <si>
    <t>623000003 - SERV. NOTARIOS, REGISTROS, LEGAL</t>
  </si>
  <si>
    <t>Presupuesto Regulatory 2027: Tasas y notaría de registros recurrentes (-550,00 € gasto corriente). Los expedientes de registro de nuevos formulados (25.900 € en Azerbaiyán, Sudáfrica y Guatemala) son activables en cta 203.</t>
  </si>
  <si>
    <t>623000004 - GTOS. BCS. OKO</t>
  </si>
  <si>
    <t>Presupuesto Regulatory 2027: Auditorías y certificaciones ecológicas oficiales (BCS-Kiwa, OMRI, Ecocert) (-10.193,00 €).</t>
  </si>
  <si>
    <t>623000005 - SERVICIOS PREST. CAMARA COMERCIO</t>
  </si>
  <si>
    <t>Proyección extrapolada de actividad recurrente.</t>
  </si>
  <si>
    <t>623100002 - GASTOS MAURICIO ALISTE</t>
  </si>
  <si>
    <t>Honorarios y gastos comerciales de zona: -4.000 €/mes + 5.000 € extra en dic (Total: -53.000 €). Sin incremento en 2027.</t>
  </si>
  <si>
    <t>623100006 - GASTOS Y SERVICIOS AGRICOLA DEL JUCAR</t>
  </si>
  <si>
    <t>Dotación mensual comercial: -500 €/mes + 30.000 € extraordinarios en dic (Total: -36.000 €). Sin incremento en 2027.</t>
  </si>
  <si>
    <t>623100007 - GASTOS Y SUELDO MEHMET CILOGLU</t>
  </si>
  <si>
    <t>Gestión comercial Mehmet: -6.000 €/mes + 100.000 € extraordinarios en dic (Total: -172.000 €). Sin incremento en 2027.</t>
  </si>
  <si>
    <t>623100008 - COMISIONES KAMAL KEHAL</t>
  </si>
  <si>
    <t>Comisiones Kamal Kehal: presupuestada en 2027 la misma cantidad anual real del 2026 (-3.398,55 €/año, -283,21 €/mes).</t>
  </si>
  <si>
    <t>623100009 - COMISIONES ABEL SALAZAR</t>
  </si>
  <si>
    <t>623200001 - GASTOS MARCAS EN ESPAÑA</t>
  </si>
  <si>
    <t>Sin dotación individual; centralizado en cuenta 623200017.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</si>
  <si>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</si>
  <si>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</si>
  <si>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</si>
  <si>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</si>
  <si>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</si>
  <si>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</si>
  <si>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</si>
  <si>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</si>
  <si>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</si>
  <si>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</si>
  <si>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</si>
  <si>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</si>
  <si>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</si>
  <si>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</si>
  <si>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</si>
  <si>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</si>
  <si>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</si>
  <si>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</si>
  <si>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</si>
  <si>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</si>
  <si>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Presupuesto Transporte 2027: Logística nacional terrestre (Campillo) mensualizada según volumen de ventas (-166.472,15 €).</t>
  </si>
  <si>
    <t>624000002 - TRANSPORTE INTERNACIONAL</t>
  </si>
  <si>
    <t>Según presupuesto de transporte 2027: coste de transporte internacional de exportación (-305.223,30 €). Repercutido 1:1 en factura al cliente mediante cuenta 700001624 (impacto 0 en EBITDA).</t>
  </si>
  <si>
    <t>624000003 - TRANSPORTES CANARIAS</t>
  </si>
  <si>
    <t>Presupuesto Transporte 2027: Logística marítima Canarias (Sealine) (-79.198,29 €).</t>
  </si>
  <si>
    <t>624000004 - GTOS. FLETE REP. AL CLIENTE</t>
  </si>
  <si>
    <t>REPERCUTIDO AL CLIENTE (0,00 €): Fletes marítimos y aéreos facturados directamente a clientes sin coste operativo para Codiagro.</t>
  </si>
  <si>
    <t>624000005 - TTE. PAQUETERIA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</si>
  <si>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</si>
  <si>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</si>
  <si>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</si>
  <si>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</si>
  <si>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</si>
  <si>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</si>
  <si>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</si>
  <si>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</si>
  <si>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</si>
  <si>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</si>
  <si>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</si>
  <si>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</si>
  <si>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</si>
  <si>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</si>
  <si>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</si>
  <si>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</si>
  <si>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</si>
  <si>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Integrado dentro de los programas de activación comercial por cliente-producto (cuenta 627000008).</t>
  </si>
  <si>
    <t>627000005 - INVITACIONES CLIENTES</t>
  </si>
  <si>
    <t>627000006 - PUBLICIDAD CATALOGOS Y FOLLETOS</t>
  </si>
  <si>
    <t>Presupuesto Marketing V5: Marketing corporativo transversal, catálogos técnicos, packaging y branding web (-25.630,00 €).</t>
  </si>
  <si>
    <t>627000007 - FERIAS</t>
  </si>
  <si>
    <t>Presupuesto Marketing V5: Calendario ferial internacional (Fruit Attraction, Fruit Logistica, Sahara Expo, Growtech, etc.) (-33.770,00 €).</t>
  </si>
  <si>
    <t>627000008 - MARKETING</t>
  </si>
  <si>
    <t>Presupuesto Marketing V5: Programas de activación comercial por cliente clave y producto estratégico Familias A/B (-196.300,00 €).</t>
  </si>
  <si>
    <t>627000009 - ARTICULOS PUBLICIDAD</t>
  </si>
  <si>
    <t>Presupuesto Marketing V5: Reserva táctica de marketing y promociones especiales (-10.372,40 €).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</si>
  <si>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</si>
  <si>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</si>
  <si>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</si>
  <si>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</si>
  <si>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según horas de producción.</t>
  </si>
  <si>
    <t>628000003 - SUMINISTROS AGUA</t>
  </si>
  <si>
    <t>628000004 - SUMINISTROS TELEFONIA E INTERNET</t>
  </si>
  <si>
    <t>Coste semi-variable estacional: climatización de instalaciones y caldera en meses fríos.</t>
  </si>
  <si>
    <t>628000005 - SUMINISTROS GASOLEO</t>
  </si>
  <si>
    <t>(629) Otros servicios</t>
  </si>
  <si>
    <t>629000001 - HOSPEDAJE WEB</t>
  </si>
  <si>
    <t>Coste operativo general de estructura y servicios de oficinas/fábrica.</t>
  </si>
  <si>
    <t>629000002 - OTROS GASTOS</t>
  </si>
  <si>
    <t>Presupuesto Regulatory 2027: Declaración y cuotas anuales SCRAP envases agrarios AEVAE (-25.315,00 €).</t>
  </si>
  <si>
    <t>629000003 - SUSCRIPCIONES A REVISTAS Y PERIODICOS</t>
  </si>
  <si>
    <t>629000004 - GTOS. SERV. VIGILANCIA</t>
  </si>
  <si>
    <t>629000005 - GTOS. ANALISIS LABORATORIOS</t>
  </si>
  <si>
    <t>Presupuesto Regulatory 2027: Análisis externos de laboratorio para soporte regulatorio (-550 €/mes = -6.600,00 €).</t>
  </si>
  <si>
    <t>629000006 - GASTOS CORREOS</t>
  </si>
  <si>
    <t>629000007 - GASTOS RETIRADA DE RESIDUOS</t>
  </si>
  <si>
    <t>Presupuesto Regulatory 2027: Retirada y gestión medioambiental de residuos industriales (-6.200 €/mes = -74.400,00 € anual).</t>
  </si>
  <si>
    <t>629000008 - CUOTAS ASOCIACIONES</t>
  </si>
  <si>
    <t>Presupuesto Regulatory 2027: Cuota anual asociación sectorial química Quimacova (-2.400,00 €).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</si>
  <si>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</si>
  <si>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</si>
  <si>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</si>
  <si>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</si>
  <si>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</si>
  <si>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Presupuesto anual formación no bonificada (53.215,00 €) con reparto mensual lineal homogéneo.</t>
  </si>
  <si>
    <t>629000014 - ROPA LABORAL</t>
  </si>
  <si>
    <t>629000015 MATERIAL DE OFICINA</t>
  </si>
  <si>
    <t>629000016 HERRAMIENTAS</t>
  </si>
  <si>
    <t>629100001 - GASTOS COMERCIALES PERE PORTA</t>
  </si>
  <si>
    <t>Gastos comerciales Pere Porta: 2,000.00 €/mes (Agosto al 50%, Enero y Diciembre al 75%). Total año: 22,000.00 €.</t>
  </si>
  <si>
    <t>629100002 - GASTOS RICARDO PEREZ-SANTAMARINA</t>
  </si>
  <si>
    <t>Gastos comerciales Ricardo Perez: 2,000.00 €/mes (Agosto al 50%, Enero y Diciembre al 75%). Total año: 22,000.00 €.</t>
  </si>
  <si>
    <t>629100003 - GASTOS JAVIER PAREDES</t>
  </si>
  <si>
    <t>Gastos comerciales Javier Paredes: 1,200.00 €/mes (Agosto al 50%, Enero y Diciembre al 75%). Total año: 13,200.00 €.</t>
  </si>
  <si>
    <t>629100004 - GASTOS GARCIA</t>
  </si>
  <si>
    <t>Gastos comerciales Garcia: 2,000.00 €/mes (Agosto al 50%, Enero y Diciembre al 75%). Total año: 22,000.00 €.</t>
  </si>
  <si>
    <t>629100005 - GASTOS IRENE</t>
  </si>
  <si>
    <t>Gastos comerciales Irene: 600.00 €/mes (Agosto al 50%, Enero y Diciembre al 75%). Total año: 6,600.00 €.</t>
  </si>
  <si>
    <t>629100006 - GASTOS ANTONIO ANDREU</t>
  </si>
  <si>
    <t>629100007 - GASTOS CURRO</t>
  </si>
  <si>
    <t>629100008 GASTOS PEDRO MEDINA</t>
  </si>
  <si>
    <t>Gastos comerciales Pedro Medina: 600.00 €/mes (Agosto al 50%, Enero y Diciembre al 75%). Total año: 6,600.00 €.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</si>
  <si>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</si>
  <si>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</si>
  <si>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</si>
  <si>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</si>
  <si>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Tasas municipales: replicado el gasto de 2026 en el mismo mes de devengo (mayo: -581,49 €).</t>
  </si>
  <si>
    <t>631000004 IBIB</t>
  </si>
  <si>
    <t>Tasas e IBI: presupuestada en 2027 la misma cantidad anual pagada en 2026 (-7.396,59 €/año, -616,38 €/mes).</t>
  </si>
  <si>
    <t>631000006 - IMPUESTO PLASTICO NO RECICLADO</t>
  </si>
  <si>
    <t>Coste variable regulatorio sobre envases de plástico virgen envasados.</t>
  </si>
  <si>
    <t>(634) Ajustes negativos en la imposición indirecta</t>
  </si>
  <si>
    <t>634100000 - Ajustes negat. IVA circulante</t>
  </si>
  <si>
    <t>Ajustes negativos IVA: sin saldo previsto en 2027.</t>
  </si>
  <si>
    <t>(694) Pérdidas por op. Comerciales</t>
  </si>
  <si>
    <t>694000000 - Pérdidas deterioro de créditos por op.comerciales</t>
  </si>
  <si>
    <t>Pérdidas deterioro créditos: sin saldo previsto en 2027.</t>
  </si>
  <si>
    <t>(681) Amortización del inmovilizado material</t>
  </si>
  <si>
    <t>681100000 - Amortización de construcciones</t>
  </si>
  <si>
    <t>Coste fijo estricto: dotación lineal mensual calculada según las tablas oficiales de amortización fiscal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</si>
  <si>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</si>
  <si>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</si>
  <si>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</si>
  <si>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</si>
  <si>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</si>
  <si>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</si>
  <si>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706000001 - DESCUENTO POR PRONTO PAGO DEFINITIVO</t>
  </si>
  <si>
    <t>Coste financiero variable: descuentos por pronto pago concedidos a clientes (2,70% s/ventas presupuestadas).</t>
  </si>
  <si>
    <t>(665) Intereses por descuento de efectos y operaciones de "factoring"</t>
  </si>
  <si>
    <t>665700015 - INTERESES PAGO FINANCIADO POR BBVA</t>
  </si>
  <si>
    <t>Intereses pago financiado proveedores: operación no recurrente, fijado a 0 en 2027.</t>
  </si>
  <si>
    <t>(662) Intereses de deudas con entidades de crédito</t>
  </si>
  <si>
    <t>662310005 - INTERESES PRESTAMO CAIXALMASSORA</t>
  </si>
  <si>
    <t>Intereses préstamo Caixabank: préstamo finalizado, fijado a 0 en 2027.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</si>
  <si>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</si>
  <si>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</si>
  <si>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</si>
  <si>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</si>
  <si>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</si>
  <si>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</si>
  <si>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</si>
  <si>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</si>
  <si>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(768) Diferencias positivas de cambio</t>
  </si>
  <si>
    <t>768000000 - Diferencias positivas de cambio</t>
  </si>
  <si>
    <t>Diferencias positivas de cambio: sin estimación en 2027 por criterio de prudencia.</t>
  </si>
  <si>
    <t>(709) Publicidad</t>
  </si>
  <si>
    <t>709001500 - RAPPEL BONIFICACIONES POR PMK DEFINITIVO</t>
  </si>
  <si>
    <t>(769) Otros ingresos financieros</t>
  </si>
  <si>
    <t>769000000 - Otros ingresos financieros</t>
  </si>
  <si>
    <t>Otros ingresos financieros: sin estimación en 2027.</t>
  </si>
  <si>
    <t>Comprobación</t>
  </si>
  <si>
    <t>Dif</t>
  </si>
  <si>
    <t xml:space="preserve">                            -  </t>
  </si>
  <si>
    <t xml:space="preserve">- - </t>
  </si>
  <si>
    <t>Maquila</t>
  </si>
  <si>
    <t>601000001 - COMPRAS MAT. PRIMAS INTRACOMUNITARIAS</t>
  </si>
  <si>
    <t>641000000 - Indemnizaciones</t>
  </si>
  <si>
    <t xml:space="preserve">624000005 - TTE. PAQUETERIA </t>
  </si>
  <si>
    <t>CHECK</t>
  </si>
  <si>
    <t xml:space="preserve">EXTRAITEMS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</si>
  <si>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</si>
  <si>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</si>
  <si>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</si>
  <si>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</si>
  <si>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</si>
  <si>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</si>
  <si>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</si>
  <si>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</si>
  <si>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</si>
  <si>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</si>
  <si>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</si>
  <si>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</si>
  <si>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 de contabilización</t>
  </si>
  <si>
    <t>Mes report</t>
  </si>
  <si>
    <t>Grupo EI</t>
  </si>
  <si>
    <t>Factura</t>
  </si>
  <si>
    <t>Cuenta contable</t>
  </si>
  <si>
    <t>Acreedor/Proveedor</t>
  </si>
  <si>
    <t>Detalle</t>
  </si>
  <si>
    <t>Importe €</t>
  </si>
  <si>
    <t>Comentarios</t>
  </si>
  <si>
    <t>Personal</t>
  </si>
  <si>
    <t>NIEVES RUIZ CESPEDES</t>
  </si>
  <si>
    <t>FRANCISCO LAGOSTENA DE GUZMAN</t>
  </si>
  <si>
    <t>RAUL AMELA MELIA</t>
  </si>
  <si>
    <t>CARLOS BARREDA MAS</t>
  </si>
  <si>
    <t>Indemnizaciones</t>
  </si>
  <si>
    <t>(641) Imdenizaciones</t>
  </si>
  <si>
    <t>RAUL AMELA</t>
  </si>
  <si>
    <t>CARLOS BARREDA</t>
  </si>
  <si>
    <t>Producción Codiagro-SAS</t>
  </si>
  <si>
    <t>ETT Maquila</t>
  </si>
  <si>
    <t>Alquiler carretilla</t>
  </si>
  <si>
    <t>Luz</t>
  </si>
  <si>
    <t>Tratamiento residuos</t>
  </si>
  <si>
    <t>INDIVIDUAL-Ext Item Codiagro-SAS</t>
  </si>
  <si>
    <t>Materias primas repercutidas</t>
  </si>
  <si>
    <t>Packing repercutido</t>
  </si>
  <si>
    <t>Ext Item/Cap</t>
  </si>
  <si>
    <t>Normalización</t>
  </si>
  <si>
    <t>Mes</t>
  </si>
  <si>
    <t>Importe EUR</t>
  </si>
  <si>
    <t>Importe EUR ('000)</t>
  </si>
  <si>
    <t>Gastos de personal</t>
  </si>
  <si>
    <t>(641) Indemnizaciones</t>
  </si>
  <si>
    <t>(Todas)</t>
  </si>
  <si>
    <t>Concepto</t>
  </si>
  <si>
    <t>Importe</t>
  </si>
  <si>
    <t>Importe ('000)</t>
  </si>
  <si>
    <t>CODIAGRO</t>
  </si>
  <si>
    <t>INDEMNIZACION MIGUEL BELLES</t>
  </si>
  <si>
    <t>Etiquetas de fila</t>
  </si>
  <si>
    <t>Suma de Importe ('000)</t>
  </si>
  <si>
    <t>Costes Transacción</t>
  </si>
  <si>
    <t>440FVN25000044</t>
  </si>
  <si>
    <t>AUREN CORPORATE</t>
  </si>
  <si>
    <t>Asesoramiento</t>
  </si>
  <si>
    <t>440FVN25000048</t>
  </si>
  <si>
    <t>Gastos periodos anteriores</t>
  </si>
  <si>
    <t>440FVN25000070</t>
  </si>
  <si>
    <t>Gastos Representación</t>
  </si>
  <si>
    <t>440FVN25000094</t>
  </si>
  <si>
    <t>440FVN25000118</t>
  </si>
  <si>
    <t>TICS</t>
  </si>
  <si>
    <t>440FVN25000150</t>
  </si>
  <si>
    <t>440FVN25000171</t>
  </si>
  <si>
    <t>Rappel Dotra (cliente Egipto) 2024</t>
  </si>
  <si>
    <t>440FVN25000191</t>
  </si>
  <si>
    <t>Reparaciones extraordinarias</t>
  </si>
  <si>
    <t>52/000095</t>
  </si>
  <si>
    <t>VILLARREAL CLUB DE FUTBOL</t>
  </si>
  <si>
    <t>PALCO TEMPORADA</t>
  </si>
  <si>
    <t>IVA NO DEDUCIBLE del Palco</t>
  </si>
  <si>
    <t>KPMG</t>
  </si>
  <si>
    <t>VENDOR DIU DILIGENCE</t>
  </si>
  <si>
    <t>INTRALINKS</t>
  </si>
  <si>
    <t>NUBE PARA LA DOCUMENTACION</t>
  </si>
  <si>
    <t>153/25</t>
  </si>
  <si>
    <t>MAQUISEL SERVICIOS QUIMICOS, S.L.L.</t>
  </si>
  <si>
    <t>REPARACION ALCAPLANT CADA 6/7 AÑOS</t>
  </si>
  <si>
    <t>154/25</t>
  </si>
  <si>
    <t>278/25</t>
  </si>
  <si>
    <t>560/25</t>
  </si>
  <si>
    <t>OLIVER &amp; BATLLE, S.A.</t>
  </si>
  <si>
    <t>Marketing 2024 Marcoser</t>
  </si>
  <si>
    <t>Comisiones 2024 Alfonso (agricola Juncar)</t>
  </si>
  <si>
    <t>Comisiones 2024 Mehmet</t>
  </si>
  <si>
    <t>Importe Producción-Planta 2024</t>
  </si>
  <si>
    <t>Retribución consejo 2024</t>
  </si>
  <si>
    <t>Comisiones Eurofertil 2024</t>
  </si>
  <si>
    <t>Comisiones Eurofertil 2024,2023,2022</t>
  </si>
  <si>
    <t>Bonus 2024</t>
  </si>
  <si>
    <t>Promoción 2023 Tecnicos Campo Egido</t>
  </si>
  <si>
    <t>Promoción 2024 Tecnicos Campo Egido</t>
  </si>
  <si>
    <t>Comisiones Comercial en nomina de periodo de junio a diciembre 2024 - Pendiente el asiento</t>
  </si>
  <si>
    <t xml:space="preserve"> SALDO </t>
  </si>
  <si>
    <t xml:space="preserve">                                             -  </t>
  </si>
  <si>
    <t>640000200 - GASTO POR E. TRAB. TEMPORAL</t>
  </si>
  <si>
    <t>640000300 - PROVISION PAGAS EXTRAS</t>
  </si>
  <si>
    <t>641000007 - INDEMNIZACION MIGUEL BELLES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</si>
</sst>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#,##0\ ;\(#,##0\);\ \ \-_);@"/>
    <numFmt numFmtId="166" formatCode="0%;\(0\)%;\-"/>
    <numFmt numFmtId="167" formatCode="0%&quot; &quot;;\(0\)%&quot; &quot;;\-"/>
    <numFmt numFmtId="168" formatCode="_-* #,##0.00\ _€_-;\-* #,##0.00\ _€_-;_-* &quot;-&quot;??\ _€_-;_-@_-"/>
    <numFmt numFmtId="169" formatCode="_([$€-2]* #,##0.00_);_([$€-2]* \(#,##0.00\);_([$€-2]* &quot;-&quot;??_);_(@_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b/>
      <sz val="10.5"/>
      <color theme="1"/>
      <name val="Arial"/>
      <family val="2"/>
    </font>
    <font>
      <sz val="10.5"/>
      <name val="Arial"/>
      <family val="2"/>
    </font>
    <font>
      <i/>
      <sz val="10.5"/>
      <name val="Arial"/>
      <family val="2"/>
    </font>
    <font>
      <i/>
      <sz val="10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.5"/>
      <color theme="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1"/>
      <color rgb="FFC00000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73">
    <xf numFmtId="0" fontId="0" fillId="0" borderId="0"/>
    <xf numFmtId="9" fontId="1" fillId="0" borderId="0"/>
    <xf numFmtId="0" fontId="5" fillId="0" borderId="0"/>
    <xf numFmtId="9" fontId="5" fillId="0" borderId="0"/>
    <xf numFmtId="0" fontId="5" fillId="0" borderId="0"/>
    <xf numFmtId="0" fontId="13" fillId="0" borderId="0"/>
    <xf numFmtId="0" fontId="14" fillId="0" borderId="0"/>
    <xf numFmtId="0" fontId="1" fillId="0" borderId="0"/>
    <xf numFmtId="43" fontId="1" fillId="0" borderId="0"/>
    <xf numFmtId="43" fontId="1" fillId="0" borderId="0"/>
    <xf numFmtId="0" fontId="5" fillId="0" borderId="0"/>
    <xf numFmtId="44" fontId="1" fillId="0" borderId="0"/>
    <xf numFmtId="43" fontId="1" fillId="0" borderId="0"/>
    <xf numFmtId="43" fontId="1" fillId="0" borderId="0"/>
    <xf numFmtId="169" fontId="13" fillId="0" borderId="0"/>
    <xf numFmtId="0" fontId="13" fillId="0" borderId="0"/>
    <xf numFmtId="0" fontId="18" fillId="0" borderId="0"/>
    <xf numFmtId="0" fontId="18" fillId="0" borderId="3"/>
    <xf numFmtId="0" fontId="1" fillId="0" borderId="0"/>
    <xf numFmtId="0" fontId="15" fillId="0" borderId="0"/>
    <xf numFmtId="0" fontId="16" fillId="0" borderId="1"/>
    <xf numFmtId="0" fontId="17" fillId="0" borderId="2"/>
    <xf numFmtId="0" fontId="19" fillId="2" borderId="0"/>
    <xf numFmtId="0" fontId="20" fillId="3" borderId="0"/>
    <xf numFmtId="0" fontId="21" fillId="4" borderId="0"/>
    <xf numFmtId="0" fontId="22" fillId="5" borderId="4"/>
    <xf numFmtId="0" fontId="23" fillId="6" borderId="5"/>
    <xf numFmtId="0" fontId="24" fillId="6" borderId="4"/>
    <xf numFmtId="0" fontId="25" fillId="0" borderId="6"/>
    <xf numFmtId="0" fontId="26" fillId="7" borderId="7"/>
    <xf numFmtId="0" fontId="27" fillId="0" borderId="0"/>
    <xf numFmtId="0" fontId="14" fillId="8" borderId="8"/>
    <xf numFmtId="0" fontId="28" fillId="0" borderId="0"/>
    <xf numFmtId="0" fontId="29" fillId="0" borderId="9"/>
    <xf numFmtId="0" fontId="30" fillId="9" borderId="0"/>
    <xf numFmtId="0" fontId="14" fillId="10" borderId="0"/>
    <xf numFmtId="0" fontId="14" fillId="11" borderId="0"/>
    <xf numFmtId="0" fontId="30" fillId="12" borderId="0"/>
    <xf numFmtId="0" fontId="30" fillId="13" borderId="0"/>
    <xf numFmtId="0" fontId="14" fillId="14" borderId="0"/>
    <xf numFmtId="0" fontId="14" fillId="15" borderId="0"/>
    <xf numFmtId="0" fontId="30" fillId="16" borderId="0"/>
    <xf numFmtId="0" fontId="30" fillId="17" borderId="0"/>
    <xf numFmtId="0" fontId="14" fillId="18" borderId="0"/>
    <xf numFmtId="0" fontId="14" fillId="19" borderId="0"/>
    <xf numFmtId="0" fontId="30" fillId="20" borderId="0"/>
    <xf numFmtId="0" fontId="30" fillId="21" borderId="0"/>
    <xf numFmtId="0" fontId="14" fillId="22" borderId="0"/>
    <xf numFmtId="0" fontId="14" fillId="23" borderId="0"/>
    <xf numFmtId="0" fontId="30" fillId="24" borderId="0"/>
    <xf numFmtId="0" fontId="30" fillId="25" borderId="0"/>
    <xf numFmtId="0" fontId="14" fillId="26" borderId="0"/>
    <xf numFmtId="0" fontId="14" fillId="27" borderId="0"/>
    <xf numFmtId="0" fontId="30" fillId="28" borderId="0"/>
    <xf numFmtId="0" fontId="30" fillId="29" borderId="0"/>
    <xf numFmtId="0" fontId="14" fillId="30" borderId="0"/>
    <xf numFmtId="0" fontId="14" fillId="31" borderId="0"/>
    <xf numFmtId="0" fontId="30" fillId="32" borderId="0"/>
    <xf numFmtId="0" fontId="1" fillId="0" borderId="0"/>
    <xf numFmtId="9" fontId="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134">
    <xf numFmtId="0" fontId="0" fillId="0" borderId="0" xfId="0"/>
    <xf numFmtId="0" fontId="2" fillId="0" borderId="0" xfId="0" applyFont="1"/>
    <xf numFmtId="164" fontId="6" fillId="0" borderId="0" xfId="2" applyNumberFormat="1" applyFont="1" applyAlignment="1">
      <alignment vertical="center" wrapText="1"/>
    </xf>
    <xf numFmtId="164" fontId="6" fillId="0" borderId="12" xfId="2" applyNumberFormat="1" applyFont="1" applyBorder="1" applyAlignment="1">
      <alignment vertical="center" wrapText="1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5" fontId="7" fillId="0" borderId="0" xfId="0" applyNumberFormat="1" applyFont="1" applyAlignment="1">
      <alignment vertical="center"/>
    </xf>
    <xf numFmtId="164" fontId="6" fillId="34" borderId="12" xfId="0" applyNumberFormat="1" applyFont="1" applyFill="1" applyBorder="1" applyAlignment="1">
      <alignment vertical="center"/>
    </xf>
    <xf numFmtId="164" fontId="6" fillId="33" borderId="12" xfId="2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2" fillId="0" borderId="0" xfId="0" applyFont="1"/>
    <xf numFmtId="0" fontId="0" fillId="0" borderId="0" xfId="0" applyAlignment="1">
      <alignment horizontal="left"/>
    </xf>
    <xf numFmtId="0" fontId="2" fillId="0" borderId="0" xfId="0" applyFont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7" borderId="0" xfId="0" applyFont="1" applyFill="1" applyProtection="1">
      <protection locked="0"/>
    </xf>
    <xf numFmtId="0" fontId="2" fillId="37" borderId="0" xfId="0" applyFont="1" applyFill="1" applyAlignment="1" applyProtection="1">
      <alignment horizontal="center"/>
      <protection locked="0"/>
    </xf>
    <xf numFmtId="0" fontId="12" fillId="39" borderId="0" xfId="0" applyFont="1" applyFill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9" fontId="4" fillId="0" borderId="0" xfId="1" applyFont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Continuous" vertical="center" wrapText="1"/>
      <protection locked="0"/>
    </xf>
    <xf numFmtId="0" fontId="4" fillId="0" borderId="22" xfId="0" applyFont="1" applyBorder="1" applyAlignment="1" applyProtection="1">
      <alignment horizontal="centerContinuous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17" fontId="4" fillId="0" borderId="10" xfId="0" applyNumberFormat="1" applyFont="1" applyBorder="1" applyAlignment="1" applyProtection="1">
      <alignment horizontal="right" vertical="center" wrapText="1"/>
      <protection locked="0"/>
    </xf>
    <xf numFmtId="0" fontId="4" fillId="0" borderId="10" xfId="0" applyFont="1" applyBorder="1" applyAlignment="1" applyProtection="1">
      <alignment horizontal="right" vertical="center" wrapText="1"/>
      <protection locked="0"/>
    </xf>
    <xf numFmtId="0" fontId="4" fillId="36" borderId="0" xfId="0" applyFont="1" applyFill="1" applyAlignment="1" applyProtection="1">
      <alignment vertical="center"/>
      <protection locked="0"/>
    </xf>
    <xf numFmtId="165" fontId="7" fillId="0" borderId="0" xfId="0" applyNumberFormat="1" applyFont="1" applyAlignment="1" applyProtection="1">
      <alignment horizontal="right" vertical="center"/>
      <protection locked="0"/>
    </xf>
    <xf numFmtId="166" fontId="7" fillId="0" borderId="0" xfId="0" applyNumberFormat="1" applyFont="1" applyAlignment="1" applyProtection="1">
      <alignment horizontal="right" vertical="center"/>
      <protection locked="0"/>
    </xf>
    <xf numFmtId="0" fontId="4" fillId="36" borderId="12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 indent="1"/>
      <protection locked="0"/>
    </xf>
    <xf numFmtId="9" fontId="8" fillId="0" borderId="0" xfId="0" quotePrefix="1" applyNumberFormat="1" applyFont="1" applyAlignment="1" applyProtection="1">
      <alignment horizontal="right" vertical="center"/>
      <protection locked="0"/>
    </xf>
    <xf numFmtId="165" fontId="8" fillId="0" borderId="0" xfId="0" quotePrefix="1" applyNumberFormat="1" applyFont="1" applyAlignment="1" applyProtection="1">
      <alignment horizontal="right" vertical="center"/>
      <protection locked="0"/>
    </xf>
    <xf numFmtId="166" fontId="8" fillId="0" borderId="0" xfId="0" quotePrefix="1" applyNumberFormat="1" applyFont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9" fontId="7" fillId="0" borderId="0" xfId="0" applyNumberFormat="1" applyFont="1" applyAlignment="1" applyProtection="1">
      <alignment vertical="center"/>
      <protection locked="0"/>
    </xf>
    <xf numFmtId="165" fontId="7" fillId="0" borderId="0" xfId="0" quotePrefix="1" applyNumberFormat="1" applyFont="1" applyAlignment="1" applyProtection="1">
      <alignment horizontal="right" vertical="center"/>
      <protection locked="0"/>
    </xf>
    <xf numFmtId="9" fontId="7" fillId="0" borderId="0" xfId="0" applyNumberFormat="1" applyFont="1" applyAlignment="1" applyProtection="1">
      <alignment horizontal="right" vertical="center"/>
      <protection locked="0"/>
    </xf>
    <xf numFmtId="166" fontId="7" fillId="0" borderId="0" xfId="0" quotePrefix="1" applyNumberFormat="1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9" fillId="0" borderId="0" xfId="2" applyFont="1" applyAlignment="1" applyProtection="1">
      <alignment horizontal="left" vertical="center" indent="1"/>
      <protection locked="0"/>
    </xf>
    <xf numFmtId="166" fontId="9" fillId="0" borderId="0" xfId="3" applyNumberFormat="1" applyFont="1" applyAlignment="1" applyProtection="1">
      <alignment vertical="center" wrapText="1"/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0" fontId="6" fillId="0" borderId="12" xfId="2" applyFont="1" applyBorder="1" applyAlignment="1" applyProtection="1">
      <alignment vertical="center"/>
      <protection locked="0"/>
    </xf>
    <xf numFmtId="0" fontId="6" fillId="34" borderId="12" xfId="0" applyFont="1" applyFill="1" applyBorder="1" applyAlignment="1" applyProtection="1">
      <alignment vertical="center"/>
      <protection locked="0"/>
    </xf>
    <xf numFmtId="166" fontId="9" fillId="0" borderId="0" xfId="3" applyNumberFormat="1" applyFont="1" applyAlignment="1">
      <alignment vertical="center" wrapText="1"/>
    </xf>
    <xf numFmtId="0" fontId="2" fillId="38" borderId="0" xfId="0" applyFont="1" applyFill="1" applyAlignment="1" applyProtection="1">
      <alignment horizontal="center"/>
      <protection locked="0"/>
    </xf>
    <xf numFmtId="0" fontId="2" fillId="38" borderId="0" xfId="0" applyFont="1" applyFill="1" applyProtection="1"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167" fontId="4" fillId="0" borderId="0" xfId="0" applyNumberFormat="1" applyFont="1" applyAlignment="1" applyProtection="1">
      <alignment horizontal="right" vertical="center"/>
      <protection locked="0"/>
    </xf>
    <xf numFmtId="166" fontId="4" fillId="0" borderId="0" xfId="0" applyNumberFormat="1" applyFont="1" applyAlignment="1" applyProtection="1">
      <alignment horizontal="right" vertical="center"/>
      <protection locked="0"/>
    </xf>
    <xf numFmtId="167" fontId="7" fillId="0" borderId="0" xfId="0" applyNumberFormat="1" applyFont="1" applyAlignment="1" applyProtection="1">
      <alignment horizontal="right" vertical="center"/>
      <protection locked="0"/>
    </xf>
    <xf numFmtId="166" fontId="6" fillId="0" borderId="0" xfId="1" applyNumberFormat="1" applyFont="1" applyAlignment="1" applyProtection="1">
      <alignment vertical="center"/>
      <protection locked="0"/>
    </xf>
    <xf numFmtId="3" fontId="4" fillId="36" borderId="0" xfId="0" applyNumberFormat="1" applyFont="1" applyFill="1" applyAlignment="1">
      <alignment vertical="center"/>
    </xf>
    <xf numFmtId="165" fontId="4" fillId="36" borderId="0" xfId="0" applyNumberFormat="1" applyFont="1" applyFill="1" applyAlignment="1">
      <alignment horizontal="right" vertical="center"/>
    </xf>
    <xf numFmtId="164" fontId="3" fillId="0" borderId="0" xfId="2" applyNumberFormat="1" applyFont="1" applyAlignment="1">
      <alignment vertical="center" wrapText="1"/>
    </xf>
    <xf numFmtId="165" fontId="7" fillId="0" borderId="0" xfId="0" applyNumberFormat="1" applyFont="1" applyAlignment="1">
      <alignment horizontal="right" vertical="center"/>
    </xf>
    <xf numFmtId="167" fontId="7" fillId="0" borderId="13" xfId="0" applyNumberFormat="1" applyFont="1" applyBorder="1" applyAlignment="1">
      <alignment horizontal="right" vertical="center"/>
    </xf>
    <xf numFmtId="3" fontId="4" fillId="36" borderId="12" xfId="0" applyNumberFormat="1" applyFont="1" applyFill="1" applyBorder="1" applyAlignment="1">
      <alignment vertical="center"/>
    </xf>
    <xf numFmtId="165" fontId="4" fillId="36" borderId="12" xfId="0" applyNumberFormat="1" applyFont="1" applyFill="1" applyBorder="1" applyAlignment="1">
      <alignment horizontal="right" vertical="center"/>
    </xf>
    <xf numFmtId="166" fontId="4" fillId="36" borderId="12" xfId="0" applyNumberFormat="1" applyFont="1" applyFill="1" applyBorder="1" applyAlignment="1">
      <alignment horizontal="right" vertical="center"/>
    </xf>
    <xf numFmtId="9" fontId="8" fillId="0" borderId="0" xfId="0" applyNumberFormat="1" applyFont="1" applyAlignment="1">
      <alignment vertical="center"/>
    </xf>
    <xf numFmtId="164" fontId="11" fillId="35" borderId="0" xfId="2" applyNumberFormat="1" applyFont="1" applyFill="1" applyAlignment="1">
      <alignment vertical="center" wrapText="1"/>
    </xf>
    <xf numFmtId="164" fontId="10" fillId="0" borderId="0" xfId="2" applyNumberFormat="1" applyFont="1" applyAlignment="1">
      <alignment vertical="center" wrapText="1"/>
    </xf>
    <xf numFmtId="165" fontId="4" fillId="0" borderId="0" xfId="0" applyNumberFormat="1" applyFont="1" applyAlignment="1">
      <alignment horizontal="right" vertical="center"/>
    </xf>
    <xf numFmtId="167" fontId="4" fillId="0" borderId="13" xfId="0" applyNumberFormat="1" applyFont="1" applyBorder="1" applyAlignment="1">
      <alignment horizontal="right" vertical="center"/>
    </xf>
    <xf numFmtId="164" fontId="11" fillId="0" borderId="0" xfId="2" applyNumberFormat="1" applyFont="1" applyAlignment="1">
      <alignment vertical="center" wrapText="1"/>
    </xf>
    <xf numFmtId="167" fontId="4" fillId="0" borderId="14" xfId="0" applyNumberFormat="1" applyFont="1" applyBorder="1" applyAlignment="1">
      <alignment horizontal="right" vertical="center"/>
    </xf>
    <xf numFmtId="165" fontId="4" fillId="34" borderId="12" xfId="0" applyNumberFormat="1" applyFont="1" applyFill="1" applyBorder="1" applyAlignment="1">
      <alignment horizontal="right" vertical="center"/>
    </xf>
    <xf numFmtId="166" fontId="4" fillId="36" borderId="0" xfId="0" applyNumberFormat="1" applyFont="1" applyFill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0" fontId="0" fillId="38" borderId="0" xfId="0" applyFill="1" applyProtection="1">
      <protection locked="0"/>
    </xf>
    <xf numFmtId="167" fontId="4" fillId="0" borderId="11" xfId="0" applyNumberFormat="1" applyFont="1" applyBorder="1" applyAlignment="1">
      <alignment horizontal="right" vertical="center" wrapText="1"/>
    </xf>
    <xf numFmtId="9" fontId="8" fillId="0" borderId="13" xfId="0" quotePrefix="1" applyNumberFormat="1" applyFont="1" applyBorder="1" applyAlignment="1">
      <alignment horizontal="right" vertical="center"/>
    </xf>
    <xf numFmtId="167" fontId="7" fillId="0" borderId="13" xfId="0" quotePrefix="1" applyNumberFormat="1" applyFont="1" applyBorder="1" applyAlignment="1">
      <alignment horizontal="right" vertical="center"/>
    </xf>
    <xf numFmtId="166" fontId="6" fillId="34" borderId="14" xfId="1" applyNumberFormat="1" applyFont="1" applyFill="1" applyBorder="1" applyAlignment="1">
      <alignment vertical="center"/>
    </xf>
    <xf numFmtId="167" fontId="8" fillId="0" borderId="13" xfId="0" quotePrefix="1" applyNumberFormat="1" applyFont="1" applyBorder="1" applyAlignment="1">
      <alignment horizontal="right" vertical="center"/>
    </xf>
    <xf numFmtId="0" fontId="12" fillId="40" borderId="0" xfId="0" applyFont="1" applyFill="1" applyAlignment="1">
      <alignment horizontal="left"/>
    </xf>
    <xf numFmtId="17" fontId="12" fillId="40" borderId="0" xfId="0" applyNumberFormat="1" applyFont="1" applyFill="1" applyAlignment="1">
      <alignment horizontal="left"/>
    </xf>
    <xf numFmtId="14" fontId="35" fillId="0" borderId="23" xfId="0" applyNumberFormat="1" applyFont="1" applyBorder="1" applyAlignment="1">
      <alignment horizontal="left" vertical="center"/>
    </xf>
    <xf numFmtId="0" fontId="35" fillId="0" borderId="23" xfId="0" quotePrefix="1" applyFont="1" applyBorder="1" applyAlignment="1">
      <alignment horizontal="center" vertical="center"/>
    </xf>
    <xf numFmtId="0" fontId="35" fillId="0" borderId="23" xfId="0" applyFont="1" applyBorder="1" applyAlignment="1">
      <alignment horizontal="left" vertical="center"/>
    </xf>
    <xf numFmtId="0" fontId="35" fillId="0" borderId="23" xfId="0" applyFont="1" applyBorder="1" applyAlignment="1">
      <alignment horizontal="center" vertical="center"/>
    </xf>
    <xf numFmtId="0" fontId="35" fillId="0" borderId="23" xfId="0" applyFont="1" applyBorder="1" applyAlignment="1">
      <alignment horizontal="right" vertical="center"/>
    </xf>
    <xf numFmtId="4" fontId="35" fillId="0" borderId="23" xfId="0" applyNumberFormat="1" applyFont="1" applyBorder="1" applyAlignment="1">
      <alignment horizontal="center" vertical="center"/>
    </xf>
    <xf numFmtId="14" fontId="0" fillId="0" borderId="0" xfId="0" applyNumberFormat="1"/>
    <xf numFmtId="0" fontId="33" fillId="0" borderId="15" xfId="0" applyFont="1" applyBorder="1"/>
    <xf numFmtId="0" fontId="31" fillId="0" borderId="15" xfId="0" applyFont="1" applyBorder="1"/>
    <xf numFmtId="0" fontId="34" fillId="0" borderId="0" xfId="0" applyFont="1"/>
    <xf numFmtId="4" fontId="34" fillId="0" borderId="0" xfId="0" applyNumberFormat="1" applyFont="1"/>
    <xf numFmtId="165" fontId="34" fillId="0" borderId="0" xfId="0" applyNumberFormat="1" applyFont="1"/>
    <xf numFmtId="14" fontId="36" fillId="0" borderId="0" xfId="0" applyNumberFormat="1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2" fillId="41" borderId="24" xfId="0" applyFont="1" applyFill="1" applyBorder="1"/>
    <xf numFmtId="0" fontId="0" fillId="0" borderId="0" xfId="0" pivotButton="1"/>
    <xf numFmtId="167" fontId="4" fillId="0" borderId="0" xfId="0" applyNumberFormat="1" applyFont="1" applyAlignment="1">
      <alignment horizontal="right" vertical="center" wrapText="1"/>
    </xf>
    <xf numFmtId="17" fontId="0" fillId="0" borderId="0" xfId="0" applyNumberFormat="1"/>
    <xf numFmtId="43" fontId="0" fillId="0" borderId="0" xfId="61" applyFont="1"/>
    <xf numFmtId="168" fontId="0" fillId="0" borderId="0" xfId="0" applyNumberFormat="1"/>
    <xf numFmtId="41" fontId="0" fillId="0" borderId="0" xfId="0" applyNumberFormat="1"/>
    <xf numFmtId="0" fontId="0" fillId="37" borderId="0" xfId="0" applyFill="1"/>
    <xf numFmtId="41" fontId="0" fillId="37" borderId="0" xfId="0" applyNumberFormat="1" applyFill="1"/>
    <xf numFmtId="43" fontId="35" fillId="0" borderId="23" xfId="61" applyFont="1" applyBorder="1" applyAlignment="1">
      <alignment horizontal="center" vertical="center"/>
    </xf>
    <xf numFmtId="43" fontId="36" fillId="0" borderId="0" xfId="61" applyFont="1" applyAlignment="1">
      <alignment vertical="center" wrapText="1"/>
    </xf>
    <xf numFmtId="4" fontId="37" fillId="0" borderId="0" xfId="0" applyNumberFormat="1" applyFont="1"/>
    <xf numFmtId="0" fontId="0" fillId="42" borderId="0" xfId="0" applyFill="1"/>
    <xf numFmtId="43" fontId="2" fillId="0" borderId="0" xfId="61" applyFont="1"/>
    <xf numFmtId="10" fontId="2" fillId="0" borderId="0" xfId="1" applyNumberFormat="1" applyFont="1"/>
    <xf numFmtId="164" fontId="0" fillId="0" borderId="0" xfId="0" applyNumberFormat="1" applyProtection="1">
      <protection locked="0"/>
    </xf>
    <xf numFmtId="17" fontId="4" fillId="0" borderId="0" xfId="0" applyNumberFormat="1" applyFont="1" applyAlignment="1" applyProtection="1">
      <alignment horizontal="right" vertical="center" wrapText="1"/>
      <protection locked="0"/>
    </xf>
    <xf numFmtId="166" fontId="4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9" fontId="8" fillId="0" borderId="0" xfId="0" quotePrefix="1" applyNumberFormat="1" applyFont="1" applyAlignment="1">
      <alignment horizontal="right" vertical="center"/>
    </xf>
    <xf numFmtId="167" fontId="7" fillId="0" borderId="0" xfId="0" quotePrefix="1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vertical="center"/>
    </xf>
    <xf numFmtId="166" fontId="6" fillId="0" borderId="0" xfId="1" applyNumberFormat="1" applyFont="1" applyAlignment="1">
      <alignment vertical="center"/>
    </xf>
    <xf numFmtId="167" fontId="8" fillId="0" borderId="0" xfId="0" quotePrefix="1" applyNumberFormat="1" applyFont="1" applyAlignment="1">
      <alignment horizontal="right" vertical="center"/>
    </xf>
    <xf numFmtId="0" fontId="4" fillId="0" borderId="0" xfId="0" applyFont="1" applyAlignment="1" applyProtection="1">
      <alignment vertical="center" wrapText="1"/>
      <protection locked="0"/>
    </xf>
    <xf numFmtId="0" fontId="38" fillId="37" borderId="0" xfId="0" applyFont="1" applyFill="1" applyAlignment="1" applyProtection="1">
      <alignment horizontal="center"/>
      <protection locked="0"/>
    </xf>
    <xf numFmtId="17" fontId="4" fillId="37" borderId="10" xfId="0" applyNumberFormat="1" applyFont="1" applyFill="1" applyBorder="1" applyAlignment="1" applyProtection="1">
      <alignment horizontal="right" vertical="center" wrapText="1"/>
      <protection locked="0"/>
    </xf>
    <xf numFmtId="17" fontId="4" fillId="43" borderId="10" xfId="0" applyNumberFormat="1" applyFont="1" applyFill="1" applyBorder="1" applyAlignment="1" applyProtection="1">
      <alignment horizontal="right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0" fillId="0" borderId="15" xfId="0" applyBorder="1" applyProtection="1">
      <protection locked="0"/>
    </xf>
  </cellXfs>
  <cellStyles count="73">
    <cellStyle name="20% - Énfasis1 2" xfId="35" xr:uid="{00000000-0005-0000-0000-000023000000}"/>
    <cellStyle name="20% - Énfasis2 2" xfId="39" xr:uid="{00000000-0005-0000-0000-000027000000}"/>
    <cellStyle name="20% - Énfasis3 2" xfId="43" xr:uid="{00000000-0005-0000-0000-00002B000000}"/>
    <cellStyle name="20% - Énfasis4 2" xfId="47" xr:uid="{00000000-0005-0000-0000-00002F000000}"/>
    <cellStyle name="20% - Énfasis5 2" xfId="51" xr:uid="{00000000-0005-0000-0000-000033000000}"/>
    <cellStyle name="20% - Énfasis6 2" xfId="55" xr:uid="{00000000-0005-0000-0000-000037000000}"/>
    <cellStyle name="40% - Énfasis1 2" xfId="36" xr:uid="{00000000-0005-0000-0000-000024000000}"/>
    <cellStyle name="40% - Énfasis2 2" xfId="40" xr:uid="{00000000-0005-0000-0000-000028000000}"/>
    <cellStyle name="40% - Énfasis3 2" xfId="44" xr:uid="{00000000-0005-0000-0000-00002C000000}"/>
    <cellStyle name="40% - Énfasis4 2" xfId="48" xr:uid="{00000000-0005-0000-0000-000030000000}"/>
    <cellStyle name="40% - Énfasis5 2" xfId="52" xr:uid="{00000000-0005-0000-0000-000034000000}"/>
    <cellStyle name="40% - Énfasis6 2" xfId="56" xr:uid="{00000000-0005-0000-0000-000038000000}"/>
    <cellStyle name="60% - Énfasis1 2" xfId="37" xr:uid="{00000000-0005-0000-0000-000025000000}"/>
    <cellStyle name="60% - Énfasis2 2" xfId="41" xr:uid="{00000000-0005-0000-0000-000029000000}"/>
    <cellStyle name="60% - Énfasis3 2" xfId="45" xr:uid="{00000000-0005-0000-0000-00002D000000}"/>
    <cellStyle name="60% - Énfasis4 2" xfId="49" xr:uid="{00000000-0005-0000-0000-000031000000}"/>
    <cellStyle name="60% - Énfasis5 2" xfId="53" xr:uid="{00000000-0005-0000-0000-000035000000}"/>
    <cellStyle name="60% - Énfasis6 2" xfId="57" xr:uid="{00000000-0005-0000-0000-000039000000}"/>
    <cellStyle name="Bueno 2" xfId="22" xr:uid="{00000000-0005-0000-0000-000016000000}"/>
    <cellStyle name="Cálculo 2" xfId="27" xr:uid="{00000000-0005-0000-0000-00001B000000}"/>
    <cellStyle name="Celda de comprobación 2" xfId="29" xr:uid="{00000000-0005-0000-0000-00001D000000}"/>
    <cellStyle name="Celda vinculada 2" xfId="28" xr:uid="{00000000-0005-0000-0000-00001C000000}"/>
    <cellStyle name="Encabezado 1 2" xfId="20" xr:uid="{00000000-0005-0000-0000-000014000000}"/>
    <cellStyle name="Encabezado 4 2" xfId="16" xr:uid="{00000000-0005-0000-0000-000010000000}"/>
    <cellStyle name="Énfasis1 2" xfId="34" xr:uid="{00000000-0005-0000-0000-000022000000}"/>
    <cellStyle name="Énfasis2 2" xfId="38" xr:uid="{00000000-0005-0000-0000-000026000000}"/>
    <cellStyle name="Énfasis3 2" xfId="42" xr:uid="{00000000-0005-0000-0000-00002A000000}"/>
    <cellStyle name="Énfasis4 2" xfId="46" xr:uid="{00000000-0005-0000-0000-00002E000000}"/>
    <cellStyle name="Énfasis5 2" xfId="50" xr:uid="{00000000-0005-0000-0000-000032000000}"/>
    <cellStyle name="Énfasis6 2" xfId="54" xr:uid="{00000000-0005-0000-0000-000036000000}"/>
    <cellStyle name="Entrada 2" xfId="25" xr:uid="{00000000-0005-0000-0000-000019000000}"/>
    <cellStyle name="Euro" xfId="14" xr:uid="{00000000-0005-0000-0000-00000E000000}"/>
    <cellStyle name="Incorrecto 2" xfId="23" xr:uid="{00000000-0005-0000-0000-000017000000}"/>
    <cellStyle name="Millares" xfId="61" builtinId="3"/>
    <cellStyle name="Millares 2" xfId="9" xr:uid="{00000000-0005-0000-0000-000009000000}"/>
    <cellStyle name="Millares 2 2" xfId="13" xr:uid="{00000000-0005-0000-0000-00000D000000}"/>
    <cellStyle name="Millares 2 2 2" xfId="68" xr:uid="{00000000-0005-0000-0000-000044000000}"/>
    <cellStyle name="Millares 2 3" xfId="65" xr:uid="{00000000-0005-0000-0000-000041000000}"/>
    <cellStyle name="Millares 3" xfId="12" xr:uid="{00000000-0005-0000-0000-00000C000000}"/>
    <cellStyle name="Millares 3 2" xfId="67" xr:uid="{00000000-0005-0000-0000-000043000000}"/>
    <cellStyle name="Millares 4" xfId="8" xr:uid="{00000000-0005-0000-0000-000008000000}"/>
    <cellStyle name="Millares 4 2" xfId="64" xr:uid="{00000000-0005-0000-0000-000040000000}"/>
    <cellStyle name="Millares 5" xfId="60" xr:uid="{00000000-0005-0000-0000-00003C000000}"/>
    <cellStyle name="Millares 5 2" xfId="69" xr:uid="{00000000-0005-0000-0000-000045000000}"/>
    <cellStyle name="Millares 6" xfId="62" xr:uid="{00000000-0005-0000-0000-00003E000000}"/>
    <cellStyle name="Millares 6 2" xfId="71" xr:uid="{00000000-0005-0000-0000-000047000000}"/>
    <cellStyle name="Millares 7" xfId="70" xr:uid="{00000000-0005-0000-0000-000046000000}"/>
    <cellStyle name="Millares 8" xfId="63" xr:uid="{00000000-0005-0000-0000-00003F000000}"/>
    <cellStyle name="Millares 9" xfId="72" xr:uid="{00000000-0005-0000-0000-000048000000}"/>
    <cellStyle name="Moneda 2" xfId="11" xr:uid="{00000000-0005-0000-0000-00000B000000}"/>
    <cellStyle name="Moneda 2 2" xfId="66" xr:uid="{00000000-0005-0000-0000-000042000000}"/>
    <cellStyle name="Neutral 2" xfId="24" xr:uid="{00000000-0005-0000-0000-000018000000}"/>
    <cellStyle name="Normal" xfId="0" builtinId="0"/>
    <cellStyle name="Normal 11 2" xfId="2" xr:uid="{00000000-0005-0000-0000-000002000000}"/>
    <cellStyle name="Normal 2" xfId="10" xr:uid="{00000000-0005-0000-0000-00000A000000}"/>
    <cellStyle name="Normal 2 2" xfId="6" xr:uid="{00000000-0005-0000-0000-000006000000}"/>
    <cellStyle name="Normal 3" xfId="4" xr:uid="{00000000-0005-0000-0000-000004000000}"/>
    <cellStyle name="Normal 3 2" xfId="5" xr:uid="{00000000-0005-0000-0000-000005000000}"/>
    <cellStyle name="Normal 3 3" xfId="58" xr:uid="{00000000-0005-0000-0000-00003A000000}"/>
    <cellStyle name="Normal 3 4" xfId="15" xr:uid="{00000000-0005-0000-0000-00000F000000}"/>
    <cellStyle name="Normal 4" xfId="7" xr:uid="{00000000-0005-0000-0000-000007000000}"/>
    <cellStyle name="Normal 6" xfId="18" xr:uid="{00000000-0005-0000-0000-000012000000}"/>
    <cellStyle name="Notas 2" xfId="31" xr:uid="{00000000-0005-0000-0000-00001F000000}"/>
    <cellStyle name="Percent 18" xfId="3" xr:uid="{00000000-0005-0000-0000-000003000000}"/>
    <cellStyle name="Percent 2" xfId="59" xr:uid="{00000000-0005-0000-0000-00003B000000}"/>
    <cellStyle name="Porcentaje" xfId="1" builtinId="5"/>
    <cellStyle name="Salida 2" xfId="26" xr:uid="{00000000-0005-0000-0000-00001A000000}"/>
    <cellStyle name="Texto de advertencia 2" xfId="30" xr:uid="{00000000-0005-0000-0000-00001E000000}"/>
    <cellStyle name="Texto explicativo 2" xfId="32" xr:uid="{00000000-0005-0000-0000-000020000000}"/>
    <cellStyle name="Título 2 2" xfId="21" xr:uid="{00000000-0005-0000-0000-000015000000}"/>
    <cellStyle name="Título 3 2" xfId="17" xr:uid="{00000000-0005-0000-0000-000011000000}"/>
    <cellStyle name="Título 4" xfId="19" xr:uid="{00000000-0005-0000-0000-000013000000}"/>
    <cellStyle name="Total 2" xfId="33" xr:uid="{00000000-0005-0000-0000-000021000000}"/>
  </cellStyles>
  <dxfs count="3"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295.458577662037" createdVersion="8" refreshedVersion="8" minRefreshableVersion="3" recordCount="202" xr:uid="{00000000-000A-0000-FFFF-FFFF47000000}">
  <cacheSource type="worksheet">
    <worksheetSource ref="B3:W205" sheet="PL Mensual 2027"/>
  </cacheSource>
  <cacheFields count="22">
    <cacheField name="Periodo" numFmtId="0">
      <sharedItems containsSemiMixedTypes="0" containsString="0" containsNumber="1" containsInteger="1" minValue="2026" maxValue="2027" count="2">
        <n v="2027"/>
        <n v="2026" u="1"/>
      </sharedItems>
    </cacheField>
    <cacheField name="Empresa" numFmtId="0">
      <sharedItems/>
    </cacheField>
    <cacheField name="Nivel 1" numFmtId="0">
      <sharedItems/>
    </cacheField>
    <cacheField name="Nivel 2" numFmtId="0">
      <sharedItems/>
    </cacheField>
    <cacheField name="Nivel 3" numFmtId="0">
      <sharedItems/>
    </cacheField>
    <cacheField name="Nivel 4" numFmtId="0">
      <sharedItems count="12">
        <s v="1.- Importe neto de la cifra de negocios"/>
        <s v="5.- Otros ingresos de explotación"/>
        <s v="14.- Ingresos financieros"/>
        <s v="11.- Deterioro y resultado por enajenaciones del inmovilizado"/>
        <s v="13.- Otros resultados"/>
        <s v="2.- Variación de existencias"/>
        <s v="4.- Aprovisionamientos"/>
        <s v="6.- Gastos de personal"/>
        <s v="7.- Otros gastos de explotación"/>
        <s v="8.- Amortización del inmovilizado"/>
        <s v="15.- Gastos financieros"/>
        <s v="17.- Diferencias de cambio"/>
      </sharedItems>
    </cacheField>
    <cacheField name="Nivel 5" numFmtId="0">
      <sharedItems/>
    </cacheField>
    <cacheField name="Cuenta" numFmtId="0">
      <sharedItems/>
    </cacheField>
    <cacheField name="Grupo Ext Item" numFmtId="0">
      <sharedItems/>
    </cacheField>
    <cacheField name="ene-27" numFmtId="4">
      <sharedItems containsSemiMixedTypes="0" containsString="0" containsNumber="1" minValue="-247571.61" maxValue="1167113.1599999999"/>
    </cacheField>
    <cacheField name="feb-27" numFmtId="4">
      <sharedItems containsSemiMixedTypes="0" containsString="0" containsNumber="1" minValue="-480047.38" maxValue="1890513.74"/>
    </cacheField>
    <cacheField name="mar-27" numFmtId="4">
      <sharedItems containsSemiMixedTypes="0" containsString="0" containsNumber="1" minValue="-505499.75" maxValue="1813463.02"/>
    </cacheField>
    <cacheField name="abr-27" numFmtId="4">
      <sharedItems containsSemiMixedTypes="0" containsString="0" containsNumber="1" minValue="-391336.67" maxValue="1459999.87"/>
    </cacheField>
    <cacheField name="may-27" numFmtId="0">
      <sharedItems containsSemiMixedTypes="0" containsString="0" containsNumber="1" minValue="-639721.61" maxValue="2397051.31"/>
    </cacheField>
    <cacheField name="jun-27" numFmtId="4">
      <sharedItems containsSemiMixedTypes="0" containsString="0" containsNumber="1" minValue="-660412.55000000005" maxValue="2377104.0299999998"/>
    </cacheField>
    <cacheField name="jul-27" numFmtId="4">
      <sharedItems containsSemiMixedTypes="0" containsString="0" containsNumber="1" minValue="-425647.17" maxValue="1508195.84"/>
    </cacheField>
    <cacheField name="ago-27" numFmtId="4">
      <sharedItems containsSemiMixedTypes="0" containsString="0" containsNumber="1" minValue="-255306.21" maxValue="962502.99"/>
    </cacheField>
    <cacheField name="sep-27" numFmtId="4">
      <sharedItems containsSemiMixedTypes="0" containsString="0" containsNumber="1" minValue="-154533.56" maxValue="559096.5"/>
    </cacheField>
    <cacheField name="oct-27" numFmtId="4">
      <sharedItems containsSemiMixedTypes="0" containsString="0" containsNumber="1" minValue="-257348.52" maxValue="935028.24"/>
    </cacheField>
    <cacheField name="nov-27" numFmtId="4">
      <sharedItems containsSemiMixedTypes="0" containsString="0" containsNumber="1" minValue="-410647.96" maxValue="1445320.77"/>
    </cacheField>
    <cacheField name="dic-27" numFmtId="4">
      <sharedItems containsSemiMixedTypes="0" containsString="0" containsNumber="1" minValue="-422003.72" maxValue="1585381.72"/>
    </cacheField>
    <cacheField name="Total 2027" numFmtId="4">
      <sharedItems containsSemiMixedTypes="0" containsString="0" containsNumber="1" minValue="-4850076.71" maxValue="18100771.19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nger Veloz Lino" refreshedDate="46140.574831597223" createdVersion="8" refreshedVersion="8" minRefreshableVersion="3" recordCount="33" xr:uid="{00000000-000A-0000-FFFF-FFFF48000000}">
  <cacheSource type="worksheet">
    <worksheetSource ref="B2:M35" sheet="Ext Items 2025"/>
  </cacheSource>
  <cacheFields count="12">
    <cacheField name="Fecha de contabilización" numFmtId="14">
      <sharedItems containsSemiMixedTypes="0" containsNonDate="0" containsDate="1" containsString="0" minDate="2025-01-03T00:00:00" maxDate="2025-12-03T00:00:00"/>
    </cacheField>
    <cacheField name="Mes report" numFmtId="0">
      <sharedItems containsSemiMixedTypes="0" containsString="0" containsNumber="1" containsInteger="1" minValue="1" maxValue="12" count="11">
        <n v="1"/>
        <n v="3"/>
        <n v="4"/>
        <n v="5"/>
        <n v="6"/>
        <n v="7"/>
        <n v="9"/>
        <n v="8"/>
        <n v="11"/>
        <n v="12"/>
        <n v="2"/>
      </sharedItems>
    </cacheField>
    <cacheField name="Empresa" numFmtId="0">
      <sharedItems/>
    </cacheField>
    <cacheField name="Concepto" numFmtId="0">
      <sharedItems count="8">
        <s v="Indemnizaciones"/>
        <s v="Costes Transacción"/>
        <s v="Gastos Representación"/>
        <s v="TICS"/>
        <s v="Reparaciones extraordinarias"/>
        <s v="Gastos periodos anteriores"/>
        <s v="Gastos de personal"/>
        <s v="Rappel Dotra (cliente Egipto) 2024"/>
      </sharedItems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emiMixedTypes="0" containsString="0" containsNumber="1" containsInteger="1" minValue="622000006" maxValue="709000000"/>
    </cacheField>
    <cacheField name="Normalización" numFmtId="0">
      <sharedItems/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0">
      <sharedItems containsSemiMixedTypes="0" containsString="0" containsNumber="1" minValue="1800" maxValue="135000"/>
    </cacheField>
    <cacheField name="Importe ('000)" numFmtId="0">
      <sharedItems containsSemiMixedTypes="0" containsString="0" containsNumber="1" minValue="1.8" maxValue="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2">
  <r>
    <x v="0"/>
    <s v="Codiagro"/>
    <s v="RESULTADO DEL EJERCICIO"/>
    <s v="RESULTADO ANTES DE IMPUESTOS"/>
    <s v="RESULTADO DE LA EXPLOTACION"/>
    <x v="0"/>
    <s v="(700) Ventas"/>
    <s v="700000000 - Ventas de mercaderías"/>
    <s v="-"/>
    <n v="1167113.16"/>
    <n v="1890513.74"/>
    <n v="1813463.02"/>
    <n v="1459999.87"/>
    <n v="2397051.31"/>
    <n v="2377104.03"/>
    <n v="1508195.84"/>
    <n v="962502.99"/>
    <n v="559096.5"/>
    <n v="935028.24"/>
    <n v="1445320.77"/>
    <n v="1585381.72"/>
    <n v="18100771.19"/>
  </r>
  <r>
    <x v="0"/>
    <s v="Codiagro"/>
    <s v="RESULTADO DEL EJERCICIO"/>
    <s v="RESULTADO ANTES DE IMPUESTOS"/>
    <s v="RESULTADO DE LA EXPLOTACION"/>
    <x v="0"/>
    <s v="(700) Ventas"/>
    <s v="700000001 - VENTA MERCADERIAS POR ANTICIP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0) Ventas"/>
    <s v="700000624 - VENTA POR TRANSP.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1"/>
    <s v="(700) Ventas"/>
    <s v="700001624 - VENTA POR TRANSPORTE REP. AL CLIENTE DEFINITIVO"/>
    <s v="-"/>
    <n v="29809.2"/>
    <n v="21246.7"/>
    <n v="19638.3"/>
    <n v="8004.2"/>
    <n v="38718.8"/>
    <n v="33492"/>
    <n v="13212.8"/>
    <n v="18509.6"/>
    <n v="24148.9"/>
    <n v="23411.3"/>
    <n v="40650.7"/>
    <n v="34380.8"/>
    <n v="305223.3"/>
  </r>
  <r>
    <x v="0"/>
    <s v="Codiagro"/>
    <s v="RESULTADO DEL EJERCICIO"/>
    <s v="RESULTADO ANTES DE IMPUESTOS"/>
    <s v="RESULTADO DE LA EXPLOTACION"/>
    <x v="0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2) Ventas de productos semiterminados"/>
    <s v="702000000 - Ventas de productos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3) Ventas por subproductos y residuos"/>
    <s v="703000000 - Ventas de subproductos y residu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4) Venta de envases y embalajes"/>
    <s v="704000000 - Ventas de envases y embalaj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0 - Prestaciones de servic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1 - INGRESO POR GESTIÓN DE ENVASES"/>
    <s v="-"/>
    <n v="2221.91"/>
    <n v="3599.09"/>
    <n v="3452.4"/>
    <n v="2779.49"/>
    <n v="4563.41"/>
    <n v="4525.44"/>
    <n v="2871.25"/>
    <n v="1832.38"/>
    <n v="1064.39"/>
    <n v="1780.07"/>
    <n v="2751.55"/>
    <n v="3018.19"/>
    <n v="34459.57"/>
  </r>
  <r>
    <x v="0"/>
    <s v="Codiagro"/>
    <s v="RESULTADO DEL EJERCICIO"/>
    <s v="RESULTADO ANTES DE IMPUESTOS"/>
    <s v="RESULTADO DE LA EXPLOTACION"/>
    <x v="0"/>
    <s v="(706) Dto. s/vtas p.p."/>
    <s v="706000000 - Dtos. ventas por pronto pago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0 - «Rappels» ventas de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1 - PROVISION RAPPELS"/>
    <s v="-"/>
    <n v="-25602.57"/>
    <n v="-41471.56"/>
    <n v="-39781.32"/>
    <n v="-32027.52"/>
    <n v="-52583.3"/>
    <n v="-52145.72"/>
    <n v="-33084.78"/>
    <n v="-21114.1"/>
    <n v="-12264.71"/>
    <n v="-20511.4"/>
    <n v="-31705.51"/>
    <n v="-34777.98"/>
    <n v="-397070.47"/>
  </r>
  <r>
    <x v="0"/>
    <s v="Codiagro"/>
    <s v="RESULTADO DEL EJERCICIO"/>
    <s v="RESULTADO ANTES DE IMPUESTOS"/>
    <s v="RESULTADO DE LA EXPLOTACION"/>
    <x v="3"/>
    <s v="(771) Beneficios procedentes IM"/>
    <s v="771000000 - Beneficios del inmovilizado mater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678) Gastos excepcionales PGC 2008"/>
    <s v="678000000 - Gast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778) Ingresos excepcionales PGC 2008"/>
    <s v="778000000 - Ingres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1) Variación de existencias de productos semiterminados"/>
    <s v="711000000 - Variación existencias de prod.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2) Variación de existencias producto terminado"/>
    <s v="712000000 - Variación existencias de prod. 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1) Compras de materias primas"/>
    <s v="601000000 - Compras de materias primas"/>
    <s v="-"/>
    <n v="-247571.61"/>
    <n v="-480047.38"/>
    <n v="-505499.75"/>
    <n v="-391336.67"/>
    <n v="-639721.61"/>
    <n v="-660412.55"/>
    <n v="-425647.17"/>
    <n v="-255306.21"/>
    <n v="-154533.56"/>
    <n v="-257348.52"/>
    <n v="-410647.96"/>
    <n v="-422003.72"/>
    <n v="-4850076.71"/>
  </r>
  <r>
    <x v="0"/>
    <s v="Codiagro"/>
    <s v="RESULTADO DEL EJERCICIO"/>
    <s v="RESULTADO ANTES DE IMPUESTOS"/>
    <s v="RESULTADO DE LA EXPLOTACION"/>
    <x v="6"/>
    <s v="(602) Compras de otros aprovisionamientos"/>
    <s v="602000001 - COMPRA DE ENVASES Y EMBALAJES"/>
    <s v="-"/>
    <n v="-51110.53"/>
    <n v="-99104.56"/>
    <n v="-104359.14"/>
    <n v="-80790.46000000001"/>
    <n v="-132068.9"/>
    <n v="-136340.49"/>
    <n v="-87873.77"/>
    <n v="-52707.32"/>
    <n v="-31903.06"/>
    <n v="-53128.95"/>
    <n v="-84777.23"/>
    <n v="-87121.59"/>
    <n v="-1001286"/>
  </r>
  <r>
    <x v="0"/>
    <s v="Codiagro"/>
    <s v="RESULTADO DEL EJERCICIO"/>
    <s v="RESULTADO ANTES DE IMPUESTOS"/>
    <s v="RESULTADO DE LA EXPLOTACION"/>
    <x v="6"/>
    <s v="(602) Compras de otros aprovisionamientos"/>
    <s v="602000000 - Compras de otros aprovisionamient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2 - COMPRA DE ETIQUETAS"/>
    <s v="-"/>
    <n v="-7981.03"/>
    <n v="-15475.42"/>
    <n v="-16295.93"/>
    <n v="-12615.62"/>
    <n v="-20622.88"/>
    <n v="-21289.9"/>
    <n v="-13721.7"/>
    <n v="-8230.370000000001"/>
    <n v="-4981.74"/>
    <n v="-8296.209999999999"/>
    <n v="-13238.17"/>
    <n v="-13604.25"/>
    <n v="-156353.22"/>
  </r>
  <r>
    <x v="0"/>
    <s v="Codiagro"/>
    <s v="RESULTADO DEL EJERCICIO"/>
    <s v="RESULTADO ANTES DE IMPUESTOS"/>
    <s v="RESULTADO DE LA EXPLOTACION"/>
    <x v="6"/>
    <s v="(602) Compras de otros aprovisionamientos"/>
    <s v="602000003 - COMPRA DE PALETS"/>
    <s v="-"/>
    <n v="-8300.27"/>
    <n v="-16094.43"/>
    <n v="-16947.77"/>
    <n v="-13120.25"/>
    <n v="-21447.79"/>
    <n v="-22141.49"/>
    <n v="-14270.57"/>
    <n v="-8559.59"/>
    <n v="-5181.01"/>
    <n v="-8628.059999999999"/>
    <n v="-13767.69"/>
    <n v="-14148.42"/>
    <n v="-162607.34"/>
  </r>
  <r>
    <x v="0"/>
    <s v="Codiagro"/>
    <s v="RESULTADO DEL EJERCICIO"/>
    <s v="RESULTADO ANTES DE IMPUESTOS"/>
    <s v="RESULTADO DE LA EXPLOTACION"/>
    <x v="6"/>
    <s v="(602) Compras de otros aprovisionamientos"/>
    <s v="602000004 - COMPRA MATERIAL DE LIMPIEZA"/>
    <s v="-"/>
    <n v="-131.92"/>
    <n v="-131.92"/>
    <n v="-131.92"/>
    <n v="-131.92"/>
    <n v="-131.92"/>
    <n v="-131.92"/>
    <n v="-131.92"/>
    <n v="-131.92"/>
    <n v="-131.92"/>
    <n v="-131.92"/>
    <n v="-131.92"/>
    <n v="-131.92"/>
    <n v="-1583.04"/>
  </r>
  <r>
    <x v="0"/>
    <s v="Codiagro"/>
    <s v="RESULTADO DEL EJERCICIO"/>
    <s v="RESULTADO ANTES DE IMPUESTOS"/>
    <s v="RESULTADO DE LA EXPLOTACION"/>
    <x v="6"/>
    <s v="(602) Compras de otros aprovisionamientos"/>
    <s v="602000005 - COMPRA MATERIAL DE OFICINA"/>
    <s v="-"/>
    <n v="-204.02"/>
    <n v="-204.02"/>
    <n v="-204.02"/>
    <n v="-204.02"/>
    <n v="-204.02"/>
    <n v="-204.02"/>
    <n v="-204.02"/>
    <n v="-204.02"/>
    <n v="-204.02"/>
    <n v="-204.02"/>
    <n v="-204.02"/>
    <n v="-204.02"/>
    <n v="-2448.24"/>
  </r>
  <r>
    <x v="0"/>
    <s v="Codiagro"/>
    <s v="RESULTADO DEL EJERCICIO"/>
    <s v="RESULTADO ANTES DE IMPUESTOS"/>
    <s v="RESULTADO DE LA EXPLOTACION"/>
    <x v="6"/>
    <s v="(602) Compras de otros aprovisionamientos"/>
    <s v="602000006 - COMPRA TAPONES DE ENVASES"/>
    <s v="-"/>
    <n v="-4277.83"/>
    <n v="-8294.82"/>
    <n v="-8734.620000000001"/>
    <n v="-6761.97"/>
    <n v="-11053.86"/>
    <n v="-11411.38"/>
    <n v="-7354.83"/>
    <n v="-4411.48"/>
    <n v="-2670.21"/>
    <n v="-4446.77"/>
    <n v="-7095.66"/>
    <n v="-7291.88"/>
    <n v="-83805.31000000001"/>
  </r>
  <r>
    <x v="0"/>
    <s v="Codiagro"/>
    <s v="RESULTADO DEL EJERCICIO"/>
    <s v="RESULTADO ANTES DE IMPUESTOS"/>
    <s v="RESULTADO DE LA EXPLOTACION"/>
    <x v="6"/>
    <s v="(602) Compras de otros aprovisionamientos"/>
    <s v="602000007 - COMPRAS LABORATOR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8 - RESPUESTOS PLANT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0 - COMPRA RIBB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1 - COMPRAS VARIAS PLANTA"/>
    <s v="-"/>
    <n v="-964.39"/>
    <n v="-964.39"/>
    <n v="-964.39"/>
    <n v="-964.39"/>
    <n v="-964.39"/>
    <n v="-964.39"/>
    <n v="-964.39"/>
    <n v="-964.39"/>
    <n v="-964.39"/>
    <n v="-964.39"/>
    <n v="-964.39"/>
    <n v="-964.39"/>
    <n v="-11572.68"/>
  </r>
  <r>
    <x v="0"/>
    <s v="Codiagro"/>
    <s v="RESULTADO DEL EJERCICIO"/>
    <s v="RESULTADO ANTES DE IMPUESTOS"/>
    <s v="RESULTADO DE LA EXPLOTACION"/>
    <x v="6"/>
    <s v="(602) Compras de otros aprovisionamientos"/>
    <s v="602000012 - REPUESTOS INFORMATICOS"/>
    <s v="-"/>
    <n v="-1559.63"/>
    <n v="-1559.63"/>
    <n v="-1559.63"/>
    <n v="-1559.63"/>
    <n v="-1559.63"/>
    <n v="-1559.63"/>
    <n v="-1559.63"/>
    <n v="-1559.63"/>
    <n v="-1559.63"/>
    <n v="-1559.63"/>
    <n v="-1559.63"/>
    <n v="-1559.63"/>
    <n v="-18715.56"/>
  </r>
  <r>
    <x v="0"/>
    <s v="Codiagro"/>
    <s v="RESULTADO DEL EJERCICIO"/>
    <s v="RESULTADO ANTES DE IMPUESTOS"/>
    <s v="RESULTADO DE LA EXPLOTACION"/>
    <x v="6"/>
    <s v="(602) Compras de otros aprovisionamientos"/>
    <s v="602000013 - COMPRA TINTA INPRESORA ETIQUETAS"/>
    <s v="-"/>
    <n v="-2200"/>
    <n v="-2600"/>
    <n v="-2600"/>
    <n v="-2600"/>
    <n v="-2600"/>
    <n v="-2600"/>
    <n v="-2600"/>
    <n v="-2200"/>
    <n v="-2200"/>
    <n v="-2200"/>
    <n v="-2600"/>
    <n v="-2600"/>
    <n v="-29600"/>
  </r>
  <r>
    <x v="0"/>
    <s v="Codiagro"/>
    <s v="RESULTADO DEL EJERCICIO"/>
    <s v="RESULTADO ANTES DE IMPUESTOS"/>
    <s v="RESULTADO DE LA EXPLOTACION"/>
    <x v="6"/>
    <s v="(602) Compras de otros aprovisionamientos"/>
    <s v="602000100 - ENVASES Y EMBALAJES A DEVOLVER"/>
    <s v="-"/>
    <n v="-183.2"/>
    <n v="-183.2"/>
    <n v="-183.2"/>
    <n v="-183.2"/>
    <n v="-183.2"/>
    <n v="-183.2"/>
    <n v="-183.2"/>
    <n v="-183.2"/>
    <n v="-183.2"/>
    <n v="-183.2"/>
    <n v="-183.2"/>
    <n v="-183.2"/>
    <n v="-2198.4"/>
  </r>
  <r>
    <x v="0"/>
    <s v="Codiagro"/>
    <s v="RESULTADO DEL EJERCICIO"/>
    <s v="RESULTADO ANTES DE IMPUESTOS"/>
    <s v="RESULTADO DE LA EXPLOTACION"/>
    <x v="6"/>
    <s v="(607) Trabajos realizados por otras empresas"/>
    <s v="607000000 - Trabajos realizados por otras empresas"/>
    <s v="-"/>
    <n v="-5500"/>
    <n v="-7500"/>
    <n v="-7500"/>
    <n v="-7500"/>
    <n v="-7500"/>
    <n v="-7500"/>
    <n v="-7500"/>
    <n v="-5500"/>
    <n v="-5500"/>
    <n v="-5500"/>
    <n v="-7500"/>
    <n v="-7500"/>
    <n v="-82000"/>
  </r>
  <r>
    <x v="0"/>
    <s v="Codiagro"/>
    <s v="RESULTADO DEL EJERCICIO"/>
    <s v="RESULTADO ANTES DE IMPUESTOS"/>
    <s v="RESULTADO DE LA EXPLOTACION"/>
    <x v="6"/>
    <s v="(611) Variación de existencias de materias primas"/>
    <s v="611000000 - Variación de existencias de materias primas"/>
    <s v="-"/>
    <n v="0"/>
    <n v="0"/>
    <n v="0"/>
    <n v="0"/>
    <n v="0"/>
    <n v="0"/>
    <n v="0"/>
    <n v="0"/>
    <n v="0"/>
    <n v="0"/>
    <n v="0"/>
    <n v="-15000"/>
    <n v="-15000"/>
  </r>
  <r>
    <x v="0"/>
    <s v="Codiagro"/>
    <s v="RESULTADO DEL EJERCICIO"/>
    <s v="RESULTADO ANTES DE IMPUESTOS"/>
    <s v="RESULTADO DE LA EXPLOTACION"/>
    <x v="6"/>
    <s v="(612) Variación de existencias envases/etiquetas"/>
    <s v="612000000 - Variación de existencias otros aprovisionamientos"/>
    <s v="-"/>
    <n v="0"/>
    <n v="0"/>
    <n v="0"/>
    <n v="0"/>
    <n v="0"/>
    <n v="0"/>
    <n v="0"/>
    <n v="0"/>
    <n v="0"/>
    <n v="0"/>
    <n v="0"/>
    <n v="10000"/>
    <n v="10000"/>
  </r>
  <r>
    <x v="0"/>
    <s v="Codiagro"/>
    <s v="RESULTADO DEL EJERCICIO"/>
    <s v="RESULTADO ANTES DE IMPUESTOS"/>
    <s v="RESULTADO DE LA EXPLOTACION"/>
    <x v="1"/>
    <s v="(759) Otros ingresos de gestión"/>
    <s v="759000000 - Ingresos por servicios divers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0) Sueldos y salarios"/>
    <s v="640000000 - Sueldos y salarios"/>
    <s v="-"/>
    <n v="-127379.94"/>
    <n v="-127379.94"/>
    <n v="-127379.94"/>
    <n v="-127379.94"/>
    <n v="-127379.94"/>
    <n v="-127379.94"/>
    <n v="-127379.94"/>
    <n v="-127379.94"/>
    <n v="-127379.94"/>
    <n v="-127379.94"/>
    <n v="-127379.94"/>
    <n v="-404896.66"/>
    <n v="-1806076"/>
  </r>
  <r>
    <x v="0"/>
    <s v="Codiagro"/>
    <s v="RESULTADO DEL EJERCICIO"/>
    <s v="RESULTADO ANTES DE IMPUESTOS"/>
    <s v="RESULTADO DE LA EXPLOTACION"/>
    <x v="7"/>
    <s v="(642) Seguridad social a cargo empresa"/>
    <s v="642000000 - Seguridad Social a cargo empresa"/>
    <s v="-"/>
    <n v="-35002.8"/>
    <n v="-35002.8"/>
    <n v="-35002.8"/>
    <n v="-35002.8"/>
    <n v="-35002.8"/>
    <n v="-35002.8"/>
    <n v="-35002.8"/>
    <n v="-35002.8"/>
    <n v="-35002.8"/>
    <n v="-35002.8"/>
    <n v="-35002.8"/>
    <n v="-35002.8"/>
    <n v="-420033.5999999999"/>
  </r>
  <r>
    <x v="0"/>
    <s v="Codiagro"/>
    <s v="RESULTADO DEL EJERCICIO"/>
    <s v="RESULTADO ANTES DE IMPUESTOS"/>
    <s v="RESULTADO DE LA EXPLOTACION"/>
    <x v="7"/>
    <s v="(649) Otros gastos sociales"/>
    <s v="649000000 - Otros gastos so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1 - GASTOS COMERCIALES NIEVES RUI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2 - GASTOS EMPR. ANTONIO ANDREU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4 - GASTOS COMERCIALES RICARDO PER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7 - GASTOS COMERCIALES J.PARED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9 - GASTOS COMERCIALES J.A.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0 - GASTOS EMP. CURR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2 - GASTOS COMERCIALES IRENE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0 - GTOS. CURSOS PERSONAL"/>
    <s v="-"/>
    <n v="0"/>
    <n v="0"/>
    <n v="0"/>
    <n v="0"/>
    <n v="0"/>
    <n v="0"/>
    <n v="0"/>
    <n v="0"/>
    <n v="0"/>
    <n v="0"/>
    <n v="-1000"/>
    <n v="-1500"/>
    <n v="-2500"/>
  </r>
  <r>
    <x v="0"/>
    <s v="Codiagro"/>
    <s v="RESULTADO DEL EJERCICIO"/>
    <s v="RESULTADO ANTES DE IMPUESTOS"/>
    <s v="RESULTADO DE LA EXPLOTACION"/>
    <x v="7"/>
    <s v="(649) Otros gastos sociales"/>
    <s v="649000101 - GTOS. SEG. Y RIESGOS PERSON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2 - GASTOS ROPA UNIFORMES TRABAJADO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3 - GASTOS COMBUSTIBLE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1 - GTOS. COMIDAS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2 - GASTOS TRAB. EMPRESA VAR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0) Gastos de investigación y desarrollo"/>
    <s v="620000002 - COMPRAS LABORATORIO"/>
    <s v="-"/>
    <n v="-322.5"/>
    <n v="-322.5"/>
    <n v="-322.5"/>
    <n v="-322.5"/>
    <n v="-322.5"/>
    <n v="-322.5"/>
    <n v="-322.5"/>
    <n v="-322.5"/>
    <n v="-322.5"/>
    <n v="-322.5"/>
    <n v="-322.5"/>
    <n v="-322.5"/>
    <n v="-3870"/>
  </r>
  <r>
    <x v="0"/>
    <s v="Codiagro"/>
    <s v="RESULTADO DEL EJERCICIO"/>
    <s v="RESULTADO ANTES DE IMPUESTOS"/>
    <s v="RESULTADO DE LA EXPLOTACION"/>
    <x v="8"/>
    <s v="(620) Gastos de investigación y desarrollo"/>
    <s v="620000003 - SUMINISTROS LABORATORIO"/>
    <s v="-"/>
    <n v="-812.59"/>
    <n v="-812.59"/>
    <n v="-812.59"/>
    <n v="-812.59"/>
    <n v="-812.59"/>
    <n v="-812.59"/>
    <n v="-812.59"/>
    <n v="-812.59"/>
    <n v="-812.59"/>
    <n v="-812.59"/>
    <n v="-812.59"/>
    <n v="-812.59"/>
    <n v="-9751.08"/>
  </r>
  <r>
    <x v="0"/>
    <s v="Codiagro"/>
    <s v="RESULTADO DEL EJERCICIO"/>
    <s v="RESULTADO ANTES DE IMPUESTOS"/>
    <s v="RESULTADO DE LA EXPLOTACION"/>
    <x v="8"/>
    <s v="(620) Gastos de investigación y desarrollo"/>
    <s v="620000004 - GTOS. ANALISIS LABORATORIOS"/>
    <s v="-"/>
    <n v="-1229.19"/>
    <n v="-1229.19"/>
    <n v="-1229.19"/>
    <n v="-1229.19"/>
    <n v="-1229.19"/>
    <n v="-1229.19"/>
    <n v="-1229.19"/>
    <n v="-1229.19"/>
    <n v="-1229.19"/>
    <n v="-1229.19"/>
    <n v="-1229.19"/>
    <n v="-1229.19"/>
    <n v="-14750.28"/>
  </r>
  <r>
    <x v="0"/>
    <s v="Codiagro"/>
    <s v="RESULTADO DEL EJERCICIO"/>
    <s v="RESULTADO ANTES DE IMPUESTOS"/>
    <s v="RESULTADO DE LA EXPLOTACION"/>
    <x v="8"/>
    <s v="(621) Arrendamientos y cánones"/>
    <s v="621000001 - ALQUILER OFICINA CARTAGENA"/>
    <s v="-"/>
    <n v="-192"/>
    <n v="-192"/>
    <n v="-192"/>
    <n v="-192"/>
    <n v="-192"/>
    <n v="-192"/>
    <n v="-192"/>
    <n v="-192"/>
    <n v="-192"/>
    <n v="-192"/>
    <n v="-192"/>
    <n v="-192"/>
    <n v="-2304"/>
  </r>
  <r>
    <x v="0"/>
    <s v="Codiagro"/>
    <s v="RESULTADO DEL EJERCICIO"/>
    <s v="RESULTADO ANTES DE IMPUESTOS"/>
    <s v="RESULTADO DE LA EXPLOTACION"/>
    <x v="8"/>
    <s v="(621) Arrendamientos y cánones"/>
    <s v="621000014 - ALQUILER MURANO"/>
    <s v="-"/>
    <n v="-1877.6"/>
    <n v="-1877.6"/>
    <n v="-1877.6"/>
    <n v="-1877.6"/>
    <n v="-1877.6"/>
    <n v="-1877.6"/>
    <n v="-1877.6"/>
    <n v="-1877.6"/>
    <n v="-1877.6"/>
    <n v="-1877.6"/>
    <n v="-1877.6"/>
    <n v="-1877.6"/>
    <n v="-22531.2"/>
  </r>
  <r>
    <x v="0"/>
    <s v="Codiagro"/>
    <s v="RESULTADO DEL EJERCICIO"/>
    <s v="RESULTADO ANTES DE IMPUESTOS"/>
    <s v="RESULTADO DE LA EXPLOTACION"/>
    <x v="8"/>
    <s v="(621) Arrendamientos y cánones"/>
    <s v="621000023 - RENTING TRANSPALETA ELECTRICA DE PI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4 - ALQUILER RENTING 2255KXN ANTONIO"/>
    <s v="-"/>
    <n v="-361.46"/>
    <n v="-361.46"/>
    <n v="-361.46"/>
    <n v="-361.46"/>
    <n v="-361.46"/>
    <n v="-361.46"/>
    <n v="-361.46"/>
    <n v="-361.46"/>
    <n v="-361.46"/>
    <n v="-361.46"/>
    <n v="-361.46"/>
    <n v="-361.46"/>
    <n v="-4337.52"/>
  </r>
  <r>
    <x v="0"/>
    <s v="Codiagro"/>
    <s v="RESULTADO DEL EJERCICIO"/>
    <s v="RESULTADO ANTES DE IMPUESTOS"/>
    <s v="RESULTADO DE LA EXPLOTACION"/>
    <x v="8"/>
    <s v="(621) Arrendamientos y cánones"/>
    <s v="621000025 - ALQUILER RENTING 9128 LBT NIEV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6 - ALQUILER RENTING 9319LCL CURRO"/>
    <s v="-"/>
    <n v="-369.97"/>
    <n v="-369.97"/>
    <n v="-369.97"/>
    <n v="-369.97"/>
    <n v="-369.97"/>
    <n v="-369.97"/>
    <n v="-369.97"/>
    <n v="-369.97"/>
    <n v="-369.97"/>
    <n v="-369.97"/>
    <n v="-369.97"/>
    <n v="-369.97"/>
    <n v="-4439.640000000001"/>
  </r>
  <r>
    <x v="0"/>
    <s v="Codiagro"/>
    <s v="RESULTADO DEL EJERCICIO"/>
    <s v="RESULTADO ANTES DE IMPUESTOS"/>
    <s v="RESULTADO DE LA EXPLOTACION"/>
    <x v="8"/>
    <s v="(621) Arrendamientos y cánones"/>
    <s v="621000030 - ALQUILER RENTING 1075-LSC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1 - ALQUILER RENTING KONICA-MINOLTA Y KYOCERA"/>
    <s v="-"/>
    <n v="-338"/>
    <n v="-338"/>
    <n v="-338"/>
    <n v="-338"/>
    <n v="-338"/>
    <n v="-338"/>
    <n v="-338"/>
    <n v="-338"/>
    <n v="-338"/>
    <n v="-338"/>
    <n v="-338"/>
    <n v="-338"/>
    <n v="-4056"/>
  </r>
  <r>
    <x v="0"/>
    <s v="Codiagro"/>
    <s v="RESULTADO DEL EJERCICIO"/>
    <s v="RESULTADO ANTES DE IMPUESTOS"/>
    <s v="RESULTADO DE LA EXPLOTACION"/>
    <x v="8"/>
    <s v="(621) Arrendamientos y cánones"/>
    <s v="621000032 - ALQUILER RENTING 6665-LVK JOSE JUAN"/>
    <s v="-"/>
    <n v="-470.16"/>
    <n v="-470.16"/>
    <n v="-470.16"/>
    <n v="-470.16"/>
    <n v="-470.16"/>
    <n v="-470.16"/>
    <n v="-470.16"/>
    <n v="-470.16"/>
    <n v="-470.16"/>
    <n v="-470.16"/>
    <n v="-470.16"/>
    <n v="-470.16"/>
    <n v="-5641.919999999999"/>
  </r>
  <r>
    <x v="0"/>
    <s v="Codiagro"/>
    <s v="RESULTADO DEL EJERCICIO"/>
    <s v="RESULTADO ANTES DE IMPUESTOS"/>
    <s v="RESULTADO DE LA EXPLOTACION"/>
    <x v="8"/>
    <s v="(621) Arrendamientos y cánones"/>
    <s v="621000033 - ALQUILER RENTING 2612-MBY ANTONIO"/>
    <s v="-"/>
    <n v="-345.06"/>
    <n v="-345.06"/>
    <n v="-345.06"/>
    <n v="-345.06"/>
    <n v="-345.06"/>
    <n v="-345.06"/>
    <n v="-345.06"/>
    <n v="-345.06"/>
    <n v="-345.06"/>
    <n v="-345.06"/>
    <n v="-345.06"/>
    <n v="-345.06"/>
    <n v="-4140.72"/>
  </r>
  <r>
    <x v="0"/>
    <s v="Codiagro"/>
    <s v="RESULTADO DEL EJERCICIO"/>
    <s v="RESULTADO ANTES DE IMPUESTOS"/>
    <s v="RESULTADO DE LA EXPLOTACION"/>
    <x v="8"/>
    <s v="(621) Arrendamientos y cánones"/>
    <s v="621000034 - ALQUILER RENTING 3108-LZM NIEVES"/>
    <s v="-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9764.280000000002"/>
  </r>
  <r>
    <x v="0"/>
    <s v="Codiagro"/>
    <s v="RESULTADO DEL EJERCICIO"/>
    <s v="RESULTADO ANTES DE IMPUESTOS"/>
    <s v="RESULTADO DE LA EXPLOTACION"/>
    <x v="8"/>
    <s v="(621) Arrendamientos y cánones"/>
    <s v="621000035 - ALQUILER RENTING 2142-MCS RICARD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6 - ALQUILER RENTING 3277-MDX JAVIE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7 - CARRETILLA STILL ELEKTROSTAPLER 516213H00521"/>
    <s v="-"/>
    <n v="-228.57"/>
    <n v="-228.57"/>
    <n v="-228.57"/>
    <n v="-228.57"/>
    <n v="-228.57"/>
    <n v="-228.57"/>
    <n v="-228.57"/>
    <n v="-228.57"/>
    <n v="-228.57"/>
    <n v="-228.57"/>
    <n v="-228.57"/>
    <n v="-228.57"/>
    <n v="-2742.84"/>
  </r>
  <r>
    <x v="0"/>
    <s v="Codiagro"/>
    <s v="RESULTADO DEL EJERCICIO"/>
    <s v="RESULTADO ANTES DE IMPUESTOS"/>
    <s v="RESULTADO DE LA EXPLOTACION"/>
    <x v="8"/>
    <s v="(621) Arrendamientos y cánones"/>
    <s v="621000038 - CARRETILLA STILL ELEKTROSTAPLER 516223J00123"/>
    <s v="-"/>
    <n v="-228.82"/>
    <n v="-228.82"/>
    <n v="-228.82"/>
    <n v="-228.82"/>
    <n v="-228.82"/>
    <n v="-228.82"/>
    <n v="-228.82"/>
    <n v="-228.82"/>
    <n v="-228.82"/>
    <n v="-228.82"/>
    <n v="-228.82"/>
    <n v="-228.82"/>
    <n v="-2745.84"/>
  </r>
  <r>
    <x v="0"/>
    <s v="Codiagro"/>
    <s v="RESULTADO DEL EJERCICIO"/>
    <s v="RESULTADO ANTES DE IMPUESTOS"/>
    <s v="RESULTADO DE LA EXPLOTACION"/>
    <x v="8"/>
    <s v="(621) Arrendamientos y cánones"/>
    <s v="621000039 - ALQUILER RENTING 5043-MWW CURRO"/>
    <s v="-"/>
    <n v="-482.36"/>
    <n v="-482.36"/>
    <n v="-482.36"/>
    <n v="-482.36"/>
    <n v="-482.36"/>
    <n v="-482.36"/>
    <n v="-482.36"/>
    <n v="-482.36"/>
    <n v="-482.36"/>
    <n v="-482.36"/>
    <n v="-482.36"/>
    <n v="-482.36"/>
    <n v="-5788.32"/>
  </r>
  <r>
    <x v="0"/>
    <s v="Codiagro"/>
    <s v="RESULTADO DEL EJERCICIO"/>
    <s v="RESULTADO ANTES DE IMPUESTOS"/>
    <s v="RESULTADO DE LA EXPLOTACION"/>
    <x v="8"/>
    <s v="(621) Arrendamientos y cánones"/>
    <s v="621000040 - ALQUILER RENTING 8917-MZT JAVIER"/>
    <s v="-"/>
    <n v="-1557.86"/>
    <n v="-1557.86"/>
    <n v="-1557.86"/>
    <n v="-1557.86"/>
    <n v="-1557.86"/>
    <n v="-1557.86"/>
    <n v="-1557.86"/>
    <n v="-1557.86"/>
    <n v="-1557.86"/>
    <n v="-1557.86"/>
    <n v="-1557.86"/>
    <n v="-1557.86"/>
    <n v="-18694.32"/>
  </r>
  <r>
    <x v="0"/>
    <s v="Codiagro"/>
    <s v="RESULTADO DEL EJERCICIO"/>
    <s v="RESULTADO ANTES DE IMPUESTOS"/>
    <s v="RESULTADO DE LA EXPLOTACION"/>
    <x v="8"/>
    <s v="(621) Arrendamientos y cánones"/>
    <s v="621000041 - ALQUILER RENTING 8929-MZT RICARDO"/>
    <s v="-"/>
    <n v="-1338.15"/>
    <n v="-1338.15"/>
    <n v="-1338.15"/>
    <n v="-1338.15"/>
    <n v="-1338.15"/>
    <n v="-1338.15"/>
    <n v="-1338.15"/>
    <n v="-1338.15"/>
    <n v="-1338.15"/>
    <n v="-1338.15"/>
    <n v="-1338.15"/>
    <n v="-1338.15"/>
    <n v="-16057.8"/>
  </r>
  <r>
    <x v="0"/>
    <s v="Codiagro"/>
    <s v="RESULTADO DEL EJERCICIO"/>
    <s v="RESULTADO ANTES DE IMPUESTOS"/>
    <s v="RESULTADO DE LA EXPLOTACION"/>
    <x v="8"/>
    <s v="(621) Arrendamientos y cánones"/>
    <s v="621000042 - ALQUILER RENTING 4946-NFH GARCIA"/>
    <s v="-"/>
    <n v="-645.34"/>
    <n v="-645.34"/>
    <n v="-645.34"/>
    <n v="-645.34"/>
    <n v="-645.34"/>
    <n v="-645.34"/>
    <n v="-645.34"/>
    <n v="-645.34"/>
    <n v="-645.34"/>
    <n v="-645.34"/>
    <n v="-645.34"/>
    <n v="-645.34"/>
    <n v="-7744.080000000001"/>
  </r>
  <r>
    <x v="0"/>
    <s v="Codiagro"/>
    <s v="RESULTADO DEL EJERCICIO"/>
    <s v="RESULTADO ANTES DE IMPUESTOS"/>
    <s v="RESULTADO DE LA EXPLOTACION"/>
    <x v="8"/>
    <s v="(621) Arrendamientos y cánones"/>
    <s v="621000044 - ALQUILER COMPRESOR DE TORNILLO 37KW KAESER BSD 75C"/>
    <s v="-"/>
    <n v="-1600"/>
    <n v="-1600"/>
    <n v="-1600"/>
    <n v="-1600"/>
    <n v="-1600"/>
    <n v="-1600"/>
    <n v="-1600"/>
    <n v="-1600"/>
    <n v="-1600"/>
    <n v="-1600"/>
    <n v="-1600"/>
    <n v="-1600"/>
    <n v="-19200"/>
  </r>
  <r>
    <x v="0"/>
    <s v="Codiagro"/>
    <s v="RESULTADO DEL EJERCICIO"/>
    <s v="RESULTADO ANTES DE IMPUESTOS"/>
    <s v="RESULTADO DE LA EXPLOTACION"/>
    <x v="8"/>
    <s v="(621) Arrendamientos y cánones"/>
    <s v="621000045 - ALQUILER RENTING 3421-NJT PERE"/>
    <s v="-"/>
    <n v="-1093.31"/>
    <n v="-1093.31"/>
    <n v="-1093.31"/>
    <n v="-1093.31"/>
    <n v="-1093.31"/>
    <n v="-1093.31"/>
    <n v="-1093.31"/>
    <n v="-1093.31"/>
    <n v="-1093.31"/>
    <n v="-1093.31"/>
    <n v="-1093.31"/>
    <n v="-1093.31"/>
    <n v="-13119.72"/>
  </r>
  <r>
    <x v="0"/>
    <s v="Codiagro"/>
    <s v="RESULTADO DEL EJERCICIO"/>
    <s v="RESULTADO ANTES DE IMPUESTOS"/>
    <s v="RESULTADO DE LA EXPLOTACION"/>
    <x v="8"/>
    <s v="(621) Arrendamientos y cánones"/>
    <s v="621000046 - ALQUILER CARRETILLAS"/>
    <s v="-"/>
    <n v="-677.75"/>
    <n v="-677.75"/>
    <n v="-677.75"/>
    <n v="-677.75"/>
    <n v="-677.75"/>
    <n v="-677.75"/>
    <n v="-677.75"/>
    <n v="-677.75"/>
    <n v="-677.75"/>
    <n v="-677.75"/>
    <n v="-677.75"/>
    <n v="-677.75"/>
    <n v="-8133"/>
  </r>
  <r>
    <x v="0"/>
    <s v="Codiagro"/>
    <s v="RESULTADO DEL EJERCICIO"/>
    <s v="RESULTADO ANTES DE IMPUESTOS"/>
    <s v="RESULTADO DE LA EXPLOTACION"/>
    <x v="8"/>
    <s v="(622) Reparación/conservación/mantenimiento"/>
    <s v="622000001 - REPAR. EQUIPOS INFORM. Y FOTOCOPIADORAS"/>
    <s v="-"/>
    <n v="-748.65"/>
    <n v="-748.65"/>
    <n v="-748.65"/>
    <n v="-748.65"/>
    <n v="-748.65"/>
    <n v="-748.65"/>
    <n v="-748.65"/>
    <n v="-748.65"/>
    <n v="-748.65"/>
    <n v="-748.65"/>
    <n v="-748.65"/>
    <n v="-748.65"/>
    <n v="-8983.799999999997"/>
  </r>
  <r>
    <x v="0"/>
    <s v="Codiagro"/>
    <s v="RESULTADO DEL EJERCICIO"/>
    <s v="RESULTADO ANTES DE IMPUESTOS"/>
    <s v="RESULTADO DE LA EXPLOTACION"/>
    <x v="8"/>
    <s v="(622) Reparación/conservación/mantenimiento"/>
    <s v="622000004 - REP. Y CONSERV. CARRETILLA ELECTRICA"/>
    <s v="-"/>
    <n v="-731.87"/>
    <n v="-731.87"/>
    <n v="-731.87"/>
    <n v="-731.87"/>
    <n v="-731.87"/>
    <n v="-731.87"/>
    <n v="-731.87"/>
    <n v="-731.87"/>
    <n v="-731.87"/>
    <n v="-731.87"/>
    <n v="-731.87"/>
    <n v="-731.87"/>
    <n v="-8782.440000000001"/>
  </r>
  <r>
    <x v="0"/>
    <s v="Codiagro"/>
    <s v="RESULTADO DEL EJERCICIO"/>
    <s v="RESULTADO ANTES DE IMPUESTOS"/>
    <s v="RESULTADO DE LA EXPLOTACION"/>
    <x v="8"/>
    <s v="(622) Reparación/conservación/mantenimiento"/>
    <s v="622000005 - REP. Y MANT. EQUIPOS SEGURIDAD"/>
    <s v="-"/>
    <n v="-122.19"/>
    <n v="-122.19"/>
    <n v="-122.19"/>
    <n v="-122.19"/>
    <n v="-122.19"/>
    <n v="-122.19"/>
    <n v="-122.19"/>
    <n v="-122.19"/>
    <n v="-122.19"/>
    <n v="-122.19"/>
    <n v="-122.19"/>
    <n v="-122.19"/>
    <n v="-1466.28"/>
  </r>
  <r>
    <x v="0"/>
    <s v="Codiagro"/>
    <s v="RESULTADO DEL EJERCICIO"/>
    <s v="RESULTADO ANTES DE IMPUESTOS"/>
    <s v="RESULTADO DE LA EXPLOTACION"/>
    <x v="8"/>
    <s v="(622) Reparación/conservación/mantenimiento"/>
    <s v="622000006 - REP. Y MANT. INSTALACIONES VARIAS"/>
    <s v="-"/>
    <n v="-3015.5"/>
    <n v="-800"/>
    <n v="-800"/>
    <n v="-800"/>
    <n v="-800"/>
    <n v="-800"/>
    <n v="-800"/>
    <n v="-3174.84"/>
    <n v="-3128.9"/>
    <n v="-2577.65"/>
    <n v="-800"/>
    <n v="-1351.25"/>
    <n v="-18848.14"/>
  </r>
  <r>
    <x v="0"/>
    <s v="Codiagro"/>
    <s v="RESULTADO DEL EJERCICIO"/>
    <s v="RESULTADO ANTES DE IMPUESTOS"/>
    <s v="RESULTADO DE LA EXPLOTACION"/>
    <x v="8"/>
    <s v="(622) Reparación/conservación/mantenimiento"/>
    <s v="622000007 - REP. Y MANT. HYUNDAI 0377CJG"/>
    <s v="-"/>
    <n v="-249.63"/>
    <n v="-249.63"/>
    <n v="-249.63"/>
    <n v="-249.63"/>
    <n v="-249.63"/>
    <n v="-249.63"/>
    <n v="-249.63"/>
    <n v="-249.63"/>
    <n v="-249.63"/>
    <n v="-249.63"/>
    <n v="-249.63"/>
    <n v="-249.63"/>
    <n v="-2995.560000000001"/>
  </r>
  <r>
    <x v="0"/>
    <s v="Codiagro"/>
    <s v="RESULTADO DEL EJERCICIO"/>
    <s v="RESULTADO ANTES DE IMPUESTOS"/>
    <s v="RESULTADO DE LA EXPLOTACION"/>
    <x v="8"/>
    <s v="(622) Reparación/conservación/mantenimiento"/>
    <s v="622000008 - REP. Y MANT. MAQUINA BARREDORA"/>
    <s v="-"/>
    <n v="-515.01"/>
    <n v="-515.01"/>
    <n v="-515.01"/>
    <n v="-515.01"/>
    <n v="-515.01"/>
    <n v="-515.01"/>
    <n v="-515.01"/>
    <n v="-515.01"/>
    <n v="-515.01"/>
    <n v="-515.01"/>
    <n v="-515.01"/>
    <n v="-515.01"/>
    <n v="-6180.120000000002"/>
  </r>
  <r>
    <x v="0"/>
    <s v="Codiagro"/>
    <s v="RESULTADO DEL EJERCICIO"/>
    <s v="RESULTADO ANTES DE IMPUESTOS"/>
    <s v="RESULTADO DE LA EXPLOTACION"/>
    <x v="8"/>
    <s v="(622) Reparación/conservación/mantenimiento"/>
    <s v="622000009 - REP. Y MANT. FURGONETA 2589CRJ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00012 - LIMPIEZA OFICINAS, LABORATORIO Y VESTUARIOS"/>
    <s v="-"/>
    <n v="-935.11"/>
    <n v="-935.11"/>
    <n v="-935.11"/>
    <n v="-935.11"/>
    <n v="-935.11"/>
    <n v="-935.11"/>
    <n v="-935.11"/>
    <n v="-935.11"/>
    <n v="-935.11"/>
    <n v="-935.11"/>
    <n v="-935.11"/>
    <n v="-935.11"/>
    <n v="-11221.32"/>
  </r>
  <r>
    <x v="0"/>
    <s v="Codiagro"/>
    <s v="RESULTADO DEL EJERCICIO"/>
    <s v="RESULTADO ANTES DE IMPUESTOS"/>
    <s v="RESULTADO DE LA EXPLOTACION"/>
    <x v="8"/>
    <s v="(622) Reparación/conservación/mantenimiento"/>
    <s v="622010000 MANTENIMIENTO"/>
    <s v="-"/>
    <n v="-1472.45"/>
    <n v="-1472.45"/>
    <n v="-1472.45"/>
    <n v="-1472.45"/>
    <n v="-1472.45"/>
    <n v="-1472.45"/>
    <n v="-1472.45"/>
    <n v="-1472.45"/>
    <n v="-1472.45"/>
    <n v="-1472.45"/>
    <n v="-1472.45"/>
    <n v="-1472.45"/>
    <n v="-17669.40000000001"/>
  </r>
  <r>
    <x v="0"/>
    <s v="Codiagro"/>
    <s v="RESULTADO DEL EJERCICIO"/>
    <s v="RESULTADO ANTES DE IMPUESTOS"/>
    <s v="RESULTADO DE LA EXPLOTACION"/>
    <x v="8"/>
    <s v="(622) Reparación/conservación/mantenimiento"/>
    <s v="622010001 - MANTENIMIENTO REPUESTO COMPRA AMAZ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200 - ALCAPLANT"/>
    <s v="-"/>
    <n v="0"/>
    <n v="0"/>
    <n v="0"/>
    <n v="-554.4"/>
    <n v="0"/>
    <n v="0"/>
    <n v="0"/>
    <n v="-1050"/>
    <n v="-840"/>
    <n v="-3150"/>
    <n v="0"/>
    <n v="0"/>
    <n v="-5594.4"/>
  </r>
  <r>
    <x v="0"/>
    <s v="Codiagro"/>
    <s v="RESULTADO DEL EJERCICIO"/>
    <s v="RESULTADO ANTES DE IMPUESTOS"/>
    <s v="RESULTADO DE LA EXPLOTACION"/>
    <x v="8"/>
    <s v="(622) Reparación/conservación/mantenimiento"/>
    <s v="622010201 - REPARACIONES ALCAPLAN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300 - SOLIDOS"/>
    <s v="-"/>
    <n v="-367.5"/>
    <n v="-367.5"/>
    <n v="-367.5"/>
    <n v="-367.5"/>
    <n v="-367.5"/>
    <n v="-367.5"/>
    <n v="-367.5"/>
    <n v="-367.5"/>
    <n v="-367.5"/>
    <n v="-367.5"/>
    <n v="-2992.5"/>
    <n v="-367.5"/>
    <n v="-7035"/>
  </r>
  <r>
    <x v="0"/>
    <s v="Codiagro"/>
    <s v="RESULTADO DEL EJERCICIO"/>
    <s v="RESULTADO ANTES DE IMPUESTOS"/>
    <s v="RESULTADO DE LA EXPLOTACION"/>
    <x v="8"/>
    <s v="(622) Reparación/conservación/mantenimiento"/>
    <s v="622010400 - LIQUIDOS"/>
    <s v="-"/>
    <n v="-420"/>
    <n v="0"/>
    <n v="0"/>
    <n v="-630"/>
    <n v="0"/>
    <n v="0"/>
    <n v="0"/>
    <n v="0"/>
    <n v="-3885"/>
    <n v="-1155"/>
    <n v="0"/>
    <n v="0"/>
    <n v="-6090"/>
  </r>
  <r>
    <x v="0"/>
    <s v="Codiagro"/>
    <s v="RESULTADO DEL EJERCICIO"/>
    <s v="RESULTADO ANTES DE IMPUESTOS"/>
    <s v="RESULTADO DE LA EXPLOTACION"/>
    <x v="8"/>
    <s v="(622) Reparación/conservación/mantenimiento"/>
    <s v="622010500 - REPUESTOS MANT. VARIOS"/>
    <s v="-"/>
    <n v="-262.5"/>
    <n v="-262.5"/>
    <n v="-262.5"/>
    <n v="-262.5"/>
    <n v="-262.5"/>
    <n v="-262.5"/>
    <n v="-262.5"/>
    <n v="-262.5"/>
    <n v="-367.5"/>
    <n v="-262.5"/>
    <n v="-262.5"/>
    <n v="-262.5"/>
    <n v="-3255"/>
  </r>
  <r>
    <x v="0"/>
    <s v="Codiagro"/>
    <s v="RESULTADO DEL EJERCICIO"/>
    <s v="RESULTADO ANTES DE IMPUESTOS"/>
    <s v="RESULTADO DE LA EXPLOTACION"/>
    <x v="8"/>
    <s v="(622) Reparación/conservación/mantenimiento"/>
    <s v="622010501 - REP. MANT. FONTANER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000001 - SERV. PROF. INDEPENDIENTES"/>
    <s v="-"/>
    <n v="-6000"/>
    <n v="-6000"/>
    <n v="-6000"/>
    <n v="-6000"/>
    <n v="-6000"/>
    <n v="-6000"/>
    <n v="-6000"/>
    <n v="-6000"/>
    <n v="-6000"/>
    <n v="-6000"/>
    <n v="-6000"/>
    <n v="-8000"/>
    <n v="-74000"/>
  </r>
  <r>
    <x v="0"/>
    <s v="Codiagro"/>
    <s v="RESULTADO DEL EJERCICIO"/>
    <s v="RESULTADO ANTES DE IMPUESTOS"/>
    <s v="RESULTADO DE LA EXPLOTACION"/>
    <x v="8"/>
    <s v="(623) Servicios profesionales independientes"/>
    <s v="623000002 - SERVICIOS CONTABLES Y FINANCIEROS"/>
    <s v="-"/>
    <n v="-1400"/>
    <n v="-1400"/>
    <n v="-1400"/>
    <n v="-1400"/>
    <n v="-1400"/>
    <n v="-1400"/>
    <n v="-1400"/>
    <n v="-1400"/>
    <n v="-1400"/>
    <n v="-1400"/>
    <n v="-1400"/>
    <n v="-1400"/>
    <n v="-16800"/>
  </r>
  <r>
    <x v="0"/>
    <s v="Codiagro"/>
    <s v="RESULTADO DEL EJERCICIO"/>
    <s v="RESULTADO ANTES DE IMPUESTOS"/>
    <s v="RESULTADO DE LA EXPLOTACION"/>
    <x v="8"/>
    <s v="(623) Servicios profesionales independientes"/>
    <s v="623000003 - SERV. NOTARIOS, REGISTROS, LEGAL"/>
    <s v="-"/>
    <n v="-550"/>
    <n v="0"/>
    <n v="0"/>
    <n v="0"/>
    <n v="0"/>
    <n v="0"/>
    <n v="0"/>
    <n v="0"/>
    <n v="0"/>
    <n v="0"/>
    <n v="0"/>
    <n v="0"/>
    <n v="-550"/>
  </r>
  <r>
    <x v="0"/>
    <s v="Codiagro"/>
    <s v="RESULTADO DEL EJERCICIO"/>
    <s v="RESULTADO ANTES DE IMPUESTOS"/>
    <s v="RESULTADO DE LA EXPLOTACION"/>
    <x v="8"/>
    <s v="(623) Servicios profesionales independientes"/>
    <s v="623000004 - GTOS. BCS. OKO"/>
    <s v="-"/>
    <n v="-980"/>
    <n v="-970"/>
    <n v="-2700"/>
    <n v="0"/>
    <n v="-1610"/>
    <n v="-1268"/>
    <n v="0"/>
    <n v="0"/>
    <n v="0"/>
    <n v="-180"/>
    <n v="-1100"/>
    <n v="-1385"/>
    <n v="-10193"/>
  </r>
  <r>
    <x v="0"/>
    <s v="Codiagro"/>
    <s v="RESULTADO DEL EJERCICIO"/>
    <s v="RESULTADO ANTES DE IMPUESTOS"/>
    <s v="RESULTADO DE LA EXPLOTACION"/>
    <x v="8"/>
    <s v="(623) Servicios profesionales independientes"/>
    <s v="623000005 - SERVICIOS PREST. CAMARA COMERCIO"/>
    <s v="-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7326.719999999998"/>
  </r>
  <r>
    <x v="0"/>
    <s v="Codiagro"/>
    <s v="RESULTADO DEL EJERCICIO"/>
    <s v="RESULTADO ANTES DE IMPUESTOS"/>
    <s v="RESULTADO DE LA EXPLOTACION"/>
    <x v="8"/>
    <s v="(623) Servicios profesionales independientes"/>
    <s v="623100002 - GASTOS MAURICIO ALISTE"/>
    <s v="-"/>
    <n v="-4000"/>
    <n v="-4000"/>
    <n v="-4000"/>
    <n v="-4000"/>
    <n v="-4000"/>
    <n v="-4000"/>
    <n v="-4000"/>
    <n v="-4000"/>
    <n v="-4000"/>
    <n v="-4000"/>
    <n v="-4000"/>
    <n v="-9000"/>
    <n v="-53000"/>
  </r>
  <r>
    <x v="0"/>
    <s v="Codiagro"/>
    <s v="RESULTADO DEL EJERCICIO"/>
    <s v="RESULTADO ANTES DE IMPUESTOS"/>
    <s v="RESULTADO DE LA EXPLOTACION"/>
    <x v="8"/>
    <s v="(623) Servicios profesionales independientes"/>
    <s v="623100006 - GASTOS Y SERVICIOS AGRICOLA DEL JUCAR"/>
    <s v="-"/>
    <n v="-500"/>
    <n v="-500"/>
    <n v="-500"/>
    <n v="-500"/>
    <n v="-500"/>
    <n v="-500"/>
    <n v="-500"/>
    <n v="-500"/>
    <n v="-500"/>
    <n v="-500"/>
    <n v="-500"/>
    <n v="-30500"/>
    <n v="-36000"/>
  </r>
  <r>
    <x v="0"/>
    <s v="Codiagro"/>
    <s v="RESULTADO DEL EJERCICIO"/>
    <s v="RESULTADO ANTES DE IMPUESTOS"/>
    <s v="RESULTADO DE LA EXPLOTACION"/>
    <x v="8"/>
    <s v="(623) Servicios profesionales independientes"/>
    <s v="623100007 - GASTOS Y SUELDO MEHMET CILOGLU"/>
    <s v="-"/>
    <n v="-6000"/>
    <n v="-6000"/>
    <n v="-6000"/>
    <n v="-6000"/>
    <n v="-6000"/>
    <n v="-6000"/>
    <n v="-6000"/>
    <n v="-6000"/>
    <n v="-6000"/>
    <n v="-6000"/>
    <n v="-6000"/>
    <n v="-106000"/>
    <n v="-172000"/>
  </r>
  <r>
    <x v="0"/>
    <s v="Codiagro"/>
    <s v="RESULTADO DEL EJERCICIO"/>
    <s v="RESULTADO ANTES DE IMPUESTOS"/>
    <s v="RESULTADO DE LA EXPLOTACION"/>
    <x v="8"/>
    <s v="(623) Servicios profesionales independientes"/>
    <s v="623100008 - COMISIONES KAMAL KEHAL"/>
    <s v="-"/>
    <n v="-283.21"/>
    <n v="-283.21"/>
    <n v="-283.21"/>
    <n v="-283.21"/>
    <n v="-283.21"/>
    <n v="-283.21"/>
    <n v="-283.21"/>
    <n v="-283.21"/>
    <n v="-283.21"/>
    <n v="-283.21"/>
    <n v="-283.21"/>
    <n v="-283.21"/>
    <n v="-3398.52"/>
  </r>
  <r>
    <x v="0"/>
    <s v="Codiagro"/>
    <s v="RESULTADO DEL EJERCICIO"/>
    <s v="RESULTADO ANTES DE IMPUESTOS"/>
    <s v="RESULTADO DE LA EXPLOTACION"/>
    <x v="8"/>
    <s v="(623) Servicios profesionales independientes"/>
    <s v="623100009 - COMISIONES ABEL SALAZA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1 - GASTOS MARCAS EN ESPAÑ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5 - GASTOS MARCAS CHIL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6 - MARCAS UNION EUROPE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1 - GASTOS MARCAS COLOMB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1 - GASTOS MARCAS GUATEMAL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3 - GASTOS MARCAS ARGEL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2 - GASTOS MARCAS MEXIC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3 - GASTOS MARCAS MUND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8 - GASTOS MARCAS EGIPT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9 - GASTOS MARCAS MARRUEC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0 - GASTOS MARCAS TURQU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6 - GASTOS MARCAS ECU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7 GASTOS MARCAS EL SALV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0 - GASTOS MARCAS TUN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2 - GASTOS MARCAS BOLIV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4 - GASTOS MARCAS INTERNA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9 - GASTOS MARCAS GEORG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0 - GASTOS MARCAS AZERBAIYA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7 - GASTOS MARCAS ESTADOS UNI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1 - TRANSPORTES NACIONAL"/>
    <s v="-"/>
    <n v="-7016.85"/>
    <n v="-13619.9"/>
    <n v="-18607.54"/>
    <n v="-22055.44"/>
    <n v="-18645.63"/>
    <n v="-20396.41"/>
    <n v="-14747.91"/>
    <n v="-13338.45"/>
    <n v="-7825.86"/>
    <n v="-12700.12"/>
    <n v="-12528.19"/>
    <n v="-4989.85"/>
    <n v="-166472.15"/>
  </r>
  <r>
    <x v="0"/>
    <s v="Codiagro"/>
    <s v="RESULTADO DEL EJERCICIO"/>
    <s v="RESULTADO ANTES DE IMPUESTOS"/>
    <s v="RESULTADO DE LA EXPLOTACION"/>
    <x v="8"/>
    <s v="(624) Transportes ventas"/>
    <s v="624000002 - TRANSPORTE INTERNACIONAL"/>
    <s v="-"/>
    <n v="-29809.2"/>
    <n v="-21246.7"/>
    <n v="-19638.3"/>
    <n v="-8004.2"/>
    <n v="-38718.8"/>
    <n v="-33492"/>
    <n v="-13212.8"/>
    <n v="-18509.6"/>
    <n v="-24148.9"/>
    <n v="-23411.3"/>
    <n v="-40650.7"/>
    <n v="-34380.8"/>
    <n v="-305223.3"/>
  </r>
  <r>
    <x v="0"/>
    <s v="Codiagro"/>
    <s v="RESULTADO DEL EJERCICIO"/>
    <s v="RESULTADO ANTES DE IMPUESTOS"/>
    <s v="RESULTADO DE LA EXPLOTACION"/>
    <x v="8"/>
    <s v="(624) Transportes ventas"/>
    <s v="624000003 - TRANSPORTES CANARIAS"/>
    <s v="-"/>
    <n v="-6088.18"/>
    <n v="-5367.26"/>
    <n v="-7224.72"/>
    <n v="-3712.04"/>
    <n v="-14028.95"/>
    <n v="-2584.44"/>
    <n v="-4588.3"/>
    <n v="-8667.690000000001"/>
    <n v="-2950.85"/>
    <n v="-9635.040000000001"/>
    <n v="-13725.16"/>
    <n v="-625.65"/>
    <n v="-79198.28"/>
  </r>
  <r>
    <x v="0"/>
    <s v="Codiagro"/>
    <s v="RESULTADO DEL EJERCICIO"/>
    <s v="RESULTADO ANTES DE IMPUESTOS"/>
    <s v="RESULTADO DE LA EXPLOTACION"/>
    <x v="8"/>
    <s v="(624) Transportes ventas"/>
    <s v="624000004 - GTOS. FLETE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5 - TTE. PAQUETERIA"/>
    <s v="-"/>
    <n v="-591.46"/>
    <n v="-591.46"/>
    <n v="-591.46"/>
    <n v="-591.46"/>
    <n v="-591.46"/>
    <n v="-591.46"/>
    <n v="-591.46"/>
    <n v="-591.46"/>
    <n v="-591.46"/>
    <n v="-591.46"/>
    <n v="-591.46"/>
    <n v="-591.46"/>
    <n v="-7097.52"/>
  </r>
  <r>
    <x v="0"/>
    <s v="Codiagro"/>
    <s v="RESULTADO DEL EJERCICIO"/>
    <s v="RESULTADO ANTES DE IMPUESTOS"/>
    <s v="RESULTADO DE LA EXPLOTACION"/>
    <x v="8"/>
    <s v="(624) Transportes ventas"/>
    <s v="624000006 - TRANSPORTES IMPORTACIÓN"/>
    <s v="-"/>
    <n v="-1389.04"/>
    <n v="-1389.04"/>
    <n v="-1389.04"/>
    <n v="-1389.04"/>
    <n v="-1389.04"/>
    <n v="-1389.04"/>
    <n v="-1389.04"/>
    <n v="-1389.04"/>
    <n v="-1389.04"/>
    <n v="-1389.04"/>
    <n v="-1389.04"/>
    <n v="-1389.04"/>
    <n v="-16668.48"/>
  </r>
  <r>
    <x v="0"/>
    <s v="Codiagro"/>
    <s v="RESULTADO DEL EJERCICIO"/>
    <s v="RESULTADO ANTES DE IMPUESTOS"/>
    <s v="RESULTADO DE LA EXPLOTACION"/>
    <x v="8"/>
    <s v="(624) Transportes ventas"/>
    <s v="624000007 - ENVIO MUESTR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5) Primas de seguros"/>
    <s v="625000001 - SEGUROS VEHÍCULOS"/>
    <s v="-"/>
    <n v="-188.17"/>
    <n v="-188.17"/>
    <n v="-188.17"/>
    <n v="-188.17"/>
    <n v="-188.17"/>
    <n v="-188.17"/>
    <n v="-188.17"/>
    <n v="-188.17"/>
    <n v="-188.17"/>
    <n v="-188.17"/>
    <n v="-188.17"/>
    <n v="-188.17"/>
    <n v="-2258.04"/>
  </r>
  <r>
    <x v="0"/>
    <s v="Codiagro"/>
    <s v="RESULTADO DEL EJERCICIO"/>
    <s v="RESULTADO ANTES DE IMPUESTOS"/>
    <s v="RESULTADO DE LA EXPLOTACION"/>
    <x v="8"/>
    <s v="(625) Primas de seguros"/>
    <s v="625000003 SEGURO ACCIDENTES TRABAJADORES"/>
    <s v="-"/>
    <n v="-194.64"/>
    <n v="-194.64"/>
    <n v="-194.64"/>
    <n v="-194.64"/>
    <n v="-194.64"/>
    <n v="-194.64"/>
    <n v="-194.64"/>
    <n v="-194.64"/>
    <n v="-194.64"/>
    <n v="-194.64"/>
    <n v="-194.64"/>
    <n v="-194.64"/>
    <n v="-2335.679999999999"/>
  </r>
  <r>
    <x v="0"/>
    <s v="Codiagro"/>
    <s v="RESULTADO DEL EJERCICIO"/>
    <s v="RESULTADO ANTES DE IMPUESTOS"/>
    <s v="RESULTADO DE LA EXPLOTACION"/>
    <x v="8"/>
    <s v="(625) Primas de seguros"/>
    <s v="625000004 - SEGURO RESP. CIVIL"/>
    <s v="-"/>
    <n v="-3281.59"/>
    <n v="-3281.59"/>
    <n v="-3281.59"/>
    <n v="-3281.59"/>
    <n v="-3281.59"/>
    <n v="-3281.59"/>
    <n v="-3281.59"/>
    <n v="-3281.59"/>
    <n v="-3281.59"/>
    <n v="-3281.59"/>
    <n v="-3281.59"/>
    <n v="-3281.59"/>
    <n v="-39379.08"/>
  </r>
  <r>
    <x v="0"/>
    <s v="Codiagro"/>
    <s v="RESULTADO DEL EJERCICIO"/>
    <s v="RESULTADO ANTES DE IMPUESTOS"/>
    <s v="RESULTADO DE LA EXPLOTACION"/>
    <x v="8"/>
    <s v="(625) Primas de seguros"/>
    <s v="625000005 - SEGUROS ACTIVIDAD"/>
    <s v="-"/>
    <n v="-2975.68"/>
    <n v="-2975.68"/>
    <n v="-2975.68"/>
    <n v="-2975.68"/>
    <n v="-2975.68"/>
    <n v="-2975.68"/>
    <n v="-2975.68"/>
    <n v="-2975.68"/>
    <n v="-2975.68"/>
    <n v="-2975.68"/>
    <n v="-2975.68"/>
    <n v="-2975.68"/>
    <n v="-35708.16"/>
  </r>
  <r>
    <x v="0"/>
    <s v="Codiagro"/>
    <s v="RESULTADO DEL EJERCICIO"/>
    <s v="RESULTADO ANTES DE IMPUESTOS"/>
    <s v="RESULTADO DE LA EXPLOTACION"/>
    <x v="8"/>
    <s v="(626) Servicios bancarios"/>
    <s v="626000000 - Servicios bancarios y simila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6) Servicios bancarios"/>
    <s v="626000002 - GASTOS Y COMISIONES BANCO SABADELL"/>
    <s v="-"/>
    <n v="-49.02"/>
    <n v="-49.02"/>
    <n v="-49.02"/>
    <n v="-49.02"/>
    <n v="-49.02"/>
    <n v="-49.02"/>
    <n v="-49.02"/>
    <n v="-49.02"/>
    <n v="-49.02"/>
    <n v="-49.02"/>
    <n v="-49.02"/>
    <n v="-49.02"/>
    <n v="-588.2399999999999"/>
  </r>
  <r>
    <x v="0"/>
    <s v="Codiagro"/>
    <s v="RESULTADO DEL EJERCICIO"/>
    <s v="RESULTADO ANTES DE IMPUESTOS"/>
    <s v="RESULTADO DE LA EXPLOTACION"/>
    <x v="8"/>
    <s v="(626) Servicios bancarios"/>
    <s v="626000005 - GASTOS Y COMISIONES CAIXALMASSORA"/>
    <s v="-"/>
    <n v="-171.17"/>
    <n v="-171.17"/>
    <n v="-171.17"/>
    <n v="-171.17"/>
    <n v="-171.17"/>
    <n v="-171.17"/>
    <n v="-171.17"/>
    <n v="-171.17"/>
    <n v="-171.17"/>
    <n v="-171.17"/>
    <n v="-171.17"/>
    <n v="-171.17"/>
    <n v="-2054.04"/>
  </r>
  <r>
    <x v="0"/>
    <s v="Codiagro"/>
    <s v="RESULTADO DEL EJERCICIO"/>
    <s v="RESULTADO ANTES DE IMPUESTOS"/>
    <s v="RESULTADO DE LA EXPLOTACION"/>
    <x v="8"/>
    <s v="(626) Servicios bancarios"/>
    <s v="626000007 - GASTOS Y COMISIONES BBVA"/>
    <s v="-"/>
    <n v="-811.09"/>
    <n v="-811.09"/>
    <n v="-811.09"/>
    <n v="-811.09"/>
    <n v="-811.09"/>
    <n v="-811.09"/>
    <n v="-811.09"/>
    <n v="-811.09"/>
    <n v="-811.09"/>
    <n v="-811.09"/>
    <n v="-811.09"/>
    <n v="-811.09"/>
    <n v="-9733.08"/>
  </r>
  <r>
    <x v="0"/>
    <s v="Codiagro"/>
    <s v="RESULTADO DEL EJERCICIO"/>
    <s v="RESULTADO ANTES DE IMPUESTOS"/>
    <s v="RESULTADO DE LA EXPLOTACION"/>
    <x v="8"/>
    <s v="(627) Publicidad"/>
    <s v="627000001 - GTOS. PUBLICIDAD EN INTERNE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4 - RELACIONES PUBLIC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5 - INVITACIONES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6 - PUBLICIDAD CATALOGOS Y FOLLETOS"/>
    <s v="-"/>
    <n v="-2469.92"/>
    <n v="-3006.08"/>
    <n v="-2874.69"/>
    <n v="-3233.22"/>
    <n v="-2543.62"/>
    <n v="-1816.83"/>
    <n v="-1556.94"/>
    <n v="-658.01"/>
    <n v="-1867.78"/>
    <n v="-1290.69"/>
    <n v="-2792.91"/>
    <n v="-1519.31"/>
    <n v="-25630"/>
  </r>
  <r>
    <x v="0"/>
    <s v="Codiagro"/>
    <s v="RESULTADO DEL EJERCICIO"/>
    <s v="RESULTADO ANTES DE IMPUESTOS"/>
    <s v="RESULTADO DE LA EXPLOTACION"/>
    <x v="8"/>
    <s v="(627) Publicidad"/>
    <s v="627000007 - FERIAS"/>
    <s v="-"/>
    <n v="-3254.36"/>
    <n v="-3960.8"/>
    <n v="-3787.68"/>
    <n v="-4260.08"/>
    <n v="-3351.46"/>
    <n v="-2393.84"/>
    <n v="-2051.41"/>
    <n v="-866.99"/>
    <n v="-2460.99"/>
    <n v="-1700.61"/>
    <n v="-3679.93"/>
    <n v="-2001.84"/>
    <n v="-33769.99"/>
  </r>
  <r>
    <x v="0"/>
    <s v="Codiagro"/>
    <s v="RESULTADO DEL EJERCICIO"/>
    <s v="RESULTADO ANTES DE IMPUESTOS"/>
    <s v="RESULTADO DE LA EXPLOTACION"/>
    <x v="8"/>
    <s v="(627) Publicidad"/>
    <s v="627000008 - MARKETING"/>
    <s v="-"/>
    <n v="-18917.14"/>
    <n v="-23023.56"/>
    <n v="-22017.24"/>
    <n v="-24763.22"/>
    <n v="-19481.53"/>
    <n v="-13915.06"/>
    <n v="-11924.56"/>
    <n v="-5039.7"/>
    <n v="-14305.34"/>
    <n v="-9885.370000000001"/>
    <n v="-21390.88"/>
    <n v="-11636.39"/>
    <n v="-196299.99"/>
  </r>
  <r>
    <x v="0"/>
    <s v="Codiagro"/>
    <s v="RESULTADO DEL EJERCICIO"/>
    <s v="RESULTADO ANTES DE IMPUESTOS"/>
    <s v="RESULTADO DE LA EXPLOTACION"/>
    <x v="8"/>
    <s v="(627) Publicidad"/>
    <s v="627000009 - ARTICULOS PUBLICIDAD"/>
    <s v="-"/>
    <n v="-999.5700000000001"/>
    <n v="-1216.55"/>
    <n v="-1163.38"/>
    <n v="-1308.48"/>
    <n v="-1029.39"/>
    <n v="-735.27"/>
    <n v="-630.09"/>
    <n v="-266.3"/>
    <n v="-755.89"/>
    <n v="-522.34"/>
    <n v="-1130.28"/>
    <n v="-614.86"/>
    <n v="-10372.4"/>
  </r>
  <r>
    <x v="0"/>
    <s v="Codiagro"/>
    <s v="RESULTADO DEL EJERCICIO"/>
    <s v="RESULTADO ANTES DE IMPUESTOS"/>
    <s v="RESULTADO DE LA EXPLOTACION"/>
    <x v="8"/>
    <s v="(627) Publicidad"/>
    <s v="627000010 - RELACIONES PUBLICAS TEC.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8) Suministros"/>
    <s v="628000001 - SUMINISTROS INFORMATICOS"/>
    <s v="-"/>
    <n v="-489"/>
    <n v="-489"/>
    <n v="-489"/>
    <n v="-489"/>
    <n v="-489"/>
    <n v="-489"/>
    <n v="-489"/>
    <n v="-489"/>
    <n v="-489"/>
    <n v="-489"/>
    <n v="-489"/>
    <n v="-489"/>
    <n v="-5868"/>
  </r>
  <r>
    <x v="0"/>
    <s v="Codiagro"/>
    <s v="RESULTADO DEL EJERCICIO"/>
    <s v="RESULTADO ANTES DE IMPUESTOS"/>
    <s v="RESULTADO DE LA EXPLOTACION"/>
    <x v="8"/>
    <s v="(628) Suministros"/>
    <s v="628000002 - SUMINISTROS ELECTRICIDAD"/>
    <s v="-"/>
    <n v="-3500"/>
    <n v="-4200"/>
    <n v="-4200"/>
    <n v="-4200"/>
    <n v="-4200"/>
    <n v="-4200"/>
    <n v="-4200"/>
    <n v="-3500"/>
    <n v="-3500"/>
    <n v="-3500"/>
    <n v="-4200"/>
    <n v="-4200"/>
    <n v="-47600"/>
  </r>
  <r>
    <x v="0"/>
    <s v="Codiagro"/>
    <s v="RESULTADO DEL EJERCICIO"/>
    <s v="RESULTADO ANTES DE IMPUESTOS"/>
    <s v="RESULTADO DE LA EXPLOTACION"/>
    <x v="8"/>
    <s v="(628) Suministros"/>
    <s v="628000003 - SUMINISTROS AGUA"/>
    <s v="-"/>
    <n v="-1435.94"/>
    <n v="-1435.94"/>
    <n v="-1435.94"/>
    <n v="-1435.94"/>
    <n v="-1435.94"/>
    <n v="-1435.94"/>
    <n v="-1435.94"/>
    <n v="-1435.94"/>
    <n v="-1435.94"/>
    <n v="-1435.94"/>
    <n v="-1435.94"/>
    <n v="-1435.94"/>
    <n v="-17231.28"/>
  </r>
  <r>
    <x v="0"/>
    <s v="Codiagro"/>
    <s v="RESULTADO DEL EJERCICIO"/>
    <s v="RESULTADO ANTES DE IMPUESTOS"/>
    <s v="RESULTADO DE LA EXPLOTACION"/>
    <x v="8"/>
    <s v="(628) Suministros"/>
    <s v="628000004 - SUMINISTROS TELEFONIA E INTERNET"/>
    <s v="-"/>
    <n v="-800"/>
    <n v="-800"/>
    <n v="-250"/>
    <n v="-250"/>
    <n v="-250"/>
    <n v="-250"/>
    <n v="-250"/>
    <n v="-250"/>
    <n v="-250"/>
    <n v="-250"/>
    <n v="-800"/>
    <n v="-800"/>
    <n v="-5200"/>
  </r>
  <r>
    <x v="0"/>
    <s v="Codiagro"/>
    <s v="RESULTADO DEL EJERCICIO"/>
    <s v="RESULTADO ANTES DE IMPUESTOS"/>
    <s v="RESULTADO DE LA EXPLOTACION"/>
    <x v="8"/>
    <s v="(628) Suministros"/>
    <s v="628000005 - SUMINISTROS GASOLEO"/>
    <s v="-"/>
    <n v="-1693.78"/>
    <n v="-1693.78"/>
    <n v="-1693.78"/>
    <n v="-1693.78"/>
    <n v="-1693.78"/>
    <n v="-1693.78"/>
    <n v="-1693.78"/>
    <n v="-1693.78"/>
    <n v="-1693.78"/>
    <n v="-1693.78"/>
    <n v="-1693.78"/>
    <n v="-1693.78"/>
    <n v="-20325.36"/>
  </r>
  <r>
    <x v="0"/>
    <s v="Codiagro"/>
    <s v="RESULTADO DEL EJERCICIO"/>
    <s v="RESULTADO ANTES DE IMPUESTOS"/>
    <s v="RESULTADO DE LA EXPLOTACION"/>
    <x v="8"/>
    <s v="(629) Otros servicios"/>
    <s v="629000001 - HOSPEDAJE WEB"/>
    <s v="-"/>
    <n v="-213"/>
    <n v="-213"/>
    <n v="-213"/>
    <n v="-213"/>
    <n v="-213"/>
    <n v="-213"/>
    <n v="-213"/>
    <n v="-213"/>
    <n v="-213"/>
    <n v="-213"/>
    <n v="-213"/>
    <n v="-213"/>
    <n v="-2556"/>
  </r>
  <r>
    <x v="0"/>
    <s v="Codiagro"/>
    <s v="RESULTADO DEL EJERCICIO"/>
    <s v="RESULTADO ANTES DE IMPUESTOS"/>
    <s v="RESULTADO DE LA EXPLOTACION"/>
    <x v="8"/>
    <s v="(629) Otros servicios"/>
    <s v="629000002 - OTROS GASTOS"/>
    <s v="-"/>
    <n v="-7550"/>
    <n v="0"/>
    <n v="0"/>
    <n v="0"/>
    <n v="0"/>
    <n v="0"/>
    <n v="-515"/>
    <n v="0"/>
    <n v="-8625"/>
    <n v="0"/>
    <n v="0"/>
    <n v="-8625"/>
    <n v="-25315"/>
  </r>
  <r>
    <x v="0"/>
    <s v="Codiagro"/>
    <s v="RESULTADO DEL EJERCICIO"/>
    <s v="RESULTADO ANTES DE IMPUESTOS"/>
    <s v="RESULTADO DE LA EXPLOTACION"/>
    <x v="8"/>
    <s v="(629) Otros servicios"/>
    <s v="629000003 - SUSCRIPCIONES A REVISTAS Y PERIODICOS"/>
    <s v="-"/>
    <n v="-460.58"/>
    <n v="-460.58"/>
    <n v="-460.58"/>
    <n v="-460.58"/>
    <n v="-460.58"/>
    <n v="-460.58"/>
    <n v="-460.58"/>
    <n v="-460.58"/>
    <n v="-460.58"/>
    <n v="-460.58"/>
    <n v="-460.58"/>
    <n v="-460.58"/>
    <n v="-5526.96"/>
  </r>
  <r>
    <x v="0"/>
    <s v="Codiagro"/>
    <s v="RESULTADO DEL EJERCICIO"/>
    <s v="RESULTADO ANTES DE IMPUESTOS"/>
    <s v="RESULTADO DE LA EXPLOTACION"/>
    <x v="8"/>
    <s v="(629) Otros servicios"/>
    <s v="629000004 - GTOS. SERV. VIGILANCIA"/>
    <s v="-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899.88"/>
  </r>
  <r>
    <x v="0"/>
    <s v="Codiagro"/>
    <s v="RESULTADO DEL EJERCICIO"/>
    <s v="RESULTADO ANTES DE IMPUESTOS"/>
    <s v="RESULTADO DE LA EXPLOTACION"/>
    <x v="8"/>
    <s v="(629) Otros servicios"/>
    <s v="629000005 - GTOS. ANALISIS LABORATORIOS"/>
    <s v="-"/>
    <n v="-550"/>
    <n v="-550"/>
    <n v="-550"/>
    <n v="-550"/>
    <n v="-550"/>
    <n v="-550"/>
    <n v="-550"/>
    <n v="-550"/>
    <n v="-550"/>
    <n v="-550"/>
    <n v="-550"/>
    <n v="-550"/>
    <n v="-6600"/>
  </r>
  <r>
    <x v="0"/>
    <s v="Codiagro"/>
    <s v="RESULTADO DEL EJERCICIO"/>
    <s v="RESULTADO ANTES DE IMPUESTOS"/>
    <s v="RESULTADO DE LA EXPLOTACION"/>
    <x v="8"/>
    <s v="(629) Otros servicios"/>
    <s v="629000006 - GASTOS CORREOS"/>
    <s v="-"/>
    <n v="-96"/>
    <n v="-96"/>
    <n v="-96"/>
    <n v="-96"/>
    <n v="-96"/>
    <n v="-96"/>
    <n v="-96"/>
    <n v="-96"/>
    <n v="-96"/>
    <n v="-96"/>
    <n v="-96"/>
    <n v="-96"/>
    <n v="-1152"/>
  </r>
  <r>
    <x v="0"/>
    <s v="Codiagro"/>
    <s v="RESULTADO DEL EJERCICIO"/>
    <s v="RESULTADO ANTES DE IMPUESTOS"/>
    <s v="RESULTADO DE LA EXPLOTACION"/>
    <x v="8"/>
    <s v="(629) Otros servicios"/>
    <s v="629000007 - GASTOS RETIRADA DE RESIDUOS"/>
    <s v="-"/>
    <n v="-6200"/>
    <n v="-6200"/>
    <n v="-6200"/>
    <n v="-6200"/>
    <n v="-6200"/>
    <n v="-6200"/>
    <n v="-6200"/>
    <n v="-6200"/>
    <n v="-6200"/>
    <n v="-6200"/>
    <n v="-6200"/>
    <n v="-6200"/>
    <n v="-74400"/>
  </r>
  <r>
    <x v="0"/>
    <s v="Codiagro"/>
    <s v="RESULTADO DEL EJERCICIO"/>
    <s v="RESULTADO ANTES DE IMPUESTOS"/>
    <s v="RESULTADO DE LA EXPLOTACION"/>
    <x v="8"/>
    <s v="(629) Otros servicios"/>
    <s v="629000008 - CUOTAS ASOCIACIONES"/>
    <s v="-"/>
    <n v="-600"/>
    <n v="0"/>
    <n v="0"/>
    <n v="-600"/>
    <n v="0"/>
    <n v="0"/>
    <n v="-600"/>
    <n v="0"/>
    <n v="0"/>
    <n v="0"/>
    <n v="-600"/>
    <n v="0"/>
    <n v="-2400"/>
  </r>
  <r>
    <x v="0"/>
    <s v="Codiagro"/>
    <s v="RESULTADO DEL EJERCICIO"/>
    <s v="RESULTADO ANTES DE IMPUESTOS"/>
    <s v="RESULTADO DE LA EXPLOTACION"/>
    <x v="8"/>
    <s v="(629) Otros servicios"/>
    <s v="629000009 - SANCIONES Y MULTAS"/>
    <s v="-"/>
    <n v="-90"/>
    <n v="-90"/>
    <n v="-90"/>
    <n v="-90"/>
    <n v="-90"/>
    <n v="-90"/>
    <n v="-90"/>
    <n v="-90"/>
    <n v="-90"/>
    <n v="-90"/>
    <n v="-90"/>
    <n v="-90"/>
    <n v="-1080"/>
  </r>
  <r>
    <x v="0"/>
    <s v="Codiagro"/>
    <s v="RESULTADO DEL EJERCICIO"/>
    <s v="RESULTADO ANTES DE IMPUESTOS"/>
    <s v="RESULTADO DE LA EXPLOTACION"/>
    <x v="8"/>
    <s v="(629) Otros servicios"/>
    <s v="629000010 - GASTOS COMERCIALES"/>
    <s v="-"/>
    <n v="-819.53"/>
    <n v="-819.53"/>
    <n v="-819.53"/>
    <n v="-819.53"/>
    <n v="-819.53"/>
    <n v="-819.53"/>
    <n v="-819.53"/>
    <n v="-819.53"/>
    <n v="-819.53"/>
    <n v="-819.53"/>
    <n v="-819.53"/>
    <n v="-819.53"/>
    <n v="-9834.360000000001"/>
  </r>
  <r>
    <x v="0"/>
    <s v="Codiagro"/>
    <s v="RESULTADO DEL EJERCICIO"/>
    <s v="RESULTADO ANTES DE IMPUESTOS"/>
    <s v="RESULTADO DE LA EXPLOTACION"/>
    <x v="8"/>
    <s v="(629) Otros servicios"/>
    <s v="629000011 - EPIS PERSONAL"/>
    <s v="-"/>
    <n v="-295.08"/>
    <n v="-295.08"/>
    <n v="-295.08"/>
    <n v="-295.08"/>
    <n v="-295.08"/>
    <n v="-295.08"/>
    <n v="-295.08"/>
    <n v="-295.08"/>
    <n v="-295.08"/>
    <n v="-295.08"/>
    <n v="-295.08"/>
    <n v="-295.08"/>
    <n v="-3540.96"/>
  </r>
  <r>
    <x v="0"/>
    <s v="Codiagro"/>
    <s v="RESULTADO DEL EJERCICIO"/>
    <s v="RESULTADO ANTES DE IMPUESTOS"/>
    <s v="RESULTADO DE LA EXPLOTACION"/>
    <x v="8"/>
    <s v="(629) Otros servicios"/>
    <s v="629000012 - GASTOS VARIOS PERSONAL"/>
    <s v="-"/>
    <n v="-1326.15"/>
    <n v="-1326.15"/>
    <n v="-1326.15"/>
    <n v="-1326.15"/>
    <n v="-1326.15"/>
    <n v="-1326.15"/>
    <n v="-1326.15"/>
    <n v="-1326.15"/>
    <n v="-1326.15"/>
    <n v="-1326.15"/>
    <n v="-1326.15"/>
    <n v="-1326.15"/>
    <n v="-15913.8"/>
  </r>
  <r>
    <x v="0"/>
    <s v="Codiagro"/>
    <s v="RESULTADO DEL EJERCICIO"/>
    <s v="RESULTADO ANTES DE IMPUESTOS"/>
    <s v="RESULTADO DE LA EXPLOTACION"/>
    <x v="8"/>
    <s v="(629) Otros servicios"/>
    <s v="629000013 - FORMACION NO BONIFICADA"/>
    <s v="-"/>
    <n v="-1846.33"/>
    <n v="-1846.33"/>
    <n v="-1846.33"/>
    <n v="-1846.33"/>
    <n v="-1846.33"/>
    <n v="-1846.33"/>
    <n v="-1846.33"/>
    <n v="-1846.33"/>
    <n v="-1846.33"/>
    <n v="-1846.33"/>
    <n v="-1846.33"/>
    <n v="-1846.33"/>
    <n v="-22155.96000000001"/>
  </r>
  <r>
    <x v="0"/>
    <s v="Codiagro"/>
    <s v="RESULTADO DEL EJERCICIO"/>
    <s v="RESULTADO ANTES DE IMPUESTOS"/>
    <s v="RESULTADO DE LA EXPLOTACION"/>
    <x v="8"/>
    <s v="(629) Otros servicios"/>
    <s v="629000014 - ROPA LABORAL"/>
    <s v="-"/>
    <n v="-263.4"/>
    <n v="-263.4"/>
    <n v="-263.4"/>
    <n v="-263.4"/>
    <n v="-263.4"/>
    <n v="-263.4"/>
    <n v="-263.4"/>
    <n v="-263.4"/>
    <n v="-263.4"/>
    <n v="-263.4"/>
    <n v="-263.4"/>
    <n v="-263.4"/>
    <n v="-3160.800000000001"/>
  </r>
  <r>
    <x v="0"/>
    <s v="Codiagro"/>
    <s v="RESULTADO DEL EJERCICIO"/>
    <s v="RESULTADO ANTES DE IMPUESTOS"/>
    <s v="RESULTADO DE LA EXPLOTACION"/>
    <x v="8"/>
    <s v="(629) Otros servicios"/>
    <s v="629000015 MATERIAL DE OFICINA"/>
    <s v="-"/>
    <n v="-156.84"/>
    <n v="-156.84"/>
    <n v="-156.84"/>
    <n v="-156.84"/>
    <n v="-156.84"/>
    <n v="-156.84"/>
    <n v="-156.84"/>
    <n v="-156.84"/>
    <n v="-156.84"/>
    <n v="-156.84"/>
    <n v="-156.84"/>
    <n v="-156.84"/>
    <n v="-1882.08"/>
  </r>
  <r>
    <x v="0"/>
    <s v="Codiagro"/>
    <s v="RESULTADO DEL EJERCICIO"/>
    <s v="RESULTADO ANTES DE IMPUESTOS"/>
    <s v="RESULTADO DE LA EXPLOTACION"/>
    <x v="8"/>
    <s v="(629) Otros servicios"/>
    <s v="629000016 HERRAMIENTAS"/>
    <s v="-"/>
    <n v="-500.03"/>
    <n v="-500.03"/>
    <n v="-500.03"/>
    <n v="-500.03"/>
    <n v="-500.03"/>
    <n v="-500.03"/>
    <n v="-500.03"/>
    <n v="-500.03"/>
    <n v="-500.03"/>
    <n v="-500.03"/>
    <n v="-500.03"/>
    <n v="-500.03"/>
    <n v="-6000.359999999998"/>
  </r>
  <r>
    <x v="0"/>
    <s v="Codiagro"/>
    <s v="RESULTADO DEL EJERCICIO"/>
    <s v="RESULTADO ANTES DE IMPUESTOS"/>
    <s v="RESULTADO DE LA EXPLOTACION"/>
    <x v="8"/>
    <s v="(629) Otros servicios"/>
    <s v="629100001 - GASTOS COMERCIALES PERE PORTA"/>
    <s v="-"/>
    <n v="-3200"/>
    <n v="-3200"/>
    <n v="-3200"/>
    <n v="-3200"/>
    <n v="-3200"/>
    <n v="-3200"/>
    <n v="-3200"/>
    <n v="-3200"/>
    <n v="-3200"/>
    <n v="-3200"/>
    <n v="-3200"/>
    <n v="-3200"/>
    <n v="-38400"/>
  </r>
  <r>
    <x v="0"/>
    <s v="Codiagro"/>
    <s v="RESULTADO DEL EJERCICIO"/>
    <s v="RESULTADO ANTES DE IMPUESTOS"/>
    <s v="RESULTADO DE LA EXPLOTACION"/>
    <x v="8"/>
    <s v="(629) Otros servicios"/>
    <s v="629100002 - GASTOS RICARDO PEREZ-SANTAMARINA"/>
    <s v="-"/>
    <n v="-2300"/>
    <n v="-2300"/>
    <n v="-2300"/>
    <n v="-2300"/>
    <n v="-2300"/>
    <n v="-2300"/>
    <n v="-2300"/>
    <n v="-2300"/>
    <n v="-2300"/>
    <n v="-2300"/>
    <n v="-2300"/>
    <n v="-2300"/>
    <n v="-27600"/>
  </r>
  <r>
    <x v="0"/>
    <s v="Codiagro"/>
    <s v="RESULTADO DEL EJERCICIO"/>
    <s v="RESULTADO ANTES DE IMPUESTOS"/>
    <s v="RESULTADO DE LA EXPLOTACION"/>
    <x v="8"/>
    <s v="(629) Otros servicios"/>
    <s v="629100003 - GASTOS JAVIER PAREDES"/>
    <s v="-"/>
    <n v="-1092.45"/>
    <n v="-1092.45"/>
    <n v="-1092.45"/>
    <n v="-1092.45"/>
    <n v="-1092.45"/>
    <n v="-1092.45"/>
    <n v="-1092.45"/>
    <n v="-1092.45"/>
    <n v="-1092.45"/>
    <n v="-1092.45"/>
    <n v="-1092.45"/>
    <n v="-1092.45"/>
    <n v="-13109.4"/>
  </r>
  <r>
    <x v="0"/>
    <s v="Codiagro"/>
    <s v="RESULTADO DEL EJERCICIO"/>
    <s v="RESULTADO ANTES DE IMPUESTOS"/>
    <s v="RESULTADO DE LA EXPLOTACION"/>
    <x v="8"/>
    <s v="(629) Otros servicios"/>
    <s v="629100004 - GASTOS GARCIA"/>
    <s v="-"/>
    <n v="-800.04"/>
    <n v="-800.04"/>
    <n v="-800.04"/>
    <n v="-800.04"/>
    <n v="-800.04"/>
    <n v="-800.04"/>
    <n v="-800.04"/>
    <n v="-800.04"/>
    <n v="-800.04"/>
    <n v="-800.04"/>
    <n v="-800.04"/>
    <n v="-800.04"/>
    <n v="-9600.48"/>
  </r>
  <r>
    <x v="0"/>
    <s v="Codiagro"/>
    <s v="RESULTADO DEL EJERCICIO"/>
    <s v="RESULTADO ANTES DE IMPUESTOS"/>
    <s v="RESULTADO DE LA EXPLOTACION"/>
    <x v="8"/>
    <s v="(629) Otros servicios"/>
    <s v="629100005 - GASTOS IRENE"/>
    <s v="-"/>
    <n v="-422.84"/>
    <n v="-422.84"/>
    <n v="-422.84"/>
    <n v="-422.84"/>
    <n v="-422.84"/>
    <n v="-422.84"/>
    <n v="-422.84"/>
    <n v="-422.84"/>
    <n v="-422.84"/>
    <n v="-422.84"/>
    <n v="-422.84"/>
    <n v="-422.84"/>
    <n v="-5074.080000000001"/>
  </r>
  <r>
    <x v="0"/>
    <s v="Codiagro"/>
    <s v="RESULTADO DEL EJERCICIO"/>
    <s v="RESULTADO ANTES DE IMPUESTOS"/>
    <s v="RESULTADO DE LA EXPLOTACION"/>
    <x v="8"/>
    <s v="(629) Otros servicios"/>
    <s v="629100006 - GASTOS ANTONIO ANDREU"/>
    <s v="-"/>
    <n v="-202.44"/>
    <n v="-202.44"/>
    <n v="-202.44"/>
    <n v="-202.44"/>
    <n v="-202.44"/>
    <n v="-202.44"/>
    <n v="-202.44"/>
    <n v="-202.44"/>
    <n v="-202.44"/>
    <n v="-202.44"/>
    <n v="-202.44"/>
    <n v="-202.44"/>
    <n v="-2429.28"/>
  </r>
  <r>
    <x v="0"/>
    <s v="Codiagro"/>
    <s v="RESULTADO DEL EJERCICIO"/>
    <s v="RESULTADO ANTES DE IMPUESTOS"/>
    <s v="RESULTADO DE LA EXPLOTACION"/>
    <x v="8"/>
    <s v="(629) Otros servicios"/>
    <s v="629100007 - GASTOS CURRO"/>
    <s v="-"/>
    <n v="-91.05"/>
    <n v="-91.05"/>
    <n v="-91.05"/>
    <n v="-91.05"/>
    <n v="-91.05"/>
    <n v="-91.05"/>
    <n v="-91.05"/>
    <n v="-91.05"/>
    <n v="-91.05"/>
    <n v="-91.05"/>
    <n v="-91.05"/>
    <n v="-91.05"/>
    <n v="-1092.6"/>
  </r>
  <r>
    <x v="0"/>
    <s v="Codiagro"/>
    <s v="RESULTADO DEL EJERCICIO"/>
    <s v="RESULTADO ANTES DE IMPUESTOS"/>
    <s v="RESULTADO DE LA EXPLOTACION"/>
    <x v="8"/>
    <s v="(629) Otros servicios"/>
    <s v="629100008 GASTOS PEDRO MEDINA"/>
    <s v="-"/>
    <n v="-141.14"/>
    <n v="-141.14"/>
    <n v="-141.14"/>
    <n v="-141.14"/>
    <n v="-141.14"/>
    <n v="-141.14"/>
    <n v="-141.14"/>
    <n v="-141.14"/>
    <n v="-141.14"/>
    <n v="-141.14"/>
    <n v="-141.14"/>
    <n v="-141.14"/>
    <n v="-1693.679999999999"/>
  </r>
  <r>
    <x v="0"/>
    <s v="Codiagro"/>
    <s v="RESULTADO DEL EJERCICIO"/>
    <s v="RESULTADO ANTES DE IMPUESTOS"/>
    <s v="RESULTADO DE LA EXPLOTACION"/>
    <x v="8"/>
    <s v="(631) Otros tributos"/>
    <s v="631000001 - IMPUESTOS VEHÍCULOS"/>
    <s v="-"/>
    <n v="-156.06"/>
    <n v="-156.06"/>
    <n v="-156.06"/>
    <n v="-156.06"/>
    <n v="-156.06"/>
    <n v="-156.06"/>
    <n v="-156.06"/>
    <n v="-156.06"/>
    <n v="-156.06"/>
    <n v="-156.06"/>
    <n v="-156.06"/>
    <n v="-156.06"/>
    <n v="-1872.72"/>
  </r>
  <r>
    <x v="0"/>
    <s v="Codiagro"/>
    <s v="RESULTADO DEL EJERCICIO"/>
    <s v="RESULTADO ANTES DE IMPUESTOS"/>
    <s v="RESULTADO DE LA EXPLOTACION"/>
    <x v="8"/>
    <s v="(631) Otros tributos"/>
    <s v="631000002 - TASAS"/>
    <s v="-"/>
    <n v="0"/>
    <n v="0"/>
    <n v="0"/>
    <n v="0"/>
    <n v="-581.49"/>
    <n v="0"/>
    <n v="0"/>
    <n v="0"/>
    <n v="0"/>
    <n v="0"/>
    <n v="0"/>
    <n v="0"/>
    <n v="-581.49"/>
  </r>
  <r>
    <x v="0"/>
    <s v="Codiagro"/>
    <s v="RESULTADO DEL EJERCICIO"/>
    <s v="RESULTADO ANTES DE IMPUESTOS"/>
    <s v="RESULTADO DE LA EXPLOTACION"/>
    <x v="8"/>
    <s v="(631) Otros tributos"/>
    <s v="631000004 IBIB"/>
    <s v="-"/>
    <n v="-616.38"/>
    <n v="-616.38"/>
    <n v="-616.38"/>
    <n v="-616.38"/>
    <n v="-616.38"/>
    <n v="-616.38"/>
    <n v="-616.38"/>
    <n v="-616.38"/>
    <n v="-616.38"/>
    <n v="-616.38"/>
    <n v="-616.38"/>
    <n v="-616.38"/>
    <n v="-7396.56"/>
  </r>
  <r>
    <x v="0"/>
    <s v="Codiagro"/>
    <s v="RESULTADO DEL EJERCICIO"/>
    <s v="RESULTADO ANTES DE IMPUESTOS"/>
    <s v="RESULTADO DE LA EXPLOTACION"/>
    <x v="8"/>
    <s v="(631) Otros tributos"/>
    <s v="631000006 - IMPUESTO PLASTICO NO RECICLADO"/>
    <s v="-"/>
    <n v="-2516.21"/>
    <n v="-4075.81"/>
    <n v="-3909.7"/>
    <n v="-3147.65"/>
    <n v="-5167.87"/>
    <n v="-5124.86"/>
    <n v="-3251.56"/>
    <n v="-2075.09"/>
    <n v="-1205.37"/>
    <n v="-2015.85"/>
    <n v="-3116.01"/>
    <n v="-3417.97"/>
    <n v="-39023.95"/>
  </r>
  <r>
    <x v="0"/>
    <s v="Codiagro"/>
    <s v="RESULTADO DEL EJERCICIO"/>
    <s v="RESULTADO ANTES DE IMPUESTOS"/>
    <s v="RESULTADO DE LA EXPLOTACION"/>
    <x v="8"/>
    <s v="(634) Ajustes negativos en la imposición indirecta"/>
    <s v="634100000 - Ajustes negat. IVA circula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94) Pérdidas por op. Comerciales"/>
    <s v="694000000 - Pérdidas deterioro de créditos por op.comer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9"/>
    <s v="(681) Amortización del inmovilizado material"/>
    <s v="681100000 - Amortización de construcciones"/>
    <s v="-"/>
    <n v="-3154.35"/>
    <n v="-3154.35"/>
    <n v="-3154.35"/>
    <n v="-3154.35"/>
    <n v="-3154.35"/>
    <n v="-3154.35"/>
    <n v="-3154.35"/>
    <n v="-3154.35"/>
    <n v="-3154.35"/>
    <n v="-3154.35"/>
    <n v="-3154.35"/>
    <n v="-3154.35"/>
    <n v="-37852.19999999999"/>
  </r>
  <r>
    <x v="0"/>
    <s v="Codiagro"/>
    <s v="RESULTADO DEL EJERCICIO"/>
    <s v="RESULTADO ANTES DE IMPUESTOS"/>
    <s v="RESULTADO DE LA EXPLOTACION"/>
    <x v="9"/>
    <s v="(681) Amortización del inmovilizado material"/>
    <s v="681200000 - Amortización de instalaciones técnicas"/>
    <s v="-"/>
    <n v="-5772"/>
    <n v="-5772"/>
    <n v="-5772"/>
    <n v="-5772"/>
    <n v="-5772"/>
    <n v="-5772"/>
    <n v="-5772"/>
    <n v="-5772"/>
    <n v="-5772"/>
    <n v="-5772"/>
    <n v="-5772"/>
    <n v="-5772"/>
    <n v="-69264"/>
  </r>
  <r>
    <x v="0"/>
    <s v="Codiagro"/>
    <s v="RESULTADO DEL EJERCICIO"/>
    <s v="RESULTADO ANTES DE IMPUESTOS"/>
    <s v="RESULTADO DE LA EXPLOTACION"/>
    <x v="9"/>
    <s v="(681) Amortización del inmovilizado material"/>
    <s v="681300000 - Amortización de maquinaria"/>
    <s v="-"/>
    <n v="-6419"/>
    <n v="-6419"/>
    <n v="-6419"/>
    <n v="-6419"/>
    <n v="-6419"/>
    <n v="-6419"/>
    <n v="-6419"/>
    <n v="-6419"/>
    <n v="-6419"/>
    <n v="-6419"/>
    <n v="-6419"/>
    <n v="-6419"/>
    <n v="-77028"/>
  </r>
  <r>
    <x v="0"/>
    <s v="Codiagro"/>
    <s v="RESULTADO DEL EJERCICIO"/>
    <s v="RESULTADO ANTES DE IMPUESTOS"/>
    <s v="RESULTADO DE LA EXPLOTACION"/>
    <x v="9"/>
    <s v="(681) Amortización del inmovilizado material"/>
    <s v="681500000 - Amortización de otras instalaciones"/>
    <s v="-"/>
    <n v="-1642"/>
    <n v="-1642"/>
    <n v="-1642"/>
    <n v="-1642"/>
    <n v="-1642"/>
    <n v="-1642"/>
    <n v="-1642"/>
    <n v="-1642"/>
    <n v="-1642"/>
    <n v="-1642"/>
    <n v="-1642"/>
    <n v="-1642"/>
    <n v="-19704"/>
  </r>
  <r>
    <x v="0"/>
    <s v="Codiagro"/>
    <s v="RESULTADO DEL EJERCICIO"/>
    <s v="RESULTADO ANTES DE IMPUESTOS"/>
    <s v="RESULTADO DE LA EXPLOTACION"/>
    <x v="9"/>
    <s v="(681) Amortización del inmovilizado material"/>
    <s v="681600000 - Amortización de mobiliario"/>
    <s v="-"/>
    <n v="-1337"/>
    <n v="-1337"/>
    <n v="-1337"/>
    <n v="-1337"/>
    <n v="-1337"/>
    <n v="-1337"/>
    <n v="-1337"/>
    <n v="-1337"/>
    <n v="-1337"/>
    <n v="-1337"/>
    <n v="-1337"/>
    <n v="-1337"/>
    <n v="-16044"/>
  </r>
  <r>
    <x v="0"/>
    <s v="Codiagro"/>
    <s v="RESULTADO DEL EJERCICIO"/>
    <s v="RESULTADO ANTES DE IMPUESTOS"/>
    <s v="RESULTADO DE LA EXPLOTACION"/>
    <x v="9"/>
    <s v="(681) Amortización del inmovilizado material"/>
    <s v="681700000 - Amortización de equipos para procesos de informac."/>
    <s v="-"/>
    <n v="-856"/>
    <n v="-856"/>
    <n v="-856"/>
    <n v="-856"/>
    <n v="-856"/>
    <n v="-856"/>
    <n v="-856"/>
    <n v="-856"/>
    <n v="-856"/>
    <n v="-856"/>
    <n v="-856"/>
    <n v="-856"/>
    <n v="-10272"/>
  </r>
  <r>
    <x v="0"/>
    <s v="Codiagro"/>
    <s v="RESULTADO DEL EJERCICIO"/>
    <s v="RESULTADO ANTES DE IMPUESTOS"/>
    <s v="RESULTADO DE LA EXPLOTACION"/>
    <x v="9"/>
    <s v="(681) Amortización del inmovilizado material"/>
    <s v="681800000 - Amortización de elementos de transporte"/>
    <s v="-"/>
    <n v="-45"/>
    <n v="-45"/>
    <n v="-45"/>
    <n v="-45"/>
    <n v="-45"/>
    <n v="-45"/>
    <n v="-45"/>
    <n v="-45"/>
    <n v="-45"/>
    <n v="-45"/>
    <n v="-45"/>
    <n v="-45"/>
    <n v="-540"/>
  </r>
  <r>
    <x v="0"/>
    <s v="Codiagro"/>
    <s v="RESULTADO DEL EJERCICIO"/>
    <s v="RESULTADO ANTES DE IMPUESTOS"/>
    <s v="RESULTADO FINANCIERO"/>
    <x v="10"/>
    <s v="(706) Dto. s/vtas p.p."/>
    <s v="706000001 - DESCUENTO POR PRONTO PAGO DEFINITIVO"/>
    <s v="-"/>
    <n v="-30880.78"/>
    <n v="-50021.31"/>
    <n v="-47982.62"/>
    <n v="-38630.3"/>
    <n v="-63423.85"/>
    <n v="-62896.06"/>
    <n v="-39905.52"/>
    <n v="-25466.97"/>
    <n v="-14793.2"/>
    <n v="-24740.02"/>
    <n v="-38241.9"/>
    <n v="-41947.79"/>
    <n v="-478930.3200000001"/>
  </r>
  <r>
    <x v="0"/>
    <s v="Codiagro"/>
    <s v="RESULTADO DEL EJERCICIO"/>
    <s v="RESULTADO ANTES DE IMPUESTOS"/>
    <s v="RESULTADO FINANCIERO"/>
    <x v="10"/>
    <s v="(665) Intereses por descuento de efectos y operaciones de &quot;factoring&quot;"/>
    <s v="665700015 - INTERESES PAGO FINANCIADO POR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2) Intereses de deudas con entidades de crédito"/>
    <s v="662310005 - INTERESES PRESTAMO CAIX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2 - OTROS GTOS. DTO. EFECTOS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7 - OTROS GTOS. DTO.EFECTOS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2 - OTROS GTOS. FINAN.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5 - OTROS GTOS. FINAN. C.RURAL 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7 - OTROS GTOS. FINAN. BBVA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2 - GTOS. COBRO EXPORT B.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7 - GTOS. COBRO EXPORT.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1"/>
    <s v="(768) Diferencias positivas de cambio"/>
    <s v="768000000 - Diferencias positivas de camb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709) Publicidad"/>
    <s v="709001500 - RAPPEL BONIFICACIONES POR PMK DEFINITIV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69) Otros ingresos financieros"/>
    <s v="769000000 - Otros ingresos financieros"/>
    <s v="-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count="202">
  <r>
    <x v="0"/>
    <s v="Codiagro"/>
    <s v="RESULTADO DEL EJERCICIO"/>
    <s v="RESULTADO ANTES DE IMPUESTOS"/>
    <s v="RESULTADO DE LA EXPLOTACION"/>
    <x v="0"/>
    <s v="(700) Ventas"/>
    <s v="700000000 - Ventas de mercaderías"/>
    <s v="-"/>
    <n v="1167113.16"/>
    <n v="1890513.74"/>
    <n v="1813463.02"/>
    <n v="1459999.87"/>
    <n v="2397051.31"/>
    <n v="2377104.03"/>
    <n v="1508195.84"/>
    <n v="962502.99"/>
    <n v="559096.5"/>
    <n v="935028.24"/>
    <n v="1445320.77"/>
    <n v="1585381.72"/>
    <n v="18100771.19"/>
  </r>
  <r>
    <x v="0"/>
    <s v="Codiagro"/>
    <s v="RESULTADO DEL EJERCICIO"/>
    <s v="RESULTADO ANTES DE IMPUESTOS"/>
    <s v="RESULTADO DE LA EXPLOTACION"/>
    <x v="0"/>
    <s v="(700) Ventas"/>
    <s v="700000001 - VENTA MERCADERIAS POR ANTICIP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0) Ventas"/>
    <s v="700000624 - VENTA POR TRANSP.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1"/>
    <s v="(700) Ventas"/>
    <s v="700001624 - VENTA POR TRANSPORTE REP. AL CLIENTE DEFINITIVO"/>
    <s v="-"/>
    <n v="29809.2"/>
    <n v="21246.7"/>
    <n v="19638.3"/>
    <n v="8004.2"/>
    <n v="38718.8"/>
    <n v="33492"/>
    <n v="13212.8"/>
    <n v="18509.6"/>
    <n v="24148.9"/>
    <n v="23411.3"/>
    <n v="40650.7"/>
    <n v="34380.8"/>
    <n v="305223.3"/>
  </r>
  <r>
    <x v="0"/>
    <s v="Codiagro"/>
    <s v="RESULTADO DEL EJERCICIO"/>
    <s v="RESULTADO ANTES DE IMPUESTOS"/>
    <s v="RESULTADO DE LA EXPLOTACION"/>
    <x v="0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2) Ventas de productos semiterminados"/>
    <s v="702000000 - Ventas de productos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3) Ventas por subproductos y residuos"/>
    <s v="703000000 - Ventas de subproductos y residu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4) Venta de envases y embalajes"/>
    <s v="704000000 - Ventas de envases y embalaj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0 - Prestaciones de servic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1 - INGRESO POR GESTIÓN DE ENVASES"/>
    <s v="-"/>
    <n v="2221.91"/>
    <n v="3599.09"/>
    <n v="3452.4"/>
    <n v="2779.49"/>
    <n v="4563.41"/>
    <n v="4525.44"/>
    <n v="2871.25"/>
    <n v="1832.38"/>
    <n v="1064.39"/>
    <n v="1780.07"/>
    <n v="2751.55"/>
    <n v="3018.19"/>
    <n v="34459.57"/>
  </r>
  <r>
    <x v="0"/>
    <s v="Codiagro"/>
    <s v="RESULTADO DEL EJERCICIO"/>
    <s v="RESULTADO ANTES DE IMPUESTOS"/>
    <s v="RESULTADO DE LA EXPLOTACION"/>
    <x v="0"/>
    <s v="(706) Dto. s/vtas p.p."/>
    <s v="706000000 - Dtos. ventas por pronto pago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0 - «Rappels» ventas de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1 - PROVISION RAPPELS"/>
    <s v="-"/>
    <n v="-25602.57"/>
    <n v="-41471.56"/>
    <n v="-39781.32"/>
    <n v="-32027.52"/>
    <n v="-52583.3"/>
    <n v="-52145.72"/>
    <n v="-33084.78"/>
    <n v="-21114.1"/>
    <n v="-12264.71"/>
    <n v="-20511.4"/>
    <n v="-31705.51"/>
    <n v="-34777.98"/>
    <n v="-397070.47"/>
  </r>
  <r>
    <x v="0"/>
    <s v="Codiagro"/>
    <s v="RESULTADO DEL EJERCICIO"/>
    <s v="RESULTADO ANTES DE IMPUESTOS"/>
    <s v="RESULTADO DE LA EXPLOTACION"/>
    <x v="3"/>
    <s v="(771) Beneficios procedentes IM"/>
    <s v="771000000 - Beneficios del inmovilizado mater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678) Gastos excepcionales PGC 2008"/>
    <s v="678000000 - Gast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778) Ingresos excepcionales PGC 2008"/>
    <s v="778000000 - Ingres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1) Variación de existencias de productos semiterminados"/>
    <s v="711000000 - Variación existencias de prod.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2) Variación de existencias producto terminado"/>
    <s v="712000000 - Variación existencias de prod. 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1) Compras de materias primas"/>
    <s v="601000000 - Compras de materias primas"/>
    <s v="-"/>
    <n v="-247571.61"/>
    <n v="-480047.38"/>
    <n v="-505499.75"/>
    <n v="-391336.67"/>
    <n v="-639721.61"/>
    <n v="-660412.55"/>
    <n v="-425647.17"/>
    <n v="-255306.21"/>
    <n v="-154533.56"/>
    <n v="-257348.52"/>
    <n v="-410647.96"/>
    <n v="-422003.72"/>
    <n v="-4850076.71"/>
  </r>
  <r>
    <x v="0"/>
    <s v="Codiagro"/>
    <s v="RESULTADO DEL EJERCICIO"/>
    <s v="RESULTADO ANTES DE IMPUESTOS"/>
    <s v="RESULTADO DE LA EXPLOTACION"/>
    <x v="6"/>
    <s v="(602) Compras de otros aprovisionamientos"/>
    <s v="602000001 - COMPRA DE ENVASES Y EMBALAJES"/>
    <s v="-"/>
    <n v="-51110.53"/>
    <n v="-99104.56"/>
    <n v="-104359.14"/>
    <n v="-80790.46000000001"/>
    <n v="-132068.9"/>
    <n v="-136340.49"/>
    <n v="-87873.77"/>
    <n v="-52707.32"/>
    <n v="-31903.06"/>
    <n v="-53128.95"/>
    <n v="-84777.23"/>
    <n v="-87121.59"/>
    <n v="-1001286"/>
  </r>
  <r>
    <x v="0"/>
    <s v="Codiagro"/>
    <s v="RESULTADO DEL EJERCICIO"/>
    <s v="RESULTADO ANTES DE IMPUESTOS"/>
    <s v="RESULTADO DE LA EXPLOTACION"/>
    <x v="6"/>
    <s v="(602) Compras de otros aprovisionamientos"/>
    <s v="602000000 - Compras de otros aprovisionamient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2 - COMPRA DE ETIQUETAS"/>
    <s v="-"/>
    <n v="-7981.03"/>
    <n v="-15475.42"/>
    <n v="-16295.93"/>
    <n v="-12615.62"/>
    <n v="-20622.88"/>
    <n v="-21289.9"/>
    <n v="-13721.7"/>
    <n v="-8230.370000000001"/>
    <n v="-4981.74"/>
    <n v="-8296.209999999999"/>
    <n v="-13238.17"/>
    <n v="-13604.25"/>
    <n v="-156353.22"/>
  </r>
  <r>
    <x v="0"/>
    <s v="Codiagro"/>
    <s v="RESULTADO DEL EJERCICIO"/>
    <s v="RESULTADO ANTES DE IMPUESTOS"/>
    <s v="RESULTADO DE LA EXPLOTACION"/>
    <x v="6"/>
    <s v="(602) Compras de otros aprovisionamientos"/>
    <s v="602000003 - COMPRA DE PALETS"/>
    <s v="-"/>
    <n v="-8300.27"/>
    <n v="-16094.43"/>
    <n v="-16947.77"/>
    <n v="-13120.25"/>
    <n v="-21447.79"/>
    <n v="-22141.49"/>
    <n v="-14270.57"/>
    <n v="-8559.59"/>
    <n v="-5181.01"/>
    <n v="-8628.059999999999"/>
    <n v="-13767.69"/>
    <n v="-14148.42"/>
    <n v="-162607.34"/>
  </r>
  <r>
    <x v="0"/>
    <s v="Codiagro"/>
    <s v="RESULTADO DEL EJERCICIO"/>
    <s v="RESULTADO ANTES DE IMPUESTOS"/>
    <s v="RESULTADO DE LA EXPLOTACION"/>
    <x v="6"/>
    <s v="(602) Compras de otros aprovisionamientos"/>
    <s v="602000004 - COMPRA MATERIAL DE LIMPIEZA"/>
    <s v="-"/>
    <n v="-131.92"/>
    <n v="-131.92"/>
    <n v="-131.92"/>
    <n v="-131.92"/>
    <n v="-131.92"/>
    <n v="-131.92"/>
    <n v="-131.92"/>
    <n v="-131.92"/>
    <n v="-131.92"/>
    <n v="-131.92"/>
    <n v="-131.92"/>
    <n v="-131.92"/>
    <n v="-1583.04"/>
  </r>
  <r>
    <x v="0"/>
    <s v="Codiagro"/>
    <s v="RESULTADO DEL EJERCICIO"/>
    <s v="RESULTADO ANTES DE IMPUESTOS"/>
    <s v="RESULTADO DE LA EXPLOTACION"/>
    <x v="6"/>
    <s v="(602) Compras de otros aprovisionamientos"/>
    <s v="602000005 - COMPRA MATERIAL DE OFICINA"/>
    <s v="-"/>
    <n v="-204.02"/>
    <n v="-204.02"/>
    <n v="-204.02"/>
    <n v="-204.02"/>
    <n v="-204.02"/>
    <n v="-204.02"/>
    <n v="-204.02"/>
    <n v="-204.02"/>
    <n v="-204.02"/>
    <n v="-204.02"/>
    <n v="-204.02"/>
    <n v="-204.02"/>
    <n v="-2448.24"/>
  </r>
  <r>
    <x v="0"/>
    <s v="Codiagro"/>
    <s v="RESULTADO DEL EJERCICIO"/>
    <s v="RESULTADO ANTES DE IMPUESTOS"/>
    <s v="RESULTADO DE LA EXPLOTACION"/>
    <x v="6"/>
    <s v="(602) Compras de otros aprovisionamientos"/>
    <s v="602000006 - COMPRA TAPONES DE ENVASES"/>
    <s v="-"/>
    <n v="-4277.83"/>
    <n v="-8294.82"/>
    <n v="-8734.620000000001"/>
    <n v="-6761.97"/>
    <n v="-11053.86"/>
    <n v="-11411.38"/>
    <n v="-7354.83"/>
    <n v="-4411.48"/>
    <n v="-2670.21"/>
    <n v="-4446.77"/>
    <n v="-7095.66"/>
    <n v="-7291.88"/>
    <n v="-83805.31000000001"/>
  </r>
  <r>
    <x v="0"/>
    <s v="Codiagro"/>
    <s v="RESULTADO DEL EJERCICIO"/>
    <s v="RESULTADO ANTES DE IMPUESTOS"/>
    <s v="RESULTADO DE LA EXPLOTACION"/>
    <x v="6"/>
    <s v="(602) Compras de otros aprovisionamientos"/>
    <s v="602000007 - COMPRAS LABORATOR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8 - RESPUESTOS PLANT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0 - COMPRA RIBB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1 - COMPRAS VARIAS PLANTA"/>
    <s v="-"/>
    <n v="-964.39"/>
    <n v="-964.39"/>
    <n v="-964.39"/>
    <n v="-964.39"/>
    <n v="-964.39"/>
    <n v="-964.39"/>
    <n v="-964.39"/>
    <n v="-964.39"/>
    <n v="-964.39"/>
    <n v="-964.39"/>
    <n v="-964.39"/>
    <n v="-964.39"/>
    <n v="-11572.68"/>
  </r>
  <r>
    <x v="0"/>
    <s v="Codiagro"/>
    <s v="RESULTADO DEL EJERCICIO"/>
    <s v="RESULTADO ANTES DE IMPUESTOS"/>
    <s v="RESULTADO DE LA EXPLOTACION"/>
    <x v="6"/>
    <s v="(602) Compras de otros aprovisionamientos"/>
    <s v="602000012 - REPUESTOS INFORMATICOS"/>
    <s v="-"/>
    <n v="-1559.63"/>
    <n v="-1559.63"/>
    <n v="-1559.63"/>
    <n v="-1559.63"/>
    <n v="-1559.63"/>
    <n v="-1559.63"/>
    <n v="-1559.63"/>
    <n v="-1559.63"/>
    <n v="-1559.63"/>
    <n v="-1559.63"/>
    <n v="-1559.63"/>
    <n v="-1559.63"/>
    <n v="-18715.56"/>
  </r>
  <r>
    <x v="0"/>
    <s v="Codiagro"/>
    <s v="RESULTADO DEL EJERCICIO"/>
    <s v="RESULTADO ANTES DE IMPUESTOS"/>
    <s v="RESULTADO DE LA EXPLOTACION"/>
    <x v="6"/>
    <s v="(602) Compras de otros aprovisionamientos"/>
    <s v="602000013 - COMPRA TINTA INPRESORA ETIQUETAS"/>
    <s v="-"/>
    <n v="-2200"/>
    <n v="-2600"/>
    <n v="-2600"/>
    <n v="-2600"/>
    <n v="-2600"/>
    <n v="-2600"/>
    <n v="-2600"/>
    <n v="-2200"/>
    <n v="-2200"/>
    <n v="-2200"/>
    <n v="-2600"/>
    <n v="-2600"/>
    <n v="-29600"/>
  </r>
  <r>
    <x v="0"/>
    <s v="Codiagro"/>
    <s v="RESULTADO DEL EJERCICIO"/>
    <s v="RESULTADO ANTES DE IMPUESTOS"/>
    <s v="RESULTADO DE LA EXPLOTACION"/>
    <x v="6"/>
    <s v="(602) Compras de otros aprovisionamientos"/>
    <s v="602000100 - ENVASES Y EMBALAJES A DEVOLVER"/>
    <s v="-"/>
    <n v="-183.2"/>
    <n v="-183.2"/>
    <n v="-183.2"/>
    <n v="-183.2"/>
    <n v="-183.2"/>
    <n v="-183.2"/>
    <n v="-183.2"/>
    <n v="-183.2"/>
    <n v="-183.2"/>
    <n v="-183.2"/>
    <n v="-183.2"/>
    <n v="-183.2"/>
    <n v="-2198.4"/>
  </r>
  <r>
    <x v="0"/>
    <s v="Codiagro"/>
    <s v="RESULTADO DEL EJERCICIO"/>
    <s v="RESULTADO ANTES DE IMPUESTOS"/>
    <s v="RESULTADO DE LA EXPLOTACION"/>
    <x v="6"/>
    <s v="(607) Trabajos realizados por otras empresas"/>
    <s v="607000000 - Trabajos realizados por otras empresas"/>
    <s v="-"/>
    <n v="-5500"/>
    <n v="-7500"/>
    <n v="-7500"/>
    <n v="-7500"/>
    <n v="-7500"/>
    <n v="-7500"/>
    <n v="-7500"/>
    <n v="-5500"/>
    <n v="-5500"/>
    <n v="-5500"/>
    <n v="-7500"/>
    <n v="-7500"/>
    <n v="-82000"/>
  </r>
  <r>
    <x v="0"/>
    <s v="Codiagro"/>
    <s v="RESULTADO DEL EJERCICIO"/>
    <s v="RESULTADO ANTES DE IMPUESTOS"/>
    <s v="RESULTADO DE LA EXPLOTACION"/>
    <x v="6"/>
    <s v="(611) Variación de existencias de materias primas"/>
    <s v="611000000 - Variación de existencias de materias primas"/>
    <s v="-"/>
    <n v="0"/>
    <n v="0"/>
    <n v="0"/>
    <n v="0"/>
    <n v="0"/>
    <n v="0"/>
    <n v="0"/>
    <n v="0"/>
    <n v="0"/>
    <n v="0"/>
    <n v="0"/>
    <n v="-15000"/>
    <n v="-15000"/>
  </r>
  <r>
    <x v="0"/>
    <s v="Codiagro"/>
    <s v="RESULTADO DEL EJERCICIO"/>
    <s v="RESULTADO ANTES DE IMPUESTOS"/>
    <s v="RESULTADO DE LA EXPLOTACION"/>
    <x v="6"/>
    <s v="(612) Variación de existencias envases/etiquetas"/>
    <s v="612000000 - Variación de existencias otros aprovisionamientos"/>
    <s v="-"/>
    <n v="0"/>
    <n v="0"/>
    <n v="0"/>
    <n v="0"/>
    <n v="0"/>
    <n v="0"/>
    <n v="0"/>
    <n v="0"/>
    <n v="0"/>
    <n v="0"/>
    <n v="0"/>
    <n v="10000"/>
    <n v="10000"/>
  </r>
  <r>
    <x v="0"/>
    <s v="Codiagro"/>
    <s v="RESULTADO DEL EJERCICIO"/>
    <s v="RESULTADO ANTES DE IMPUESTOS"/>
    <s v="RESULTADO DE LA EXPLOTACION"/>
    <x v="1"/>
    <s v="(759) Otros ingresos de gestión"/>
    <s v="759000000 - Ingresos por servicios divers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0) Sueldos y salarios"/>
    <s v="640000000 - Sueldos y salarios"/>
    <s v="-"/>
    <n v="-127379.94"/>
    <n v="-127379.94"/>
    <n v="-127379.94"/>
    <n v="-127379.94"/>
    <n v="-127379.94"/>
    <n v="-127379.94"/>
    <n v="-127379.94"/>
    <n v="-127379.94"/>
    <n v="-127379.94"/>
    <n v="-127379.94"/>
    <n v="-127379.94"/>
    <n v="-404896.66"/>
    <n v="-1806076"/>
  </r>
  <r>
    <x v="0"/>
    <s v="Codiagro"/>
    <s v="RESULTADO DEL EJERCICIO"/>
    <s v="RESULTADO ANTES DE IMPUESTOS"/>
    <s v="RESULTADO DE LA EXPLOTACION"/>
    <x v="7"/>
    <s v="(642) Seguridad social a cargo empresa"/>
    <s v="642000000 - Seguridad Social a cargo empresa"/>
    <s v="-"/>
    <n v="-35002.8"/>
    <n v="-35002.8"/>
    <n v="-35002.8"/>
    <n v="-35002.8"/>
    <n v="-35002.8"/>
    <n v="-35002.8"/>
    <n v="-35002.8"/>
    <n v="-35002.8"/>
    <n v="-35002.8"/>
    <n v="-35002.8"/>
    <n v="-35002.8"/>
    <n v="-35002.8"/>
    <n v="-420033.5999999999"/>
  </r>
  <r>
    <x v="0"/>
    <s v="Codiagro"/>
    <s v="RESULTADO DEL EJERCICIO"/>
    <s v="RESULTADO ANTES DE IMPUESTOS"/>
    <s v="RESULTADO DE LA EXPLOTACION"/>
    <x v="7"/>
    <s v="(649) Otros gastos sociales"/>
    <s v="649000000 - Otros gastos so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1 - GASTOS COMERCIALES NIEVES RUI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2 - GASTOS EMPR. ANTONIO ANDREU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4 - GASTOS COMERCIALES RICARDO PER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7 - GASTOS COMERCIALES J.PARED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9 - GASTOS COMERCIALES J.A.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0 - GASTOS EMP. CURR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2 - GASTOS COMERCIALES IRENE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0 - GTOS. CURSOS PERSONAL"/>
    <s v="-"/>
    <n v="0"/>
    <n v="0"/>
    <n v="0"/>
    <n v="0"/>
    <n v="0"/>
    <n v="0"/>
    <n v="0"/>
    <n v="0"/>
    <n v="0"/>
    <n v="0"/>
    <n v="-1000"/>
    <n v="-1500"/>
    <n v="-2500"/>
  </r>
  <r>
    <x v="0"/>
    <s v="Codiagro"/>
    <s v="RESULTADO DEL EJERCICIO"/>
    <s v="RESULTADO ANTES DE IMPUESTOS"/>
    <s v="RESULTADO DE LA EXPLOTACION"/>
    <x v="7"/>
    <s v="(649) Otros gastos sociales"/>
    <s v="649000101 - GTOS. SEG. Y RIESGOS PERSON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2 - GASTOS ROPA UNIFORMES TRABAJADO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3 - GASTOS COMBUSTIBLE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1 - GTOS. COMIDAS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2 - GASTOS TRAB. EMPRESA VAR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0) Gastos de investigación y desarrollo"/>
    <s v="620000002 - COMPRAS LABORATORIO"/>
    <s v="-"/>
    <n v="-322.5"/>
    <n v="-322.5"/>
    <n v="-322.5"/>
    <n v="-322.5"/>
    <n v="-322.5"/>
    <n v="-322.5"/>
    <n v="-322.5"/>
    <n v="-322.5"/>
    <n v="-322.5"/>
    <n v="-322.5"/>
    <n v="-322.5"/>
    <n v="-322.5"/>
    <n v="-3870"/>
  </r>
  <r>
    <x v="0"/>
    <s v="Codiagro"/>
    <s v="RESULTADO DEL EJERCICIO"/>
    <s v="RESULTADO ANTES DE IMPUESTOS"/>
    <s v="RESULTADO DE LA EXPLOTACION"/>
    <x v="8"/>
    <s v="(620) Gastos de investigación y desarrollo"/>
    <s v="620000003 - SUMINISTROS LABORATORIO"/>
    <s v="-"/>
    <n v="-812.59"/>
    <n v="-812.59"/>
    <n v="-812.59"/>
    <n v="-812.59"/>
    <n v="-812.59"/>
    <n v="-812.59"/>
    <n v="-812.59"/>
    <n v="-812.59"/>
    <n v="-812.59"/>
    <n v="-812.59"/>
    <n v="-812.59"/>
    <n v="-812.59"/>
    <n v="-9751.08"/>
  </r>
  <r>
    <x v="0"/>
    <s v="Codiagro"/>
    <s v="RESULTADO DEL EJERCICIO"/>
    <s v="RESULTADO ANTES DE IMPUESTOS"/>
    <s v="RESULTADO DE LA EXPLOTACION"/>
    <x v="8"/>
    <s v="(620) Gastos de investigación y desarrollo"/>
    <s v="620000004 - GTOS. ANALISIS LABORATORIOS"/>
    <s v="-"/>
    <n v="-1229.19"/>
    <n v="-1229.19"/>
    <n v="-1229.19"/>
    <n v="-1229.19"/>
    <n v="-1229.19"/>
    <n v="-1229.19"/>
    <n v="-1229.19"/>
    <n v="-1229.19"/>
    <n v="-1229.19"/>
    <n v="-1229.19"/>
    <n v="-1229.19"/>
    <n v="-1229.19"/>
    <n v="-14750.28"/>
  </r>
  <r>
    <x v="0"/>
    <s v="Codiagro"/>
    <s v="RESULTADO DEL EJERCICIO"/>
    <s v="RESULTADO ANTES DE IMPUESTOS"/>
    <s v="RESULTADO DE LA EXPLOTACION"/>
    <x v="8"/>
    <s v="(621) Arrendamientos y cánones"/>
    <s v="621000001 - ALQUILER OFICINA CARTAGENA"/>
    <s v="-"/>
    <n v="-192"/>
    <n v="-192"/>
    <n v="-192"/>
    <n v="-192"/>
    <n v="-192"/>
    <n v="-192"/>
    <n v="-192"/>
    <n v="-192"/>
    <n v="-192"/>
    <n v="-192"/>
    <n v="-192"/>
    <n v="-192"/>
    <n v="-2304"/>
  </r>
  <r>
    <x v="0"/>
    <s v="Codiagro"/>
    <s v="RESULTADO DEL EJERCICIO"/>
    <s v="RESULTADO ANTES DE IMPUESTOS"/>
    <s v="RESULTADO DE LA EXPLOTACION"/>
    <x v="8"/>
    <s v="(621) Arrendamientos y cánones"/>
    <s v="621000014 - ALQUILER MURANO"/>
    <s v="-"/>
    <n v="-1877.6"/>
    <n v="-1877.6"/>
    <n v="-1877.6"/>
    <n v="-1877.6"/>
    <n v="-1877.6"/>
    <n v="-1877.6"/>
    <n v="-1877.6"/>
    <n v="-1877.6"/>
    <n v="-1877.6"/>
    <n v="-1877.6"/>
    <n v="-1877.6"/>
    <n v="-1877.6"/>
    <n v="-22531.2"/>
  </r>
  <r>
    <x v="0"/>
    <s v="Codiagro"/>
    <s v="RESULTADO DEL EJERCICIO"/>
    <s v="RESULTADO ANTES DE IMPUESTOS"/>
    <s v="RESULTADO DE LA EXPLOTACION"/>
    <x v="8"/>
    <s v="(621) Arrendamientos y cánones"/>
    <s v="621000023 - RENTING TRANSPALETA ELECTRICA DE PI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4 - ALQUILER RENTING 2255KXN ANTONIO"/>
    <s v="-"/>
    <n v="-361.46"/>
    <n v="-361.46"/>
    <n v="-361.46"/>
    <n v="-361.46"/>
    <n v="-361.46"/>
    <n v="-361.46"/>
    <n v="-361.46"/>
    <n v="-361.46"/>
    <n v="-361.46"/>
    <n v="-361.46"/>
    <n v="-361.46"/>
    <n v="-361.46"/>
    <n v="-4337.52"/>
  </r>
  <r>
    <x v="0"/>
    <s v="Codiagro"/>
    <s v="RESULTADO DEL EJERCICIO"/>
    <s v="RESULTADO ANTES DE IMPUESTOS"/>
    <s v="RESULTADO DE LA EXPLOTACION"/>
    <x v="8"/>
    <s v="(621) Arrendamientos y cánones"/>
    <s v="621000025 - ALQUILER RENTING 9128 LBT NIEV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6 - ALQUILER RENTING 9319LCL CURRO"/>
    <s v="-"/>
    <n v="-369.97"/>
    <n v="-369.97"/>
    <n v="-369.97"/>
    <n v="-369.97"/>
    <n v="-369.97"/>
    <n v="-369.97"/>
    <n v="-369.97"/>
    <n v="-369.97"/>
    <n v="-369.97"/>
    <n v="-369.97"/>
    <n v="-369.97"/>
    <n v="-369.97"/>
    <n v="-4439.640000000001"/>
  </r>
  <r>
    <x v="0"/>
    <s v="Codiagro"/>
    <s v="RESULTADO DEL EJERCICIO"/>
    <s v="RESULTADO ANTES DE IMPUESTOS"/>
    <s v="RESULTADO DE LA EXPLOTACION"/>
    <x v="8"/>
    <s v="(621) Arrendamientos y cánones"/>
    <s v="621000030 - ALQUILER RENTING 1075-LSC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1 - ALQUILER RENTING KONICA-MINOLTA Y KYOCERA"/>
    <s v="-"/>
    <n v="-338"/>
    <n v="-338"/>
    <n v="-338"/>
    <n v="-338"/>
    <n v="-338"/>
    <n v="-338"/>
    <n v="-338"/>
    <n v="-338"/>
    <n v="-338"/>
    <n v="-338"/>
    <n v="-338"/>
    <n v="-338"/>
    <n v="-4056"/>
  </r>
  <r>
    <x v="0"/>
    <s v="Codiagro"/>
    <s v="RESULTADO DEL EJERCICIO"/>
    <s v="RESULTADO ANTES DE IMPUESTOS"/>
    <s v="RESULTADO DE LA EXPLOTACION"/>
    <x v="8"/>
    <s v="(621) Arrendamientos y cánones"/>
    <s v="621000032 - ALQUILER RENTING 6665-LVK JOSE JUAN"/>
    <s v="-"/>
    <n v="-470.16"/>
    <n v="-470.16"/>
    <n v="-470.16"/>
    <n v="-470.16"/>
    <n v="-470.16"/>
    <n v="-470.16"/>
    <n v="-470.16"/>
    <n v="-470.16"/>
    <n v="-470.16"/>
    <n v="-470.16"/>
    <n v="-470.16"/>
    <n v="-470.16"/>
    <n v="-5641.919999999999"/>
  </r>
  <r>
    <x v="0"/>
    <s v="Codiagro"/>
    <s v="RESULTADO DEL EJERCICIO"/>
    <s v="RESULTADO ANTES DE IMPUESTOS"/>
    <s v="RESULTADO DE LA EXPLOTACION"/>
    <x v="8"/>
    <s v="(621) Arrendamientos y cánones"/>
    <s v="621000033 - ALQUILER RENTING 2612-MBY ANTONIO"/>
    <s v="-"/>
    <n v="-345.06"/>
    <n v="-345.06"/>
    <n v="-345.06"/>
    <n v="-345.06"/>
    <n v="-345.06"/>
    <n v="-345.06"/>
    <n v="-345.06"/>
    <n v="-345.06"/>
    <n v="-345.06"/>
    <n v="-345.06"/>
    <n v="-345.06"/>
    <n v="-345.06"/>
    <n v="-4140.72"/>
  </r>
  <r>
    <x v="0"/>
    <s v="Codiagro"/>
    <s v="RESULTADO DEL EJERCICIO"/>
    <s v="RESULTADO ANTES DE IMPUESTOS"/>
    <s v="RESULTADO DE LA EXPLOTACION"/>
    <x v="8"/>
    <s v="(621) Arrendamientos y cánones"/>
    <s v="621000034 - ALQUILER RENTING 3108-LZM NIEVES"/>
    <s v="-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813.6900000000001"/>
    <n v="-9764.280000000002"/>
  </r>
  <r>
    <x v="0"/>
    <s v="Codiagro"/>
    <s v="RESULTADO DEL EJERCICIO"/>
    <s v="RESULTADO ANTES DE IMPUESTOS"/>
    <s v="RESULTADO DE LA EXPLOTACION"/>
    <x v="8"/>
    <s v="(621) Arrendamientos y cánones"/>
    <s v="621000035 - ALQUILER RENTING 2142-MCS RICARD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6 - ALQUILER RENTING 3277-MDX JAVIE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7 - CARRETILLA STILL ELEKTROSTAPLER 516213H00521"/>
    <s v="-"/>
    <n v="-228.57"/>
    <n v="-228.57"/>
    <n v="-228.57"/>
    <n v="-228.57"/>
    <n v="-228.57"/>
    <n v="-228.57"/>
    <n v="-228.57"/>
    <n v="-228.57"/>
    <n v="-228.57"/>
    <n v="-228.57"/>
    <n v="-228.57"/>
    <n v="-228.57"/>
    <n v="-2742.84"/>
  </r>
  <r>
    <x v="0"/>
    <s v="Codiagro"/>
    <s v="RESULTADO DEL EJERCICIO"/>
    <s v="RESULTADO ANTES DE IMPUESTOS"/>
    <s v="RESULTADO DE LA EXPLOTACION"/>
    <x v="8"/>
    <s v="(621) Arrendamientos y cánones"/>
    <s v="621000038 - CARRETILLA STILL ELEKTROSTAPLER 516223J00123"/>
    <s v="-"/>
    <n v="-228.82"/>
    <n v="-228.82"/>
    <n v="-228.82"/>
    <n v="-228.82"/>
    <n v="-228.82"/>
    <n v="-228.82"/>
    <n v="-228.82"/>
    <n v="-228.82"/>
    <n v="-228.82"/>
    <n v="-228.82"/>
    <n v="-228.82"/>
    <n v="-228.82"/>
    <n v="-2745.84"/>
  </r>
  <r>
    <x v="0"/>
    <s v="Codiagro"/>
    <s v="RESULTADO DEL EJERCICIO"/>
    <s v="RESULTADO ANTES DE IMPUESTOS"/>
    <s v="RESULTADO DE LA EXPLOTACION"/>
    <x v="8"/>
    <s v="(621) Arrendamientos y cánones"/>
    <s v="621000039 - ALQUILER RENTING 5043-MWW CURRO"/>
    <s v="-"/>
    <n v="-482.36"/>
    <n v="-482.36"/>
    <n v="-482.36"/>
    <n v="-482.36"/>
    <n v="-482.36"/>
    <n v="-482.36"/>
    <n v="-482.36"/>
    <n v="-482.36"/>
    <n v="-482.36"/>
    <n v="-482.36"/>
    <n v="-482.36"/>
    <n v="-482.36"/>
    <n v="-5788.32"/>
  </r>
  <r>
    <x v="0"/>
    <s v="Codiagro"/>
    <s v="RESULTADO DEL EJERCICIO"/>
    <s v="RESULTADO ANTES DE IMPUESTOS"/>
    <s v="RESULTADO DE LA EXPLOTACION"/>
    <x v="8"/>
    <s v="(621) Arrendamientos y cánones"/>
    <s v="621000040 - ALQUILER RENTING 8917-MZT JAVIER"/>
    <s v="-"/>
    <n v="-1557.86"/>
    <n v="-1557.86"/>
    <n v="-1557.86"/>
    <n v="-1557.86"/>
    <n v="-1557.86"/>
    <n v="-1557.86"/>
    <n v="-1557.86"/>
    <n v="-1557.86"/>
    <n v="-1557.86"/>
    <n v="-1557.86"/>
    <n v="-1557.86"/>
    <n v="-1557.86"/>
    <n v="-18694.32"/>
  </r>
  <r>
    <x v="0"/>
    <s v="Codiagro"/>
    <s v="RESULTADO DEL EJERCICIO"/>
    <s v="RESULTADO ANTES DE IMPUESTOS"/>
    <s v="RESULTADO DE LA EXPLOTACION"/>
    <x v="8"/>
    <s v="(621) Arrendamientos y cánones"/>
    <s v="621000041 - ALQUILER RENTING 8929-MZT RICARDO"/>
    <s v="-"/>
    <n v="-1338.15"/>
    <n v="-1338.15"/>
    <n v="-1338.15"/>
    <n v="-1338.15"/>
    <n v="-1338.15"/>
    <n v="-1338.15"/>
    <n v="-1338.15"/>
    <n v="-1338.15"/>
    <n v="-1338.15"/>
    <n v="-1338.15"/>
    <n v="-1338.15"/>
    <n v="-1338.15"/>
    <n v="-16057.8"/>
  </r>
  <r>
    <x v="0"/>
    <s v="Codiagro"/>
    <s v="RESULTADO DEL EJERCICIO"/>
    <s v="RESULTADO ANTES DE IMPUESTOS"/>
    <s v="RESULTADO DE LA EXPLOTACION"/>
    <x v="8"/>
    <s v="(621) Arrendamientos y cánones"/>
    <s v="621000042 - ALQUILER RENTING 4946-NFH GARCIA"/>
    <s v="-"/>
    <n v="-645.34"/>
    <n v="-645.34"/>
    <n v="-645.34"/>
    <n v="-645.34"/>
    <n v="-645.34"/>
    <n v="-645.34"/>
    <n v="-645.34"/>
    <n v="-645.34"/>
    <n v="-645.34"/>
    <n v="-645.34"/>
    <n v="-645.34"/>
    <n v="-645.34"/>
    <n v="-7744.080000000001"/>
  </r>
  <r>
    <x v="0"/>
    <s v="Codiagro"/>
    <s v="RESULTADO DEL EJERCICIO"/>
    <s v="RESULTADO ANTES DE IMPUESTOS"/>
    <s v="RESULTADO DE LA EXPLOTACION"/>
    <x v="8"/>
    <s v="(621) Arrendamientos y cánones"/>
    <s v="621000044 - ALQUILER COMPRESOR DE TORNILLO 37KW KAESER BSD 75C"/>
    <s v="-"/>
    <n v="-1600"/>
    <n v="-1600"/>
    <n v="-1600"/>
    <n v="-1600"/>
    <n v="-1600"/>
    <n v="-1600"/>
    <n v="-1600"/>
    <n v="-1600"/>
    <n v="-1600"/>
    <n v="-1600"/>
    <n v="-1600"/>
    <n v="-1600"/>
    <n v="-19200"/>
  </r>
  <r>
    <x v="0"/>
    <s v="Codiagro"/>
    <s v="RESULTADO DEL EJERCICIO"/>
    <s v="RESULTADO ANTES DE IMPUESTOS"/>
    <s v="RESULTADO DE LA EXPLOTACION"/>
    <x v="8"/>
    <s v="(621) Arrendamientos y cánones"/>
    <s v="621000045 - ALQUILER RENTING 3421-NJT PERE"/>
    <s v="-"/>
    <n v="-1093.31"/>
    <n v="-1093.31"/>
    <n v="-1093.31"/>
    <n v="-1093.31"/>
    <n v="-1093.31"/>
    <n v="-1093.31"/>
    <n v="-1093.31"/>
    <n v="-1093.31"/>
    <n v="-1093.31"/>
    <n v="-1093.31"/>
    <n v="-1093.31"/>
    <n v="-1093.31"/>
    <n v="-13119.72"/>
  </r>
  <r>
    <x v="0"/>
    <s v="Codiagro"/>
    <s v="RESULTADO DEL EJERCICIO"/>
    <s v="RESULTADO ANTES DE IMPUESTOS"/>
    <s v="RESULTADO DE LA EXPLOTACION"/>
    <x v="8"/>
    <s v="(621) Arrendamientos y cánones"/>
    <s v="621000046 - ALQUILER CARRETILLAS"/>
    <s v="-"/>
    <n v="-677.75"/>
    <n v="-677.75"/>
    <n v="-677.75"/>
    <n v="-677.75"/>
    <n v="-677.75"/>
    <n v="-677.75"/>
    <n v="-677.75"/>
    <n v="-677.75"/>
    <n v="-677.75"/>
    <n v="-677.75"/>
    <n v="-677.75"/>
    <n v="-677.75"/>
    <n v="-8133"/>
  </r>
  <r>
    <x v="0"/>
    <s v="Codiagro"/>
    <s v="RESULTADO DEL EJERCICIO"/>
    <s v="RESULTADO ANTES DE IMPUESTOS"/>
    <s v="RESULTADO DE LA EXPLOTACION"/>
    <x v="8"/>
    <s v="(622) Reparación/conservación/mantenimiento"/>
    <s v="622000001 - REPAR. EQUIPOS INFORM. Y FOTOCOPIADORAS"/>
    <s v="-"/>
    <n v="-748.65"/>
    <n v="-748.65"/>
    <n v="-748.65"/>
    <n v="-748.65"/>
    <n v="-748.65"/>
    <n v="-748.65"/>
    <n v="-748.65"/>
    <n v="-748.65"/>
    <n v="-748.65"/>
    <n v="-748.65"/>
    <n v="-748.65"/>
    <n v="-748.65"/>
    <n v="-8983.799999999997"/>
  </r>
  <r>
    <x v="0"/>
    <s v="Codiagro"/>
    <s v="RESULTADO DEL EJERCICIO"/>
    <s v="RESULTADO ANTES DE IMPUESTOS"/>
    <s v="RESULTADO DE LA EXPLOTACION"/>
    <x v="8"/>
    <s v="(622) Reparación/conservación/mantenimiento"/>
    <s v="622000004 - REP. Y CONSERV. CARRETILLA ELECTRICA"/>
    <s v="-"/>
    <n v="-731.87"/>
    <n v="-731.87"/>
    <n v="-731.87"/>
    <n v="-731.87"/>
    <n v="-731.87"/>
    <n v="-731.87"/>
    <n v="-731.87"/>
    <n v="-731.87"/>
    <n v="-731.87"/>
    <n v="-731.87"/>
    <n v="-731.87"/>
    <n v="-731.87"/>
    <n v="-8782.440000000001"/>
  </r>
  <r>
    <x v="0"/>
    <s v="Codiagro"/>
    <s v="RESULTADO DEL EJERCICIO"/>
    <s v="RESULTADO ANTES DE IMPUESTOS"/>
    <s v="RESULTADO DE LA EXPLOTACION"/>
    <x v="8"/>
    <s v="(622) Reparación/conservación/mantenimiento"/>
    <s v="622000005 - REP. Y MANT. EQUIPOS SEGURIDAD"/>
    <s v="-"/>
    <n v="-122.19"/>
    <n v="-122.19"/>
    <n v="-122.19"/>
    <n v="-122.19"/>
    <n v="-122.19"/>
    <n v="-122.19"/>
    <n v="-122.19"/>
    <n v="-122.19"/>
    <n v="-122.19"/>
    <n v="-122.19"/>
    <n v="-122.19"/>
    <n v="-122.19"/>
    <n v="-1466.28"/>
  </r>
  <r>
    <x v="0"/>
    <s v="Codiagro"/>
    <s v="RESULTADO DEL EJERCICIO"/>
    <s v="RESULTADO ANTES DE IMPUESTOS"/>
    <s v="RESULTADO DE LA EXPLOTACION"/>
    <x v="8"/>
    <s v="(622) Reparación/conservación/mantenimiento"/>
    <s v="622000006 - REP. Y MANT. INSTALACIONES VARIAS"/>
    <s v="-"/>
    <n v="-3015.5"/>
    <n v="-800"/>
    <n v="-800"/>
    <n v="-800"/>
    <n v="-800"/>
    <n v="-800"/>
    <n v="-800"/>
    <n v="-3174.84"/>
    <n v="-3128.9"/>
    <n v="-2577.65"/>
    <n v="-800"/>
    <n v="-1351.25"/>
    <n v="-18848.14"/>
  </r>
  <r>
    <x v="0"/>
    <s v="Codiagro"/>
    <s v="RESULTADO DEL EJERCICIO"/>
    <s v="RESULTADO ANTES DE IMPUESTOS"/>
    <s v="RESULTADO DE LA EXPLOTACION"/>
    <x v="8"/>
    <s v="(622) Reparación/conservación/mantenimiento"/>
    <s v="622000007 - REP. Y MANT. HYUNDAI 0377CJG"/>
    <s v="-"/>
    <n v="-249.63"/>
    <n v="-249.63"/>
    <n v="-249.63"/>
    <n v="-249.63"/>
    <n v="-249.63"/>
    <n v="-249.63"/>
    <n v="-249.63"/>
    <n v="-249.63"/>
    <n v="-249.63"/>
    <n v="-249.63"/>
    <n v="-249.63"/>
    <n v="-249.63"/>
    <n v="-2995.560000000001"/>
  </r>
  <r>
    <x v="0"/>
    <s v="Codiagro"/>
    <s v="RESULTADO DEL EJERCICIO"/>
    <s v="RESULTADO ANTES DE IMPUESTOS"/>
    <s v="RESULTADO DE LA EXPLOTACION"/>
    <x v="8"/>
    <s v="(622) Reparación/conservación/mantenimiento"/>
    <s v="622000008 - REP. Y MANT. MAQUINA BARREDORA"/>
    <s v="-"/>
    <n v="-515.01"/>
    <n v="-515.01"/>
    <n v="-515.01"/>
    <n v="-515.01"/>
    <n v="-515.01"/>
    <n v="-515.01"/>
    <n v="-515.01"/>
    <n v="-515.01"/>
    <n v="-515.01"/>
    <n v="-515.01"/>
    <n v="-515.01"/>
    <n v="-515.01"/>
    <n v="-6180.120000000002"/>
  </r>
  <r>
    <x v="0"/>
    <s v="Codiagro"/>
    <s v="RESULTADO DEL EJERCICIO"/>
    <s v="RESULTADO ANTES DE IMPUESTOS"/>
    <s v="RESULTADO DE LA EXPLOTACION"/>
    <x v="8"/>
    <s v="(622) Reparación/conservación/mantenimiento"/>
    <s v="622000009 - REP. Y MANT. FURGONETA 2589CRJ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00012 - LIMPIEZA OFICINAS, LABORATORIO Y VESTUARIOS"/>
    <s v="-"/>
    <n v="-935.11"/>
    <n v="-935.11"/>
    <n v="-935.11"/>
    <n v="-935.11"/>
    <n v="-935.11"/>
    <n v="-935.11"/>
    <n v="-935.11"/>
    <n v="-935.11"/>
    <n v="-935.11"/>
    <n v="-935.11"/>
    <n v="-935.11"/>
    <n v="-935.11"/>
    <n v="-11221.32"/>
  </r>
  <r>
    <x v="0"/>
    <s v="Codiagro"/>
    <s v="RESULTADO DEL EJERCICIO"/>
    <s v="RESULTADO ANTES DE IMPUESTOS"/>
    <s v="RESULTADO DE LA EXPLOTACION"/>
    <x v="8"/>
    <s v="(622) Reparación/conservación/mantenimiento"/>
    <s v="622010000 MANTENIMIENTO"/>
    <s v="-"/>
    <n v="-1472.45"/>
    <n v="-1472.45"/>
    <n v="-1472.45"/>
    <n v="-1472.45"/>
    <n v="-1472.45"/>
    <n v="-1472.45"/>
    <n v="-1472.45"/>
    <n v="-1472.45"/>
    <n v="-1472.45"/>
    <n v="-1472.45"/>
    <n v="-1472.45"/>
    <n v="-1472.45"/>
    <n v="-17669.40000000001"/>
  </r>
  <r>
    <x v="0"/>
    <s v="Codiagro"/>
    <s v="RESULTADO DEL EJERCICIO"/>
    <s v="RESULTADO ANTES DE IMPUESTOS"/>
    <s v="RESULTADO DE LA EXPLOTACION"/>
    <x v="8"/>
    <s v="(622) Reparación/conservación/mantenimiento"/>
    <s v="622010001 - MANTENIMIENTO REPUESTO COMPRA AMAZ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200 - ALCAPLANT"/>
    <s v="-"/>
    <n v="0"/>
    <n v="0"/>
    <n v="0"/>
    <n v="-554.4"/>
    <n v="0"/>
    <n v="0"/>
    <n v="0"/>
    <n v="-1050"/>
    <n v="-840"/>
    <n v="-3150"/>
    <n v="0"/>
    <n v="0"/>
    <n v="-5594.4"/>
  </r>
  <r>
    <x v="0"/>
    <s v="Codiagro"/>
    <s v="RESULTADO DEL EJERCICIO"/>
    <s v="RESULTADO ANTES DE IMPUESTOS"/>
    <s v="RESULTADO DE LA EXPLOTACION"/>
    <x v="8"/>
    <s v="(622) Reparación/conservación/mantenimiento"/>
    <s v="622010201 - REPARACIONES ALCAPLAN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300 - SOLIDOS"/>
    <s v="-"/>
    <n v="-367.5"/>
    <n v="-367.5"/>
    <n v="-367.5"/>
    <n v="-367.5"/>
    <n v="-367.5"/>
    <n v="-367.5"/>
    <n v="-367.5"/>
    <n v="-367.5"/>
    <n v="-367.5"/>
    <n v="-367.5"/>
    <n v="-2992.5"/>
    <n v="-367.5"/>
    <n v="-7035"/>
  </r>
  <r>
    <x v="0"/>
    <s v="Codiagro"/>
    <s v="RESULTADO DEL EJERCICIO"/>
    <s v="RESULTADO ANTES DE IMPUESTOS"/>
    <s v="RESULTADO DE LA EXPLOTACION"/>
    <x v="8"/>
    <s v="(622) Reparación/conservación/mantenimiento"/>
    <s v="622010400 - LIQUIDOS"/>
    <s v="-"/>
    <n v="-420"/>
    <n v="0"/>
    <n v="0"/>
    <n v="-630"/>
    <n v="0"/>
    <n v="0"/>
    <n v="0"/>
    <n v="0"/>
    <n v="-3885"/>
    <n v="-1155"/>
    <n v="0"/>
    <n v="0"/>
    <n v="-6090"/>
  </r>
  <r>
    <x v="0"/>
    <s v="Codiagro"/>
    <s v="RESULTADO DEL EJERCICIO"/>
    <s v="RESULTADO ANTES DE IMPUESTOS"/>
    <s v="RESULTADO DE LA EXPLOTACION"/>
    <x v="8"/>
    <s v="(622) Reparación/conservación/mantenimiento"/>
    <s v="622010500 - REPUESTOS MANT. VARIOS"/>
    <s v="-"/>
    <n v="-262.5"/>
    <n v="-262.5"/>
    <n v="-262.5"/>
    <n v="-262.5"/>
    <n v="-262.5"/>
    <n v="-262.5"/>
    <n v="-262.5"/>
    <n v="-262.5"/>
    <n v="-367.5"/>
    <n v="-262.5"/>
    <n v="-262.5"/>
    <n v="-262.5"/>
    <n v="-3255"/>
  </r>
  <r>
    <x v="0"/>
    <s v="Codiagro"/>
    <s v="RESULTADO DEL EJERCICIO"/>
    <s v="RESULTADO ANTES DE IMPUESTOS"/>
    <s v="RESULTADO DE LA EXPLOTACION"/>
    <x v="8"/>
    <s v="(622) Reparación/conservación/mantenimiento"/>
    <s v="622010501 - REP. MANT. FONTANER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000001 - SERV. PROF. INDEPENDIENTES"/>
    <s v="-"/>
    <n v="-6000"/>
    <n v="-6000"/>
    <n v="-6000"/>
    <n v="-6000"/>
    <n v="-6000"/>
    <n v="-6000"/>
    <n v="-6000"/>
    <n v="-6000"/>
    <n v="-6000"/>
    <n v="-6000"/>
    <n v="-6000"/>
    <n v="-8000"/>
    <n v="-74000"/>
  </r>
  <r>
    <x v="0"/>
    <s v="Codiagro"/>
    <s v="RESULTADO DEL EJERCICIO"/>
    <s v="RESULTADO ANTES DE IMPUESTOS"/>
    <s v="RESULTADO DE LA EXPLOTACION"/>
    <x v="8"/>
    <s v="(623) Servicios profesionales independientes"/>
    <s v="623000002 - SERVICIOS CONTABLES Y FINANCIEROS"/>
    <s v="-"/>
    <n v="-1400"/>
    <n v="-1400"/>
    <n v="-1400"/>
    <n v="-1400"/>
    <n v="-1400"/>
    <n v="-1400"/>
    <n v="-1400"/>
    <n v="-1400"/>
    <n v="-1400"/>
    <n v="-1400"/>
    <n v="-1400"/>
    <n v="-1400"/>
    <n v="-16800"/>
  </r>
  <r>
    <x v="0"/>
    <s v="Codiagro"/>
    <s v="RESULTADO DEL EJERCICIO"/>
    <s v="RESULTADO ANTES DE IMPUESTOS"/>
    <s v="RESULTADO DE LA EXPLOTACION"/>
    <x v="8"/>
    <s v="(623) Servicios profesionales independientes"/>
    <s v="623000003 - SERV. NOTARIOS, REGISTROS, LEGAL"/>
    <s v="-"/>
    <n v="-550"/>
    <n v="0"/>
    <n v="0"/>
    <n v="0"/>
    <n v="0"/>
    <n v="0"/>
    <n v="0"/>
    <n v="0"/>
    <n v="0"/>
    <n v="0"/>
    <n v="0"/>
    <n v="0"/>
    <n v="-550"/>
  </r>
  <r>
    <x v="0"/>
    <s v="Codiagro"/>
    <s v="RESULTADO DEL EJERCICIO"/>
    <s v="RESULTADO ANTES DE IMPUESTOS"/>
    <s v="RESULTADO DE LA EXPLOTACION"/>
    <x v="8"/>
    <s v="(623) Servicios profesionales independientes"/>
    <s v="623000004 - GTOS. BCS. OKO"/>
    <s v="-"/>
    <n v="-980"/>
    <n v="-970"/>
    <n v="-2700"/>
    <n v="0"/>
    <n v="-1610"/>
    <n v="-1268"/>
    <n v="0"/>
    <n v="0"/>
    <n v="0"/>
    <n v="-180"/>
    <n v="-1100"/>
    <n v="-1385"/>
    <n v="-10193"/>
  </r>
  <r>
    <x v="0"/>
    <s v="Codiagro"/>
    <s v="RESULTADO DEL EJERCICIO"/>
    <s v="RESULTADO ANTES DE IMPUESTOS"/>
    <s v="RESULTADO DE LA EXPLOTACION"/>
    <x v="8"/>
    <s v="(623) Servicios profesionales independientes"/>
    <s v="623000005 - SERVICIOS PREST. CAMARA COMERCIO"/>
    <s v="-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610.5599999999999"/>
    <n v="-7326.719999999998"/>
  </r>
  <r>
    <x v="0"/>
    <s v="Codiagro"/>
    <s v="RESULTADO DEL EJERCICIO"/>
    <s v="RESULTADO ANTES DE IMPUESTOS"/>
    <s v="RESULTADO DE LA EXPLOTACION"/>
    <x v="8"/>
    <s v="(623) Servicios profesionales independientes"/>
    <s v="623100002 - GASTOS MAURICIO ALISTE"/>
    <s v="-"/>
    <n v="-4000"/>
    <n v="-4000"/>
    <n v="-4000"/>
    <n v="-4000"/>
    <n v="-4000"/>
    <n v="-4000"/>
    <n v="-4000"/>
    <n v="-4000"/>
    <n v="-4000"/>
    <n v="-4000"/>
    <n v="-4000"/>
    <n v="-9000"/>
    <n v="-53000"/>
  </r>
  <r>
    <x v="0"/>
    <s v="Codiagro"/>
    <s v="RESULTADO DEL EJERCICIO"/>
    <s v="RESULTADO ANTES DE IMPUESTOS"/>
    <s v="RESULTADO DE LA EXPLOTACION"/>
    <x v="8"/>
    <s v="(623) Servicios profesionales independientes"/>
    <s v="623100006 - GASTOS Y SERVICIOS AGRICOLA DEL JUCAR"/>
    <s v="-"/>
    <n v="-500"/>
    <n v="-500"/>
    <n v="-500"/>
    <n v="-500"/>
    <n v="-500"/>
    <n v="-500"/>
    <n v="-500"/>
    <n v="-500"/>
    <n v="-500"/>
    <n v="-500"/>
    <n v="-500"/>
    <n v="-30500"/>
    <n v="-36000"/>
  </r>
  <r>
    <x v="0"/>
    <s v="Codiagro"/>
    <s v="RESULTADO DEL EJERCICIO"/>
    <s v="RESULTADO ANTES DE IMPUESTOS"/>
    <s v="RESULTADO DE LA EXPLOTACION"/>
    <x v="8"/>
    <s v="(623) Servicios profesionales independientes"/>
    <s v="623100007 - GASTOS Y SUELDO MEHMET CILOGLU"/>
    <s v="-"/>
    <n v="-6000"/>
    <n v="-6000"/>
    <n v="-6000"/>
    <n v="-6000"/>
    <n v="-6000"/>
    <n v="-6000"/>
    <n v="-6000"/>
    <n v="-6000"/>
    <n v="-6000"/>
    <n v="-6000"/>
    <n v="-6000"/>
    <n v="-106000"/>
    <n v="-172000"/>
  </r>
  <r>
    <x v="0"/>
    <s v="Codiagro"/>
    <s v="RESULTADO DEL EJERCICIO"/>
    <s v="RESULTADO ANTES DE IMPUESTOS"/>
    <s v="RESULTADO DE LA EXPLOTACION"/>
    <x v="8"/>
    <s v="(623) Servicios profesionales independientes"/>
    <s v="623100008 - COMISIONES KAMAL KEHAL"/>
    <s v="-"/>
    <n v="-283.21"/>
    <n v="-283.21"/>
    <n v="-283.21"/>
    <n v="-283.21"/>
    <n v="-283.21"/>
    <n v="-283.21"/>
    <n v="-283.21"/>
    <n v="-283.21"/>
    <n v="-283.21"/>
    <n v="-283.21"/>
    <n v="-283.21"/>
    <n v="-283.21"/>
    <n v="-3398.52"/>
  </r>
  <r>
    <x v="0"/>
    <s v="Codiagro"/>
    <s v="RESULTADO DEL EJERCICIO"/>
    <s v="RESULTADO ANTES DE IMPUESTOS"/>
    <s v="RESULTADO DE LA EXPLOTACION"/>
    <x v="8"/>
    <s v="(623) Servicios profesionales independientes"/>
    <s v="623100009 - COMISIONES ABEL SALAZA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1 - GASTOS MARCAS EN ESPAÑ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5 - GASTOS MARCAS CHIL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6 - MARCAS UNION EUROPE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1 - GASTOS MARCAS COLOMB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1 - GASTOS MARCAS GUATEMAL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3 - GASTOS MARCAS ARGEL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2 - GASTOS MARCAS MEXIC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3 - GASTOS MARCAS MUND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8 - GASTOS MARCAS EGIPT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9 - GASTOS MARCAS MARRUEC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0 - GASTOS MARCAS TURQU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6 - GASTOS MARCAS ECU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7 GASTOS MARCAS EL SALV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0 - GASTOS MARCAS TUN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2 - GASTOS MARCAS BOLIV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4 - GASTOS MARCAS INTERNA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9 - GASTOS MARCAS GEORG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0 - GASTOS MARCAS AZERBAIYA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7 - GASTOS MARCAS ESTADOS UNI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1 - TRANSPORTES NACIONAL"/>
    <s v="-"/>
    <n v="-7016.85"/>
    <n v="-13619.9"/>
    <n v="-18607.54"/>
    <n v="-22055.44"/>
    <n v="-18645.63"/>
    <n v="-20396.41"/>
    <n v="-14747.91"/>
    <n v="-13338.45"/>
    <n v="-7825.86"/>
    <n v="-12700.12"/>
    <n v="-12528.19"/>
    <n v="-4989.85"/>
    <n v="-166472.15"/>
  </r>
  <r>
    <x v="0"/>
    <s v="Codiagro"/>
    <s v="RESULTADO DEL EJERCICIO"/>
    <s v="RESULTADO ANTES DE IMPUESTOS"/>
    <s v="RESULTADO DE LA EXPLOTACION"/>
    <x v="8"/>
    <s v="(624) Transportes ventas"/>
    <s v="624000002 - TRANSPORTE INTERNACIONAL"/>
    <s v="-"/>
    <n v="-29809.2"/>
    <n v="-21246.7"/>
    <n v="-19638.3"/>
    <n v="-8004.2"/>
    <n v="-38718.8"/>
    <n v="-33492"/>
    <n v="-13212.8"/>
    <n v="-18509.6"/>
    <n v="-24148.9"/>
    <n v="-23411.3"/>
    <n v="-40650.7"/>
    <n v="-34380.8"/>
    <n v="-305223.3"/>
  </r>
  <r>
    <x v="0"/>
    <s v="Codiagro"/>
    <s v="RESULTADO DEL EJERCICIO"/>
    <s v="RESULTADO ANTES DE IMPUESTOS"/>
    <s v="RESULTADO DE LA EXPLOTACION"/>
    <x v="8"/>
    <s v="(624) Transportes ventas"/>
    <s v="624000003 - TRANSPORTES CANARIAS"/>
    <s v="-"/>
    <n v="-6088.18"/>
    <n v="-5367.26"/>
    <n v="-7224.72"/>
    <n v="-3712.04"/>
    <n v="-14028.95"/>
    <n v="-2584.44"/>
    <n v="-4588.3"/>
    <n v="-8667.690000000001"/>
    <n v="-2950.85"/>
    <n v="-9635.040000000001"/>
    <n v="-13725.16"/>
    <n v="-625.65"/>
    <n v="-79198.28"/>
  </r>
  <r>
    <x v="0"/>
    <s v="Codiagro"/>
    <s v="RESULTADO DEL EJERCICIO"/>
    <s v="RESULTADO ANTES DE IMPUESTOS"/>
    <s v="RESULTADO DE LA EXPLOTACION"/>
    <x v="8"/>
    <s v="(624) Transportes ventas"/>
    <s v="624000004 - GTOS. FLETE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5 - TTE. PAQUETERIA"/>
    <s v="-"/>
    <n v="-591.46"/>
    <n v="-591.46"/>
    <n v="-591.46"/>
    <n v="-591.46"/>
    <n v="-591.46"/>
    <n v="-591.46"/>
    <n v="-591.46"/>
    <n v="-591.46"/>
    <n v="-591.46"/>
    <n v="-591.46"/>
    <n v="-591.46"/>
    <n v="-591.46"/>
    <n v="-7097.52"/>
  </r>
  <r>
    <x v="0"/>
    <s v="Codiagro"/>
    <s v="RESULTADO DEL EJERCICIO"/>
    <s v="RESULTADO ANTES DE IMPUESTOS"/>
    <s v="RESULTADO DE LA EXPLOTACION"/>
    <x v="8"/>
    <s v="(624) Transportes ventas"/>
    <s v="624000006 - TRANSPORTES IMPORTACIÓN"/>
    <s v="-"/>
    <n v="-1389.04"/>
    <n v="-1389.04"/>
    <n v="-1389.04"/>
    <n v="-1389.04"/>
    <n v="-1389.04"/>
    <n v="-1389.04"/>
    <n v="-1389.04"/>
    <n v="-1389.04"/>
    <n v="-1389.04"/>
    <n v="-1389.04"/>
    <n v="-1389.04"/>
    <n v="-1389.04"/>
    <n v="-16668.48"/>
  </r>
  <r>
    <x v="0"/>
    <s v="Codiagro"/>
    <s v="RESULTADO DEL EJERCICIO"/>
    <s v="RESULTADO ANTES DE IMPUESTOS"/>
    <s v="RESULTADO DE LA EXPLOTACION"/>
    <x v="8"/>
    <s v="(624) Transportes ventas"/>
    <s v="624000007 - ENVIO MUESTR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5) Primas de seguros"/>
    <s v="625000001 - SEGUROS VEHÍCULOS"/>
    <s v="-"/>
    <n v="-188.17"/>
    <n v="-188.17"/>
    <n v="-188.17"/>
    <n v="-188.17"/>
    <n v="-188.17"/>
    <n v="-188.17"/>
    <n v="-188.17"/>
    <n v="-188.17"/>
    <n v="-188.17"/>
    <n v="-188.17"/>
    <n v="-188.17"/>
    <n v="-188.17"/>
    <n v="-2258.04"/>
  </r>
  <r>
    <x v="0"/>
    <s v="Codiagro"/>
    <s v="RESULTADO DEL EJERCICIO"/>
    <s v="RESULTADO ANTES DE IMPUESTOS"/>
    <s v="RESULTADO DE LA EXPLOTACION"/>
    <x v="8"/>
    <s v="(625) Primas de seguros"/>
    <s v="625000003 SEGURO ACCIDENTES TRABAJADORES"/>
    <s v="-"/>
    <n v="-194.64"/>
    <n v="-194.64"/>
    <n v="-194.64"/>
    <n v="-194.64"/>
    <n v="-194.64"/>
    <n v="-194.64"/>
    <n v="-194.64"/>
    <n v="-194.64"/>
    <n v="-194.64"/>
    <n v="-194.64"/>
    <n v="-194.64"/>
    <n v="-194.64"/>
    <n v="-2335.679999999999"/>
  </r>
  <r>
    <x v="0"/>
    <s v="Codiagro"/>
    <s v="RESULTADO DEL EJERCICIO"/>
    <s v="RESULTADO ANTES DE IMPUESTOS"/>
    <s v="RESULTADO DE LA EXPLOTACION"/>
    <x v="8"/>
    <s v="(625) Primas de seguros"/>
    <s v="625000004 - SEGURO RESP. CIVIL"/>
    <s v="-"/>
    <n v="-3281.59"/>
    <n v="-3281.59"/>
    <n v="-3281.59"/>
    <n v="-3281.59"/>
    <n v="-3281.59"/>
    <n v="-3281.59"/>
    <n v="-3281.59"/>
    <n v="-3281.59"/>
    <n v="-3281.59"/>
    <n v="-3281.59"/>
    <n v="-3281.59"/>
    <n v="-3281.59"/>
    <n v="-39379.08"/>
  </r>
  <r>
    <x v="0"/>
    <s v="Codiagro"/>
    <s v="RESULTADO DEL EJERCICIO"/>
    <s v="RESULTADO ANTES DE IMPUESTOS"/>
    <s v="RESULTADO DE LA EXPLOTACION"/>
    <x v="8"/>
    <s v="(625) Primas de seguros"/>
    <s v="625000005 - SEGUROS ACTIVIDAD"/>
    <s v="-"/>
    <n v="-2975.68"/>
    <n v="-2975.68"/>
    <n v="-2975.68"/>
    <n v="-2975.68"/>
    <n v="-2975.68"/>
    <n v="-2975.68"/>
    <n v="-2975.68"/>
    <n v="-2975.68"/>
    <n v="-2975.68"/>
    <n v="-2975.68"/>
    <n v="-2975.68"/>
    <n v="-2975.68"/>
    <n v="-35708.16"/>
  </r>
  <r>
    <x v="0"/>
    <s v="Codiagro"/>
    <s v="RESULTADO DEL EJERCICIO"/>
    <s v="RESULTADO ANTES DE IMPUESTOS"/>
    <s v="RESULTADO DE LA EXPLOTACION"/>
    <x v="8"/>
    <s v="(626) Servicios bancarios"/>
    <s v="626000000 - Servicios bancarios y simila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6) Servicios bancarios"/>
    <s v="626000002 - GASTOS Y COMISIONES BANCO SABADELL"/>
    <s v="-"/>
    <n v="-49.02"/>
    <n v="-49.02"/>
    <n v="-49.02"/>
    <n v="-49.02"/>
    <n v="-49.02"/>
    <n v="-49.02"/>
    <n v="-49.02"/>
    <n v="-49.02"/>
    <n v="-49.02"/>
    <n v="-49.02"/>
    <n v="-49.02"/>
    <n v="-49.02"/>
    <n v="-588.2399999999999"/>
  </r>
  <r>
    <x v="0"/>
    <s v="Codiagro"/>
    <s v="RESULTADO DEL EJERCICIO"/>
    <s v="RESULTADO ANTES DE IMPUESTOS"/>
    <s v="RESULTADO DE LA EXPLOTACION"/>
    <x v="8"/>
    <s v="(626) Servicios bancarios"/>
    <s v="626000005 - GASTOS Y COMISIONES CAIXALMASSORA"/>
    <s v="-"/>
    <n v="-171.17"/>
    <n v="-171.17"/>
    <n v="-171.17"/>
    <n v="-171.17"/>
    <n v="-171.17"/>
    <n v="-171.17"/>
    <n v="-171.17"/>
    <n v="-171.17"/>
    <n v="-171.17"/>
    <n v="-171.17"/>
    <n v="-171.17"/>
    <n v="-171.17"/>
    <n v="-2054.04"/>
  </r>
  <r>
    <x v="0"/>
    <s v="Codiagro"/>
    <s v="RESULTADO DEL EJERCICIO"/>
    <s v="RESULTADO ANTES DE IMPUESTOS"/>
    <s v="RESULTADO DE LA EXPLOTACION"/>
    <x v="8"/>
    <s v="(626) Servicios bancarios"/>
    <s v="626000007 - GASTOS Y COMISIONES BBVA"/>
    <s v="-"/>
    <n v="-811.09"/>
    <n v="-811.09"/>
    <n v="-811.09"/>
    <n v="-811.09"/>
    <n v="-811.09"/>
    <n v="-811.09"/>
    <n v="-811.09"/>
    <n v="-811.09"/>
    <n v="-811.09"/>
    <n v="-811.09"/>
    <n v="-811.09"/>
    <n v="-811.09"/>
    <n v="-9733.08"/>
  </r>
  <r>
    <x v="0"/>
    <s v="Codiagro"/>
    <s v="RESULTADO DEL EJERCICIO"/>
    <s v="RESULTADO ANTES DE IMPUESTOS"/>
    <s v="RESULTADO DE LA EXPLOTACION"/>
    <x v="8"/>
    <s v="(627) Publicidad"/>
    <s v="627000001 - GTOS. PUBLICIDAD EN INTERNE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4 - RELACIONES PUBLIC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5 - INVITACIONES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6 - PUBLICIDAD CATALOGOS Y FOLLETOS"/>
    <s v="-"/>
    <n v="-2469.92"/>
    <n v="-3006.08"/>
    <n v="-2874.69"/>
    <n v="-3233.22"/>
    <n v="-2543.62"/>
    <n v="-1816.83"/>
    <n v="-1556.94"/>
    <n v="-658.01"/>
    <n v="-1867.78"/>
    <n v="-1290.69"/>
    <n v="-2792.91"/>
    <n v="-1519.31"/>
    <n v="-25630"/>
  </r>
  <r>
    <x v="0"/>
    <s v="Codiagro"/>
    <s v="RESULTADO DEL EJERCICIO"/>
    <s v="RESULTADO ANTES DE IMPUESTOS"/>
    <s v="RESULTADO DE LA EXPLOTACION"/>
    <x v="8"/>
    <s v="(627) Publicidad"/>
    <s v="627000007 - FERIAS"/>
    <s v="-"/>
    <n v="-3254.36"/>
    <n v="-3960.8"/>
    <n v="-3787.68"/>
    <n v="-4260.08"/>
    <n v="-3351.46"/>
    <n v="-2393.84"/>
    <n v="-2051.41"/>
    <n v="-866.99"/>
    <n v="-2460.99"/>
    <n v="-1700.61"/>
    <n v="-3679.93"/>
    <n v="-2001.84"/>
    <n v="-33769.99"/>
  </r>
  <r>
    <x v="0"/>
    <s v="Codiagro"/>
    <s v="RESULTADO DEL EJERCICIO"/>
    <s v="RESULTADO ANTES DE IMPUESTOS"/>
    <s v="RESULTADO DE LA EXPLOTACION"/>
    <x v="8"/>
    <s v="(627) Publicidad"/>
    <s v="627000008 - MARKETING"/>
    <s v="-"/>
    <n v="-18917.14"/>
    <n v="-23023.56"/>
    <n v="-22017.24"/>
    <n v="-24763.22"/>
    <n v="-19481.53"/>
    <n v="-13915.06"/>
    <n v="-11924.56"/>
    <n v="-5039.7"/>
    <n v="-14305.34"/>
    <n v="-9885.370000000001"/>
    <n v="-21390.88"/>
    <n v="-11636.39"/>
    <n v="-196299.99"/>
  </r>
  <r>
    <x v="0"/>
    <s v="Codiagro"/>
    <s v="RESULTADO DEL EJERCICIO"/>
    <s v="RESULTADO ANTES DE IMPUESTOS"/>
    <s v="RESULTADO DE LA EXPLOTACION"/>
    <x v="8"/>
    <s v="(627) Publicidad"/>
    <s v="627000009 - ARTICULOS PUBLICIDAD"/>
    <s v="-"/>
    <n v="-999.5700000000001"/>
    <n v="-1216.55"/>
    <n v="-1163.38"/>
    <n v="-1308.48"/>
    <n v="-1029.39"/>
    <n v="-735.27"/>
    <n v="-630.09"/>
    <n v="-266.3"/>
    <n v="-755.89"/>
    <n v="-522.34"/>
    <n v="-1130.28"/>
    <n v="-614.86"/>
    <n v="-10372.4"/>
  </r>
  <r>
    <x v="0"/>
    <s v="Codiagro"/>
    <s v="RESULTADO DEL EJERCICIO"/>
    <s v="RESULTADO ANTES DE IMPUESTOS"/>
    <s v="RESULTADO DE LA EXPLOTACION"/>
    <x v="8"/>
    <s v="(627) Publicidad"/>
    <s v="627000010 - RELACIONES PUBLICAS TEC.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8) Suministros"/>
    <s v="628000001 - SUMINISTROS INFORMATICOS"/>
    <s v="-"/>
    <n v="-489"/>
    <n v="-489"/>
    <n v="-489"/>
    <n v="-489"/>
    <n v="-489"/>
    <n v="-489"/>
    <n v="-489"/>
    <n v="-489"/>
    <n v="-489"/>
    <n v="-489"/>
    <n v="-489"/>
    <n v="-489"/>
    <n v="-5868"/>
  </r>
  <r>
    <x v="0"/>
    <s v="Codiagro"/>
    <s v="RESULTADO DEL EJERCICIO"/>
    <s v="RESULTADO ANTES DE IMPUESTOS"/>
    <s v="RESULTADO DE LA EXPLOTACION"/>
    <x v="8"/>
    <s v="(628) Suministros"/>
    <s v="628000002 - SUMINISTROS ELECTRICIDAD"/>
    <s v="-"/>
    <n v="-3500"/>
    <n v="-4200"/>
    <n v="-4200"/>
    <n v="-4200"/>
    <n v="-4200"/>
    <n v="-4200"/>
    <n v="-4200"/>
    <n v="-3500"/>
    <n v="-3500"/>
    <n v="-3500"/>
    <n v="-4200"/>
    <n v="-4200"/>
    <n v="-47600"/>
  </r>
  <r>
    <x v="0"/>
    <s v="Codiagro"/>
    <s v="RESULTADO DEL EJERCICIO"/>
    <s v="RESULTADO ANTES DE IMPUESTOS"/>
    <s v="RESULTADO DE LA EXPLOTACION"/>
    <x v="8"/>
    <s v="(628) Suministros"/>
    <s v="628000003 - SUMINISTROS AGUA"/>
    <s v="-"/>
    <n v="-1435.94"/>
    <n v="-1435.94"/>
    <n v="-1435.94"/>
    <n v="-1435.94"/>
    <n v="-1435.94"/>
    <n v="-1435.94"/>
    <n v="-1435.94"/>
    <n v="-1435.94"/>
    <n v="-1435.94"/>
    <n v="-1435.94"/>
    <n v="-1435.94"/>
    <n v="-1435.94"/>
    <n v="-17231.28"/>
  </r>
  <r>
    <x v="0"/>
    <s v="Codiagro"/>
    <s v="RESULTADO DEL EJERCICIO"/>
    <s v="RESULTADO ANTES DE IMPUESTOS"/>
    <s v="RESULTADO DE LA EXPLOTACION"/>
    <x v="8"/>
    <s v="(628) Suministros"/>
    <s v="628000004 - SUMINISTROS TELEFONIA E INTERNET"/>
    <s v="-"/>
    <n v="-800"/>
    <n v="-800"/>
    <n v="-250"/>
    <n v="-250"/>
    <n v="-250"/>
    <n v="-250"/>
    <n v="-250"/>
    <n v="-250"/>
    <n v="-250"/>
    <n v="-250"/>
    <n v="-800"/>
    <n v="-800"/>
    <n v="-5200"/>
  </r>
  <r>
    <x v="0"/>
    <s v="Codiagro"/>
    <s v="RESULTADO DEL EJERCICIO"/>
    <s v="RESULTADO ANTES DE IMPUESTOS"/>
    <s v="RESULTADO DE LA EXPLOTACION"/>
    <x v="8"/>
    <s v="(628) Suministros"/>
    <s v="628000005 - SUMINISTROS GASOLEO"/>
    <s v="-"/>
    <n v="-1693.78"/>
    <n v="-1693.78"/>
    <n v="-1693.78"/>
    <n v="-1693.78"/>
    <n v="-1693.78"/>
    <n v="-1693.78"/>
    <n v="-1693.78"/>
    <n v="-1693.78"/>
    <n v="-1693.78"/>
    <n v="-1693.78"/>
    <n v="-1693.78"/>
    <n v="-1693.78"/>
    <n v="-20325.36"/>
  </r>
  <r>
    <x v="0"/>
    <s v="Codiagro"/>
    <s v="RESULTADO DEL EJERCICIO"/>
    <s v="RESULTADO ANTES DE IMPUESTOS"/>
    <s v="RESULTADO DE LA EXPLOTACION"/>
    <x v="8"/>
    <s v="(629) Otros servicios"/>
    <s v="629000001 - HOSPEDAJE WEB"/>
    <s v="-"/>
    <n v="-213"/>
    <n v="-213"/>
    <n v="-213"/>
    <n v="-213"/>
    <n v="-213"/>
    <n v="-213"/>
    <n v="-213"/>
    <n v="-213"/>
    <n v="-213"/>
    <n v="-213"/>
    <n v="-213"/>
    <n v="-213"/>
    <n v="-2556"/>
  </r>
  <r>
    <x v="0"/>
    <s v="Codiagro"/>
    <s v="RESULTADO DEL EJERCICIO"/>
    <s v="RESULTADO ANTES DE IMPUESTOS"/>
    <s v="RESULTADO DE LA EXPLOTACION"/>
    <x v="8"/>
    <s v="(629) Otros servicios"/>
    <s v="629000002 - OTROS GASTOS"/>
    <s v="-"/>
    <n v="-7550"/>
    <n v="0"/>
    <n v="0"/>
    <n v="0"/>
    <n v="0"/>
    <n v="0"/>
    <n v="-515"/>
    <n v="0"/>
    <n v="-8625"/>
    <n v="0"/>
    <n v="0"/>
    <n v="-8625"/>
    <n v="-25315"/>
  </r>
  <r>
    <x v="0"/>
    <s v="Codiagro"/>
    <s v="RESULTADO DEL EJERCICIO"/>
    <s v="RESULTADO ANTES DE IMPUESTOS"/>
    <s v="RESULTADO DE LA EXPLOTACION"/>
    <x v="8"/>
    <s v="(629) Otros servicios"/>
    <s v="629000003 - SUSCRIPCIONES A REVISTAS Y PERIODICOS"/>
    <s v="-"/>
    <n v="-460.58"/>
    <n v="-460.58"/>
    <n v="-460.58"/>
    <n v="-460.58"/>
    <n v="-460.58"/>
    <n v="-460.58"/>
    <n v="-460.58"/>
    <n v="-460.58"/>
    <n v="-460.58"/>
    <n v="-460.58"/>
    <n v="-460.58"/>
    <n v="-460.58"/>
    <n v="-5526.96"/>
  </r>
  <r>
    <x v="0"/>
    <s v="Codiagro"/>
    <s v="RESULTADO DEL EJERCICIO"/>
    <s v="RESULTADO ANTES DE IMPUESTOS"/>
    <s v="RESULTADO DE LA EXPLOTACION"/>
    <x v="8"/>
    <s v="(629) Otros servicios"/>
    <s v="629000004 - GTOS. SERV. VIGILANCIA"/>
    <s v="-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74.98999999999999"/>
    <n v="-899.88"/>
  </r>
  <r>
    <x v="0"/>
    <s v="Codiagro"/>
    <s v="RESULTADO DEL EJERCICIO"/>
    <s v="RESULTADO ANTES DE IMPUESTOS"/>
    <s v="RESULTADO DE LA EXPLOTACION"/>
    <x v="8"/>
    <s v="(629) Otros servicios"/>
    <s v="629000005 - GTOS. ANALISIS LABORATORIOS"/>
    <s v="-"/>
    <n v="-550"/>
    <n v="-550"/>
    <n v="-550"/>
    <n v="-550"/>
    <n v="-550"/>
    <n v="-550"/>
    <n v="-550"/>
    <n v="-550"/>
    <n v="-550"/>
    <n v="-550"/>
    <n v="-550"/>
    <n v="-550"/>
    <n v="-6600"/>
  </r>
  <r>
    <x v="0"/>
    <s v="Codiagro"/>
    <s v="RESULTADO DEL EJERCICIO"/>
    <s v="RESULTADO ANTES DE IMPUESTOS"/>
    <s v="RESULTADO DE LA EXPLOTACION"/>
    <x v="8"/>
    <s v="(629) Otros servicios"/>
    <s v="629000006 - GASTOS CORREOS"/>
    <s v="-"/>
    <n v="-96"/>
    <n v="-96"/>
    <n v="-96"/>
    <n v="-96"/>
    <n v="-96"/>
    <n v="-96"/>
    <n v="-96"/>
    <n v="-96"/>
    <n v="-96"/>
    <n v="-96"/>
    <n v="-96"/>
    <n v="-96"/>
    <n v="-1152"/>
  </r>
  <r>
    <x v="0"/>
    <s v="Codiagro"/>
    <s v="RESULTADO DEL EJERCICIO"/>
    <s v="RESULTADO ANTES DE IMPUESTOS"/>
    <s v="RESULTADO DE LA EXPLOTACION"/>
    <x v="8"/>
    <s v="(629) Otros servicios"/>
    <s v="629000007 - GASTOS RETIRADA DE RESIDUOS"/>
    <s v="-"/>
    <n v="-6200"/>
    <n v="-6200"/>
    <n v="-6200"/>
    <n v="-6200"/>
    <n v="-6200"/>
    <n v="-6200"/>
    <n v="-6200"/>
    <n v="-6200"/>
    <n v="-6200"/>
    <n v="-6200"/>
    <n v="-6200"/>
    <n v="-6200"/>
    <n v="-74400"/>
  </r>
  <r>
    <x v="0"/>
    <s v="Codiagro"/>
    <s v="RESULTADO DEL EJERCICIO"/>
    <s v="RESULTADO ANTES DE IMPUESTOS"/>
    <s v="RESULTADO DE LA EXPLOTACION"/>
    <x v="8"/>
    <s v="(629) Otros servicios"/>
    <s v="629000008 - CUOTAS ASOCIACIONES"/>
    <s v="-"/>
    <n v="-600"/>
    <n v="0"/>
    <n v="0"/>
    <n v="-600"/>
    <n v="0"/>
    <n v="0"/>
    <n v="-600"/>
    <n v="0"/>
    <n v="0"/>
    <n v="0"/>
    <n v="-600"/>
    <n v="0"/>
    <n v="-2400"/>
  </r>
  <r>
    <x v="0"/>
    <s v="Codiagro"/>
    <s v="RESULTADO DEL EJERCICIO"/>
    <s v="RESULTADO ANTES DE IMPUESTOS"/>
    <s v="RESULTADO DE LA EXPLOTACION"/>
    <x v="8"/>
    <s v="(629) Otros servicios"/>
    <s v="629000009 - SANCIONES Y MULTAS"/>
    <s v="-"/>
    <n v="-90"/>
    <n v="-90"/>
    <n v="-90"/>
    <n v="-90"/>
    <n v="-90"/>
    <n v="-90"/>
    <n v="-90"/>
    <n v="-90"/>
    <n v="-90"/>
    <n v="-90"/>
    <n v="-90"/>
    <n v="-90"/>
    <n v="-1080"/>
  </r>
  <r>
    <x v="0"/>
    <s v="Codiagro"/>
    <s v="RESULTADO DEL EJERCICIO"/>
    <s v="RESULTADO ANTES DE IMPUESTOS"/>
    <s v="RESULTADO DE LA EXPLOTACION"/>
    <x v="8"/>
    <s v="(629) Otros servicios"/>
    <s v="629000010 - GASTOS COMERCIALES"/>
    <s v="-"/>
    <n v="-819.53"/>
    <n v="-819.53"/>
    <n v="-819.53"/>
    <n v="-819.53"/>
    <n v="-819.53"/>
    <n v="-819.53"/>
    <n v="-819.53"/>
    <n v="-819.53"/>
    <n v="-819.53"/>
    <n v="-819.53"/>
    <n v="-819.53"/>
    <n v="-819.53"/>
    <n v="-9834.360000000001"/>
  </r>
  <r>
    <x v="0"/>
    <s v="Codiagro"/>
    <s v="RESULTADO DEL EJERCICIO"/>
    <s v="RESULTADO ANTES DE IMPUESTOS"/>
    <s v="RESULTADO DE LA EXPLOTACION"/>
    <x v="8"/>
    <s v="(629) Otros servicios"/>
    <s v="629000011 - EPIS PERSONAL"/>
    <s v="-"/>
    <n v="-295.08"/>
    <n v="-295.08"/>
    <n v="-295.08"/>
    <n v="-295.08"/>
    <n v="-295.08"/>
    <n v="-295.08"/>
    <n v="-295.08"/>
    <n v="-295.08"/>
    <n v="-295.08"/>
    <n v="-295.08"/>
    <n v="-295.08"/>
    <n v="-295.08"/>
    <n v="-3540.96"/>
  </r>
  <r>
    <x v="0"/>
    <s v="Codiagro"/>
    <s v="RESULTADO DEL EJERCICIO"/>
    <s v="RESULTADO ANTES DE IMPUESTOS"/>
    <s v="RESULTADO DE LA EXPLOTACION"/>
    <x v="8"/>
    <s v="(629) Otros servicios"/>
    <s v="629000012 - GASTOS VARIOS PERSONAL"/>
    <s v="-"/>
    <n v="-1326.15"/>
    <n v="-1326.15"/>
    <n v="-1326.15"/>
    <n v="-1326.15"/>
    <n v="-1326.15"/>
    <n v="-1326.15"/>
    <n v="-1326.15"/>
    <n v="-1326.15"/>
    <n v="-1326.15"/>
    <n v="-1326.15"/>
    <n v="-1326.15"/>
    <n v="-1326.15"/>
    <n v="-15913.8"/>
  </r>
  <r>
    <x v="0"/>
    <s v="Codiagro"/>
    <s v="RESULTADO DEL EJERCICIO"/>
    <s v="RESULTADO ANTES DE IMPUESTOS"/>
    <s v="RESULTADO DE LA EXPLOTACION"/>
    <x v="8"/>
    <s v="(629) Otros servicios"/>
    <s v="629000013 - FORMACION NO BONIFICADA"/>
    <s v="-"/>
    <n v="-1846.33"/>
    <n v="-1846.33"/>
    <n v="-1846.33"/>
    <n v="-1846.33"/>
    <n v="-1846.33"/>
    <n v="-1846.33"/>
    <n v="-1846.33"/>
    <n v="-1846.33"/>
    <n v="-1846.33"/>
    <n v="-1846.33"/>
    <n v="-1846.33"/>
    <n v="-1846.33"/>
    <n v="-22155.96000000001"/>
  </r>
  <r>
    <x v="0"/>
    <s v="Codiagro"/>
    <s v="RESULTADO DEL EJERCICIO"/>
    <s v="RESULTADO ANTES DE IMPUESTOS"/>
    <s v="RESULTADO DE LA EXPLOTACION"/>
    <x v="8"/>
    <s v="(629) Otros servicios"/>
    <s v="629000014 - ROPA LABORAL"/>
    <s v="-"/>
    <n v="-263.4"/>
    <n v="-263.4"/>
    <n v="-263.4"/>
    <n v="-263.4"/>
    <n v="-263.4"/>
    <n v="-263.4"/>
    <n v="-263.4"/>
    <n v="-263.4"/>
    <n v="-263.4"/>
    <n v="-263.4"/>
    <n v="-263.4"/>
    <n v="-263.4"/>
    <n v="-3160.800000000001"/>
  </r>
  <r>
    <x v="0"/>
    <s v="Codiagro"/>
    <s v="RESULTADO DEL EJERCICIO"/>
    <s v="RESULTADO ANTES DE IMPUESTOS"/>
    <s v="RESULTADO DE LA EXPLOTACION"/>
    <x v="8"/>
    <s v="(629) Otros servicios"/>
    <s v="629000015 MATERIAL DE OFICINA"/>
    <s v="-"/>
    <n v="-156.84"/>
    <n v="-156.84"/>
    <n v="-156.84"/>
    <n v="-156.84"/>
    <n v="-156.84"/>
    <n v="-156.84"/>
    <n v="-156.84"/>
    <n v="-156.84"/>
    <n v="-156.84"/>
    <n v="-156.84"/>
    <n v="-156.84"/>
    <n v="-156.84"/>
    <n v="-1882.08"/>
  </r>
  <r>
    <x v="0"/>
    <s v="Codiagro"/>
    <s v="RESULTADO DEL EJERCICIO"/>
    <s v="RESULTADO ANTES DE IMPUESTOS"/>
    <s v="RESULTADO DE LA EXPLOTACION"/>
    <x v="8"/>
    <s v="(629) Otros servicios"/>
    <s v="629000016 HERRAMIENTAS"/>
    <s v="-"/>
    <n v="-500.03"/>
    <n v="-500.03"/>
    <n v="-500.03"/>
    <n v="-500.03"/>
    <n v="-500.03"/>
    <n v="-500.03"/>
    <n v="-500.03"/>
    <n v="-500.03"/>
    <n v="-500.03"/>
    <n v="-500.03"/>
    <n v="-500.03"/>
    <n v="-500.03"/>
    <n v="-6000.359999999998"/>
  </r>
  <r>
    <x v="0"/>
    <s v="Codiagro"/>
    <s v="RESULTADO DEL EJERCICIO"/>
    <s v="RESULTADO ANTES DE IMPUESTOS"/>
    <s v="RESULTADO DE LA EXPLOTACION"/>
    <x v="8"/>
    <s v="(629) Otros servicios"/>
    <s v="629100001 - GASTOS COMERCIALES PERE PORTA"/>
    <s v="-"/>
    <n v="-3200"/>
    <n v="-3200"/>
    <n v="-3200"/>
    <n v="-3200"/>
    <n v="-3200"/>
    <n v="-3200"/>
    <n v="-3200"/>
    <n v="-3200"/>
    <n v="-3200"/>
    <n v="-3200"/>
    <n v="-3200"/>
    <n v="-3200"/>
    <n v="-38400"/>
  </r>
  <r>
    <x v="0"/>
    <s v="Codiagro"/>
    <s v="RESULTADO DEL EJERCICIO"/>
    <s v="RESULTADO ANTES DE IMPUESTOS"/>
    <s v="RESULTADO DE LA EXPLOTACION"/>
    <x v="8"/>
    <s v="(629) Otros servicios"/>
    <s v="629100002 - GASTOS RICARDO PEREZ-SANTAMARINA"/>
    <s v="-"/>
    <n v="-2300"/>
    <n v="-2300"/>
    <n v="-2300"/>
    <n v="-2300"/>
    <n v="-2300"/>
    <n v="-2300"/>
    <n v="-2300"/>
    <n v="-2300"/>
    <n v="-2300"/>
    <n v="-2300"/>
    <n v="-2300"/>
    <n v="-2300"/>
    <n v="-27600"/>
  </r>
  <r>
    <x v="0"/>
    <s v="Codiagro"/>
    <s v="RESULTADO DEL EJERCICIO"/>
    <s v="RESULTADO ANTES DE IMPUESTOS"/>
    <s v="RESULTADO DE LA EXPLOTACION"/>
    <x v="8"/>
    <s v="(629) Otros servicios"/>
    <s v="629100003 - GASTOS JAVIER PAREDES"/>
    <s v="-"/>
    <n v="-1092.45"/>
    <n v="-1092.45"/>
    <n v="-1092.45"/>
    <n v="-1092.45"/>
    <n v="-1092.45"/>
    <n v="-1092.45"/>
    <n v="-1092.45"/>
    <n v="-1092.45"/>
    <n v="-1092.45"/>
    <n v="-1092.45"/>
    <n v="-1092.45"/>
    <n v="-1092.45"/>
    <n v="-13109.4"/>
  </r>
  <r>
    <x v="0"/>
    <s v="Codiagro"/>
    <s v="RESULTADO DEL EJERCICIO"/>
    <s v="RESULTADO ANTES DE IMPUESTOS"/>
    <s v="RESULTADO DE LA EXPLOTACION"/>
    <x v="8"/>
    <s v="(629) Otros servicios"/>
    <s v="629100004 - GASTOS GARCIA"/>
    <s v="-"/>
    <n v="-800.04"/>
    <n v="-800.04"/>
    <n v="-800.04"/>
    <n v="-800.04"/>
    <n v="-800.04"/>
    <n v="-800.04"/>
    <n v="-800.04"/>
    <n v="-800.04"/>
    <n v="-800.04"/>
    <n v="-800.04"/>
    <n v="-800.04"/>
    <n v="-800.04"/>
    <n v="-9600.48"/>
  </r>
  <r>
    <x v="0"/>
    <s v="Codiagro"/>
    <s v="RESULTADO DEL EJERCICIO"/>
    <s v="RESULTADO ANTES DE IMPUESTOS"/>
    <s v="RESULTADO DE LA EXPLOTACION"/>
    <x v="8"/>
    <s v="(629) Otros servicios"/>
    <s v="629100005 - GASTOS IRENE"/>
    <s v="-"/>
    <n v="-422.84"/>
    <n v="-422.84"/>
    <n v="-422.84"/>
    <n v="-422.84"/>
    <n v="-422.84"/>
    <n v="-422.84"/>
    <n v="-422.84"/>
    <n v="-422.84"/>
    <n v="-422.84"/>
    <n v="-422.84"/>
    <n v="-422.84"/>
    <n v="-422.84"/>
    <n v="-5074.080000000001"/>
  </r>
  <r>
    <x v="0"/>
    <s v="Codiagro"/>
    <s v="RESULTADO DEL EJERCICIO"/>
    <s v="RESULTADO ANTES DE IMPUESTOS"/>
    <s v="RESULTADO DE LA EXPLOTACION"/>
    <x v="8"/>
    <s v="(629) Otros servicios"/>
    <s v="629100006 - GASTOS ANTONIO ANDREU"/>
    <s v="-"/>
    <n v="-202.44"/>
    <n v="-202.44"/>
    <n v="-202.44"/>
    <n v="-202.44"/>
    <n v="-202.44"/>
    <n v="-202.44"/>
    <n v="-202.44"/>
    <n v="-202.44"/>
    <n v="-202.44"/>
    <n v="-202.44"/>
    <n v="-202.44"/>
    <n v="-202.44"/>
    <n v="-2429.28"/>
  </r>
  <r>
    <x v="0"/>
    <s v="Codiagro"/>
    <s v="RESULTADO DEL EJERCICIO"/>
    <s v="RESULTADO ANTES DE IMPUESTOS"/>
    <s v="RESULTADO DE LA EXPLOTACION"/>
    <x v="8"/>
    <s v="(629) Otros servicios"/>
    <s v="629100007 - GASTOS CURRO"/>
    <s v="-"/>
    <n v="-91.05"/>
    <n v="-91.05"/>
    <n v="-91.05"/>
    <n v="-91.05"/>
    <n v="-91.05"/>
    <n v="-91.05"/>
    <n v="-91.05"/>
    <n v="-91.05"/>
    <n v="-91.05"/>
    <n v="-91.05"/>
    <n v="-91.05"/>
    <n v="-91.05"/>
    <n v="-1092.6"/>
  </r>
  <r>
    <x v="0"/>
    <s v="Codiagro"/>
    <s v="RESULTADO DEL EJERCICIO"/>
    <s v="RESULTADO ANTES DE IMPUESTOS"/>
    <s v="RESULTADO DE LA EXPLOTACION"/>
    <x v="8"/>
    <s v="(629) Otros servicios"/>
    <s v="629100008 GASTOS PEDRO MEDINA"/>
    <s v="-"/>
    <n v="-141.14"/>
    <n v="-141.14"/>
    <n v="-141.14"/>
    <n v="-141.14"/>
    <n v="-141.14"/>
    <n v="-141.14"/>
    <n v="-141.14"/>
    <n v="-141.14"/>
    <n v="-141.14"/>
    <n v="-141.14"/>
    <n v="-141.14"/>
    <n v="-141.14"/>
    <n v="-1693.679999999999"/>
  </r>
  <r>
    <x v="0"/>
    <s v="Codiagro"/>
    <s v="RESULTADO DEL EJERCICIO"/>
    <s v="RESULTADO ANTES DE IMPUESTOS"/>
    <s v="RESULTADO DE LA EXPLOTACION"/>
    <x v="8"/>
    <s v="(631) Otros tributos"/>
    <s v="631000001 - IMPUESTOS VEHÍCULOS"/>
    <s v="-"/>
    <n v="-156.06"/>
    <n v="-156.06"/>
    <n v="-156.06"/>
    <n v="-156.06"/>
    <n v="-156.06"/>
    <n v="-156.06"/>
    <n v="-156.06"/>
    <n v="-156.06"/>
    <n v="-156.06"/>
    <n v="-156.06"/>
    <n v="-156.06"/>
    <n v="-156.06"/>
    <n v="-1872.72"/>
  </r>
  <r>
    <x v="0"/>
    <s v="Codiagro"/>
    <s v="RESULTADO DEL EJERCICIO"/>
    <s v="RESULTADO ANTES DE IMPUESTOS"/>
    <s v="RESULTADO DE LA EXPLOTACION"/>
    <x v="8"/>
    <s v="(631) Otros tributos"/>
    <s v="631000002 - TASAS"/>
    <s v="-"/>
    <n v="0"/>
    <n v="0"/>
    <n v="0"/>
    <n v="0"/>
    <n v="-581.49"/>
    <n v="0"/>
    <n v="0"/>
    <n v="0"/>
    <n v="0"/>
    <n v="0"/>
    <n v="0"/>
    <n v="0"/>
    <n v="-581.49"/>
  </r>
  <r>
    <x v="0"/>
    <s v="Codiagro"/>
    <s v="RESULTADO DEL EJERCICIO"/>
    <s v="RESULTADO ANTES DE IMPUESTOS"/>
    <s v="RESULTADO DE LA EXPLOTACION"/>
    <x v="8"/>
    <s v="(631) Otros tributos"/>
    <s v="631000004 IBIB"/>
    <s v="-"/>
    <n v="-616.38"/>
    <n v="-616.38"/>
    <n v="-616.38"/>
    <n v="-616.38"/>
    <n v="-616.38"/>
    <n v="-616.38"/>
    <n v="-616.38"/>
    <n v="-616.38"/>
    <n v="-616.38"/>
    <n v="-616.38"/>
    <n v="-616.38"/>
    <n v="-616.38"/>
    <n v="-7396.56"/>
  </r>
  <r>
    <x v="0"/>
    <s v="Codiagro"/>
    <s v="RESULTADO DEL EJERCICIO"/>
    <s v="RESULTADO ANTES DE IMPUESTOS"/>
    <s v="RESULTADO DE LA EXPLOTACION"/>
    <x v="8"/>
    <s v="(631) Otros tributos"/>
    <s v="631000006 - IMPUESTO PLASTICO NO RECICLADO"/>
    <s v="-"/>
    <n v="-2516.21"/>
    <n v="-4075.81"/>
    <n v="-3909.7"/>
    <n v="-3147.65"/>
    <n v="-5167.87"/>
    <n v="-5124.86"/>
    <n v="-3251.56"/>
    <n v="-2075.09"/>
    <n v="-1205.37"/>
    <n v="-2015.85"/>
    <n v="-3116.01"/>
    <n v="-3417.97"/>
    <n v="-39023.95"/>
  </r>
  <r>
    <x v="0"/>
    <s v="Codiagro"/>
    <s v="RESULTADO DEL EJERCICIO"/>
    <s v="RESULTADO ANTES DE IMPUESTOS"/>
    <s v="RESULTADO DE LA EXPLOTACION"/>
    <x v="8"/>
    <s v="(634) Ajustes negativos en la imposición indirecta"/>
    <s v="634100000 - Ajustes negat. IVA circula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94) Pérdidas por op. Comerciales"/>
    <s v="694000000 - Pérdidas deterioro de créditos por op.comer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9"/>
    <s v="(681) Amortización del inmovilizado material"/>
    <s v="681100000 - Amortización de construcciones"/>
    <s v="-"/>
    <n v="-3154.35"/>
    <n v="-3154.35"/>
    <n v="-3154.35"/>
    <n v="-3154.35"/>
    <n v="-3154.35"/>
    <n v="-3154.35"/>
    <n v="-3154.35"/>
    <n v="-3154.35"/>
    <n v="-3154.35"/>
    <n v="-3154.35"/>
    <n v="-3154.35"/>
    <n v="-3154.35"/>
    <n v="-37852.19999999999"/>
  </r>
  <r>
    <x v="0"/>
    <s v="Codiagro"/>
    <s v="RESULTADO DEL EJERCICIO"/>
    <s v="RESULTADO ANTES DE IMPUESTOS"/>
    <s v="RESULTADO DE LA EXPLOTACION"/>
    <x v="9"/>
    <s v="(681) Amortización del inmovilizado material"/>
    <s v="681200000 - Amortización de instalaciones técnicas"/>
    <s v="-"/>
    <n v="-5772"/>
    <n v="-5772"/>
    <n v="-5772"/>
    <n v="-5772"/>
    <n v="-5772"/>
    <n v="-5772"/>
    <n v="-5772"/>
    <n v="-5772"/>
    <n v="-5772"/>
    <n v="-5772"/>
    <n v="-5772"/>
    <n v="-5772"/>
    <n v="-69264"/>
  </r>
  <r>
    <x v="0"/>
    <s v="Codiagro"/>
    <s v="RESULTADO DEL EJERCICIO"/>
    <s v="RESULTADO ANTES DE IMPUESTOS"/>
    <s v="RESULTADO DE LA EXPLOTACION"/>
    <x v="9"/>
    <s v="(681) Amortización del inmovilizado material"/>
    <s v="681300000 - Amortización de maquinaria"/>
    <s v="-"/>
    <n v="-6419"/>
    <n v="-6419"/>
    <n v="-6419"/>
    <n v="-6419"/>
    <n v="-6419"/>
    <n v="-6419"/>
    <n v="-6419"/>
    <n v="-6419"/>
    <n v="-6419"/>
    <n v="-6419"/>
    <n v="-6419"/>
    <n v="-6419"/>
    <n v="-77028"/>
  </r>
  <r>
    <x v="0"/>
    <s v="Codiagro"/>
    <s v="RESULTADO DEL EJERCICIO"/>
    <s v="RESULTADO ANTES DE IMPUESTOS"/>
    <s v="RESULTADO DE LA EXPLOTACION"/>
    <x v="9"/>
    <s v="(681) Amortización del inmovilizado material"/>
    <s v="681500000 - Amortización de otras instalaciones"/>
    <s v="-"/>
    <n v="-1642"/>
    <n v="-1642"/>
    <n v="-1642"/>
    <n v="-1642"/>
    <n v="-1642"/>
    <n v="-1642"/>
    <n v="-1642"/>
    <n v="-1642"/>
    <n v="-1642"/>
    <n v="-1642"/>
    <n v="-1642"/>
    <n v="-1642"/>
    <n v="-19704"/>
  </r>
  <r>
    <x v="0"/>
    <s v="Codiagro"/>
    <s v="RESULTADO DEL EJERCICIO"/>
    <s v="RESULTADO ANTES DE IMPUESTOS"/>
    <s v="RESULTADO DE LA EXPLOTACION"/>
    <x v="9"/>
    <s v="(681) Amortización del inmovilizado material"/>
    <s v="681600000 - Amortización de mobiliario"/>
    <s v="-"/>
    <n v="-1337"/>
    <n v="-1337"/>
    <n v="-1337"/>
    <n v="-1337"/>
    <n v="-1337"/>
    <n v="-1337"/>
    <n v="-1337"/>
    <n v="-1337"/>
    <n v="-1337"/>
    <n v="-1337"/>
    <n v="-1337"/>
    <n v="-1337"/>
    <n v="-16044"/>
  </r>
  <r>
    <x v="0"/>
    <s v="Codiagro"/>
    <s v="RESULTADO DEL EJERCICIO"/>
    <s v="RESULTADO ANTES DE IMPUESTOS"/>
    <s v="RESULTADO DE LA EXPLOTACION"/>
    <x v="9"/>
    <s v="(681) Amortización del inmovilizado material"/>
    <s v="681700000 - Amortización de equipos para procesos de informac."/>
    <s v="-"/>
    <n v="-856"/>
    <n v="-856"/>
    <n v="-856"/>
    <n v="-856"/>
    <n v="-856"/>
    <n v="-856"/>
    <n v="-856"/>
    <n v="-856"/>
    <n v="-856"/>
    <n v="-856"/>
    <n v="-856"/>
    <n v="-856"/>
    <n v="-10272"/>
  </r>
  <r>
    <x v="0"/>
    <s v="Codiagro"/>
    <s v="RESULTADO DEL EJERCICIO"/>
    <s v="RESULTADO ANTES DE IMPUESTOS"/>
    <s v="RESULTADO DE LA EXPLOTACION"/>
    <x v="9"/>
    <s v="(681) Amortización del inmovilizado material"/>
    <s v="681800000 - Amortización de elementos de transporte"/>
    <s v="-"/>
    <n v="-45"/>
    <n v="-45"/>
    <n v="-45"/>
    <n v="-45"/>
    <n v="-45"/>
    <n v="-45"/>
    <n v="-45"/>
    <n v="-45"/>
    <n v="-45"/>
    <n v="-45"/>
    <n v="-45"/>
    <n v="-45"/>
    <n v="-540"/>
  </r>
  <r>
    <x v="0"/>
    <s v="Codiagro"/>
    <s v="RESULTADO DEL EJERCICIO"/>
    <s v="RESULTADO ANTES DE IMPUESTOS"/>
    <s v="RESULTADO FINANCIERO"/>
    <x v="10"/>
    <s v="(706) Dto. s/vtas p.p."/>
    <s v="706000001 - DESCUENTO POR PRONTO PAGO DEFINITIVO"/>
    <s v="-"/>
    <n v="-30880.78"/>
    <n v="-50021.31"/>
    <n v="-47982.62"/>
    <n v="-38630.3"/>
    <n v="-63423.85"/>
    <n v="-62896.06"/>
    <n v="-39905.52"/>
    <n v="-25466.97"/>
    <n v="-14793.2"/>
    <n v="-24740.02"/>
    <n v="-38241.9"/>
    <n v="-41947.79"/>
    <n v="-478930.3200000001"/>
  </r>
  <r>
    <x v="0"/>
    <s v="Codiagro"/>
    <s v="RESULTADO DEL EJERCICIO"/>
    <s v="RESULTADO ANTES DE IMPUESTOS"/>
    <s v="RESULTADO FINANCIERO"/>
    <x v="10"/>
    <s v="(665) Intereses por descuento de efectos y operaciones de &quot;factoring&quot;"/>
    <s v="665700015 - INTERESES PAGO FINANCIADO POR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2) Intereses de deudas con entidades de crédito"/>
    <s v="662310005 - INTERESES PRESTAMO CAIX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2 - OTROS GTOS. DTO. EFECTOS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7 - OTROS GTOS. DTO.EFECTOS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2 - OTROS GTOS. FINAN.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5 - OTROS GTOS. FINAN. C.RURAL 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7 - OTROS GTOS. FINAN. BBVA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2 - GTOS. COBRO EXPORT B.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7 - GTOS. COBRO EXPORT.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1"/>
    <s v="(768) Diferencias positivas de cambio"/>
    <s v="768000000 - Diferencias positivas de camb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709) Publicidad"/>
    <s v="709001500 - RAPPEL BONIFICACIONES POR PMK DEFINITIV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69) Otros ingresos financieros"/>
    <s v="769000000 - Otros ingresos financieros"/>
    <s v="-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1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 sin Ajustar">
  <location ref="B3:O16" firstHeaderRow="0" firstDataRow="1" firstDataCol="1" rowPageCount="1" colPageCount="1"/>
  <pivotFields count="22">
    <pivotField axis="axisPage" multipleItemSelectionAllowed="1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5"/>
        <item x="6"/>
        <item x="7"/>
        <item x="1"/>
        <item x="8"/>
        <item x="3"/>
        <item x="9"/>
        <item x="4"/>
        <item x="10"/>
        <item x="11"/>
        <item x="2"/>
        <item t="default"/>
      </items>
    </pivotField>
    <pivotField showAll="0"/>
    <pivotField showAll="0"/>
    <pivotField showAll="0"/>
    <pivotField dataField="1" numFmtId="4" showAll="0"/>
    <pivotField dataField="1" numFmtId="4" showAll="0"/>
    <pivotField dataField="1" numFmtId="4" showAll="0"/>
    <pivotField dataField="1" numFmtId="4" showAll="0"/>
    <pivotField dataField="1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ene-27 " fld="9" baseField="0" baseItem="0" numFmtId="4"/>
    <dataField name="feb-27 " fld="10" baseField="0" baseItem="0" numFmtId="4"/>
    <dataField name="mar-27 " fld="11" baseField="0" baseItem="0" numFmtId="4"/>
    <dataField name="abr-27 " fld="12" baseField="0" baseItem="0" numFmtId="4"/>
    <dataField name="may-27 " fld="13" baseField="0" baseItem="0"/>
    <dataField name="jun-27 " fld="14" baseField="0" baseItem="0" numFmtId="4"/>
    <dataField name="jul-27 " fld="15" baseField="0" baseItem="0" numFmtId="4"/>
    <dataField name="ago-27 " fld="16" baseField="0" baseItem="0" numFmtId="4"/>
    <dataField name="sep-27 " fld="17" baseField="0" baseItem="0" numFmtId="4"/>
    <dataField name="oct-27 " fld="18" baseField="0" baseItem="0" numFmtId="4"/>
    <dataField name="nov-27 " fld="19" baseField="0" baseItem="0" numFmtId="4"/>
    <dataField name="dic-27 " fld="20" baseField="0" baseItem="0" numFmtId="4"/>
    <dataField name="Total 2027 " fld="21" baseField="0" baseItem="0" numFmtId="4"/>
  </dataFields>
  <formats count="3">
    <format dxfId="2">
      <pivotArea outline="0" collapsedLevelsAreSubtotals="1" fieldPosition="0"/>
    </format>
    <format dxfId="1">
      <pivotArea dataOnly="0" labelOnly="1" outline="0" fieldPosition="0">
        <references count="1">
          <reference field="0" count="1">
            <x v="0"/>
          </reference>
        </references>
      </pivotArea>
    </format>
    <format dxfId="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laDinámica13" cacheId="1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Q12" firstHeaderRow="1" firstDataRow="1" firstDataCol="1" rowPageCount="1" colPageCount="1"/>
  <pivotFields count="12">
    <pivotField numFmtId="14" showAll="0"/>
    <pivotField axis="axisPage" multipleItemSelectionAllowed="1" showAll="0">
      <items count="12">
        <item x="0"/>
        <item x="1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axis="axisRow" showAll="0">
      <items count="9">
        <item x="1"/>
        <item x="5"/>
        <item x="2"/>
        <item x="0"/>
        <item x="3"/>
        <item x="6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hier="-1"/>
  </pageFields>
  <dataFields count="1">
    <dataField name="Suma de Importe ('000)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M31"/>
  <sheetViews>
    <sheetView showGridLines="0" tabSelected="1" topLeftCell="CX1" zoomScaleNormal="100" workbookViewId="0">
      <selection activeCell="DQ12" sqref="DQ12"/>
    </sheetView>
  </sheetViews>
  <sheetFormatPr baseColWidth="10" defaultColWidth="10.85546875" defaultRowHeight="15" x14ac:dyDescent="0.25"/>
  <cols>
    <col min="1" max="1" width="10.85546875" style="22" customWidth="1"/>
    <col min="2" max="2" width="23.5703125" style="22" bestFit="1" customWidth="1"/>
    <col min="3" max="10" width="10.85546875" style="22" customWidth="1"/>
    <col min="11" max="11" width="23.5703125" style="22" bestFit="1" customWidth="1"/>
    <col min="12" max="19" width="10.85546875" style="22" customWidth="1"/>
    <col min="20" max="20" width="23.5703125" style="22" bestFit="1" customWidth="1"/>
    <col min="21" max="28" width="10.85546875" style="22" customWidth="1"/>
    <col min="29" max="29" width="23.5703125" style="22" bestFit="1" customWidth="1"/>
    <col min="30" max="37" width="10.85546875" style="22" customWidth="1"/>
    <col min="38" max="38" width="23.5703125" style="22" bestFit="1" customWidth="1"/>
    <col min="39" max="46" width="10.85546875" style="22" customWidth="1"/>
    <col min="47" max="47" width="23.5703125" style="22" bestFit="1" customWidth="1"/>
    <col min="48" max="55" width="10.85546875" style="22" customWidth="1"/>
    <col min="56" max="56" width="23.5703125" style="22" bestFit="1" customWidth="1"/>
    <col min="57" max="64" width="10.85546875" style="22" customWidth="1"/>
    <col min="65" max="65" width="23.5703125" style="22" bestFit="1" customWidth="1"/>
    <col min="66" max="73" width="10.85546875" style="22" customWidth="1"/>
    <col min="74" max="74" width="23.5703125" style="22" bestFit="1" customWidth="1"/>
    <col min="75" max="75" width="9.5703125" style="23" customWidth="1"/>
    <col min="76" max="76" width="10.85546875" style="23" customWidth="1"/>
    <col min="77" max="77" width="8.85546875" style="22" customWidth="1"/>
    <col min="78" max="78" width="9.85546875" style="22" customWidth="1"/>
    <col min="79" max="79" width="10.85546875" style="22" customWidth="1"/>
    <col min="80" max="81" width="9.7109375" style="22" customWidth="1"/>
    <col min="82" max="82" width="10.85546875" style="22" customWidth="1"/>
    <col min="83" max="83" width="23.5703125" style="22" bestFit="1" customWidth="1"/>
    <col min="84" max="91" width="10.85546875" style="22" customWidth="1"/>
    <col min="92" max="92" width="23.5703125" style="22" bestFit="1" customWidth="1"/>
    <col min="93" max="100" width="10.85546875" style="22" customWidth="1"/>
    <col min="101" max="101" width="23.5703125" style="22" bestFit="1" customWidth="1"/>
    <col min="102" max="109" width="10.85546875" style="22" customWidth="1"/>
    <col min="110" max="110" width="23.5703125" style="22" bestFit="1" customWidth="1"/>
    <col min="111" max="112" width="10.85546875" style="22" customWidth="1"/>
    <col min="113" max="16384" width="10.85546875" style="22"/>
  </cols>
  <sheetData>
    <row r="2" spans="2:117" x14ac:dyDescent="0.25">
      <c r="C2" s="23"/>
      <c r="D2" s="23"/>
      <c r="L2" s="23"/>
      <c r="M2" s="23"/>
      <c r="V2" s="23"/>
      <c r="W2" s="23"/>
      <c r="AE2" s="23"/>
      <c r="AF2" s="23"/>
      <c r="AO2" s="23"/>
      <c r="AP2" s="23"/>
      <c r="AX2" s="23"/>
      <c r="AY2" s="23"/>
      <c r="BH2" s="23"/>
      <c r="BI2" s="23"/>
      <c r="BQ2" s="23"/>
      <c r="BR2" s="23"/>
      <c r="BU2" s="21"/>
      <c r="BV2" s="56" t="s">
        <v>0</v>
      </c>
      <c r="BW2" s="81"/>
      <c r="BX2" s="55"/>
      <c r="BY2" s="55"/>
      <c r="BZ2" s="81"/>
      <c r="CA2" s="81"/>
      <c r="CB2" s="81"/>
      <c r="CC2" s="81"/>
    </row>
    <row r="3" spans="2:117" x14ac:dyDescent="0.25">
      <c r="B3" s="20"/>
      <c r="C3" s="23"/>
      <c r="D3" s="23"/>
      <c r="G3" s="20"/>
      <c r="K3" s="20"/>
      <c r="L3" s="23"/>
      <c r="M3" s="23"/>
      <c r="P3" s="20"/>
      <c r="T3" s="20"/>
      <c r="U3" s="20"/>
      <c r="V3" s="23"/>
      <c r="W3" s="23"/>
      <c r="Z3" s="20"/>
      <c r="AD3" s="20"/>
      <c r="AE3" s="23"/>
      <c r="AF3" s="23"/>
      <c r="AI3" s="20"/>
      <c r="AM3" s="20"/>
      <c r="AN3" s="20"/>
      <c r="AO3" s="23"/>
      <c r="AP3" s="23"/>
      <c r="AS3" s="20"/>
      <c r="AW3" s="20"/>
      <c r="AX3" s="23"/>
      <c r="AY3" s="23"/>
      <c r="BB3" s="20"/>
      <c r="BF3" s="20"/>
      <c r="BG3" s="20"/>
      <c r="BH3" s="23"/>
      <c r="BI3" s="23"/>
      <c r="BL3" s="20"/>
      <c r="BP3" s="20"/>
      <c r="BQ3" s="23"/>
      <c r="BR3" s="23"/>
    </row>
    <row r="4" spans="2:117" x14ac:dyDescent="0.25">
      <c r="C4" s="55" t="s">
        <v>1</v>
      </c>
      <c r="D4" s="23"/>
      <c r="L4" s="55" t="s">
        <v>1</v>
      </c>
      <c r="M4" s="23"/>
      <c r="U4" s="55" t="s">
        <v>1</v>
      </c>
      <c r="V4" s="23"/>
      <c r="AD4" s="55" t="s">
        <v>1</v>
      </c>
      <c r="AE4" s="23"/>
      <c r="AM4" s="55" t="s">
        <v>1</v>
      </c>
      <c r="AN4" s="23"/>
      <c r="AV4" s="55" t="s">
        <v>1</v>
      </c>
      <c r="AW4" s="23"/>
      <c r="BE4" s="55" t="s">
        <v>1</v>
      </c>
      <c r="BF4" s="23"/>
      <c r="BN4" s="55" t="s">
        <v>1</v>
      </c>
      <c r="BO4" s="23"/>
      <c r="BW4" s="55" t="s">
        <v>1</v>
      </c>
      <c r="CF4" s="55" t="s">
        <v>1</v>
      </c>
      <c r="CG4" s="23"/>
      <c r="CO4" s="55" t="s">
        <v>1</v>
      </c>
      <c r="CP4" s="23"/>
      <c r="CX4" s="55" t="s">
        <v>1</v>
      </c>
      <c r="CY4" s="23"/>
      <c r="DG4" s="55" t="s">
        <v>1</v>
      </c>
      <c r="DH4" s="23"/>
    </row>
    <row r="5" spans="2:117" x14ac:dyDescent="0.25">
      <c r="B5" s="24" t="s">
        <v>2</v>
      </c>
      <c r="C5" s="25">
        <v>1</v>
      </c>
      <c r="D5" s="23"/>
      <c r="G5" s="20"/>
      <c r="K5" s="24" t="s">
        <v>2</v>
      </c>
      <c r="L5" s="25">
        <v>2</v>
      </c>
      <c r="M5" s="23"/>
      <c r="P5" s="20"/>
      <c r="T5" s="24" t="s">
        <v>2</v>
      </c>
      <c r="U5" s="25">
        <v>3</v>
      </c>
      <c r="V5" s="23"/>
      <c r="Y5" s="20"/>
      <c r="AC5" s="24" t="s">
        <v>2</v>
      </c>
      <c r="AD5" s="25">
        <v>4</v>
      </c>
      <c r="AE5" s="23"/>
      <c r="AH5" s="20"/>
      <c r="AL5" s="24" t="s">
        <v>2</v>
      </c>
      <c r="AM5" s="25">
        <v>5</v>
      </c>
      <c r="AN5" s="23"/>
      <c r="AQ5" s="20"/>
      <c r="AU5" s="24" t="s">
        <v>2</v>
      </c>
      <c r="AV5" s="25">
        <v>6</v>
      </c>
      <c r="AW5" s="23"/>
      <c r="AZ5" s="20"/>
      <c r="BD5" s="24" t="s">
        <v>2</v>
      </c>
      <c r="BE5" s="25">
        <v>7</v>
      </c>
      <c r="BF5" s="23"/>
      <c r="BI5" s="20"/>
      <c r="BM5" s="24" t="s">
        <v>2</v>
      </c>
      <c r="BN5" s="25">
        <v>8</v>
      </c>
      <c r="BO5" s="23"/>
      <c r="BR5" s="20"/>
      <c r="BV5" s="24" t="s">
        <v>2</v>
      </c>
      <c r="BW5" s="25">
        <v>9</v>
      </c>
      <c r="CA5" s="20"/>
      <c r="CE5" s="24" t="s">
        <v>2</v>
      </c>
      <c r="CF5" s="25">
        <v>10</v>
      </c>
      <c r="CG5" s="23"/>
      <c r="CJ5" s="20"/>
      <c r="CN5" s="24" t="s">
        <v>2</v>
      </c>
      <c r="CO5" s="25">
        <v>11</v>
      </c>
      <c r="CP5" s="23"/>
      <c r="CS5" s="20"/>
      <c r="CW5" s="24" t="s">
        <v>2</v>
      </c>
      <c r="CX5" s="25">
        <v>12</v>
      </c>
      <c r="CY5" s="23"/>
      <c r="DB5" s="20"/>
      <c r="DF5" s="24" t="s">
        <v>2</v>
      </c>
      <c r="DG5" s="129">
        <v>12</v>
      </c>
      <c r="DH5" s="25" t="s">
        <v>3</v>
      </c>
      <c r="DK5" s="20"/>
    </row>
    <row r="6" spans="2:117" x14ac:dyDescent="0.25">
      <c r="C6" s="23"/>
      <c r="D6" s="23"/>
      <c r="L6" s="23"/>
      <c r="M6" s="23"/>
      <c r="U6" s="23"/>
      <c r="V6" s="23"/>
      <c r="AB6" s="128"/>
      <c r="AD6" s="23"/>
      <c r="AE6" s="23"/>
      <c r="AK6" s="128"/>
      <c r="AM6" s="23"/>
      <c r="AN6" s="23"/>
      <c r="AT6" s="128"/>
      <c r="AV6" s="23"/>
      <c r="AW6" s="23"/>
      <c r="BC6" s="128"/>
      <c r="BE6" s="23"/>
      <c r="BF6" s="23"/>
      <c r="BL6" s="31"/>
      <c r="BN6" s="23"/>
      <c r="BO6" s="23"/>
      <c r="CF6" s="23"/>
      <c r="CG6" s="23"/>
      <c r="CO6" s="23"/>
      <c r="CP6" s="23"/>
      <c r="CX6" s="23"/>
      <c r="CY6" s="23"/>
      <c r="DG6" s="23"/>
      <c r="DH6" s="23"/>
    </row>
    <row r="7" spans="2:117" x14ac:dyDescent="0.25">
      <c r="B7" s="26" t="s">
        <v>4</v>
      </c>
      <c r="D7" s="118"/>
      <c r="K7" s="26" t="s">
        <v>4</v>
      </c>
      <c r="M7" s="118"/>
      <c r="T7" s="26" t="s">
        <v>4</v>
      </c>
      <c r="V7" s="118"/>
      <c r="AB7" s="58"/>
      <c r="AC7" s="26" t="s">
        <v>4</v>
      </c>
      <c r="AE7" s="118"/>
      <c r="AK7" s="58"/>
      <c r="AL7" s="26" t="s">
        <v>4</v>
      </c>
      <c r="AN7" s="118"/>
      <c r="AT7" s="58"/>
      <c r="AU7" s="26" t="s">
        <v>4</v>
      </c>
      <c r="AW7" s="118"/>
      <c r="BC7" s="58"/>
      <c r="BD7" s="26" t="s">
        <v>4</v>
      </c>
      <c r="BF7" s="118"/>
      <c r="BL7" s="119"/>
      <c r="BM7" s="26" t="s">
        <v>4</v>
      </c>
      <c r="BO7" s="118"/>
      <c r="BV7" s="26" t="s">
        <v>4</v>
      </c>
      <c r="BW7" s="22"/>
      <c r="BX7" s="118"/>
      <c r="CE7" s="26" t="s">
        <v>4</v>
      </c>
      <c r="CG7" s="118"/>
      <c r="CN7" s="26" t="s">
        <v>4</v>
      </c>
      <c r="CP7" s="118"/>
      <c r="CW7" s="26" t="s">
        <v>4</v>
      </c>
      <c r="CY7" s="118"/>
      <c r="DF7" s="26" t="s">
        <v>5</v>
      </c>
      <c r="DH7" s="118"/>
    </row>
    <row r="8" spans="2:117" ht="16.5" customHeight="1" x14ac:dyDescent="0.25">
      <c r="B8" s="27"/>
      <c r="C8" s="28"/>
      <c r="D8" s="28"/>
      <c r="E8" s="29" t="s">
        <v>6</v>
      </c>
      <c r="F8" s="30"/>
      <c r="G8" s="31"/>
      <c r="H8" s="132" t="s">
        <v>6</v>
      </c>
      <c r="I8" s="133"/>
      <c r="K8" s="27"/>
      <c r="L8" s="28"/>
      <c r="M8" s="28"/>
      <c r="N8" s="29" t="s">
        <v>6</v>
      </c>
      <c r="O8" s="30"/>
      <c r="P8" s="31"/>
      <c r="Q8" s="132" t="s">
        <v>6</v>
      </c>
      <c r="R8" s="133"/>
      <c r="T8" s="27"/>
      <c r="U8" s="28"/>
      <c r="V8" s="28"/>
      <c r="W8" s="29" t="s">
        <v>6</v>
      </c>
      <c r="X8" s="30"/>
      <c r="Y8" s="31"/>
      <c r="Z8" s="132" t="s">
        <v>6</v>
      </c>
      <c r="AA8" s="133"/>
      <c r="AB8" s="120"/>
      <c r="AC8" s="27"/>
      <c r="AD8" s="28"/>
      <c r="AE8" s="28"/>
      <c r="AF8" s="29" t="s">
        <v>6</v>
      </c>
      <c r="AG8" s="30"/>
      <c r="AH8" s="31"/>
      <c r="AI8" s="132" t="s">
        <v>6</v>
      </c>
      <c r="AJ8" s="133"/>
      <c r="AK8" s="120"/>
      <c r="AL8" s="27"/>
      <c r="AM8" s="28"/>
      <c r="AN8" s="28"/>
      <c r="AO8" s="29" t="s">
        <v>6</v>
      </c>
      <c r="AP8" s="30"/>
      <c r="AQ8" s="31"/>
      <c r="AR8" s="132" t="s">
        <v>6</v>
      </c>
      <c r="AS8" s="133"/>
      <c r="AT8" s="74"/>
      <c r="AU8" s="27"/>
      <c r="AV8" s="28"/>
      <c r="AW8" s="28"/>
      <c r="AX8" s="29" t="s">
        <v>6</v>
      </c>
      <c r="AY8" s="30"/>
      <c r="AZ8" s="31"/>
      <c r="BA8" s="132" t="s">
        <v>6</v>
      </c>
      <c r="BB8" s="133"/>
      <c r="BC8" s="74"/>
      <c r="BD8" s="27"/>
      <c r="BE8" s="28"/>
      <c r="BF8" s="28"/>
      <c r="BG8" s="29" t="s">
        <v>6</v>
      </c>
      <c r="BH8" s="30"/>
      <c r="BI8" s="31"/>
      <c r="BJ8" s="132" t="s">
        <v>6</v>
      </c>
      <c r="BK8" s="133"/>
      <c r="BL8" s="76"/>
      <c r="BM8" s="27"/>
      <c r="BN8" s="28"/>
      <c r="BO8" s="28"/>
      <c r="BP8" s="29" t="s">
        <v>6</v>
      </c>
      <c r="BQ8" s="30"/>
      <c r="BR8" s="31"/>
      <c r="BS8" s="132" t="s">
        <v>6</v>
      </c>
      <c r="BT8" s="133"/>
      <c r="BV8" s="27"/>
      <c r="BW8" s="28"/>
      <c r="BX8" s="28"/>
      <c r="BY8" s="29" t="s">
        <v>6</v>
      </c>
      <c r="BZ8" s="30"/>
      <c r="CA8" s="31"/>
      <c r="CB8" s="132" t="s">
        <v>6</v>
      </c>
      <c r="CC8" s="133"/>
      <c r="CD8" s="57"/>
      <c r="CE8" s="27"/>
      <c r="CF8" s="28"/>
      <c r="CG8" s="28"/>
      <c r="CH8" s="29" t="s">
        <v>6</v>
      </c>
      <c r="CI8" s="30"/>
      <c r="CJ8" s="31"/>
      <c r="CK8" s="132" t="s">
        <v>6</v>
      </c>
      <c r="CL8" s="133"/>
      <c r="CN8" s="27"/>
      <c r="CO8" s="28"/>
      <c r="CP8" s="28"/>
      <c r="CQ8" s="29" t="s">
        <v>6</v>
      </c>
      <c r="CR8" s="30"/>
      <c r="CS8" s="31"/>
      <c r="CT8" s="132" t="s">
        <v>6</v>
      </c>
      <c r="CU8" s="133"/>
      <c r="CW8" s="27"/>
      <c r="CX8" s="28"/>
      <c r="CY8" s="28"/>
      <c r="CZ8" s="29" t="s">
        <v>6</v>
      </c>
      <c r="DA8" s="30"/>
      <c r="DB8" s="31"/>
      <c r="DC8" s="132" t="s">
        <v>6</v>
      </c>
      <c r="DD8" s="133"/>
      <c r="DF8" s="27"/>
      <c r="DG8" s="28"/>
      <c r="DH8" s="28"/>
      <c r="DI8" s="29" t="s">
        <v>6</v>
      </c>
      <c r="DJ8" s="30"/>
      <c r="DK8" s="31"/>
      <c r="DL8" s="132" t="s">
        <v>6</v>
      </c>
      <c r="DM8" s="133"/>
    </row>
    <row r="9" spans="2:117" ht="15" customHeight="1" thickBot="1" x14ac:dyDescent="0.3">
      <c r="B9" s="32" t="s">
        <v>7</v>
      </c>
      <c r="C9" s="33" t="s">
        <v>8</v>
      </c>
      <c r="D9" s="130" t="s">
        <v>9</v>
      </c>
      <c r="E9" s="34" t="s">
        <v>10</v>
      </c>
      <c r="F9" s="82" t="s">
        <v>11</v>
      </c>
      <c r="G9" s="33" t="s">
        <v>12</v>
      </c>
      <c r="H9" s="34" t="s">
        <v>10</v>
      </c>
      <c r="I9" s="34" t="s">
        <v>13</v>
      </c>
      <c r="K9" s="32" t="s">
        <v>7</v>
      </c>
      <c r="L9" s="33" t="s">
        <v>8</v>
      </c>
      <c r="M9" s="130" t="s">
        <v>9</v>
      </c>
      <c r="N9" s="34" t="s">
        <v>10</v>
      </c>
      <c r="O9" s="82" t="s">
        <v>11</v>
      </c>
      <c r="P9" s="33" t="s">
        <v>12</v>
      </c>
      <c r="Q9" s="34" t="s">
        <v>10</v>
      </c>
      <c r="R9" s="34" t="s">
        <v>13</v>
      </c>
      <c r="T9" s="32" t="s">
        <v>7</v>
      </c>
      <c r="U9" s="33" t="s">
        <v>8</v>
      </c>
      <c r="V9" s="130" t="s">
        <v>9</v>
      </c>
      <c r="W9" s="34" t="s">
        <v>10</v>
      </c>
      <c r="X9" s="82" t="s">
        <v>11</v>
      </c>
      <c r="Y9" s="33" t="s">
        <v>12</v>
      </c>
      <c r="Z9" s="34" t="s">
        <v>10</v>
      </c>
      <c r="AA9" s="34" t="s">
        <v>13</v>
      </c>
      <c r="AB9" s="121"/>
      <c r="AC9" s="32" t="s">
        <v>7</v>
      </c>
      <c r="AD9" s="33" t="s">
        <v>8</v>
      </c>
      <c r="AE9" s="130" t="s">
        <v>9</v>
      </c>
      <c r="AF9" s="34" t="s">
        <v>10</v>
      </c>
      <c r="AG9" s="82" t="s">
        <v>11</v>
      </c>
      <c r="AH9" s="33" t="s">
        <v>12</v>
      </c>
      <c r="AI9" s="34" t="s">
        <v>10</v>
      </c>
      <c r="AJ9" s="34" t="s">
        <v>13</v>
      </c>
      <c r="AK9" s="121"/>
      <c r="AL9" s="32" t="s">
        <v>7</v>
      </c>
      <c r="AM9" s="33" t="s">
        <v>8</v>
      </c>
      <c r="AN9" s="130" t="s">
        <v>9</v>
      </c>
      <c r="AO9" s="34" t="s">
        <v>10</v>
      </c>
      <c r="AP9" s="82" t="s">
        <v>11</v>
      </c>
      <c r="AQ9" s="33" t="s">
        <v>12</v>
      </c>
      <c r="AR9" s="34" t="s">
        <v>10</v>
      </c>
      <c r="AS9" s="34" t="s">
        <v>13</v>
      </c>
      <c r="AT9" s="66"/>
      <c r="AU9" s="32" t="s">
        <v>7</v>
      </c>
      <c r="AV9" s="33" t="s">
        <v>8</v>
      </c>
      <c r="AW9" s="130" t="s">
        <v>9</v>
      </c>
      <c r="AX9" s="34" t="s">
        <v>10</v>
      </c>
      <c r="AY9" s="82" t="s">
        <v>11</v>
      </c>
      <c r="AZ9" s="33" t="s">
        <v>12</v>
      </c>
      <c r="BA9" s="34" t="s">
        <v>10</v>
      </c>
      <c r="BB9" s="34" t="s">
        <v>13</v>
      </c>
      <c r="BC9" s="66"/>
      <c r="BD9" s="32" t="s">
        <v>7</v>
      </c>
      <c r="BE9" s="33" t="s">
        <v>8</v>
      </c>
      <c r="BF9" s="130" t="s">
        <v>9</v>
      </c>
      <c r="BG9" s="34" t="s">
        <v>10</v>
      </c>
      <c r="BH9" s="82" t="s">
        <v>11</v>
      </c>
      <c r="BI9" s="33" t="s">
        <v>12</v>
      </c>
      <c r="BJ9" s="34" t="s">
        <v>10</v>
      </c>
      <c r="BK9" s="34" t="s">
        <v>13</v>
      </c>
      <c r="BL9" s="73"/>
      <c r="BM9" s="32" t="s">
        <v>7</v>
      </c>
      <c r="BN9" s="33" t="s">
        <v>8</v>
      </c>
      <c r="BO9" s="130" t="s">
        <v>9</v>
      </c>
      <c r="BP9" s="34" t="s">
        <v>10</v>
      </c>
      <c r="BQ9" s="82" t="s">
        <v>11</v>
      </c>
      <c r="BR9" s="33" t="s">
        <v>12</v>
      </c>
      <c r="BS9" s="34" t="s">
        <v>10</v>
      </c>
      <c r="BT9" s="34" t="s">
        <v>13</v>
      </c>
      <c r="BV9" s="32" t="s">
        <v>7</v>
      </c>
      <c r="BW9" s="33" t="s">
        <v>8</v>
      </c>
      <c r="BX9" s="131" t="s">
        <v>9</v>
      </c>
      <c r="BY9" s="34" t="s">
        <v>10</v>
      </c>
      <c r="BZ9" s="82" t="s">
        <v>11</v>
      </c>
      <c r="CA9" s="33" t="s">
        <v>12</v>
      </c>
      <c r="CB9" s="34" t="s">
        <v>10</v>
      </c>
      <c r="CC9" s="34" t="s">
        <v>13</v>
      </c>
      <c r="CD9" s="58"/>
      <c r="CE9" s="32" t="s">
        <v>7</v>
      </c>
      <c r="CF9" s="33" t="s">
        <v>8</v>
      </c>
      <c r="CG9" s="131" t="s">
        <v>9</v>
      </c>
      <c r="CH9" s="34" t="s">
        <v>10</v>
      </c>
      <c r="CI9" s="82" t="s">
        <v>11</v>
      </c>
      <c r="CJ9" s="33" t="s">
        <v>12</v>
      </c>
      <c r="CK9" s="34" t="s">
        <v>10</v>
      </c>
      <c r="CL9" s="34" t="s">
        <v>13</v>
      </c>
      <c r="CN9" s="32" t="s">
        <v>7</v>
      </c>
      <c r="CO9" s="33" t="s">
        <v>8</v>
      </c>
      <c r="CP9" s="131" t="s">
        <v>9</v>
      </c>
      <c r="CQ9" s="34" t="s">
        <v>10</v>
      </c>
      <c r="CR9" s="82" t="s">
        <v>11</v>
      </c>
      <c r="CS9" s="33" t="s">
        <v>12</v>
      </c>
      <c r="CT9" s="34" t="s">
        <v>10</v>
      </c>
      <c r="CU9" s="34" t="s">
        <v>13</v>
      </c>
      <c r="CW9" s="32" t="s">
        <v>7</v>
      </c>
      <c r="CX9" s="33" t="s">
        <v>8</v>
      </c>
      <c r="CY9" s="131" t="s">
        <v>9</v>
      </c>
      <c r="CZ9" s="34" t="s">
        <v>10</v>
      </c>
      <c r="DA9" s="82" t="s">
        <v>11</v>
      </c>
      <c r="DB9" s="33" t="s">
        <v>12</v>
      </c>
      <c r="DC9" s="34" t="s">
        <v>10</v>
      </c>
      <c r="DD9" s="34" t="s">
        <v>13</v>
      </c>
      <c r="DF9" s="32" t="s">
        <v>7</v>
      </c>
      <c r="DG9" s="33" t="s">
        <v>8</v>
      </c>
      <c r="DH9" s="131" t="s">
        <v>9</v>
      </c>
      <c r="DI9" s="34" t="s">
        <v>10</v>
      </c>
      <c r="DJ9" s="82" t="s">
        <v>11</v>
      </c>
      <c r="DK9" s="33" t="s">
        <v>12</v>
      </c>
      <c r="DL9" s="34" t="s">
        <v>10</v>
      </c>
      <c r="DM9" s="34" t="s">
        <v>13</v>
      </c>
    </row>
    <row r="10" spans="2:117" x14ac:dyDescent="0.25">
      <c r="B10" s="35" t="s">
        <v>14</v>
      </c>
      <c r="C10" s="63">
        <f>(GETPIVOTDATA("ene-27 ",TABLA!$B$3,"Nivel 4","1.- Importe neto de la cifra de negocios"))/1000</f>
        <v>1143.7325000000001</v>
      </c>
      <c r="D10" s="63">
        <v>983.81713000000002</v>
      </c>
      <c r="E10" s="64">
        <f>C10-D10</f>
        <v>159.91537000000005</v>
      </c>
      <c r="F10" s="79">
        <f>+IF(IFERROR(C10/D10-1,"-")&lt;300%,IFERROR(C10/D10-1,"-"),"n.a.")</f>
        <v>0.16254582800362516</v>
      </c>
      <c r="G10" s="72">
        <f>C10</f>
        <v>1143.7325000000001</v>
      </c>
      <c r="H10" s="64">
        <f>C10-G10</f>
        <v>0</v>
      </c>
      <c r="I10" s="79">
        <f>+IF(IFERROR(C10/G10-1,"-")&lt;300%,IFERROR(C10/G10-1,"-"),"n.a.")</f>
        <v>0</v>
      </c>
      <c r="K10" s="35" t="s">
        <v>14</v>
      </c>
      <c r="L10" s="63">
        <f>(GETPIVOTDATA("feb-27 ",TABLA!$B$3,"Nivel 4","1.- Importe neto de la cifra de negocios"))/1000</f>
        <v>1852.6412700000001</v>
      </c>
      <c r="M10" s="63">
        <v>1470.42815</v>
      </c>
      <c r="N10" s="64">
        <f>L10-M10</f>
        <v>382.21312000000012</v>
      </c>
      <c r="O10" s="79">
        <f>+IF(IFERROR(L10/M10-1,"-")&lt;300%,IFERROR(L10/M10-1,"-"),"n.a.")</f>
        <v>0.25993321741018094</v>
      </c>
      <c r="P10" s="72">
        <f>L10</f>
        <v>1852.6412700000001</v>
      </c>
      <c r="Q10" s="64">
        <f>L10-P10</f>
        <v>0</v>
      </c>
      <c r="R10" s="79">
        <f>+IF(IFERROR(L10/P10-1,"-")&lt;300%,IFERROR(L10/P10-1,"-"),"n.a.")</f>
        <v>0</v>
      </c>
      <c r="T10" s="35" t="s">
        <v>14</v>
      </c>
      <c r="U10" s="63">
        <f>(GETPIVOTDATA("mar-27 ",TABLA!$B$3,"Nivel 4","1.- Importe neto de la cifra de negocios"))/1000</f>
        <v>1777.1341</v>
      </c>
      <c r="V10" s="63">
        <v>1533.7894100000001</v>
      </c>
      <c r="W10" s="64">
        <f>U10-V10</f>
        <v>243.3446899999999</v>
      </c>
      <c r="X10" s="79">
        <f>+IF(IFERROR(U10/V10-1,"-")&lt;300%,IFERROR(U10/V10-1,"-"),"n.a.")</f>
        <v>0.1586558678873653</v>
      </c>
      <c r="Y10" s="72">
        <f>U10</f>
        <v>1777.1341</v>
      </c>
      <c r="Z10" s="64">
        <f>U10-Y10</f>
        <v>0</v>
      </c>
      <c r="AA10" s="79">
        <f>+IF(IFERROR(U10/Y10-1,"-")&lt;300%,IFERROR(U10/Y10-1,"-"),"n.a.")</f>
        <v>0</v>
      </c>
      <c r="AB10" s="120"/>
      <c r="AC10" s="35" t="s">
        <v>14</v>
      </c>
      <c r="AD10" s="63">
        <f>(GETPIVOTDATA("abr-27 ",TABLA!$B$3,"Nivel 4","1.- Importe neto de la cifra de negocios"))/1000</f>
        <v>1430.7518400000001</v>
      </c>
      <c r="AE10" s="63">
        <v>1462.1462799999999</v>
      </c>
      <c r="AF10" s="64">
        <f>AD10-AE10</f>
        <v>-31.394439999999804</v>
      </c>
      <c r="AG10" s="79">
        <f>+IF(IFERROR(AD10/AE10-1,"-")&lt;300%,IFERROR(AD10/AE10-1,"-"),"n.a.")</f>
        <v>-2.1471476848403892E-2</v>
      </c>
      <c r="AH10" s="72">
        <f>AD10</f>
        <v>1430.7518400000001</v>
      </c>
      <c r="AI10" s="64">
        <f>AD10-AH10</f>
        <v>0</v>
      </c>
      <c r="AJ10" s="79">
        <f>+IF(IFERROR(AD10/AH10-1,"-")&lt;300%,IFERROR(AD10/AH10-1,"-"),"n.a.")</f>
        <v>0</v>
      </c>
      <c r="AK10" s="120"/>
      <c r="AL10" s="35" t="s">
        <v>14</v>
      </c>
      <c r="AM10" s="63">
        <f>(GETPIVOTDATA("may-27 ",TABLA!$B$3,"Nivel 4","1.- Importe neto de la cifra de negocios"))/1000</f>
        <v>2349.0314199999998</v>
      </c>
      <c r="AN10" s="63">
        <v>1925.9299100000001</v>
      </c>
      <c r="AO10" s="64">
        <f>AM10-AN10</f>
        <v>423.10150999999973</v>
      </c>
      <c r="AP10" s="79">
        <f>+IF(IFERROR(AM10/AN10-1,"-")&lt;300%,IFERROR(AM10/AN10-1,"-"),"n.a.")</f>
        <v>0.21968686804391524</v>
      </c>
      <c r="AQ10" s="72">
        <f>AM10</f>
        <v>2349.0314199999998</v>
      </c>
      <c r="AR10" s="64">
        <f>AM10-AQ10</f>
        <v>0</v>
      </c>
      <c r="AS10" s="79">
        <f>+IF(IFERROR(AM10/AQ10-1,"-")&lt;300%,IFERROR(AM10/AQ10-1,"-"),"n.a.")</f>
        <v>0</v>
      </c>
      <c r="AT10" s="74"/>
      <c r="AU10" s="35" t="s">
        <v>14</v>
      </c>
      <c r="AV10" s="63">
        <f>GETPIVOTDATA("jun-27 ",TABLA!$B$3,"Nivel 4","1.- Importe neto de la cifra de negocios")/1000</f>
        <v>2329.4837499999999</v>
      </c>
      <c r="AW10" s="63">
        <v>1962.2618299999999</v>
      </c>
      <c r="AX10" s="64">
        <f>AV10-AW10</f>
        <v>367.22191999999995</v>
      </c>
      <c r="AY10" s="79">
        <f>+IF(IFERROR(AV10/AW10-1,"-")&lt;300%,IFERROR(AV10/AW10-1,"-"),"n.a.")</f>
        <v>0.18714216134958916</v>
      </c>
      <c r="AZ10" s="72">
        <f>AV10</f>
        <v>2329.4837499999999</v>
      </c>
      <c r="BA10" s="64">
        <f>AV10-AZ10</f>
        <v>0</v>
      </c>
      <c r="BB10" s="79">
        <f>+IF(IFERROR(AV10/AZ10-1,"-")&lt;300%,IFERROR(AV10/AZ10-1,"-"),"n.a.")</f>
        <v>0</v>
      </c>
      <c r="BC10" s="74"/>
      <c r="BD10" s="35" t="s">
        <v>14</v>
      </c>
      <c r="BE10" s="63">
        <f>(GETPIVOTDATA("jul-27 ",TABLA!$B$3,"Nivel 4","1.- Importe neto de la cifra de negocios"))/1000</f>
        <v>1477.9823100000001</v>
      </c>
      <c r="BF10" s="63">
        <v>1290.6542300000001</v>
      </c>
      <c r="BG10" s="64">
        <f>BE10-BF10</f>
        <v>187.32808</v>
      </c>
      <c r="BH10" s="79">
        <f>+IF(IFERROR(BE10/BF10-1,"-")&lt;300%,IFERROR(BE10/BF10-1,"-"),"n.a.")</f>
        <v>0.1451419564169405</v>
      </c>
      <c r="BI10" s="72">
        <f>BE10</f>
        <v>1477.9823100000001</v>
      </c>
      <c r="BJ10" s="64">
        <f>BE10-BI10</f>
        <v>0</v>
      </c>
      <c r="BK10" s="79">
        <f>+IF(IFERROR(BE10/BI10-1,"-")&lt;300%,IFERROR(BE10/BI10-1,"-"),"n.a.")</f>
        <v>0</v>
      </c>
      <c r="BL10" s="74"/>
      <c r="BM10" s="35" t="s">
        <v>14</v>
      </c>
      <c r="BN10" s="63">
        <f>(GETPIVOTDATA("ago-27 ",TABLA!$B$3,"Nivel 4","1.- Importe neto de la cifra de negocios"))/1000</f>
        <v>943.22127</v>
      </c>
      <c r="BO10" s="63">
        <v>788.10515000000021</v>
      </c>
      <c r="BP10" s="64">
        <f>BN10-BO10</f>
        <v>155.1161199999998</v>
      </c>
      <c r="BQ10" s="79">
        <f>+IF(IFERROR(BN10/BO10-1,"-")&lt;300%,IFERROR(BN10/BO10-1,"-"),"n.a.")</f>
        <v>0.19682160432526019</v>
      </c>
      <c r="BR10" s="72">
        <f>BN10</f>
        <v>943.22127</v>
      </c>
      <c r="BS10" s="64">
        <f>BN10-BR10</f>
        <v>0</v>
      </c>
      <c r="BT10" s="79">
        <f>+IF(IFERROR(BN10/BR10-1,"-")&lt;300%,IFERROR(BN10/BR10-1,"-"),"n.a.")</f>
        <v>0</v>
      </c>
      <c r="BV10" s="35" t="s">
        <v>14</v>
      </c>
      <c r="BW10" s="63">
        <f>(GETPIVOTDATA("sep-27 ",TABLA!$B$3,"Nivel 4","1.- Importe neto de la cifra de negocios"))/1000</f>
        <v>547.89618000000007</v>
      </c>
      <c r="BX10" s="63">
        <v>483.08373999999998</v>
      </c>
      <c r="BY10" s="64">
        <f>BW10-BX10</f>
        <v>64.812440000000095</v>
      </c>
      <c r="BZ10" s="79">
        <f>+IF(IFERROR(BW10/BX10-1,"-")&lt;300%,IFERROR(BW10/BX10-1,"-"),"n.a.")</f>
        <v>0.13416398573050725</v>
      </c>
      <c r="CA10" s="72">
        <f>BW10</f>
        <v>547.89618000000007</v>
      </c>
      <c r="CB10" s="64">
        <f>BW10-CA10</f>
        <v>0</v>
      </c>
      <c r="CC10" s="79">
        <f>+IF(IFERROR(BW10/CA10-1,"-")&lt;300%,IFERROR(BW10/CA10-1,"-"),"n.a.")</f>
        <v>0</v>
      </c>
      <c r="CD10" s="59"/>
      <c r="CE10" s="35" t="s">
        <v>14</v>
      </c>
      <c r="CF10" s="63">
        <f>(GETPIVOTDATA("oct-27 ",TABLA!$B$3,"Nivel 4","1.- Importe neto de la cifra de negocios"))/1000</f>
        <v>916.29690999999991</v>
      </c>
      <c r="CG10" s="63">
        <v>912.05501000000004</v>
      </c>
      <c r="CH10" s="64">
        <f>CF10-CG10</f>
        <v>4.2418999999998732</v>
      </c>
      <c r="CI10" s="79">
        <f>+IF(IFERROR(CF10/CG10-1,"-")&lt;300%,IFERROR(CF10/CG10-1,"-"),"n.a.")</f>
        <v>4.6509256059017456E-3</v>
      </c>
      <c r="CJ10" s="72">
        <f>CF10</f>
        <v>916.29690999999991</v>
      </c>
      <c r="CK10" s="64">
        <f>CF10-CJ10</f>
        <v>0</v>
      </c>
      <c r="CL10" s="79">
        <f>+IF(IFERROR(CF10/CJ10-1,"-")&lt;300%,IFERROR(CF10/CJ10-1,"-"),"n.a.")</f>
        <v>0</v>
      </c>
      <c r="CN10" s="35" t="s">
        <v>14</v>
      </c>
      <c r="CO10" s="63">
        <f>(GETPIVOTDATA("nov-27 ",TABLA!$B$3,"Nivel 4","1.- Importe neto de la cifra de negocios"))/1000</f>
        <v>1416.36681</v>
      </c>
      <c r="CP10" s="63">
        <v>1225.32178</v>
      </c>
      <c r="CQ10" s="64">
        <f>CO10-CP10</f>
        <v>191.04503</v>
      </c>
      <c r="CR10" s="79">
        <f>+IF(IFERROR(CO10/CP10-1,"-")&lt;300%,IFERROR(CO10/CP10-1,"-"),"n.a.")</f>
        <v>0.15591417137790531</v>
      </c>
      <c r="CS10" s="72">
        <f>CO10</f>
        <v>1416.36681</v>
      </c>
      <c r="CT10" s="64">
        <f>CO10-CS10</f>
        <v>0</v>
      </c>
      <c r="CU10" s="79">
        <f>+IF(IFERROR(CO10/CS10-1,"-")&lt;300%,IFERROR(CO10/CS10-1,"-"),"n.a.")</f>
        <v>0</v>
      </c>
      <c r="CW10" s="35" t="s">
        <v>14</v>
      </c>
      <c r="CX10" s="63">
        <f>(GETPIVOTDATA("dic-27 ",TABLA!$B$3,"Nivel 4","1.- Importe neto de la cifra de negocios"))/1000</f>
        <v>1553.62193</v>
      </c>
      <c r="CY10" s="63">
        <v>1142.4073800000001</v>
      </c>
      <c r="CZ10" s="64">
        <f>CX10-CY10</f>
        <v>411.21454999999992</v>
      </c>
      <c r="DA10" s="79">
        <f>+IF(IFERROR(CX10/CY10-1,"-")&lt;300%,IFERROR(CX10/CY10-1,"-"),"n.a.")</f>
        <v>0.35995438859997542</v>
      </c>
      <c r="DB10" s="72">
        <f>CX10</f>
        <v>1553.62193</v>
      </c>
      <c r="DC10" s="64">
        <f>CX10-DB10</f>
        <v>0</v>
      </c>
      <c r="DD10" s="79">
        <f>+IF(IFERROR(CX10/DB10-1,"-")&lt;300%,IFERROR(CX10/DB10-1,"-"),"n.a.")</f>
        <v>0</v>
      </c>
      <c r="DF10" s="35" t="s">
        <v>14</v>
      </c>
      <c r="DG10" s="63">
        <f>(GETPIVOTDATA("Total 2027 ",TABLA!$B$3,"Nivel 4","1.- Importe neto de la cifra de negocios"))/1000</f>
        <v>17738.16029</v>
      </c>
      <c r="DH10" s="63">
        <f>CY10+CP10+CG10+BX10+BO10+BF10+AW10+AN10+AE10+V10+M10+D10</f>
        <v>15179.999999999998</v>
      </c>
      <c r="DI10" s="64">
        <f>DG10-DH10</f>
        <v>2558.1602900000016</v>
      </c>
      <c r="DJ10" s="79">
        <f>+IF(IFERROR(DG10/DH10-1,"-")&lt;300%,IFERROR(DG10/DH10-1,"-"),"n.a.")</f>
        <v>0.16852175823451931</v>
      </c>
      <c r="DK10" s="72">
        <f>DG10</f>
        <v>17738.16029</v>
      </c>
      <c r="DL10" s="64">
        <f>DG10-DK10</f>
        <v>0</v>
      </c>
      <c r="DM10" s="79">
        <f>+IF(IFERROR(DG10/DK10-1,"-")&lt;300%,IFERROR(DG10/DK10-1,"-"),"n.a.")</f>
        <v>0</v>
      </c>
    </row>
    <row r="11" spans="2:117" x14ac:dyDescent="0.25">
      <c r="B11" s="27" t="s">
        <v>15</v>
      </c>
      <c r="C11" s="65">
        <f>(GETPIVOTDATA("ene-27 ",TABLA!$B$3,"Nivel 4","2.- Variación de existencias")+GETPIVOTDATA("ene-27 ",TABLA!$B$3,"Nivel 4","4.- Aprovisionamientos"))/1000</f>
        <v>-329.98443000000009</v>
      </c>
      <c r="D11" s="65">
        <v>-502.66555</v>
      </c>
      <c r="E11" s="66">
        <f>C11-D11</f>
        <v>172.68111999999991</v>
      </c>
      <c r="F11" s="67">
        <f>+IF(IFERROR(C11/D11-1,"-")&lt;300%,IFERROR(C11/D11-1,"-"),"n.a.")</f>
        <v>-0.34353084272435197</v>
      </c>
      <c r="G11" s="73">
        <f>C11</f>
        <v>-329.98443000000009</v>
      </c>
      <c r="H11" s="66">
        <f>C11-G11</f>
        <v>0</v>
      </c>
      <c r="I11" s="67">
        <f>+IF(IFERROR(C11/G11-1,"-")&lt;300%,IFERROR(C11/G11-1,"-"),"n.a.")</f>
        <v>0</v>
      </c>
      <c r="K11" s="27" t="s">
        <v>15</v>
      </c>
      <c r="L11" s="65">
        <f>(GETPIVOTDATA("feb-27 ",TABLA!$B$3,"Nivel 4","2.- Variación de existencias")+GETPIVOTDATA("feb-27 ",TABLA!$B$3,"Nivel 4","4.- Aprovisionamientos"))/1000</f>
        <v>-632.15976999999998</v>
      </c>
      <c r="M11" s="65">
        <v>-356.23716000000002</v>
      </c>
      <c r="N11" s="66">
        <f>L11-M11</f>
        <v>-275.92260999999996</v>
      </c>
      <c r="O11" s="67">
        <f>+IF(IFERROR(L11/M11-1,"-")&lt;300%,IFERROR(L11/M11-1,"-"),"n.a.")</f>
        <v>0.77454752334091137</v>
      </c>
      <c r="P11" s="73">
        <f>L11</f>
        <v>-632.15976999999998</v>
      </c>
      <c r="Q11" s="66">
        <f>L11-P11</f>
        <v>0</v>
      </c>
      <c r="R11" s="67">
        <f>+IF(IFERROR(L11/P11-1,"-")&lt;300%,IFERROR(L11/P11-1,"-"),"n.a.")</f>
        <v>0</v>
      </c>
      <c r="T11" s="27" t="s">
        <v>15</v>
      </c>
      <c r="U11" s="65">
        <f>(GETPIVOTDATA("mar-27 ",TABLA!$B$3,"Nivel 4","2.- Variación de existencias")+GETPIVOTDATA("mar-27 ",TABLA!$B$3,"Nivel 4","4.- Aprovisionamientos"))/1000</f>
        <v>-664.98037000000011</v>
      </c>
      <c r="V11" s="65">
        <v>-385.69992999999999</v>
      </c>
      <c r="W11" s="66">
        <f>U11-V11</f>
        <v>-279.28044000000011</v>
      </c>
      <c r="X11" s="67">
        <f>+IF(IFERROR(U11/V11-1,"-")&lt;300%,IFERROR(U11/V11-1,"-"),"n.a.")</f>
        <v>0.72408734945842523</v>
      </c>
      <c r="Y11" s="73">
        <f>U11</f>
        <v>-664.98037000000011</v>
      </c>
      <c r="Z11" s="66">
        <f>U11-Y11</f>
        <v>0</v>
      </c>
      <c r="AA11" s="67">
        <f>+IF(IFERROR(U11/Y11-1,"-")&lt;300%,IFERROR(U11/Y11-1,"-"),"n.a.")</f>
        <v>0</v>
      </c>
      <c r="AB11" s="122"/>
      <c r="AC11" s="27" t="s">
        <v>15</v>
      </c>
      <c r="AD11" s="65">
        <f>(GETPIVOTDATA("abr-27 ",TABLA!$B$3,"Nivel 4","2.- Variación de existencias")+GETPIVOTDATA("abr-27 ",TABLA!$B$3,"Nivel 4","4.- Aprovisionamientos"))/1000</f>
        <v>-517.76813000000004</v>
      </c>
      <c r="AE11" s="65">
        <v>-506.20308999999997</v>
      </c>
      <c r="AF11" s="66">
        <f>AD11-AE11</f>
        <v>-11.565040000000067</v>
      </c>
      <c r="AG11" s="67">
        <f>+IF(IFERROR(AD11/AE11-1,"-")&lt;300%,IFERROR(AD11/AE11-1,"-"),"n.a.")</f>
        <v>2.2846640465983947E-2</v>
      </c>
      <c r="AH11" s="73">
        <f>AD11</f>
        <v>-517.76813000000004</v>
      </c>
      <c r="AI11" s="66">
        <f>AD11-AH11</f>
        <v>0</v>
      </c>
      <c r="AJ11" s="67">
        <f>+IF(IFERROR(AD11/AH11-1,"-")&lt;300%,IFERROR(AD11/AH11-1,"-"),"n.a.")</f>
        <v>0</v>
      </c>
      <c r="AK11" s="122"/>
      <c r="AL11" s="27" t="s">
        <v>15</v>
      </c>
      <c r="AM11" s="65">
        <f>(GETPIVOTDATA("may-27 ",TABLA!$B$3,"Nivel 4","2.- Variación de existencias")+GETPIVOTDATA("may-27 ",TABLA!$B$3,"Nivel 4","4.- Aprovisionamientos"))/1000</f>
        <v>-838.05820000000006</v>
      </c>
      <c r="AN11" s="65">
        <v>-624.27233999999999</v>
      </c>
      <c r="AO11" s="66">
        <f>AM11-AN11</f>
        <v>-213.78586000000007</v>
      </c>
      <c r="AP11" s="67">
        <f>+IF(IFERROR(AM11/AN11-1,"-")&lt;300%,IFERROR(AM11/AN11-1,"-"),"n.a.")</f>
        <v>0.34245608254884408</v>
      </c>
      <c r="AQ11" s="73">
        <f>AM11</f>
        <v>-838.05820000000006</v>
      </c>
      <c r="AR11" s="66">
        <f>AM11-AQ11</f>
        <v>0</v>
      </c>
      <c r="AS11" s="67">
        <f>+IF(IFERROR(AM11/AQ11-1,"-")&lt;300%,IFERROR(AM11/AQ11-1,"-"),"n.a.")</f>
        <v>0</v>
      </c>
      <c r="AT11" s="41"/>
      <c r="AU11" s="27" t="s">
        <v>15</v>
      </c>
      <c r="AV11" s="65">
        <f>(GETPIVOTDATA("jun-27 ",TABLA!$B$3,"Nivel 4","2.- Variación de existencias")+GETPIVOTDATA("jun-27 ",TABLA!$B$3,"Nivel 4","4.- Aprovisionamientos"))/1000</f>
        <v>-864.73897000000011</v>
      </c>
      <c r="AW11" s="65">
        <v>-743.55859000000021</v>
      </c>
      <c r="AX11" s="66">
        <f>AV11-AW11</f>
        <v>-121.1803799999999</v>
      </c>
      <c r="AY11" s="67">
        <f>+IF(IFERROR(AV11/AW11-1,"-")&lt;300%,IFERROR(AV11/AW11-1,"-"),"n.a.")</f>
        <v>0.16297354590443214</v>
      </c>
      <c r="AZ11" s="73">
        <f>AV11</f>
        <v>-864.73897000000011</v>
      </c>
      <c r="BA11" s="66">
        <f>AV11-AZ11</f>
        <v>0</v>
      </c>
      <c r="BB11" s="67">
        <f>+IF(IFERROR(AV11/AZ11-1,"-")&lt;300%,IFERROR(AV11/AZ11-1,"-"),"n.a.")</f>
        <v>0</v>
      </c>
      <c r="BC11" s="41"/>
      <c r="BD11" s="27" t="s">
        <v>15</v>
      </c>
      <c r="BE11" s="65">
        <f>(GETPIVOTDATA("jul-27 ",TABLA!$B$3,"Nivel 4","2.- Variación de existencias")+GETPIVOTDATA("jul-27 ",TABLA!$B$3,"Nivel 4","4.- Aprovisionamientos"))/1000</f>
        <v>-562.01119999999992</v>
      </c>
      <c r="BF11" s="65">
        <v>-525.31502999999987</v>
      </c>
      <c r="BG11" s="66">
        <f>BE11-BF11</f>
        <v>-36.696170000000052</v>
      </c>
      <c r="BH11" s="67">
        <f>+IF(IFERROR(BE11/BF11-1,"-")&lt;300%,IFERROR(BE11/BF11-1,"-"),"n.a.")</f>
        <v>6.9855549345313905E-2</v>
      </c>
      <c r="BI11" s="73">
        <f>BE11</f>
        <v>-562.01119999999992</v>
      </c>
      <c r="BJ11" s="66">
        <f>BE11-BI11</f>
        <v>0</v>
      </c>
      <c r="BK11" s="67">
        <f>+IF(IFERROR(BE11/BI11-1,"-")&lt;300%,IFERROR(BE11/BI11-1,"-"),"n.a.")</f>
        <v>0</v>
      </c>
      <c r="BL11" s="71"/>
      <c r="BM11" s="27" t="s">
        <v>15</v>
      </c>
      <c r="BN11" s="65">
        <f>(GETPIVOTDATA("ago-27 ",TABLA!$B$3,"Nivel 4","2.- Variación de existencias")+GETPIVOTDATA("ago-27 ",TABLA!$B$3,"Nivel 4","4.- Aprovisionamientos"))/1000</f>
        <v>-339.95812999999998</v>
      </c>
      <c r="BO11" s="65">
        <v>-272.12022999999999</v>
      </c>
      <c r="BP11" s="66">
        <f>BN11-BO11</f>
        <v>-67.837899999999991</v>
      </c>
      <c r="BQ11" s="67">
        <f>+IF(IFERROR(BN11/BO11-1,"-")&lt;300%,IFERROR(BN11/BO11-1,"-"),"n.a.")</f>
        <v>0.24929385073649235</v>
      </c>
      <c r="BR11" s="73">
        <f>BN11</f>
        <v>-339.95812999999998</v>
      </c>
      <c r="BS11" s="66">
        <f>BN11-BR11</f>
        <v>0</v>
      </c>
      <c r="BT11" s="67">
        <f>+IF(IFERROR(BN11/BR11-1,"-")&lt;300%,IFERROR(BN11/BR11-1,"-"),"n.a.")</f>
        <v>0</v>
      </c>
      <c r="BV11" s="27" t="s">
        <v>15</v>
      </c>
      <c r="BW11" s="65">
        <f>(GETPIVOTDATA("sep-27 ",TABLA!$B$3,"Nivel 4","2.- Variación de existencias")+GETPIVOTDATA("sep-27 ",TABLA!$B$3,"Nivel 4","4.- Aprovisionamientos"))/1000</f>
        <v>-210.01273999999998</v>
      </c>
      <c r="BX11" s="65">
        <v>-161.79096000000001</v>
      </c>
      <c r="BY11" s="66">
        <f>BW11-BX11</f>
        <v>-48.221779999999967</v>
      </c>
      <c r="BZ11" s="67">
        <f>+IF(IFERROR(BW11/BX11-1,"-")&lt;300%,IFERROR(BW11/BX11-1,"-"),"n.a.")</f>
        <v>0.29804990340622228</v>
      </c>
      <c r="CA11" s="73">
        <f>BW11</f>
        <v>-210.01273999999998</v>
      </c>
      <c r="CB11" s="66">
        <f>BW11-CA11</f>
        <v>0</v>
      </c>
      <c r="CC11" s="67">
        <f>+IF(IFERROR(BW11/CA11-1,"-")&lt;300%,IFERROR(BW11/CA11-1,"-"),"n.a.")</f>
        <v>0</v>
      </c>
      <c r="CD11" s="37"/>
      <c r="CE11" s="27" t="s">
        <v>15</v>
      </c>
      <c r="CF11" s="65">
        <f>(GETPIVOTDATA("oct-27 ",TABLA!$B$3,"Nivel 4","2.- Variación de existencias")+GETPIVOTDATA("oct-27 ",TABLA!$B$3,"Nivel 4","4.- Aprovisionamientos"))/1000</f>
        <v>-342.59166999999997</v>
      </c>
      <c r="CG11" s="65">
        <v>-302.10136</v>
      </c>
      <c r="CH11" s="66">
        <f>CF11-CG11</f>
        <v>-40.490309999999965</v>
      </c>
      <c r="CI11" s="67">
        <f>+IF(IFERROR(CF11/CG11-1,"-")&lt;300%,IFERROR(CF11/CG11-1,"-"),"n.a.")</f>
        <v>0.13402889017116637</v>
      </c>
      <c r="CJ11" s="73">
        <f>CF11</f>
        <v>-342.59166999999997</v>
      </c>
      <c r="CK11" s="66">
        <f>CF11-CJ11</f>
        <v>0</v>
      </c>
      <c r="CL11" s="67">
        <f>+IF(IFERROR(CF11/CJ11-1,"-")&lt;300%,IFERROR(CF11/CJ11-1,"-"),"n.a.")</f>
        <v>0</v>
      </c>
      <c r="CN11" s="27" t="s">
        <v>15</v>
      </c>
      <c r="CO11" s="65">
        <f>(GETPIVOTDATA("nov-27 ",TABLA!$B$3,"Nivel 4","2.- Variación de existencias")+GETPIVOTDATA("nov-27 ",TABLA!$B$3,"Nivel 4","4.- Aprovisionamientos"))/1000</f>
        <v>-542.66986999999995</v>
      </c>
      <c r="CP11" s="65">
        <v>-404.42327999999998</v>
      </c>
      <c r="CQ11" s="66">
        <f>CO11-CP11</f>
        <v>-138.24658999999997</v>
      </c>
      <c r="CR11" s="67">
        <f>+IF(IFERROR(CO11/CP11-1,"-")&lt;300%,IFERROR(CO11/CP11-1,"-"),"n.a.")</f>
        <v>0.34183637994331084</v>
      </c>
      <c r="CS11" s="73">
        <f>CO11</f>
        <v>-542.66986999999995</v>
      </c>
      <c r="CT11" s="66">
        <f>CO11-CS11</f>
        <v>0</v>
      </c>
      <c r="CU11" s="67">
        <f>+IF(IFERROR(CO11/CS11-1,"-")&lt;300%,IFERROR(CO11/CS11-1,"-"),"n.a.")</f>
        <v>0</v>
      </c>
      <c r="CW11" s="27" t="s">
        <v>15</v>
      </c>
      <c r="CX11" s="65">
        <f>(GETPIVOTDATA("dic-27 ",TABLA!$B$3,"Nivel 4","2.- Variación de existencias")+GETPIVOTDATA("dic-27 ",TABLA!$B$3,"Nivel 4","4.- Aprovisionamientos"))/1000</f>
        <v>-562.31302000000005</v>
      </c>
      <c r="CY11" s="65">
        <v>-449.14532999999989</v>
      </c>
      <c r="CZ11" s="66">
        <f>CX11-CY11</f>
        <v>-113.16769000000016</v>
      </c>
      <c r="DA11" s="67">
        <f>+IF(IFERROR(CX11/CY11-1,"-")&lt;300%,IFERROR(CX11/CY11-1,"-"),"n.a.")</f>
        <v>0.2519622991515913</v>
      </c>
      <c r="DB11" s="73">
        <f>CX11</f>
        <v>-562.31302000000005</v>
      </c>
      <c r="DC11" s="66">
        <f>CX11-DB11</f>
        <v>0</v>
      </c>
      <c r="DD11" s="67">
        <f>+IF(IFERROR(CX11/DB11-1,"-")&lt;300%,IFERROR(CX11/DB11-1,"-"),"n.a.")</f>
        <v>0</v>
      </c>
      <c r="DF11" s="27" t="s">
        <v>15</v>
      </c>
      <c r="DG11" s="65">
        <f>(GETPIVOTDATA("Total 2027 ",TABLA!$B$3,"Nivel 4","2.- Variación de existencias")+GETPIVOTDATA("Total 2027 ",TABLA!$B$3,"Nivel 4","4.- Aprovisionamientos"))/1000</f>
        <v>-6407.2464999999993</v>
      </c>
      <c r="DH11" s="65">
        <f>CY11+CP11+CG11+BX11+BO11+BF11+AW11+AN11+AE11+V11+M11+D11</f>
        <v>-5233.5328499999996</v>
      </c>
      <c r="DI11" s="66">
        <f>DG11-DH11</f>
        <v>-1173.7136499999997</v>
      </c>
      <c r="DJ11" s="67">
        <f>+IF(IFERROR(DG11/DH11-1,"-")&lt;300%,IFERROR(DG11/DH11-1,"-"),"n.a.")</f>
        <v>0.22426794359378088</v>
      </c>
      <c r="DK11" s="73">
        <f>DG11</f>
        <v>-6407.2464999999993</v>
      </c>
      <c r="DL11" s="66">
        <f>DG11-DK11</f>
        <v>0</v>
      </c>
      <c r="DM11" s="67">
        <f>+IF(IFERROR(DG11/DK11-1,"-")&lt;300%,IFERROR(DG11/DK11-1,"-"),"n.a.")</f>
        <v>0</v>
      </c>
    </row>
    <row r="12" spans="2:117" x14ac:dyDescent="0.25">
      <c r="B12" s="38" t="s">
        <v>16</v>
      </c>
      <c r="C12" s="68">
        <f>C10+C11</f>
        <v>813.74806999999998</v>
      </c>
      <c r="D12" s="9">
        <v>481.15158000000002</v>
      </c>
      <c r="E12" s="69">
        <f>C12-D12</f>
        <v>332.59648999999996</v>
      </c>
      <c r="F12" s="70">
        <f>+IF(IFERROR(C12/D12-1,"-")&lt;300%,IFERROR(C12/D12-1,"-"),"n.a.")</f>
        <v>0.69125095671513725</v>
      </c>
      <c r="G12" s="69">
        <f>SUM(G10:G11)</f>
        <v>813.74806999999998</v>
      </c>
      <c r="H12" s="69">
        <f>C12-G12</f>
        <v>0</v>
      </c>
      <c r="I12" s="70">
        <f>+IF(IFERROR(C12/G12-1,"-")&lt;300%,IFERROR(C12/G12-1,"-"),"n.a.")</f>
        <v>0</v>
      </c>
      <c r="K12" s="38" t="s">
        <v>16</v>
      </c>
      <c r="L12" s="68">
        <f>L10+L11</f>
        <v>1220.4815000000001</v>
      </c>
      <c r="M12" s="9">
        <v>1114.1909900000001</v>
      </c>
      <c r="N12" s="69">
        <f>L12-M12</f>
        <v>106.29051000000004</v>
      </c>
      <c r="O12" s="70">
        <f>+IF(IFERROR(L12/M12-1,"-")&lt;300%,IFERROR(L12/M12-1,"-"),"n.a.")</f>
        <v>9.5397028834347308E-2</v>
      </c>
      <c r="P12" s="69">
        <f>SUM(P10:P11)</f>
        <v>1220.4815000000001</v>
      </c>
      <c r="Q12" s="69">
        <f>L12-P12</f>
        <v>0</v>
      </c>
      <c r="R12" s="70">
        <f>+IF(IFERROR(L12/P12-1,"-")&lt;300%,IFERROR(L12/P12-1,"-"),"n.a.")</f>
        <v>0</v>
      </c>
      <c r="T12" s="38" t="s">
        <v>16</v>
      </c>
      <c r="U12" s="68">
        <f>U10+U11</f>
        <v>1112.15373</v>
      </c>
      <c r="V12" s="9">
        <v>1148.0894800000001</v>
      </c>
      <c r="W12" s="69">
        <f>U12-V12</f>
        <v>-35.935750000000098</v>
      </c>
      <c r="X12" s="70">
        <f>+IF(IFERROR(U12/V12-1,"-")&lt;300%,IFERROR(U12/V12-1,"-"),"n.a.")</f>
        <v>-3.1300478426124156E-2</v>
      </c>
      <c r="Y12" s="69">
        <f>SUM(Y10:Y11)</f>
        <v>1112.15373</v>
      </c>
      <c r="Z12" s="69">
        <f>U12-Y12</f>
        <v>0</v>
      </c>
      <c r="AA12" s="70">
        <f>+IF(IFERROR(U12/Y12-1,"-")&lt;300%,IFERROR(U12/Y12-1,"-"),"n.a.")</f>
        <v>0</v>
      </c>
      <c r="AB12" s="123"/>
      <c r="AC12" s="38" t="s">
        <v>16</v>
      </c>
      <c r="AD12" s="68">
        <f>AD10+AD11</f>
        <v>912.98371000000009</v>
      </c>
      <c r="AE12" s="9">
        <v>955.94318999999996</v>
      </c>
      <c r="AF12" s="69">
        <f>AD12-AE12</f>
        <v>-42.959479999999871</v>
      </c>
      <c r="AG12" s="70">
        <f>+IF(IFERROR(AD12/AE12-1,"-")&lt;300%,IFERROR(AD12/AE12-1,"-"),"n.a.")</f>
        <v>-4.4939365068336179E-2</v>
      </c>
      <c r="AH12" s="69">
        <f>SUM(AH10:AH11)</f>
        <v>912.98371000000009</v>
      </c>
      <c r="AI12" s="69">
        <f>AD12-AH12</f>
        <v>0</v>
      </c>
      <c r="AJ12" s="70">
        <f>+IF(IFERROR(AD12/AH12-1,"-")&lt;300%,IFERROR(AD12/AH12-1,"-"),"n.a.")</f>
        <v>0</v>
      </c>
      <c r="AK12" s="123"/>
      <c r="AL12" s="38" t="s">
        <v>16</v>
      </c>
      <c r="AM12" s="68">
        <f>AM10+AM11</f>
        <v>1510.9732199999999</v>
      </c>
      <c r="AN12" s="9">
        <v>1301.6575700000001</v>
      </c>
      <c r="AO12" s="69">
        <f>AM12-AN12</f>
        <v>209.31564999999978</v>
      </c>
      <c r="AP12" s="70">
        <f>+IF(IFERROR(AM12/AN12-1,"-")&lt;300%,IFERROR(AM12/AN12-1,"-"),"n.a.")</f>
        <v>0.16080700087658206</v>
      </c>
      <c r="AQ12" s="69">
        <f>SUM(AQ10:AQ11)</f>
        <v>1510.9732199999999</v>
      </c>
      <c r="AR12" s="69">
        <f>AM12-AQ12</f>
        <v>0</v>
      </c>
      <c r="AS12" s="70">
        <f>+IF(IFERROR(AM12/AQ12-1,"-")&lt;300%,IFERROR(AM12/AQ12-1,"-"),"n.a.")</f>
        <v>0</v>
      </c>
      <c r="AT12" s="45"/>
      <c r="AU12" s="38" t="s">
        <v>16</v>
      </c>
      <c r="AV12" s="68">
        <f>AV10+AV11</f>
        <v>1464.7447799999998</v>
      </c>
      <c r="AW12" s="9">
        <v>1218.7032400000001</v>
      </c>
      <c r="AX12" s="69">
        <f>AV12-AW12</f>
        <v>246.04153999999971</v>
      </c>
      <c r="AY12" s="70">
        <f>+IF(IFERROR(AV12/AW12-1,"-")&lt;300%,IFERROR(AV12/AW12-1,"-"),"n.a.")</f>
        <v>0.2018879838212293</v>
      </c>
      <c r="AZ12" s="69">
        <f>SUM(AZ10:AZ11)</f>
        <v>1464.7447799999998</v>
      </c>
      <c r="BA12" s="69">
        <f>AV12-AZ12</f>
        <v>0</v>
      </c>
      <c r="BB12" s="70">
        <f>+IF(IFERROR(AV12/AZ12-1,"-")&lt;300%,IFERROR(AV12/AZ12-1,"-"),"n.a.")</f>
        <v>0</v>
      </c>
      <c r="BC12" s="45"/>
      <c r="BD12" s="38" t="s">
        <v>16</v>
      </c>
      <c r="BE12" s="68">
        <f>BE10+BE11</f>
        <v>915.97111000000018</v>
      </c>
      <c r="BF12" s="9">
        <v>765.33920000000001</v>
      </c>
      <c r="BG12" s="69">
        <f>BE12-BF12</f>
        <v>150.63191000000018</v>
      </c>
      <c r="BH12" s="70">
        <f>+IF(IFERROR(BE12/BF12-1,"-")&lt;300%,IFERROR(BE12/BF12-1,"-"),"n.a.")</f>
        <v>0.19681718903200074</v>
      </c>
      <c r="BI12" s="69">
        <f>SUM(BI10:BI11)</f>
        <v>915.97111000000018</v>
      </c>
      <c r="BJ12" s="69">
        <f>BE12-BI12</f>
        <v>0</v>
      </c>
      <c r="BK12" s="70">
        <f>+IF(IFERROR(BE12/BI12-1,"-")&lt;300%,IFERROR(BE12/BI12-1,"-"),"n.a.")</f>
        <v>0</v>
      </c>
      <c r="BL12" s="46"/>
      <c r="BM12" s="38" t="s">
        <v>16</v>
      </c>
      <c r="BN12" s="68">
        <f>BN10+BN11</f>
        <v>603.26314000000002</v>
      </c>
      <c r="BO12" s="9">
        <v>515.98492000000022</v>
      </c>
      <c r="BP12" s="69">
        <f>BN12-BO12</f>
        <v>87.278219999999806</v>
      </c>
      <c r="BQ12" s="70">
        <f>+IF(IFERROR(BN12/BO12-1,"-")&lt;300%,IFERROR(BN12/BO12-1,"-"),"n.a.")</f>
        <v>0.16914878054963256</v>
      </c>
      <c r="BR12" s="69">
        <f>SUM(BR10:BR11)</f>
        <v>603.26314000000002</v>
      </c>
      <c r="BS12" s="69">
        <f>BN12-BR12</f>
        <v>0</v>
      </c>
      <c r="BT12" s="70">
        <f>+IF(IFERROR(BN12/BR12-1,"-")&lt;300%,IFERROR(BN12/BR12-1,"-"),"n.a.")</f>
        <v>0</v>
      </c>
      <c r="BV12" s="38" t="s">
        <v>16</v>
      </c>
      <c r="BW12" s="68">
        <f>BW10+BW11</f>
        <v>337.88344000000006</v>
      </c>
      <c r="BX12" s="9">
        <v>321.29277999999999</v>
      </c>
      <c r="BY12" s="69">
        <f>BW12-BX12</f>
        <v>16.590660000000071</v>
      </c>
      <c r="BZ12" s="70">
        <f>+IF(IFERROR(BW12/BX12-1,"-")&lt;300%,IFERROR(BW12/BX12-1,"-"),"n.a.")</f>
        <v>5.1637201433533786E-2</v>
      </c>
      <c r="CA12" s="69">
        <f>SUM(CA10:CA11)</f>
        <v>337.88344000000006</v>
      </c>
      <c r="CB12" s="69">
        <f>BW12-CA12</f>
        <v>0</v>
      </c>
      <c r="CC12" s="70">
        <f>+IF(IFERROR(BW12/CA12-1,"-")&lt;300%,IFERROR(BW12/CA12-1,"-"),"n.a.")</f>
        <v>0</v>
      </c>
      <c r="CD12" s="60"/>
      <c r="CE12" s="38" t="s">
        <v>16</v>
      </c>
      <c r="CF12" s="68">
        <f>CF10+CF11</f>
        <v>573.70524</v>
      </c>
      <c r="CG12" s="9">
        <v>609.95365000000004</v>
      </c>
      <c r="CH12" s="69">
        <f>CF12-CG12</f>
        <v>-36.248410000000035</v>
      </c>
      <c r="CI12" s="70">
        <f>+IF(IFERROR(CF12/CG12-1,"-")&lt;300%,IFERROR(CF12/CG12-1,"-"),"n.a.")</f>
        <v>-5.9428138515115081E-2</v>
      </c>
      <c r="CJ12" s="69">
        <f>SUM(CJ10:CJ11)</f>
        <v>573.70524</v>
      </c>
      <c r="CK12" s="69">
        <f>CF12-CJ12</f>
        <v>0</v>
      </c>
      <c r="CL12" s="70">
        <f>+IF(IFERROR(CF12/CJ12-1,"-")&lt;300%,IFERROR(CF12/CJ12-1,"-"),"n.a.")</f>
        <v>0</v>
      </c>
      <c r="CN12" s="38" t="s">
        <v>16</v>
      </c>
      <c r="CO12" s="68">
        <f>CO10+CO11</f>
        <v>873.69694000000004</v>
      </c>
      <c r="CP12" s="9">
        <v>820.89850000000001</v>
      </c>
      <c r="CQ12" s="69">
        <f>CO12-CP12</f>
        <v>52.798440000000028</v>
      </c>
      <c r="CR12" s="70">
        <f>+IF(IFERROR(CO12/CP12-1,"-")&lt;300%,IFERROR(CO12/CP12-1,"-"),"n.a.")</f>
        <v>6.4317866337921137E-2</v>
      </c>
      <c r="CS12" s="69">
        <f>SUM(CS10:CS11)</f>
        <v>873.69694000000004</v>
      </c>
      <c r="CT12" s="69">
        <f>CO12-CS12</f>
        <v>0</v>
      </c>
      <c r="CU12" s="70">
        <f>+IF(IFERROR(CO12/CS12-1,"-")&lt;300%,IFERROR(CO12/CS12-1,"-"),"n.a.")</f>
        <v>0</v>
      </c>
      <c r="CW12" s="38" t="s">
        <v>16</v>
      </c>
      <c r="CX12" s="68">
        <f>CX10+CX11</f>
        <v>991.30890999999997</v>
      </c>
      <c r="CY12" s="9">
        <v>693.26205000000016</v>
      </c>
      <c r="CZ12" s="69">
        <f>CX12-CY12</f>
        <v>298.04685999999981</v>
      </c>
      <c r="DA12" s="70">
        <f>+IF(IFERROR(CX12/CY12-1,"-")&lt;300%,IFERROR(CX12/CY12-1,"-"),"n.a.")</f>
        <v>0.42991947994268509</v>
      </c>
      <c r="DB12" s="69">
        <f>SUM(DB10:DB11)</f>
        <v>991.30890999999997</v>
      </c>
      <c r="DC12" s="69">
        <f>CX12-DB12</f>
        <v>0</v>
      </c>
      <c r="DD12" s="70">
        <f>+IF(IFERROR(CX12/DB12-1,"-")&lt;300%,IFERROR(CX12/DB12-1,"-"),"n.a.")</f>
        <v>0</v>
      </c>
      <c r="DF12" s="38" t="s">
        <v>16</v>
      </c>
      <c r="DG12" s="68">
        <f>DG10+DG11</f>
        <v>11330.913790000001</v>
      </c>
      <c r="DH12" s="68">
        <f>DH10+DH11</f>
        <v>9946.4671499999986</v>
      </c>
      <c r="DI12" s="69">
        <f>DG12-DH12</f>
        <v>1384.4466400000019</v>
      </c>
      <c r="DJ12" s="70">
        <f>+IF(IFERROR(DG12/DH12-1,"-")&lt;300%,IFERROR(DG12/DH12-1,"-"),"n.a.")</f>
        <v>0.13918978659674175</v>
      </c>
      <c r="DK12" s="69">
        <f>SUM(DK10:DK11)</f>
        <v>11330.913790000001</v>
      </c>
      <c r="DL12" s="69">
        <f>DG12-DK12</f>
        <v>0</v>
      </c>
      <c r="DM12" s="70">
        <f>+IF(IFERROR(DG12/DK12-1,"-")&lt;300%,IFERROR(DG12/DK12-1,"-"),"n.a.")</f>
        <v>0</v>
      </c>
    </row>
    <row r="13" spans="2:117" x14ac:dyDescent="0.25">
      <c r="B13" s="39" t="s">
        <v>17</v>
      </c>
      <c r="C13" s="71">
        <f>C12/C10</f>
        <v>0.71148460850767115</v>
      </c>
      <c r="D13" s="71">
        <v>0.48906607267551849</v>
      </c>
      <c r="E13" s="40"/>
      <c r="F13" s="83"/>
      <c r="G13" s="71">
        <f>G12/G10</f>
        <v>0.71148460850767115</v>
      </c>
      <c r="H13" s="41"/>
      <c r="I13" s="83"/>
      <c r="K13" s="39" t="s">
        <v>17</v>
      </c>
      <c r="L13" s="71">
        <f>L12/L10</f>
        <v>0.65877918178946759</v>
      </c>
      <c r="M13" s="71">
        <v>0.75773235842907394</v>
      </c>
      <c r="N13" s="40"/>
      <c r="O13" s="83"/>
      <c r="P13" s="71">
        <f>P12/P10</f>
        <v>0.65877918178946759</v>
      </c>
      <c r="Q13" s="41"/>
      <c r="R13" s="83"/>
      <c r="T13" s="39" t="s">
        <v>17</v>
      </c>
      <c r="U13" s="71">
        <f>U12/U10</f>
        <v>0.62581306047754082</v>
      </c>
      <c r="V13" s="71">
        <v>0.74853136455023506</v>
      </c>
      <c r="W13" s="40"/>
      <c r="X13" s="83"/>
      <c r="Y13" s="71">
        <f>Y12/Y10</f>
        <v>0.62581306047754082</v>
      </c>
      <c r="Z13" s="41"/>
      <c r="AA13" s="83"/>
      <c r="AB13" s="124"/>
      <c r="AC13" s="39" t="s">
        <v>17</v>
      </c>
      <c r="AD13" s="71">
        <f>AD12/AD10</f>
        <v>0.6381146502666738</v>
      </c>
      <c r="AE13" s="71">
        <v>0.6537944958557772</v>
      </c>
      <c r="AF13" s="40"/>
      <c r="AG13" s="83"/>
      <c r="AH13" s="71">
        <f>AH12/AH10</f>
        <v>0.6381146502666738</v>
      </c>
      <c r="AI13" s="41"/>
      <c r="AJ13" s="83"/>
      <c r="AK13" s="124"/>
      <c r="AL13" s="39" t="s">
        <v>17</v>
      </c>
      <c r="AM13" s="71">
        <f>AM12/AM10</f>
        <v>0.64323244343832575</v>
      </c>
      <c r="AN13" s="71">
        <v>0.67585926322728951</v>
      </c>
      <c r="AO13" s="40"/>
      <c r="AP13" s="83"/>
      <c r="AQ13" s="71">
        <f>AQ12/AQ10</f>
        <v>0.64323244343832575</v>
      </c>
      <c r="AR13" s="41"/>
      <c r="AS13" s="83"/>
      <c r="AT13" s="74"/>
      <c r="AU13" s="39" t="s">
        <v>17</v>
      </c>
      <c r="AV13" s="71">
        <f>AV12/AV10</f>
        <v>0.6287851460650884</v>
      </c>
      <c r="AW13" s="71">
        <v>0.62107065497981984</v>
      </c>
      <c r="AX13" s="40"/>
      <c r="AY13" s="83"/>
      <c r="AZ13" s="71">
        <f>AZ12/AZ10</f>
        <v>0.6287851460650884</v>
      </c>
      <c r="BA13" s="41"/>
      <c r="BB13" s="83"/>
      <c r="BC13" s="74"/>
      <c r="BD13" s="39" t="s">
        <v>17</v>
      </c>
      <c r="BE13" s="71">
        <f>BE12/BE10</f>
        <v>0.619744298563357</v>
      </c>
      <c r="BF13" s="71">
        <v>0.59298546598340296</v>
      </c>
      <c r="BG13" s="40"/>
      <c r="BH13" s="83"/>
      <c r="BI13" s="71">
        <f>BI12/BI10</f>
        <v>0.619744298563357</v>
      </c>
      <c r="BJ13" s="41"/>
      <c r="BK13" s="83"/>
      <c r="BL13" s="76"/>
      <c r="BM13" s="39" t="s">
        <v>17</v>
      </c>
      <c r="BN13" s="71">
        <f>BN12/BN10</f>
        <v>0.63957754048527771</v>
      </c>
      <c r="BO13" s="71">
        <v>0.65471583328696692</v>
      </c>
      <c r="BP13" s="40"/>
      <c r="BQ13" s="83"/>
      <c r="BR13" s="71">
        <f>BR12/BR10</f>
        <v>0.63957754048527771</v>
      </c>
      <c r="BS13" s="41"/>
      <c r="BT13" s="83"/>
      <c r="BV13" s="39" t="s">
        <v>17</v>
      </c>
      <c r="BW13" s="71">
        <f>BW12/BW10</f>
        <v>0.61669245439893383</v>
      </c>
      <c r="BX13" s="71">
        <v>0.66508713375449158</v>
      </c>
      <c r="BY13" s="40"/>
      <c r="BZ13" s="83"/>
      <c r="CA13" s="71">
        <f>CA12/CA10</f>
        <v>0.61669245439893383</v>
      </c>
      <c r="CB13" s="41"/>
      <c r="CC13" s="83"/>
      <c r="CD13" s="42"/>
      <c r="CE13" s="39" t="s">
        <v>17</v>
      </c>
      <c r="CF13" s="71">
        <f>CF12/CF10</f>
        <v>0.62611281751457626</v>
      </c>
      <c r="CG13" s="71">
        <v>0.66876848798846023</v>
      </c>
      <c r="CH13" s="40"/>
      <c r="CI13" s="83"/>
      <c r="CJ13" s="71">
        <f>CJ12/CJ10</f>
        <v>0.62611281751457626</v>
      </c>
      <c r="CK13" s="41"/>
      <c r="CL13" s="83"/>
      <c r="CN13" s="39" t="s">
        <v>17</v>
      </c>
      <c r="CO13" s="71">
        <f>CO12/CO10</f>
        <v>0.6168578180676233</v>
      </c>
      <c r="CP13" s="71">
        <v>0.66994524491354424</v>
      </c>
      <c r="CQ13" s="40"/>
      <c r="CR13" s="83"/>
      <c r="CS13" s="71">
        <f>CS12/CS10</f>
        <v>0.6168578180676233</v>
      </c>
      <c r="CT13" s="41"/>
      <c r="CU13" s="83"/>
      <c r="CW13" s="39" t="s">
        <v>17</v>
      </c>
      <c r="CX13" s="71">
        <f>CX12/CX10</f>
        <v>0.63806315478566911</v>
      </c>
      <c r="CY13" s="71">
        <v>0.60684311230552457</v>
      </c>
      <c r="CZ13" s="40"/>
      <c r="DA13" s="83"/>
      <c r="DB13" s="71">
        <f>DB12/DB10</f>
        <v>0.63806315478566911</v>
      </c>
      <c r="DC13" s="41"/>
      <c r="DD13" s="83"/>
      <c r="DF13" s="39" t="s">
        <v>17</v>
      </c>
      <c r="DG13" s="71">
        <f>DG12/DG10</f>
        <v>0.63878742805069111</v>
      </c>
      <c r="DH13" s="71">
        <f>DH12/DH10</f>
        <v>0.65523499011857711</v>
      </c>
      <c r="DI13" s="40"/>
      <c r="DJ13" s="83"/>
      <c r="DK13" s="71">
        <f>DK12/DK10</f>
        <v>0.63878742805069111</v>
      </c>
      <c r="DL13" s="41"/>
      <c r="DM13" s="83"/>
    </row>
    <row r="14" spans="2:117" x14ac:dyDescent="0.25">
      <c r="B14" s="39"/>
      <c r="C14" s="43"/>
      <c r="D14" s="44"/>
      <c r="E14" s="45"/>
      <c r="F14" s="84"/>
      <c r="G14" s="46"/>
      <c r="H14" s="45"/>
      <c r="I14" s="84"/>
      <c r="K14" s="39"/>
      <c r="L14" s="43"/>
      <c r="M14" s="44"/>
      <c r="N14" s="45"/>
      <c r="O14" s="84"/>
      <c r="P14" s="46"/>
      <c r="Q14" s="45"/>
      <c r="R14" s="84"/>
      <c r="T14" s="39"/>
      <c r="U14" s="43"/>
      <c r="V14" s="44"/>
      <c r="W14" s="45"/>
      <c r="X14" s="84"/>
      <c r="Y14" s="46"/>
      <c r="Z14" s="45"/>
      <c r="AA14" s="84"/>
      <c r="AB14" s="121"/>
      <c r="AC14" s="39"/>
      <c r="AD14" s="43"/>
      <c r="AE14" s="44"/>
      <c r="AF14" s="45"/>
      <c r="AG14" s="84"/>
      <c r="AH14" s="46"/>
      <c r="AI14" s="45"/>
      <c r="AJ14" s="84"/>
      <c r="AK14" s="121"/>
      <c r="AL14" s="39"/>
      <c r="AM14" s="43"/>
      <c r="AN14" s="44"/>
      <c r="AO14" s="45"/>
      <c r="AP14" s="84"/>
      <c r="AQ14" s="46"/>
      <c r="AR14" s="45"/>
      <c r="AS14" s="84"/>
      <c r="AT14" s="50"/>
      <c r="AU14" s="39"/>
      <c r="AV14" s="43"/>
      <c r="AW14" s="44"/>
      <c r="AX14" s="45"/>
      <c r="AY14" s="84"/>
      <c r="AZ14" s="46"/>
      <c r="BA14" s="45"/>
      <c r="BB14" s="84"/>
      <c r="BC14" s="50"/>
      <c r="BD14" s="39"/>
      <c r="BE14" s="43"/>
      <c r="BF14" s="44"/>
      <c r="BG14" s="45"/>
      <c r="BH14" s="84"/>
      <c r="BI14" s="46"/>
      <c r="BJ14" s="45"/>
      <c r="BK14" s="84"/>
      <c r="BL14" s="54"/>
      <c r="BM14" s="39"/>
      <c r="BN14" s="43"/>
      <c r="BO14" s="44"/>
      <c r="BP14" s="45"/>
      <c r="BQ14" s="84"/>
      <c r="BR14" s="46"/>
      <c r="BS14" s="45"/>
      <c r="BT14" s="84"/>
      <c r="BV14" s="39"/>
      <c r="BW14" s="43"/>
      <c r="BX14" s="44"/>
      <c r="BY14" s="45"/>
      <c r="BZ14" s="84"/>
      <c r="CA14" s="46"/>
      <c r="CB14" s="45"/>
      <c r="CC14" s="84"/>
      <c r="CD14" s="47"/>
      <c r="CE14" s="39"/>
      <c r="CF14" s="43"/>
      <c r="CG14" s="44"/>
      <c r="CH14" s="45"/>
      <c r="CI14" s="84"/>
      <c r="CJ14" s="46"/>
      <c r="CK14" s="45"/>
      <c r="CL14" s="84"/>
      <c r="CN14" s="39"/>
      <c r="CO14" s="43"/>
      <c r="CP14" s="44"/>
      <c r="CQ14" s="45"/>
      <c r="CR14" s="84"/>
      <c r="CS14" s="46"/>
      <c r="CT14" s="45"/>
      <c r="CU14" s="84"/>
      <c r="CW14" s="39"/>
      <c r="CX14" s="43"/>
      <c r="CY14" s="44"/>
      <c r="CZ14" s="45"/>
      <c r="DA14" s="84"/>
      <c r="DB14" s="46"/>
      <c r="DC14" s="45"/>
      <c r="DD14" s="84"/>
      <c r="DF14" s="39"/>
      <c r="DG14" s="43"/>
      <c r="DH14" s="44"/>
      <c r="DI14" s="45"/>
      <c r="DJ14" s="84"/>
      <c r="DK14" s="46"/>
      <c r="DL14" s="45"/>
      <c r="DM14" s="84"/>
    </row>
    <row r="15" spans="2:117" x14ac:dyDescent="0.25">
      <c r="B15" s="48" t="s">
        <v>18</v>
      </c>
      <c r="C15" s="2">
        <f>GETPIVOTDATA("ene-27 ",TABLA!$B$3,"Nivel 4","6.- Gastos de personal")/1000</f>
        <v>-162.38273999999998</v>
      </c>
      <c r="D15" s="2">
        <v>-111.53201</v>
      </c>
      <c r="E15" s="74">
        <f>C15-D15</f>
        <v>-50.850729999999984</v>
      </c>
      <c r="F15" s="75">
        <f>+IF(IFERROR(C15/D15-1,"-")&lt;300%,IFERROR(C15/D15-1,"-"),"n.a.")</f>
        <v>0.45592946814102953</v>
      </c>
      <c r="G15" s="76">
        <f>C15</f>
        <v>-162.38273999999998</v>
      </c>
      <c r="H15" s="74">
        <f>C15-G15</f>
        <v>0</v>
      </c>
      <c r="I15" s="75">
        <f>+IF(IFERROR(C15/G15-1,"-")&lt;300%,IFERROR(C15/G15-1,"-"),"n.a.")</f>
        <v>0</v>
      </c>
      <c r="K15" s="48" t="s">
        <v>18</v>
      </c>
      <c r="L15" s="2">
        <f>GETPIVOTDATA("feb-27 ",TABLA!$B$3,"Nivel 4","6.- Gastos de personal")/1000</f>
        <v>-162.38273999999998</v>
      </c>
      <c r="M15" s="2">
        <v>-142.9272</v>
      </c>
      <c r="N15" s="74">
        <f>L15-M15</f>
        <v>-19.455539999999985</v>
      </c>
      <c r="O15" s="75">
        <f>+IF(IFERROR(L15/M15-1,"-")&lt;300%,IFERROR(L15/M15-1,"-"),"n.a.")</f>
        <v>0.1361220257585678</v>
      </c>
      <c r="P15" s="76">
        <f>L15</f>
        <v>-162.38273999999998</v>
      </c>
      <c r="Q15" s="74">
        <f>L15-P15</f>
        <v>0</v>
      </c>
      <c r="R15" s="75">
        <f>+IF(IFERROR(L15/P15-1,"-")&lt;300%,IFERROR(L15/P15-1,"-"),"n.a.")</f>
        <v>0</v>
      </c>
      <c r="T15" s="48" t="s">
        <v>18</v>
      </c>
      <c r="U15" s="2">
        <f>GETPIVOTDATA("mar-27 ",TABLA!$B$3,"Nivel 4","6.- Gastos de personal")/1000</f>
        <v>-162.38273999999998</v>
      </c>
      <c r="V15" s="2">
        <v>-146.23330999999999</v>
      </c>
      <c r="W15" s="74">
        <f>U15-V15</f>
        <v>-16.149429999999995</v>
      </c>
      <c r="X15" s="75">
        <f>+IF(IFERROR(U15/V15-1,"-")&lt;300%,IFERROR(U15/V15-1,"-"),"n.a.")</f>
        <v>0.11043605591639816</v>
      </c>
      <c r="Y15" s="76">
        <f>U15</f>
        <v>-162.38273999999998</v>
      </c>
      <c r="Z15" s="74">
        <f>U15-Y15</f>
        <v>0</v>
      </c>
      <c r="AA15" s="75">
        <f>+IF(IFERROR(U15/Y15-1,"-")&lt;300%,IFERROR(U15/Y15-1,"-"),"n.a.")</f>
        <v>0</v>
      </c>
      <c r="AB15" s="121"/>
      <c r="AC15" s="48" t="s">
        <v>18</v>
      </c>
      <c r="AD15" s="2">
        <f>GETPIVOTDATA("abr-27 ",TABLA!$B$3,"Nivel 4","6.- Gastos de personal")/1000</f>
        <v>-162.38273999999998</v>
      </c>
      <c r="AE15" s="2">
        <v>-130.04767000000001</v>
      </c>
      <c r="AF15" s="74">
        <f>AD15-AE15</f>
        <v>-32.335069999999973</v>
      </c>
      <c r="AG15" s="75">
        <f>+IF(IFERROR(AD15/AE15-1,"-")&lt;300%,IFERROR(AD15/AE15-1,"-"),"n.a.")</f>
        <v>0.24864013326805456</v>
      </c>
      <c r="AH15" s="76">
        <f>AD15</f>
        <v>-162.38273999999998</v>
      </c>
      <c r="AI15" s="74">
        <f>AD15-AH15</f>
        <v>0</v>
      </c>
      <c r="AJ15" s="75">
        <f>+IF(IFERROR(AD15/AH15-1,"-")&lt;300%,IFERROR(AD15/AH15-1,"-"),"n.a.")</f>
        <v>0</v>
      </c>
      <c r="AK15" s="121"/>
      <c r="AL15" s="48" t="s">
        <v>18</v>
      </c>
      <c r="AM15" s="2">
        <f>GETPIVOTDATA("may-27 ",TABLA!$B$3,"Nivel 4","6.- Gastos de personal")/1000</f>
        <v>-162.38273999999998</v>
      </c>
      <c r="AN15" s="2">
        <v>-134.99252000000001</v>
      </c>
      <c r="AO15" s="74">
        <f>AM15-AN15</f>
        <v>-27.390219999999971</v>
      </c>
      <c r="AP15" s="75">
        <f>+IF(IFERROR(AM15/AN15-1,"-")&lt;300%,IFERROR(AM15/AN15-1,"-"),"n.a.")</f>
        <v>0.20290176077904154</v>
      </c>
      <c r="AQ15" s="76">
        <f>AM15</f>
        <v>-162.38273999999998</v>
      </c>
      <c r="AR15" s="74">
        <f>AM15-AQ15</f>
        <v>0</v>
      </c>
      <c r="AS15" s="75">
        <f>+IF(IFERROR(AM15/AQ15-1,"-")&lt;300%,IFERROR(AM15/AQ15-1,"-"),"n.a.")</f>
        <v>0</v>
      </c>
      <c r="AT15" s="36"/>
      <c r="AU15" s="48" t="s">
        <v>18</v>
      </c>
      <c r="AV15" s="2">
        <f>GETPIVOTDATA("jun-27 ",TABLA!$B$3,"Nivel 4","6.- Gastos de personal")/1000</f>
        <v>-162.38273999999998</v>
      </c>
      <c r="AW15" s="2">
        <v>-145.07228000000001</v>
      </c>
      <c r="AX15" s="74">
        <f>AV15-AW15</f>
        <v>-17.310459999999978</v>
      </c>
      <c r="AY15" s="75">
        <f>+IF(IFERROR(AV15/AW15-1,"-")&lt;300%,IFERROR(AV15/AW15-1,"-"),"n.a.")</f>
        <v>0.11932300229926751</v>
      </c>
      <c r="AZ15" s="76">
        <f>AV15</f>
        <v>-162.38273999999998</v>
      </c>
      <c r="BA15" s="74">
        <f>AV15-AZ15</f>
        <v>0</v>
      </c>
      <c r="BB15" s="75">
        <f>+IF(IFERROR(AV15/AZ15-1,"-")&lt;300%,IFERROR(AV15/AZ15-1,"-"),"n.a.")</f>
        <v>0</v>
      </c>
      <c r="BC15" s="36"/>
      <c r="BD15" s="48" t="s">
        <v>18</v>
      </c>
      <c r="BE15" s="2">
        <f>GETPIVOTDATA("jul-27 ",TABLA!$B$3,"Nivel 4","6.- Gastos de personal")/1000</f>
        <v>-162.38273999999998</v>
      </c>
      <c r="BF15" s="2">
        <v>-153.53364999999999</v>
      </c>
      <c r="BG15" s="74">
        <f>BE15-BF15</f>
        <v>-8.8490899999999897</v>
      </c>
      <c r="BH15" s="75">
        <f>+IF(IFERROR(BE15/BF15-1,"-")&lt;300%,IFERROR(BE15/BF15-1,"-"),"n.a.")</f>
        <v>5.7636159890681826E-2</v>
      </c>
      <c r="BI15" s="76">
        <f>BE15</f>
        <v>-162.38273999999998</v>
      </c>
      <c r="BJ15" s="74">
        <f>BE15-BI15</f>
        <v>0</v>
      </c>
      <c r="BK15" s="75">
        <f>+IF(IFERROR(BE15/BI15-1,"-")&lt;300%,IFERROR(BE15/BI15-1,"-"),"n.a.")</f>
        <v>0</v>
      </c>
      <c r="BL15" s="36"/>
      <c r="BM15" s="48" t="s">
        <v>18</v>
      </c>
      <c r="BN15" s="2">
        <f>GETPIVOTDATA("ago-27 ",TABLA!$B$3,"Nivel 4","6.- Gastos de personal")/1000</f>
        <v>-162.38273999999998</v>
      </c>
      <c r="BO15" s="2">
        <v>-152.63279</v>
      </c>
      <c r="BP15" s="74">
        <f>BN15-BO15</f>
        <v>-9.7499499999999841</v>
      </c>
      <c r="BQ15" s="75">
        <f>+IF(IFERROR(BN15/BO15-1,"-")&lt;300%,IFERROR(BN15/BO15-1,"-"),"n.a.")</f>
        <v>6.3878475915954747E-2</v>
      </c>
      <c r="BR15" s="76">
        <f>BN15</f>
        <v>-162.38273999999998</v>
      </c>
      <c r="BS15" s="74">
        <f>BN15-BR15</f>
        <v>0</v>
      </c>
      <c r="BT15" s="75">
        <f>+IF(IFERROR(BN15/BR15-1,"-")&lt;300%,IFERROR(BN15/BR15-1,"-"),"n.a.")</f>
        <v>0</v>
      </c>
      <c r="BV15" s="48" t="s">
        <v>18</v>
      </c>
      <c r="BW15" s="2">
        <f>GETPIVOTDATA("sep-27 ",TABLA!$B$3,"Nivel 4","6.- Gastos de personal")/1000</f>
        <v>-162.38273999999998</v>
      </c>
      <c r="BX15" s="2">
        <v>-152.63279</v>
      </c>
      <c r="BY15" s="74">
        <f>BW15-BX15</f>
        <v>-9.7499499999999841</v>
      </c>
      <c r="BZ15" s="75">
        <f>+IF(IFERROR(BW15/BX15-1,"-")&lt;300%,IFERROR(BW15/BX15-1,"-"),"n.a.")</f>
        <v>6.3878475915954747E-2</v>
      </c>
      <c r="CA15" s="76">
        <f>BW15</f>
        <v>-162.38273999999998</v>
      </c>
      <c r="CB15" s="74">
        <f>BW15-CA15</f>
        <v>0</v>
      </c>
      <c r="CC15" s="75">
        <f>+IF(IFERROR(BW15/CA15-1,"-")&lt;300%,IFERROR(BW15/CA15-1,"-"),"n.a.")</f>
        <v>0</v>
      </c>
      <c r="CD15" s="60"/>
      <c r="CE15" s="48" t="s">
        <v>18</v>
      </c>
      <c r="CF15" s="2">
        <f>GETPIVOTDATA("oct-27 ",TABLA!$B$3,"Nivel 4","6.- Gastos de personal")/1000</f>
        <v>-162.38273999999998</v>
      </c>
      <c r="CG15" s="2">
        <v>-152.63279</v>
      </c>
      <c r="CH15" s="74">
        <f>CF15-CG15</f>
        <v>-9.7499499999999841</v>
      </c>
      <c r="CI15" s="75">
        <f>+IF(IFERROR(CF15/CG15-1,"-")&lt;300%,IFERROR(CF15/CG15-1,"-"),"n.a.")</f>
        <v>6.3878475915954747E-2</v>
      </c>
      <c r="CJ15" s="76">
        <f>CF15</f>
        <v>-162.38273999999998</v>
      </c>
      <c r="CK15" s="74">
        <f>CF15-CJ15</f>
        <v>0</v>
      </c>
      <c r="CL15" s="75">
        <f>+IF(IFERROR(CF15/CJ15-1,"-")&lt;300%,IFERROR(CF15/CJ15-1,"-"),"n.a.")</f>
        <v>0</v>
      </c>
      <c r="CN15" s="48" t="s">
        <v>18</v>
      </c>
      <c r="CO15" s="2">
        <f>GETPIVOTDATA("nov-27 ",TABLA!$B$3,"Nivel 4","6.- Gastos de personal")/1000</f>
        <v>-163.38273999999998</v>
      </c>
      <c r="CP15" s="2">
        <v>-152.63279</v>
      </c>
      <c r="CQ15" s="74">
        <f>CO15-CP15</f>
        <v>-10.749949999999984</v>
      </c>
      <c r="CR15" s="75">
        <f>+IF(IFERROR(CO15/CP15-1,"-")&lt;300%,IFERROR(CO15/CP15-1,"-"),"n.a.")</f>
        <v>7.0430148069756005E-2</v>
      </c>
      <c r="CS15" s="76">
        <f>CO15</f>
        <v>-163.38273999999998</v>
      </c>
      <c r="CT15" s="74">
        <f>CO15-CS15</f>
        <v>0</v>
      </c>
      <c r="CU15" s="75">
        <f>+IF(IFERROR(CO15/CS15-1,"-")&lt;300%,IFERROR(CO15/CS15-1,"-"),"n.a.")</f>
        <v>0</v>
      </c>
      <c r="CW15" s="48" t="s">
        <v>18</v>
      </c>
      <c r="CX15" s="2">
        <f>GETPIVOTDATA("dic-27 ",TABLA!$B$3,"Nivel 4","6.- Gastos de personal")/1000</f>
        <v>-441.39946000000003</v>
      </c>
      <c r="CY15" s="2">
        <v>-431.63279</v>
      </c>
      <c r="CZ15" s="74">
        <f>CX15-CY15</f>
        <v>-9.7666700000000333</v>
      </c>
      <c r="DA15" s="75">
        <f>+IF(IFERROR(CX15/CY15-1,"-")&lt;300%,IFERROR(CX15/CY15-1,"-"),"n.a.")</f>
        <v>2.2627266107378086E-2</v>
      </c>
      <c r="DB15" s="76">
        <f>CX15</f>
        <v>-441.39946000000003</v>
      </c>
      <c r="DC15" s="74">
        <f>CX15-DB15</f>
        <v>0</v>
      </c>
      <c r="DD15" s="75">
        <f>+IF(IFERROR(CX15/DB15-1,"-")&lt;300%,IFERROR(CX15/DB15-1,"-"),"n.a.")</f>
        <v>0</v>
      </c>
      <c r="DF15" s="48" t="s">
        <v>18</v>
      </c>
      <c r="DG15" s="2">
        <f>GETPIVOTDATA("Total 2027 ",TABLA!$B$3,"Nivel 4","6.- Gastos de personal")/1000</f>
        <v>-2228.6096000000002</v>
      </c>
      <c r="DH15" s="2">
        <f>CY15+CP15+CG15+BX15+BO15+BF15+AW15+AN15+AE15+V15+M15+D15</f>
        <v>-2006.5025900000003</v>
      </c>
      <c r="DI15" s="74">
        <f>DG15-DH15</f>
        <v>-222.10700999999995</v>
      </c>
      <c r="DJ15" s="75">
        <f>+IF(IFERROR(DG15/DH15-1,"-")&lt;300%,IFERROR(DG15/DH15-1,"-"),"n.a.")</f>
        <v>0.11069360742763856</v>
      </c>
      <c r="DK15" s="76">
        <f>DG15</f>
        <v>-2228.6096000000002</v>
      </c>
      <c r="DL15" s="74">
        <f>DG15-DK15</f>
        <v>0</v>
      </c>
      <c r="DM15" s="75">
        <f>+IF(IFERROR(DG15/DK15-1,"-")&lt;300%,IFERROR(DG15/DK15-1,"-"),"n.a.")</f>
        <v>0</v>
      </c>
    </row>
    <row r="16" spans="2:117" x14ac:dyDescent="0.25">
      <c r="B16" s="49" t="s">
        <v>19</v>
      </c>
      <c r="C16" s="54">
        <f>C15/C10</f>
        <v>-0.14197615264058683</v>
      </c>
      <c r="D16" s="54">
        <v>-0.1133666070644653</v>
      </c>
      <c r="E16" s="50"/>
      <c r="F16" s="67"/>
      <c r="G16" s="54">
        <f>G15/G10</f>
        <v>-0.14197615264058683</v>
      </c>
      <c r="H16" s="50"/>
      <c r="I16" s="67"/>
      <c r="K16" s="49" t="s">
        <v>19</v>
      </c>
      <c r="L16" s="54">
        <f>L15/L10</f>
        <v>-8.7649315941234526E-2</v>
      </c>
      <c r="M16" s="54">
        <v>-9.7201077114852596E-2</v>
      </c>
      <c r="N16" s="50"/>
      <c r="O16" s="67"/>
      <c r="P16" s="54">
        <f>P15/P10</f>
        <v>-8.7649315941234526E-2</v>
      </c>
      <c r="Q16" s="50"/>
      <c r="R16" s="67"/>
      <c r="T16" s="49" t="s">
        <v>19</v>
      </c>
      <c r="U16" s="54">
        <f>U15/U10</f>
        <v>-9.1373374693558565E-2</v>
      </c>
      <c r="V16" s="54">
        <v>-9.5341191591614929E-2</v>
      </c>
      <c r="W16" s="50"/>
      <c r="X16" s="67"/>
      <c r="Y16" s="54">
        <f>Y15/Y10</f>
        <v>-9.1373374693558565E-2</v>
      </c>
      <c r="Z16" s="50"/>
      <c r="AA16" s="67"/>
      <c r="AB16" s="121"/>
      <c r="AC16" s="49" t="s">
        <v>19</v>
      </c>
      <c r="AD16" s="54">
        <f>AD15/AD10</f>
        <v>-0.11349469241290647</v>
      </c>
      <c r="AE16" s="54">
        <v>-8.8942995498371077E-2</v>
      </c>
      <c r="AF16" s="50"/>
      <c r="AG16" s="67"/>
      <c r="AH16" s="54">
        <f>AH15/AH10</f>
        <v>-0.11349469241290647</v>
      </c>
      <c r="AI16" s="50"/>
      <c r="AJ16" s="67"/>
      <c r="AK16" s="121"/>
      <c r="AL16" s="49" t="s">
        <v>19</v>
      </c>
      <c r="AM16" s="54">
        <f>AM15/AM10</f>
        <v>-6.9127530018308569E-2</v>
      </c>
      <c r="AN16" s="54">
        <v>-7.0092125003656011E-2</v>
      </c>
      <c r="AO16" s="50"/>
      <c r="AP16" s="67"/>
      <c r="AQ16" s="54">
        <f>AQ15/AQ10</f>
        <v>-6.9127530018308569E-2</v>
      </c>
      <c r="AR16" s="50"/>
      <c r="AS16" s="67"/>
      <c r="AT16" s="66"/>
      <c r="AU16" s="49" t="s">
        <v>19</v>
      </c>
      <c r="AV16" s="54">
        <f>AV15/AV10</f>
        <v>-6.9707607962493839E-2</v>
      </c>
      <c r="AW16" s="54">
        <v>-7.3931153214145742E-2</v>
      </c>
      <c r="AX16" s="50"/>
      <c r="AY16" s="67"/>
      <c r="AZ16" s="54">
        <f>AZ15/AZ10</f>
        <v>-6.9707607962493839E-2</v>
      </c>
      <c r="BA16" s="50"/>
      <c r="BB16" s="67"/>
      <c r="BC16" s="66"/>
      <c r="BD16" s="49" t="s">
        <v>19</v>
      </c>
      <c r="BE16" s="54">
        <f>BE15/BE10</f>
        <v>-0.10986785085404707</v>
      </c>
      <c r="BF16" s="54">
        <v>-0.1189580031826185</v>
      </c>
      <c r="BG16" s="50"/>
      <c r="BH16" s="67"/>
      <c r="BI16" s="54">
        <f>BI15/BI10</f>
        <v>-0.10986785085404707</v>
      </c>
      <c r="BJ16" s="50"/>
      <c r="BK16" s="67"/>
      <c r="BL16" s="73"/>
      <c r="BM16" s="49" t="s">
        <v>19</v>
      </c>
      <c r="BN16" s="54">
        <f>BN15/BN10</f>
        <v>-0.17215763168699533</v>
      </c>
      <c r="BO16" s="54">
        <v>-0.19367059078347601</v>
      </c>
      <c r="BP16" s="50"/>
      <c r="BQ16" s="67"/>
      <c r="BR16" s="54">
        <f>BR15/BR10</f>
        <v>-0.17215763168699533</v>
      </c>
      <c r="BS16" s="50"/>
      <c r="BT16" s="67"/>
      <c r="BV16" s="49" t="s">
        <v>19</v>
      </c>
      <c r="BW16" s="54">
        <f>BW15/BW10</f>
        <v>-0.29637501761738866</v>
      </c>
      <c r="BX16" s="54">
        <v>-0.3159551385438889</v>
      </c>
      <c r="BY16" s="50"/>
      <c r="BZ16" s="67"/>
      <c r="CA16" s="54">
        <f>CA15/CA10</f>
        <v>-0.29637501761738866</v>
      </c>
      <c r="CB16" s="50"/>
      <c r="CC16" s="67"/>
      <c r="CD16" s="37"/>
      <c r="CE16" s="49" t="s">
        <v>19</v>
      </c>
      <c r="CF16" s="54">
        <f>CF15/CF10</f>
        <v>-0.1772162911692019</v>
      </c>
      <c r="CG16" s="54">
        <v>-0.16735042111111259</v>
      </c>
      <c r="CH16" s="50"/>
      <c r="CI16" s="67"/>
      <c r="CJ16" s="54">
        <f>CJ15/CJ10</f>
        <v>-0.1772162911692019</v>
      </c>
      <c r="CK16" s="50"/>
      <c r="CL16" s="67"/>
      <c r="CN16" s="49" t="s">
        <v>19</v>
      </c>
      <c r="CO16" s="54">
        <f>CO15/CO10</f>
        <v>-0.11535340905086584</v>
      </c>
      <c r="CP16" s="54">
        <v>-0.1245654753643569</v>
      </c>
      <c r="CQ16" s="50"/>
      <c r="CR16" s="67"/>
      <c r="CS16" s="54">
        <f>CS15/CS10</f>
        <v>-0.11535340905086584</v>
      </c>
      <c r="CT16" s="50"/>
      <c r="CU16" s="67"/>
      <c r="CW16" s="49" t="s">
        <v>19</v>
      </c>
      <c r="CX16" s="54">
        <f>CX15/CX10</f>
        <v>-0.28410995717600357</v>
      </c>
      <c r="CY16" s="54">
        <v>-0.3778273823826313</v>
      </c>
      <c r="CZ16" s="50"/>
      <c r="DA16" s="67"/>
      <c r="DB16" s="54">
        <f>DB15/DB10</f>
        <v>-0.28410995717600357</v>
      </c>
      <c r="DC16" s="50"/>
      <c r="DD16" s="67"/>
      <c r="DF16" s="49" t="s">
        <v>19</v>
      </c>
      <c r="DG16" s="54">
        <f>DG15/DG10</f>
        <v>-0.12563927507501402</v>
      </c>
      <c r="DH16" s="54">
        <f>DH15/DH10</f>
        <v>-0.1321806712779974</v>
      </c>
      <c r="DI16" s="50"/>
      <c r="DJ16" s="67"/>
      <c r="DK16" s="54">
        <f>DK15/DK10</f>
        <v>-0.12563927507501402</v>
      </c>
      <c r="DL16" s="50"/>
      <c r="DM16" s="67"/>
    </row>
    <row r="17" spans="2:117" x14ac:dyDescent="0.25">
      <c r="B17" s="49"/>
      <c r="C17" s="51"/>
      <c r="D17" s="51"/>
      <c r="E17" s="36"/>
      <c r="F17" s="67"/>
      <c r="G17" s="36"/>
      <c r="H17" s="36"/>
      <c r="I17" s="67"/>
      <c r="K17" s="49"/>
      <c r="L17" s="51"/>
      <c r="M17" s="51"/>
      <c r="N17" s="36"/>
      <c r="O17" s="67"/>
      <c r="P17" s="36"/>
      <c r="Q17" s="36"/>
      <c r="R17" s="67"/>
      <c r="T17" s="49"/>
      <c r="U17" s="51"/>
      <c r="V17" s="51"/>
      <c r="W17" s="36"/>
      <c r="X17" s="67"/>
      <c r="Y17" s="36"/>
      <c r="Z17" s="36"/>
      <c r="AA17" s="67"/>
      <c r="AB17" s="121"/>
      <c r="AC17" s="49"/>
      <c r="AD17" s="51"/>
      <c r="AE17" s="51"/>
      <c r="AF17" s="36"/>
      <c r="AG17" s="67"/>
      <c r="AH17" s="36"/>
      <c r="AI17" s="36"/>
      <c r="AJ17" s="67"/>
      <c r="AK17" s="121"/>
      <c r="AL17" s="49"/>
      <c r="AM17" s="51"/>
      <c r="AN17" s="51"/>
      <c r="AO17" s="36"/>
      <c r="AP17" s="67"/>
      <c r="AQ17" s="36"/>
      <c r="AR17" s="36"/>
      <c r="AS17" s="67"/>
      <c r="AT17" s="65"/>
      <c r="AU17" s="49"/>
      <c r="AV17" s="51"/>
      <c r="AW17" s="51"/>
      <c r="AX17" s="36"/>
      <c r="AY17" s="67"/>
      <c r="AZ17" s="36"/>
      <c r="BA17" s="36"/>
      <c r="BB17" s="67"/>
      <c r="BC17" s="65"/>
      <c r="BD17" s="49"/>
      <c r="BE17" s="51"/>
      <c r="BF17" s="51"/>
      <c r="BG17" s="36"/>
      <c r="BH17" s="67"/>
      <c r="BI17" s="36"/>
      <c r="BJ17" s="36"/>
      <c r="BK17" s="67"/>
      <c r="BL17" s="73"/>
      <c r="BM17" s="49"/>
      <c r="BN17" s="51"/>
      <c r="BO17" s="51"/>
      <c r="BP17" s="36"/>
      <c r="BQ17" s="67"/>
      <c r="BR17" s="36"/>
      <c r="BS17" s="36"/>
      <c r="BT17" s="67"/>
      <c r="BV17" s="49"/>
      <c r="BW17" s="51"/>
      <c r="BX17" s="51"/>
      <c r="BY17" s="36"/>
      <c r="BZ17" s="67"/>
      <c r="CA17" s="36"/>
      <c r="CB17" s="36"/>
      <c r="CC17" s="67"/>
      <c r="CD17" s="37"/>
      <c r="CE17" s="49"/>
      <c r="CF17" s="51"/>
      <c r="CG17" s="51"/>
      <c r="CH17" s="36"/>
      <c r="CI17" s="67"/>
      <c r="CJ17" s="36"/>
      <c r="CK17" s="36"/>
      <c r="CL17" s="67"/>
      <c r="CN17" s="49"/>
      <c r="CO17" s="51"/>
      <c r="CP17" s="51"/>
      <c r="CQ17" s="36"/>
      <c r="CR17" s="67"/>
      <c r="CS17" s="36"/>
      <c r="CT17" s="36"/>
      <c r="CU17" s="67"/>
      <c r="CW17" s="49"/>
      <c r="CX17" s="51"/>
      <c r="CY17" s="51"/>
      <c r="CZ17" s="36"/>
      <c r="DA17" s="67"/>
      <c r="DB17" s="36"/>
      <c r="DC17" s="36"/>
      <c r="DD17" s="67"/>
      <c r="DF17" s="49"/>
      <c r="DG17" s="51"/>
      <c r="DH17" s="51"/>
      <c r="DI17" s="36"/>
      <c r="DJ17" s="67"/>
      <c r="DK17" s="36"/>
      <c r="DL17" s="36"/>
      <c r="DM17" s="67"/>
    </row>
    <row r="18" spans="2:117" x14ac:dyDescent="0.25">
      <c r="B18" s="27" t="s">
        <v>20</v>
      </c>
      <c r="C18" s="7">
        <f>GETPIVOTDATA("ene-27 ",TABLA!$B$3,"Nivel 4","5.- Otros ingresos de explotación")/1000</f>
        <v>29.809200000000001</v>
      </c>
      <c r="D18" s="2">
        <v>0</v>
      </c>
      <c r="E18" s="74">
        <f>C18-D18</f>
        <v>29.809200000000001</v>
      </c>
      <c r="F18" s="67" t="str">
        <f>+IF(IFERROR(C18/D18-1,"-")&lt;300%,IFERROR(C18/D18-1,"-"),"n.a.")</f>
        <v>n.a.</v>
      </c>
      <c r="G18" s="73">
        <f>C18</f>
        <v>29.809200000000001</v>
      </c>
      <c r="H18" s="66">
        <f>C18-G18</f>
        <v>0</v>
      </c>
      <c r="I18" s="67">
        <f>+IF(IFERROR(C18/G18-1,"-")&lt;300%,IFERROR(C18/G18-1,"-"),"n.a.")</f>
        <v>0</v>
      </c>
      <c r="K18" s="27" t="s">
        <v>20</v>
      </c>
      <c r="L18" s="7">
        <f>GETPIVOTDATA("feb-27 ",TABLA!$B$3,"Nivel 4","5.- Otros ingresos de explotación")/1000</f>
        <v>21.246700000000001</v>
      </c>
      <c r="M18" s="2">
        <v>0</v>
      </c>
      <c r="N18" s="74">
        <f>L18-M18</f>
        <v>21.246700000000001</v>
      </c>
      <c r="O18" s="67" t="str">
        <f>+IF(IFERROR(L18/M18-1,"-")&lt;300%,IFERROR(L18/M18-1,"-"),"n.a.")</f>
        <v>n.a.</v>
      </c>
      <c r="P18" s="73">
        <f>L18</f>
        <v>21.246700000000001</v>
      </c>
      <c r="Q18" s="66">
        <f>L18-P18</f>
        <v>0</v>
      </c>
      <c r="R18" s="67">
        <f>+IF(IFERROR(L18/P18-1,"-")&lt;300%,IFERROR(L18/P18-1,"-"),"n.a.")</f>
        <v>0</v>
      </c>
      <c r="T18" s="27" t="s">
        <v>20</v>
      </c>
      <c r="U18" s="7">
        <f>GETPIVOTDATA("mar-27 ",TABLA!$B$3,"Nivel 4","5.- Otros ingresos de explotación")/1000</f>
        <v>19.638300000000001</v>
      </c>
      <c r="V18" s="2">
        <v>0</v>
      </c>
      <c r="W18" s="74">
        <f>U18-V18</f>
        <v>19.638300000000001</v>
      </c>
      <c r="X18" s="67" t="str">
        <f>+IF(IFERROR(U18/V18-1,"-")&lt;300%,IFERROR(U18/V18-1,"-"),"n.a.")</f>
        <v>n.a.</v>
      </c>
      <c r="Y18" s="73">
        <f>U18</f>
        <v>19.638300000000001</v>
      </c>
      <c r="Z18" s="66">
        <f>U18-Y18</f>
        <v>0</v>
      </c>
      <c r="AA18" s="67">
        <f>+IF(IFERROR(U18/Y18-1,"-")&lt;300%,IFERROR(U18/Y18-1,"-"),"n.a.")</f>
        <v>0</v>
      </c>
      <c r="AB18" s="124"/>
      <c r="AC18" s="27" t="s">
        <v>20</v>
      </c>
      <c r="AD18" s="7">
        <f>GETPIVOTDATA("abr-27 ",TABLA!$B$3,"Nivel 4","5.- Otros ingresos de explotación")/1000</f>
        <v>8.0041999999999991</v>
      </c>
      <c r="AE18" s="2">
        <v>0.75075000000000003</v>
      </c>
      <c r="AF18" s="74">
        <f>AD18-AE18</f>
        <v>7.2534499999999991</v>
      </c>
      <c r="AG18" s="67" t="str">
        <f>+IF(IFERROR(AD18/AE18-1,"-")&lt;300%,IFERROR(AD18/AE18-1,"-"),"n.a.")</f>
        <v>n.a.</v>
      </c>
      <c r="AH18" s="73">
        <f>AD18</f>
        <v>8.0041999999999991</v>
      </c>
      <c r="AI18" s="66">
        <f>AD18-AH18</f>
        <v>0</v>
      </c>
      <c r="AJ18" s="67">
        <f>+IF(IFERROR(AD18/AH18-1,"-")&lt;300%,IFERROR(AD18/AH18-1,"-"),"n.a.")</f>
        <v>0</v>
      </c>
      <c r="AK18" s="124"/>
      <c r="AL18" s="27" t="s">
        <v>20</v>
      </c>
      <c r="AM18" s="7">
        <f>GETPIVOTDATA("may-27 ",TABLA!$B$3,"Nivel 4","5.- Otros ingresos de explotación")/1000</f>
        <v>38.718800000000002</v>
      </c>
      <c r="AN18" s="2">
        <v>25.140750000000001</v>
      </c>
      <c r="AO18" s="74">
        <f>AM18-AN18</f>
        <v>13.578050000000001</v>
      </c>
      <c r="AP18" s="67">
        <f>+IF(IFERROR(AM18/AN18-1,"-")&lt;300%,IFERROR(AM18/AN18-1,"-"),"n.a.")</f>
        <v>0.5400813420442907</v>
      </c>
      <c r="AQ18" s="73">
        <f>AM18</f>
        <v>38.718800000000002</v>
      </c>
      <c r="AR18" s="66">
        <f>AM18-AQ18</f>
        <v>0</v>
      </c>
      <c r="AS18" s="67">
        <f>+IF(IFERROR(AM18/AQ18-1,"-")&lt;300%,IFERROR(AM18/AQ18-1,"-"),"n.a.")</f>
        <v>0</v>
      </c>
      <c r="AT18" s="2"/>
      <c r="AU18" s="27" t="s">
        <v>20</v>
      </c>
      <c r="AV18" s="7">
        <f>GETPIVOTDATA("jun-27 ",TABLA!$B$3,"Nivel 4","5.- Otros ingresos de explotación")/1000</f>
        <v>33.491999999999997</v>
      </c>
      <c r="AW18" s="2">
        <v>22.977599999999999</v>
      </c>
      <c r="AX18" s="74">
        <f>AV18-AW18</f>
        <v>10.514399999999998</v>
      </c>
      <c r="AY18" s="67">
        <f>+IF(IFERROR(AV18/AW18-1,"-")&lt;300%,IFERROR(AV18/AW18-1,"-"),"n.a.")</f>
        <v>0.45759348234802588</v>
      </c>
      <c r="AZ18" s="73">
        <f>AV18</f>
        <v>33.491999999999997</v>
      </c>
      <c r="BA18" s="66">
        <f>AV18-AZ18</f>
        <v>0</v>
      </c>
      <c r="BB18" s="67">
        <f>+IF(IFERROR(AV18/AZ18-1,"-")&lt;300%,IFERROR(AV18/AZ18-1,"-"),"n.a.")</f>
        <v>0</v>
      </c>
      <c r="BC18" s="2"/>
      <c r="BD18" s="27" t="s">
        <v>20</v>
      </c>
      <c r="BE18" s="7">
        <f>GETPIVOTDATA("jul-27 ",TABLA!$B$3,"Nivel 4","5.- Otros ingresos de explotación")/1000</f>
        <v>13.2128</v>
      </c>
      <c r="BF18" s="2">
        <v>11.027240000000001</v>
      </c>
      <c r="BG18" s="74">
        <f>BE18-BF18</f>
        <v>2.1855599999999988</v>
      </c>
      <c r="BH18" s="67">
        <f>+IF(IFERROR(BE18/BF18-1,"-")&lt;300%,IFERROR(BE18/BF18-1,"-"),"n.a.")</f>
        <v>0.19819646620550557</v>
      </c>
      <c r="BI18" s="73">
        <f>BE18</f>
        <v>13.2128</v>
      </c>
      <c r="BJ18" s="66">
        <f>BE18-BI18</f>
        <v>0</v>
      </c>
      <c r="BK18" s="67">
        <f>+IF(IFERROR(BE18/BI18-1,"-")&lt;300%,IFERROR(BE18/BI18-1,"-"),"n.a.")</f>
        <v>0</v>
      </c>
      <c r="BL18" s="2"/>
      <c r="BM18" s="27" t="s">
        <v>20</v>
      </c>
      <c r="BN18" s="7">
        <f>GETPIVOTDATA("ago-27 ",TABLA!$B$3,"Nivel 4","5.- Otros ingresos de explotación")/1000</f>
        <v>18.509599999999999</v>
      </c>
      <c r="BO18" s="2">
        <v>11.429</v>
      </c>
      <c r="BP18" s="74">
        <f>BN18-BO18</f>
        <v>7.0805999999999987</v>
      </c>
      <c r="BQ18" s="67">
        <f>+IF(IFERROR(BN18/BO18-1,"-")&lt;300%,IFERROR(BN18/BO18-1,"-"),"n.a.")</f>
        <v>0.61952926765246286</v>
      </c>
      <c r="BR18" s="73">
        <f>BN18</f>
        <v>18.509599999999999</v>
      </c>
      <c r="BS18" s="66">
        <f>BN18-BR18</f>
        <v>0</v>
      </c>
      <c r="BT18" s="67">
        <f>+IF(IFERROR(BN18/BR18-1,"-")&lt;300%,IFERROR(BN18/BR18-1,"-"),"n.a.")</f>
        <v>0</v>
      </c>
      <c r="BV18" s="27" t="s">
        <v>20</v>
      </c>
      <c r="BW18" s="7">
        <f>GETPIVOTDATA("sep-27 ",TABLA!$B$3,"Nivel 4","5.- Otros ingresos de explotación")/1000</f>
        <v>24.148900000000001</v>
      </c>
      <c r="BX18" s="2">
        <v>16.253</v>
      </c>
      <c r="BY18" s="74">
        <f>BW18-BX18</f>
        <v>7.895900000000001</v>
      </c>
      <c r="BZ18" s="67">
        <f>+IF(IFERROR(BW18/BX18-1,"-")&lt;300%,IFERROR(BW18/BX18-1,"-"),"n.a.")</f>
        <v>0.48581185011997796</v>
      </c>
      <c r="CA18" s="73">
        <f>BW18</f>
        <v>24.148900000000001</v>
      </c>
      <c r="CB18" s="66">
        <f>BW18-CA18</f>
        <v>0</v>
      </c>
      <c r="CC18" s="67">
        <f>+IF(IFERROR(BW18/CA18-1,"-")&lt;300%,IFERROR(BW18/CA18-1,"-"),"n.a.")</f>
        <v>0</v>
      </c>
      <c r="CD18" s="37"/>
      <c r="CE18" s="27" t="s">
        <v>20</v>
      </c>
      <c r="CF18" s="7">
        <f>GETPIVOTDATA("oct-27 ",TABLA!$B$3,"Nivel 4","5.- Otros ingresos de explotación")/1000</f>
        <v>23.411300000000001</v>
      </c>
      <c r="CG18" s="2">
        <v>21.379000000000001</v>
      </c>
      <c r="CH18" s="74">
        <f>CF18-CG18</f>
        <v>2.0322999999999993</v>
      </c>
      <c r="CI18" s="67">
        <f>+IF(IFERROR(CF18/CG18-1,"-")&lt;300%,IFERROR(CF18/CG18-1,"-"),"n.a.")</f>
        <v>9.5060573459937237E-2</v>
      </c>
      <c r="CJ18" s="73">
        <f>CF18</f>
        <v>23.411300000000001</v>
      </c>
      <c r="CK18" s="66">
        <f>CF18-CJ18</f>
        <v>0</v>
      </c>
      <c r="CL18" s="67">
        <f>+IF(IFERROR(CF18/CJ18-1,"-")&lt;300%,IFERROR(CF18/CJ18-1,"-"),"n.a.")</f>
        <v>0</v>
      </c>
      <c r="CN18" s="27" t="s">
        <v>20</v>
      </c>
      <c r="CO18" s="7">
        <f>GETPIVOTDATA("nov-27 ",TABLA!$B$3,"Nivel 4","5.- Otros ingresos de explotación")/1000</f>
        <v>40.650700000000001</v>
      </c>
      <c r="CP18" s="2">
        <v>32.454000000000001</v>
      </c>
      <c r="CQ18" s="74">
        <f>CO18-CP18</f>
        <v>8.1966999999999999</v>
      </c>
      <c r="CR18" s="67">
        <f>+IF(IFERROR(CO18/CP18-1,"-")&lt;300%,IFERROR(CO18/CP18-1,"-"),"n.a.")</f>
        <v>0.25256362852036718</v>
      </c>
      <c r="CS18" s="73">
        <f>CO18</f>
        <v>40.650700000000001</v>
      </c>
      <c r="CT18" s="66">
        <f>CO18-CS18</f>
        <v>0</v>
      </c>
      <c r="CU18" s="67">
        <f>+IF(IFERROR(CO18/CS18-1,"-")&lt;300%,IFERROR(CO18/CS18-1,"-"),"n.a.")</f>
        <v>0</v>
      </c>
      <c r="CW18" s="27" t="s">
        <v>20</v>
      </c>
      <c r="CX18" s="7">
        <f>GETPIVOTDATA("dic-27 ",TABLA!$B$3,"Nivel 4","5.- Otros ingresos de explotación")/1000</f>
        <v>34.380800000000001</v>
      </c>
      <c r="CY18" s="2">
        <v>27.15</v>
      </c>
      <c r="CZ18" s="74">
        <f>CX18-CY18</f>
        <v>7.2308000000000021</v>
      </c>
      <c r="DA18" s="67">
        <f>+IF(IFERROR(CX18/CY18-1,"-")&lt;300%,IFERROR(CX18/CY18-1,"-"),"n.a.")</f>
        <v>0.26632780847145487</v>
      </c>
      <c r="DB18" s="73">
        <f>CX18</f>
        <v>34.380800000000001</v>
      </c>
      <c r="DC18" s="66">
        <f>CX18-DB18</f>
        <v>0</v>
      </c>
      <c r="DD18" s="67">
        <f>+IF(IFERROR(CX18/DB18-1,"-")&lt;300%,IFERROR(CX18/DB18-1,"-"),"n.a.")</f>
        <v>0</v>
      </c>
      <c r="DF18" s="27" t="s">
        <v>20</v>
      </c>
      <c r="DG18" s="7">
        <f>GETPIVOTDATA("Total 2027 ",TABLA!$B$3,"Nivel 4","5.- Otros ingresos de explotación")/1000</f>
        <v>305.22329999999999</v>
      </c>
      <c r="DH18" s="2">
        <f>CY18+CP18+CG18+BX18+BO18+BF18+AW18+AN18+AE18+V18+M18+D18</f>
        <v>168.56134000000003</v>
      </c>
      <c r="DI18" s="74">
        <f>DG18-DH18</f>
        <v>136.66195999999997</v>
      </c>
      <c r="DJ18" s="67">
        <f>+IF(IFERROR(DG18/DH18-1,"-")&lt;300%,IFERROR(DG18/DH18-1,"-"),"n.a.")</f>
        <v>0.81075506400221986</v>
      </c>
      <c r="DK18" s="73">
        <f>DG18</f>
        <v>305.22329999999999</v>
      </c>
      <c r="DL18" s="66">
        <f>DG18-DK18</f>
        <v>0</v>
      </c>
      <c r="DM18" s="67">
        <f>+IF(IFERROR(DG18/DK18-1,"-")&lt;300%,IFERROR(DG18/DK18-1,"-"),"n.a.")</f>
        <v>0</v>
      </c>
    </row>
    <row r="19" spans="2:117" x14ac:dyDescent="0.25">
      <c r="B19" s="27" t="s">
        <v>21</v>
      </c>
      <c r="C19" s="2">
        <f>GETPIVOTDATA("ene-27 ",TABLA!$B$3,"Nivel 4","7.- Otros gastos de explotación")/1000</f>
        <v>-162.8548999999999</v>
      </c>
      <c r="D19" s="2">
        <v>-103.45175999999999</v>
      </c>
      <c r="E19" s="65">
        <f>C19-D19</f>
        <v>-59.403139999999908</v>
      </c>
      <c r="F19" s="67">
        <f>+IF(IFERROR(C19/D19-1,"-")&lt;300%,IFERROR(C19/D19-1,"-"),"n.a.")</f>
        <v>0.57421101390638407</v>
      </c>
      <c r="G19" s="73">
        <f>C19</f>
        <v>-162.8548999999999</v>
      </c>
      <c r="H19" s="65">
        <f>C19-G19</f>
        <v>0</v>
      </c>
      <c r="I19" s="67">
        <f>+IF(IFERROR(C19/G19-1,"-")&lt;300%,IFERROR(C19/G19-1,"-"),"n.a.")</f>
        <v>0</v>
      </c>
      <c r="K19" s="27" t="s">
        <v>21</v>
      </c>
      <c r="L19" s="2">
        <f>GETPIVOTDATA("feb-27 ",TABLA!$B$3,"Nivel 4","7.- Otros gastos de explotación")/1000</f>
        <v>-156.65462999999988</v>
      </c>
      <c r="M19" s="2">
        <v>-62.49888</v>
      </c>
      <c r="N19" s="65">
        <f>L19-M19</f>
        <v>-94.155749999999884</v>
      </c>
      <c r="O19" s="67">
        <f>+IF(IFERROR(L19/M19-1,"-")&lt;300%,IFERROR(L19/M19-1,"-"),"n.a.")</f>
        <v>1.5065189968204211</v>
      </c>
      <c r="P19" s="73">
        <f>L19</f>
        <v>-156.65462999999988</v>
      </c>
      <c r="Q19" s="65">
        <f>L19-P19</f>
        <v>0</v>
      </c>
      <c r="R19" s="67">
        <f>+IF(IFERROR(L19/P19-1,"-")&lt;300%,IFERROR(L19/P19-1,"-"),"n.a.")</f>
        <v>0</v>
      </c>
      <c r="T19" s="27" t="s">
        <v>21</v>
      </c>
      <c r="U19" s="2">
        <f>GETPIVOTDATA("mar-27 ",TABLA!$B$3,"Nivel 4","7.- Otros gastos de explotación")/1000</f>
        <v>-161.54121999999992</v>
      </c>
      <c r="V19" s="2">
        <v>-110.60626999999999</v>
      </c>
      <c r="W19" s="65">
        <f>U19-V19</f>
        <v>-50.93494999999993</v>
      </c>
      <c r="X19" s="67">
        <f>+IF(IFERROR(U19/V19-1,"-")&lt;300%,IFERROR(U19/V19-1,"-"),"n.a.")</f>
        <v>0.46050689531434275</v>
      </c>
      <c r="Y19" s="73">
        <f>U19</f>
        <v>-161.54121999999992</v>
      </c>
      <c r="Z19" s="65">
        <f>U19-Y19</f>
        <v>0</v>
      </c>
      <c r="AA19" s="67">
        <f>+IF(IFERROR(U19/Y19-1,"-")&lt;300%,IFERROR(U19/Y19-1,"-"),"n.a.")</f>
        <v>0</v>
      </c>
      <c r="AB19" s="121"/>
      <c r="AC19" s="27" t="s">
        <v>21</v>
      </c>
      <c r="AD19" s="2">
        <f>GETPIVOTDATA("abr-27 ",TABLA!$B$3,"Nivel 4","7.- Otros gastos de explotación")/1000</f>
        <v>-151.88670000000002</v>
      </c>
      <c r="AE19" s="2">
        <v>-107.70665</v>
      </c>
      <c r="AF19" s="65">
        <f>AD19-AE19</f>
        <v>-44.180050000000023</v>
      </c>
      <c r="AG19" s="67">
        <f>+IF(IFERROR(AD19/AE19-1,"-")&lt;300%,IFERROR(AD19/AE19-1,"-"),"n.a.")</f>
        <v>0.41018869308441053</v>
      </c>
      <c r="AH19" s="73">
        <f>AD19</f>
        <v>-151.88670000000002</v>
      </c>
      <c r="AI19" s="65">
        <f>AD19-AH19</f>
        <v>0</v>
      </c>
      <c r="AJ19" s="67">
        <f>+IF(IFERROR(AD19/AH19-1,"-")&lt;300%,IFERROR(AD19/AH19-1,"-"),"n.a.")</f>
        <v>0</v>
      </c>
      <c r="AK19" s="121"/>
      <c r="AL19" s="27" t="s">
        <v>21</v>
      </c>
      <c r="AM19" s="2">
        <f>GETPIVOTDATA("may-27 ",TABLA!$B$3,"Nivel 4","7.- Otros gastos de explotación")/1000</f>
        <v>-184.77670999999989</v>
      </c>
      <c r="AN19" s="2">
        <v>-123.39208000000001</v>
      </c>
      <c r="AO19" s="65">
        <f>AM19-AN19</f>
        <v>-61.384629999999888</v>
      </c>
      <c r="AP19" s="67">
        <f>+IF(IFERROR(AM19/AN19-1,"-")&lt;300%,IFERROR(AM19/AN19-1,"-"),"n.a.")</f>
        <v>0.49747625617462554</v>
      </c>
      <c r="AQ19" s="73">
        <f>AM19</f>
        <v>-184.77670999999989</v>
      </c>
      <c r="AR19" s="65">
        <f>AM19-AQ19</f>
        <v>0</v>
      </c>
      <c r="AS19" s="67">
        <f>+IF(IFERROR(AM19/AQ19-1,"-")&lt;300%,IFERROR(AM19/AQ19-1,"-"),"n.a.")</f>
        <v>0</v>
      </c>
      <c r="AT19" s="36"/>
      <c r="AU19" s="27" t="s">
        <v>21</v>
      </c>
      <c r="AV19" s="2">
        <f>GETPIVOTDATA("jun-27 ",TABLA!$B$3,"Nivel 4","7.- Otros gastos de explotación")/1000</f>
        <v>-161.3446799999999</v>
      </c>
      <c r="AW19" s="2">
        <v>-175.0137600000001</v>
      </c>
      <c r="AX19" s="65">
        <f>AV19-AW19</f>
        <v>13.669080000000207</v>
      </c>
      <c r="AY19" s="67">
        <f>+IF(IFERROR(AV19/AW19-1,"-")&lt;300%,IFERROR(AV19/AW19-1,"-"),"n.a.")</f>
        <v>-7.8102887452964787E-2</v>
      </c>
      <c r="AZ19" s="73">
        <f>AV19</f>
        <v>-161.3446799999999</v>
      </c>
      <c r="BA19" s="65">
        <f>AV19-AZ19</f>
        <v>0</v>
      </c>
      <c r="BB19" s="67">
        <f>+IF(IFERROR(AV19/AZ19-1,"-")&lt;300%,IFERROR(AV19/AZ19-1,"-"),"n.a.")</f>
        <v>0</v>
      </c>
      <c r="BC19" s="36"/>
      <c r="BD19" s="27" t="s">
        <v>21</v>
      </c>
      <c r="BE19" s="2">
        <f>GETPIVOTDATA("jul-27 ",TABLA!$B$3,"Nivel 4","7.- Otros gastos de explotación")/1000</f>
        <v>-132.69654</v>
      </c>
      <c r="BF19" s="2">
        <v>-161.05174421899719</v>
      </c>
      <c r="BG19" s="65">
        <f>BE19-BF19</f>
        <v>28.355204218997187</v>
      </c>
      <c r="BH19" s="67">
        <f>+IF(IFERROR(BE19/BF19-1,"-")&lt;300%,IFERROR(BE19/BF19-1,"-"),"n.a.")</f>
        <v>-0.1760626956044633</v>
      </c>
      <c r="BI19" s="73">
        <f>BE19</f>
        <v>-132.69654</v>
      </c>
      <c r="BJ19" s="65">
        <f>BE19-BI19</f>
        <v>0</v>
      </c>
      <c r="BK19" s="67">
        <f>+IF(IFERROR(BE19/BI19-1,"-")&lt;300%,IFERROR(BE19/BI19-1,"-"),"n.a.")</f>
        <v>0</v>
      </c>
      <c r="BL19" s="54"/>
      <c r="BM19" s="27" t="s">
        <v>21</v>
      </c>
      <c r="BN19" s="2">
        <f>GETPIVOTDATA("ago-27 ",TABLA!$B$3,"Nivel 4","7.- Otros gastos de explotación")/1000</f>
        <v>-131.76464000000001</v>
      </c>
      <c r="BO19" s="2">
        <v>-130.06066103129621</v>
      </c>
      <c r="BP19" s="65">
        <f>BN19-BO19</f>
        <v>-1.7039789687038081</v>
      </c>
      <c r="BQ19" s="67">
        <f>+IF(IFERROR(BN19/BO19-1,"-")&lt;300%,IFERROR(BN19/BO19-1,"-"),"n.a.")</f>
        <v>1.3101417101776702E-2</v>
      </c>
      <c r="BR19" s="73">
        <f>BN19</f>
        <v>-131.76464000000001</v>
      </c>
      <c r="BS19" s="65">
        <f>BN19-BR19</f>
        <v>0</v>
      </c>
      <c r="BT19" s="67">
        <f>+IF(IFERROR(BN19/BR19-1,"-")&lt;300%,IFERROR(BN19/BR19-1,"-"),"n.a.")</f>
        <v>0</v>
      </c>
      <c r="BV19" s="27" t="s">
        <v>21</v>
      </c>
      <c r="BW19" s="2">
        <f>GETPIVOTDATA("sep-27 ",TABLA!$B$3,"Nivel 4","7.- Otros gastos de explotación")/1000</f>
        <v>-150.22284999999999</v>
      </c>
      <c r="BX19" s="2">
        <v>-120.80831999999999</v>
      </c>
      <c r="BY19" s="65">
        <f>BW19-BX19</f>
        <v>-29.414529999999999</v>
      </c>
      <c r="BZ19" s="67">
        <f>+IF(IFERROR(BW19/BX19-1,"-")&lt;300%,IFERROR(BW19/BX19-1,"-"),"n.a.")</f>
        <v>0.24348099534866474</v>
      </c>
      <c r="CA19" s="73">
        <f>BW19</f>
        <v>-150.22284999999999</v>
      </c>
      <c r="CB19" s="65">
        <f>BW19-CA19</f>
        <v>0</v>
      </c>
      <c r="CC19" s="67">
        <f>+IF(IFERROR(BW19/CA19-1,"-")&lt;300%,IFERROR(BW19/CA19-1,"-"),"n.a.")</f>
        <v>0</v>
      </c>
      <c r="CD19" s="61"/>
      <c r="CE19" s="27" t="s">
        <v>21</v>
      </c>
      <c r="CF19" s="2">
        <f>GETPIVOTDATA("oct-27 ",TABLA!$B$3,"Nivel 4","7.- Otros gastos de explotación")/1000</f>
        <v>-146.34193999999999</v>
      </c>
      <c r="CG19" s="2">
        <v>-149.47019</v>
      </c>
      <c r="CH19" s="65">
        <f>CF19-CG19</f>
        <v>3.1282500000000084</v>
      </c>
      <c r="CI19" s="67">
        <f>+IF(IFERROR(CF19/CG19-1,"-")&lt;300%,IFERROR(CF19/CG19-1,"-"),"n.a.")</f>
        <v>-2.0928922348998236E-2</v>
      </c>
      <c r="CJ19" s="73">
        <f>CF19</f>
        <v>-146.34193999999999</v>
      </c>
      <c r="CK19" s="65">
        <f>CF19-CJ19</f>
        <v>0</v>
      </c>
      <c r="CL19" s="67">
        <f>+IF(IFERROR(CF19/CJ19-1,"-")&lt;300%,IFERROR(CF19/CJ19-1,"-"),"n.a.")</f>
        <v>0</v>
      </c>
      <c r="CN19" s="27" t="s">
        <v>21</v>
      </c>
      <c r="CO19" s="2">
        <f>GETPIVOTDATA("nov-27 ",TABLA!$B$3,"Nivel 4","7.- Otros gastos de explotación")/1000</f>
        <v>-183.5070299999999</v>
      </c>
      <c r="CP19" s="2">
        <v>-162.36941999999999</v>
      </c>
      <c r="CQ19" s="65">
        <f>CO19-CP19</f>
        <v>-21.13760999999991</v>
      </c>
      <c r="CR19" s="67">
        <f>+IF(IFERROR(CO19/CP19-1,"-")&lt;300%,IFERROR(CO19/CP19-1,"-"),"n.a.")</f>
        <v>0.13018221041868538</v>
      </c>
      <c r="CS19" s="73">
        <f>CO19</f>
        <v>-183.5070299999999</v>
      </c>
      <c r="CT19" s="65">
        <f>CO19-CS19</f>
        <v>0</v>
      </c>
      <c r="CU19" s="67">
        <f>+IF(IFERROR(CO19/CS19-1,"-")&lt;300%,IFERROR(CO19/CS19-1,"-"),"n.a.")</f>
        <v>0</v>
      </c>
      <c r="CW19" s="27" t="s">
        <v>21</v>
      </c>
      <c r="CX19" s="2">
        <f>GETPIVOTDATA("dic-27 ",TABLA!$B$3,"Nivel 4","7.- Otros gastos de explotación")/1000</f>
        <v>-286.91589000000005</v>
      </c>
      <c r="CY19" s="2">
        <v>-277.59629000000012</v>
      </c>
      <c r="CZ19" s="65">
        <f>CX19-CY19</f>
        <v>-9.3195999999999231</v>
      </c>
      <c r="DA19" s="67">
        <f>+IF(IFERROR(CX19/CY19-1,"-")&lt;300%,IFERROR(CX19/CY19-1,"-"),"n.a.")</f>
        <v>3.3572494790906404E-2</v>
      </c>
      <c r="DB19" s="73">
        <f>CX19</f>
        <v>-286.91589000000005</v>
      </c>
      <c r="DC19" s="65">
        <f>CX19-DB19</f>
        <v>0</v>
      </c>
      <c r="DD19" s="67">
        <f>+IF(IFERROR(CX19/DB19-1,"-")&lt;300%,IFERROR(CX19/DB19-1,"-"),"n.a.")</f>
        <v>0</v>
      </c>
      <c r="DF19" s="27" t="s">
        <v>21</v>
      </c>
      <c r="DG19" s="2">
        <f>GETPIVOTDATA("Total 2027 ",TABLA!$B$3,"Nivel 4","7.- Otros gastos de explotación")/1000</f>
        <v>-2010.50773</v>
      </c>
      <c r="DH19" s="2">
        <f>CY19+CP19+CG19+BX19+BO19+BF19+AW19+AN19+AE19+V19+M19+D19</f>
        <v>-1684.026025250294</v>
      </c>
      <c r="DI19" s="65">
        <f>DG19-DH19</f>
        <v>-326.48170474970607</v>
      </c>
      <c r="DJ19" s="67">
        <f>+IF(IFERROR(DG19/DH19-1,"-")&lt;300%,IFERROR(DG19/DH19-1,"-"),"n.a.")</f>
        <v>0.19386975014307262</v>
      </c>
      <c r="DK19" s="73">
        <f>DG19</f>
        <v>-2010.50773</v>
      </c>
      <c r="DL19" s="65">
        <f>DG19-DK19</f>
        <v>0</v>
      </c>
      <c r="DM19" s="67">
        <f>+IF(IFERROR(DG19/DK19-1,"-")&lt;300%,IFERROR(DG19/DK19-1,"-"),"n.a.")</f>
        <v>0</v>
      </c>
    </row>
    <row r="20" spans="2:117" x14ac:dyDescent="0.25">
      <c r="B20" s="52" t="s">
        <v>22</v>
      </c>
      <c r="C20" s="3">
        <f>SUM(C18:C19)</f>
        <v>-133.0456999999999</v>
      </c>
      <c r="D20" s="3">
        <v>-103.45175999999999</v>
      </c>
      <c r="E20" s="3">
        <f>C20-D20</f>
        <v>-29.593939999999904</v>
      </c>
      <c r="F20" s="77">
        <f>+IF(IFERROR(C20/D20-1,"-")&lt;300%,IFERROR(C20/D20-1,"-"),"n.a.")</f>
        <v>0.28606511866013595</v>
      </c>
      <c r="G20" s="3">
        <f>SUM(G18:G19)</f>
        <v>-133.0456999999999</v>
      </c>
      <c r="H20" s="3">
        <f>C20-G20</f>
        <v>0</v>
      </c>
      <c r="I20" s="77">
        <f>+IF(IFERROR(C20/G20-1,"-")&lt;300%,IFERROR(C20/G20-1,"-"),"n.a.")</f>
        <v>0</v>
      </c>
      <c r="K20" s="52" t="s">
        <v>22</v>
      </c>
      <c r="L20" s="3">
        <f>SUM(L18:L19)</f>
        <v>-135.40792999999988</v>
      </c>
      <c r="M20" s="3">
        <v>-62.49888</v>
      </c>
      <c r="N20" s="3">
        <f>L20-M20</f>
        <v>-72.90904999999988</v>
      </c>
      <c r="O20" s="77">
        <f>+IF(IFERROR(L20/M20-1,"-")&lt;300%,IFERROR(L20/M20-1,"-"),"n.a.")</f>
        <v>1.1665657048574292</v>
      </c>
      <c r="P20" s="3">
        <f>SUM(P18:P19)</f>
        <v>-135.40792999999988</v>
      </c>
      <c r="Q20" s="3">
        <f>L20-P20</f>
        <v>0</v>
      </c>
      <c r="R20" s="77">
        <f>+IF(IFERROR(L20/P20-1,"-")&lt;300%,IFERROR(L20/P20-1,"-"),"n.a.")</f>
        <v>0</v>
      </c>
      <c r="T20" s="52" t="s">
        <v>22</v>
      </c>
      <c r="U20" s="3">
        <f>SUM(U18:U19)</f>
        <v>-141.90291999999994</v>
      </c>
      <c r="V20" s="3">
        <v>-110.60626999999999</v>
      </c>
      <c r="W20" s="3">
        <f>U20-V20</f>
        <v>-31.296649999999943</v>
      </c>
      <c r="X20" s="77">
        <f>+IF(IFERROR(U20/V20-1,"-")&lt;300%,IFERROR(U20/V20-1,"-"),"n.a.")</f>
        <v>0.28295547802127263</v>
      </c>
      <c r="Y20" s="3">
        <f>SUM(Y18:Y19)</f>
        <v>-141.90291999999994</v>
      </c>
      <c r="Z20" s="3">
        <f>U20-Y20</f>
        <v>0</v>
      </c>
      <c r="AA20" s="77">
        <f>+IF(IFERROR(U20/Y20-1,"-")&lt;300%,IFERROR(U20/Y20-1,"-"),"n.a.")</f>
        <v>0</v>
      </c>
      <c r="AB20" s="126"/>
      <c r="AC20" s="52" t="s">
        <v>22</v>
      </c>
      <c r="AD20" s="3">
        <f>SUM(AD18:AD19)</f>
        <v>-143.88250000000002</v>
      </c>
      <c r="AE20" s="3">
        <v>-106.9559</v>
      </c>
      <c r="AF20" s="3">
        <f>AD20-AE20</f>
        <v>-36.926600000000022</v>
      </c>
      <c r="AG20" s="77">
        <f>+IF(IFERROR(AD20/AE20-1,"-")&lt;300%,IFERROR(AD20/AE20-1,"-"),"n.a.")</f>
        <v>0.3452507061321537</v>
      </c>
      <c r="AH20" s="3">
        <f>SUM(AH18:AH19)</f>
        <v>-143.88250000000002</v>
      </c>
      <c r="AI20" s="3">
        <f>AD20-AH20</f>
        <v>0</v>
      </c>
      <c r="AJ20" s="77">
        <f>+IF(IFERROR(AD20/AH20-1,"-")&lt;300%,IFERROR(AD20/AH20-1,"-"),"n.a.")</f>
        <v>0</v>
      </c>
      <c r="AK20" s="126"/>
      <c r="AL20" s="52" t="s">
        <v>22</v>
      </c>
      <c r="AM20" s="3">
        <f>SUM(AM18:AM19)</f>
        <v>-146.05790999999988</v>
      </c>
      <c r="AN20" s="3">
        <v>-98.251329999999982</v>
      </c>
      <c r="AO20" s="3">
        <f>AM20-AN20</f>
        <v>-47.806579999999897</v>
      </c>
      <c r="AP20" s="77">
        <f>+IF(IFERROR(AM20/AN20-1,"-")&lt;300%,IFERROR(AM20/AN20-1,"-"),"n.a.")</f>
        <v>0.48657438021449595</v>
      </c>
      <c r="AQ20" s="3">
        <f>SUM(AQ18:AQ19)</f>
        <v>-146.05790999999988</v>
      </c>
      <c r="AR20" s="3">
        <f>AM20-AQ20</f>
        <v>0</v>
      </c>
      <c r="AS20" s="77">
        <f>+IF(IFERROR(AM20/AQ20-1,"-")&lt;300%,IFERROR(AM20/AQ20-1,"-"),"n.a.")</f>
        <v>0</v>
      </c>
      <c r="AT20" s="125"/>
      <c r="AU20" s="52" t="s">
        <v>22</v>
      </c>
      <c r="AV20" s="3">
        <f>SUM(AV18:AV19)</f>
        <v>-127.85267999999991</v>
      </c>
      <c r="AW20" s="3">
        <v>-152.03616000000011</v>
      </c>
      <c r="AX20" s="3">
        <f>AV20-AW20</f>
        <v>24.183480000000202</v>
      </c>
      <c r="AY20" s="77">
        <f>+IF(IFERROR(AV20/AW20-1,"-")&lt;300%,IFERROR(AV20/AW20-1,"-"),"n.a.")</f>
        <v>-0.15906400161645873</v>
      </c>
      <c r="AZ20" s="3">
        <f>SUM(AZ18:AZ19)</f>
        <v>-127.85267999999991</v>
      </c>
      <c r="BA20" s="3">
        <f>AV20-AZ20</f>
        <v>0</v>
      </c>
      <c r="BB20" s="77">
        <f>+IF(IFERROR(AV20/AZ20-1,"-")&lt;300%,IFERROR(AV20/AZ20-1,"-"),"n.a.")</f>
        <v>0</v>
      </c>
      <c r="BC20" s="125"/>
      <c r="BD20" s="52" t="s">
        <v>22</v>
      </c>
      <c r="BE20" s="3">
        <f>SUM(BE18:BE19)</f>
        <v>-119.48374</v>
      </c>
      <c r="BF20" s="3">
        <v>-150.02450421899721</v>
      </c>
      <c r="BG20" s="3">
        <f>BE20-BF20</f>
        <v>30.540764218997211</v>
      </c>
      <c r="BH20" s="77">
        <f>+IF(IFERROR(BE20/BF20-1,"-")&lt;300%,IFERROR(BE20/BF20-1,"-"),"n.a.")</f>
        <v>-0.20357183900048448</v>
      </c>
      <c r="BI20" s="3">
        <f>SUM(BI18:BI19)</f>
        <v>-119.48374</v>
      </c>
      <c r="BJ20" s="3">
        <f>BE20-BI20</f>
        <v>0</v>
      </c>
      <c r="BK20" s="77">
        <f>+IF(IFERROR(BE20/BI20-1,"-")&lt;300%,IFERROR(BE20/BI20-1,"-"),"n.a.")</f>
        <v>0</v>
      </c>
      <c r="BL20" s="125"/>
      <c r="BM20" s="52" t="s">
        <v>22</v>
      </c>
      <c r="BN20" s="3">
        <f>SUM(BN18:BN19)</f>
        <v>-113.25504000000001</v>
      </c>
      <c r="BO20" s="3">
        <v>-118.6316610312962</v>
      </c>
      <c r="BP20" s="3">
        <f>BN20-BO20</f>
        <v>5.376621031296196</v>
      </c>
      <c r="BQ20" s="77">
        <f>+IF(IFERROR(BN20/BO20-1,"-")&lt;300%,IFERROR(BN20/BO20-1,"-"),"n.a.")</f>
        <v>-4.5321973784703151E-2</v>
      </c>
      <c r="BR20" s="3">
        <f>SUM(BR18:BR19)</f>
        <v>-113.25504000000001</v>
      </c>
      <c r="BS20" s="3">
        <f>BN20-BR20</f>
        <v>0</v>
      </c>
      <c r="BT20" s="77">
        <f>+IF(IFERROR(BN20/BR20-1,"-")&lt;300%,IFERROR(BN20/BR20-1,"-"),"n.a.")</f>
        <v>0</v>
      </c>
      <c r="BV20" s="52" t="s">
        <v>22</v>
      </c>
      <c r="BW20" s="3">
        <f>SUM(BW18:BW19)</f>
        <v>-126.07395</v>
      </c>
      <c r="BX20" s="3">
        <v>-104.55531999999999</v>
      </c>
      <c r="BY20" s="3">
        <f>BW20-BX20</f>
        <v>-21.518630000000002</v>
      </c>
      <c r="BZ20" s="77">
        <f>+IF(IFERROR(BW20/BX20-1,"-")&lt;300%,IFERROR(BW20/BX20-1,"-"),"n.a.")</f>
        <v>0.2058109525177676</v>
      </c>
      <c r="CA20" s="3">
        <f>SUM(CA18:CA19)</f>
        <v>-126.07395</v>
      </c>
      <c r="CB20" s="3">
        <f>BW20-CA20</f>
        <v>0</v>
      </c>
      <c r="CC20" s="77">
        <f>+IF(IFERROR(BW20/CA20-1,"-")&lt;300%,IFERROR(BW20/CA20-1,"-"),"n.a.")</f>
        <v>0</v>
      </c>
      <c r="CD20" s="59"/>
      <c r="CE20" s="52" t="s">
        <v>22</v>
      </c>
      <c r="CF20" s="3">
        <f>SUM(CF18:CF19)</f>
        <v>-122.93064</v>
      </c>
      <c r="CG20" s="3">
        <v>-128.09119000000001</v>
      </c>
      <c r="CH20" s="3">
        <f>CF20-CG20</f>
        <v>5.1605500000000148</v>
      </c>
      <c r="CI20" s="77">
        <f>+IF(IFERROR(CF20/CG20-1,"-")&lt;300%,IFERROR(CF20/CG20-1,"-"),"n.a.")</f>
        <v>-4.0288094754994619E-2</v>
      </c>
      <c r="CJ20" s="3">
        <f>SUM(CJ18:CJ19)</f>
        <v>-122.93064</v>
      </c>
      <c r="CK20" s="3">
        <f>CF20-CJ20</f>
        <v>0</v>
      </c>
      <c r="CL20" s="77">
        <f>+IF(IFERROR(CF20/CJ20-1,"-")&lt;300%,IFERROR(CF20/CJ20-1,"-"),"n.a.")</f>
        <v>0</v>
      </c>
      <c r="CN20" s="52" t="s">
        <v>22</v>
      </c>
      <c r="CO20" s="3">
        <f>SUM(CO18:CO19)</f>
        <v>-142.8563299999999</v>
      </c>
      <c r="CP20" s="3">
        <v>-129.91542000000001</v>
      </c>
      <c r="CQ20" s="3">
        <f>CO20-CP20</f>
        <v>-12.940909999999889</v>
      </c>
      <c r="CR20" s="77">
        <f>+IF(IFERROR(CO20/CP20-1,"-")&lt;300%,IFERROR(CO20/CP20-1,"-"),"n.a.")</f>
        <v>9.9610269512271143E-2</v>
      </c>
      <c r="CS20" s="3">
        <f>SUM(CS18:CS19)</f>
        <v>-142.8563299999999</v>
      </c>
      <c r="CT20" s="3">
        <f>CO20-CS20</f>
        <v>0</v>
      </c>
      <c r="CU20" s="77">
        <f>+IF(IFERROR(CO20/CS20-1,"-")&lt;300%,IFERROR(CO20/CS20-1,"-"),"n.a.")</f>
        <v>0</v>
      </c>
      <c r="CW20" s="52" t="s">
        <v>22</v>
      </c>
      <c r="CX20" s="3">
        <f>SUM(CX18:CX19)</f>
        <v>-252.53509000000005</v>
      </c>
      <c r="CY20" s="3">
        <v>-250.44629000000009</v>
      </c>
      <c r="CZ20" s="3">
        <f>CX20-CY20</f>
        <v>-2.0887999999999636</v>
      </c>
      <c r="DA20" s="77">
        <f>+IF(IFERROR(CX20/CY20-1,"-")&lt;300%,IFERROR(CX20/CY20-1,"-"),"n.a.")</f>
        <v>8.3403112100401966E-3</v>
      </c>
      <c r="DB20" s="3">
        <f>SUM(DB18:DB19)</f>
        <v>-252.53509000000005</v>
      </c>
      <c r="DC20" s="3">
        <f>CX20-DB20</f>
        <v>0</v>
      </c>
      <c r="DD20" s="77">
        <f>+IF(IFERROR(CX20/DB20-1,"-")&lt;300%,IFERROR(CX20/DB20-1,"-"),"n.a.")</f>
        <v>0</v>
      </c>
      <c r="DF20" s="52" t="s">
        <v>22</v>
      </c>
      <c r="DG20" s="3">
        <f>SUM(DG18:DG19)</f>
        <v>-1705.2844300000002</v>
      </c>
      <c r="DH20" s="3">
        <f>SUM(DH18:DH19)</f>
        <v>-1515.464685250294</v>
      </c>
      <c r="DI20" s="3">
        <f>DG20-DH20</f>
        <v>-189.81974474970616</v>
      </c>
      <c r="DJ20" s="77">
        <f>+IF(IFERROR(DG20/DH20-1,"-")&lt;300%,IFERROR(DG20/DH20-1,"-"),"n.a.")</f>
        <v>0.12525514226572398</v>
      </c>
      <c r="DK20" s="3">
        <f>SUM(DK18:DK19)</f>
        <v>-1705.2844300000002</v>
      </c>
      <c r="DL20" s="3">
        <f>DG20-DK20</f>
        <v>0</v>
      </c>
      <c r="DM20" s="77">
        <f>+IF(IFERROR(DG20/DK20-1,"-")&lt;300%,IFERROR(DG20/DK20-1,"-"),"n.a.")</f>
        <v>0</v>
      </c>
    </row>
    <row r="21" spans="2:117" x14ac:dyDescent="0.25">
      <c r="B21" s="27" t="s">
        <v>19</v>
      </c>
      <c r="C21" s="54">
        <f>C20/C10</f>
        <v>-0.11632588913928728</v>
      </c>
      <c r="D21" s="54">
        <v>-0.10515344452276409</v>
      </c>
      <c r="E21" s="36"/>
      <c r="F21" s="67"/>
      <c r="G21" s="54">
        <f>G20/G10</f>
        <v>-0.11632588913928728</v>
      </c>
      <c r="H21" s="36"/>
      <c r="I21" s="67"/>
      <c r="K21" s="27" t="s">
        <v>19</v>
      </c>
      <c r="L21" s="54">
        <f>L20/L10</f>
        <v>-7.3089125343731479E-2</v>
      </c>
      <c r="M21" s="54">
        <v>-4.250386528576728E-2</v>
      </c>
      <c r="N21" s="36"/>
      <c r="O21" s="67"/>
      <c r="P21" s="54">
        <f>P20/P10</f>
        <v>-7.3089125343731479E-2</v>
      </c>
      <c r="Q21" s="36"/>
      <c r="R21" s="67"/>
      <c r="T21" s="27" t="s">
        <v>19</v>
      </c>
      <c r="U21" s="54">
        <f>U20/U10</f>
        <v>-7.9849303437483948E-2</v>
      </c>
      <c r="V21" s="54">
        <v>-7.2113074506101868E-2</v>
      </c>
      <c r="W21" s="36"/>
      <c r="X21" s="67"/>
      <c r="Y21" s="54">
        <f>Y20/Y10</f>
        <v>-7.9849303437483948E-2</v>
      </c>
      <c r="Z21" s="36"/>
      <c r="AA21" s="67"/>
      <c r="AB21" s="121"/>
      <c r="AC21" s="27" t="s">
        <v>19</v>
      </c>
      <c r="AD21" s="54">
        <f>AD20/AD10</f>
        <v>-0.10056425997676859</v>
      </c>
      <c r="AE21" s="54">
        <v>-7.3149931346130431E-2</v>
      </c>
      <c r="AF21" s="36"/>
      <c r="AG21" s="67"/>
      <c r="AH21" s="54">
        <f>AH20/AH10</f>
        <v>-0.10056425997676859</v>
      </c>
      <c r="AI21" s="36"/>
      <c r="AJ21" s="67"/>
      <c r="AK21" s="121"/>
      <c r="AL21" s="27" t="s">
        <v>19</v>
      </c>
      <c r="AM21" s="54">
        <f>AM20/AM10</f>
        <v>-6.2177929488912452E-2</v>
      </c>
      <c r="AN21" s="54">
        <v>-5.1015008121453383E-2</v>
      </c>
      <c r="AO21" s="36"/>
      <c r="AP21" s="67"/>
      <c r="AQ21" s="54">
        <f>AQ20/AQ10</f>
        <v>-6.2177929488912452E-2</v>
      </c>
      <c r="AR21" s="36"/>
      <c r="AS21" s="67"/>
      <c r="AT21" s="36"/>
      <c r="AU21" s="27" t="s">
        <v>19</v>
      </c>
      <c r="AV21" s="54">
        <f>AV20/AV10</f>
        <v>-5.4884555429931592E-2</v>
      </c>
      <c r="AW21" s="54">
        <v>-7.7480057796364563E-2</v>
      </c>
      <c r="AX21" s="36"/>
      <c r="AY21" s="67"/>
      <c r="AZ21" s="54">
        <f>AZ20/AZ10</f>
        <v>-5.4884555429931592E-2</v>
      </c>
      <c r="BA21" s="36"/>
      <c r="BB21" s="67"/>
      <c r="BC21" s="36"/>
      <c r="BD21" s="27" t="s">
        <v>19</v>
      </c>
      <c r="BE21" s="54">
        <f>BE20/BE10</f>
        <v>-8.0842469623333982E-2</v>
      </c>
      <c r="BF21" s="54">
        <v>-0.1162391140336612</v>
      </c>
      <c r="BG21" s="36"/>
      <c r="BH21" s="67"/>
      <c r="BI21" s="54">
        <f>BI20/BI10</f>
        <v>-8.0842469623333982E-2</v>
      </c>
      <c r="BJ21" s="36"/>
      <c r="BK21" s="67"/>
      <c r="BL21" s="54"/>
      <c r="BM21" s="27" t="s">
        <v>19</v>
      </c>
      <c r="BN21" s="54">
        <f>BN20/BN10</f>
        <v>-0.12007261032186012</v>
      </c>
      <c r="BO21" s="54">
        <v>-0.15052770690725231</v>
      </c>
      <c r="BP21" s="36"/>
      <c r="BQ21" s="67"/>
      <c r="BR21" s="54">
        <f>BR20/BR10</f>
        <v>-0.12007261032186012</v>
      </c>
      <c r="BS21" s="36"/>
      <c r="BT21" s="67"/>
      <c r="BV21" s="27" t="s">
        <v>19</v>
      </c>
      <c r="BW21" s="54">
        <f>BW20/BW10</f>
        <v>-0.23010554663841601</v>
      </c>
      <c r="BX21" s="54">
        <v>-0.2164331177861627</v>
      </c>
      <c r="BY21" s="36"/>
      <c r="BZ21" s="67"/>
      <c r="CA21" s="54">
        <f>CA20/CA10</f>
        <v>-0.23010554663841601</v>
      </c>
      <c r="CB21" s="36"/>
      <c r="CC21" s="67"/>
      <c r="CD21" s="37"/>
      <c r="CE21" s="27" t="s">
        <v>19</v>
      </c>
      <c r="CF21" s="54">
        <f>CF20/CF10</f>
        <v>-0.1341602690769742</v>
      </c>
      <c r="CG21" s="54">
        <v>-0.14044239502615091</v>
      </c>
      <c r="CH21" s="36"/>
      <c r="CI21" s="67"/>
      <c r="CJ21" s="54">
        <f>CJ20/CJ10</f>
        <v>-0.1341602690769742</v>
      </c>
      <c r="CK21" s="36"/>
      <c r="CL21" s="67"/>
      <c r="CN21" s="27" t="s">
        <v>19</v>
      </c>
      <c r="CO21" s="54">
        <f>CO20/CO10</f>
        <v>-0.10086111097166976</v>
      </c>
      <c r="CP21" s="54">
        <v>-0.1060255535488808</v>
      </c>
      <c r="CQ21" s="36"/>
      <c r="CR21" s="67"/>
      <c r="CS21" s="54">
        <f>CS20/CS10</f>
        <v>-0.10086111097166976</v>
      </c>
      <c r="CT21" s="36"/>
      <c r="CU21" s="67"/>
      <c r="CW21" s="27" t="s">
        <v>19</v>
      </c>
      <c r="CX21" s="54">
        <f>CX20/CX10</f>
        <v>-0.1625460384689601</v>
      </c>
      <c r="CY21" s="54">
        <v>-0.21922677880459771</v>
      </c>
      <c r="CZ21" s="36"/>
      <c r="DA21" s="67"/>
      <c r="DB21" s="54">
        <f>DB20/DB10</f>
        <v>-0.1625460384689601</v>
      </c>
      <c r="DC21" s="36"/>
      <c r="DD21" s="67"/>
      <c r="DF21" s="27" t="s">
        <v>19</v>
      </c>
      <c r="DG21" s="54">
        <f>DG20/DG10</f>
        <v>-9.6136487782296401E-2</v>
      </c>
      <c r="DH21" s="54">
        <f>DH20/DH10</f>
        <v>-9.9832983218069452E-2</v>
      </c>
      <c r="DI21" s="36"/>
      <c r="DJ21" s="67"/>
      <c r="DK21" s="54">
        <f>DK20/DK10</f>
        <v>-9.6136487782296401E-2</v>
      </c>
      <c r="DL21" s="36"/>
      <c r="DM21" s="67"/>
    </row>
    <row r="22" spans="2:117" x14ac:dyDescent="0.25">
      <c r="B22" s="53" t="s">
        <v>23</v>
      </c>
      <c r="C22" s="8">
        <f>C20+C15</f>
        <v>-295.42843999999991</v>
      </c>
      <c r="D22" s="8">
        <v>-214.98376999999999</v>
      </c>
      <c r="E22" s="78">
        <f>C22-D22</f>
        <v>-80.444669999999917</v>
      </c>
      <c r="F22" s="85">
        <f>+IF(IFERROR(C22/D22-1,"-")&lt;300%,IFERROR(C22/D22-1,"-"),"n.a.")</f>
        <v>0.37418950277037144</v>
      </c>
      <c r="G22" s="8">
        <f>G20+G15</f>
        <v>-295.42843999999991</v>
      </c>
      <c r="H22" s="8">
        <f>C22-G22</f>
        <v>0</v>
      </c>
      <c r="I22" s="85">
        <f>+IF(IFERROR(C22/G22-1,"-")&lt;300%,IFERROR(C22/G22-1,"-"),"n.a.")</f>
        <v>0</v>
      </c>
      <c r="K22" s="53" t="s">
        <v>23</v>
      </c>
      <c r="L22" s="8">
        <f>L20+L15</f>
        <v>-297.79066999999986</v>
      </c>
      <c r="M22" s="8">
        <v>-205.42608000000001</v>
      </c>
      <c r="N22" s="78">
        <f>L22-M22</f>
        <v>-92.364589999999851</v>
      </c>
      <c r="O22" s="85">
        <f>+IF(IFERROR(L22/M22-1,"-")&lt;300%,IFERROR(L22/M22-1,"-"),"n.a.")</f>
        <v>0.44962445858870415</v>
      </c>
      <c r="P22" s="8">
        <f>P20+P15</f>
        <v>-297.79066999999986</v>
      </c>
      <c r="Q22" s="8">
        <f>L22-P22</f>
        <v>0</v>
      </c>
      <c r="R22" s="85">
        <f>+IF(IFERROR(L22/P22-1,"-")&lt;300%,IFERROR(L22/P22-1,"-"),"n.a.")</f>
        <v>0</v>
      </c>
      <c r="T22" s="53" t="s">
        <v>23</v>
      </c>
      <c r="U22" s="8">
        <f>U20+U15</f>
        <v>-304.28565999999989</v>
      </c>
      <c r="V22" s="8">
        <v>-256.83958000000001</v>
      </c>
      <c r="W22" s="78">
        <f>U22-V22</f>
        <v>-47.446079999999881</v>
      </c>
      <c r="X22" s="85">
        <f>+IF(IFERROR(U22/V22-1,"-")&lt;300%,IFERROR(U22/V22-1,"-"),"n.a.")</f>
        <v>0.18473040642723326</v>
      </c>
      <c r="Y22" s="8">
        <f>Y20+Y15</f>
        <v>-304.28565999999989</v>
      </c>
      <c r="Z22" s="8">
        <f>U22-Y22</f>
        <v>0</v>
      </c>
      <c r="AA22" s="85">
        <f>+IF(IFERROR(U22/Y22-1,"-")&lt;300%,IFERROR(U22/Y22-1,"-"),"n.a.")</f>
        <v>0</v>
      </c>
      <c r="AB22" s="120"/>
      <c r="AC22" s="53" t="s">
        <v>23</v>
      </c>
      <c r="AD22" s="8">
        <f>AD20+AD15</f>
        <v>-306.26524000000001</v>
      </c>
      <c r="AE22" s="8">
        <v>-237.00357</v>
      </c>
      <c r="AF22" s="78">
        <f>AD22-AE22</f>
        <v>-69.261670000000009</v>
      </c>
      <c r="AG22" s="85">
        <f>+IF(IFERROR(AD22/AE22-1,"-")&lt;300%,IFERROR(AD22/AE22-1,"-"),"n.a.")</f>
        <v>0.29223893125322964</v>
      </c>
      <c r="AH22" s="8">
        <f>AH20+AH15</f>
        <v>-306.26524000000001</v>
      </c>
      <c r="AI22" s="8">
        <f>AD22-AH22</f>
        <v>0</v>
      </c>
      <c r="AJ22" s="85">
        <f>+IF(IFERROR(AD22/AH22-1,"-")&lt;300%,IFERROR(AD22/AH22-1,"-"),"n.a.")</f>
        <v>0</v>
      </c>
      <c r="AK22" s="120"/>
      <c r="AL22" s="53" t="s">
        <v>23</v>
      </c>
      <c r="AM22" s="8">
        <f>AM20+AM15</f>
        <v>-308.44064999999989</v>
      </c>
      <c r="AN22" s="8">
        <v>-233.24385000000001</v>
      </c>
      <c r="AO22" s="78">
        <f>AM22-AN22</f>
        <v>-75.196799999999882</v>
      </c>
      <c r="AP22" s="85">
        <f>+IF(IFERROR(AM22/AN22-1,"-")&lt;300%,IFERROR(AM22/AN22-1,"-"),"n.a.")</f>
        <v>0.32239563872745136</v>
      </c>
      <c r="AQ22" s="8">
        <f>AQ20+AQ15</f>
        <v>-308.44064999999989</v>
      </c>
      <c r="AR22" s="8">
        <f>AM22-AQ22</f>
        <v>0</v>
      </c>
      <c r="AS22" s="85">
        <f>+IF(IFERROR(AM22/AQ22-1,"-")&lt;300%,IFERROR(AM22/AQ22-1,"-"),"n.a.")</f>
        <v>0</v>
      </c>
      <c r="AT22" s="74"/>
      <c r="AU22" s="53" t="s">
        <v>23</v>
      </c>
      <c r="AV22" s="8">
        <f>AV20+AV15</f>
        <v>-290.23541999999986</v>
      </c>
      <c r="AW22" s="8">
        <v>-297.10844000000009</v>
      </c>
      <c r="AX22" s="78">
        <f>AV22-AW22</f>
        <v>6.8730200000002242</v>
      </c>
      <c r="AY22" s="85">
        <f>+IF(IFERROR(AV22/AW22-1,"-")&lt;300%,IFERROR(AV22/AW22-1,"-"),"n.a.")</f>
        <v>-2.3133035197519858E-2</v>
      </c>
      <c r="AZ22" s="8">
        <f>AZ20+AZ15</f>
        <v>-290.23541999999986</v>
      </c>
      <c r="BA22" s="8">
        <f>AV22-AZ22</f>
        <v>0</v>
      </c>
      <c r="BB22" s="85">
        <f>+IF(IFERROR(AV22/AZ22-1,"-")&lt;300%,IFERROR(AV22/AZ22-1,"-"),"n.a.")</f>
        <v>0</v>
      </c>
      <c r="BC22" s="74"/>
      <c r="BD22" s="53" t="s">
        <v>23</v>
      </c>
      <c r="BE22" s="8">
        <f>BE20+BE15</f>
        <v>-281.86647999999997</v>
      </c>
      <c r="BF22" s="8">
        <v>-303.55815421899717</v>
      </c>
      <c r="BG22" s="78">
        <f>BE22-BF22</f>
        <v>21.691674218997207</v>
      </c>
      <c r="BH22" s="85">
        <f>+IF(IFERROR(BE22/BF22-1,"-")&lt;300%,IFERROR(BE22/BF22-1,"-"),"n.a.")</f>
        <v>-7.1458051505175813E-2</v>
      </c>
      <c r="BI22" s="8">
        <f>BI20+BI15</f>
        <v>-281.86647999999997</v>
      </c>
      <c r="BJ22" s="8">
        <f>BE22-BI22</f>
        <v>0</v>
      </c>
      <c r="BK22" s="85">
        <f>+IF(IFERROR(BE22/BI22-1,"-")&lt;300%,IFERROR(BE22/BI22-1,"-"),"n.a.")</f>
        <v>0</v>
      </c>
      <c r="BL22" s="74"/>
      <c r="BM22" s="53" t="s">
        <v>23</v>
      </c>
      <c r="BN22" s="8">
        <f>BN20+BN15</f>
        <v>-275.63778000000002</v>
      </c>
      <c r="BO22" s="8">
        <v>-271.26445103129618</v>
      </c>
      <c r="BP22" s="78">
        <f>BN22-BO22</f>
        <v>-4.373328968703845</v>
      </c>
      <c r="BQ22" s="85">
        <f>+IF(IFERROR(BN22/BO22-1,"-")&lt;300%,IFERROR(BN22/BO22-1,"-"),"n.a.")</f>
        <v>1.6122012862641144E-2</v>
      </c>
      <c r="BR22" s="8">
        <f>BR20+BR15</f>
        <v>-275.63778000000002</v>
      </c>
      <c r="BS22" s="8">
        <f>BN22-BR22</f>
        <v>0</v>
      </c>
      <c r="BT22" s="85">
        <f>+IF(IFERROR(BN22/BR22-1,"-")&lt;300%,IFERROR(BN22/BR22-1,"-"),"n.a.")</f>
        <v>0</v>
      </c>
      <c r="BV22" s="53" t="s">
        <v>23</v>
      </c>
      <c r="BW22" s="8">
        <f>BW20+BW15</f>
        <v>-288.45668999999998</v>
      </c>
      <c r="BX22" s="8">
        <v>-257.18810999999999</v>
      </c>
      <c r="BY22" s="78">
        <f>BW22-BX22</f>
        <v>-31.268579999999986</v>
      </c>
      <c r="BZ22" s="85">
        <f>+IF(IFERROR(BW22/BX22-1,"-")&lt;300%,IFERROR(BW22/BX22-1,"-"),"n.a.")</f>
        <v>0.12157863751944054</v>
      </c>
      <c r="CA22" s="8">
        <f>CA20+CA15</f>
        <v>-288.45668999999998</v>
      </c>
      <c r="CB22" s="8">
        <f>BW22-CA22</f>
        <v>0</v>
      </c>
      <c r="CC22" s="85">
        <f>+IF(IFERROR(BW22/CA22-1,"-")&lt;300%,IFERROR(BW22/CA22-1,"-"),"n.a.")</f>
        <v>0</v>
      </c>
      <c r="CD22" s="62"/>
      <c r="CE22" s="53" t="s">
        <v>23</v>
      </c>
      <c r="CF22" s="8">
        <f>CF20+CF15</f>
        <v>-285.31338</v>
      </c>
      <c r="CG22" s="8">
        <v>-280.72397999999998</v>
      </c>
      <c r="CH22" s="78">
        <f>CF22-CG22</f>
        <v>-4.5894000000000119</v>
      </c>
      <c r="CI22" s="85">
        <f>+IF(IFERROR(CF22/CG22-1,"-")&lt;300%,IFERROR(CF22/CG22-1,"-"),"n.a.")</f>
        <v>1.6348443050714812E-2</v>
      </c>
      <c r="CJ22" s="8">
        <f>CJ20+CJ15</f>
        <v>-285.31338</v>
      </c>
      <c r="CK22" s="8">
        <f>CF22-CJ22</f>
        <v>0</v>
      </c>
      <c r="CL22" s="85">
        <f>+IF(IFERROR(CF22/CJ22-1,"-")&lt;300%,IFERROR(CF22/CJ22-1,"-"),"n.a.")</f>
        <v>0</v>
      </c>
      <c r="CN22" s="53" t="s">
        <v>23</v>
      </c>
      <c r="CO22" s="8">
        <f>CO20+CO15</f>
        <v>-306.23906999999986</v>
      </c>
      <c r="CP22" s="8">
        <v>-282.54820999999993</v>
      </c>
      <c r="CQ22" s="78">
        <f>CO22-CP22</f>
        <v>-23.69085999999993</v>
      </c>
      <c r="CR22" s="85">
        <f>+IF(IFERROR(CO22/CP22-1,"-")&lt;300%,IFERROR(CO22/CP22-1,"-"),"n.a.")</f>
        <v>8.3847142404476438E-2</v>
      </c>
      <c r="CS22" s="8">
        <f>CS20+CS15</f>
        <v>-306.23906999999986</v>
      </c>
      <c r="CT22" s="8">
        <f>CO22-CS22</f>
        <v>0</v>
      </c>
      <c r="CU22" s="85">
        <f>+IF(IFERROR(CO22/CS22-1,"-")&lt;300%,IFERROR(CO22/CS22-1,"-"),"n.a.")</f>
        <v>0</v>
      </c>
      <c r="CW22" s="53" t="s">
        <v>23</v>
      </c>
      <c r="CX22" s="8">
        <f>CX20+CX15</f>
        <v>-693.93455000000006</v>
      </c>
      <c r="CY22" s="8">
        <v>-682.07908000000009</v>
      </c>
      <c r="CZ22" s="78">
        <f>CX22-CY22</f>
        <v>-11.855469999999968</v>
      </c>
      <c r="DA22" s="85">
        <f>+IF(IFERROR(CX22/CY22-1,"-")&lt;300%,IFERROR(CX22/CY22-1,"-"),"n.a.")</f>
        <v>1.7381371673208301E-2</v>
      </c>
      <c r="DB22" s="8">
        <f>DB20+DB15</f>
        <v>-693.93455000000006</v>
      </c>
      <c r="DC22" s="8">
        <f>CX22-DB22</f>
        <v>0</v>
      </c>
      <c r="DD22" s="85">
        <f>+IF(IFERROR(CX22/DB22-1,"-")&lt;300%,IFERROR(CX22/DB22-1,"-"),"n.a.")</f>
        <v>0</v>
      </c>
      <c r="DF22" s="53" t="s">
        <v>23</v>
      </c>
      <c r="DG22" s="8">
        <f>DG20+DG15</f>
        <v>-3933.8940300000004</v>
      </c>
      <c r="DH22" s="8">
        <f>DH20+DH15</f>
        <v>-3521.9672752502943</v>
      </c>
      <c r="DI22" s="78">
        <f>DG22-DH22</f>
        <v>-411.92675474970611</v>
      </c>
      <c r="DJ22" s="85">
        <f>+IF(IFERROR(DG22/DH22-1,"-")&lt;300%,IFERROR(DG22/DH22-1,"-"),"n.a.")</f>
        <v>0.11695927944714701</v>
      </c>
      <c r="DK22" s="8">
        <f>DK20+DK15</f>
        <v>-3933.8940300000004</v>
      </c>
      <c r="DL22" s="8">
        <f>DG22-DK22</f>
        <v>0</v>
      </c>
      <c r="DM22" s="85">
        <f>+IF(IFERROR(DG22/DK22-1,"-")&lt;300%,IFERROR(DG22/DK22-1,"-"),"n.a.")</f>
        <v>0</v>
      </c>
    </row>
    <row r="23" spans="2:117" x14ac:dyDescent="0.25">
      <c r="B23" s="27" t="s">
        <v>19</v>
      </c>
      <c r="C23" s="54">
        <f>C22/C10</f>
        <v>-0.25830204177987415</v>
      </c>
      <c r="D23" s="54">
        <v>-0.2185200515872294</v>
      </c>
      <c r="E23" s="36"/>
      <c r="F23" s="67"/>
      <c r="G23" s="54">
        <f>G22/G10</f>
        <v>-0.25830204177987415</v>
      </c>
      <c r="H23" s="36"/>
      <c r="I23" s="67"/>
      <c r="K23" s="27" t="s">
        <v>19</v>
      </c>
      <c r="L23" s="54">
        <f>L22/L10</f>
        <v>-0.160738441284966</v>
      </c>
      <c r="M23" s="54">
        <v>-0.1397049424006199</v>
      </c>
      <c r="N23" s="36"/>
      <c r="O23" s="67"/>
      <c r="P23" s="54">
        <f>P22/P10</f>
        <v>-0.160738441284966</v>
      </c>
      <c r="Q23" s="36"/>
      <c r="R23" s="67"/>
      <c r="T23" s="27" t="s">
        <v>19</v>
      </c>
      <c r="U23" s="54">
        <f>U22/U10</f>
        <v>-0.1712226781310425</v>
      </c>
      <c r="V23" s="54">
        <v>-0.1674542660977168</v>
      </c>
      <c r="W23" s="36"/>
      <c r="X23" s="67"/>
      <c r="Y23" s="54">
        <f>Y22/Y10</f>
        <v>-0.1712226781310425</v>
      </c>
      <c r="Z23" s="36"/>
      <c r="AA23" s="67"/>
      <c r="AB23" s="127"/>
      <c r="AC23" s="27" t="s">
        <v>19</v>
      </c>
      <c r="AD23" s="54">
        <f>AD22/AD10</f>
        <v>-0.21405895238967504</v>
      </c>
      <c r="AE23" s="54">
        <v>-0.16209292684450149</v>
      </c>
      <c r="AF23" s="36"/>
      <c r="AG23" s="67"/>
      <c r="AH23" s="54">
        <f>AH22/AH10</f>
        <v>-0.21405895238967504</v>
      </c>
      <c r="AI23" s="36"/>
      <c r="AJ23" s="67"/>
      <c r="AK23" s="127"/>
      <c r="AL23" s="27" t="s">
        <v>19</v>
      </c>
      <c r="AM23" s="54">
        <f>AM22/AM10</f>
        <v>-0.13130545950722103</v>
      </c>
      <c r="AN23" s="54">
        <v>-0.1211071331251094</v>
      </c>
      <c r="AO23" s="36"/>
      <c r="AP23" s="67"/>
      <c r="AQ23" s="54">
        <f>AQ22/AQ10</f>
        <v>-0.13130545950722103</v>
      </c>
      <c r="AR23" s="36"/>
      <c r="AS23" s="67"/>
      <c r="AT23" s="41"/>
      <c r="AU23" s="27" t="s">
        <v>19</v>
      </c>
      <c r="AV23" s="54">
        <f>AV22/AV10</f>
        <v>-0.12459216339242542</v>
      </c>
      <c r="AW23" s="54">
        <v>-0.1514112110105103</v>
      </c>
      <c r="AX23" s="36"/>
      <c r="AY23" s="67"/>
      <c r="AZ23" s="54">
        <f>AZ22/AZ10</f>
        <v>-0.12459216339242542</v>
      </c>
      <c r="BA23" s="36"/>
      <c r="BB23" s="67"/>
      <c r="BC23" s="41"/>
      <c r="BD23" s="27" t="s">
        <v>19</v>
      </c>
      <c r="BE23" s="54">
        <f>BE22/BE10</f>
        <v>-0.19071032047738104</v>
      </c>
      <c r="BF23" s="54">
        <v>-0.2351971172162797</v>
      </c>
      <c r="BG23" s="36"/>
      <c r="BH23" s="67"/>
      <c r="BI23" s="54">
        <f>BI22/BI10</f>
        <v>-0.19071032047738104</v>
      </c>
      <c r="BJ23" s="36"/>
      <c r="BK23" s="67"/>
      <c r="BL23" s="54"/>
      <c r="BM23" s="27" t="s">
        <v>19</v>
      </c>
      <c r="BN23" s="54">
        <f>BN22/BN10</f>
        <v>-0.2922302420088555</v>
      </c>
      <c r="BO23" s="54">
        <v>-0.34419829769072829</v>
      </c>
      <c r="BP23" s="36"/>
      <c r="BQ23" s="67"/>
      <c r="BR23" s="54">
        <f>BR22/BR10</f>
        <v>-0.2922302420088555</v>
      </c>
      <c r="BS23" s="36"/>
      <c r="BT23" s="67"/>
      <c r="BV23" s="27" t="s">
        <v>19</v>
      </c>
      <c r="BW23" s="54">
        <f>BW22/BW10</f>
        <v>-0.52648056425580469</v>
      </c>
      <c r="BX23" s="54">
        <v>-0.5323882563300516</v>
      </c>
      <c r="BY23" s="36"/>
      <c r="BZ23" s="67"/>
      <c r="CA23" s="54">
        <f>CA22/CA10</f>
        <v>-0.52648056425580469</v>
      </c>
      <c r="CB23" s="36"/>
      <c r="CC23" s="67"/>
      <c r="CD23" s="37"/>
      <c r="CE23" s="27" t="s">
        <v>19</v>
      </c>
      <c r="CF23" s="54">
        <f>CF22/CF10</f>
        <v>-0.3113765602461761</v>
      </c>
      <c r="CG23" s="54">
        <v>-0.30779281613726339</v>
      </c>
      <c r="CH23" s="36"/>
      <c r="CI23" s="67"/>
      <c r="CJ23" s="54">
        <f>CJ22/CJ10</f>
        <v>-0.3113765602461761</v>
      </c>
      <c r="CK23" s="36"/>
      <c r="CL23" s="67"/>
      <c r="CN23" s="27" t="s">
        <v>19</v>
      </c>
      <c r="CO23" s="54">
        <f>CO22/CO10</f>
        <v>-0.21621452002253558</v>
      </c>
      <c r="CP23" s="54">
        <v>-0.23059102891323771</v>
      </c>
      <c r="CQ23" s="36"/>
      <c r="CR23" s="67"/>
      <c r="CS23" s="54">
        <f>CS22/CS10</f>
        <v>-0.21621452002253558</v>
      </c>
      <c r="CT23" s="36"/>
      <c r="CU23" s="67"/>
      <c r="CW23" s="27" t="s">
        <v>19</v>
      </c>
      <c r="CX23" s="54">
        <f>CX22/CX10</f>
        <v>-0.44665599564496367</v>
      </c>
      <c r="CY23" s="54">
        <v>-0.59705416118722909</v>
      </c>
      <c r="CZ23" s="36"/>
      <c r="DA23" s="67"/>
      <c r="DB23" s="54">
        <f>DB22/DB10</f>
        <v>-0.44665599564496367</v>
      </c>
      <c r="DC23" s="36"/>
      <c r="DD23" s="67"/>
      <c r="DF23" s="27" t="s">
        <v>19</v>
      </c>
      <c r="DG23" s="54">
        <f>DG22/DG10</f>
        <v>-0.2217757628573104</v>
      </c>
      <c r="DH23" s="54">
        <f>DH22/DH10</f>
        <v>-0.23201365449606684</v>
      </c>
      <c r="DI23" s="36"/>
      <c r="DJ23" s="67"/>
      <c r="DK23" s="54">
        <f>DK22/DK10</f>
        <v>-0.2217757628573104</v>
      </c>
      <c r="DL23" s="36"/>
      <c r="DM23" s="67"/>
    </row>
    <row r="24" spans="2:117" x14ac:dyDescent="0.25">
      <c r="B24" s="35" t="s">
        <v>24</v>
      </c>
      <c r="C24" s="64">
        <f>C12+C22</f>
        <v>518.31963000000007</v>
      </c>
      <c r="D24" s="64">
        <v>266.16780999999997</v>
      </c>
      <c r="E24" s="64">
        <f>C24-D24</f>
        <v>252.1518200000001</v>
      </c>
      <c r="F24" s="79">
        <f>+IF(IFERROR(C24/D24-1,"-")&lt;300%,IFERROR(C24/D24-1,"-"),"n.a.")</f>
        <v>0.94734152863939536</v>
      </c>
      <c r="G24" s="64">
        <f>G12+G22</f>
        <v>518.31963000000007</v>
      </c>
      <c r="H24" s="64">
        <f>C24-G24</f>
        <v>0</v>
      </c>
      <c r="I24" s="79">
        <f>+IF(IFERROR(C24/G24-1,"-")&lt;300%,IFERROR(C24/G24-1,"-"),"n.a.")</f>
        <v>0</v>
      </c>
      <c r="K24" s="35" t="s">
        <v>24</v>
      </c>
      <c r="L24" s="64">
        <f>L12+L22</f>
        <v>922.69083000000023</v>
      </c>
      <c r="M24" s="64">
        <v>908.7649100000001</v>
      </c>
      <c r="N24" s="64">
        <f>L24-M24</f>
        <v>13.925920000000133</v>
      </c>
      <c r="O24" s="79">
        <f>+IF(IFERROR(L24/M24-1,"-")&lt;300%,IFERROR(L24/M24-1,"-"),"n.a.")</f>
        <v>1.5324007173648679E-2</v>
      </c>
      <c r="P24" s="64">
        <f>P12+P22</f>
        <v>922.69083000000023</v>
      </c>
      <c r="Q24" s="64">
        <f>L24-P24</f>
        <v>0</v>
      </c>
      <c r="R24" s="79">
        <f>+IF(IFERROR(L24/P24-1,"-")&lt;300%,IFERROR(L24/P24-1,"-"),"n.a.")</f>
        <v>0</v>
      </c>
      <c r="T24" s="35" t="s">
        <v>24</v>
      </c>
      <c r="U24" s="64">
        <f>U12+U22</f>
        <v>807.8680700000001</v>
      </c>
      <c r="V24" s="64">
        <v>891.2498999999998</v>
      </c>
      <c r="W24" s="64">
        <f>U24-V24</f>
        <v>-83.381829999999695</v>
      </c>
      <c r="X24" s="79">
        <f>+IF(IFERROR(U24/V24-1,"-")&lt;300%,IFERROR(U24/V24-1,"-"),"n.a.")</f>
        <v>-9.3556060988057022E-2</v>
      </c>
      <c r="Y24" s="64">
        <f>Y12+Y22</f>
        <v>807.8680700000001</v>
      </c>
      <c r="Z24" s="64">
        <f>U24-Y24</f>
        <v>0</v>
      </c>
      <c r="AA24" s="79">
        <f>+IF(IFERROR(U24/Y24-1,"-")&lt;300%,IFERROR(U24/Y24-1,"-"),"n.a.")</f>
        <v>0</v>
      </c>
      <c r="AB24" s="123"/>
      <c r="AC24" s="35" t="s">
        <v>24</v>
      </c>
      <c r="AD24" s="64">
        <f>AD12+AD22</f>
        <v>606.71847000000002</v>
      </c>
      <c r="AE24" s="64">
        <v>718.93961999999988</v>
      </c>
      <c r="AF24" s="64">
        <f>AD24-AE24</f>
        <v>-112.22114999999985</v>
      </c>
      <c r="AG24" s="79">
        <f>+IF(IFERROR(AD24/AE24-1,"-")&lt;300%,IFERROR(AD24/AE24-1,"-"),"n.a.")</f>
        <v>-0.15609259370070583</v>
      </c>
      <c r="AH24" s="64">
        <f>AH12+AH22</f>
        <v>606.71847000000002</v>
      </c>
      <c r="AI24" s="64">
        <f>AD24-AH24</f>
        <v>0</v>
      </c>
      <c r="AJ24" s="79">
        <f>+IF(IFERROR(AD24/AH24-1,"-")&lt;300%,IFERROR(AD24/AH24-1,"-"),"n.a.")</f>
        <v>0</v>
      </c>
      <c r="AK24" s="123"/>
      <c r="AL24" s="35" t="s">
        <v>24</v>
      </c>
      <c r="AM24" s="64">
        <f>AM12+AM22</f>
        <v>1202.5325699999999</v>
      </c>
      <c r="AN24" s="64">
        <v>1068.41372</v>
      </c>
      <c r="AO24" s="64">
        <f>AM24-AN24</f>
        <v>134.11884999999984</v>
      </c>
      <c r="AP24" s="79">
        <f>+IF(IFERROR(AM24/AN24-1,"-")&lt;300%,IFERROR(AM24/AN24-1,"-"),"n.a.")</f>
        <v>0.12553081965289614</v>
      </c>
      <c r="AQ24" s="64">
        <f>AQ12+AQ22</f>
        <v>1202.5325699999999</v>
      </c>
      <c r="AR24" s="64">
        <f>AM24-AQ24</f>
        <v>0</v>
      </c>
      <c r="AS24" s="79">
        <f>+IF(IFERROR(AM24/AQ24-1,"-")&lt;300%,IFERROR(AM24/AQ24-1,"-"),"n.a.")</f>
        <v>0</v>
      </c>
      <c r="AT24" s="45"/>
      <c r="AU24" s="35" t="s">
        <v>24</v>
      </c>
      <c r="AV24" s="64">
        <f>AV12+AV22</f>
        <v>1174.50936</v>
      </c>
      <c r="AW24" s="64">
        <v>921.59479999999974</v>
      </c>
      <c r="AX24" s="64">
        <f>AV24-AW24</f>
        <v>252.91456000000028</v>
      </c>
      <c r="AY24" s="79">
        <f>+IF(IFERROR(AV24/AW24-1,"-")&lt;300%,IFERROR(AV24/AW24-1,"-"),"n.a.")</f>
        <v>0.27443140955222445</v>
      </c>
      <c r="AZ24" s="64">
        <f>AZ12+AZ22</f>
        <v>1174.50936</v>
      </c>
      <c r="BA24" s="64">
        <f>AV24-AZ24</f>
        <v>0</v>
      </c>
      <c r="BB24" s="79">
        <f>+IF(IFERROR(AV24/AZ24-1,"-")&lt;300%,IFERROR(AV24/AZ24-1,"-"),"n.a.")</f>
        <v>0</v>
      </c>
      <c r="BC24" s="45"/>
      <c r="BD24" s="35" t="s">
        <v>24</v>
      </c>
      <c r="BE24" s="64">
        <f>BE12+BE22</f>
        <v>634.10463000000027</v>
      </c>
      <c r="BF24" s="64">
        <v>461.78104578100277</v>
      </c>
      <c r="BG24" s="64">
        <f>BE24-BF24</f>
        <v>172.3235842189975</v>
      </c>
      <c r="BH24" s="79">
        <f>+IF(IFERROR(BE24/BF24-1,"-")&lt;300%,IFERROR(BE24/BF24-1,"-"),"n.a.")</f>
        <v>0.37317162710208129</v>
      </c>
      <c r="BI24" s="64">
        <f>BI12+BI22</f>
        <v>634.10463000000027</v>
      </c>
      <c r="BJ24" s="64">
        <f>BE24-BI24</f>
        <v>0</v>
      </c>
      <c r="BK24" s="79">
        <f>+IF(IFERROR(BE24/BI24-1,"-")&lt;300%,IFERROR(BE24/BI24-1,"-"),"n.a.")</f>
        <v>0</v>
      </c>
      <c r="BL24" s="46"/>
      <c r="BM24" s="35" t="s">
        <v>24</v>
      </c>
      <c r="BN24" s="64">
        <f>BN12+BN22</f>
        <v>327.62536</v>
      </c>
      <c r="BO24" s="64">
        <v>244.72046896870401</v>
      </c>
      <c r="BP24" s="64">
        <f>BN24-BO24</f>
        <v>82.904891031295989</v>
      </c>
      <c r="BQ24" s="79">
        <f>+IF(IFERROR(BN24/BO24-1,"-")&lt;300%,IFERROR(BN24/BO24-1,"-"),"n.a.")</f>
        <v>0.33877383195885535</v>
      </c>
      <c r="BR24" s="64">
        <f>BR12+BR22</f>
        <v>327.62536</v>
      </c>
      <c r="BS24" s="64">
        <f>BN24-BR24</f>
        <v>0</v>
      </c>
      <c r="BT24" s="79">
        <f>+IF(IFERROR(BN24/BR24-1,"-")&lt;300%,IFERROR(BN24/BR24-1,"-"),"n.a.")</f>
        <v>0</v>
      </c>
      <c r="BV24" s="35" t="s">
        <v>24</v>
      </c>
      <c r="BW24" s="64">
        <f>BW12+BW22</f>
        <v>49.426750000000084</v>
      </c>
      <c r="BX24" s="64">
        <v>64.104669999999999</v>
      </c>
      <c r="BY24" s="64">
        <f>BW24-BX24</f>
        <v>-14.677919999999915</v>
      </c>
      <c r="BZ24" s="79">
        <f>+IF(IFERROR(BW24/BX24-1,"-")&lt;300%,IFERROR(BW24/BX24-1,"-"),"n.a.")</f>
        <v>-0.22896802994227905</v>
      </c>
      <c r="CA24" s="64">
        <f>CA12+CA22</f>
        <v>49.426750000000084</v>
      </c>
      <c r="CB24" s="64">
        <f>BW24-CA24</f>
        <v>0</v>
      </c>
      <c r="CC24" s="79">
        <f>+IF(IFERROR(BW24/CA24-1,"-")&lt;300%,IFERROR(BW24/CA24-1,"-"),"n.a.")</f>
        <v>0</v>
      </c>
      <c r="CD24" s="60"/>
      <c r="CE24" s="35" t="s">
        <v>24</v>
      </c>
      <c r="CF24" s="64">
        <f>CF12+CF22</f>
        <v>288.39186000000001</v>
      </c>
      <c r="CG24" s="64">
        <v>329.22967000000011</v>
      </c>
      <c r="CH24" s="64">
        <f>CF24-CG24</f>
        <v>-40.837810000000104</v>
      </c>
      <c r="CI24" s="79">
        <f>+IF(IFERROR(CF24/CG24-1,"-")&lt;300%,IFERROR(CF24/CG24-1,"-"),"n.a.")</f>
        <v>-0.1240404912473414</v>
      </c>
      <c r="CJ24" s="64">
        <f>CJ12+CJ22</f>
        <v>288.39186000000001</v>
      </c>
      <c r="CK24" s="64">
        <f>CF24-CJ24</f>
        <v>0</v>
      </c>
      <c r="CL24" s="79">
        <f>+IF(IFERROR(CF24/CJ24-1,"-")&lt;300%,IFERROR(CF24/CJ24-1,"-"),"n.a.")</f>
        <v>0</v>
      </c>
      <c r="CN24" s="35" t="s">
        <v>24</v>
      </c>
      <c r="CO24" s="64">
        <f>CO12+CO22</f>
        <v>567.45787000000018</v>
      </c>
      <c r="CP24" s="64">
        <v>538.35029000000009</v>
      </c>
      <c r="CQ24" s="64">
        <f>CO24-CP24</f>
        <v>29.107580000000098</v>
      </c>
      <c r="CR24" s="79">
        <f>+IF(IFERROR(CO24/CP24-1,"-")&lt;300%,IFERROR(CO24/CP24-1,"-"),"n.a.")</f>
        <v>5.4068104987925469E-2</v>
      </c>
      <c r="CS24" s="64">
        <f>CS12+CS22</f>
        <v>567.45787000000018</v>
      </c>
      <c r="CT24" s="64">
        <f>CO24-CS24</f>
        <v>0</v>
      </c>
      <c r="CU24" s="79">
        <f>+IF(IFERROR(CO24/CS24-1,"-")&lt;300%,IFERROR(CO24/CS24-1,"-"),"n.a.")</f>
        <v>0</v>
      </c>
      <c r="CW24" s="35" t="s">
        <v>24</v>
      </c>
      <c r="CX24" s="64">
        <f>CX12+CX22</f>
        <v>297.37435999999991</v>
      </c>
      <c r="CY24" s="64">
        <v>11.18297000000007</v>
      </c>
      <c r="CZ24" s="64">
        <f>CX24-CY24</f>
        <v>286.19138999999984</v>
      </c>
      <c r="DA24" s="79" t="str">
        <f>+IF(IFERROR(CX24/CY24-1,"-")&lt;300%,IFERROR(CX24/CY24-1,"-"),"n.a.")</f>
        <v>n.a.</v>
      </c>
      <c r="DB24" s="64">
        <f>DB12+DB22</f>
        <v>297.37435999999991</v>
      </c>
      <c r="DC24" s="64">
        <f>CX24-DB24</f>
        <v>0</v>
      </c>
      <c r="DD24" s="79">
        <f>+IF(IFERROR(CX24/DB24-1,"-")&lt;300%,IFERROR(CX24/DB24-1,"-"),"n.a.")</f>
        <v>0</v>
      </c>
      <c r="DF24" s="35" t="s">
        <v>24</v>
      </c>
      <c r="DG24" s="64">
        <f>DG12+DG22</f>
        <v>7397.0197600000001</v>
      </c>
      <c r="DH24" s="64">
        <f>DH12+DH22</f>
        <v>6424.4998747497048</v>
      </c>
      <c r="DI24" s="64">
        <f>DG24-DH24</f>
        <v>972.51988525029537</v>
      </c>
      <c r="DJ24" s="79">
        <f>+IF(IFERROR(DG24/DH24-1,"-")&lt;300%,IFERROR(DG24/DH24-1,"-"),"n.a.")</f>
        <v>0.15137674592735273</v>
      </c>
      <c r="DK24" s="64">
        <f>DK12+DK22</f>
        <v>7397.0197600000001</v>
      </c>
      <c r="DL24" s="64">
        <f>DG24-DK24</f>
        <v>0</v>
      </c>
      <c r="DM24" s="79">
        <f>+IF(IFERROR(DG24/DK24-1,"-")&lt;300%,IFERROR(DG24/DK24-1,"-"),"n.a.")</f>
        <v>0</v>
      </c>
    </row>
    <row r="25" spans="2:117" x14ac:dyDescent="0.25">
      <c r="B25" s="39" t="s">
        <v>25</v>
      </c>
      <c r="C25" s="54">
        <f>C24/C10</f>
        <v>0.45318256672779694</v>
      </c>
      <c r="D25" s="54">
        <v>0.27054602108828912</v>
      </c>
      <c r="E25" s="41"/>
      <c r="F25" s="86">
        <f>+IF(IFERROR(C25/D25-1,"-")&lt;300%,IFERROR(C25/D25-1,"-"),"n.a.")</f>
        <v>0.67506646338704357</v>
      </c>
      <c r="G25" s="54">
        <f>G24/G10</f>
        <v>0.45318256672779694</v>
      </c>
      <c r="H25" s="41"/>
      <c r="I25" s="86"/>
      <c r="K25" s="39" t="s">
        <v>25</v>
      </c>
      <c r="L25" s="54">
        <f>L24/L10</f>
        <v>0.49804074050450153</v>
      </c>
      <c r="M25" s="54">
        <v>0.61802741602845412</v>
      </c>
      <c r="N25" s="41"/>
      <c r="O25" s="86">
        <f>+IF(IFERROR(L25/M25-1,"-")&lt;300%,IFERROR(L25/M25-1,"-"),"n.a.")</f>
        <v>-0.19414458390051159</v>
      </c>
      <c r="P25" s="54">
        <f>P24/P10</f>
        <v>0.49804074050450153</v>
      </c>
      <c r="Q25" s="41"/>
      <c r="R25" s="86"/>
      <c r="T25" s="39" t="s">
        <v>25</v>
      </c>
      <c r="U25" s="54">
        <f>U24/U10</f>
        <v>0.45459038234649829</v>
      </c>
      <c r="V25" s="54">
        <v>0.5810770984525182</v>
      </c>
      <c r="W25" s="41"/>
      <c r="X25" s="86">
        <f>+IF(IFERROR(U25/V25-1,"-")&lt;300%,IFERROR(U25/V25-1,"-"),"n.a.")</f>
        <v>-0.2176763056793497</v>
      </c>
      <c r="Y25" s="54">
        <f>Y24/Y10</f>
        <v>0.45459038234649829</v>
      </c>
      <c r="Z25" s="41"/>
      <c r="AA25" s="86"/>
      <c r="AB25" s="121"/>
      <c r="AC25" s="39" t="s">
        <v>25</v>
      </c>
      <c r="AD25" s="54">
        <f>AD24/AD10</f>
        <v>0.42405569787699871</v>
      </c>
      <c r="AE25" s="54">
        <v>0.4917015690112756</v>
      </c>
      <c r="AF25" s="41"/>
      <c r="AG25" s="86">
        <f>+IF(IFERROR(AD25/AE25-1,"-")&lt;300%,IFERROR(AD25/AE25-1,"-"),"n.a.")</f>
        <v>-0.13757505649270285</v>
      </c>
      <c r="AH25" s="54">
        <f>AH24/AH10</f>
        <v>0.42405569787699871</v>
      </c>
      <c r="AI25" s="41"/>
      <c r="AJ25" s="86"/>
      <c r="AK25" s="121"/>
      <c r="AL25" s="39" t="s">
        <v>25</v>
      </c>
      <c r="AM25" s="54">
        <f>AM24/AM10</f>
        <v>0.5119269839311047</v>
      </c>
      <c r="AN25" s="54">
        <v>0.55475213010218005</v>
      </c>
      <c r="AO25" s="41"/>
      <c r="AP25" s="86">
        <f>+IF(IFERROR(AM25/AN25-1,"-")&lt;300%,IFERROR(AM25/AN25-1,"-"),"n.a.")</f>
        <v>-7.719690262962553E-2</v>
      </c>
      <c r="AQ25" s="54">
        <f>AQ24/AQ10</f>
        <v>0.5119269839311047</v>
      </c>
      <c r="AR25" s="41"/>
      <c r="AS25" s="86"/>
      <c r="AT25" s="66"/>
      <c r="AU25" s="39" t="s">
        <v>25</v>
      </c>
      <c r="AV25" s="54">
        <f>AV24/AV10</f>
        <v>0.50419298267266299</v>
      </c>
      <c r="AW25" s="54">
        <v>0.46965944396930948</v>
      </c>
      <c r="AX25" s="41"/>
      <c r="AY25" s="86">
        <f>+IF(IFERROR(AV25/AW25-1,"-")&lt;300%,IFERROR(AV25/AW25-1,"-"),"n.a.")</f>
        <v>7.3528892363995846E-2</v>
      </c>
      <c r="AZ25" s="54">
        <f>AZ24/AZ10</f>
        <v>0.50419298267266299</v>
      </c>
      <c r="BA25" s="41"/>
      <c r="BB25" s="86"/>
      <c r="BC25" s="66"/>
      <c r="BD25" s="39" t="s">
        <v>25</v>
      </c>
      <c r="BE25" s="54">
        <f>BE24/BE10</f>
        <v>0.42903397808597604</v>
      </c>
      <c r="BF25" s="54">
        <v>0.35778834876712318</v>
      </c>
      <c r="BG25" s="41"/>
      <c r="BH25" s="86">
        <f>+IF(IFERROR(BE25/BF25-1,"-")&lt;300%,IFERROR(BE25/BF25-1,"-"),"n.a.")</f>
        <v>0.19912786306304553</v>
      </c>
      <c r="BI25" s="54">
        <f>BI24/BI10</f>
        <v>0.42903397808597604</v>
      </c>
      <c r="BJ25" s="41"/>
      <c r="BK25" s="86"/>
      <c r="BL25" s="73"/>
      <c r="BM25" s="39" t="s">
        <v>25</v>
      </c>
      <c r="BN25" s="54">
        <f>BN24/BN10</f>
        <v>0.34734729847642221</v>
      </c>
      <c r="BO25" s="54">
        <v>0.31051753559623863</v>
      </c>
      <c r="BP25" s="41"/>
      <c r="BQ25" s="86">
        <f>+IF(IFERROR(BN25/BO25-1,"-")&lt;300%,IFERROR(BN25/BO25-1,"-"),"n.a.")</f>
        <v>0.11860767479512901</v>
      </c>
      <c r="BR25" s="54">
        <f>BR24/BR10</f>
        <v>0.34734729847642221</v>
      </c>
      <c r="BS25" s="41"/>
      <c r="BT25" s="86"/>
      <c r="BV25" s="39" t="s">
        <v>25</v>
      </c>
      <c r="BW25" s="54">
        <f>BW24/BW10</f>
        <v>9.0211890143129081E-2</v>
      </c>
      <c r="BX25" s="54">
        <v>0.13269887742443989</v>
      </c>
      <c r="BY25" s="41"/>
      <c r="BZ25" s="86">
        <f>+IF(IFERROR(BW25/BX25-1,"-")&lt;300%,IFERROR(BW25/BX25-1,"-"),"n.a.")</f>
        <v>-0.32017593596828531</v>
      </c>
      <c r="CA25" s="54">
        <f>CA24/CA10</f>
        <v>9.0211890143129081E-2</v>
      </c>
      <c r="CB25" s="41"/>
      <c r="CC25" s="86"/>
      <c r="CD25" s="42"/>
      <c r="CE25" s="39" t="s">
        <v>25</v>
      </c>
      <c r="CF25" s="54">
        <f>CF24/CF10</f>
        <v>0.3147362572684001</v>
      </c>
      <c r="CG25" s="54">
        <v>0.36097567185119678</v>
      </c>
      <c r="CH25" s="41"/>
      <c r="CI25" s="86">
        <f>+IF(IFERROR(CF25/CG25-1,"-")&lt;300%,IFERROR(CF25/CG25-1,"-"),"n.a.")</f>
        <v>-0.12809565349838237</v>
      </c>
      <c r="CJ25" s="54">
        <f>CJ24/CJ10</f>
        <v>0.3147362572684001</v>
      </c>
      <c r="CK25" s="41"/>
      <c r="CL25" s="86"/>
      <c r="CN25" s="39" t="s">
        <v>25</v>
      </c>
      <c r="CO25" s="54">
        <f>CO24/CO10</f>
        <v>0.40064329804508775</v>
      </c>
      <c r="CP25" s="54">
        <v>0.43935421600030661</v>
      </c>
      <c r="CQ25" s="41"/>
      <c r="CR25" s="86">
        <f>+IF(IFERROR(CO25/CP25-1,"-")&lt;300%,IFERROR(CO25/CP25-1,"-"),"n.a.")</f>
        <v>-8.8108675290808791E-2</v>
      </c>
      <c r="CS25" s="54">
        <f>CS24/CS10</f>
        <v>0.40064329804508775</v>
      </c>
      <c r="CT25" s="41"/>
      <c r="CU25" s="86"/>
      <c r="CW25" s="39" t="s">
        <v>25</v>
      </c>
      <c r="CX25" s="54">
        <f>CX24/CX10</f>
        <v>0.19140715914070541</v>
      </c>
      <c r="CY25" s="54">
        <v>9.7889511182955302E-3</v>
      </c>
      <c r="CZ25" s="41"/>
      <c r="DA25" s="86" t="str">
        <f>+IF(IFERROR(CX25/CY25-1,"-")&lt;300%,IFERROR(CX25/CY25-1,"-"),"n.a.")</f>
        <v>n.a.</v>
      </c>
      <c r="DB25" s="54">
        <f>DB24/DB10</f>
        <v>0.19140715914070541</v>
      </c>
      <c r="DC25" s="41"/>
      <c r="DD25" s="86"/>
      <c r="DF25" s="39" t="s">
        <v>25</v>
      </c>
      <c r="DG25" s="54">
        <f>DG24/DG10</f>
        <v>0.41701166519338068</v>
      </c>
      <c r="DH25" s="54">
        <f>DH24/DH10</f>
        <v>0.42322133562251024</v>
      </c>
      <c r="DI25" s="41"/>
      <c r="DJ25" s="86">
        <f>+IF(IFERROR(DG25/DH25-1,"-")&lt;300%,IFERROR(DG25/DH25-1,"-"),"n.a.")</f>
        <v>-1.4672394575750425E-2</v>
      </c>
      <c r="DK25" s="54">
        <f>DK24/DK10</f>
        <v>0.41701166519338068</v>
      </c>
      <c r="DL25" s="41"/>
      <c r="DM25" s="86"/>
    </row>
    <row r="26" spans="2:117" x14ac:dyDescent="0.25">
      <c r="B26" s="39"/>
      <c r="C26" s="44"/>
      <c r="D26" s="44"/>
      <c r="E26" s="45"/>
      <c r="F26" s="84"/>
      <c r="G26" s="46"/>
      <c r="H26" s="45"/>
      <c r="I26" s="84"/>
      <c r="K26" s="39"/>
      <c r="L26" s="44"/>
      <c r="M26" s="44"/>
      <c r="N26" s="45"/>
      <c r="O26" s="84"/>
      <c r="P26" s="46"/>
      <c r="Q26" s="45"/>
      <c r="R26" s="84"/>
      <c r="T26" s="39"/>
      <c r="U26" s="44"/>
      <c r="V26" s="44"/>
      <c r="W26" s="45"/>
      <c r="X26" s="84"/>
      <c r="Y26" s="46"/>
      <c r="Z26" s="45"/>
      <c r="AA26" s="84"/>
      <c r="AB26" s="121"/>
      <c r="AC26" s="39"/>
      <c r="AD26" s="44"/>
      <c r="AE26" s="44"/>
      <c r="AF26" s="45"/>
      <c r="AG26" s="84"/>
      <c r="AH26" s="46"/>
      <c r="AI26" s="45"/>
      <c r="AJ26" s="84"/>
      <c r="AK26" s="121"/>
      <c r="AL26" s="39"/>
      <c r="AM26" s="44"/>
      <c r="AN26" s="44"/>
      <c r="AO26" s="45"/>
      <c r="AP26" s="84"/>
      <c r="AQ26" s="46"/>
      <c r="AR26" s="45"/>
      <c r="AS26" s="84"/>
      <c r="AT26" s="66"/>
      <c r="AU26" s="39"/>
      <c r="AV26" s="44"/>
      <c r="AW26" s="44"/>
      <c r="AX26" s="45"/>
      <c r="AY26" s="84"/>
      <c r="AZ26" s="46"/>
      <c r="BA26" s="45"/>
      <c r="BB26" s="84"/>
      <c r="BC26" s="66"/>
      <c r="BD26" s="39"/>
      <c r="BE26" s="44"/>
      <c r="BF26" s="44"/>
      <c r="BG26" s="45"/>
      <c r="BH26" s="84"/>
      <c r="BI26" s="46"/>
      <c r="BJ26" s="45"/>
      <c r="BK26" s="84"/>
      <c r="BL26" s="73"/>
      <c r="BM26" s="39"/>
      <c r="BN26" s="44"/>
      <c r="BO26" s="44"/>
      <c r="BP26" s="45"/>
      <c r="BQ26" s="84"/>
      <c r="BR26" s="46"/>
      <c r="BS26" s="45"/>
      <c r="BT26" s="84"/>
      <c r="BV26" s="39"/>
      <c r="BW26" s="44"/>
      <c r="BX26" s="44"/>
      <c r="BY26" s="45"/>
      <c r="BZ26" s="84"/>
      <c r="CA26" s="46"/>
      <c r="CB26" s="45"/>
      <c r="CC26" s="84"/>
      <c r="CD26" s="47"/>
      <c r="CE26" s="39"/>
      <c r="CF26" s="44"/>
      <c r="CG26" s="44"/>
      <c r="CH26" s="45"/>
      <c r="CI26" s="84"/>
      <c r="CJ26" s="46"/>
      <c r="CK26" s="45"/>
      <c r="CL26" s="84"/>
      <c r="CN26" s="39"/>
      <c r="CO26" s="44"/>
      <c r="CP26" s="44"/>
      <c r="CQ26" s="45"/>
      <c r="CR26" s="84"/>
      <c r="CS26" s="46"/>
      <c r="CT26" s="45"/>
      <c r="CU26" s="84"/>
      <c r="CW26" s="39"/>
      <c r="CX26" s="44"/>
      <c r="CY26" s="44"/>
      <c r="CZ26" s="45"/>
      <c r="DA26" s="84"/>
      <c r="DB26" s="46"/>
      <c r="DC26" s="45"/>
      <c r="DD26" s="84"/>
      <c r="DF26" s="39"/>
      <c r="DG26" s="44"/>
      <c r="DH26" s="44"/>
      <c r="DI26" s="45"/>
      <c r="DJ26" s="84"/>
      <c r="DK26" s="46"/>
      <c r="DL26" s="45"/>
      <c r="DM26" s="84"/>
    </row>
    <row r="27" spans="2:117" x14ac:dyDescent="0.25">
      <c r="B27" s="27" t="s">
        <v>26</v>
      </c>
      <c r="C27" s="2">
        <f>GETPIVOTDATA("ene-27 ",TABLA!$B$3,"Nivel 4","8.- Amortización del inmovilizado")/1000</f>
        <v>-19.225349999999999</v>
      </c>
      <c r="D27" s="2">
        <v>-19.13287</v>
      </c>
      <c r="E27" s="66">
        <f>C27-D27</f>
        <v>-9.2479999999998341E-2</v>
      </c>
      <c r="F27" s="67">
        <f>+IF(IFERROR(C27/D27-1,"-")&lt;300%,IFERROR(C27/D27-1,"-"),"n.a.")</f>
        <v>4.8335665271335149E-3</v>
      </c>
      <c r="G27" s="73">
        <f>C27</f>
        <v>-19.225349999999999</v>
      </c>
      <c r="H27" s="66">
        <f>C27-G27</f>
        <v>0</v>
      </c>
      <c r="I27" s="67">
        <f>+IF(IFERROR(C27/G27-1,"-")&lt;300%,IFERROR(C27/G27-1,"-"),"n.a.")</f>
        <v>0</v>
      </c>
      <c r="K27" s="27" t="s">
        <v>26</v>
      </c>
      <c r="L27" s="2">
        <f>GETPIVOTDATA("feb-27 ",TABLA!$B$3,"Nivel 4","8.- Amortización del inmovilizado")/1000</f>
        <v>-19.225349999999999</v>
      </c>
      <c r="M27" s="2">
        <v>-19.13287</v>
      </c>
      <c r="N27" s="66">
        <f>L27-M27</f>
        <v>-9.2479999999998341E-2</v>
      </c>
      <c r="O27" s="67">
        <f>+IF(IFERROR(L27/M27-1,"-")&lt;300%,IFERROR(L27/M27-1,"-"),"n.a.")</f>
        <v>4.8335665271335149E-3</v>
      </c>
      <c r="P27" s="73">
        <f>L27</f>
        <v>-19.225349999999999</v>
      </c>
      <c r="Q27" s="66">
        <f>L27-P27</f>
        <v>0</v>
      </c>
      <c r="R27" s="67">
        <f>+IF(IFERROR(L27/P27-1,"-")&lt;300%,IFERROR(L27/P27-1,"-"),"n.a.")</f>
        <v>0</v>
      </c>
      <c r="T27" s="27" t="s">
        <v>26</v>
      </c>
      <c r="U27" s="2">
        <f>GETPIVOTDATA("mar-27 ",TABLA!$B$3,"Nivel 4","8.- Amortización del inmovilizado")/1000</f>
        <v>-19.225349999999999</v>
      </c>
      <c r="V27" s="2">
        <v>-18.903549999999999</v>
      </c>
      <c r="W27" s="66">
        <f>U27-V27</f>
        <v>-0.32179999999999964</v>
      </c>
      <c r="X27" s="67">
        <f>+IF(IFERROR(U27/V27-1,"-")&lt;300%,IFERROR(U27/V27-1,"-"),"n.a.")</f>
        <v>1.7023257536282754E-2</v>
      </c>
      <c r="Y27" s="73">
        <f>U27</f>
        <v>-19.225349999999999</v>
      </c>
      <c r="Z27" s="66">
        <f>U27-Y27</f>
        <v>0</v>
      </c>
      <c r="AA27" s="67">
        <f>+IF(IFERROR(U27/Y27-1,"-")&lt;300%,IFERROR(U27/Y27-1,"-"),"n.a.")</f>
        <v>0</v>
      </c>
      <c r="AB27" s="120"/>
      <c r="AC27" s="27" t="s">
        <v>26</v>
      </c>
      <c r="AD27" s="2">
        <f>GETPIVOTDATA("abr-27 ",TABLA!$B$3,"Nivel 4","8.- Amortización del inmovilizado")/1000</f>
        <v>-19.225349999999999</v>
      </c>
      <c r="AE27" s="2">
        <v>-18.903549999999999</v>
      </c>
      <c r="AF27" s="66">
        <f>AD27-AE27</f>
        <v>-0.32179999999999964</v>
      </c>
      <c r="AG27" s="67">
        <f>+IF(IFERROR(AD27/AE27-1,"-")&lt;300%,IFERROR(AD27/AE27-1,"-"),"n.a.")</f>
        <v>1.7023257536282754E-2</v>
      </c>
      <c r="AH27" s="73">
        <f>AD27</f>
        <v>-19.225349999999999</v>
      </c>
      <c r="AI27" s="66">
        <f>AD27-AH27</f>
        <v>0</v>
      </c>
      <c r="AJ27" s="67">
        <f>+IF(IFERROR(AD27/AH27-1,"-")&lt;300%,IFERROR(AD27/AH27-1,"-"),"n.a.")</f>
        <v>0</v>
      </c>
      <c r="AK27" s="120"/>
      <c r="AL27" s="27" t="s">
        <v>26</v>
      </c>
      <c r="AM27" s="2">
        <f>GETPIVOTDATA("may-27 ",TABLA!$B$3,"Nivel 4","8.- Amortización del inmovilizado")/1000</f>
        <v>-19.225349999999999</v>
      </c>
      <c r="AN27" s="2">
        <v>-19.189679999999999</v>
      </c>
      <c r="AO27" s="66">
        <f>AM27-AN27</f>
        <v>-3.5669999999999646E-2</v>
      </c>
      <c r="AP27" s="67">
        <f>+IF(IFERROR(AM27/AN27-1,"-")&lt;300%,IFERROR(AM27/AN27-1,"-"),"n.a.")</f>
        <v>1.858811611241018E-3</v>
      </c>
      <c r="AQ27" s="73">
        <f>AM27</f>
        <v>-19.225349999999999</v>
      </c>
      <c r="AR27" s="66">
        <f>AM27-AQ27</f>
        <v>0</v>
      </c>
      <c r="AS27" s="67">
        <f>+IF(IFERROR(AM27/AQ27-1,"-")&lt;300%,IFERROR(AM27/AQ27-1,"-"),"n.a.")</f>
        <v>0</v>
      </c>
      <c r="AT27" s="74"/>
      <c r="AU27" s="27" t="s">
        <v>26</v>
      </c>
      <c r="AV27" s="2">
        <f>GETPIVOTDATA("ago-27 ",TABLA!$B$3,"Nivel 4","8.- Amortización del inmovilizado")/1000</f>
        <v>-19.225349999999999</v>
      </c>
      <c r="AW27" s="2">
        <v>-19.06025</v>
      </c>
      <c r="AX27" s="66">
        <f>AV27-AW27</f>
        <v>-0.16509999999999891</v>
      </c>
      <c r="AY27" s="67">
        <f>+IF(IFERROR(AV27/AW27-1,"-")&lt;300%,IFERROR(AV27/AW27-1,"-"),"n.a.")</f>
        <v>8.6620060072664096E-3</v>
      </c>
      <c r="AZ27" s="73">
        <f>AV27</f>
        <v>-19.225349999999999</v>
      </c>
      <c r="BA27" s="66">
        <f>AV27-AZ27</f>
        <v>0</v>
      </c>
      <c r="BB27" s="67">
        <f>+IF(IFERROR(AV27/AZ27-1,"-")&lt;300%,IFERROR(AV27/AZ27-1,"-"),"n.a.")</f>
        <v>0</v>
      </c>
      <c r="BC27" s="74"/>
      <c r="BD27" s="27" t="s">
        <v>26</v>
      </c>
      <c r="BE27" s="2">
        <f>GETPIVOTDATA("jul-27 ",TABLA!$B$3,"Nivel 4","8.- Amortización del inmovilizado")/1000</f>
        <v>-19.225349999999999</v>
      </c>
      <c r="BF27" s="2">
        <v>-19.225290000000001</v>
      </c>
      <c r="BG27" s="66">
        <f>BE27-BF27</f>
        <v>-5.9999999997728537E-5</v>
      </c>
      <c r="BH27" s="67">
        <f>+IF(IFERROR(BE27/BF27-1,"-")&lt;300%,IFERROR(BE27/BF27-1,"-"),"n.a.")</f>
        <v>3.1208892037337677E-6</v>
      </c>
      <c r="BI27" s="73">
        <f>BE27</f>
        <v>-19.225349999999999</v>
      </c>
      <c r="BJ27" s="66">
        <f>BE27-BI27</f>
        <v>0</v>
      </c>
      <c r="BK27" s="67">
        <f>+IF(IFERROR(BE27/BI27-1,"-")&lt;300%,IFERROR(BE27/BI27-1,"-"),"n.a.")</f>
        <v>0</v>
      </c>
      <c r="BL27" s="74"/>
      <c r="BM27" s="27" t="s">
        <v>26</v>
      </c>
      <c r="BN27" s="2">
        <f>GETPIVOTDATA("ago-27 ",TABLA!$B$3,"Nivel 4","8.- Amortización del inmovilizado")/1000</f>
        <v>-19.225349999999999</v>
      </c>
      <c r="BO27" s="2">
        <v>-19.225290000000001</v>
      </c>
      <c r="BP27" s="66">
        <f>BN27-BO27</f>
        <v>-5.9999999997728537E-5</v>
      </c>
      <c r="BQ27" s="67">
        <f>+IF(IFERROR(BN27/BO27-1,"-")&lt;300%,IFERROR(BN27/BO27-1,"-"),"n.a.")</f>
        <v>3.1208892037337677E-6</v>
      </c>
      <c r="BR27" s="73">
        <f>BN27</f>
        <v>-19.225349999999999</v>
      </c>
      <c r="BS27" s="66">
        <f>BN27-BR27</f>
        <v>0</v>
      </c>
      <c r="BT27" s="67">
        <f>+IF(IFERROR(BN27/BR27-1,"-")&lt;300%,IFERROR(BN27/BR27-1,"-"),"n.a.")</f>
        <v>0</v>
      </c>
      <c r="BV27" s="27" t="s">
        <v>26</v>
      </c>
      <c r="BW27" s="2">
        <f>GETPIVOTDATA("sep-27 ",TABLA!$B$3,"Nivel 4","8.- Amortización del inmovilizado")/1000</f>
        <v>-19.225349999999999</v>
      </c>
      <c r="BX27" s="2">
        <v>-19.225349999999999</v>
      </c>
      <c r="BY27" s="66">
        <f>BW27-BX27</f>
        <v>0</v>
      </c>
      <c r="BZ27" s="67">
        <f>+IF(IFERROR(BW27/BX27-1,"-")&lt;300%,IFERROR(BW27/BX27-1,"-"),"n.a.")</f>
        <v>0</v>
      </c>
      <c r="CA27" s="73">
        <f>BW27</f>
        <v>-19.225349999999999</v>
      </c>
      <c r="CB27" s="66">
        <f>BW27-CA27</f>
        <v>0</v>
      </c>
      <c r="CC27" s="67">
        <f>+IF(IFERROR(BW27/CA27-1,"-")&lt;300%,IFERROR(BW27/CA27-1,"-"),"n.a.")</f>
        <v>0</v>
      </c>
      <c r="CD27" s="37"/>
      <c r="CE27" s="27" t="s">
        <v>26</v>
      </c>
      <c r="CF27" s="2">
        <f>GETPIVOTDATA("oct-27 ",TABLA!$B$3,"Nivel 4","8.- Amortización del inmovilizado")/1000</f>
        <v>-19.225349999999999</v>
      </c>
      <c r="CG27" s="2">
        <v>-19.225349999999999</v>
      </c>
      <c r="CH27" s="66">
        <f>CF27-CG27</f>
        <v>0</v>
      </c>
      <c r="CI27" s="67">
        <f>+IF(IFERROR(CF27/CG27-1,"-")&lt;300%,IFERROR(CF27/CG27-1,"-"),"n.a.")</f>
        <v>0</v>
      </c>
      <c r="CJ27" s="73">
        <f>CF27</f>
        <v>-19.225349999999999</v>
      </c>
      <c r="CK27" s="66">
        <f>CF27-CJ27</f>
        <v>0</v>
      </c>
      <c r="CL27" s="67">
        <f>+IF(IFERROR(CF27/CJ27-1,"-")&lt;300%,IFERROR(CF27/CJ27-1,"-"),"n.a.")</f>
        <v>0</v>
      </c>
      <c r="CN27" s="27" t="s">
        <v>26</v>
      </c>
      <c r="CO27" s="2">
        <f>GETPIVOTDATA("nov-27 ",TABLA!$B$3,"Nivel 4","8.- Amortización del inmovilizado")/1000</f>
        <v>-19.225349999999999</v>
      </c>
      <c r="CP27" s="2">
        <v>-19.225349999999999</v>
      </c>
      <c r="CQ27" s="66">
        <f>CO27-CP27</f>
        <v>0</v>
      </c>
      <c r="CR27" s="67">
        <f>+IF(IFERROR(CO27/CP27-1,"-")&lt;300%,IFERROR(CO27/CP27-1,"-"),"n.a.")</f>
        <v>0</v>
      </c>
      <c r="CS27" s="73">
        <f>CO27</f>
        <v>-19.225349999999999</v>
      </c>
      <c r="CT27" s="66">
        <f>CO27-CS27</f>
        <v>0</v>
      </c>
      <c r="CU27" s="67">
        <f>+IF(IFERROR(CO27/CS27-1,"-")&lt;300%,IFERROR(CO27/CS27-1,"-"),"n.a.")</f>
        <v>0</v>
      </c>
      <c r="CW27" s="27" t="s">
        <v>26</v>
      </c>
      <c r="CX27" s="2">
        <f>GETPIVOTDATA("dic-27 ",TABLA!$B$3,"Nivel 4","8.- Amortización del inmovilizado")/1000</f>
        <v>-19.225349999999999</v>
      </c>
      <c r="CY27" s="2">
        <v>-19.225349999999999</v>
      </c>
      <c r="CZ27" s="66">
        <f>CX27-CY27</f>
        <v>0</v>
      </c>
      <c r="DA27" s="67">
        <f>+IF(IFERROR(CX27/CY27-1,"-")&lt;300%,IFERROR(CX27/CY27-1,"-"),"n.a.")</f>
        <v>0</v>
      </c>
      <c r="DB27" s="73">
        <f>CX27</f>
        <v>-19.225349999999999</v>
      </c>
      <c r="DC27" s="66">
        <f>CX27-DB27</f>
        <v>0</v>
      </c>
      <c r="DD27" s="67">
        <f>+IF(IFERROR(CX27/DB27-1,"-")&lt;300%,IFERROR(CX27/DB27-1,"-"),"n.a.")</f>
        <v>0</v>
      </c>
      <c r="DF27" s="27" t="s">
        <v>26</v>
      </c>
      <c r="DG27" s="2">
        <f>GETPIVOTDATA("Total 2027 ",TABLA!$B$3,"Nivel 4","8.- Amortización del inmovilizado")/1000</f>
        <v>-230.70420000000001</v>
      </c>
      <c r="DH27" s="2">
        <f>CY27+CP27+CG27+BX27+BO27+BF27+AW27+AN27+AE27+V27+M27+D27</f>
        <v>-229.67474999999999</v>
      </c>
      <c r="DI27" s="66">
        <f>DG27-DH27</f>
        <v>-1.0294500000000255</v>
      </c>
      <c r="DJ27" s="67">
        <f>+IF(IFERROR(DG27/DH27-1,"-")&lt;300%,IFERROR(DG27/DH27-1,"-"),"n.a.")</f>
        <v>4.4822079919539792E-3</v>
      </c>
      <c r="DK27" s="73">
        <f>DG27</f>
        <v>-230.70420000000001</v>
      </c>
      <c r="DL27" s="66">
        <f>DG27-DK27</f>
        <v>0</v>
      </c>
      <c r="DM27" s="67">
        <f>+IF(IFERROR(DG27/DK27-1,"-")&lt;300%,IFERROR(DG27/DK27-1,"-"),"n.a.")</f>
        <v>0</v>
      </c>
    </row>
    <row r="28" spans="2:117" x14ac:dyDescent="0.25">
      <c r="B28" s="27" t="s">
        <v>27</v>
      </c>
      <c r="C28" s="7">
        <f>GETPIVOTDATA("ene-27 ",TABLA!$B$3,"Nivel 4","13.- Otros resultados")/1000+GETPIVOTDATA("ago-27 ",TABLA!$B$3,"Nivel 4","11.- Deterioro y resultado por enajenaciones del inmovilizado")/1000</f>
        <v>0</v>
      </c>
      <c r="D28" s="2">
        <v>3.0652699999999999</v>
      </c>
      <c r="E28" s="66">
        <f>C28-D28</f>
        <v>-3.0652699999999999</v>
      </c>
      <c r="F28" s="67" t="s">
        <v>28</v>
      </c>
      <c r="G28" s="73">
        <f>C28</f>
        <v>0</v>
      </c>
      <c r="H28" s="66">
        <f>C28-G28</f>
        <v>0</v>
      </c>
      <c r="I28" s="67" t="str">
        <f>+IF(IFERROR(C28/G28-1,"-")&lt;300%,IFERROR(C28/G28-1,"-"),"n.a.")</f>
        <v>n.a.</v>
      </c>
      <c r="K28" s="27" t="s">
        <v>27</v>
      </c>
      <c r="L28" s="7">
        <f>GETPIVOTDATA("feb-27 ",TABLA!$B$3,"Nivel 4","13.- Otros resultados")+GETPIVOTDATA("ago-27 ",TABLA!$B$3,"Nivel 4","11.- Deterioro y resultado por enajenaciones del inmovilizado")/1000</f>
        <v>0</v>
      </c>
      <c r="M28" s="2">
        <v>2.0000000000000002E-5</v>
      </c>
      <c r="N28" s="66">
        <f>L28-M28</f>
        <v>-2.0000000000000002E-5</v>
      </c>
      <c r="O28" s="67" t="s">
        <v>28</v>
      </c>
      <c r="P28" s="73">
        <f>L28</f>
        <v>0</v>
      </c>
      <c r="Q28" s="66">
        <f>L28-P28</f>
        <v>0</v>
      </c>
      <c r="R28" s="67" t="str">
        <f>+IF(IFERROR(L28/P28-1,"-")&lt;300%,IFERROR(L28/P28-1,"-"),"n.a.")</f>
        <v>n.a.</v>
      </c>
      <c r="T28" s="27" t="s">
        <v>27</v>
      </c>
      <c r="U28" s="7">
        <f>(GETPIVOTDATA("mar-27 ",TABLA!$B$3,"Nivel 4","11.- Deterioro y resultado por enajenaciones del inmovilizado")+GETPIVOTDATA("mar-27 ",TABLA!$B$3,"Nivel 4","13.- Otros resultados"))/1000</f>
        <v>0</v>
      </c>
      <c r="V28" s="2">
        <v>1.99986</v>
      </c>
      <c r="W28" s="66">
        <f>U28-V28</f>
        <v>-1.99986</v>
      </c>
      <c r="X28" s="67" t="s">
        <v>28</v>
      </c>
      <c r="Y28" s="73">
        <f>U28</f>
        <v>0</v>
      </c>
      <c r="Z28" s="66">
        <f>U28-Y28</f>
        <v>0</v>
      </c>
      <c r="AA28" s="67" t="str">
        <f>+IF(IFERROR(U28/Y28-1,"-")&lt;300%,IFERROR(U28/Y28-1,"-"),"n.a.")</f>
        <v>n.a.</v>
      </c>
      <c r="AB28" s="127"/>
      <c r="AC28" s="27" t="s">
        <v>27</v>
      </c>
      <c r="AD28" s="7">
        <f>GETPIVOTDATA("abr-27 ",TABLA!$B$3,"Nivel 4","13.- Otros resultados")/1000+GETPIVOTDATA("ago-27 ",TABLA!$B$3,"Nivel 4","11.- Deterioro y resultado por enajenaciones del inmovilizado")/1000</f>
        <v>0</v>
      </c>
      <c r="AE28" s="2">
        <v>1.0242599999999999</v>
      </c>
      <c r="AF28" s="66">
        <f>AD28-AE28</f>
        <v>-1.0242599999999999</v>
      </c>
      <c r="AG28" s="67" t="s">
        <v>28</v>
      </c>
      <c r="AH28" s="73">
        <f>AD28</f>
        <v>0</v>
      </c>
      <c r="AI28" s="66">
        <f>AD28-AH28</f>
        <v>0</v>
      </c>
      <c r="AJ28" s="67" t="str">
        <f>+IF(IFERROR(AD28/AH28-1,"-")&lt;300%,IFERROR(AD28/AH28-1,"-"),"n.a.")</f>
        <v>n.a.</v>
      </c>
      <c r="AK28" s="127"/>
      <c r="AL28" s="27" t="s">
        <v>27</v>
      </c>
      <c r="AM28" s="7">
        <f>GETPIVOTDATA("may-27 ",TABLA!$B$3,"Nivel 4","13.- Otros resultados")+GETPIVOTDATA("ago-27 ",TABLA!$B$3,"Nivel 4","11.- Deterioro y resultado por enajenaciones del inmovilizado")/1000</f>
        <v>0</v>
      </c>
      <c r="AN28" s="2">
        <v>0</v>
      </c>
      <c r="AO28" s="66">
        <f>AM28-AN28</f>
        <v>0</v>
      </c>
      <c r="AP28" s="67" t="s">
        <v>28</v>
      </c>
      <c r="AQ28" s="73">
        <f>AM28</f>
        <v>0</v>
      </c>
      <c r="AR28" s="66">
        <f>AM28-AQ28</f>
        <v>0</v>
      </c>
      <c r="AS28" s="67" t="str">
        <f>+IF(IFERROR(AM28/AQ28-1,"-")&lt;300%,IFERROR(AM28/AQ28-1,"-"),"n.a.")</f>
        <v>n.a.</v>
      </c>
      <c r="AT28" s="42"/>
      <c r="AU28" s="27" t="s">
        <v>27</v>
      </c>
      <c r="AV28" s="7">
        <f>(GETPIVOTDATA("jun-27 ",TABLA!$B$3,"Nivel 4","11.- Deterioro y resultado por enajenaciones del inmovilizado")+GETPIVOTDATA("jun-27 ",TABLA!$B$3,"Nivel 4","13.- Otros resultados"))/1000</f>
        <v>0</v>
      </c>
      <c r="AW28" s="2">
        <v>0</v>
      </c>
      <c r="AX28" s="66">
        <f>AV28-AW28</f>
        <v>0</v>
      </c>
      <c r="AY28" s="67" t="s">
        <v>28</v>
      </c>
      <c r="AZ28" s="73">
        <f>AV28</f>
        <v>0</v>
      </c>
      <c r="BA28" s="66">
        <f>AV28-AZ28</f>
        <v>0</v>
      </c>
      <c r="BB28" s="67" t="str">
        <f>+IF(IFERROR(AV28/AZ28-1,"-")&lt;300%,IFERROR(AV28/AZ28-1,"-"),"n.a.")</f>
        <v>n.a.</v>
      </c>
      <c r="BC28" s="42"/>
      <c r="BD28" s="27" t="s">
        <v>27</v>
      </c>
      <c r="BE28" s="7">
        <f>GETPIVOTDATA("jul-27 ",TABLA!$B$3,"Nivel 4","13.- Otros resultados")+GETPIVOTDATA("ago-27 ",TABLA!$B$3,"Nivel 4","11.- Deterioro y resultado por enajenaciones del inmovilizado")/1000</f>
        <v>0</v>
      </c>
      <c r="BF28" s="2">
        <v>-8.8029999999999997E-2</v>
      </c>
      <c r="BG28" s="66">
        <f>BE28-BF28</f>
        <v>8.8029999999999997E-2</v>
      </c>
      <c r="BH28" s="67" t="s">
        <v>28</v>
      </c>
      <c r="BI28" s="73">
        <f>BE28</f>
        <v>0</v>
      </c>
      <c r="BJ28" s="66">
        <f>BE28-BI28</f>
        <v>0</v>
      </c>
      <c r="BK28" s="67" t="str">
        <f>+IF(IFERROR(BE28/BI28-1,"-")&lt;300%,IFERROR(BE28/BI28-1,"-"),"n.a.")</f>
        <v>n.a.</v>
      </c>
      <c r="BL28" s="80"/>
      <c r="BM28" s="27" t="s">
        <v>27</v>
      </c>
      <c r="BN28" s="7">
        <f>GETPIVOTDATA("ago-27 ",TABLA!$B$3,"Nivel 4","13.- Otros resultados")+GETPIVOTDATA("ago-27 ",TABLA!$B$3,"Nivel 4","11.- Deterioro y resultado por enajenaciones del inmovilizado")/1000</f>
        <v>0</v>
      </c>
      <c r="BO28" s="2">
        <v>-0.01</v>
      </c>
      <c r="BP28" s="66">
        <f>BN28-BO28</f>
        <v>0.01</v>
      </c>
      <c r="BQ28" s="67" t="s">
        <v>28</v>
      </c>
      <c r="BR28" s="73">
        <f>BN28</f>
        <v>0</v>
      </c>
      <c r="BS28" s="66">
        <f>BN28-BR28</f>
        <v>0</v>
      </c>
      <c r="BT28" s="67" t="str">
        <f>+IF(IFERROR(BN28/BR28-1,"-")&lt;300%,IFERROR(BN28/BR28-1,"-"),"n.a.")</f>
        <v>n.a.</v>
      </c>
      <c r="BV28" s="27" t="s">
        <v>27</v>
      </c>
      <c r="BW28" s="7">
        <f>GETPIVOTDATA("sep-27 ",TABLA!$B$3,"Nivel 4","13.- Otros resultados")+GETPIVOTDATA("ago-27 ",TABLA!$B$3,"Nivel 4","11.- Deterioro y resultado por enajenaciones del inmovilizado")/1000</f>
        <v>0</v>
      </c>
      <c r="BX28" s="2">
        <v>0</v>
      </c>
      <c r="BY28" s="66">
        <f>BW28-BX28</f>
        <v>0</v>
      </c>
      <c r="BZ28" s="67" t="s">
        <v>28</v>
      </c>
      <c r="CA28" s="73">
        <f>BW28</f>
        <v>0</v>
      </c>
      <c r="CB28" s="66">
        <f>BW28-CA28</f>
        <v>0</v>
      </c>
      <c r="CC28" s="67" t="str">
        <f>+IF(IFERROR(BW28/CA28-1,"-")&lt;300%,IFERROR(BW28/CA28-1,"-"),"n.a.")</f>
        <v>n.a.</v>
      </c>
      <c r="CD28" s="37"/>
      <c r="CE28" s="27" t="s">
        <v>27</v>
      </c>
      <c r="CF28" s="7">
        <f>GETPIVOTDATA("oct-27 ",TABLA!$B$3,"Nivel 4","13.- Otros resultados")+GETPIVOTDATA("ago-27 ",TABLA!$B$3,"Nivel 4","11.- Deterioro y resultado por enajenaciones del inmovilizado")/1000</f>
        <v>0</v>
      </c>
      <c r="CG28" s="2">
        <v>0</v>
      </c>
      <c r="CH28" s="66">
        <f>CF28-CG28</f>
        <v>0</v>
      </c>
      <c r="CI28" s="67" t="s">
        <v>28</v>
      </c>
      <c r="CJ28" s="73">
        <f>CF28</f>
        <v>0</v>
      </c>
      <c r="CK28" s="66">
        <f>CF28-CJ28</f>
        <v>0</v>
      </c>
      <c r="CL28" s="67" t="str">
        <f>+IF(IFERROR(CF28/CJ28-1,"-")&lt;300%,IFERROR(CF28/CJ28-1,"-"),"n.a.")</f>
        <v>n.a.</v>
      </c>
      <c r="CN28" s="27" t="s">
        <v>27</v>
      </c>
      <c r="CO28" s="7">
        <f>GETPIVOTDATA("nov-27 ",TABLA!$B$3,"Nivel 4","13.- Otros resultados")+GETPIVOTDATA("ago-27 ",TABLA!$B$3,"Nivel 4","11.- Deterioro y resultado por enajenaciones del inmovilizado")/1000</f>
        <v>0</v>
      </c>
      <c r="CP28" s="2">
        <v>0</v>
      </c>
      <c r="CQ28" s="66">
        <f>CO28-CP28</f>
        <v>0</v>
      </c>
      <c r="CR28" s="67" t="s">
        <v>28</v>
      </c>
      <c r="CS28" s="73">
        <f>CO28</f>
        <v>0</v>
      </c>
      <c r="CT28" s="66">
        <f>CO28-CS28</f>
        <v>0</v>
      </c>
      <c r="CU28" s="67" t="str">
        <f>+IF(IFERROR(CO28/CS28-1,"-")&lt;300%,IFERROR(CO28/CS28-1,"-"),"n.a.")</f>
        <v>n.a.</v>
      </c>
      <c r="CW28" s="27" t="s">
        <v>27</v>
      </c>
      <c r="CX28" s="7">
        <f>GETPIVOTDATA("dic-27 ",TABLA!$B$3,"Nivel 4","13.- Otros resultados")+GETPIVOTDATA("ago-27 ",TABLA!$B$3,"Nivel 4","11.- Deterioro y resultado por enajenaciones del inmovilizado")/1000</f>
        <v>0</v>
      </c>
      <c r="CY28" s="2">
        <v>0</v>
      </c>
      <c r="CZ28" s="66">
        <f>CX28-CY28</f>
        <v>0</v>
      </c>
      <c r="DA28" s="67" t="s">
        <v>28</v>
      </c>
      <c r="DB28" s="73">
        <f>CX28</f>
        <v>0</v>
      </c>
      <c r="DC28" s="66">
        <f>CX28-DB28</f>
        <v>0</v>
      </c>
      <c r="DD28" s="67" t="str">
        <f>+IF(IFERROR(CX28/DB28-1,"-")&lt;300%,IFERROR(CX28/DB28-1,"-"),"n.a.")</f>
        <v>n.a.</v>
      </c>
      <c r="DF28" s="27" t="s">
        <v>27</v>
      </c>
      <c r="DG28" s="7">
        <f>GETPIVOTDATA("Total 2027 ",TABLA!$B$3,"Nivel 4","13.- Otros resultados")/1000+GETPIVOTDATA("ago-27 ",TABLA!$B$3,"Nivel 4","11.- Deterioro y resultado por enajenaciones del inmovilizado")/1000</f>
        <v>0</v>
      </c>
      <c r="DH28" s="2">
        <f>CY28+CP28+CG28+BX28+BO28+BF28+AW28+AN28+AE28+V28+M28+D28</f>
        <v>5.9913799999999995</v>
      </c>
      <c r="DI28" s="66">
        <f>DG28-DH28</f>
        <v>-5.9913799999999995</v>
      </c>
      <c r="DJ28" s="67" t="s">
        <v>28</v>
      </c>
      <c r="DK28" s="73">
        <f>DG28</f>
        <v>0</v>
      </c>
      <c r="DL28" s="66">
        <f>DG28-DK28</f>
        <v>0</v>
      </c>
      <c r="DM28" s="67" t="str">
        <f>+IF(IFERROR(DG28/DK28-1,"-")&lt;300%,IFERROR(DG28/DK28-1,"-"),"n.a.")</f>
        <v>n.a.</v>
      </c>
    </row>
    <row r="29" spans="2:117" x14ac:dyDescent="0.25">
      <c r="B29" s="35" t="s">
        <v>29</v>
      </c>
      <c r="C29" s="64">
        <f>C24+C27+C28</f>
        <v>499.09428000000008</v>
      </c>
      <c r="D29" s="64">
        <v>250.10021</v>
      </c>
      <c r="E29" s="64">
        <f>C29-D29</f>
        <v>248.99407000000008</v>
      </c>
      <c r="F29" s="79">
        <f>+IF(IFERROR(C29/D29-1,"-")&lt;300%,IFERROR(C29/D29-1,"-"),"n.a.")</f>
        <v>0.99557721283000955</v>
      </c>
      <c r="G29" s="64">
        <f>G24+G27+G28</f>
        <v>499.09428000000008</v>
      </c>
      <c r="H29" s="64">
        <f>C29-G29</f>
        <v>0</v>
      </c>
      <c r="I29" s="79">
        <f>+IF(IFERROR(C29/G29-1,"-")&lt;300%,IFERROR(C29/G29-1,"-"),"n.a.")</f>
        <v>0</v>
      </c>
      <c r="K29" s="35" t="s">
        <v>29</v>
      </c>
      <c r="L29" s="64">
        <f>L24+L27+L28</f>
        <v>903.46548000000018</v>
      </c>
      <c r="M29" s="64">
        <v>889.63206000000002</v>
      </c>
      <c r="N29" s="64">
        <f>L29-M29</f>
        <v>13.83342000000016</v>
      </c>
      <c r="O29" s="79">
        <f>+IF(IFERROR(L29/M29-1,"-")&lt;300%,IFERROR(L29/M29-1,"-"),"n.a.")</f>
        <v>1.5549596987320946E-2</v>
      </c>
      <c r="P29" s="64">
        <f>P24+P27+P28</f>
        <v>903.46548000000018</v>
      </c>
      <c r="Q29" s="64">
        <f>L29-P29</f>
        <v>0</v>
      </c>
      <c r="R29" s="79">
        <f>+IF(IFERROR(L29/P29-1,"-")&lt;300%,IFERROR(L29/P29-1,"-"),"n.a.")</f>
        <v>0</v>
      </c>
      <c r="T29" s="35" t="s">
        <v>29</v>
      </c>
      <c r="U29" s="64">
        <f>U24+U27+U28</f>
        <v>788.64272000000005</v>
      </c>
      <c r="V29" s="64">
        <v>874.34620999999981</v>
      </c>
      <c r="W29" s="64">
        <f>U29-V29</f>
        <v>-85.703489999999761</v>
      </c>
      <c r="X29" s="79">
        <f>+IF(IFERROR(U29/V29-1,"-")&lt;300%,IFERROR(U29/V29-1,"-"),"n.a.")</f>
        <v>-9.8020085201718676E-2</v>
      </c>
      <c r="Y29" s="64">
        <f>Y24+Y27+Y28</f>
        <v>788.64272000000005</v>
      </c>
      <c r="Z29" s="64">
        <f>U29-Y29</f>
        <v>0</v>
      </c>
      <c r="AA29" s="79">
        <f>+IF(IFERROR(U29/Y29-1,"-")&lt;300%,IFERROR(U29/Y29-1,"-"),"n.a.")</f>
        <v>0</v>
      </c>
      <c r="AC29" s="35" t="s">
        <v>29</v>
      </c>
      <c r="AD29" s="64">
        <f>AD24+AD27+AD28</f>
        <v>587.49311999999998</v>
      </c>
      <c r="AE29" s="64">
        <v>701.06032999999991</v>
      </c>
      <c r="AF29" s="64">
        <f>AD29-AE29</f>
        <v>-113.56720999999993</v>
      </c>
      <c r="AG29" s="79">
        <f>+IF(IFERROR(AD29/AE29-1,"-")&lt;300%,IFERROR(AD29/AE29-1,"-"),"n.a.")</f>
        <v>-0.16199349063154089</v>
      </c>
      <c r="AH29" s="64">
        <f>AH24+AH27+AH28</f>
        <v>587.49311999999998</v>
      </c>
      <c r="AI29" s="64">
        <f>AD29-AH29</f>
        <v>0</v>
      </c>
      <c r="AJ29" s="79">
        <f>+IF(IFERROR(AD29/AH29-1,"-")&lt;300%,IFERROR(AD29/AH29-1,"-"),"n.a.")</f>
        <v>0</v>
      </c>
      <c r="AL29" s="35" t="s">
        <v>29</v>
      </c>
      <c r="AM29" s="64">
        <f>AM24+AM27+AM28</f>
        <v>1183.3072199999999</v>
      </c>
      <c r="AN29" s="64">
        <v>1049.2240400000001</v>
      </c>
      <c r="AO29" s="64">
        <f>AM29-AN29</f>
        <v>134.08317999999986</v>
      </c>
      <c r="AP29" s="79">
        <f>+IF(IFERROR(AM29/AN29-1,"-")&lt;300%,IFERROR(AM29/AN29-1,"-"),"n.a.")</f>
        <v>0.12779270669398679</v>
      </c>
      <c r="AQ29" s="64">
        <f>AQ24+AQ27+AQ28</f>
        <v>1183.3072199999999</v>
      </c>
      <c r="AR29" s="64">
        <f>AM29-AQ29</f>
        <v>0</v>
      </c>
      <c r="AS29" s="79">
        <f>+IF(IFERROR(AM29/AQ29-1,"-")&lt;300%,IFERROR(AM29/AQ29-1,"-"),"n.a.")</f>
        <v>0</v>
      </c>
      <c r="AU29" s="35" t="s">
        <v>29</v>
      </c>
      <c r="AV29" s="64">
        <f>AV24+AV27+AV28</f>
        <v>1155.2840100000001</v>
      </c>
      <c r="AW29" s="64">
        <v>902.53454999999974</v>
      </c>
      <c r="AX29" s="64">
        <f>AV29-AW29</f>
        <v>252.74946000000034</v>
      </c>
      <c r="AY29" s="79">
        <f>+IF(IFERROR(AV29/AW29-1,"-")&lt;300%,IFERROR(AV29/AW29-1,"-"),"n.a.")</f>
        <v>0.28004408252293556</v>
      </c>
      <c r="AZ29" s="64">
        <f>AZ24+AZ27+AZ28</f>
        <v>1155.2840100000001</v>
      </c>
      <c r="BA29" s="64">
        <f>AV29-AZ29</f>
        <v>0</v>
      </c>
      <c r="BB29" s="79">
        <f>+IF(IFERROR(AV29/AZ29-1,"-")&lt;300%,IFERROR(AV29/AZ29-1,"-"),"n.a.")</f>
        <v>0</v>
      </c>
      <c r="BD29" s="35" t="s">
        <v>29</v>
      </c>
      <c r="BE29" s="64">
        <f>BE24+BE27+BE28</f>
        <v>614.87928000000022</v>
      </c>
      <c r="BF29" s="64">
        <v>442.46772578100268</v>
      </c>
      <c r="BG29" s="64">
        <f>BE29-BF29</f>
        <v>172.41155421899754</v>
      </c>
      <c r="BH29" s="79">
        <f>+IF(IFERROR(BE29/BF29-1,"-")&lt;300%,IFERROR(BE29/BF29-1,"-"),"n.a.")</f>
        <v>0.38965905121028377</v>
      </c>
      <c r="BI29" s="64">
        <f>BI24+BI27+BI28</f>
        <v>614.87928000000022</v>
      </c>
      <c r="BJ29" s="64">
        <f>BE29-BI29</f>
        <v>0</v>
      </c>
      <c r="BK29" s="79">
        <f>+IF(IFERROR(BE29/BI29-1,"-")&lt;300%,IFERROR(BE29/BI29-1,"-"),"n.a.")</f>
        <v>0</v>
      </c>
      <c r="BM29" s="35" t="s">
        <v>29</v>
      </c>
      <c r="BN29" s="64">
        <f>BN24+BN27+BN28</f>
        <v>308.40001000000001</v>
      </c>
      <c r="BO29" s="64">
        <v>225.48517896870399</v>
      </c>
      <c r="BP29" s="64">
        <f>BN29-BO29</f>
        <v>82.914831031296018</v>
      </c>
      <c r="BQ29" s="79">
        <f>+IF(IFERROR(BN29/BO29-1,"-")&lt;300%,IFERROR(BN29/BO29-1,"-"),"n.a.")</f>
        <v>0.36771743229653286</v>
      </c>
      <c r="BR29" s="64">
        <f>BR24+BR27+BR28</f>
        <v>308.40001000000001</v>
      </c>
      <c r="BS29" s="64">
        <f>BN29-BR29</f>
        <v>0</v>
      </c>
      <c r="BT29" s="79">
        <f>+IF(IFERROR(BN29/BR29-1,"-")&lt;300%,IFERROR(BN29/BR29-1,"-"),"n.a.")</f>
        <v>0</v>
      </c>
      <c r="BV29" s="35" t="s">
        <v>29</v>
      </c>
      <c r="BW29" s="64">
        <f>BW24+BW27+BW28</f>
        <v>30.201400000000085</v>
      </c>
      <c r="BX29" s="64">
        <v>44.87932</v>
      </c>
      <c r="BY29" s="64">
        <f>BW29-BX29</f>
        <v>-14.677919999999915</v>
      </c>
      <c r="BZ29" s="79">
        <f>+IF(IFERROR(BW29/BX29-1,"-")&lt;300%,IFERROR(BW29/BX29-1,"-"),"n.a.")</f>
        <v>-0.32705308369199704</v>
      </c>
      <c r="CA29" s="64">
        <f>CA24+CA27+CA28</f>
        <v>30.201400000000085</v>
      </c>
      <c r="CB29" s="64">
        <f>BW29-CA29</f>
        <v>0</v>
      </c>
      <c r="CC29" s="79">
        <f>+IF(IFERROR(BW29/CA29-1,"-")&lt;300%,IFERROR(BW29/CA29-1,"-"),"n.a.")</f>
        <v>0</v>
      </c>
      <c r="CD29" s="60"/>
      <c r="CE29" s="35" t="s">
        <v>29</v>
      </c>
      <c r="CF29" s="64">
        <f>CF24+CF27+CF28</f>
        <v>269.16651000000002</v>
      </c>
      <c r="CG29" s="64">
        <v>310.00432000000012</v>
      </c>
      <c r="CH29" s="64">
        <f>CF29-CG29</f>
        <v>-40.837810000000104</v>
      </c>
      <c r="CI29" s="79">
        <f>+IF(IFERROR(CF29/CG29-1,"-")&lt;300%,IFERROR(CF29/CG29-1,"-"),"n.a.")</f>
        <v>-0.13173303520415491</v>
      </c>
      <c r="CJ29" s="64">
        <f>CJ24+CJ27+CJ28</f>
        <v>269.16651000000002</v>
      </c>
      <c r="CK29" s="64">
        <f>CF29-CJ29</f>
        <v>0</v>
      </c>
      <c r="CL29" s="79">
        <f>+IF(IFERROR(CF29/CJ29-1,"-")&lt;300%,IFERROR(CF29/CJ29-1,"-"),"n.a.")</f>
        <v>0</v>
      </c>
      <c r="CN29" s="35" t="s">
        <v>29</v>
      </c>
      <c r="CO29" s="64">
        <f>CO24+CO27+CO28</f>
        <v>548.23252000000014</v>
      </c>
      <c r="CP29" s="64">
        <v>519.12494000000004</v>
      </c>
      <c r="CQ29" s="64">
        <f>CO29-CP29</f>
        <v>29.107580000000098</v>
      </c>
      <c r="CR29" s="79">
        <f>+IF(IFERROR(CO29/CP29-1,"-")&lt;300%,IFERROR(CO29/CP29-1,"-"),"n.a.")</f>
        <v>5.607047120487052E-2</v>
      </c>
      <c r="CS29" s="64">
        <f>CS24+CS27+CS28</f>
        <v>548.23252000000014</v>
      </c>
      <c r="CT29" s="64">
        <f>CO29-CS29</f>
        <v>0</v>
      </c>
      <c r="CU29" s="79">
        <f>+IF(IFERROR(CO29/CS29-1,"-")&lt;300%,IFERROR(CO29/CS29-1,"-"),"n.a.")</f>
        <v>0</v>
      </c>
      <c r="CW29" s="35" t="s">
        <v>29</v>
      </c>
      <c r="CX29" s="64">
        <f>CX24+CX27+CX28</f>
        <v>278.14900999999992</v>
      </c>
      <c r="CY29" s="64">
        <v>-8.0423799999999304</v>
      </c>
      <c r="CZ29" s="64">
        <f>CX29-CY29</f>
        <v>286.19138999999984</v>
      </c>
      <c r="DA29" s="79">
        <f>+IF(IFERROR(CX29/CY29-1,"-")&lt;300%,IFERROR(CX29/CY29-1,"-"),"n.a.")</f>
        <v>-35.585410040311743</v>
      </c>
      <c r="DB29" s="64">
        <f>DB24+DB27+DB28</f>
        <v>278.14900999999992</v>
      </c>
      <c r="DC29" s="64">
        <f>CX29-DB29</f>
        <v>0</v>
      </c>
      <c r="DD29" s="79">
        <f>+IF(IFERROR(CX29/DB29-1,"-")&lt;300%,IFERROR(CX29/DB29-1,"-"),"n.a.")</f>
        <v>0</v>
      </c>
      <c r="DF29" s="35" t="s">
        <v>29</v>
      </c>
      <c r="DG29" s="64">
        <f>DG24+DG27+DG28</f>
        <v>7166.31556</v>
      </c>
      <c r="DH29" s="64">
        <f>DH24+DH27+DH28</f>
        <v>6200.816504749705</v>
      </c>
      <c r="DI29" s="64">
        <f>DG29-DH29</f>
        <v>965.49905525029499</v>
      </c>
      <c r="DJ29" s="79">
        <f>+IF(IFERROR(DG29/DH29-1,"-")&lt;300%,IFERROR(DG29/DH29-1,"-"),"n.a.")</f>
        <v>0.15570514858982554</v>
      </c>
      <c r="DK29" s="64">
        <f>DK24+DK27+DK28</f>
        <v>7166.31556</v>
      </c>
      <c r="DL29" s="64">
        <f>DG29-DK29</f>
        <v>0</v>
      </c>
      <c r="DM29" s="79">
        <f>+IF(IFERROR(DG29/DK29-1,"-")&lt;300%,IFERROR(DG29/DK29-1,"-"),"n.a.")</f>
        <v>0</v>
      </c>
    </row>
    <row r="30" spans="2:117" x14ac:dyDescent="0.25">
      <c r="B30" s="39" t="s">
        <v>30</v>
      </c>
      <c r="C30" s="80">
        <f>C29/C10</f>
        <v>0.43637326035589619</v>
      </c>
      <c r="D30" s="80">
        <v>0.25421412412284389</v>
      </c>
      <c r="E30" s="42"/>
      <c r="F30" s="86"/>
      <c r="G30" s="80">
        <f>G29/G10</f>
        <v>0.43637326035589619</v>
      </c>
      <c r="H30" s="42"/>
      <c r="I30" s="86"/>
      <c r="K30" s="39" t="s">
        <v>30</v>
      </c>
      <c r="L30" s="80">
        <f>L29/L10</f>
        <v>0.48766347518534992</v>
      </c>
      <c r="M30" s="80">
        <v>0.60501566159488995</v>
      </c>
      <c r="N30" s="42"/>
      <c r="O30" s="86"/>
      <c r="P30" s="80">
        <f>P29/P10</f>
        <v>0.48766347518534992</v>
      </c>
      <c r="Q30" s="42"/>
      <c r="R30" s="86"/>
      <c r="T30" s="39" t="s">
        <v>30</v>
      </c>
      <c r="U30" s="80">
        <f>U29/U10</f>
        <v>0.44377220604792855</v>
      </c>
      <c r="V30" s="80">
        <v>0.57005623086157564</v>
      </c>
      <c r="W30" s="42"/>
      <c r="X30" s="86"/>
      <c r="Y30" s="80">
        <f>Y29/Y10</f>
        <v>0.44377220604792855</v>
      </c>
      <c r="Z30" s="42"/>
      <c r="AA30" s="86"/>
      <c r="AC30" s="39" t="s">
        <v>30</v>
      </c>
      <c r="AD30" s="80">
        <f>AD29/AD10</f>
        <v>0.41061846196891832</v>
      </c>
      <c r="AE30" s="80">
        <v>0.47947345596638929</v>
      </c>
      <c r="AF30" s="42"/>
      <c r="AG30" s="86"/>
      <c r="AH30" s="80">
        <f>AH29/AH10</f>
        <v>0.41061846196891832</v>
      </c>
      <c r="AI30" s="42"/>
      <c r="AJ30" s="86"/>
      <c r="AL30" s="39" t="s">
        <v>30</v>
      </c>
      <c r="AM30" s="80">
        <f>AM29/AM10</f>
        <v>0.50374261064588055</v>
      </c>
      <c r="AN30" s="80">
        <v>0.54478827840624788</v>
      </c>
      <c r="AO30" s="42"/>
      <c r="AP30" s="86"/>
      <c r="AQ30" s="80">
        <f>AQ29/AQ10</f>
        <v>0.50374261064588055</v>
      </c>
      <c r="AR30" s="42"/>
      <c r="AS30" s="86"/>
      <c r="AU30" s="39" t="s">
        <v>30</v>
      </c>
      <c r="AV30" s="80">
        <f>AV29/AV10</f>
        <v>0.49593993089670624</v>
      </c>
      <c r="AW30" s="80">
        <v>0.45994603584578708</v>
      </c>
      <c r="AX30" s="42"/>
      <c r="AY30" s="86"/>
      <c r="AZ30" s="80">
        <f>AZ29/AZ10</f>
        <v>0.49593993089670624</v>
      </c>
      <c r="BA30" s="42"/>
      <c r="BB30" s="86"/>
      <c r="BD30" s="39" t="s">
        <v>30</v>
      </c>
      <c r="BE30" s="80">
        <f>BE29/BE10</f>
        <v>0.41602614310045444</v>
      </c>
      <c r="BF30" s="80">
        <v>0.34282437193190213</v>
      </c>
      <c r="BG30" s="42"/>
      <c r="BH30" s="86"/>
      <c r="BI30" s="80">
        <f>BI29/BI10</f>
        <v>0.41602614310045444</v>
      </c>
      <c r="BJ30" s="42"/>
      <c r="BK30" s="86"/>
      <c r="BM30" s="39" t="s">
        <v>30</v>
      </c>
      <c r="BN30" s="80">
        <f>BN29/BN10</f>
        <v>0.32696464743633274</v>
      </c>
      <c r="BO30" s="80">
        <v>0.28611052594784342</v>
      </c>
      <c r="BP30" s="42"/>
      <c r="BQ30" s="86"/>
      <c r="BR30" s="80">
        <f>BR29/BR10</f>
        <v>0.32696464743633274</v>
      </c>
      <c r="BS30" s="42"/>
      <c r="BT30" s="86"/>
      <c r="BV30" s="39" t="s">
        <v>30</v>
      </c>
      <c r="BW30" s="80">
        <f>BW29/BW10</f>
        <v>5.5122486891586067E-2</v>
      </c>
      <c r="BX30" s="80">
        <v>9.2901739975764869E-2</v>
      </c>
      <c r="BY30" s="42"/>
      <c r="BZ30" s="86"/>
      <c r="CA30" s="80">
        <f>CA29/CA10</f>
        <v>5.5122486891586067E-2</v>
      </c>
      <c r="CB30" s="42"/>
      <c r="CC30" s="86"/>
      <c r="CD30" s="42"/>
      <c r="CE30" s="39" t="s">
        <v>30</v>
      </c>
      <c r="CF30" s="80">
        <f>CF29/CF10</f>
        <v>0.29375468482153894</v>
      </c>
      <c r="CG30" s="80">
        <v>0.33989651567179052</v>
      </c>
      <c r="CH30" s="42"/>
      <c r="CI30" s="86"/>
      <c r="CJ30" s="80">
        <f>CJ29/CJ10</f>
        <v>0.29375468482153894</v>
      </c>
      <c r="CK30" s="42"/>
      <c r="CL30" s="86"/>
      <c r="CN30" s="39" t="s">
        <v>30</v>
      </c>
      <c r="CO30" s="80">
        <f>CO29/CO10</f>
        <v>0.38706958969195288</v>
      </c>
      <c r="CP30" s="80">
        <v>0.42366417415676733</v>
      </c>
      <c r="CQ30" s="42"/>
      <c r="CR30" s="86"/>
      <c r="CS30" s="80">
        <f>CS29/CS10</f>
        <v>0.38706958969195288</v>
      </c>
      <c r="CT30" s="42"/>
      <c r="CU30" s="86"/>
      <c r="CW30" s="39" t="s">
        <v>30</v>
      </c>
      <c r="CX30" s="80">
        <f>CX29/CX10</f>
        <v>0.17903262346457732</v>
      </c>
      <c r="CY30" s="80">
        <v>-7.0398529813418481E-3</v>
      </c>
      <c r="CZ30" s="42"/>
      <c r="DA30" s="86"/>
      <c r="DB30" s="80">
        <f>DB29/DB10</f>
        <v>0.17903262346457732</v>
      </c>
      <c r="DC30" s="42"/>
      <c r="DD30" s="86"/>
      <c r="DF30" s="39" t="s">
        <v>30</v>
      </c>
      <c r="DG30" s="80">
        <f>DG29/DG10</f>
        <v>0.40400557007256588</v>
      </c>
      <c r="DH30" s="80">
        <f>DH29/DH10</f>
        <v>0.40848593575426256</v>
      </c>
      <c r="DI30" s="42"/>
      <c r="DJ30" s="86"/>
      <c r="DK30" s="80">
        <f>DK29/DK10</f>
        <v>0.40400557007256588</v>
      </c>
      <c r="DL30" s="42"/>
      <c r="DM30" s="86"/>
    </row>
    <row r="31" spans="2:117" x14ac:dyDescent="0.25">
      <c r="BZ31" s="105"/>
    </row>
  </sheetData>
  <mergeCells count="13">
    <mergeCell ref="DL8:DM8"/>
    <mergeCell ref="CK8:CL8"/>
    <mergeCell ref="Q8:R8"/>
    <mergeCell ref="H8:I8"/>
    <mergeCell ref="AI8:AJ8"/>
    <mergeCell ref="BA8:BB8"/>
    <mergeCell ref="BS8:BT8"/>
    <mergeCell ref="AR8:AS8"/>
    <mergeCell ref="Z8:AA8"/>
    <mergeCell ref="DC8:DD8"/>
    <mergeCell ref="BJ8:BK8"/>
    <mergeCell ref="CB8:CC8"/>
    <mergeCell ref="CT8:CU8"/>
  </mergeCells>
  <pageMargins left="0.7" right="0.7" top="0.75" bottom="0.75" header="0.3" footer="0.3"/>
  <pageSetup paperSize="9" scale="1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19"/>
  <sheetViews>
    <sheetView topLeftCell="J1" workbookViewId="0">
      <selection activeCell="N3" sqref="N3"/>
    </sheetView>
  </sheetViews>
  <sheetFormatPr baseColWidth="10" defaultRowHeight="15" x14ac:dyDescent="0.25"/>
  <cols>
    <col min="1" max="1" width="12.42578125" bestFit="1" customWidth="1"/>
    <col min="2" max="2" width="50.140625" bestFit="1" customWidth="1"/>
    <col min="3" max="9" width="11.42578125" bestFit="1" customWidth="1"/>
    <col min="10" max="10" width="10.5703125" bestFit="1" customWidth="1"/>
    <col min="11" max="12" width="10.5703125" style="107" bestFit="1" customWidth="1"/>
    <col min="13" max="14" width="11.42578125" bestFit="1" customWidth="1"/>
    <col min="15" max="15" width="12.42578125" bestFit="1" customWidth="1"/>
    <col min="16" max="16" width="8.42578125" bestFit="1" customWidth="1"/>
    <col min="17" max="17" width="7.42578125" bestFit="1" customWidth="1"/>
    <col min="18" max="19" width="8.42578125" bestFit="1" customWidth="1"/>
    <col min="20" max="20" width="5.42578125" bestFit="1" customWidth="1"/>
    <col min="21" max="26" width="8.42578125" bestFit="1" customWidth="1"/>
    <col min="27" max="27" width="7.42578125" bestFit="1" customWidth="1"/>
    <col min="28" max="30" width="8.42578125" bestFit="1" customWidth="1"/>
    <col min="31" max="35" width="7.42578125" bestFit="1" customWidth="1"/>
    <col min="36" max="36" width="6.42578125" bestFit="1" customWidth="1"/>
    <col min="37" max="41" width="7.42578125" bestFit="1" customWidth="1"/>
    <col min="42" max="42" width="4.42578125" bestFit="1" customWidth="1"/>
    <col min="43" max="48" width="7.42578125" bestFit="1" customWidth="1"/>
    <col min="49" max="50" width="4.42578125" bestFit="1" customWidth="1"/>
    <col min="51" max="53" width="7.42578125" bestFit="1" customWidth="1"/>
    <col min="54" max="54" width="4.42578125" bestFit="1" customWidth="1"/>
    <col min="55" max="55" width="7.42578125" bestFit="1" customWidth="1"/>
    <col min="56" max="56" width="4.42578125" bestFit="1" customWidth="1"/>
    <col min="57" max="61" width="7.42578125" bestFit="1" customWidth="1"/>
    <col min="62" max="62" width="4.42578125" bestFit="1" customWidth="1"/>
    <col min="63" max="63" width="7.42578125" bestFit="1" customWidth="1"/>
    <col min="64" max="65" width="4.42578125" bestFit="1" customWidth="1"/>
    <col min="66" max="66" width="6.42578125" bestFit="1" customWidth="1"/>
    <col min="67" max="69" width="7.42578125" bestFit="1" customWidth="1"/>
    <col min="70" max="70" width="5.42578125" bestFit="1" customWidth="1"/>
    <col min="71" max="73" width="6.42578125" bestFit="1" customWidth="1"/>
    <col min="74" max="74" width="3.42578125" bestFit="1" customWidth="1"/>
    <col min="75" max="75" width="5.42578125" bestFit="1" customWidth="1"/>
    <col min="76" max="76" width="6.42578125" bestFit="1" customWidth="1"/>
    <col min="77" max="77" width="4.42578125" bestFit="1" customWidth="1"/>
    <col min="78" max="78" width="1.85546875" bestFit="1" customWidth="1"/>
    <col min="79" max="83" width="7.85546875" bestFit="1" customWidth="1"/>
    <col min="84" max="87" width="8.85546875" bestFit="1" customWidth="1"/>
    <col min="88" max="88" width="9.85546875" bestFit="1" customWidth="1"/>
    <col min="89" max="89" width="10.28515625" bestFit="1" customWidth="1"/>
    <col min="90" max="90" width="11.42578125" bestFit="1" customWidth="1"/>
  </cols>
  <sheetData>
    <row r="1" spans="2:15" x14ac:dyDescent="0.25">
      <c r="B1" s="104" t="s">
        <v>31</v>
      </c>
      <c r="C1" s="19">
        <v>2027</v>
      </c>
      <c r="D1" s="4"/>
      <c r="E1" s="4"/>
      <c r="F1" s="4"/>
    </row>
    <row r="2" spans="2:15" x14ac:dyDescent="0.25">
      <c r="C2" s="4"/>
      <c r="D2" s="4"/>
      <c r="E2" s="4"/>
      <c r="F2" s="4"/>
    </row>
    <row r="3" spans="2:15" x14ac:dyDescent="0.25">
      <c r="B3" s="115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</row>
    <row r="4" spans="2:15" x14ac:dyDescent="0.25">
      <c r="B4" s="19" t="s">
        <v>46</v>
      </c>
      <c r="C4" s="4">
        <v>1143732.5</v>
      </c>
      <c r="D4" s="4">
        <v>1852641.27</v>
      </c>
      <c r="E4" s="4">
        <v>1777134.1</v>
      </c>
      <c r="F4" s="4">
        <v>1430751.84</v>
      </c>
      <c r="G4" s="4">
        <v>2349031.42</v>
      </c>
      <c r="H4" s="4">
        <v>2329483.75</v>
      </c>
      <c r="I4" s="4">
        <v>1477982.31</v>
      </c>
      <c r="J4" s="4">
        <v>943221.27</v>
      </c>
      <c r="K4" s="4">
        <v>547896.18000000005</v>
      </c>
      <c r="L4" s="4">
        <v>916296.90999999992</v>
      </c>
      <c r="M4" s="4">
        <v>1416366.81</v>
      </c>
      <c r="N4" s="4">
        <v>1553621.93</v>
      </c>
      <c r="O4" s="4">
        <v>17738160.289999999</v>
      </c>
    </row>
    <row r="5" spans="2:15" x14ac:dyDescent="0.25">
      <c r="B5" s="19" t="s">
        <v>47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2:15" x14ac:dyDescent="0.25">
      <c r="B6" s="19" t="s">
        <v>48</v>
      </c>
      <c r="C6" s="4">
        <v>-329984.43000000011</v>
      </c>
      <c r="D6" s="4">
        <v>-632159.77</v>
      </c>
      <c r="E6" s="4">
        <v>-664980.37000000011</v>
      </c>
      <c r="F6" s="4">
        <v>-517768.13</v>
      </c>
      <c r="G6" s="4">
        <v>-838058.20000000007</v>
      </c>
      <c r="H6" s="4">
        <v>-864738.97000000009</v>
      </c>
      <c r="I6" s="4">
        <v>-562011.19999999995</v>
      </c>
      <c r="J6" s="4">
        <v>-339958.13</v>
      </c>
      <c r="K6" s="4">
        <v>-210012.74</v>
      </c>
      <c r="L6" s="4">
        <v>-342591.67</v>
      </c>
      <c r="M6" s="4">
        <v>-542669.87</v>
      </c>
      <c r="N6" s="4">
        <v>-562313.02</v>
      </c>
      <c r="O6" s="4">
        <v>-6407246.4999999991</v>
      </c>
    </row>
    <row r="7" spans="2:15" x14ac:dyDescent="0.25">
      <c r="B7" s="19" t="s">
        <v>49</v>
      </c>
      <c r="C7" s="4">
        <v>-162382.74</v>
      </c>
      <c r="D7" s="4">
        <v>-162382.74</v>
      </c>
      <c r="E7" s="4">
        <v>-162382.74</v>
      </c>
      <c r="F7" s="4">
        <v>-162382.74</v>
      </c>
      <c r="G7" s="4">
        <v>-162382.74</v>
      </c>
      <c r="H7" s="4">
        <v>-162382.74</v>
      </c>
      <c r="I7" s="4">
        <v>-162382.74</v>
      </c>
      <c r="J7" s="4">
        <v>-162382.74</v>
      </c>
      <c r="K7" s="4">
        <v>-162382.74</v>
      </c>
      <c r="L7" s="4">
        <v>-162382.74</v>
      </c>
      <c r="M7" s="4">
        <v>-163382.74</v>
      </c>
      <c r="N7" s="4">
        <v>-441399.46</v>
      </c>
      <c r="O7" s="4">
        <v>-2228609.6</v>
      </c>
    </row>
    <row r="8" spans="2:15" x14ac:dyDescent="0.25">
      <c r="B8" s="19" t="s">
        <v>50</v>
      </c>
      <c r="C8" s="4">
        <v>29809.200000000001</v>
      </c>
      <c r="D8" s="4">
        <v>21246.7</v>
      </c>
      <c r="E8" s="4">
        <v>19638.3</v>
      </c>
      <c r="F8" s="4">
        <v>8004.2</v>
      </c>
      <c r="G8" s="4">
        <v>38718.800000000003</v>
      </c>
      <c r="H8" s="4">
        <v>33492</v>
      </c>
      <c r="I8" s="4">
        <v>13212.8</v>
      </c>
      <c r="J8" s="4">
        <v>18509.599999999999</v>
      </c>
      <c r="K8" s="4">
        <v>24148.9</v>
      </c>
      <c r="L8" s="4">
        <v>23411.3</v>
      </c>
      <c r="M8" s="4">
        <v>40650.699999999997</v>
      </c>
      <c r="N8" s="4">
        <v>34380.800000000003</v>
      </c>
      <c r="O8" s="4">
        <v>305223.3</v>
      </c>
    </row>
    <row r="9" spans="2:15" x14ac:dyDescent="0.25">
      <c r="B9" s="19" t="s">
        <v>51</v>
      </c>
      <c r="C9" s="4">
        <v>-162854.89999999991</v>
      </c>
      <c r="D9" s="4">
        <v>-156654.62999999989</v>
      </c>
      <c r="E9" s="4">
        <v>-161541.21999999991</v>
      </c>
      <c r="F9" s="4">
        <v>-151886.70000000001</v>
      </c>
      <c r="G9" s="4">
        <v>-184776.7099999999</v>
      </c>
      <c r="H9" s="4">
        <v>-161344.67999999991</v>
      </c>
      <c r="I9" s="4">
        <v>-132696.54</v>
      </c>
      <c r="J9" s="4">
        <v>-131764.64000000001</v>
      </c>
      <c r="K9" s="4">
        <v>-150222.85</v>
      </c>
      <c r="L9" s="4">
        <v>-146341.94</v>
      </c>
      <c r="M9" s="4">
        <v>-183507.02999999991</v>
      </c>
      <c r="N9" s="4">
        <v>-286915.89000000007</v>
      </c>
      <c r="O9" s="4">
        <v>-2010507.73</v>
      </c>
    </row>
    <row r="10" spans="2:15" x14ac:dyDescent="0.25">
      <c r="B10" s="19" t="s">
        <v>52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2:15" x14ac:dyDescent="0.25">
      <c r="B11" s="19" t="s">
        <v>53</v>
      </c>
      <c r="C11" s="4">
        <v>-19225.349999999999</v>
      </c>
      <c r="D11" s="4">
        <v>-19225.349999999999</v>
      </c>
      <c r="E11" s="4">
        <v>-19225.349999999999</v>
      </c>
      <c r="F11" s="4">
        <v>-19225.349999999999</v>
      </c>
      <c r="G11" s="4">
        <v>-19225.349999999999</v>
      </c>
      <c r="H11" s="4">
        <v>-19225.349999999999</v>
      </c>
      <c r="I11" s="4">
        <v>-19225.349999999999</v>
      </c>
      <c r="J11" s="4">
        <v>-19225.349999999999</v>
      </c>
      <c r="K11" s="4">
        <v>-19225.349999999999</v>
      </c>
      <c r="L11" s="4">
        <v>-19225.349999999999</v>
      </c>
      <c r="M11" s="4">
        <v>-19225.349999999999</v>
      </c>
      <c r="N11" s="4">
        <v>-19225.349999999999</v>
      </c>
      <c r="O11" s="4">
        <v>-230704.2</v>
      </c>
    </row>
    <row r="12" spans="2:15" x14ac:dyDescent="0.25">
      <c r="B12" s="19" t="s">
        <v>54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2:15" x14ac:dyDescent="0.25">
      <c r="B13" s="19" t="s">
        <v>55</v>
      </c>
      <c r="C13" s="4">
        <v>-30880.78</v>
      </c>
      <c r="D13" s="4">
        <v>-50021.31</v>
      </c>
      <c r="E13" s="4">
        <v>-47982.62</v>
      </c>
      <c r="F13" s="4">
        <v>-38630.300000000003</v>
      </c>
      <c r="G13" s="4">
        <v>-63423.85</v>
      </c>
      <c r="H13" s="4">
        <v>-62896.06</v>
      </c>
      <c r="I13" s="4">
        <v>-39905.519999999997</v>
      </c>
      <c r="J13" s="4">
        <v>-25466.97</v>
      </c>
      <c r="K13" s="4">
        <v>-14793.2</v>
      </c>
      <c r="L13" s="4">
        <v>-24740.02</v>
      </c>
      <c r="M13" s="4">
        <v>-38241.9</v>
      </c>
      <c r="N13" s="4">
        <v>-41947.79</v>
      </c>
      <c r="O13" s="4">
        <v>-478930.32000000012</v>
      </c>
    </row>
    <row r="14" spans="2:15" x14ac:dyDescent="0.25">
      <c r="B14" s="19" t="s">
        <v>56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2:15" x14ac:dyDescent="0.25">
      <c r="B15" s="19" t="s">
        <v>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2:15" x14ac:dyDescent="0.25">
      <c r="B16" s="19" t="s">
        <v>58</v>
      </c>
      <c r="C16" s="4">
        <v>468213.49999999971</v>
      </c>
      <c r="D16" s="4">
        <v>853444.17000000016</v>
      </c>
      <c r="E16" s="4">
        <v>740660.09999999986</v>
      </c>
      <c r="F16" s="4">
        <v>548862.82000000007</v>
      </c>
      <c r="G16" s="4">
        <v>1119883.3700000001</v>
      </c>
      <c r="H16" s="4">
        <v>1092387.949999999</v>
      </c>
      <c r="I16" s="4">
        <v>574973.76000000013</v>
      </c>
      <c r="J16" s="4">
        <v>282933.03999999998</v>
      </c>
      <c r="K16" s="4">
        <v>15408.20000000009</v>
      </c>
      <c r="L16" s="4">
        <v>244426.4899999999</v>
      </c>
      <c r="M16" s="4">
        <v>509990.62000000011</v>
      </c>
      <c r="N16" s="4">
        <v>236201.21999999991</v>
      </c>
      <c r="O16" s="4">
        <v>6687385.2399999993</v>
      </c>
    </row>
    <row r="17" spans="2:31" x14ac:dyDescent="0.25">
      <c r="B17" s="19" t="s">
        <v>59</v>
      </c>
      <c r="C17" s="4">
        <f t="shared" ref="C17:O17" si="0">+SUM(C4:C9)</f>
        <v>518319.62999999989</v>
      </c>
      <c r="D17" s="4">
        <f t="shared" si="0"/>
        <v>922690.83000000007</v>
      </c>
      <c r="E17" s="4">
        <f t="shared" si="0"/>
        <v>807868.07000000007</v>
      </c>
      <c r="F17" s="4">
        <f t="shared" si="0"/>
        <v>606718.47</v>
      </c>
      <c r="G17" s="4">
        <f t="shared" si="0"/>
        <v>1202532.5699999998</v>
      </c>
      <c r="H17" s="4">
        <f t="shared" si="0"/>
        <v>1174509.3599999999</v>
      </c>
      <c r="I17" s="4">
        <f t="shared" si="0"/>
        <v>634104.63000000012</v>
      </c>
      <c r="J17" s="4">
        <f t="shared" si="0"/>
        <v>327625.36</v>
      </c>
      <c r="K17" s="4">
        <f t="shared" si="0"/>
        <v>49426.750000000058</v>
      </c>
      <c r="L17" s="4">
        <f t="shared" si="0"/>
        <v>288391.86</v>
      </c>
      <c r="M17" s="4">
        <f t="shared" si="0"/>
        <v>567457.87000000011</v>
      </c>
      <c r="N17" s="4">
        <f t="shared" si="0"/>
        <v>297374.35999999993</v>
      </c>
      <c r="O17" s="4">
        <f t="shared" si="0"/>
        <v>7397019.7599999998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2:31" x14ac:dyDescent="0.25">
      <c r="B18" s="6" t="s">
        <v>60</v>
      </c>
      <c r="C18" s="117">
        <f t="shared" ref="C18:O18" si="1">C17/C4</f>
        <v>0.45318256672779683</v>
      </c>
      <c r="D18" s="117">
        <f t="shared" si="1"/>
        <v>0.49804074050450148</v>
      </c>
      <c r="E18" s="117">
        <f t="shared" si="1"/>
        <v>0.45459038234649823</v>
      </c>
      <c r="F18" s="117">
        <f t="shared" si="1"/>
        <v>0.42405569787699865</v>
      </c>
      <c r="G18" s="117">
        <f t="shared" si="1"/>
        <v>0.51192698393110458</v>
      </c>
      <c r="H18" s="117">
        <f t="shared" si="1"/>
        <v>0.50419298267266288</v>
      </c>
      <c r="I18" s="117">
        <f t="shared" si="1"/>
        <v>0.42903397808597593</v>
      </c>
      <c r="J18" s="117">
        <f t="shared" si="1"/>
        <v>0.34734729847642215</v>
      </c>
      <c r="K18" s="117">
        <f t="shared" si="1"/>
        <v>9.0211890143129039E-2</v>
      </c>
      <c r="L18" s="117">
        <f t="shared" si="1"/>
        <v>0.31473625726840004</v>
      </c>
      <c r="M18" s="117">
        <f t="shared" si="1"/>
        <v>0.40064329804508769</v>
      </c>
      <c r="N18" s="117">
        <f t="shared" si="1"/>
        <v>0.19140715914070544</v>
      </c>
      <c r="O18" s="117">
        <f t="shared" si="1"/>
        <v>0.41701166519338068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2:31" x14ac:dyDescent="0.25">
      <c r="C19" s="4"/>
      <c r="D19" s="4"/>
      <c r="E19" s="4"/>
      <c r="F19" s="4"/>
      <c r="G19" s="4"/>
      <c r="H19" s="4"/>
      <c r="L19" s="4"/>
      <c r="M19" s="107"/>
      <c r="N19" s="114" t="s">
        <v>61</v>
      </c>
      <c r="O19" s="114">
        <f>SUM(C16:N16)-O16</f>
        <v>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259"/>
  <sheetViews>
    <sheetView topLeftCell="G1" zoomScale="85" zoomScaleNormal="85" workbookViewId="0">
      <selection activeCell="B4" sqref="B4:X205"/>
    </sheetView>
  </sheetViews>
  <sheetFormatPr baseColWidth="10" defaultRowHeight="15" x14ac:dyDescent="0.25"/>
  <cols>
    <col min="1" max="1" width="2" customWidth="1"/>
    <col min="2" max="2" width="14.28515625" customWidth="1"/>
    <col min="3" max="3" width="12" customWidth="1"/>
    <col min="4" max="4" width="24.42578125" customWidth="1"/>
    <col min="5" max="5" width="30.28515625" customWidth="1"/>
    <col min="6" max="6" width="29.140625" customWidth="1"/>
    <col min="7" max="7" width="51.85546875" customWidth="1"/>
    <col min="8" max="8" width="58.5703125" customWidth="1"/>
    <col min="9" max="9" width="64.85546875" bestFit="1" customWidth="1"/>
    <col min="10" max="10" width="30.28515625" customWidth="1"/>
    <col min="11" max="11" width="12.140625" bestFit="1" customWidth="1"/>
    <col min="12" max="14" width="12.140625" customWidth="1"/>
    <col min="15" max="15" width="15.7109375" style="107" customWidth="1"/>
    <col min="16" max="16" width="14.42578125" customWidth="1"/>
    <col min="17" max="17" width="21.85546875" style="107" customWidth="1"/>
    <col min="18" max="18" width="21.85546875" customWidth="1"/>
    <col min="19" max="20" width="11.140625" bestFit="1" customWidth="1"/>
    <col min="21" max="22" width="12.140625" bestFit="1" customWidth="1"/>
    <col min="23" max="23" width="13.28515625" bestFit="1" customWidth="1"/>
    <col min="24" max="24" width="150.85546875" bestFit="1" customWidth="1"/>
  </cols>
  <sheetData>
    <row r="2" spans="2:24" x14ac:dyDescent="0.25">
      <c r="K2" s="4">
        <f>SUBTOTAL(9,K4:K215)</f>
        <v>483243.77999999991</v>
      </c>
      <c r="L2" s="4">
        <f>SUBTOTAL(9,L4:L215)</f>
        <v>881363.22</v>
      </c>
      <c r="M2" s="4">
        <f>SUBTOTAL(9,M4:M215)</f>
        <v>770220.19000000088</v>
      </c>
      <c r="N2" s="4">
        <f>SUBTOTAL(9,N4:N215)</f>
        <v>571062.28000000026</v>
      </c>
      <c r="O2" s="107">
        <f>SUBTOTAL(9,O4:O2027)</f>
        <v>1158097.3400000003</v>
      </c>
      <c r="P2" s="107">
        <f>SUBTOTAL(9,P4:P2027)</f>
        <v>1131935.9599999995</v>
      </c>
      <c r="Q2" s="107">
        <f>SUBTOTAL(9,Q4:Q2096)</f>
        <v>599385.39000000013</v>
      </c>
      <c r="R2" s="4">
        <f>SUBTOTAL(9,R4:R2015)</f>
        <v>300562.00999999966</v>
      </c>
      <c r="S2" s="4">
        <f>SUBTOTAL(9,S4:S215)</f>
        <v>22339.900000000085</v>
      </c>
      <c r="T2" s="4">
        <f>SUBTOTAL(9,T4:T215)</f>
        <v>257987.13999999964</v>
      </c>
      <c r="U2" s="4">
        <f>SUBTOTAL(9,U4:U215)</f>
        <v>533435.16999999993</v>
      </c>
      <c r="V2" s="4">
        <f>SUBTOTAL(9,V4:V215)</f>
        <v>262477.89000000031</v>
      </c>
      <c r="W2" s="4">
        <f>SUBTOTAL(9,W4:W2036)</f>
        <v>6972110.2700000014</v>
      </c>
    </row>
    <row r="3" spans="2:24" x14ac:dyDescent="0.25">
      <c r="B3" s="87" t="s">
        <v>31</v>
      </c>
      <c r="C3" s="87" t="s">
        <v>62</v>
      </c>
      <c r="D3" s="87" t="s">
        <v>63</v>
      </c>
      <c r="E3" s="87" t="s">
        <v>64</v>
      </c>
      <c r="F3" s="87" t="s">
        <v>65</v>
      </c>
      <c r="G3" s="87" t="s">
        <v>66</v>
      </c>
      <c r="H3" s="87" t="s">
        <v>67</v>
      </c>
      <c r="I3" s="87" t="s">
        <v>68</v>
      </c>
      <c r="J3" s="87" t="s">
        <v>69</v>
      </c>
      <c r="K3" s="88">
        <v>46388</v>
      </c>
      <c r="L3" s="88">
        <v>46419</v>
      </c>
      <c r="M3" s="88">
        <v>46447</v>
      </c>
      <c r="N3" s="88">
        <v>46478</v>
      </c>
      <c r="O3" s="88">
        <v>46508</v>
      </c>
      <c r="P3" s="88">
        <v>46539</v>
      </c>
      <c r="Q3" s="88">
        <v>46569</v>
      </c>
      <c r="R3" s="88">
        <v>46600</v>
      </c>
      <c r="S3" s="88">
        <v>46631</v>
      </c>
      <c r="T3" s="88">
        <v>46661</v>
      </c>
      <c r="U3" s="88">
        <v>46692</v>
      </c>
      <c r="V3" s="88">
        <v>46722</v>
      </c>
      <c r="W3" s="88" t="s">
        <v>70</v>
      </c>
    </row>
    <row r="4" spans="2:24" x14ac:dyDescent="0.25">
      <c r="B4">
        <v>2027</v>
      </c>
      <c r="C4" t="s">
        <v>71</v>
      </c>
      <c r="D4" t="s">
        <v>72</v>
      </c>
      <c r="E4" t="s">
        <v>73</v>
      </c>
      <c r="F4" t="s">
        <v>74</v>
      </c>
      <c r="G4" t="s">
        <v>46</v>
      </c>
      <c r="H4" t="s">
        <v>75</v>
      </c>
      <c r="I4" t="s">
        <v>76</v>
      </c>
      <c r="J4" t="s">
        <v>77</v>
      </c>
      <c r="K4" s="4">
        <v>1167113.1599999999</v>
      </c>
      <c r="L4" s="4">
        <v>1890513.74</v>
      </c>
      <c r="M4" s="4">
        <v>1813463.02</v>
      </c>
      <c r="N4" s="4">
        <v>1459999.87</v>
      </c>
      <c r="O4" s="107">
        <v>2397051.31</v>
      </c>
      <c r="P4" s="4">
        <v>2377104.0299999998</v>
      </c>
      <c r="Q4" s="4">
        <v>1508195.84</v>
      </c>
      <c r="R4" s="4">
        <v>962502.99</v>
      </c>
      <c r="S4" s="4">
        <v>559096.5</v>
      </c>
      <c r="T4" s="4">
        <v>935028.24</v>
      </c>
      <c r="U4" s="4">
        <v>1445320.77</v>
      </c>
      <c r="V4" s="4">
        <v>1585381.72</v>
      </c>
      <c r="W4" s="4">
        <v>18100771.190000001</v>
      </c>
      <c r="X4" t="s">
        <v>78</v>
      </c>
    </row>
    <row r="5" spans="2:24" x14ac:dyDescent="0.25">
      <c r="B5">
        <v>2027</v>
      </c>
      <c r="C5" t="s">
        <v>71</v>
      </c>
      <c r="D5" t="s">
        <v>72</v>
      </c>
      <c r="E5" t="s">
        <v>73</v>
      </c>
      <c r="F5" t="s">
        <v>74</v>
      </c>
      <c r="G5" t="s">
        <v>46</v>
      </c>
      <c r="H5" t="s">
        <v>75</v>
      </c>
      <c r="I5" t="s">
        <v>79</v>
      </c>
      <c r="J5" t="s">
        <v>77</v>
      </c>
      <c r="K5" s="4">
        <v>0</v>
      </c>
      <c r="L5" s="4">
        <v>0</v>
      </c>
      <c r="M5" s="4">
        <v>0</v>
      </c>
      <c r="N5" s="4">
        <v>0</v>
      </c>
      <c r="O5" s="107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t="s">
        <v>80</v>
      </c>
    </row>
    <row r="6" spans="2:24" x14ac:dyDescent="0.25">
      <c r="B6">
        <v>2027</v>
      </c>
      <c r="C6" t="s">
        <v>71</v>
      </c>
      <c r="D6" t="s">
        <v>72</v>
      </c>
      <c r="E6" t="s">
        <v>73</v>
      </c>
      <c r="F6" t="s">
        <v>74</v>
      </c>
      <c r="G6" t="s">
        <v>46</v>
      </c>
      <c r="H6" t="s">
        <v>75</v>
      </c>
      <c r="I6" t="s">
        <v>81</v>
      </c>
      <c r="J6" t="s">
        <v>77</v>
      </c>
      <c r="K6" s="4">
        <v>0</v>
      </c>
      <c r="L6" s="4">
        <v>0</v>
      </c>
      <c r="M6" s="4">
        <v>0</v>
      </c>
      <c r="N6" s="4">
        <v>0</v>
      </c>
      <c r="O6" s="107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t="s">
        <v>80</v>
      </c>
    </row>
    <row r="7" spans="2:24" x14ac:dyDescent="0.25">
      <c r="B7">
        <v>2027</v>
      </c>
      <c r="C7" t="s">
        <v>71</v>
      </c>
      <c r="D7" t="s">
        <v>72</v>
      </c>
      <c r="E7" t="s">
        <v>73</v>
      </c>
      <c r="F7" t="s">
        <v>74</v>
      </c>
      <c r="G7" t="s">
        <v>50</v>
      </c>
      <c r="H7" t="s">
        <v>75</v>
      </c>
      <c r="I7" t="s">
        <v>82</v>
      </c>
      <c r="J7" t="s">
        <v>77</v>
      </c>
      <c r="K7" s="4">
        <v>29809.200000000001</v>
      </c>
      <c r="L7" s="4">
        <v>21246.7</v>
      </c>
      <c r="M7" s="4">
        <v>19638.3</v>
      </c>
      <c r="N7" s="4">
        <v>8004.2</v>
      </c>
      <c r="O7" s="107">
        <v>38718.800000000003</v>
      </c>
      <c r="P7" s="4">
        <v>33492</v>
      </c>
      <c r="Q7" s="4">
        <v>13212.8</v>
      </c>
      <c r="R7" s="4">
        <v>18509.599999999999</v>
      </c>
      <c r="S7" s="4">
        <v>24148.9</v>
      </c>
      <c r="T7" s="4">
        <v>23411.3</v>
      </c>
      <c r="U7" s="4">
        <v>40650.699999999997</v>
      </c>
      <c r="V7" s="4">
        <v>34380.800000000003</v>
      </c>
      <c r="W7" s="4">
        <v>305223.3</v>
      </c>
      <c r="X7" t="s">
        <v>83</v>
      </c>
    </row>
    <row r="8" spans="2:24" x14ac:dyDescent="0.25">
      <c r="B8">
        <v>2027</v>
      </c>
      <c r="C8" t="s">
        <v>71</v>
      </c>
      <c r="D8" t="s">
        <v>72</v>
      </c>
      <c r="E8" t="s">
        <v>73</v>
      </c>
      <c r="F8" t="s">
        <v>74</v>
      </c>
      <c r="G8" t="s">
        <v>46</v>
      </c>
      <c r="H8" t="s">
        <v>75</v>
      </c>
      <c r="I8" t="s">
        <v>84</v>
      </c>
      <c r="J8" t="s">
        <v>77</v>
      </c>
      <c r="K8" s="4">
        <v>0</v>
      </c>
      <c r="L8" s="4">
        <v>0</v>
      </c>
      <c r="M8" s="4">
        <v>0</v>
      </c>
      <c r="N8" s="4">
        <v>0</v>
      </c>
      <c r="O8" s="107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t="s">
        <v>80</v>
      </c>
    </row>
    <row r="9" spans="2:24" x14ac:dyDescent="0.25">
      <c r="B9">
        <v>2027</v>
      </c>
      <c r="C9" t="s">
        <v>71</v>
      </c>
      <c r="D9" t="s">
        <v>72</v>
      </c>
      <c r="E9" t="s">
        <v>73</v>
      </c>
      <c r="F9" t="s">
        <v>85</v>
      </c>
      <c r="G9" t="s">
        <v>57</v>
      </c>
      <c r="H9" t="s">
        <v>75</v>
      </c>
      <c r="I9" t="s">
        <v>84</v>
      </c>
      <c r="J9" t="s">
        <v>77</v>
      </c>
      <c r="K9" s="4">
        <v>0</v>
      </c>
      <c r="L9" s="4">
        <v>0</v>
      </c>
      <c r="M9" s="4">
        <v>0</v>
      </c>
      <c r="N9" s="4">
        <v>0</v>
      </c>
      <c r="O9" s="107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t="s">
        <v>80</v>
      </c>
    </row>
    <row r="10" spans="2:24" x14ac:dyDescent="0.25">
      <c r="B10">
        <v>2027</v>
      </c>
      <c r="C10" t="s">
        <v>71</v>
      </c>
      <c r="D10" t="s">
        <v>72</v>
      </c>
      <c r="E10" t="s">
        <v>73</v>
      </c>
      <c r="F10" t="s">
        <v>74</v>
      </c>
      <c r="G10" t="s">
        <v>46</v>
      </c>
      <c r="H10" t="s">
        <v>86</v>
      </c>
      <c r="I10" t="s">
        <v>87</v>
      </c>
      <c r="J10" t="s">
        <v>77</v>
      </c>
      <c r="K10" s="4">
        <v>0</v>
      </c>
      <c r="L10" s="4">
        <v>0</v>
      </c>
      <c r="M10" s="4">
        <v>0</v>
      </c>
      <c r="N10" s="4">
        <v>0</v>
      </c>
      <c r="O10" s="107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t="s">
        <v>80</v>
      </c>
    </row>
    <row r="11" spans="2:24" x14ac:dyDescent="0.25">
      <c r="B11">
        <v>2027</v>
      </c>
      <c r="C11" t="s">
        <v>71</v>
      </c>
      <c r="D11" t="s">
        <v>72</v>
      </c>
      <c r="E11" t="s">
        <v>73</v>
      </c>
      <c r="F11" t="s">
        <v>74</v>
      </c>
      <c r="G11" t="s">
        <v>46</v>
      </c>
      <c r="H11" t="s">
        <v>88</v>
      </c>
      <c r="I11" t="s">
        <v>89</v>
      </c>
      <c r="J11" t="s">
        <v>77</v>
      </c>
      <c r="K11" s="4">
        <v>0</v>
      </c>
      <c r="L11" s="4">
        <v>0</v>
      </c>
      <c r="M11" s="4">
        <v>0</v>
      </c>
      <c r="N11" s="4">
        <v>0</v>
      </c>
      <c r="O11" s="107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t="s">
        <v>80</v>
      </c>
    </row>
    <row r="12" spans="2:24" x14ac:dyDescent="0.25">
      <c r="B12">
        <v>2027</v>
      </c>
      <c r="C12" t="s">
        <v>71</v>
      </c>
      <c r="D12" t="s">
        <v>72</v>
      </c>
      <c r="E12" t="s">
        <v>73</v>
      </c>
      <c r="F12" t="s">
        <v>74</v>
      </c>
      <c r="G12" t="s">
        <v>46</v>
      </c>
      <c r="H12" t="s">
        <v>90</v>
      </c>
      <c r="I12" t="s">
        <v>91</v>
      </c>
      <c r="J12" t="s">
        <v>77</v>
      </c>
      <c r="K12" s="4">
        <v>0</v>
      </c>
      <c r="L12" s="4">
        <v>0</v>
      </c>
      <c r="M12" s="4">
        <v>0</v>
      </c>
      <c r="N12" s="4">
        <v>0</v>
      </c>
      <c r="O12" s="107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t="s">
        <v>80</v>
      </c>
    </row>
    <row r="13" spans="2:24" x14ac:dyDescent="0.25">
      <c r="B13">
        <v>2027</v>
      </c>
      <c r="C13" t="s">
        <v>71</v>
      </c>
      <c r="D13" t="s">
        <v>72</v>
      </c>
      <c r="E13" t="s">
        <v>73</v>
      </c>
      <c r="F13" t="s">
        <v>74</v>
      </c>
      <c r="G13" t="s">
        <v>46</v>
      </c>
      <c r="H13" t="s">
        <v>92</v>
      </c>
      <c r="I13" t="s">
        <v>93</v>
      </c>
      <c r="J13" t="s">
        <v>77</v>
      </c>
      <c r="K13" s="4">
        <v>0</v>
      </c>
      <c r="L13" s="4">
        <v>0</v>
      </c>
      <c r="M13" s="4">
        <v>0</v>
      </c>
      <c r="N13" s="4">
        <v>0</v>
      </c>
      <c r="O13" s="107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t="s">
        <v>80</v>
      </c>
    </row>
    <row r="14" spans="2:24" x14ac:dyDescent="0.25">
      <c r="B14">
        <v>2027</v>
      </c>
      <c r="C14" t="s">
        <v>71</v>
      </c>
      <c r="D14" t="s">
        <v>72</v>
      </c>
      <c r="E14" t="s">
        <v>73</v>
      </c>
      <c r="F14" t="s">
        <v>74</v>
      </c>
      <c r="G14" t="s">
        <v>46</v>
      </c>
      <c r="H14" t="s">
        <v>92</v>
      </c>
      <c r="I14" t="s">
        <v>94</v>
      </c>
      <c r="J14" t="s">
        <v>77</v>
      </c>
      <c r="K14" s="4">
        <v>2221.91</v>
      </c>
      <c r="L14" s="4">
        <v>3599.09</v>
      </c>
      <c r="M14" s="4">
        <v>3452.4</v>
      </c>
      <c r="N14" s="4">
        <v>2779.49</v>
      </c>
      <c r="O14" s="107">
        <v>4563.41</v>
      </c>
      <c r="P14" s="4">
        <v>4525.4399999999996</v>
      </c>
      <c r="Q14" s="4">
        <v>2871.25</v>
      </c>
      <c r="R14" s="4">
        <v>1832.38</v>
      </c>
      <c r="S14" s="4">
        <v>1064.3900000000001</v>
      </c>
      <c r="T14" s="4">
        <v>1780.07</v>
      </c>
      <c r="U14" s="4">
        <v>2751.55</v>
      </c>
      <c r="V14" s="4">
        <v>3018.19</v>
      </c>
      <c r="W14" s="4">
        <v>34459.57</v>
      </c>
      <c r="X14" t="s">
        <v>95</v>
      </c>
    </row>
    <row r="15" spans="2:24" x14ac:dyDescent="0.25">
      <c r="B15">
        <v>2027</v>
      </c>
      <c r="C15" t="s">
        <v>71</v>
      </c>
      <c r="D15" t="s">
        <v>72</v>
      </c>
      <c r="E15" t="s">
        <v>73</v>
      </c>
      <c r="F15" t="s">
        <v>74</v>
      </c>
      <c r="G15" t="s">
        <v>46</v>
      </c>
      <c r="H15" t="s">
        <v>96</v>
      </c>
      <c r="I15" t="s">
        <v>97</v>
      </c>
      <c r="J15" t="s">
        <v>77</v>
      </c>
      <c r="K15" s="4">
        <v>0</v>
      </c>
      <c r="L15" s="4">
        <v>0</v>
      </c>
      <c r="M15" s="4">
        <v>0</v>
      </c>
      <c r="N15" s="4">
        <v>0</v>
      </c>
      <c r="O15" s="107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t="s">
        <v>80</v>
      </c>
    </row>
    <row r="16" spans="2:24" x14ac:dyDescent="0.25">
      <c r="B16">
        <v>2027</v>
      </c>
      <c r="C16" t="s">
        <v>71</v>
      </c>
      <c r="D16" t="s">
        <v>72</v>
      </c>
      <c r="E16" t="s">
        <v>73</v>
      </c>
      <c r="F16" t="s">
        <v>74</v>
      </c>
      <c r="G16" t="s">
        <v>46</v>
      </c>
      <c r="H16" t="s">
        <v>98</v>
      </c>
      <c r="I16" t="s">
        <v>99</v>
      </c>
      <c r="J16" t="s">
        <v>77</v>
      </c>
      <c r="K16" s="4">
        <v>0</v>
      </c>
      <c r="L16" s="4">
        <v>0</v>
      </c>
      <c r="M16" s="4">
        <v>0</v>
      </c>
      <c r="N16" s="4">
        <v>0</v>
      </c>
      <c r="O16" s="107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t="s">
        <v>80</v>
      </c>
    </row>
    <row r="17" spans="2:24" x14ac:dyDescent="0.25">
      <c r="B17">
        <v>2027</v>
      </c>
      <c r="C17" t="s">
        <v>71</v>
      </c>
      <c r="D17" t="s">
        <v>72</v>
      </c>
      <c r="E17" t="s">
        <v>73</v>
      </c>
      <c r="F17" t="s">
        <v>74</v>
      </c>
      <c r="G17" t="s">
        <v>46</v>
      </c>
      <c r="H17" t="s">
        <v>98</v>
      </c>
      <c r="I17" t="s">
        <v>100</v>
      </c>
      <c r="J17" t="s">
        <v>77</v>
      </c>
      <c r="K17" s="4">
        <v>-25602.57</v>
      </c>
      <c r="L17" s="4">
        <v>-41471.56</v>
      </c>
      <c r="M17" s="4">
        <v>-39781.32</v>
      </c>
      <c r="N17" s="4">
        <v>-32027.52</v>
      </c>
      <c r="O17" s="107">
        <v>-52583.3</v>
      </c>
      <c r="P17" s="4">
        <v>-52145.72</v>
      </c>
      <c r="Q17" s="4">
        <v>-33084.78</v>
      </c>
      <c r="R17" s="4">
        <v>-21114.1</v>
      </c>
      <c r="S17" s="4">
        <v>-12264.71</v>
      </c>
      <c r="T17" s="4">
        <v>-20511.400000000001</v>
      </c>
      <c r="U17" s="4">
        <v>-31705.51</v>
      </c>
      <c r="V17" s="4">
        <v>-34777.980000000003</v>
      </c>
      <c r="W17" s="4">
        <v>-397070.47</v>
      </c>
      <c r="X17" t="s">
        <v>101</v>
      </c>
    </row>
    <row r="18" spans="2:24" x14ac:dyDescent="0.25">
      <c r="B18">
        <v>2027</v>
      </c>
      <c r="C18" t="s">
        <v>71</v>
      </c>
      <c r="D18" t="s">
        <v>72</v>
      </c>
      <c r="E18" t="s">
        <v>73</v>
      </c>
      <c r="F18" t="s">
        <v>74</v>
      </c>
      <c r="G18" t="s">
        <v>52</v>
      </c>
      <c r="H18" t="s">
        <v>102</v>
      </c>
      <c r="I18" t="s">
        <v>103</v>
      </c>
      <c r="J18" t="s">
        <v>77</v>
      </c>
      <c r="K18" s="4">
        <v>0</v>
      </c>
      <c r="L18" s="4">
        <v>0</v>
      </c>
      <c r="M18" s="4">
        <v>0</v>
      </c>
      <c r="N18" s="4">
        <v>0</v>
      </c>
      <c r="O18" s="107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t="s">
        <v>80</v>
      </c>
    </row>
    <row r="19" spans="2:24" x14ac:dyDescent="0.25">
      <c r="B19">
        <v>2027</v>
      </c>
      <c r="C19" t="s">
        <v>71</v>
      </c>
      <c r="D19" t="s">
        <v>72</v>
      </c>
      <c r="E19" t="s">
        <v>73</v>
      </c>
      <c r="F19" t="s">
        <v>74</v>
      </c>
      <c r="G19" t="s">
        <v>54</v>
      </c>
      <c r="H19" t="s">
        <v>104</v>
      </c>
      <c r="I19" t="s">
        <v>105</v>
      </c>
      <c r="J19" t="s">
        <v>77</v>
      </c>
      <c r="K19" s="4">
        <v>0</v>
      </c>
      <c r="L19" s="4">
        <v>0</v>
      </c>
      <c r="M19" s="4">
        <v>0</v>
      </c>
      <c r="N19" s="4">
        <v>0</v>
      </c>
      <c r="O19" s="107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t="s">
        <v>80</v>
      </c>
    </row>
    <row r="20" spans="2:24" x14ac:dyDescent="0.25">
      <c r="B20">
        <v>2027</v>
      </c>
      <c r="C20" t="s">
        <v>71</v>
      </c>
      <c r="D20" t="s">
        <v>72</v>
      </c>
      <c r="E20" t="s">
        <v>73</v>
      </c>
      <c r="F20" t="s">
        <v>74</v>
      </c>
      <c r="G20" t="s">
        <v>54</v>
      </c>
      <c r="H20" t="s">
        <v>106</v>
      </c>
      <c r="I20" t="s">
        <v>107</v>
      </c>
      <c r="J20" t="s">
        <v>77</v>
      </c>
      <c r="K20" s="4">
        <v>0</v>
      </c>
      <c r="L20" s="4">
        <v>0</v>
      </c>
      <c r="M20" s="4">
        <v>0</v>
      </c>
      <c r="N20" s="4">
        <v>0</v>
      </c>
      <c r="O20" s="107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t="s">
        <v>80</v>
      </c>
    </row>
    <row r="21" spans="2:24" x14ac:dyDescent="0.25">
      <c r="B21">
        <v>2027</v>
      </c>
      <c r="C21" t="s">
        <v>71</v>
      </c>
      <c r="D21" t="s">
        <v>72</v>
      </c>
      <c r="E21" t="s">
        <v>73</v>
      </c>
      <c r="F21" t="s">
        <v>74</v>
      </c>
      <c r="G21" t="s">
        <v>47</v>
      </c>
      <c r="H21" t="s">
        <v>108</v>
      </c>
      <c r="I21" t="s">
        <v>109</v>
      </c>
      <c r="J21" t="s">
        <v>77</v>
      </c>
      <c r="K21" s="4">
        <v>0</v>
      </c>
      <c r="L21" s="4">
        <v>0</v>
      </c>
      <c r="M21" s="4">
        <v>0</v>
      </c>
      <c r="N21" s="4">
        <v>0</v>
      </c>
      <c r="O21" s="107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t="s">
        <v>110</v>
      </c>
    </row>
    <row r="22" spans="2:24" x14ac:dyDescent="0.25">
      <c r="B22">
        <v>2027</v>
      </c>
      <c r="C22" t="s">
        <v>71</v>
      </c>
      <c r="D22" t="s">
        <v>72</v>
      </c>
      <c r="E22" t="s">
        <v>73</v>
      </c>
      <c r="F22" t="s">
        <v>74</v>
      </c>
      <c r="G22" t="s">
        <v>47</v>
      </c>
      <c r="H22" t="s">
        <v>111</v>
      </c>
      <c r="I22" t="s">
        <v>112</v>
      </c>
      <c r="J22" t="s">
        <v>77</v>
      </c>
      <c r="K22" s="4">
        <v>0</v>
      </c>
      <c r="L22" s="4">
        <v>0</v>
      </c>
      <c r="M22" s="4">
        <v>0</v>
      </c>
      <c r="N22" s="4">
        <v>0</v>
      </c>
      <c r="O22" s="107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t="s">
        <v>110</v>
      </c>
    </row>
    <row r="23" spans="2:24" x14ac:dyDescent="0.25">
      <c r="B23">
        <v>2027</v>
      </c>
      <c r="C23" t="s">
        <v>71</v>
      </c>
      <c r="D23" t="s">
        <v>72</v>
      </c>
      <c r="E23" t="s">
        <v>73</v>
      </c>
      <c r="F23" t="s">
        <v>74</v>
      </c>
      <c r="G23" t="s">
        <v>48</v>
      </c>
      <c r="H23" t="s">
        <v>113</v>
      </c>
      <c r="I23" t="s">
        <v>114</v>
      </c>
      <c r="J23" t="s">
        <v>77</v>
      </c>
      <c r="K23" s="4">
        <v>-235193.03</v>
      </c>
      <c r="L23" s="4">
        <v>-456045.01</v>
      </c>
      <c r="M23" s="4">
        <v>-480224.76</v>
      </c>
      <c r="N23" s="4">
        <v>-371769.84</v>
      </c>
      <c r="O23" s="107">
        <v>-607735.53</v>
      </c>
      <c r="P23" s="4">
        <v>-627391.92000000004</v>
      </c>
      <c r="Q23" s="4">
        <v>-404364.81</v>
      </c>
      <c r="R23" s="4">
        <v>-242540.9</v>
      </c>
      <c r="S23" s="4">
        <v>-146806.88</v>
      </c>
      <c r="T23" s="4">
        <v>-244481.09</v>
      </c>
      <c r="U23" s="4">
        <v>-390115.56</v>
      </c>
      <c r="V23" s="4">
        <v>-400903.53</v>
      </c>
      <c r="W23" s="4">
        <v>-4607572.8600000003</v>
      </c>
      <c r="X23" t="s">
        <v>115</v>
      </c>
    </row>
    <row r="24" spans="2:24" x14ac:dyDescent="0.25">
      <c r="B24">
        <v>2027</v>
      </c>
      <c r="C24" t="s">
        <v>71</v>
      </c>
      <c r="D24" t="s">
        <v>72</v>
      </c>
      <c r="E24" t="s">
        <v>73</v>
      </c>
      <c r="F24" t="s">
        <v>74</v>
      </c>
      <c r="G24" t="s">
        <v>48</v>
      </c>
      <c r="H24" t="s">
        <v>116</v>
      </c>
      <c r="I24" t="s">
        <v>117</v>
      </c>
      <c r="J24" t="s">
        <v>77</v>
      </c>
      <c r="K24" s="4">
        <v>-48555</v>
      </c>
      <c r="L24" s="4">
        <v>-94149.33</v>
      </c>
      <c r="M24" s="4">
        <v>-99141.18</v>
      </c>
      <c r="N24" s="4">
        <v>-76750.94</v>
      </c>
      <c r="O24" s="107">
        <v>-125465.45</v>
      </c>
      <c r="P24" s="4">
        <v>-129523.47</v>
      </c>
      <c r="Q24" s="4">
        <v>-83480.08</v>
      </c>
      <c r="R24" s="4">
        <v>-50071.95</v>
      </c>
      <c r="S24" s="4">
        <v>-30307.91</v>
      </c>
      <c r="T24" s="4">
        <v>-50472.5</v>
      </c>
      <c r="U24" s="4">
        <v>-80538.37</v>
      </c>
      <c r="V24" s="4">
        <v>-82765.509999999995</v>
      </c>
      <c r="W24" s="4">
        <v>-951221.69</v>
      </c>
      <c r="X24" t="s">
        <v>118</v>
      </c>
    </row>
    <row r="25" spans="2:24" x14ac:dyDescent="0.25">
      <c r="B25">
        <v>2027</v>
      </c>
      <c r="C25" t="s">
        <v>71</v>
      </c>
      <c r="D25" t="s">
        <v>72</v>
      </c>
      <c r="E25" t="s">
        <v>73</v>
      </c>
      <c r="F25" t="s">
        <v>74</v>
      </c>
      <c r="G25" t="s">
        <v>48</v>
      </c>
      <c r="H25" t="s">
        <v>116</v>
      </c>
      <c r="I25" t="s">
        <v>119</v>
      </c>
      <c r="J25" t="s">
        <v>77</v>
      </c>
      <c r="K25" s="4">
        <v>0</v>
      </c>
      <c r="L25" s="4">
        <v>0</v>
      </c>
      <c r="M25" s="4">
        <v>0</v>
      </c>
      <c r="N25" s="4">
        <v>0</v>
      </c>
      <c r="O25" s="107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t="s">
        <v>120</v>
      </c>
    </row>
    <row r="26" spans="2:24" x14ac:dyDescent="0.25">
      <c r="B26">
        <v>2027</v>
      </c>
      <c r="C26" t="s">
        <v>71</v>
      </c>
      <c r="D26" t="s">
        <v>72</v>
      </c>
      <c r="E26" t="s">
        <v>73</v>
      </c>
      <c r="F26" t="s">
        <v>74</v>
      </c>
      <c r="G26" t="s">
        <v>48</v>
      </c>
      <c r="H26" t="s">
        <v>116</v>
      </c>
      <c r="I26" t="s">
        <v>121</v>
      </c>
      <c r="J26" t="s">
        <v>77</v>
      </c>
      <c r="K26" s="4">
        <v>-7581.98</v>
      </c>
      <c r="L26" s="4">
        <v>-14701.65</v>
      </c>
      <c r="M26" s="4">
        <v>-15481.13</v>
      </c>
      <c r="N26" s="4">
        <v>-11984.84</v>
      </c>
      <c r="O26" s="107">
        <v>-19591.740000000002</v>
      </c>
      <c r="P26" s="4">
        <v>-20225.400000000001</v>
      </c>
      <c r="Q26" s="4">
        <v>-13035.61</v>
      </c>
      <c r="R26" s="4">
        <v>-7818.85</v>
      </c>
      <c r="S26" s="4">
        <v>-4732.6499999999996</v>
      </c>
      <c r="T26" s="4">
        <v>-7881.4</v>
      </c>
      <c r="U26" s="4">
        <v>-12576.26</v>
      </c>
      <c r="V26" s="4">
        <v>-12924.04</v>
      </c>
      <c r="W26" s="4">
        <v>-148535.54999999999</v>
      </c>
      <c r="X26" t="s">
        <v>122</v>
      </c>
    </row>
    <row r="27" spans="2:24" x14ac:dyDescent="0.25">
      <c r="B27">
        <v>2027</v>
      </c>
      <c r="C27" t="s">
        <v>71</v>
      </c>
      <c r="D27" t="s">
        <v>72</v>
      </c>
      <c r="E27" t="s">
        <v>73</v>
      </c>
      <c r="F27" t="s">
        <v>74</v>
      </c>
      <c r="G27" t="s">
        <v>48</v>
      </c>
      <c r="H27" t="s">
        <v>116</v>
      </c>
      <c r="I27" t="s">
        <v>123</v>
      </c>
      <c r="J27" t="s">
        <v>77</v>
      </c>
      <c r="K27" s="4">
        <v>-7885.26</v>
      </c>
      <c r="L27" s="4">
        <v>-15289.71</v>
      </c>
      <c r="M27" s="4">
        <v>-16100.38</v>
      </c>
      <c r="N27" s="4">
        <v>-12464.24</v>
      </c>
      <c r="O27" s="107">
        <v>-20375.400000000001</v>
      </c>
      <c r="P27" s="4">
        <v>-21034.42</v>
      </c>
      <c r="Q27" s="4">
        <v>-13557.04</v>
      </c>
      <c r="R27" s="4">
        <v>-8131.61</v>
      </c>
      <c r="S27" s="4">
        <v>-4921.96</v>
      </c>
      <c r="T27" s="4">
        <v>-8196.66</v>
      </c>
      <c r="U27" s="4">
        <v>-13079.31</v>
      </c>
      <c r="V27" s="4">
        <v>-13441</v>
      </c>
      <c r="W27" s="4">
        <v>-154476.99</v>
      </c>
      <c r="X27" t="s">
        <v>124</v>
      </c>
    </row>
    <row r="28" spans="2:24" x14ac:dyDescent="0.25">
      <c r="B28">
        <v>2027</v>
      </c>
      <c r="C28" t="s">
        <v>71</v>
      </c>
      <c r="D28" t="s">
        <v>72</v>
      </c>
      <c r="E28" t="s">
        <v>73</v>
      </c>
      <c r="F28" t="s">
        <v>74</v>
      </c>
      <c r="G28" t="s">
        <v>48</v>
      </c>
      <c r="H28" t="s">
        <v>116</v>
      </c>
      <c r="I28" t="s">
        <v>125</v>
      </c>
      <c r="J28" t="s">
        <v>77</v>
      </c>
      <c r="K28" s="4">
        <v>-131.91999999999999</v>
      </c>
      <c r="L28" s="4">
        <v>-131.91999999999999</v>
      </c>
      <c r="M28" s="4">
        <v>-131.91999999999999</v>
      </c>
      <c r="N28" s="4">
        <v>-131.91999999999999</v>
      </c>
      <c r="O28" s="107">
        <v>-131.91999999999999</v>
      </c>
      <c r="P28" s="4">
        <v>-131.91999999999999</v>
      </c>
      <c r="Q28" s="4">
        <v>-131.91999999999999</v>
      </c>
      <c r="R28" s="4">
        <v>-131.91999999999999</v>
      </c>
      <c r="S28" s="4">
        <v>-131.91999999999999</v>
      </c>
      <c r="T28" s="4">
        <v>-131.91999999999999</v>
      </c>
      <c r="U28" s="4">
        <v>-131.91999999999999</v>
      </c>
      <c r="V28" s="4">
        <v>-131.91999999999999</v>
      </c>
      <c r="W28" s="4">
        <v>-1583.04</v>
      </c>
      <c r="X28" t="s">
        <v>126</v>
      </c>
    </row>
    <row r="29" spans="2:24" x14ac:dyDescent="0.25">
      <c r="B29">
        <v>2027</v>
      </c>
      <c r="C29" t="s">
        <v>71</v>
      </c>
      <c r="D29" t="s">
        <v>72</v>
      </c>
      <c r="E29" t="s">
        <v>73</v>
      </c>
      <c r="F29" t="s">
        <v>74</v>
      </c>
      <c r="G29" t="s">
        <v>48</v>
      </c>
      <c r="H29" t="s">
        <v>116</v>
      </c>
      <c r="I29" t="s">
        <v>127</v>
      </c>
      <c r="J29" t="s">
        <v>77</v>
      </c>
      <c r="K29" s="4">
        <v>-204.02</v>
      </c>
      <c r="L29" s="4">
        <v>-204.02</v>
      </c>
      <c r="M29" s="4">
        <v>-204.02</v>
      </c>
      <c r="N29" s="4">
        <v>-204.02</v>
      </c>
      <c r="O29" s="107">
        <v>-204.02</v>
      </c>
      <c r="P29" s="4">
        <v>-204.02</v>
      </c>
      <c r="Q29" s="4">
        <v>-204.02</v>
      </c>
      <c r="R29" s="4">
        <v>-204.02</v>
      </c>
      <c r="S29" s="4">
        <v>-204.02</v>
      </c>
      <c r="T29" s="4">
        <v>-204.02</v>
      </c>
      <c r="U29" s="4">
        <v>-204.02</v>
      </c>
      <c r="V29" s="4">
        <v>-204.02</v>
      </c>
      <c r="W29" s="4">
        <v>-2448.2399999999998</v>
      </c>
      <c r="X29" t="s">
        <v>126</v>
      </c>
    </row>
    <row r="30" spans="2:24" x14ac:dyDescent="0.25">
      <c r="B30">
        <v>2027</v>
      </c>
      <c r="C30" t="s">
        <v>71</v>
      </c>
      <c r="D30" t="s">
        <v>72</v>
      </c>
      <c r="E30" t="s">
        <v>73</v>
      </c>
      <c r="F30" t="s">
        <v>74</v>
      </c>
      <c r="G30" t="s">
        <v>48</v>
      </c>
      <c r="H30" t="s">
        <v>116</v>
      </c>
      <c r="I30" t="s">
        <v>128</v>
      </c>
      <c r="J30" t="s">
        <v>77</v>
      </c>
      <c r="K30" s="4">
        <v>-4063.94</v>
      </c>
      <c r="L30" s="4">
        <v>-7880.08</v>
      </c>
      <c r="M30" s="4">
        <v>-8297.89</v>
      </c>
      <c r="N30" s="4">
        <v>-6423.87</v>
      </c>
      <c r="O30" s="107">
        <v>-10501.17</v>
      </c>
      <c r="P30" s="4">
        <v>-10840.81</v>
      </c>
      <c r="Q30" s="4">
        <v>-6987.09</v>
      </c>
      <c r="R30" s="4">
        <v>-4190.91</v>
      </c>
      <c r="S30" s="4">
        <v>-2536.6999999999998</v>
      </c>
      <c r="T30" s="4">
        <v>-4224.43</v>
      </c>
      <c r="U30" s="4">
        <v>-6740.88</v>
      </c>
      <c r="V30" s="4">
        <v>-6927.29</v>
      </c>
      <c r="W30" s="4">
        <v>-79615.06</v>
      </c>
      <c r="X30" t="s">
        <v>129</v>
      </c>
    </row>
    <row r="31" spans="2:24" x14ac:dyDescent="0.25">
      <c r="B31">
        <v>2027</v>
      </c>
      <c r="C31" t="s">
        <v>71</v>
      </c>
      <c r="D31" t="s">
        <v>72</v>
      </c>
      <c r="E31" t="s">
        <v>73</v>
      </c>
      <c r="F31" t="s">
        <v>74</v>
      </c>
      <c r="G31" t="s">
        <v>48</v>
      </c>
      <c r="H31" t="s">
        <v>116</v>
      </c>
      <c r="I31" t="s">
        <v>130</v>
      </c>
      <c r="J31" t="s">
        <v>77</v>
      </c>
      <c r="K31" s="4">
        <v>0</v>
      </c>
      <c r="L31" s="4">
        <v>0</v>
      </c>
      <c r="M31" s="4">
        <v>0</v>
      </c>
      <c r="N31" s="4">
        <v>0</v>
      </c>
      <c r="O31" s="107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t="s">
        <v>110</v>
      </c>
    </row>
    <row r="32" spans="2:24" x14ac:dyDescent="0.25">
      <c r="B32">
        <v>2027</v>
      </c>
      <c r="C32" t="s">
        <v>71</v>
      </c>
      <c r="D32" t="s">
        <v>72</v>
      </c>
      <c r="E32" t="s">
        <v>73</v>
      </c>
      <c r="F32" t="s">
        <v>74</v>
      </c>
      <c r="G32" t="s">
        <v>48</v>
      </c>
      <c r="H32" t="s">
        <v>116</v>
      </c>
      <c r="I32" t="s">
        <v>131</v>
      </c>
      <c r="J32" t="s">
        <v>77</v>
      </c>
      <c r="K32" s="4">
        <v>0</v>
      </c>
      <c r="L32" s="4">
        <v>0</v>
      </c>
      <c r="M32" s="4">
        <v>0</v>
      </c>
      <c r="N32" s="4">
        <v>0</v>
      </c>
      <c r="O32" s="107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t="s">
        <v>110</v>
      </c>
    </row>
    <row r="33" spans="2:24" x14ac:dyDescent="0.25">
      <c r="B33">
        <v>2027</v>
      </c>
      <c r="C33" t="s">
        <v>71</v>
      </c>
      <c r="D33" t="s">
        <v>72</v>
      </c>
      <c r="E33" t="s">
        <v>73</v>
      </c>
      <c r="F33" t="s">
        <v>74</v>
      </c>
      <c r="G33" t="s">
        <v>48</v>
      </c>
      <c r="H33" t="s">
        <v>116</v>
      </c>
      <c r="I33" t="s">
        <v>132</v>
      </c>
      <c r="J33" t="s">
        <v>77</v>
      </c>
      <c r="K33" s="4">
        <v>0</v>
      </c>
      <c r="L33" s="4">
        <v>0</v>
      </c>
      <c r="M33" s="4">
        <v>0</v>
      </c>
      <c r="N33" s="4">
        <v>0</v>
      </c>
      <c r="O33" s="107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t="s">
        <v>110</v>
      </c>
    </row>
    <row r="34" spans="2:24" x14ac:dyDescent="0.25">
      <c r="B34">
        <v>2027</v>
      </c>
      <c r="C34" t="s">
        <v>71</v>
      </c>
      <c r="D34" t="s">
        <v>72</v>
      </c>
      <c r="E34" t="s">
        <v>73</v>
      </c>
      <c r="F34" t="s">
        <v>74</v>
      </c>
      <c r="G34" t="s">
        <v>48</v>
      </c>
      <c r="H34" t="s">
        <v>116</v>
      </c>
      <c r="I34" t="s">
        <v>133</v>
      </c>
      <c r="J34" t="s">
        <v>77</v>
      </c>
      <c r="K34" s="4">
        <v>-964.39</v>
      </c>
      <c r="L34" s="4">
        <v>-964.39</v>
      </c>
      <c r="M34" s="4">
        <v>-964.39</v>
      </c>
      <c r="N34" s="4">
        <v>-964.39</v>
      </c>
      <c r="O34" s="107">
        <v>-964.39</v>
      </c>
      <c r="P34" s="4">
        <v>-964.39</v>
      </c>
      <c r="Q34" s="4">
        <v>-964.39</v>
      </c>
      <c r="R34" s="4">
        <v>-964.39</v>
      </c>
      <c r="S34" s="4">
        <v>-964.39</v>
      </c>
      <c r="T34" s="4">
        <v>-964.39</v>
      </c>
      <c r="U34" s="4">
        <v>-964.39</v>
      </c>
      <c r="V34" s="4">
        <v>-964.39</v>
      </c>
      <c r="W34" s="4">
        <v>-11572.68</v>
      </c>
      <c r="X34" t="s">
        <v>126</v>
      </c>
    </row>
    <row r="35" spans="2:24" x14ac:dyDescent="0.25">
      <c r="B35">
        <v>2027</v>
      </c>
      <c r="C35" t="s">
        <v>71</v>
      </c>
      <c r="D35" t="s">
        <v>72</v>
      </c>
      <c r="E35" t="s">
        <v>73</v>
      </c>
      <c r="F35" t="s">
        <v>74</v>
      </c>
      <c r="G35" t="s">
        <v>48</v>
      </c>
      <c r="H35" t="s">
        <v>116</v>
      </c>
      <c r="I35" t="s">
        <v>134</v>
      </c>
      <c r="J35" t="s">
        <v>77</v>
      </c>
      <c r="K35" s="4">
        <v>-1559.63</v>
      </c>
      <c r="L35" s="4">
        <v>-1559.63</v>
      </c>
      <c r="M35" s="4">
        <v>-1559.63</v>
      </c>
      <c r="N35" s="4">
        <v>-1559.63</v>
      </c>
      <c r="O35" s="107">
        <v>-1559.63</v>
      </c>
      <c r="P35" s="4">
        <v>-1559.63</v>
      </c>
      <c r="Q35" s="4">
        <v>-1559.63</v>
      </c>
      <c r="R35" s="4">
        <v>-1559.63</v>
      </c>
      <c r="S35" s="4">
        <v>-1559.63</v>
      </c>
      <c r="T35" s="4">
        <v>-1559.63</v>
      </c>
      <c r="U35" s="4">
        <v>-1559.63</v>
      </c>
      <c r="V35" s="4">
        <v>-1559.63</v>
      </c>
      <c r="W35" s="4">
        <v>-18715.560000000001</v>
      </c>
      <c r="X35" t="s">
        <v>126</v>
      </c>
    </row>
    <row r="36" spans="2:24" x14ac:dyDescent="0.25">
      <c r="B36">
        <v>2027</v>
      </c>
      <c r="C36" t="s">
        <v>71</v>
      </c>
      <c r="D36" t="s">
        <v>72</v>
      </c>
      <c r="E36" t="s">
        <v>73</v>
      </c>
      <c r="F36" t="s">
        <v>74</v>
      </c>
      <c r="G36" t="s">
        <v>48</v>
      </c>
      <c r="H36" t="s">
        <v>116</v>
      </c>
      <c r="I36" t="s">
        <v>135</v>
      </c>
      <c r="J36" t="s">
        <v>77</v>
      </c>
      <c r="K36" s="4">
        <v>-2200</v>
      </c>
      <c r="L36" s="4">
        <v>-2600</v>
      </c>
      <c r="M36" s="4">
        <v>-2600</v>
      </c>
      <c r="N36" s="4">
        <v>-2600</v>
      </c>
      <c r="O36" s="107">
        <v>-2600</v>
      </c>
      <c r="P36" s="4">
        <v>-2600</v>
      </c>
      <c r="Q36" s="4">
        <v>-2600</v>
      </c>
      <c r="R36" s="4">
        <v>-2200</v>
      </c>
      <c r="S36" s="4">
        <v>-2200</v>
      </c>
      <c r="T36" s="4">
        <v>-2200</v>
      </c>
      <c r="U36" s="4">
        <v>-2600</v>
      </c>
      <c r="V36" s="4">
        <v>-2600</v>
      </c>
      <c r="W36" s="4">
        <v>-29600</v>
      </c>
      <c r="X36" t="s">
        <v>136</v>
      </c>
    </row>
    <row r="37" spans="2:24" x14ac:dyDescent="0.25">
      <c r="B37">
        <v>2027</v>
      </c>
      <c r="C37" t="s">
        <v>71</v>
      </c>
      <c r="D37" t="s">
        <v>72</v>
      </c>
      <c r="E37" t="s">
        <v>73</v>
      </c>
      <c r="F37" t="s">
        <v>74</v>
      </c>
      <c r="G37" t="s">
        <v>48</v>
      </c>
      <c r="H37" t="s">
        <v>116</v>
      </c>
      <c r="I37" t="s">
        <v>137</v>
      </c>
      <c r="J37" t="s">
        <v>77</v>
      </c>
      <c r="K37" s="4">
        <v>-183.2</v>
      </c>
      <c r="L37" s="4">
        <v>-183.2</v>
      </c>
      <c r="M37" s="4">
        <v>-183.2</v>
      </c>
      <c r="N37" s="4">
        <v>-183.2</v>
      </c>
      <c r="O37" s="107">
        <v>-183.2</v>
      </c>
      <c r="P37" s="4">
        <v>-183.2</v>
      </c>
      <c r="Q37" s="4">
        <v>-183.2</v>
      </c>
      <c r="R37" s="4">
        <v>-183.2</v>
      </c>
      <c r="S37" s="4">
        <v>-183.2</v>
      </c>
      <c r="T37" s="4">
        <v>-183.2</v>
      </c>
      <c r="U37" s="4">
        <v>-183.2</v>
      </c>
      <c r="V37" s="4">
        <v>-183.2</v>
      </c>
      <c r="W37" s="4">
        <v>-2198.4</v>
      </c>
      <c r="X37" t="s">
        <v>126</v>
      </c>
    </row>
    <row r="38" spans="2:24" x14ac:dyDescent="0.25">
      <c r="B38">
        <v>2027</v>
      </c>
      <c r="C38" t="s">
        <v>71</v>
      </c>
      <c r="D38" t="s">
        <v>72</v>
      </c>
      <c r="E38" t="s">
        <v>73</v>
      </c>
      <c r="F38" t="s">
        <v>74</v>
      </c>
      <c r="G38" t="s">
        <v>48</v>
      </c>
      <c r="H38" t="s">
        <v>138</v>
      </c>
      <c r="I38" t="s">
        <v>139</v>
      </c>
      <c r="J38" t="s">
        <v>77</v>
      </c>
      <c r="K38" s="4">
        <v>-5500</v>
      </c>
      <c r="L38" s="4">
        <v>-7500</v>
      </c>
      <c r="M38" s="4">
        <v>-7500</v>
      </c>
      <c r="N38" s="4">
        <v>-7500</v>
      </c>
      <c r="O38" s="107">
        <v>-7500</v>
      </c>
      <c r="P38" s="4">
        <v>-7500</v>
      </c>
      <c r="Q38" s="4">
        <v>-7500</v>
      </c>
      <c r="R38" s="4">
        <v>-5500</v>
      </c>
      <c r="S38" s="4">
        <v>-5500</v>
      </c>
      <c r="T38" s="4">
        <v>-5500</v>
      </c>
      <c r="U38" s="4">
        <v>-7500</v>
      </c>
      <c r="V38" s="4">
        <v>-7500</v>
      </c>
      <c r="W38" s="4">
        <v>-82000</v>
      </c>
      <c r="X38" t="s">
        <v>140</v>
      </c>
    </row>
    <row r="39" spans="2:24" x14ac:dyDescent="0.25">
      <c r="B39">
        <v>2027</v>
      </c>
      <c r="C39" t="s">
        <v>71</v>
      </c>
      <c r="D39" t="s">
        <v>72</v>
      </c>
      <c r="E39" t="s">
        <v>73</v>
      </c>
      <c r="F39" t="s">
        <v>74</v>
      </c>
      <c r="G39" t="s">
        <v>48</v>
      </c>
      <c r="H39" t="s">
        <v>141</v>
      </c>
      <c r="I39" t="s">
        <v>142</v>
      </c>
      <c r="J39" t="s">
        <v>77</v>
      </c>
      <c r="K39" s="4">
        <v>0</v>
      </c>
      <c r="L39" s="4">
        <v>0</v>
      </c>
      <c r="M39" s="4">
        <v>0</v>
      </c>
      <c r="N39" s="4">
        <v>0</v>
      </c>
      <c r="O39" s="107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-15000</v>
      </c>
      <c r="W39" s="4">
        <v>-15000</v>
      </c>
      <c r="X39" t="s">
        <v>143</v>
      </c>
    </row>
    <row r="40" spans="2:24" x14ac:dyDescent="0.25">
      <c r="B40">
        <v>2027</v>
      </c>
      <c r="C40" t="s">
        <v>71</v>
      </c>
      <c r="D40" t="s">
        <v>72</v>
      </c>
      <c r="E40" t="s">
        <v>73</v>
      </c>
      <c r="F40" t="s">
        <v>74</v>
      </c>
      <c r="G40" t="s">
        <v>48</v>
      </c>
      <c r="H40" t="s">
        <v>144</v>
      </c>
      <c r="I40" t="s">
        <v>145</v>
      </c>
      <c r="J40" t="s">
        <v>77</v>
      </c>
      <c r="K40" s="4">
        <v>0</v>
      </c>
      <c r="L40" s="4">
        <v>0</v>
      </c>
      <c r="M40" s="4">
        <v>0</v>
      </c>
      <c r="N40" s="4">
        <v>0</v>
      </c>
      <c r="O40" s="107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10000</v>
      </c>
      <c r="W40" s="4">
        <v>10000</v>
      </c>
      <c r="X40" t="s">
        <v>146</v>
      </c>
    </row>
    <row r="41" spans="2:24" x14ac:dyDescent="0.25">
      <c r="B41">
        <v>2027</v>
      </c>
      <c r="C41" t="s">
        <v>71</v>
      </c>
      <c r="D41" t="s">
        <v>72</v>
      </c>
      <c r="E41" t="s">
        <v>73</v>
      </c>
      <c r="F41" t="s">
        <v>74</v>
      </c>
      <c r="G41" t="s">
        <v>50</v>
      </c>
      <c r="H41" t="s">
        <v>147</v>
      </c>
      <c r="I41" t="s">
        <v>148</v>
      </c>
      <c r="J41" t="s">
        <v>77</v>
      </c>
      <c r="K41" s="4">
        <v>0</v>
      </c>
      <c r="L41" s="4">
        <v>0</v>
      </c>
      <c r="M41" s="4">
        <v>0</v>
      </c>
      <c r="N41" s="4">
        <v>0</v>
      </c>
      <c r="O41" s="107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t="s">
        <v>110</v>
      </c>
    </row>
    <row r="42" spans="2:24" x14ac:dyDescent="0.25">
      <c r="B42">
        <v>2027</v>
      </c>
      <c r="C42" t="s">
        <v>71</v>
      </c>
      <c r="D42" t="s">
        <v>72</v>
      </c>
      <c r="E42" t="s">
        <v>73</v>
      </c>
      <c r="F42" t="s">
        <v>74</v>
      </c>
      <c r="G42" t="s">
        <v>49</v>
      </c>
      <c r="H42" t="s">
        <v>149</v>
      </c>
      <c r="I42" t="s">
        <v>150</v>
      </c>
      <c r="J42" t="s">
        <v>77</v>
      </c>
      <c r="K42" s="4">
        <v>-127379.94</v>
      </c>
      <c r="L42" s="4">
        <v>-127379.94</v>
      </c>
      <c r="M42" s="4">
        <v>-127379.94</v>
      </c>
      <c r="N42" s="4">
        <v>-127379.94</v>
      </c>
      <c r="O42" s="107">
        <v>-127379.94</v>
      </c>
      <c r="P42" s="4">
        <v>-127379.94</v>
      </c>
      <c r="Q42" s="4">
        <v>-127379.94</v>
      </c>
      <c r="R42" s="4">
        <v>-127379.94</v>
      </c>
      <c r="S42" s="4">
        <v>-127379.94</v>
      </c>
      <c r="T42" s="4">
        <v>-127379.94</v>
      </c>
      <c r="U42" s="4">
        <v>-127379.94</v>
      </c>
      <c r="V42" s="4">
        <v>-404896.66</v>
      </c>
      <c r="W42" s="4">
        <v>-1806076</v>
      </c>
      <c r="X42" t="s">
        <v>151</v>
      </c>
    </row>
    <row r="43" spans="2:24" x14ac:dyDescent="0.25">
      <c r="B43">
        <v>2027</v>
      </c>
      <c r="C43" t="s">
        <v>71</v>
      </c>
      <c r="D43" t="s">
        <v>72</v>
      </c>
      <c r="E43" t="s">
        <v>73</v>
      </c>
      <c r="F43" t="s">
        <v>74</v>
      </c>
      <c r="G43" t="s">
        <v>49</v>
      </c>
      <c r="H43" t="s">
        <v>152</v>
      </c>
      <c r="I43" t="s">
        <v>153</v>
      </c>
      <c r="J43" t="s">
        <v>77</v>
      </c>
      <c r="K43" s="4">
        <v>-35002.800000000003</v>
      </c>
      <c r="L43" s="4">
        <v>-35002.800000000003</v>
      </c>
      <c r="M43" s="4">
        <v>-35002.800000000003</v>
      </c>
      <c r="N43" s="4">
        <v>-35002.800000000003</v>
      </c>
      <c r="O43" s="107">
        <v>-35002.800000000003</v>
      </c>
      <c r="P43" s="4">
        <v>-35002.800000000003</v>
      </c>
      <c r="Q43" s="4">
        <v>-35002.800000000003</v>
      </c>
      <c r="R43" s="4">
        <v>-35002.800000000003</v>
      </c>
      <c r="S43" s="4">
        <v>-35002.800000000003</v>
      </c>
      <c r="T43" s="4">
        <v>-35002.800000000003</v>
      </c>
      <c r="U43" s="4">
        <v>-35002.800000000003</v>
      </c>
      <c r="V43" s="4">
        <v>-35002.800000000003</v>
      </c>
      <c r="W43" s="4">
        <v>-420033.59999999992</v>
      </c>
      <c r="X43" t="s">
        <v>154</v>
      </c>
    </row>
    <row r="44" spans="2:24" x14ac:dyDescent="0.25">
      <c r="B44">
        <v>2027</v>
      </c>
      <c r="C44" t="s">
        <v>71</v>
      </c>
      <c r="D44" t="s">
        <v>72</v>
      </c>
      <c r="E44" t="s">
        <v>73</v>
      </c>
      <c r="F44" t="s">
        <v>74</v>
      </c>
      <c r="G44" t="s">
        <v>49</v>
      </c>
      <c r="H44" t="s">
        <v>155</v>
      </c>
      <c r="I44" t="s">
        <v>156</v>
      </c>
      <c r="J44" t="s">
        <v>77</v>
      </c>
      <c r="K44" s="4">
        <v>0</v>
      </c>
      <c r="L44" s="4">
        <v>0</v>
      </c>
      <c r="M44" s="4">
        <v>0</v>
      </c>
      <c r="N44" s="4">
        <v>0</v>
      </c>
      <c r="O44" s="107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t="s">
        <v>110</v>
      </c>
    </row>
    <row r="45" spans="2:24" x14ac:dyDescent="0.25">
      <c r="B45">
        <v>2027</v>
      </c>
      <c r="C45" t="s">
        <v>71</v>
      </c>
      <c r="D45" t="s">
        <v>72</v>
      </c>
      <c r="E45" t="s">
        <v>73</v>
      </c>
      <c r="F45" t="s">
        <v>74</v>
      </c>
      <c r="G45" t="s">
        <v>49</v>
      </c>
      <c r="H45" t="s">
        <v>155</v>
      </c>
      <c r="I45" t="s">
        <v>157</v>
      </c>
      <c r="J45" t="s">
        <v>77</v>
      </c>
      <c r="K45" s="4">
        <v>0</v>
      </c>
      <c r="L45" s="4">
        <v>0</v>
      </c>
      <c r="M45" s="4">
        <v>0</v>
      </c>
      <c r="N45" s="4">
        <v>0</v>
      </c>
      <c r="O45" s="107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t="s">
        <v>110</v>
      </c>
    </row>
    <row r="46" spans="2:24" x14ac:dyDescent="0.25">
      <c r="B46">
        <v>2027</v>
      </c>
      <c r="C46" t="s">
        <v>71</v>
      </c>
      <c r="D46" t="s">
        <v>72</v>
      </c>
      <c r="E46" t="s">
        <v>73</v>
      </c>
      <c r="F46" t="s">
        <v>74</v>
      </c>
      <c r="G46" t="s">
        <v>49</v>
      </c>
      <c r="H46" t="s">
        <v>155</v>
      </c>
      <c r="I46" t="s">
        <v>158</v>
      </c>
      <c r="J46" t="s">
        <v>77</v>
      </c>
      <c r="K46" s="4">
        <v>0</v>
      </c>
      <c r="L46" s="4">
        <v>0</v>
      </c>
      <c r="M46" s="4">
        <v>0</v>
      </c>
      <c r="N46" s="4">
        <v>0</v>
      </c>
      <c r="O46" s="107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t="s">
        <v>110</v>
      </c>
    </row>
    <row r="47" spans="2:24" x14ac:dyDescent="0.25">
      <c r="B47">
        <v>2027</v>
      </c>
      <c r="C47" t="s">
        <v>71</v>
      </c>
      <c r="D47" t="s">
        <v>72</v>
      </c>
      <c r="E47" t="s">
        <v>73</v>
      </c>
      <c r="F47" t="s">
        <v>74</v>
      </c>
      <c r="G47" t="s">
        <v>49</v>
      </c>
      <c r="H47" t="s">
        <v>155</v>
      </c>
      <c r="I47" t="s">
        <v>159</v>
      </c>
      <c r="J47" t="s">
        <v>77</v>
      </c>
      <c r="K47" s="4">
        <v>0</v>
      </c>
      <c r="L47" s="4">
        <v>0</v>
      </c>
      <c r="M47" s="4">
        <v>0</v>
      </c>
      <c r="N47" s="4">
        <v>0</v>
      </c>
      <c r="O47" s="107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t="s">
        <v>110</v>
      </c>
    </row>
    <row r="48" spans="2:24" x14ac:dyDescent="0.25">
      <c r="B48">
        <v>2027</v>
      </c>
      <c r="C48" t="s">
        <v>71</v>
      </c>
      <c r="D48" t="s">
        <v>72</v>
      </c>
      <c r="E48" t="s">
        <v>73</v>
      </c>
      <c r="F48" t="s">
        <v>74</v>
      </c>
      <c r="G48" t="s">
        <v>49</v>
      </c>
      <c r="H48" t="s">
        <v>155</v>
      </c>
      <c r="I48" t="s">
        <v>160</v>
      </c>
      <c r="J48" t="s">
        <v>77</v>
      </c>
      <c r="K48" s="4">
        <v>0</v>
      </c>
      <c r="L48" s="4">
        <v>0</v>
      </c>
      <c r="M48" s="4">
        <v>0</v>
      </c>
      <c r="N48" s="4">
        <v>0</v>
      </c>
      <c r="O48" s="107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t="s">
        <v>110</v>
      </c>
    </row>
    <row r="49" spans="2:24" x14ac:dyDescent="0.25">
      <c r="B49">
        <v>2027</v>
      </c>
      <c r="C49" t="s">
        <v>71</v>
      </c>
      <c r="D49" t="s">
        <v>72</v>
      </c>
      <c r="E49" t="s">
        <v>73</v>
      </c>
      <c r="F49" t="s">
        <v>74</v>
      </c>
      <c r="G49" t="s">
        <v>49</v>
      </c>
      <c r="H49" t="s">
        <v>155</v>
      </c>
      <c r="I49" t="s">
        <v>161</v>
      </c>
      <c r="J49" t="s">
        <v>77</v>
      </c>
      <c r="K49" s="4">
        <v>0</v>
      </c>
      <c r="L49" s="4">
        <v>0</v>
      </c>
      <c r="M49" s="4">
        <v>0</v>
      </c>
      <c r="N49" s="4">
        <v>0</v>
      </c>
      <c r="O49" s="107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t="s">
        <v>110</v>
      </c>
    </row>
    <row r="50" spans="2:24" x14ac:dyDescent="0.25">
      <c r="B50">
        <v>2027</v>
      </c>
      <c r="C50" t="s">
        <v>71</v>
      </c>
      <c r="D50" t="s">
        <v>72</v>
      </c>
      <c r="E50" t="s">
        <v>73</v>
      </c>
      <c r="F50" t="s">
        <v>74</v>
      </c>
      <c r="G50" t="s">
        <v>49</v>
      </c>
      <c r="H50" t="s">
        <v>155</v>
      </c>
      <c r="I50" t="s">
        <v>162</v>
      </c>
      <c r="J50" t="s">
        <v>77</v>
      </c>
      <c r="K50" s="4">
        <v>0</v>
      </c>
      <c r="L50" s="4">
        <v>0</v>
      </c>
      <c r="M50" s="4">
        <v>0</v>
      </c>
      <c r="N50" s="4">
        <v>0</v>
      </c>
      <c r="O50" s="107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t="s">
        <v>110</v>
      </c>
    </row>
    <row r="51" spans="2:24" x14ac:dyDescent="0.25">
      <c r="B51">
        <v>2027</v>
      </c>
      <c r="C51" t="s">
        <v>71</v>
      </c>
      <c r="D51" t="s">
        <v>72</v>
      </c>
      <c r="E51" t="s">
        <v>73</v>
      </c>
      <c r="F51" t="s">
        <v>74</v>
      </c>
      <c r="G51" t="s">
        <v>49</v>
      </c>
      <c r="H51" t="s">
        <v>155</v>
      </c>
      <c r="I51" t="s">
        <v>163</v>
      </c>
      <c r="J51" t="s">
        <v>77</v>
      </c>
      <c r="K51" s="4">
        <v>0</v>
      </c>
      <c r="L51" s="4">
        <v>0</v>
      </c>
      <c r="M51" s="4">
        <v>0</v>
      </c>
      <c r="N51" s="4">
        <v>0</v>
      </c>
      <c r="O51" s="107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t="s">
        <v>110</v>
      </c>
    </row>
    <row r="52" spans="2:24" x14ac:dyDescent="0.25">
      <c r="B52">
        <v>2027</v>
      </c>
      <c r="C52" t="s">
        <v>71</v>
      </c>
      <c r="D52" t="s">
        <v>72</v>
      </c>
      <c r="E52" t="s">
        <v>73</v>
      </c>
      <c r="F52" t="s">
        <v>74</v>
      </c>
      <c r="G52" t="s">
        <v>49</v>
      </c>
      <c r="H52" t="s">
        <v>155</v>
      </c>
      <c r="I52" t="s">
        <v>164</v>
      </c>
      <c r="J52" t="s">
        <v>77</v>
      </c>
      <c r="K52" s="4">
        <v>0</v>
      </c>
      <c r="L52" s="4">
        <v>0</v>
      </c>
      <c r="M52" s="4">
        <v>0</v>
      </c>
      <c r="N52" s="4">
        <v>0</v>
      </c>
      <c r="O52" s="107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-1000</v>
      </c>
      <c r="V52" s="4">
        <v>-1500</v>
      </c>
      <c r="W52" s="4">
        <v>-2500</v>
      </c>
      <c r="X52" t="s">
        <v>165</v>
      </c>
    </row>
    <row r="53" spans="2:24" x14ac:dyDescent="0.25">
      <c r="B53">
        <v>2027</v>
      </c>
      <c r="C53" t="s">
        <v>71</v>
      </c>
      <c r="D53" t="s">
        <v>72</v>
      </c>
      <c r="E53" t="s">
        <v>73</v>
      </c>
      <c r="F53" t="s">
        <v>74</v>
      </c>
      <c r="G53" t="s">
        <v>49</v>
      </c>
      <c r="H53" t="s">
        <v>155</v>
      </c>
      <c r="I53" t="s">
        <v>166</v>
      </c>
      <c r="J53" t="s">
        <v>77</v>
      </c>
      <c r="K53" s="4">
        <v>0</v>
      </c>
      <c r="L53" s="4">
        <v>0</v>
      </c>
      <c r="M53" s="4">
        <v>0</v>
      </c>
      <c r="N53" s="4">
        <v>0</v>
      </c>
      <c r="O53" s="107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t="s">
        <v>110</v>
      </c>
    </row>
    <row r="54" spans="2:24" x14ac:dyDescent="0.25">
      <c r="B54">
        <v>2027</v>
      </c>
      <c r="C54" t="s">
        <v>71</v>
      </c>
      <c r="D54" t="s">
        <v>72</v>
      </c>
      <c r="E54" t="s">
        <v>73</v>
      </c>
      <c r="F54" t="s">
        <v>74</v>
      </c>
      <c r="G54" t="s">
        <v>49</v>
      </c>
      <c r="H54" t="s">
        <v>155</v>
      </c>
      <c r="I54" t="s">
        <v>167</v>
      </c>
      <c r="J54" t="s">
        <v>77</v>
      </c>
      <c r="K54" s="4">
        <v>0</v>
      </c>
      <c r="L54" s="4">
        <v>0</v>
      </c>
      <c r="M54" s="4">
        <v>0</v>
      </c>
      <c r="N54" s="4">
        <v>0</v>
      </c>
      <c r="O54" s="107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t="s">
        <v>110</v>
      </c>
    </row>
    <row r="55" spans="2:24" x14ac:dyDescent="0.25">
      <c r="B55">
        <v>2027</v>
      </c>
      <c r="C55" t="s">
        <v>71</v>
      </c>
      <c r="D55" t="s">
        <v>72</v>
      </c>
      <c r="E55" t="s">
        <v>73</v>
      </c>
      <c r="F55" t="s">
        <v>74</v>
      </c>
      <c r="G55" t="s">
        <v>49</v>
      </c>
      <c r="H55" t="s">
        <v>155</v>
      </c>
      <c r="I55" t="s">
        <v>168</v>
      </c>
      <c r="J55" t="s">
        <v>77</v>
      </c>
      <c r="K55" s="4">
        <v>0</v>
      </c>
      <c r="L55" s="4">
        <v>0</v>
      </c>
      <c r="M55" s="4">
        <v>0</v>
      </c>
      <c r="N55" s="4">
        <v>0</v>
      </c>
      <c r="O55" s="107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t="s">
        <v>110</v>
      </c>
    </row>
    <row r="56" spans="2:24" x14ac:dyDescent="0.25">
      <c r="B56">
        <v>2027</v>
      </c>
      <c r="C56" t="s">
        <v>71</v>
      </c>
      <c r="D56" t="s">
        <v>72</v>
      </c>
      <c r="E56" t="s">
        <v>73</v>
      </c>
      <c r="F56" t="s">
        <v>74</v>
      </c>
      <c r="G56" t="s">
        <v>49</v>
      </c>
      <c r="H56" t="s">
        <v>155</v>
      </c>
      <c r="I56" t="s">
        <v>169</v>
      </c>
      <c r="J56" t="s">
        <v>77</v>
      </c>
      <c r="K56" s="4">
        <v>0</v>
      </c>
      <c r="L56" s="4">
        <v>0</v>
      </c>
      <c r="M56" s="4">
        <v>0</v>
      </c>
      <c r="N56" s="4">
        <v>0</v>
      </c>
      <c r="O56" s="107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t="s">
        <v>110</v>
      </c>
    </row>
    <row r="57" spans="2:24" x14ac:dyDescent="0.25">
      <c r="B57">
        <v>2027</v>
      </c>
      <c r="C57" t="s">
        <v>71</v>
      </c>
      <c r="D57" t="s">
        <v>72</v>
      </c>
      <c r="E57" t="s">
        <v>73</v>
      </c>
      <c r="F57" t="s">
        <v>74</v>
      </c>
      <c r="G57" t="s">
        <v>49</v>
      </c>
      <c r="H57" t="s">
        <v>155</v>
      </c>
      <c r="I57" t="s">
        <v>170</v>
      </c>
      <c r="J57" t="s">
        <v>77</v>
      </c>
      <c r="K57" s="4">
        <v>0</v>
      </c>
      <c r="L57" s="4">
        <v>0</v>
      </c>
      <c r="M57" s="4">
        <v>0</v>
      </c>
      <c r="N57" s="4">
        <v>0</v>
      </c>
      <c r="O57" s="107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t="s">
        <v>110</v>
      </c>
    </row>
    <row r="58" spans="2:24" x14ac:dyDescent="0.25">
      <c r="B58">
        <v>2027</v>
      </c>
      <c r="C58" t="s">
        <v>71</v>
      </c>
      <c r="D58" t="s">
        <v>72</v>
      </c>
      <c r="E58" t="s">
        <v>73</v>
      </c>
      <c r="F58" t="s">
        <v>74</v>
      </c>
      <c r="G58" t="s">
        <v>51</v>
      </c>
      <c r="H58" t="s">
        <v>171</v>
      </c>
      <c r="I58" t="s">
        <v>172</v>
      </c>
      <c r="J58" t="s">
        <v>77</v>
      </c>
      <c r="K58" s="4">
        <v>-322.5</v>
      </c>
      <c r="L58" s="4">
        <v>-322.5</v>
      </c>
      <c r="M58" s="4">
        <v>-322.5</v>
      </c>
      <c r="N58" s="4">
        <v>-322.5</v>
      </c>
      <c r="O58" s="107">
        <v>-322.5</v>
      </c>
      <c r="P58" s="4">
        <v>-322.5</v>
      </c>
      <c r="Q58" s="4">
        <v>-322.5</v>
      </c>
      <c r="R58" s="4">
        <v>-322.5</v>
      </c>
      <c r="S58" s="4">
        <v>-322.5</v>
      </c>
      <c r="T58" s="4">
        <v>-322.5</v>
      </c>
      <c r="U58" s="4">
        <v>-322.5</v>
      </c>
      <c r="V58" s="4">
        <v>-322.5</v>
      </c>
      <c r="W58" s="4">
        <v>-3870</v>
      </c>
      <c r="X58" t="s">
        <v>173</v>
      </c>
    </row>
    <row r="59" spans="2:24" x14ac:dyDescent="0.25">
      <c r="B59">
        <v>2027</v>
      </c>
      <c r="C59" t="s">
        <v>71</v>
      </c>
      <c r="D59" t="s">
        <v>72</v>
      </c>
      <c r="E59" t="s">
        <v>73</v>
      </c>
      <c r="F59" t="s">
        <v>74</v>
      </c>
      <c r="G59" t="s">
        <v>51</v>
      </c>
      <c r="H59" t="s">
        <v>171</v>
      </c>
      <c r="I59" t="s">
        <v>174</v>
      </c>
      <c r="J59" t="s">
        <v>77</v>
      </c>
      <c r="K59" s="4">
        <v>-812.59</v>
      </c>
      <c r="L59" s="4">
        <v>-812.59</v>
      </c>
      <c r="M59" s="4">
        <v>-812.59</v>
      </c>
      <c r="N59" s="4">
        <v>-812.59</v>
      </c>
      <c r="O59" s="107">
        <v>-812.59</v>
      </c>
      <c r="P59" s="4">
        <v>-812.59</v>
      </c>
      <c r="Q59" s="4">
        <v>-812.59</v>
      </c>
      <c r="R59" s="4">
        <v>-812.59</v>
      </c>
      <c r="S59" s="4">
        <v>-812.59</v>
      </c>
      <c r="T59" s="4">
        <v>-812.59</v>
      </c>
      <c r="U59" s="4">
        <v>-812.59</v>
      </c>
      <c r="V59" s="4">
        <v>-812.59</v>
      </c>
      <c r="W59" s="4">
        <v>-9751.08</v>
      </c>
      <c r="X59" t="s">
        <v>173</v>
      </c>
    </row>
    <row r="60" spans="2:24" x14ac:dyDescent="0.25">
      <c r="B60">
        <v>2027</v>
      </c>
      <c r="C60" t="s">
        <v>71</v>
      </c>
      <c r="D60" t="s">
        <v>72</v>
      </c>
      <c r="E60" t="s">
        <v>73</v>
      </c>
      <c r="F60" t="s">
        <v>74</v>
      </c>
      <c r="G60" t="s">
        <v>51</v>
      </c>
      <c r="H60" t="s">
        <v>171</v>
      </c>
      <c r="I60" t="s">
        <v>175</v>
      </c>
      <c r="J60" t="s">
        <v>77</v>
      </c>
      <c r="K60" s="4">
        <v>-1229.19</v>
      </c>
      <c r="L60" s="4">
        <v>-1229.19</v>
      </c>
      <c r="M60" s="4">
        <v>-1229.19</v>
      </c>
      <c r="N60" s="4">
        <v>-1229.19</v>
      </c>
      <c r="O60" s="107">
        <v>-1229.19</v>
      </c>
      <c r="P60" s="4">
        <v>-1229.19</v>
      </c>
      <c r="Q60" s="4">
        <v>-1229.19</v>
      </c>
      <c r="R60" s="4">
        <v>-1229.19</v>
      </c>
      <c r="S60" s="4">
        <v>-1229.19</v>
      </c>
      <c r="T60" s="4">
        <v>-1229.19</v>
      </c>
      <c r="U60" s="4">
        <v>-1229.19</v>
      </c>
      <c r="V60" s="4">
        <v>-1229.19</v>
      </c>
      <c r="W60" s="4">
        <v>-14750.28</v>
      </c>
      <c r="X60" t="s">
        <v>173</v>
      </c>
    </row>
    <row r="61" spans="2:24" x14ac:dyDescent="0.25">
      <c r="B61">
        <v>2027</v>
      </c>
      <c r="C61" t="s">
        <v>71</v>
      </c>
      <c r="D61" t="s">
        <v>72</v>
      </c>
      <c r="E61" t="s">
        <v>73</v>
      </c>
      <c r="F61" t="s">
        <v>74</v>
      </c>
      <c r="G61" t="s">
        <v>51</v>
      </c>
      <c r="H61" t="s">
        <v>176</v>
      </c>
      <c r="I61" t="s">
        <v>177</v>
      </c>
      <c r="J61" t="s">
        <v>77</v>
      </c>
      <c r="K61" s="4">
        <v>-192</v>
      </c>
      <c r="L61" s="4">
        <v>-192</v>
      </c>
      <c r="M61" s="4">
        <v>-192</v>
      </c>
      <c r="N61" s="4">
        <v>-192</v>
      </c>
      <c r="O61" s="107">
        <v>-192</v>
      </c>
      <c r="P61" s="4">
        <v>-192</v>
      </c>
      <c r="Q61" s="4">
        <v>-192</v>
      </c>
      <c r="R61" s="4">
        <v>-192</v>
      </c>
      <c r="S61" s="4">
        <v>-192</v>
      </c>
      <c r="T61" s="4">
        <v>-192</v>
      </c>
      <c r="U61" s="4">
        <v>-192</v>
      </c>
      <c r="V61" s="4">
        <v>-192</v>
      </c>
      <c r="W61" s="4">
        <v>-2304</v>
      </c>
      <c r="X61" t="s">
        <v>178</v>
      </c>
    </row>
    <row r="62" spans="2:24" x14ac:dyDescent="0.25">
      <c r="B62">
        <v>2027</v>
      </c>
      <c r="C62" t="s">
        <v>71</v>
      </c>
      <c r="D62" t="s">
        <v>72</v>
      </c>
      <c r="E62" t="s">
        <v>73</v>
      </c>
      <c r="F62" t="s">
        <v>74</v>
      </c>
      <c r="G62" t="s">
        <v>51</v>
      </c>
      <c r="H62" t="s">
        <v>176</v>
      </c>
      <c r="I62" t="s">
        <v>179</v>
      </c>
      <c r="J62" t="s">
        <v>77</v>
      </c>
      <c r="K62" s="4">
        <v>-1877.6</v>
      </c>
      <c r="L62" s="4">
        <v>-1877.6</v>
      </c>
      <c r="M62" s="4">
        <v>-1877.6</v>
      </c>
      <c r="N62" s="4">
        <v>-1877.6</v>
      </c>
      <c r="O62" s="107">
        <v>-1877.6</v>
      </c>
      <c r="P62" s="4">
        <v>-1877.6</v>
      </c>
      <c r="Q62" s="4">
        <v>-1877.6</v>
      </c>
      <c r="R62" s="4">
        <v>-1877.6</v>
      </c>
      <c r="S62" s="4">
        <v>-1877.6</v>
      </c>
      <c r="T62" s="4">
        <v>-1877.6</v>
      </c>
      <c r="U62" s="4">
        <v>-1877.6</v>
      </c>
      <c r="V62" s="4">
        <v>-1877.6</v>
      </c>
      <c r="W62" s="4">
        <v>-22531.200000000001</v>
      </c>
      <c r="X62" t="s">
        <v>180</v>
      </c>
    </row>
    <row r="63" spans="2:24" x14ac:dyDescent="0.25">
      <c r="B63">
        <v>2027</v>
      </c>
      <c r="C63" t="s">
        <v>71</v>
      </c>
      <c r="D63" t="s">
        <v>72</v>
      </c>
      <c r="E63" t="s">
        <v>73</v>
      </c>
      <c r="F63" t="s">
        <v>74</v>
      </c>
      <c r="G63" t="s">
        <v>51</v>
      </c>
      <c r="H63" t="s">
        <v>176</v>
      </c>
      <c r="I63" t="s">
        <v>181</v>
      </c>
      <c r="J63" t="s">
        <v>77</v>
      </c>
      <c r="K63" s="4">
        <v>0</v>
      </c>
      <c r="L63" s="4">
        <v>0</v>
      </c>
      <c r="M63" s="4">
        <v>0</v>
      </c>
      <c r="N63" s="4">
        <v>0</v>
      </c>
      <c r="O63" s="107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t="s">
        <v>182</v>
      </c>
    </row>
    <row r="64" spans="2:24" x14ac:dyDescent="0.25">
      <c r="B64">
        <v>2027</v>
      </c>
      <c r="C64" t="s">
        <v>71</v>
      </c>
      <c r="D64" t="s">
        <v>72</v>
      </c>
      <c r="E64" t="s">
        <v>73</v>
      </c>
      <c r="F64" t="s">
        <v>74</v>
      </c>
      <c r="G64" t="s">
        <v>51</v>
      </c>
      <c r="H64" t="s">
        <v>176</v>
      </c>
      <c r="I64" t="s">
        <v>183</v>
      </c>
      <c r="J64" t="s">
        <v>77</v>
      </c>
      <c r="K64" s="4">
        <v>-361.46</v>
      </c>
      <c r="L64" s="4">
        <v>-361.46</v>
      </c>
      <c r="M64" s="4">
        <v>-361.46</v>
      </c>
      <c r="N64" s="4">
        <v>-361.46</v>
      </c>
      <c r="O64" s="107">
        <v>-361.46</v>
      </c>
      <c r="P64" s="4">
        <v>-361.46</v>
      </c>
      <c r="Q64" s="4">
        <v>-361.46</v>
      </c>
      <c r="R64" s="4">
        <v>-361.46</v>
      </c>
      <c r="S64" s="4">
        <v>-361.46</v>
      </c>
      <c r="T64" s="4">
        <v>-361.46</v>
      </c>
      <c r="U64" s="4">
        <v>-361.46</v>
      </c>
      <c r="V64" s="4">
        <v>-361.46</v>
      </c>
      <c r="W64" s="4">
        <v>-4337.5200000000004</v>
      </c>
      <c r="X64" t="s">
        <v>178</v>
      </c>
    </row>
    <row r="65" spans="2:24" x14ac:dyDescent="0.25">
      <c r="B65">
        <v>2027</v>
      </c>
      <c r="C65" t="s">
        <v>71</v>
      </c>
      <c r="D65" t="s">
        <v>72</v>
      </c>
      <c r="E65" t="s">
        <v>73</v>
      </c>
      <c r="F65" t="s">
        <v>74</v>
      </c>
      <c r="G65" t="s">
        <v>51</v>
      </c>
      <c r="H65" t="s">
        <v>176</v>
      </c>
      <c r="I65" t="s">
        <v>184</v>
      </c>
      <c r="J65" t="s">
        <v>77</v>
      </c>
      <c r="K65" s="4">
        <v>0</v>
      </c>
      <c r="L65" s="4">
        <v>0</v>
      </c>
      <c r="M65" s="4">
        <v>0</v>
      </c>
      <c r="N65" s="4">
        <v>0</v>
      </c>
      <c r="O65" s="107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t="s">
        <v>182</v>
      </c>
    </row>
    <row r="66" spans="2:24" x14ac:dyDescent="0.25">
      <c r="B66">
        <v>2027</v>
      </c>
      <c r="C66" t="s">
        <v>71</v>
      </c>
      <c r="D66" t="s">
        <v>72</v>
      </c>
      <c r="E66" t="s">
        <v>73</v>
      </c>
      <c r="F66" t="s">
        <v>74</v>
      </c>
      <c r="G66" t="s">
        <v>51</v>
      </c>
      <c r="H66" t="s">
        <v>176</v>
      </c>
      <c r="I66" t="s">
        <v>185</v>
      </c>
      <c r="J66" t="s">
        <v>77</v>
      </c>
      <c r="K66" s="4">
        <v>-369.97</v>
      </c>
      <c r="L66" s="4">
        <v>-369.97</v>
      </c>
      <c r="M66" s="4">
        <v>-369.97</v>
      </c>
      <c r="N66" s="4">
        <v>-369.97</v>
      </c>
      <c r="O66" s="107">
        <v>-369.97</v>
      </c>
      <c r="P66" s="4">
        <v>-369.97</v>
      </c>
      <c r="Q66" s="4">
        <v>-369.97</v>
      </c>
      <c r="R66" s="4">
        <v>-369.97</v>
      </c>
      <c r="S66" s="4">
        <v>-369.97</v>
      </c>
      <c r="T66" s="4">
        <v>-369.97</v>
      </c>
      <c r="U66" s="4">
        <v>-369.97</v>
      </c>
      <c r="V66" s="4">
        <v>-369.97</v>
      </c>
      <c r="W66" s="4">
        <v>-4439.6400000000012</v>
      </c>
      <c r="X66" t="s">
        <v>178</v>
      </c>
    </row>
    <row r="67" spans="2:24" x14ac:dyDescent="0.25">
      <c r="B67">
        <v>2027</v>
      </c>
      <c r="C67" t="s">
        <v>71</v>
      </c>
      <c r="D67" t="s">
        <v>72</v>
      </c>
      <c r="E67" t="s">
        <v>73</v>
      </c>
      <c r="F67" t="s">
        <v>74</v>
      </c>
      <c r="G67" t="s">
        <v>51</v>
      </c>
      <c r="H67" t="s">
        <v>176</v>
      </c>
      <c r="I67" t="s">
        <v>186</v>
      </c>
      <c r="J67" t="s">
        <v>77</v>
      </c>
      <c r="K67" s="4">
        <v>0</v>
      </c>
      <c r="L67" s="4">
        <v>0</v>
      </c>
      <c r="M67" s="4">
        <v>0</v>
      </c>
      <c r="N67" s="4">
        <v>0</v>
      </c>
      <c r="O67" s="107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t="s">
        <v>182</v>
      </c>
    </row>
    <row r="68" spans="2:24" x14ac:dyDescent="0.25">
      <c r="B68">
        <v>2027</v>
      </c>
      <c r="C68" t="s">
        <v>71</v>
      </c>
      <c r="D68" t="s">
        <v>72</v>
      </c>
      <c r="E68" t="s">
        <v>73</v>
      </c>
      <c r="F68" t="s">
        <v>74</v>
      </c>
      <c r="G68" t="s">
        <v>51</v>
      </c>
      <c r="H68" t="s">
        <v>176</v>
      </c>
      <c r="I68" t="s">
        <v>187</v>
      </c>
      <c r="J68" t="s">
        <v>77</v>
      </c>
      <c r="K68" s="4">
        <v>-338</v>
      </c>
      <c r="L68" s="4">
        <v>-338</v>
      </c>
      <c r="M68" s="4">
        <v>-338</v>
      </c>
      <c r="N68" s="4">
        <v>-338</v>
      </c>
      <c r="O68" s="107">
        <v>-338</v>
      </c>
      <c r="P68" s="4">
        <v>-338</v>
      </c>
      <c r="Q68" s="4">
        <v>-338</v>
      </c>
      <c r="R68" s="4">
        <v>-338</v>
      </c>
      <c r="S68" s="4">
        <v>-338</v>
      </c>
      <c r="T68" s="4">
        <v>-338</v>
      </c>
      <c r="U68" s="4">
        <v>-338</v>
      </c>
      <c r="V68" s="4">
        <v>-338</v>
      </c>
      <c r="W68" s="4">
        <v>-4056</v>
      </c>
      <c r="X68" t="s">
        <v>178</v>
      </c>
    </row>
    <row r="69" spans="2:24" x14ac:dyDescent="0.25">
      <c r="B69">
        <v>2027</v>
      </c>
      <c r="C69" t="s">
        <v>71</v>
      </c>
      <c r="D69" t="s">
        <v>72</v>
      </c>
      <c r="E69" t="s">
        <v>73</v>
      </c>
      <c r="F69" t="s">
        <v>74</v>
      </c>
      <c r="G69" t="s">
        <v>51</v>
      </c>
      <c r="H69" t="s">
        <v>176</v>
      </c>
      <c r="I69" t="s">
        <v>188</v>
      </c>
      <c r="J69" t="s">
        <v>77</v>
      </c>
      <c r="K69" s="4">
        <v>-470.16</v>
      </c>
      <c r="L69" s="4">
        <v>-470.16</v>
      </c>
      <c r="M69" s="4">
        <v>-470.16</v>
      </c>
      <c r="N69" s="4">
        <v>-470.16</v>
      </c>
      <c r="O69" s="107">
        <v>-470.16</v>
      </c>
      <c r="P69" s="4">
        <v>-470.16</v>
      </c>
      <c r="Q69" s="4">
        <v>-470.16</v>
      </c>
      <c r="R69" s="4">
        <v>-470.16</v>
      </c>
      <c r="S69" s="4">
        <v>-470.16</v>
      </c>
      <c r="T69" s="4">
        <v>-470.16</v>
      </c>
      <c r="U69" s="4">
        <v>-470.16</v>
      </c>
      <c r="V69" s="4">
        <v>-470.16</v>
      </c>
      <c r="W69" s="4">
        <v>-5641.9199999999992</v>
      </c>
      <c r="X69" t="s">
        <v>178</v>
      </c>
    </row>
    <row r="70" spans="2:24" x14ac:dyDescent="0.25">
      <c r="B70">
        <v>2027</v>
      </c>
      <c r="C70" t="s">
        <v>71</v>
      </c>
      <c r="D70" t="s">
        <v>72</v>
      </c>
      <c r="E70" t="s">
        <v>73</v>
      </c>
      <c r="F70" t="s">
        <v>74</v>
      </c>
      <c r="G70" t="s">
        <v>51</v>
      </c>
      <c r="H70" t="s">
        <v>176</v>
      </c>
      <c r="I70" t="s">
        <v>189</v>
      </c>
      <c r="J70" t="s">
        <v>77</v>
      </c>
      <c r="K70" s="4">
        <v>-345.06</v>
      </c>
      <c r="L70" s="4">
        <v>-345.06</v>
      </c>
      <c r="M70" s="4">
        <v>-345.06</v>
      </c>
      <c r="N70" s="4">
        <v>-345.06</v>
      </c>
      <c r="O70" s="107">
        <v>-345.06</v>
      </c>
      <c r="P70" s="4">
        <v>-345.06</v>
      </c>
      <c r="Q70" s="4">
        <v>-345.06</v>
      </c>
      <c r="R70" s="4">
        <v>-345.06</v>
      </c>
      <c r="S70" s="4">
        <v>-345.06</v>
      </c>
      <c r="T70" s="4">
        <v>-345.06</v>
      </c>
      <c r="U70" s="4">
        <v>-345.06</v>
      </c>
      <c r="V70" s="4">
        <v>-345.06</v>
      </c>
      <c r="W70" s="4">
        <v>-4140.72</v>
      </c>
      <c r="X70" t="s">
        <v>178</v>
      </c>
    </row>
    <row r="71" spans="2:24" x14ac:dyDescent="0.25">
      <c r="B71">
        <v>2027</v>
      </c>
      <c r="C71" t="s">
        <v>71</v>
      </c>
      <c r="D71" t="s">
        <v>72</v>
      </c>
      <c r="E71" t="s">
        <v>73</v>
      </c>
      <c r="F71" t="s">
        <v>74</v>
      </c>
      <c r="G71" t="s">
        <v>51</v>
      </c>
      <c r="H71" t="s">
        <v>176</v>
      </c>
      <c r="I71" t="s">
        <v>190</v>
      </c>
      <c r="J71" t="s">
        <v>77</v>
      </c>
      <c r="K71" s="4">
        <v>-813.69</v>
      </c>
      <c r="L71" s="4">
        <v>-813.69</v>
      </c>
      <c r="M71" s="4">
        <v>-813.69</v>
      </c>
      <c r="N71" s="4">
        <v>-813.69</v>
      </c>
      <c r="O71" s="107">
        <v>-813.69</v>
      </c>
      <c r="P71" s="4">
        <v>-813.69</v>
      </c>
      <c r="Q71" s="4">
        <v>-813.69</v>
      </c>
      <c r="R71" s="4">
        <v>-813.69</v>
      </c>
      <c r="S71" s="4">
        <v>-813.69</v>
      </c>
      <c r="T71" s="4">
        <v>-813.69</v>
      </c>
      <c r="U71" s="4">
        <v>-813.69</v>
      </c>
      <c r="V71" s="4">
        <v>-813.69</v>
      </c>
      <c r="W71" s="4">
        <v>-9764.2800000000025</v>
      </c>
      <c r="X71" t="s">
        <v>178</v>
      </c>
    </row>
    <row r="72" spans="2:24" x14ac:dyDescent="0.25">
      <c r="B72">
        <v>2027</v>
      </c>
      <c r="C72" t="s">
        <v>71</v>
      </c>
      <c r="D72" t="s">
        <v>72</v>
      </c>
      <c r="E72" t="s">
        <v>73</v>
      </c>
      <c r="F72" t="s">
        <v>74</v>
      </c>
      <c r="G72" t="s">
        <v>51</v>
      </c>
      <c r="H72" t="s">
        <v>176</v>
      </c>
      <c r="I72" t="s">
        <v>191</v>
      </c>
      <c r="J72" t="s">
        <v>77</v>
      </c>
      <c r="K72" s="4">
        <v>0</v>
      </c>
      <c r="L72" s="4">
        <v>0</v>
      </c>
      <c r="M72" s="4">
        <v>0</v>
      </c>
      <c r="N72" s="4">
        <v>0</v>
      </c>
      <c r="O72" s="107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t="s">
        <v>182</v>
      </c>
    </row>
    <row r="73" spans="2:24" x14ac:dyDescent="0.25">
      <c r="B73">
        <v>2027</v>
      </c>
      <c r="C73" t="s">
        <v>71</v>
      </c>
      <c r="D73" t="s">
        <v>72</v>
      </c>
      <c r="E73" t="s">
        <v>73</v>
      </c>
      <c r="F73" t="s">
        <v>74</v>
      </c>
      <c r="G73" t="s">
        <v>51</v>
      </c>
      <c r="H73" t="s">
        <v>176</v>
      </c>
      <c r="I73" t="s">
        <v>192</v>
      </c>
      <c r="J73" t="s">
        <v>77</v>
      </c>
      <c r="K73" s="4">
        <v>0</v>
      </c>
      <c r="L73" s="4">
        <v>0</v>
      </c>
      <c r="M73" s="4">
        <v>0</v>
      </c>
      <c r="N73" s="4">
        <v>0</v>
      </c>
      <c r="O73" s="107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t="s">
        <v>182</v>
      </c>
    </row>
    <row r="74" spans="2:24" x14ac:dyDescent="0.25">
      <c r="B74">
        <v>2027</v>
      </c>
      <c r="C74" t="s">
        <v>71</v>
      </c>
      <c r="D74" t="s">
        <v>72</v>
      </c>
      <c r="E74" t="s">
        <v>73</v>
      </c>
      <c r="F74" t="s">
        <v>74</v>
      </c>
      <c r="G74" t="s">
        <v>51</v>
      </c>
      <c r="H74" t="s">
        <v>176</v>
      </c>
      <c r="I74" t="s">
        <v>193</v>
      </c>
      <c r="J74" t="s">
        <v>77</v>
      </c>
      <c r="K74" s="4">
        <v>-228.57</v>
      </c>
      <c r="L74" s="4">
        <v>-228.57</v>
      </c>
      <c r="M74" s="4">
        <v>-228.57</v>
      </c>
      <c r="N74" s="4">
        <v>-228.57</v>
      </c>
      <c r="O74" s="107">
        <v>-228.57</v>
      </c>
      <c r="P74" s="4">
        <v>-228.57</v>
      </c>
      <c r="Q74" s="4">
        <v>-228.57</v>
      </c>
      <c r="R74" s="4">
        <v>-228.57</v>
      </c>
      <c r="S74" s="4">
        <v>-228.57</v>
      </c>
      <c r="T74" s="4">
        <v>-228.57</v>
      </c>
      <c r="U74" s="4">
        <v>-228.57</v>
      </c>
      <c r="V74" s="4">
        <v>-228.57</v>
      </c>
      <c r="W74" s="4">
        <v>-2742.84</v>
      </c>
      <c r="X74" t="s">
        <v>178</v>
      </c>
    </row>
    <row r="75" spans="2:24" x14ac:dyDescent="0.25">
      <c r="B75">
        <v>2027</v>
      </c>
      <c r="C75" t="s">
        <v>71</v>
      </c>
      <c r="D75" t="s">
        <v>72</v>
      </c>
      <c r="E75" t="s">
        <v>73</v>
      </c>
      <c r="F75" t="s">
        <v>74</v>
      </c>
      <c r="G75" t="s">
        <v>51</v>
      </c>
      <c r="H75" t="s">
        <v>176</v>
      </c>
      <c r="I75" t="s">
        <v>194</v>
      </c>
      <c r="J75" t="s">
        <v>77</v>
      </c>
      <c r="K75" s="4">
        <v>-228.82</v>
      </c>
      <c r="L75" s="4">
        <v>-228.82</v>
      </c>
      <c r="M75" s="4">
        <v>-228.82</v>
      </c>
      <c r="N75" s="4">
        <v>-228.82</v>
      </c>
      <c r="O75" s="107">
        <v>-228.82</v>
      </c>
      <c r="P75" s="4">
        <v>-228.82</v>
      </c>
      <c r="Q75" s="4">
        <v>-228.82</v>
      </c>
      <c r="R75" s="4">
        <v>-228.82</v>
      </c>
      <c r="S75" s="4">
        <v>-228.82</v>
      </c>
      <c r="T75" s="4">
        <v>-228.82</v>
      </c>
      <c r="U75" s="4">
        <v>-228.82</v>
      </c>
      <c r="V75" s="4">
        <v>-228.82</v>
      </c>
      <c r="W75" s="4">
        <v>-2745.84</v>
      </c>
      <c r="X75" t="s">
        <v>178</v>
      </c>
    </row>
    <row r="76" spans="2:24" x14ac:dyDescent="0.25">
      <c r="B76">
        <v>2027</v>
      </c>
      <c r="C76" t="s">
        <v>71</v>
      </c>
      <c r="D76" t="s">
        <v>72</v>
      </c>
      <c r="E76" t="s">
        <v>73</v>
      </c>
      <c r="F76" t="s">
        <v>74</v>
      </c>
      <c r="G76" t="s">
        <v>51</v>
      </c>
      <c r="H76" t="s">
        <v>176</v>
      </c>
      <c r="I76" t="s">
        <v>195</v>
      </c>
      <c r="J76" t="s">
        <v>77</v>
      </c>
      <c r="K76" s="4">
        <v>-482.36</v>
      </c>
      <c r="L76" s="4">
        <v>-482.36</v>
      </c>
      <c r="M76" s="4">
        <v>-482.36</v>
      </c>
      <c r="N76" s="4">
        <v>-482.36</v>
      </c>
      <c r="O76" s="107">
        <v>-482.36</v>
      </c>
      <c r="P76" s="4">
        <v>-482.36</v>
      </c>
      <c r="Q76" s="4">
        <v>-482.36</v>
      </c>
      <c r="R76" s="4">
        <v>-482.36</v>
      </c>
      <c r="S76" s="4">
        <v>-482.36</v>
      </c>
      <c r="T76" s="4">
        <v>-482.36</v>
      </c>
      <c r="U76" s="4">
        <v>-482.36</v>
      </c>
      <c r="V76" s="4">
        <v>-482.36</v>
      </c>
      <c r="W76" s="4">
        <v>-5788.32</v>
      </c>
      <c r="X76" t="s">
        <v>178</v>
      </c>
    </row>
    <row r="77" spans="2:24" x14ac:dyDescent="0.25">
      <c r="B77">
        <v>2027</v>
      </c>
      <c r="C77" t="s">
        <v>71</v>
      </c>
      <c r="D77" t="s">
        <v>72</v>
      </c>
      <c r="E77" t="s">
        <v>73</v>
      </c>
      <c r="F77" t="s">
        <v>74</v>
      </c>
      <c r="G77" t="s">
        <v>51</v>
      </c>
      <c r="H77" t="s">
        <v>176</v>
      </c>
      <c r="I77" t="s">
        <v>196</v>
      </c>
      <c r="J77" t="s">
        <v>77</v>
      </c>
      <c r="K77" s="4">
        <v>-1557.86</v>
      </c>
      <c r="L77" s="4">
        <v>-1557.86</v>
      </c>
      <c r="M77" s="4">
        <v>-1557.86</v>
      </c>
      <c r="N77" s="4">
        <v>-1557.86</v>
      </c>
      <c r="O77" s="107">
        <v>-1557.86</v>
      </c>
      <c r="P77" s="4">
        <v>-1557.86</v>
      </c>
      <c r="Q77" s="4">
        <v>-1557.86</v>
      </c>
      <c r="R77" s="4">
        <v>-1557.86</v>
      </c>
      <c r="S77" s="4">
        <v>-1557.86</v>
      </c>
      <c r="T77" s="4">
        <v>-1557.86</v>
      </c>
      <c r="U77" s="4">
        <v>-1557.86</v>
      </c>
      <c r="V77" s="4">
        <v>-1557.86</v>
      </c>
      <c r="W77" s="4">
        <v>-18694.32</v>
      </c>
      <c r="X77" t="s">
        <v>178</v>
      </c>
    </row>
    <row r="78" spans="2:24" x14ac:dyDescent="0.25">
      <c r="B78">
        <v>2027</v>
      </c>
      <c r="C78" t="s">
        <v>71</v>
      </c>
      <c r="D78" t="s">
        <v>72</v>
      </c>
      <c r="E78" t="s">
        <v>73</v>
      </c>
      <c r="F78" t="s">
        <v>74</v>
      </c>
      <c r="G78" t="s">
        <v>51</v>
      </c>
      <c r="H78" t="s">
        <v>176</v>
      </c>
      <c r="I78" t="s">
        <v>197</v>
      </c>
      <c r="J78" t="s">
        <v>77</v>
      </c>
      <c r="K78" s="4">
        <v>-1338.15</v>
      </c>
      <c r="L78" s="4">
        <v>-1338.15</v>
      </c>
      <c r="M78" s="4">
        <v>-1338.15</v>
      </c>
      <c r="N78" s="4">
        <v>-1338.15</v>
      </c>
      <c r="O78" s="107">
        <v>-1338.15</v>
      </c>
      <c r="P78" s="4">
        <v>-1338.15</v>
      </c>
      <c r="Q78" s="4">
        <v>-1338.15</v>
      </c>
      <c r="R78" s="4">
        <v>-1338.15</v>
      </c>
      <c r="S78" s="4">
        <v>-1338.15</v>
      </c>
      <c r="T78" s="4">
        <v>-1338.15</v>
      </c>
      <c r="U78" s="4">
        <v>-1338.15</v>
      </c>
      <c r="V78" s="4">
        <v>-1338.15</v>
      </c>
      <c r="W78" s="4">
        <v>-16057.8</v>
      </c>
      <c r="X78" t="s">
        <v>178</v>
      </c>
    </row>
    <row r="79" spans="2:24" x14ac:dyDescent="0.25">
      <c r="B79">
        <v>2027</v>
      </c>
      <c r="C79" t="s">
        <v>71</v>
      </c>
      <c r="D79" t="s">
        <v>72</v>
      </c>
      <c r="E79" t="s">
        <v>73</v>
      </c>
      <c r="F79" t="s">
        <v>74</v>
      </c>
      <c r="G79" t="s">
        <v>51</v>
      </c>
      <c r="H79" t="s">
        <v>176</v>
      </c>
      <c r="I79" t="s">
        <v>198</v>
      </c>
      <c r="J79" t="s">
        <v>77</v>
      </c>
      <c r="K79" s="4">
        <v>-645.34</v>
      </c>
      <c r="L79" s="4">
        <v>-645.34</v>
      </c>
      <c r="M79" s="4">
        <v>-645.34</v>
      </c>
      <c r="N79" s="4">
        <v>-645.34</v>
      </c>
      <c r="O79" s="107">
        <v>-645.34</v>
      </c>
      <c r="P79" s="4">
        <v>-645.34</v>
      </c>
      <c r="Q79" s="4">
        <v>-645.34</v>
      </c>
      <c r="R79" s="4">
        <v>-645.34</v>
      </c>
      <c r="S79" s="4">
        <v>-645.34</v>
      </c>
      <c r="T79" s="4">
        <v>-645.34</v>
      </c>
      <c r="U79" s="4">
        <v>-645.34</v>
      </c>
      <c r="V79" s="4">
        <v>-645.34</v>
      </c>
      <c r="W79" s="4">
        <v>-7744.0800000000008</v>
      </c>
      <c r="X79" t="s">
        <v>178</v>
      </c>
    </row>
    <row r="80" spans="2:24" x14ac:dyDescent="0.25">
      <c r="B80">
        <v>2027</v>
      </c>
      <c r="C80" t="s">
        <v>71</v>
      </c>
      <c r="D80" t="s">
        <v>72</v>
      </c>
      <c r="E80" t="s">
        <v>73</v>
      </c>
      <c r="F80" t="s">
        <v>74</v>
      </c>
      <c r="G80" t="s">
        <v>51</v>
      </c>
      <c r="H80" t="s">
        <v>176</v>
      </c>
      <c r="I80" t="s">
        <v>199</v>
      </c>
      <c r="J80" t="s">
        <v>77</v>
      </c>
      <c r="K80" s="4">
        <v>-1600</v>
      </c>
      <c r="L80" s="4">
        <v>-1600</v>
      </c>
      <c r="M80" s="4">
        <v>-1600</v>
      </c>
      <c r="N80" s="4">
        <v>-1600</v>
      </c>
      <c r="O80" s="107">
        <v>-1600</v>
      </c>
      <c r="P80" s="4">
        <v>-1600</v>
      </c>
      <c r="Q80" s="4">
        <v>-1600</v>
      </c>
      <c r="R80" s="4">
        <v>-1600</v>
      </c>
      <c r="S80" s="4">
        <v>-1600</v>
      </c>
      <c r="T80" s="4">
        <v>-1600</v>
      </c>
      <c r="U80" s="4">
        <v>-1600</v>
      </c>
      <c r="V80" s="4">
        <v>-1600</v>
      </c>
      <c r="W80" s="4">
        <v>-19200</v>
      </c>
      <c r="X80" t="s">
        <v>178</v>
      </c>
    </row>
    <row r="81" spans="2:24" x14ac:dyDescent="0.25">
      <c r="B81">
        <v>2027</v>
      </c>
      <c r="C81" t="s">
        <v>71</v>
      </c>
      <c r="D81" t="s">
        <v>72</v>
      </c>
      <c r="E81" t="s">
        <v>73</v>
      </c>
      <c r="F81" t="s">
        <v>74</v>
      </c>
      <c r="G81" t="s">
        <v>51</v>
      </c>
      <c r="H81" t="s">
        <v>176</v>
      </c>
      <c r="I81" t="s">
        <v>200</v>
      </c>
      <c r="J81" t="s">
        <v>77</v>
      </c>
      <c r="K81" s="4">
        <v>-1093.31</v>
      </c>
      <c r="L81" s="4">
        <v>-1093.31</v>
      </c>
      <c r="M81" s="4">
        <v>-1093.31</v>
      </c>
      <c r="N81" s="4">
        <v>-1093.31</v>
      </c>
      <c r="O81" s="107">
        <v>-1093.31</v>
      </c>
      <c r="P81" s="4">
        <v>-1093.31</v>
      </c>
      <c r="Q81" s="4">
        <v>-1093.31</v>
      </c>
      <c r="R81" s="4">
        <v>-1093.31</v>
      </c>
      <c r="S81" s="4">
        <v>-1093.31</v>
      </c>
      <c r="T81" s="4">
        <v>-1093.31</v>
      </c>
      <c r="U81" s="4">
        <v>-1093.31</v>
      </c>
      <c r="V81" s="4">
        <v>-1093.31</v>
      </c>
      <c r="W81" s="4">
        <v>-13119.72</v>
      </c>
      <c r="X81" t="s">
        <v>178</v>
      </c>
    </row>
    <row r="82" spans="2:24" x14ac:dyDescent="0.25">
      <c r="B82">
        <v>2027</v>
      </c>
      <c r="C82" t="s">
        <v>71</v>
      </c>
      <c r="D82" t="s">
        <v>72</v>
      </c>
      <c r="E82" t="s">
        <v>73</v>
      </c>
      <c r="F82" t="s">
        <v>74</v>
      </c>
      <c r="G82" t="s">
        <v>51</v>
      </c>
      <c r="H82" t="s">
        <v>176</v>
      </c>
      <c r="I82" t="s">
        <v>201</v>
      </c>
      <c r="J82" t="s">
        <v>77</v>
      </c>
      <c r="K82" s="4">
        <v>-677.75</v>
      </c>
      <c r="L82" s="4">
        <v>-677.75</v>
      </c>
      <c r="M82" s="4">
        <v>-677.75</v>
      </c>
      <c r="N82" s="4">
        <v>-677.75</v>
      </c>
      <c r="O82" s="107">
        <v>-677.75</v>
      </c>
      <c r="P82" s="4">
        <v>-677.75</v>
      </c>
      <c r="Q82" s="4">
        <v>-677.75</v>
      </c>
      <c r="R82" s="4">
        <v>-677.75</v>
      </c>
      <c r="S82" s="4">
        <v>-677.75</v>
      </c>
      <c r="T82" s="4">
        <v>-677.75</v>
      </c>
      <c r="U82" s="4">
        <v>-677.75</v>
      </c>
      <c r="V82" s="4">
        <v>-677.75</v>
      </c>
      <c r="W82" s="4">
        <v>-8133</v>
      </c>
      <c r="X82" t="s">
        <v>178</v>
      </c>
    </row>
    <row r="83" spans="2:24" x14ac:dyDescent="0.25">
      <c r="B83">
        <v>2027</v>
      </c>
      <c r="C83" t="s">
        <v>71</v>
      </c>
      <c r="D83" t="s">
        <v>72</v>
      </c>
      <c r="E83" t="s">
        <v>73</v>
      </c>
      <c r="F83" t="s">
        <v>74</v>
      </c>
      <c r="G83" t="s">
        <v>51</v>
      </c>
      <c r="H83" t="s">
        <v>202</v>
      </c>
      <c r="I83" t="s">
        <v>203</v>
      </c>
      <c r="J83" t="s">
        <v>77</v>
      </c>
      <c r="K83" s="4">
        <v>-748.65</v>
      </c>
      <c r="L83" s="4">
        <v>-748.65</v>
      </c>
      <c r="M83" s="4">
        <v>-748.65</v>
      </c>
      <c r="N83" s="4">
        <v>-748.65</v>
      </c>
      <c r="O83" s="107">
        <v>-748.65</v>
      </c>
      <c r="P83" s="4">
        <v>-748.65</v>
      </c>
      <c r="Q83" s="4">
        <v>-748.65</v>
      </c>
      <c r="R83" s="4">
        <v>-748.65</v>
      </c>
      <c r="S83" s="4">
        <v>-748.65</v>
      </c>
      <c r="T83" s="4">
        <v>-748.65</v>
      </c>
      <c r="U83" s="4">
        <v>-748.65</v>
      </c>
      <c r="V83" s="4">
        <v>-748.65</v>
      </c>
      <c r="W83" s="4">
        <v>-8983.7999999999975</v>
      </c>
      <c r="X83" t="s">
        <v>204</v>
      </c>
    </row>
    <row r="84" spans="2:24" x14ac:dyDescent="0.25">
      <c r="B84">
        <v>2027</v>
      </c>
      <c r="C84" t="s">
        <v>71</v>
      </c>
      <c r="D84" t="s">
        <v>72</v>
      </c>
      <c r="E84" t="s">
        <v>73</v>
      </c>
      <c r="F84" t="s">
        <v>74</v>
      </c>
      <c r="G84" t="s">
        <v>51</v>
      </c>
      <c r="H84" t="s">
        <v>202</v>
      </c>
      <c r="I84" t="s">
        <v>205</v>
      </c>
      <c r="J84" t="s">
        <v>77</v>
      </c>
      <c r="K84" s="4">
        <v>-731.87</v>
      </c>
      <c r="L84" s="4">
        <v>-731.87</v>
      </c>
      <c r="M84" s="4">
        <v>-731.87</v>
      </c>
      <c r="N84" s="4">
        <v>-731.87</v>
      </c>
      <c r="O84" s="107">
        <v>-731.87</v>
      </c>
      <c r="P84" s="4">
        <v>-731.87</v>
      </c>
      <c r="Q84" s="4">
        <v>-731.87</v>
      </c>
      <c r="R84" s="4">
        <v>-731.87</v>
      </c>
      <c r="S84" s="4">
        <v>-731.87</v>
      </c>
      <c r="T84" s="4">
        <v>-731.87</v>
      </c>
      <c r="U84" s="4">
        <v>-731.87</v>
      </c>
      <c r="V84" s="4">
        <v>-731.87</v>
      </c>
      <c r="W84" s="4">
        <v>-8782.44</v>
      </c>
      <c r="X84" t="s">
        <v>204</v>
      </c>
    </row>
    <row r="85" spans="2:24" x14ac:dyDescent="0.25">
      <c r="B85">
        <v>2027</v>
      </c>
      <c r="C85" t="s">
        <v>71</v>
      </c>
      <c r="D85" t="s">
        <v>72</v>
      </c>
      <c r="E85" t="s">
        <v>73</v>
      </c>
      <c r="F85" t="s">
        <v>74</v>
      </c>
      <c r="G85" t="s">
        <v>51</v>
      </c>
      <c r="H85" t="s">
        <v>202</v>
      </c>
      <c r="I85" t="s">
        <v>206</v>
      </c>
      <c r="J85" t="s">
        <v>77</v>
      </c>
      <c r="K85" s="4">
        <v>-122.19</v>
      </c>
      <c r="L85" s="4">
        <v>-122.19</v>
      </c>
      <c r="M85" s="4">
        <v>-122.19</v>
      </c>
      <c r="N85" s="4">
        <v>-122.19</v>
      </c>
      <c r="O85" s="107">
        <v>-122.19</v>
      </c>
      <c r="P85" s="4">
        <v>-122.19</v>
      </c>
      <c r="Q85" s="4">
        <v>-122.19</v>
      </c>
      <c r="R85" s="4">
        <v>-122.19</v>
      </c>
      <c r="S85" s="4">
        <v>-122.19</v>
      </c>
      <c r="T85" s="4">
        <v>-122.19</v>
      </c>
      <c r="U85" s="4">
        <v>-122.19</v>
      </c>
      <c r="V85" s="4">
        <v>-122.19</v>
      </c>
      <c r="W85" s="4">
        <v>-1466.28</v>
      </c>
      <c r="X85" t="s">
        <v>204</v>
      </c>
    </row>
    <row r="86" spans="2:24" x14ac:dyDescent="0.25">
      <c r="B86">
        <v>2027</v>
      </c>
      <c r="C86" t="s">
        <v>71</v>
      </c>
      <c r="D86" t="s">
        <v>72</v>
      </c>
      <c r="E86" t="s">
        <v>73</v>
      </c>
      <c r="F86" t="s">
        <v>74</v>
      </c>
      <c r="G86" t="s">
        <v>51</v>
      </c>
      <c r="H86" t="s">
        <v>202</v>
      </c>
      <c r="I86" t="s">
        <v>207</v>
      </c>
      <c r="J86" t="s">
        <v>77</v>
      </c>
      <c r="K86" s="4">
        <v>-3015.5</v>
      </c>
      <c r="L86" s="4">
        <v>-800</v>
      </c>
      <c r="M86" s="4">
        <v>-800</v>
      </c>
      <c r="N86" s="4">
        <v>-800</v>
      </c>
      <c r="O86" s="107">
        <v>-800</v>
      </c>
      <c r="P86" s="4">
        <v>-800</v>
      </c>
      <c r="Q86" s="4">
        <v>-800</v>
      </c>
      <c r="R86" s="4">
        <v>-3174.84</v>
      </c>
      <c r="S86" s="4">
        <v>-3128.9</v>
      </c>
      <c r="T86" s="4">
        <v>-2577.65</v>
      </c>
      <c r="U86" s="4">
        <v>-800</v>
      </c>
      <c r="V86" s="4">
        <v>-1351.25</v>
      </c>
      <c r="W86" s="4">
        <v>-18848.14</v>
      </c>
      <c r="X86" t="s">
        <v>208</v>
      </c>
    </row>
    <row r="87" spans="2:24" x14ac:dyDescent="0.25">
      <c r="B87">
        <v>2027</v>
      </c>
      <c r="C87" t="s">
        <v>71</v>
      </c>
      <c r="D87" t="s">
        <v>72</v>
      </c>
      <c r="E87" t="s">
        <v>73</v>
      </c>
      <c r="F87" t="s">
        <v>74</v>
      </c>
      <c r="G87" t="s">
        <v>51</v>
      </c>
      <c r="H87" t="s">
        <v>202</v>
      </c>
      <c r="I87" t="s">
        <v>209</v>
      </c>
      <c r="J87" t="s">
        <v>77</v>
      </c>
      <c r="K87" s="4">
        <v>-249.63</v>
      </c>
      <c r="L87" s="4">
        <v>-249.63</v>
      </c>
      <c r="M87" s="4">
        <v>-249.63</v>
      </c>
      <c r="N87" s="4">
        <v>-249.63</v>
      </c>
      <c r="O87" s="107">
        <v>-249.63</v>
      </c>
      <c r="P87" s="4">
        <v>-249.63</v>
      </c>
      <c r="Q87" s="4">
        <v>-249.63</v>
      </c>
      <c r="R87" s="4">
        <v>-249.63</v>
      </c>
      <c r="S87" s="4">
        <v>-249.63</v>
      </c>
      <c r="T87" s="4">
        <v>-249.63</v>
      </c>
      <c r="U87" s="4">
        <v>-249.63</v>
      </c>
      <c r="V87" s="4">
        <v>-249.63</v>
      </c>
      <c r="W87" s="4">
        <v>-2995.5600000000009</v>
      </c>
      <c r="X87" t="s">
        <v>204</v>
      </c>
    </row>
    <row r="88" spans="2:24" x14ac:dyDescent="0.25">
      <c r="B88">
        <v>2027</v>
      </c>
      <c r="C88" t="s">
        <v>71</v>
      </c>
      <c r="D88" t="s">
        <v>72</v>
      </c>
      <c r="E88" t="s">
        <v>73</v>
      </c>
      <c r="F88" t="s">
        <v>74</v>
      </c>
      <c r="G88" t="s">
        <v>51</v>
      </c>
      <c r="H88" t="s">
        <v>202</v>
      </c>
      <c r="I88" t="s">
        <v>210</v>
      </c>
      <c r="J88" t="s">
        <v>77</v>
      </c>
      <c r="K88" s="4">
        <v>-515.01</v>
      </c>
      <c r="L88" s="4">
        <v>-515.01</v>
      </c>
      <c r="M88" s="4">
        <v>-515.01</v>
      </c>
      <c r="N88" s="4">
        <v>-515.01</v>
      </c>
      <c r="O88" s="107">
        <v>-515.01</v>
      </c>
      <c r="P88" s="4">
        <v>-515.01</v>
      </c>
      <c r="Q88" s="4">
        <v>-515.01</v>
      </c>
      <c r="R88" s="4">
        <v>-515.01</v>
      </c>
      <c r="S88" s="4">
        <v>-515.01</v>
      </c>
      <c r="T88" s="4">
        <v>-515.01</v>
      </c>
      <c r="U88" s="4">
        <v>-515.01</v>
      </c>
      <c r="V88" s="4">
        <v>-515.01</v>
      </c>
      <c r="W88" s="4">
        <v>-6180.1200000000017</v>
      </c>
      <c r="X88" t="s">
        <v>204</v>
      </c>
    </row>
    <row r="89" spans="2:24" x14ac:dyDescent="0.25">
      <c r="B89">
        <v>2027</v>
      </c>
      <c r="C89" t="s">
        <v>71</v>
      </c>
      <c r="D89" t="s">
        <v>72</v>
      </c>
      <c r="E89" t="s">
        <v>73</v>
      </c>
      <c r="F89" t="s">
        <v>74</v>
      </c>
      <c r="G89" t="s">
        <v>51</v>
      </c>
      <c r="H89" t="s">
        <v>202</v>
      </c>
      <c r="I89" t="s">
        <v>211</v>
      </c>
      <c r="J89" t="s">
        <v>77</v>
      </c>
      <c r="K89" s="4">
        <v>0</v>
      </c>
      <c r="L89" s="4">
        <v>0</v>
      </c>
      <c r="M89" s="4">
        <v>0</v>
      </c>
      <c r="N89" s="4">
        <v>0</v>
      </c>
      <c r="O89" s="107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t="s">
        <v>182</v>
      </c>
    </row>
    <row r="90" spans="2:24" x14ac:dyDescent="0.25">
      <c r="B90">
        <v>2027</v>
      </c>
      <c r="C90" t="s">
        <v>71</v>
      </c>
      <c r="D90" t="s">
        <v>72</v>
      </c>
      <c r="E90" t="s">
        <v>73</v>
      </c>
      <c r="F90" t="s">
        <v>74</v>
      </c>
      <c r="G90" t="s">
        <v>51</v>
      </c>
      <c r="H90" t="s">
        <v>202</v>
      </c>
      <c r="I90" t="s">
        <v>212</v>
      </c>
      <c r="J90" t="s">
        <v>77</v>
      </c>
      <c r="K90" s="4">
        <v>-935.11</v>
      </c>
      <c r="L90" s="4">
        <v>-935.11</v>
      </c>
      <c r="M90" s="4">
        <v>-935.11</v>
      </c>
      <c r="N90" s="4">
        <v>-935.11</v>
      </c>
      <c r="O90" s="107">
        <v>-935.11</v>
      </c>
      <c r="P90" s="4">
        <v>-935.11</v>
      </c>
      <c r="Q90" s="4">
        <v>-935.11</v>
      </c>
      <c r="R90" s="4">
        <v>-935.11</v>
      </c>
      <c r="S90" s="4">
        <v>-935.11</v>
      </c>
      <c r="T90" s="4">
        <v>-935.11</v>
      </c>
      <c r="U90" s="4">
        <v>-935.11</v>
      </c>
      <c r="V90" s="4">
        <v>-935.11</v>
      </c>
      <c r="W90" s="4">
        <v>-11221.32</v>
      </c>
      <c r="X90" t="s">
        <v>204</v>
      </c>
    </row>
    <row r="91" spans="2:24" x14ac:dyDescent="0.25">
      <c r="B91">
        <v>2027</v>
      </c>
      <c r="C91" t="s">
        <v>71</v>
      </c>
      <c r="D91" t="s">
        <v>72</v>
      </c>
      <c r="E91" t="s">
        <v>73</v>
      </c>
      <c r="F91" t="s">
        <v>74</v>
      </c>
      <c r="G91" t="s">
        <v>51</v>
      </c>
      <c r="H91" t="s">
        <v>202</v>
      </c>
      <c r="I91" t="s">
        <v>213</v>
      </c>
      <c r="J91" t="s">
        <v>77</v>
      </c>
      <c r="K91" s="4">
        <v>-1472.45</v>
      </c>
      <c r="L91" s="4">
        <v>-1472.45</v>
      </c>
      <c r="M91" s="4">
        <v>-1472.45</v>
      </c>
      <c r="N91" s="4">
        <v>-1472.45</v>
      </c>
      <c r="O91" s="107">
        <v>-1472.45</v>
      </c>
      <c r="P91" s="4">
        <v>-1472.45</v>
      </c>
      <c r="Q91" s="4">
        <v>-1472.45</v>
      </c>
      <c r="R91" s="4">
        <v>-1472.45</v>
      </c>
      <c r="S91" s="4">
        <v>-1472.45</v>
      </c>
      <c r="T91" s="4">
        <v>-1472.45</v>
      </c>
      <c r="U91" s="4">
        <v>-1472.45</v>
      </c>
      <c r="V91" s="4">
        <v>-1472.45</v>
      </c>
      <c r="W91" s="4">
        <v>-17669.400000000009</v>
      </c>
      <c r="X91" t="s">
        <v>204</v>
      </c>
    </row>
    <row r="92" spans="2:24" x14ac:dyDescent="0.25">
      <c r="B92">
        <v>2027</v>
      </c>
      <c r="C92" t="s">
        <v>71</v>
      </c>
      <c r="D92" t="s">
        <v>72</v>
      </c>
      <c r="E92" t="s">
        <v>73</v>
      </c>
      <c r="F92" t="s">
        <v>74</v>
      </c>
      <c r="G92" t="s">
        <v>51</v>
      </c>
      <c r="H92" t="s">
        <v>202</v>
      </c>
      <c r="I92" t="s">
        <v>214</v>
      </c>
      <c r="J92" t="s">
        <v>77</v>
      </c>
      <c r="K92" s="4">
        <v>0</v>
      </c>
      <c r="L92" s="4">
        <v>0</v>
      </c>
      <c r="M92" s="4">
        <v>0</v>
      </c>
      <c r="N92" s="4">
        <v>0</v>
      </c>
      <c r="O92" s="107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t="s">
        <v>182</v>
      </c>
    </row>
    <row r="93" spans="2:24" x14ac:dyDescent="0.25">
      <c r="B93">
        <v>2027</v>
      </c>
      <c r="C93" t="s">
        <v>71</v>
      </c>
      <c r="D93" t="s">
        <v>72</v>
      </c>
      <c r="E93" t="s">
        <v>73</v>
      </c>
      <c r="F93" t="s">
        <v>74</v>
      </c>
      <c r="G93" t="s">
        <v>51</v>
      </c>
      <c r="H93" t="s">
        <v>202</v>
      </c>
      <c r="I93" t="s">
        <v>215</v>
      </c>
      <c r="J93" t="s">
        <v>77</v>
      </c>
      <c r="K93" s="4">
        <v>0</v>
      </c>
      <c r="L93" s="4">
        <v>0</v>
      </c>
      <c r="M93" s="4">
        <v>0</v>
      </c>
      <c r="N93" s="4">
        <v>-554.4</v>
      </c>
      <c r="O93" s="107">
        <v>0</v>
      </c>
      <c r="P93" s="4">
        <v>0</v>
      </c>
      <c r="Q93" s="4">
        <v>0</v>
      </c>
      <c r="R93" s="4">
        <v>-1050</v>
      </c>
      <c r="S93" s="4">
        <v>-840</v>
      </c>
      <c r="T93" s="4">
        <v>-3150</v>
      </c>
      <c r="U93" s="4">
        <v>0</v>
      </c>
      <c r="V93" s="4">
        <v>0</v>
      </c>
      <c r="W93" s="4">
        <v>-5594.4</v>
      </c>
      <c r="X93" t="s">
        <v>216</v>
      </c>
    </row>
    <row r="94" spans="2:24" x14ac:dyDescent="0.25">
      <c r="B94">
        <v>2027</v>
      </c>
      <c r="C94" t="s">
        <v>71</v>
      </c>
      <c r="D94" t="s">
        <v>72</v>
      </c>
      <c r="E94" t="s">
        <v>73</v>
      </c>
      <c r="F94" t="s">
        <v>74</v>
      </c>
      <c r="G94" t="s">
        <v>51</v>
      </c>
      <c r="H94" t="s">
        <v>202</v>
      </c>
      <c r="I94" t="s">
        <v>217</v>
      </c>
      <c r="J94" t="s">
        <v>77</v>
      </c>
      <c r="K94" s="4">
        <v>0</v>
      </c>
      <c r="L94" s="4">
        <v>0</v>
      </c>
      <c r="M94" s="4">
        <v>0</v>
      </c>
      <c r="N94" s="4">
        <v>0</v>
      </c>
      <c r="O94" s="107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t="s">
        <v>218</v>
      </c>
    </row>
    <row r="95" spans="2:24" x14ac:dyDescent="0.25">
      <c r="B95">
        <v>2027</v>
      </c>
      <c r="C95" t="s">
        <v>71</v>
      </c>
      <c r="D95" t="s">
        <v>72</v>
      </c>
      <c r="E95" t="s">
        <v>73</v>
      </c>
      <c r="F95" t="s">
        <v>74</v>
      </c>
      <c r="G95" t="s">
        <v>51</v>
      </c>
      <c r="H95" t="s">
        <v>202</v>
      </c>
      <c r="I95" t="s">
        <v>219</v>
      </c>
      <c r="J95" t="s">
        <v>77</v>
      </c>
      <c r="K95" s="4">
        <v>-367.5</v>
      </c>
      <c r="L95" s="4">
        <v>-367.5</v>
      </c>
      <c r="M95" s="4">
        <v>-367.5</v>
      </c>
      <c r="N95" s="4">
        <v>-367.5</v>
      </c>
      <c r="O95" s="107">
        <v>-367.5</v>
      </c>
      <c r="P95" s="4">
        <v>-367.5</v>
      </c>
      <c r="Q95" s="4">
        <v>-367.5</v>
      </c>
      <c r="R95" s="4">
        <v>-367.5</v>
      </c>
      <c r="S95" s="4">
        <v>-367.5</v>
      </c>
      <c r="T95" s="4">
        <v>-367.5</v>
      </c>
      <c r="U95" s="4">
        <v>-2992.5</v>
      </c>
      <c r="V95" s="4">
        <v>-367.5</v>
      </c>
      <c r="W95" s="4">
        <v>-7035</v>
      </c>
      <c r="X95" t="s">
        <v>220</v>
      </c>
    </row>
    <row r="96" spans="2:24" x14ac:dyDescent="0.25">
      <c r="B96">
        <v>2027</v>
      </c>
      <c r="C96" t="s">
        <v>71</v>
      </c>
      <c r="D96" t="s">
        <v>72</v>
      </c>
      <c r="E96" t="s">
        <v>73</v>
      </c>
      <c r="F96" t="s">
        <v>74</v>
      </c>
      <c r="G96" t="s">
        <v>51</v>
      </c>
      <c r="H96" t="s">
        <v>202</v>
      </c>
      <c r="I96" t="s">
        <v>221</v>
      </c>
      <c r="J96" t="s">
        <v>77</v>
      </c>
      <c r="K96" s="4">
        <v>-420</v>
      </c>
      <c r="L96" s="4">
        <v>0</v>
      </c>
      <c r="M96" s="4">
        <v>0</v>
      </c>
      <c r="N96" s="4">
        <v>-630</v>
      </c>
      <c r="O96" s="107">
        <v>0</v>
      </c>
      <c r="P96" s="4">
        <v>0</v>
      </c>
      <c r="Q96" s="4">
        <v>0</v>
      </c>
      <c r="R96" s="4">
        <v>0</v>
      </c>
      <c r="S96" s="4">
        <v>-3885</v>
      </c>
      <c r="T96" s="4">
        <v>-1155</v>
      </c>
      <c r="U96" s="4">
        <v>0</v>
      </c>
      <c r="V96" s="4">
        <v>0</v>
      </c>
      <c r="W96" s="4">
        <v>-6090</v>
      </c>
      <c r="X96" t="s">
        <v>222</v>
      </c>
    </row>
    <row r="97" spans="2:24" x14ac:dyDescent="0.25">
      <c r="B97">
        <v>2027</v>
      </c>
      <c r="C97" t="s">
        <v>71</v>
      </c>
      <c r="D97" t="s">
        <v>72</v>
      </c>
      <c r="E97" t="s">
        <v>73</v>
      </c>
      <c r="F97" t="s">
        <v>74</v>
      </c>
      <c r="G97" t="s">
        <v>51</v>
      </c>
      <c r="H97" t="s">
        <v>202</v>
      </c>
      <c r="I97" t="s">
        <v>223</v>
      </c>
      <c r="J97" t="s">
        <v>77</v>
      </c>
      <c r="K97" s="4">
        <v>-262.5</v>
      </c>
      <c r="L97" s="4">
        <v>-262.5</v>
      </c>
      <c r="M97" s="4">
        <v>-262.5</v>
      </c>
      <c r="N97" s="4">
        <v>-262.5</v>
      </c>
      <c r="O97" s="107">
        <v>-262.5</v>
      </c>
      <c r="P97" s="4">
        <v>-262.5</v>
      </c>
      <c r="Q97" s="4">
        <v>-262.5</v>
      </c>
      <c r="R97" s="4">
        <v>-262.5</v>
      </c>
      <c r="S97" s="4">
        <v>-367.5</v>
      </c>
      <c r="T97" s="4">
        <v>-262.5</v>
      </c>
      <c r="U97" s="4">
        <v>-262.5</v>
      </c>
      <c r="V97" s="4">
        <v>-262.5</v>
      </c>
      <c r="W97" s="4">
        <v>-3255</v>
      </c>
      <c r="X97" t="s">
        <v>224</v>
      </c>
    </row>
    <row r="98" spans="2:24" x14ac:dyDescent="0.25">
      <c r="B98">
        <v>2027</v>
      </c>
      <c r="C98" t="s">
        <v>71</v>
      </c>
      <c r="D98" t="s">
        <v>72</v>
      </c>
      <c r="E98" t="s">
        <v>73</v>
      </c>
      <c r="F98" t="s">
        <v>74</v>
      </c>
      <c r="G98" t="s">
        <v>51</v>
      </c>
      <c r="H98" t="s">
        <v>202</v>
      </c>
      <c r="I98" t="s">
        <v>225</v>
      </c>
      <c r="J98" t="s">
        <v>77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t="s">
        <v>226</v>
      </c>
    </row>
    <row r="99" spans="2:24" x14ac:dyDescent="0.25">
      <c r="B99">
        <v>2027</v>
      </c>
      <c r="C99" t="s">
        <v>71</v>
      </c>
      <c r="D99" t="s">
        <v>72</v>
      </c>
      <c r="E99" t="s">
        <v>73</v>
      </c>
      <c r="F99" t="s">
        <v>74</v>
      </c>
      <c r="G99" t="s">
        <v>51</v>
      </c>
      <c r="H99" t="s">
        <v>227</v>
      </c>
      <c r="I99" t="s">
        <v>228</v>
      </c>
      <c r="J99" t="s">
        <v>77</v>
      </c>
      <c r="K99" s="4">
        <v>-6000</v>
      </c>
      <c r="L99" s="4">
        <v>-6000</v>
      </c>
      <c r="M99" s="4">
        <v>-6000</v>
      </c>
      <c r="N99" s="4">
        <v>-6000</v>
      </c>
      <c r="O99" s="107">
        <v>-6000</v>
      </c>
      <c r="P99" s="4">
        <v>-6000</v>
      </c>
      <c r="Q99" s="4">
        <v>-6000</v>
      </c>
      <c r="R99" s="4">
        <v>-6000</v>
      </c>
      <c r="S99" s="4">
        <v>-6000</v>
      </c>
      <c r="T99" s="4">
        <v>-6000</v>
      </c>
      <c r="U99" s="4">
        <v>-6000</v>
      </c>
      <c r="V99" s="4">
        <v>-8000</v>
      </c>
      <c r="W99" s="4">
        <v>-74000</v>
      </c>
      <c r="X99" t="s">
        <v>229</v>
      </c>
    </row>
    <row r="100" spans="2:24" x14ac:dyDescent="0.25">
      <c r="B100">
        <v>2027</v>
      </c>
      <c r="C100" t="s">
        <v>71</v>
      </c>
      <c r="D100" t="s">
        <v>72</v>
      </c>
      <c r="E100" t="s">
        <v>73</v>
      </c>
      <c r="F100" t="s">
        <v>74</v>
      </c>
      <c r="G100" t="s">
        <v>51</v>
      </c>
      <c r="H100" t="s">
        <v>227</v>
      </c>
      <c r="I100" t="s">
        <v>230</v>
      </c>
      <c r="J100" t="s">
        <v>77</v>
      </c>
      <c r="K100" s="4">
        <v>-1400</v>
      </c>
      <c r="L100" s="4">
        <v>-1400</v>
      </c>
      <c r="M100" s="4">
        <v>-1400</v>
      </c>
      <c r="N100" s="4">
        <v>-1400</v>
      </c>
      <c r="O100" s="107">
        <v>-1400</v>
      </c>
      <c r="P100" s="4">
        <v>-1400</v>
      </c>
      <c r="Q100" s="4">
        <v>-1400</v>
      </c>
      <c r="R100" s="4">
        <v>-1400</v>
      </c>
      <c r="S100" s="4">
        <v>-1400</v>
      </c>
      <c r="T100" s="4">
        <v>-1400</v>
      </c>
      <c r="U100" s="4">
        <v>-1400</v>
      </c>
      <c r="V100" s="4">
        <v>-1400</v>
      </c>
      <c r="W100" s="4">
        <v>-16800</v>
      </c>
      <c r="X100" t="s">
        <v>231</v>
      </c>
    </row>
    <row r="101" spans="2:24" x14ac:dyDescent="0.25">
      <c r="B101">
        <v>2027</v>
      </c>
      <c r="C101" t="s">
        <v>71</v>
      </c>
      <c r="D101" t="s">
        <v>72</v>
      </c>
      <c r="E101" t="s">
        <v>73</v>
      </c>
      <c r="F101" t="s">
        <v>74</v>
      </c>
      <c r="G101" t="s">
        <v>51</v>
      </c>
      <c r="H101" t="s">
        <v>227</v>
      </c>
      <c r="I101" t="s">
        <v>232</v>
      </c>
      <c r="J101" t="s">
        <v>77</v>
      </c>
      <c r="K101" s="4">
        <v>-550</v>
      </c>
      <c r="L101" s="4">
        <v>0</v>
      </c>
      <c r="M101" s="4">
        <v>0</v>
      </c>
      <c r="N101" s="4">
        <v>0</v>
      </c>
      <c r="O101" s="107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-550</v>
      </c>
      <c r="X101" t="s">
        <v>233</v>
      </c>
    </row>
    <row r="102" spans="2:24" x14ac:dyDescent="0.25">
      <c r="B102">
        <v>2027</v>
      </c>
      <c r="C102" t="s">
        <v>71</v>
      </c>
      <c r="D102" t="s">
        <v>72</v>
      </c>
      <c r="E102" t="s">
        <v>73</v>
      </c>
      <c r="F102" t="s">
        <v>74</v>
      </c>
      <c r="G102" t="s">
        <v>51</v>
      </c>
      <c r="H102" t="s">
        <v>227</v>
      </c>
      <c r="I102" t="s">
        <v>234</v>
      </c>
      <c r="J102" t="s">
        <v>77</v>
      </c>
      <c r="K102" s="4">
        <v>-980</v>
      </c>
      <c r="L102" s="4">
        <v>-970</v>
      </c>
      <c r="M102" s="4">
        <v>-2700</v>
      </c>
      <c r="N102" s="4">
        <v>0</v>
      </c>
      <c r="O102" s="107">
        <v>-1610</v>
      </c>
      <c r="P102" s="4">
        <v>-1268</v>
      </c>
      <c r="Q102" s="4">
        <v>0</v>
      </c>
      <c r="R102" s="4">
        <v>0</v>
      </c>
      <c r="S102" s="4">
        <v>0</v>
      </c>
      <c r="T102" s="4">
        <v>-180</v>
      </c>
      <c r="U102" s="4">
        <v>-1100</v>
      </c>
      <c r="V102" s="4">
        <v>-1385</v>
      </c>
      <c r="W102" s="4">
        <v>-10193</v>
      </c>
      <c r="X102" t="s">
        <v>235</v>
      </c>
    </row>
    <row r="103" spans="2:24" x14ac:dyDescent="0.25">
      <c r="B103">
        <v>2027</v>
      </c>
      <c r="C103" t="s">
        <v>71</v>
      </c>
      <c r="D103" t="s">
        <v>72</v>
      </c>
      <c r="E103" t="s">
        <v>73</v>
      </c>
      <c r="F103" t="s">
        <v>74</v>
      </c>
      <c r="G103" t="s">
        <v>51</v>
      </c>
      <c r="H103" t="s">
        <v>227</v>
      </c>
      <c r="I103" t="s">
        <v>236</v>
      </c>
      <c r="J103" t="s">
        <v>77</v>
      </c>
      <c r="K103" s="4">
        <v>-610.55999999999995</v>
      </c>
      <c r="L103" s="4">
        <v>-610.55999999999995</v>
      </c>
      <c r="M103" s="4">
        <v>-610.55999999999995</v>
      </c>
      <c r="N103" s="4">
        <v>-610.55999999999995</v>
      </c>
      <c r="O103" s="107">
        <v>-610.55999999999995</v>
      </c>
      <c r="P103" s="4">
        <v>-610.55999999999995</v>
      </c>
      <c r="Q103" s="4">
        <v>-610.55999999999995</v>
      </c>
      <c r="R103" s="4">
        <v>-610.55999999999995</v>
      </c>
      <c r="S103" s="4">
        <v>-610.55999999999995</v>
      </c>
      <c r="T103" s="4">
        <v>-610.55999999999995</v>
      </c>
      <c r="U103" s="4">
        <v>-610.55999999999995</v>
      </c>
      <c r="V103" s="4">
        <v>-610.55999999999995</v>
      </c>
      <c r="W103" s="4">
        <v>-7326.7199999999984</v>
      </c>
      <c r="X103" t="s">
        <v>237</v>
      </c>
    </row>
    <row r="104" spans="2:24" x14ac:dyDescent="0.25">
      <c r="B104">
        <v>2027</v>
      </c>
      <c r="C104" t="s">
        <v>71</v>
      </c>
      <c r="D104" t="s">
        <v>72</v>
      </c>
      <c r="E104" t="s">
        <v>73</v>
      </c>
      <c r="F104" t="s">
        <v>74</v>
      </c>
      <c r="G104" t="s">
        <v>51</v>
      </c>
      <c r="H104" t="s">
        <v>227</v>
      </c>
      <c r="I104" t="s">
        <v>238</v>
      </c>
      <c r="J104" t="s">
        <v>77</v>
      </c>
      <c r="K104" s="4">
        <v>-4000</v>
      </c>
      <c r="L104" s="4">
        <v>-4000</v>
      </c>
      <c r="M104" s="4">
        <v>-4000</v>
      </c>
      <c r="N104" s="4">
        <v>-4000</v>
      </c>
      <c r="O104" s="107">
        <v>-4000</v>
      </c>
      <c r="P104" s="4">
        <v>-4000</v>
      </c>
      <c r="Q104" s="4">
        <v>-4000</v>
      </c>
      <c r="R104" s="4">
        <v>-4000</v>
      </c>
      <c r="S104" s="4">
        <v>-4000</v>
      </c>
      <c r="T104" s="4">
        <v>-4000</v>
      </c>
      <c r="U104" s="4">
        <v>-4000</v>
      </c>
      <c r="V104" s="4">
        <v>-9000</v>
      </c>
      <c r="W104" s="4">
        <v>-53000</v>
      </c>
      <c r="X104" t="s">
        <v>239</v>
      </c>
    </row>
    <row r="105" spans="2:24" x14ac:dyDescent="0.25">
      <c r="B105">
        <v>2027</v>
      </c>
      <c r="C105" t="s">
        <v>71</v>
      </c>
      <c r="D105" t="s">
        <v>72</v>
      </c>
      <c r="E105" t="s">
        <v>73</v>
      </c>
      <c r="F105" t="s">
        <v>74</v>
      </c>
      <c r="G105" t="s">
        <v>51</v>
      </c>
      <c r="H105" t="s">
        <v>227</v>
      </c>
      <c r="I105" t="s">
        <v>240</v>
      </c>
      <c r="J105" t="s">
        <v>77</v>
      </c>
      <c r="K105" s="4">
        <v>-500</v>
      </c>
      <c r="L105" s="4">
        <v>-500</v>
      </c>
      <c r="M105" s="4">
        <v>-500</v>
      </c>
      <c r="N105" s="4">
        <v>-500</v>
      </c>
      <c r="O105" s="107">
        <v>-500</v>
      </c>
      <c r="P105" s="4">
        <v>-500</v>
      </c>
      <c r="Q105" s="4">
        <v>-500</v>
      </c>
      <c r="R105" s="4">
        <v>-500</v>
      </c>
      <c r="S105" s="4">
        <v>-500</v>
      </c>
      <c r="T105" s="4">
        <v>-500</v>
      </c>
      <c r="U105" s="4">
        <v>-500</v>
      </c>
      <c r="V105" s="4">
        <v>-30500</v>
      </c>
      <c r="W105" s="4">
        <v>-36000</v>
      </c>
      <c r="X105" t="s">
        <v>241</v>
      </c>
    </row>
    <row r="106" spans="2:24" x14ac:dyDescent="0.25">
      <c r="B106">
        <v>2027</v>
      </c>
      <c r="C106" t="s">
        <v>71</v>
      </c>
      <c r="D106" t="s">
        <v>72</v>
      </c>
      <c r="E106" t="s">
        <v>73</v>
      </c>
      <c r="F106" t="s">
        <v>74</v>
      </c>
      <c r="G106" t="s">
        <v>51</v>
      </c>
      <c r="H106" t="s">
        <v>227</v>
      </c>
      <c r="I106" t="s">
        <v>242</v>
      </c>
      <c r="J106" t="s">
        <v>77</v>
      </c>
      <c r="K106" s="4">
        <v>-6000</v>
      </c>
      <c r="L106" s="4">
        <v>-6000</v>
      </c>
      <c r="M106" s="4">
        <v>-6000</v>
      </c>
      <c r="N106" s="4">
        <v>-6000</v>
      </c>
      <c r="O106" s="107">
        <v>-6000</v>
      </c>
      <c r="P106" s="4">
        <v>-6000</v>
      </c>
      <c r="Q106" s="4">
        <v>-6000</v>
      </c>
      <c r="R106" s="4">
        <v>-6000</v>
      </c>
      <c r="S106" s="4">
        <v>-6000</v>
      </c>
      <c r="T106" s="4">
        <v>-6000</v>
      </c>
      <c r="U106" s="4">
        <v>-6000</v>
      </c>
      <c r="V106" s="4">
        <v>-106000</v>
      </c>
      <c r="W106" s="4">
        <v>-172000</v>
      </c>
      <c r="X106" t="s">
        <v>243</v>
      </c>
    </row>
    <row r="107" spans="2:24" x14ac:dyDescent="0.25">
      <c r="B107">
        <v>2027</v>
      </c>
      <c r="C107" t="s">
        <v>71</v>
      </c>
      <c r="D107" t="s">
        <v>72</v>
      </c>
      <c r="E107" t="s">
        <v>73</v>
      </c>
      <c r="F107" t="s">
        <v>74</v>
      </c>
      <c r="G107" t="s">
        <v>51</v>
      </c>
      <c r="H107" t="s">
        <v>227</v>
      </c>
      <c r="I107" t="s">
        <v>244</v>
      </c>
      <c r="J107" t="s">
        <v>77</v>
      </c>
      <c r="K107" s="4">
        <v>-283.20999999999998</v>
      </c>
      <c r="L107" s="4">
        <v>-283.20999999999998</v>
      </c>
      <c r="M107" s="4">
        <v>-283.20999999999998</v>
      </c>
      <c r="N107" s="4">
        <v>-283.20999999999998</v>
      </c>
      <c r="O107" s="107">
        <v>-283.20999999999998</v>
      </c>
      <c r="P107" s="4">
        <v>-283.20999999999998</v>
      </c>
      <c r="Q107" s="4">
        <v>-283.20999999999998</v>
      </c>
      <c r="R107" s="4">
        <v>-283.20999999999998</v>
      </c>
      <c r="S107" s="4">
        <v>-283.20999999999998</v>
      </c>
      <c r="T107" s="4">
        <v>-283.20999999999998</v>
      </c>
      <c r="U107" s="4">
        <v>-283.20999999999998</v>
      </c>
      <c r="V107" s="4">
        <v>-283.20999999999998</v>
      </c>
      <c r="W107" s="4">
        <v>-3398.52</v>
      </c>
      <c r="X107" t="s">
        <v>245</v>
      </c>
    </row>
    <row r="108" spans="2:24" x14ac:dyDescent="0.25">
      <c r="B108">
        <v>2027</v>
      </c>
      <c r="C108" t="s">
        <v>71</v>
      </c>
      <c r="D108" t="s">
        <v>72</v>
      </c>
      <c r="E108" t="s">
        <v>73</v>
      </c>
      <c r="F108" t="s">
        <v>74</v>
      </c>
      <c r="G108" t="s">
        <v>51</v>
      </c>
      <c r="H108" t="s">
        <v>227</v>
      </c>
      <c r="I108" t="s">
        <v>246</v>
      </c>
      <c r="J108" t="s">
        <v>77</v>
      </c>
      <c r="K108" s="4">
        <v>0</v>
      </c>
      <c r="L108" s="4">
        <v>0</v>
      </c>
      <c r="M108" s="4">
        <v>0</v>
      </c>
      <c r="N108" s="4">
        <v>0</v>
      </c>
      <c r="O108" s="107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t="s">
        <v>182</v>
      </c>
    </row>
    <row r="109" spans="2:24" x14ac:dyDescent="0.25">
      <c r="B109">
        <v>2027</v>
      </c>
      <c r="C109" t="s">
        <v>71</v>
      </c>
      <c r="D109" t="s">
        <v>72</v>
      </c>
      <c r="E109" t="s">
        <v>73</v>
      </c>
      <c r="F109" t="s">
        <v>74</v>
      </c>
      <c r="G109" t="s">
        <v>51</v>
      </c>
      <c r="H109" t="s">
        <v>227</v>
      </c>
      <c r="I109" t="s">
        <v>247</v>
      </c>
      <c r="J109" t="s">
        <v>77</v>
      </c>
      <c r="K109" s="4">
        <v>0</v>
      </c>
      <c r="L109" s="4">
        <v>0</v>
      </c>
      <c r="M109" s="4">
        <v>0</v>
      </c>
      <c r="N109" s="4">
        <v>0</v>
      </c>
      <c r="O109" s="107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t="s">
        <v>248</v>
      </c>
    </row>
    <row r="110" spans="2:24" x14ac:dyDescent="0.25">
      <c r="B110">
        <v>2027</v>
      </c>
      <c r="C110" t="s">
        <v>71</v>
      </c>
      <c r="D110" t="s">
        <v>72</v>
      </c>
      <c r="E110" t="s">
        <v>73</v>
      </c>
      <c r="F110" t="s">
        <v>74</v>
      </c>
      <c r="G110" t="s">
        <v>51</v>
      </c>
      <c r="H110" t="s">
        <v>227</v>
      </c>
      <c r="I110" t="s">
        <v>249</v>
      </c>
      <c r="J110" t="s">
        <v>77</v>
      </c>
      <c r="K110" s="4">
        <v>0</v>
      </c>
      <c r="L110" s="4">
        <v>0</v>
      </c>
      <c r="M110" s="4">
        <v>0</v>
      </c>
      <c r="N110" s="4">
        <v>0</v>
      </c>
      <c r="O110" s="107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t="s">
        <v>248</v>
      </c>
    </row>
    <row r="111" spans="2:24" x14ac:dyDescent="0.25">
      <c r="B111">
        <v>2027</v>
      </c>
      <c r="C111" t="s">
        <v>71</v>
      </c>
      <c r="D111" t="s">
        <v>72</v>
      </c>
      <c r="E111" t="s">
        <v>73</v>
      </c>
      <c r="F111" t="s">
        <v>74</v>
      </c>
      <c r="G111" t="s">
        <v>51</v>
      </c>
      <c r="H111" t="s">
        <v>227</v>
      </c>
      <c r="I111" t="s">
        <v>250</v>
      </c>
      <c r="J111" t="s">
        <v>77</v>
      </c>
      <c r="K111" s="4">
        <v>0</v>
      </c>
      <c r="L111" s="4">
        <v>0</v>
      </c>
      <c r="M111" s="4">
        <v>0</v>
      </c>
      <c r="N111" s="4">
        <v>0</v>
      </c>
      <c r="O111" s="107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t="s">
        <v>248</v>
      </c>
    </row>
    <row r="112" spans="2:24" x14ac:dyDescent="0.25">
      <c r="B112">
        <v>2027</v>
      </c>
      <c r="C112" t="s">
        <v>71</v>
      </c>
      <c r="D112" t="s">
        <v>72</v>
      </c>
      <c r="E112" t="s">
        <v>73</v>
      </c>
      <c r="F112" t="s">
        <v>74</v>
      </c>
      <c r="G112" t="s">
        <v>51</v>
      </c>
      <c r="H112" t="s">
        <v>227</v>
      </c>
      <c r="I112" t="s">
        <v>251</v>
      </c>
      <c r="J112" t="s">
        <v>77</v>
      </c>
      <c r="K112" s="4">
        <v>0</v>
      </c>
      <c r="L112" s="4">
        <v>0</v>
      </c>
      <c r="M112" s="4">
        <v>0</v>
      </c>
      <c r="N112" s="4">
        <v>0</v>
      </c>
      <c r="O112" s="107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t="s">
        <v>248</v>
      </c>
    </row>
    <row r="113" spans="2:24" x14ac:dyDescent="0.25">
      <c r="B113">
        <v>2027</v>
      </c>
      <c r="C113" t="s">
        <v>71</v>
      </c>
      <c r="D113" t="s">
        <v>72</v>
      </c>
      <c r="E113" t="s">
        <v>73</v>
      </c>
      <c r="F113" t="s">
        <v>74</v>
      </c>
      <c r="G113" t="s">
        <v>51</v>
      </c>
      <c r="H113" t="s">
        <v>227</v>
      </c>
      <c r="I113" t="s">
        <v>252</v>
      </c>
      <c r="J113" t="s">
        <v>77</v>
      </c>
      <c r="K113" s="4">
        <v>0</v>
      </c>
      <c r="L113" s="4">
        <v>0</v>
      </c>
      <c r="M113" s="4">
        <v>0</v>
      </c>
      <c r="N113" s="4">
        <v>0</v>
      </c>
      <c r="O113" s="107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t="s">
        <v>248</v>
      </c>
    </row>
    <row r="114" spans="2:24" x14ac:dyDescent="0.25">
      <c r="B114">
        <v>2027</v>
      </c>
      <c r="C114" t="s">
        <v>71</v>
      </c>
      <c r="D114" t="s">
        <v>72</v>
      </c>
      <c r="E114" t="s">
        <v>73</v>
      </c>
      <c r="F114" t="s">
        <v>74</v>
      </c>
      <c r="G114" t="s">
        <v>51</v>
      </c>
      <c r="H114" t="s">
        <v>227</v>
      </c>
      <c r="I114" t="s">
        <v>253</v>
      </c>
      <c r="J114" t="s">
        <v>77</v>
      </c>
      <c r="K114" s="4">
        <v>0</v>
      </c>
      <c r="L114" s="4">
        <v>0</v>
      </c>
      <c r="M114" s="4">
        <v>0</v>
      </c>
      <c r="N114" s="4">
        <v>0</v>
      </c>
      <c r="O114" s="107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t="s">
        <v>248</v>
      </c>
    </row>
    <row r="115" spans="2:24" x14ac:dyDescent="0.25">
      <c r="B115">
        <v>2027</v>
      </c>
      <c r="C115" t="s">
        <v>71</v>
      </c>
      <c r="D115" t="s">
        <v>72</v>
      </c>
      <c r="E115" t="s">
        <v>73</v>
      </c>
      <c r="F115" t="s">
        <v>74</v>
      </c>
      <c r="G115" t="s">
        <v>51</v>
      </c>
      <c r="H115" t="s">
        <v>227</v>
      </c>
      <c r="I115" t="s">
        <v>254</v>
      </c>
      <c r="J115" t="s">
        <v>77</v>
      </c>
      <c r="K115" s="4">
        <v>0</v>
      </c>
      <c r="L115" s="4">
        <v>0</v>
      </c>
      <c r="M115" s="4">
        <v>0</v>
      </c>
      <c r="N115" s="4">
        <v>0</v>
      </c>
      <c r="O115" s="107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t="s">
        <v>248</v>
      </c>
    </row>
    <row r="116" spans="2:24" x14ac:dyDescent="0.25">
      <c r="B116">
        <v>2027</v>
      </c>
      <c r="C116" t="s">
        <v>71</v>
      </c>
      <c r="D116" t="s">
        <v>72</v>
      </c>
      <c r="E116" t="s">
        <v>73</v>
      </c>
      <c r="F116" t="s">
        <v>74</v>
      </c>
      <c r="G116" t="s">
        <v>51</v>
      </c>
      <c r="H116" t="s">
        <v>227</v>
      </c>
      <c r="I116" t="s">
        <v>255</v>
      </c>
      <c r="J116" t="s">
        <v>77</v>
      </c>
      <c r="K116" s="4">
        <v>0</v>
      </c>
      <c r="L116" s="4">
        <v>0</v>
      </c>
      <c r="M116" s="4">
        <v>0</v>
      </c>
      <c r="N116" s="4">
        <v>0</v>
      </c>
      <c r="O116" s="107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t="s">
        <v>248</v>
      </c>
    </row>
    <row r="117" spans="2:24" x14ac:dyDescent="0.25">
      <c r="B117">
        <v>2027</v>
      </c>
      <c r="C117" t="s">
        <v>71</v>
      </c>
      <c r="D117" t="s">
        <v>72</v>
      </c>
      <c r="E117" t="s">
        <v>73</v>
      </c>
      <c r="F117" t="s">
        <v>74</v>
      </c>
      <c r="G117" t="s">
        <v>51</v>
      </c>
      <c r="H117" t="s">
        <v>227</v>
      </c>
      <c r="I117" t="s">
        <v>256</v>
      </c>
      <c r="J117" t="s">
        <v>77</v>
      </c>
      <c r="K117" s="4">
        <v>0</v>
      </c>
      <c r="L117" s="4">
        <v>0</v>
      </c>
      <c r="M117" s="4">
        <v>0</v>
      </c>
      <c r="N117" s="4">
        <v>0</v>
      </c>
      <c r="O117" s="107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t="s">
        <v>248</v>
      </c>
    </row>
    <row r="118" spans="2:24" x14ac:dyDescent="0.25">
      <c r="B118">
        <v>2027</v>
      </c>
      <c r="C118" t="s">
        <v>71</v>
      </c>
      <c r="D118" t="s">
        <v>72</v>
      </c>
      <c r="E118" t="s">
        <v>73</v>
      </c>
      <c r="F118" t="s">
        <v>74</v>
      </c>
      <c r="G118" t="s">
        <v>51</v>
      </c>
      <c r="H118" t="s">
        <v>227</v>
      </c>
      <c r="I118" t="s">
        <v>257</v>
      </c>
      <c r="J118" t="s">
        <v>77</v>
      </c>
      <c r="K118" s="4">
        <v>0</v>
      </c>
      <c r="L118" s="4">
        <v>0</v>
      </c>
      <c r="M118" s="4">
        <v>0</v>
      </c>
      <c r="N118" s="4">
        <v>0</v>
      </c>
      <c r="O118" s="107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t="s">
        <v>248</v>
      </c>
    </row>
    <row r="119" spans="2:24" x14ac:dyDescent="0.25">
      <c r="B119">
        <v>2027</v>
      </c>
      <c r="C119" t="s">
        <v>71</v>
      </c>
      <c r="D119" t="s">
        <v>72</v>
      </c>
      <c r="E119" t="s">
        <v>73</v>
      </c>
      <c r="F119" t="s">
        <v>74</v>
      </c>
      <c r="G119" t="s">
        <v>51</v>
      </c>
      <c r="H119" t="s">
        <v>227</v>
      </c>
      <c r="I119" t="s">
        <v>258</v>
      </c>
      <c r="J119" t="s">
        <v>77</v>
      </c>
      <c r="K119" s="4">
        <v>0</v>
      </c>
      <c r="L119" s="4">
        <v>0</v>
      </c>
      <c r="M119" s="4">
        <v>0</v>
      </c>
      <c r="N119" s="4">
        <v>0</v>
      </c>
      <c r="O119" s="107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t="s">
        <v>248</v>
      </c>
    </row>
    <row r="120" spans="2:24" x14ac:dyDescent="0.25">
      <c r="B120">
        <v>2027</v>
      </c>
      <c r="C120" t="s">
        <v>71</v>
      </c>
      <c r="D120" t="s">
        <v>72</v>
      </c>
      <c r="E120" t="s">
        <v>73</v>
      </c>
      <c r="F120" t="s">
        <v>74</v>
      </c>
      <c r="G120" t="s">
        <v>51</v>
      </c>
      <c r="H120" t="s">
        <v>227</v>
      </c>
      <c r="I120" t="s">
        <v>259</v>
      </c>
      <c r="J120" t="s">
        <v>77</v>
      </c>
      <c r="K120" s="4">
        <v>0</v>
      </c>
      <c r="L120" s="4">
        <v>0</v>
      </c>
      <c r="M120" s="4">
        <v>0</v>
      </c>
      <c r="N120" s="4">
        <v>0</v>
      </c>
      <c r="O120" s="107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t="s">
        <v>248</v>
      </c>
    </row>
    <row r="121" spans="2:24" x14ac:dyDescent="0.25">
      <c r="B121">
        <v>2027</v>
      </c>
      <c r="C121" t="s">
        <v>71</v>
      </c>
      <c r="D121" t="s">
        <v>72</v>
      </c>
      <c r="E121" t="s">
        <v>73</v>
      </c>
      <c r="F121" t="s">
        <v>74</v>
      </c>
      <c r="G121" t="s">
        <v>51</v>
      </c>
      <c r="H121" t="s">
        <v>227</v>
      </c>
      <c r="I121" t="s">
        <v>260</v>
      </c>
      <c r="J121" t="s">
        <v>77</v>
      </c>
      <c r="K121" s="4">
        <v>0</v>
      </c>
      <c r="L121" s="4">
        <v>0</v>
      </c>
      <c r="M121" s="4">
        <v>0</v>
      </c>
      <c r="N121" s="4">
        <v>0</v>
      </c>
      <c r="O121" s="107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t="s">
        <v>248</v>
      </c>
    </row>
    <row r="122" spans="2:24" x14ac:dyDescent="0.25">
      <c r="B122">
        <v>2027</v>
      </c>
      <c r="C122" t="s">
        <v>71</v>
      </c>
      <c r="D122" t="s">
        <v>72</v>
      </c>
      <c r="E122" t="s">
        <v>73</v>
      </c>
      <c r="F122" t="s">
        <v>74</v>
      </c>
      <c r="G122" t="s">
        <v>51</v>
      </c>
      <c r="H122" t="s">
        <v>227</v>
      </c>
      <c r="I122" t="s">
        <v>261</v>
      </c>
      <c r="J122" t="s">
        <v>77</v>
      </c>
      <c r="K122" s="4">
        <v>0</v>
      </c>
      <c r="L122" s="4">
        <v>0</v>
      </c>
      <c r="M122" s="4">
        <v>0</v>
      </c>
      <c r="N122" s="4">
        <v>0</v>
      </c>
      <c r="O122" s="107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t="s">
        <v>248</v>
      </c>
    </row>
    <row r="123" spans="2:24" x14ac:dyDescent="0.25">
      <c r="B123">
        <v>2027</v>
      </c>
      <c r="C123" t="s">
        <v>71</v>
      </c>
      <c r="D123" t="s">
        <v>72</v>
      </c>
      <c r="E123" t="s">
        <v>73</v>
      </c>
      <c r="F123" t="s">
        <v>74</v>
      </c>
      <c r="G123" t="s">
        <v>51</v>
      </c>
      <c r="H123" t="s">
        <v>227</v>
      </c>
      <c r="I123" t="s">
        <v>262</v>
      </c>
      <c r="J123" t="s">
        <v>77</v>
      </c>
      <c r="K123" s="4">
        <v>0</v>
      </c>
      <c r="L123" s="4">
        <v>0</v>
      </c>
      <c r="M123" s="4">
        <v>0</v>
      </c>
      <c r="N123" s="4">
        <v>0</v>
      </c>
      <c r="O123" s="107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t="s">
        <v>248</v>
      </c>
    </row>
    <row r="124" spans="2:24" x14ac:dyDescent="0.25">
      <c r="B124">
        <v>2027</v>
      </c>
      <c r="C124" t="s">
        <v>71</v>
      </c>
      <c r="D124" t="s">
        <v>72</v>
      </c>
      <c r="E124" t="s">
        <v>73</v>
      </c>
      <c r="F124" t="s">
        <v>74</v>
      </c>
      <c r="G124" t="s">
        <v>51</v>
      </c>
      <c r="H124" t="s">
        <v>227</v>
      </c>
      <c r="I124" t="s">
        <v>263</v>
      </c>
      <c r="J124" t="s">
        <v>77</v>
      </c>
      <c r="K124" s="4">
        <v>0</v>
      </c>
      <c r="L124" s="4">
        <v>0</v>
      </c>
      <c r="M124" s="4">
        <v>0</v>
      </c>
      <c r="N124" s="4">
        <v>0</v>
      </c>
      <c r="O124" s="107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t="s">
        <v>248</v>
      </c>
    </row>
    <row r="125" spans="2:24" x14ac:dyDescent="0.25">
      <c r="B125">
        <v>2027</v>
      </c>
      <c r="C125" t="s">
        <v>71</v>
      </c>
      <c r="D125" t="s">
        <v>72</v>
      </c>
      <c r="E125" t="s">
        <v>73</v>
      </c>
      <c r="F125" t="s">
        <v>74</v>
      </c>
      <c r="G125" t="s">
        <v>51</v>
      </c>
      <c r="H125" t="s">
        <v>227</v>
      </c>
      <c r="I125" t="s">
        <v>264</v>
      </c>
      <c r="J125" t="s">
        <v>77</v>
      </c>
      <c r="K125" s="4">
        <v>0</v>
      </c>
      <c r="L125" s="4">
        <v>0</v>
      </c>
      <c r="M125" s="4">
        <v>0</v>
      </c>
      <c r="N125" s="4">
        <v>0</v>
      </c>
      <c r="O125" s="107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t="s">
        <v>248</v>
      </c>
    </row>
    <row r="126" spans="2:24" x14ac:dyDescent="0.25">
      <c r="B126">
        <v>2027</v>
      </c>
      <c r="C126" t="s">
        <v>71</v>
      </c>
      <c r="D126" t="s">
        <v>72</v>
      </c>
      <c r="E126" t="s">
        <v>73</v>
      </c>
      <c r="F126" t="s">
        <v>74</v>
      </c>
      <c r="G126" t="s">
        <v>51</v>
      </c>
      <c r="H126" t="s">
        <v>227</v>
      </c>
      <c r="I126" t="s">
        <v>265</v>
      </c>
      <c r="J126" t="s">
        <v>77</v>
      </c>
      <c r="K126" s="4">
        <v>0</v>
      </c>
      <c r="L126" s="4">
        <v>0</v>
      </c>
      <c r="M126" s="4">
        <v>0</v>
      </c>
      <c r="N126" s="4">
        <v>0</v>
      </c>
      <c r="O126" s="107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t="s">
        <v>248</v>
      </c>
    </row>
    <row r="127" spans="2:24" x14ac:dyDescent="0.25">
      <c r="B127">
        <v>2027</v>
      </c>
      <c r="C127" t="s">
        <v>71</v>
      </c>
      <c r="D127" t="s">
        <v>72</v>
      </c>
      <c r="E127" t="s">
        <v>73</v>
      </c>
      <c r="F127" t="s">
        <v>74</v>
      </c>
      <c r="G127" t="s">
        <v>51</v>
      </c>
      <c r="H127" t="s">
        <v>227</v>
      </c>
      <c r="I127" t="s">
        <v>266</v>
      </c>
      <c r="J127" t="s">
        <v>77</v>
      </c>
      <c r="K127" s="4">
        <v>0</v>
      </c>
      <c r="L127" s="4">
        <v>0</v>
      </c>
      <c r="M127" s="4">
        <v>0</v>
      </c>
      <c r="N127" s="4">
        <v>0</v>
      </c>
      <c r="O127" s="107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t="s">
        <v>248</v>
      </c>
    </row>
    <row r="128" spans="2:24" x14ac:dyDescent="0.25">
      <c r="B128">
        <v>2027</v>
      </c>
      <c r="C128" t="s">
        <v>71</v>
      </c>
      <c r="D128" t="s">
        <v>72</v>
      </c>
      <c r="E128" t="s">
        <v>73</v>
      </c>
      <c r="F128" t="s">
        <v>74</v>
      </c>
      <c r="G128" t="s">
        <v>51</v>
      </c>
      <c r="H128" t="s">
        <v>267</v>
      </c>
      <c r="I128" t="s">
        <v>268</v>
      </c>
      <c r="J128" t="s">
        <v>77</v>
      </c>
      <c r="K128" s="4">
        <v>-7016.85</v>
      </c>
      <c r="L128" s="4">
        <v>-13619.9</v>
      </c>
      <c r="M128" s="4">
        <v>-18607.54</v>
      </c>
      <c r="N128" s="4">
        <v>-22055.439999999999</v>
      </c>
      <c r="O128" s="107">
        <v>-18645.63</v>
      </c>
      <c r="P128" s="4">
        <v>-20396.41</v>
      </c>
      <c r="Q128" s="4">
        <v>-14747.91</v>
      </c>
      <c r="R128" s="4">
        <v>-13338.45</v>
      </c>
      <c r="S128" s="4">
        <v>-7825.86</v>
      </c>
      <c r="T128" s="4">
        <v>-12700.12</v>
      </c>
      <c r="U128" s="4">
        <v>-12528.19</v>
      </c>
      <c r="V128" s="4">
        <v>-4989.8500000000004</v>
      </c>
      <c r="W128" s="4">
        <v>-166472.15</v>
      </c>
      <c r="X128" t="s">
        <v>269</v>
      </c>
    </row>
    <row r="129" spans="2:24" x14ac:dyDescent="0.25">
      <c r="B129">
        <v>2027</v>
      </c>
      <c r="C129" t="s">
        <v>71</v>
      </c>
      <c r="D129" t="s">
        <v>72</v>
      </c>
      <c r="E129" t="s">
        <v>73</v>
      </c>
      <c r="F129" t="s">
        <v>74</v>
      </c>
      <c r="G129" t="s">
        <v>51</v>
      </c>
      <c r="H129" t="s">
        <v>267</v>
      </c>
      <c r="I129" t="s">
        <v>270</v>
      </c>
      <c r="J129" t="s">
        <v>77</v>
      </c>
      <c r="K129" s="4">
        <v>-29809.200000000001</v>
      </c>
      <c r="L129" s="4">
        <v>-21246.7</v>
      </c>
      <c r="M129" s="4">
        <v>-19638.3</v>
      </c>
      <c r="N129" s="4">
        <v>-8004.2</v>
      </c>
      <c r="O129" s="107">
        <v>-38718.800000000003</v>
      </c>
      <c r="P129" s="4">
        <v>-33492</v>
      </c>
      <c r="Q129" s="4">
        <v>-13212.8</v>
      </c>
      <c r="R129" s="4">
        <v>-18509.599999999999</v>
      </c>
      <c r="S129" s="4">
        <v>-24148.9</v>
      </c>
      <c r="T129" s="4">
        <v>-23411.3</v>
      </c>
      <c r="U129" s="4">
        <v>-40650.699999999997</v>
      </c>
      <c r="V129" s="4">
        <v>-34380.800000000003</v>
      </c>
      <c r="W129" s="4">
        <v>-305223.3</v>
      </c>
      <c r="X129" t="s">
        <v>271</v>
      </c>
    </row>
    <row r="130" spans="2:24" x14ac:dyDescent="0.25">
      <c r="B130">
        <v>2027</v>
      </c>
      <c r="C130" t="s">
        <v>71</v>
      </c>
      <c r="D130" t="s">
        <v>72</v>
      </c>
      <c r="E130" t="s">
        <v>73</v>
      </c>
      <c r="F130" t="s">
        <v>74</v>
      </c>
      <c r="G130" t="s">
        <v>51</v>
      </c>
      <c r="H130" t="s">
        <v>267</v>
      </c>
      <c r="I130" t="s">
        <v>272</v>
      </c>
      <c r="J130" t="s">
        <v>77</v>
      </c>
      <c r="K130" s="4">
        <v>-6088.18</v>
      </c>
      <c r="L130" s="4">
        <v>-5367.26</v>
      </c>
      <c r="M130" s="4">
        <v>-7224.72</v>
      </c>
      <c r="N130" s="4">
        <v>-3712.04</v>
      </c>
      <c r="O130" s="107">
        <v>-14028.95</v>
      </c>
      <c r="P130" s="4">
        <v>-2584.44</v>
      </c>
      <c r="Q130" s="4">
        <v>-4588.3</v>
      </c>
      <c r="R130" s="4">
        <v>-8667.69</v>
      </c>
      <c r="S130" s="4">
        <v>-2950.85</v>
      </c>
      <c r="T130" s="4">
        <v>-9635.0400000000009</v>
      </c>
      <c r="U130" s="4">
        <v>-13725.16</v>
      </c>
      <c r="V130" s="4">
        <v>-625.65</v>
      </c>
      <c r="W130" s="4">
        <v>-79198.28</v>
      </c>
      <c r="X130" t="s">
        <v>273</v>
      </c>
    </row>
    <row r="131" spans="2:24" x14ac:dyDescent="0.25">
      <c r="B131">
        <v>2027</v>
      </c>
      <c r="C131" t="s">
        <v>71</v>
      </c>
      <c r="D131" t="s">
        <v>72</v>
      </c>
      <c r="E131" t="s">
        <v>73</v>
      </c>
      <c r="F131" t="s">
        <v>74</v>
      </c>
      <c r="G131" t="s">
        <v>51</v>
      </c>
      <c r="H131" t="s">
        <v>267</v>
      </c>
      <c r="I131" t="s">
        <v>274</v>
      </c>
      <c r="J131" t="s">
        <v>77</v>
      </c>
      <c r="K131" s="4">
        <v>0</v>
      </c>
      <c r="L131" s="4">
        <v>0</v>
      </c>
      <c r="M131" s="4">
        <v>0</v>
      </c>
      <c r="N131" s="4">
        <v>0</v>
      </c>
      <c r="O131" s="107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t="s">
        <v>275</v>
      </c>
    </row>
    <row r="132" spans="2:24" x14ac:dyDescent="0.25">
      <c r="B132">
        <v>2027</v>
      </c>
      <c r="C132" t="s">
        <v>71</v>
      </c>
      <c r="D132" t="s">
        <v>72</v>
      </c>
      <c r="E132" t="s">
        <v>73</v>
      </c>
      <c r="F132" t="s">
        <v>74</v>
      </c>
      <c r="G132" t="s">
        <v>51</v>
      </c>
      <c r="H132" t="s">
        <v>267</v>
      </c>
      <c r="I132" t="s">
        <v>276</v>
      </c>
      <c r="J132" t="s">
        <v>77</v>
      </c>
      <c r="K132" s="4">
        <v>-591.46</v>
      </c>
      <c r="L132" s="4">
        <v>-591.46</v>
      </c>
      <c r="M132" s="4">
        <v>-591.46</v>
      </c>
      <c r="N132" s="4">
        <v>-591.46</v>
      </c>
      <c r="O132" s="107">
        <v>-591.46</v>
      </c>
      <c r="P132" s="4">
        <v>-591.46</v>
      </c>
      <c r="Q132" s="4">
        <v>-591.46</v>
      </c>
      <c r="R132" s="4">
        <v>-591.46</v>
      </c>
      <c r="S132" s="4">
        <v>-591.46</v>
      </c>
      <c r="T132" s="4">
        <v>-591.46</v>
      </c>
      <c r="U132" s="4">
        <v>-591.46</v>
      </c>
      <c r="V132" s="4">
        <v>-591.46</v>
      </c>
      <c r="W132" s="4">
        <v>-7097.52</v>
      </c>
      <c r="X132" t="s">
        <v>237</v>
      </c>
    </row>
    <row r="133" spans="2:24" x14ac:dyDescent="0.25">
      <c r="B133">
        <v>2027</v>
      </c>
      <c r="C133" t="s">
        <v>71</v>
      </c>
      <c r="D133" t="s">
        <v>72</v>
      </c>
      <c r="E133" t="s">
        <v>73</v>
      </c>
      <c r="F133" t="s">
        <v>74</v>
      </c>
      <c r="G133" t="s">
        <v>51</v>
      </c>
      <c r="H133" t="s">
        <v>267</v>
      </c>
      <c r="I133" t="s">
        <v>277</v>
      </c>
      <c r="J133" t="s">
        <v>77</v>
      </c>
      <c r="K133" s="4">
        <v>-1389.04</v>
      </c>
      <c r="L133" s="4">
        <v>-1389.04</v>
      </c>
      <c r="M133" s="4">
        <v>-1389.04</v>
      </c>
      <c r="N133" s="4">
        <v>-1389.04</v>
      </c>
      <c r="O133" s="107">
        <v>-1389.04</v>
      </c>
      <c r="P133" s="4">
        <v>-1389.04</v>
      </c>
      <c r="Q133" s="4">
        <v>-1389.04</v>
      </c>
      <c r="R133" s="4">
        <v>-1389.04</v>
      </c>
      <c r="S133" s="4">
        <v>-1389.04</v>
      </c>
      <c r="T133" s="4">
        <v>-1389.04</v>
      </c>
      <c r="U133" s="4">
        <v>-1389.04</v>
      </c>
      <c r="V133" s="4">
        <v>-1389.04</v>
      </c>
      <c r="W133" s="4">
        <v>-16668.48</v>
      </c>
      <c r="X133" t="s">
        <v>237</v>
      </c>
    </row>
    <row r="134" spans="2:24" x14ac:dyDescent="0.25">
      <c r="B134">
        <v>2027</v>
      </c>
      <c r="C134" t="s">
        <v>71</v>
      </c>
      <c r="D134" t="s">
        <v>72</v>
      </c>
      <c r="E134" t="s">
        <v>73</v>
      </c>
      <c r="F134" t="s">
        <v>74</v>
      </c>
      <c r="G134" t="s">
        <v>51</v>
      </c>
      <c r="H134" t="s">
        <v>267</v>
      </c>
      <c r="I134" t="s">
        <v>278</v>
      </c>
      <c r="J134" t="s">
        <v>77</v>
      </c>
      <c r="K134" s="4">
        <v>0</v>
      </c>
      <c r="L134" s="4">
        <v>0</v>
      </c>
      <c r="M134" s="4">
        <v>0</v>
      </c>
      <c r="N134" s="4">
        <v>0</v>
      </c>
      <c r="O134" s="107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t="s">
        <v>182</v>
      </c>
    </row>
    <row r="135" spans="2:24" x14ac:dyDescent="0.25">
      <c r="B135">
        <v>2027</v>
      </c>
      <c r="C135" t="s">
        <v>71</v>
      </c>
      <c r="D135" t="s">
        <v>72</v>
      </c>
      <c r="E135" t="s">
        <v>73</v>
      </c>
      <c r="F135" t="s">
        <v>74</v>
      </c>
      <c r="G135" t="s">
        <v>51</v>
      </c>
      <c r="H135" t="s">
        <v>279</v>
      </c>
      <c r="I135" t="s">
        <v>280</v>
      </c>
      <c r="J135" t="s">
        <v>77</v>
      </c>
      <c r="K135" s="4">
        <v>-188.17</v>
      </c>
      <c r="L135" s="4">
        <v>-188.17</v>
      </c>
      <c r="M135" s="4">
        <v>-188.17</v>
      </c>
      <c r="N135" s="4">
        <v>-188.17</v>
      </c>
      <c r="O135" s="107">
        <v>-188.17</v>
      </c>
      <c r="P135" s="4">
        <v>-188.17</v>
      </c>
      <c r="Q135" s="4">
        <v>-188.17</v>
      </c>
      <c r="R135" s="4">
        <v>-188.17</v>
      </c>
      <c r="S135" s="4">
        <v>-188.17</v>
      </c>
      <c r="T135" s="4">
        <v>-188.17</v>
      </c>
      <c r="U135" s="4">
        <v>-188.17</v>
      </c>
      <c r="V135" s="4">
        <v>-188.17</v>
      </c>
      <c r="W135" s="4">
        <v>-2258.04</v>
      </c>
      <c r="X135" t="s">
        <v>281</v>
      </c>
    </row>
    <row r="136" spans="2:24" x14ac:dyDescent="0.25">
      <c r="B136">
        <v>2027</v>
      </c>
      <c r="C136" t="s">
        <v>71</v>
      </c>
      <c r="D136" t="s">
        <v>72</v>
      </c>
      <c r="E136" t="s">
        <v>73</v>
      </c>
      <c r="F136" t="s">
        <v>74</v>
      </c>
      <c r="G136" t="s">
        <v>51</v>
      </c>
      <c r="H136" t="s">
        <v>279</v>
      </c>
      <c r="I136" t="s">
        <v>282</v>
      </c>
      <c r="J136" t="s">
        <v>77</v>
      </c>
      <c r="K136" s="4">
        <v>-194.64</v>
      </c>
      <c r="L136" s="4">
        <v>-194.64</v>
      </c>
      <c r="M136" s="4">
        <v>-194.64</v>
      </c>
      <c r="N136" s="4">
        <v>-194.64</v>
      </c>
      <c r="O136" s="107">
        <v>-194.64</v>
      </c>
      <c r="P136" s="4">
        <v>-194.64</v>
      </c>
      <c r="Q136" s="4">
        <v>-194.64</v>
      </c>
      <c r="R136" s="4">
        <v>-194.64</v>
      </c>
      <c r="S136" s="4">
        <v>-194.64</v>
      </c>
      <c r="T136" s="4">
        <v>-194.64</v>
      </c>
      <c r="U136" s="4">
        <v>-194.64</v>
      </c>
      <c r="V136" s="4">
        <v>-194.64</v>
      </c>
      <c r="W136" s="4">
        <v>-2335.6799999999989</v>
      </c>
      <c r="X136" t="s">
        <v>281</v>
      </c>
    </row>
    <row r="137" spans="2:24" x14ac:dyDescent="0.25">
      <c r="B137">
        <v>2027</v>
      </c>
      <c r="C137" t="s">
        <v>71</v>
      </c>
      <c r="D137" t="s">
        <v>72</v>
      </c>
      <c r="E137" t="s">
        <v>73</v>
      </c>
      <c r="F137" t="s">
        <v>74</v>
      </c>
      <c r="G137" t="s">
        <v>51</v>
      </c>
      <c r="H137" t="s">
        <v>279</v>
      </c>
      <c r="I137" t="s">
        <v>283</v>
      </c>
      <c r="J137" t="s">
        <v>77</v>
      </c>
      <c r="K137" s="4">
        <v>-3281.59</v>
      </c>
      <c r="L137" s="4">
        <v>-3281.59</v>
      </c>
      <c r="M137" s="4">
        <v>-3281.59</v>
      </c>
      <c r="N137" s="4">
        <v>-3281.59</v>
      </c>
      <c r="O137" s="107">
        <v>-3281.59</v>
      </c>
      <c r="P137" s="4">
        <v>-3281.59</v>
      </c>
      <c r="Q137" s="4">
        <v>-3281.59</v>
      </c>
      <c r="R137" s="4">
        <v>-3281.59</v>
      </c>
      <c r="S137" s="4">
        <v>-3281.59</v>
      </c>
      <c r="T137" s="4">
        <v>-3281.59</v>
      </c>
      <c r="U137" s="4">
        <v>-3281.59</v>
      </c>
      <c r="V137" s="4">
        <v>-3281.59</v>
      </c>
      <c r="W137" s="4">
        <v>-39379.08</v>
      </c>
      <c r="X137" t="s">
        <v>281</v>
      </c>
    </row>
    <row r="138" spans="2:24" x14ac:dyDescent="0.25">
      <c r="B138">
        <v>2027</v>
      </c>
      <c r="C138" t="s">
        <v>71</v>
      </c>
      <c r="D138" t="s">
        <v>72</v>
      </c>
      <c r="E138" t="s">
        <v>73</v>
      </c>
      <c r="F138" t="s">
        <v>74</v>
      </c>
      <c r="G138" t="s">
        <v>51</v>
      </c>
      <c r="H138" t="s">
        <v>279</v>
      </c>
      <c r="I138" t="s">
        <v>284</v>
      </c>
      <c r="J138" t="s">
        <v>77</v>
      </c>
      <c r="K138" s="4">
        <v>-2975.68</v>
      </c>
      <c r="L138" s="4">
        <v>-2975.68</v>
      </c>
      <c r="M138" s="4">
        <v>-2975.68</v>
      </c>
      <c r="N138" s="4">
        <v>-2975.68</v>
      </c>
      <c r="O138" s="107">
        <v>-2975.68</v>
      </c>
      <c r="P138" s="4">
        <v>-2975.68</v>
      </c>
      <c r="Q138" s="4">
        <v>-2975.68</v>
      </c>
      <c r="R138" s="4">
        <v>-2975.68</v>
      </c>
      <c r="S138" s="4">
        <v>-2975.68</v>
      </c>
      <c r="T138" s="4">
        <v>-2975.68</v>
      </c>
      <c r="U138" s="4">
        <v>-2975.68</v>
      </c>
      <c r="V138" s="4">
        <v>-2975.68</v>
      </c>
      <c r="W138" s="4">
        <v>-35708.160000000003</v>
      </c>
      <c r="X138" t="s">
        <v>281</v>
      </c>
    </row>
    <row r="139" spans="2:24" x14ac:dyDescent="0.25">
      <c r="B139">
        <v>2027</v>
      </c>
      <c r="C139" t="s">
        <v>71</v>
      </c>
      <c r="D139" t="s">
        <v>72</v>
      </c>
      <c r="E139" t="s">
        <v>73</v>
      </c>
      <c r="F139" t="s">
        <v>74</v>
      </c>
      <c r="G139" t="s">
        <v>51</v>
      </c>
      <c r="H139" t="s">
        <v>285</v>
      </c>
      <c r="I139" t="s">
        <v>286</v>
      </c>
      <c r="J139" t="s">
        <v>77</v>
      </c>
      <c r="K139" s="4">
        <v>0</v>
      </c>
      <c r="L139" s="4">
        <v>0</v>
      </c>
      <c r="M139" s="4">
        <v>0</v>
      </c>
      <c r="N139" s="4">
        <v>0</v>
      </c>
      <c r="O139" s="107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t="s">
        <v>182</v>
      </c>
    </row>
    <row r="140" spans="2:24" x14ac:dyDescent="0.25">
      <c r="B140">
        <v>2027</v>
      </c>
      <c r="C140" t="s">
        <v>71</v>
      </c>
      <c r="D140" t="s">
        <v>72</v>
      </c>
      <c r="E140" t="s">
        <v>73</v>
      </c>
      <c r="F140" t="s">
        <v>74</v>
      </c>
      <c r="G140" t="s">
        <v>51</v>
      </c>
      <c r="H140" t="s">
        <v>285</v>
      </c>
      <c r="I140" t="s">
        <v>287</v>
      </c>
      <c r="J140" t="s">
        <v>77</v>
      </c>
      <c r="K140" s="4">
        <v>-49.02</v>
      </c>
      <c r="L140" s="4">
        <v>-49.02</v>
      </c>
      <c r="M140" s="4">
        <v>-49.02</v>
      </c>
      <c r="N140" s="4">
        <v>-49.02</v>
      </c>
      <c r="O140" s="107">
        <v>-49.02</v>
      </c>
      <c r="P140" s="4">
        <v>-49.02</v>
      </c>
      <c r="Q140" s="4">
        <v>-49.02</v>
      </c>
      <c r="R140" s="4">
        <v>-49.02</v>
      </c>
      <c r="S140" s="4">
        <v>-49.02</v>
      </c>
      <c r="T140" s="4">
        <v>-49.02</v>
      </c>
      <c r="U140" s="4">
        <v>-49.02</v>
      </c>
      <c r="V140" s="4">
        <v>-49.02</v>
      </c>
      <c r="W140" s="4">
        <v>-588.2399999999999</v>
      </c>
      <c r="X140" t="s">
        <v>288</v>
      </c>
    </row>
    <row r="141" spans="2:24" x14ac:dyDescent="0.25">
      <c r="B141">
        <v>2027</v>
      </c>
      <c r="C141" t="s">
        <v>71</v>
      </c>
      <c r="D141" t="s">
        <v>72</v>
      </c>
      <c r="E141" t="s">
        <v>73</v>
      </c>
      <c r="F141" t="s">
        <v>74</v>
      </c>
      <c r="G141" t="s">
        <v>51</v>
      </c>
      <c r="H141" t="s">
        <v>285</v>
      </c>
      <c r="I141" t="s">
        <v>289</v>
      </c>
      <c r="J141" t="s">
        <v>77</v>
      </c>
      <c r="K141" s="4">
        <v>-171.17</v>
      </c>
      <c r="L141" s="4">
        <v>-171.17</v>
      </c>
      <c r="M141" s="4">
        <v>-171.17</v>
      </c>
      <c r="N141" s="4">
        <v>-171.17</v>
      </c>
      <c r="O141" s="107">
        <v>-171.17</v>
      </c>
      <c r="P141" s="4">
        <v>-171.17</v>
      </c>
      <c r="Q141" s="4">
        <v>-171.17</v>
      </c>
      <c r="R141" s="4">
        <v>-171.17</v>
      </c>
      <c r="S141" s="4">
        <v>-171.17</v>
      </c>
      <c r="T141" s="4">
        <v>-171.17</v>
      </c>
      <c r="U141" s="4">
        <v>-171.17</v>
      </c>
      <c r="V141" s="4">
        <v>-171.17</v>
      </c>
      <c r="W141" s="4">
        <v>-2054.04</v>
      </c>
      <c r="X141" t="s">
        <v>288</v>
      </c>
    </row>
    <row r="142" spans="2:24" x14ac:dyDescent="0.25">
      <c r="B142">
        <v>2027</v>
      </c>
      <c r="C142" t="s">
        <v>71</v>
      </c>
      <c r="D142" t="s">
        <v>72</v>
      </c>
      <c r="E142" t="s">
        <v>73</v>
      </c>
      <c r="F142" t="s">
        <v>74</v>
      </c>
      <c r="G142" t="s">
        <v>51</v>
      </c>
      <c r="H142" t="s">
        <v>285</v>
      </c>
      <c r="I142" t="s">
        <v>290</v>
      </c>
      <c r="J142" t="s">
        <v>77</v>
      </c>
      <c r="K142" s="4">
        <v>-811.09</v>
      </c>
      <c r="L142" s="4">
        <v>-811.09</v>
      </c>
      <c r="M142" s="4">
        <v>-811.09</v>
      </c>
      <c r="N142" s="4">
        <v>-811.09</v>
      </c>
      <c r="O142" s="107">
        <v>-811.09</v>
      </c>
      <c r="P142" s="4">
        <v>-811.09</v>
      </c>
      <c r="Q142" s="4">
        <v>-811.09</v>
      </c>
      <c r="R142" s="4">
        <v>-811.09</v>
      </c>
      <c r="S142" s="4">
        <v>-811.09</v>
      </c>
      <c r="T142" s="4">
        <v>-811.09</v>
      </c>
      <c r="U142" s="4">
        <v>-811.09</v>
      </c>
      <c r="V142" s="4">
        <v>-811.09</v>
      </c>
      <c r="W142" s="4">
        <v>-9733.08</v>
      </c>
      <c r="X142" t="s">
        <v>288</v>
      </c>
    </row>
    <row r="143" spans="2:24" x14ac:dyDescent="0.25">
      <c r="B143">
        <v>2027</v>
      </c>
      <c r="C143" t="s">
        <v>71</v>
      </c>
      <c r="D143" t="s">
        <v>72</v>
      </c>
      <c r="E143" t="s">
        <v>73</v>
      </c>
      <c r="F143" t="s">
        <v>74</v>
      </c>
      <c r="G143" t="s">
        <v>51</v>
      </c>
      <c r="H143" t="s">
        <v>291</v>
      </c>
      <c r="I143" t="s">
        <v>292</v>
      </c>
      <c r="J143" t="s">
        <v>77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t="s">
        <v>182</v>
      </c>
    </row>
    <row r="144" spans="2:24" x14ac:dyDescent="0.25">
      <c r="B144">
        <v>2027</v>
      </c>
      <c r="C144" t="s">
        <v>71</v>
      </c>
      <c r="D144" t="s">
        <v>72</v>
      </c>
      <c r="E144" t="s">
        <v>73</v>
      </c>
      <c r="F144" t="s">
        <v>74</v>
      </c>
      <c r="G144" t="s">
        <v>51</v>
      </c>
      <c r="H144" t="s">
        <v>291</v>
      </c>
      <c r="I144" t="s">
        <v>293</v>
      </c>
      <c r="J144" t="s">
        <v>77</v>
      </c>
      <c r="K144" s="4">
        <v>0</v>
      </c>
      <c r="L144" s="4">
        <v>0</v>
      </c>
      <c r="M144" s="4">
        <v>0</v>
      </c>
      <c r="N144" s="4">
        <v>0</v>
      </c>
      <c r="O144" s="107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t="s">
        <v>294</v>
      </c>
    </row>
    <row r="145" spans="2:24" x14ac:dyDescent="0.25">
      <c r="B145">
        <v>2027</v>
      </c>
      <c r="C145" t="s">
        <v>71</v>
      </c>
      <c r="D145" t="s">
        <v>72</v>
      </c>
      <c r="E145" t="s">
        <v>73</v>
      </c>
      <c r="F145" t="s">
        <v>74</v>
      </c>
      <c r="G145" t="s">
        <v>51</v>
      </c>
      <c r="H145" t="s">
        <v>291</v>
      </c>
      <c r="I145" t="s">
        <v>295</v>
      </c>
      <c r="J145" t="s">
        <v>77</v>
      </c>
      <c r="K145" s="4">
        <v>0</v>
      </c>
      <c r="L145" s="4">
        <v>0</v>
      </c>
      <c r="M145" s="4">
        <v>0</v>
      </c>
      <c r="N145" s="4">
        <v>0</v>
      </c>
      <c r="O145" s="107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t="s">
        <v>294</v>
      </c>
    </row>
    <row r="146" spans="2:24" x14ac:dyDescent="0.25">
      <c r="B146">
        <v>2027</v>
      </c>
      <c r="C146" t="s">
        <v>71</v>
      </c>
      <c r="D146" t="s">
        <v>72</v>
      </c>
      <c r="E146" t="s">
        <v>73</v>
      </c>
      <c r="F146" t="s">
        <v>74</v>
      </c>
      <c r="G146" t="s">
        <v>51</v>
      </c>
      <c r="H146" t="s">
        <v>291</v>
      </c>
      <c r="I146" t="s">
        <v>296</v>
      </c>
      <c r="J146" t="s">
        <v>77</v>
      </c>
      <c r="K146" s="4">
        <v>-2469.92</v>
      </c>
      <c r="L146" s="4">
        <v>-3006.08</v>
      </c>
      <c r="M146" s="4">
        <v>-2874.69</v>
      </c>
      <c r="N146" s="4">
        <v>-3233.22</v>
      </c>
      <c r="O146" s="107">
        <v>-2543.62</v>
      </c>
      <c r="P146" s="4">
        <v>-1816.83</v>
      </c>
      <c r="Q146" s="4">
        <v>-1556.94</v>
      </c>
      <c r="R146" s="4">
        <v>-658.01</v>
      </c>
      <c r="S146" s="4">
        <v>-1867.78</v>
      </c>
      <c r="T146" s="4">
        <v>-1290.69</v>
      </c>
      <c r="U146" s="4">
        <v>-2792.91</v>
      </c>
      <c r="V146" s="4">
        <v>-1519.31</v>
      </c>
      <c r="W146" s="4">
        <v>-25630</v>
      </c>
      <c r="X146" t="s">
        <v>297</v>
      </c>
    </row>
    <row r="147" spans="2:24" x14ac:dyDescent="0.25">
      <c r="B147">
        <v>2027</v>
      </c>
      <c r="C147" t="s">
        <v>71</v>
      </c>
      <c r="D147" t="s">
        <v>72</v>
      </c>
      <c r="E147" t="s">
        <v>73</v>
      </c>
      <c r="F147" t="s">
        <v>74</v>
      </c>
      <c r="G147" t="s">
        <v>51</v>
      </c>
      <c r="H147" t="s">
        <v>291</v>
      </c>
      <c r="I147" t="s">
        <v>298</v>
      </c>
      <c r="J147" t="s">
        <v>77</v>
      </c>
      <c r="K147" s="4">
        <v>-3254.36</v>
      </c>
      <c r="L147" s="4">
        <v>-3960.8</v>
      </c>
      <c r="M147" s="4">
        <v>-3787.68</v>
      </c>
      <c r="N147" s="4">
        <v>-4260.08</v>
      </c>
      <c r="O147" s="107">
        <v>-3351.46</v>
      </c>
      <c r="P147" s="4">
        <v>-2393.84</v>
      </c>
      <c r="Q147" s="4">
        <v>-2051.41</v>
      </c>
      <c r="R147" s="4">
        <v>-866.99</v>
      </c>
      <c r="S147" s="4">
        <v>-2460.9899999999998</v>
      </c>
      <c r="T147" s="4">
        <v>-1700.61</v>
      </c>
      <c r="U147" s="4">
        <v>-3679.93</v>
      </c>
      <c r="V147" s="4">
        <v>-2001.84</v>
      </c>
      <c r="W147" s="4">
        <v>-33769.99</v>
      </c>
      <c r="X147" t="s">
        <v>299</v>
      </c>
    </row>
    <row r="148" spans="2:24" x14ac:dyDescent="0.25">
      <c r="B148">
        <v>2027</v>
      </c>
      <c r="C148" t="s">
        <v>71</v>
      </c>
      <c r="D148" t="s">
        <v>72</v>
      </c>
      <c r="E148" t="s">
        <v>73</v>
      </c>
      <c r="F148" t="s">
        <v>74</v>
      </c>
      <c r="G148" t="s">
        <v>51</v>
      </c>
      <c r="H148" t="s">
        <v>291</v>
      </c>
      <c r="I148" t="s">
        <v>300</v>
      </c>
      <c r="J148" t="s">
        <v>77</v>
      </c>
      <c r="K148" s="4">
        <v>-18917.14</v>
      </c>
      <c r="L148" s="4">
        <v>-23023.56</v>
      </c>
      <c r="M148" s="4">
        <v>-22017.24</v>
      </c>
      <c r="N148" s="4">
        <v>-24763.22</v>
      </c>
      <c r="O148" s="107">
        <v>-19481.53</v>
      </c>
      <c r="P148" s="4">
        <v>-13915.06</v>
      </c>
      <c r="Q148" s="4">
        <v>-11924.56</v>
      </c>
      <c r="R148" s="4">
        <v>-5039.7</v>
      </c>
      <c r="S148" s="4">
        <v>-14305.34</v>
      </c>
      <c r="T148" s="4">
        <v>-9885.3700000000008</v>
      </c>
      <c r="U148" s="4">
        <v>-21390.880000000001</v>
      </c>
      <c r="V148" s="4">
        <v>-11636.39</v>
      </c>
      <c r="W148" s="4">
        <v>-196299.99</v>
      </c>
      <c r="X148" t="s">
        <v>301</v>
      </c>
    </row>
    <row r="149" spans="2:24" x14ac:dyDescent="0.25">
      <c r="B149">
        <v>2027</v>
      </c>
      <c r="C149" t="s">
        <v>71</v>
      </c>
      <c r="D149" t="s">
        <v>72</v>
      </c>
      <c r="E149" t="s">
        <v>73</v>
      </c>
      <c r="F149" t="s">
        <v>74</v>
      </c>
      <c r="G149" t="s">
        <v>51</v>
      </c>
      <c r="H149" t="s">
        <v>291</v>
      </c>
      <c r="I149" t="s">
        <v>302</v>
      </c>
      <c r="J149" t="s">
        <v>77</v>
      </c>
      <c r="K149" s="4">
        <v>-999.57</v>
      </c>
      <c r="L149" s="4">
        <v>-1216.55</v>
      </c>
      <c r="M149" s="4">
        <v>-1163.3800000000001</v>
      </c>
      <c r="N149" s="4">
        <v>-1308.48</v>
      </c>
      <c r="O149" s="107">
        <v>-1029.3900000000001</v>
      </c>
      <c r="P149" s="4">
        <v>-735.27</v>
      </c>
      <c r="Q149" s="4">
        <v>-630.09</v>
      </c>
      <c r="R149" s="4">
        <v>-266.3</v>
      </c>
      <c r="S149" s="4">
        <v>-755.89</v>
      </c>
      <c r="T149" s="4">
        <v>-522.34</v>
      </c>
      <c r="U149" s="4">
        <v>-1130.28</v>
      </c>
      <c r="V149" s="4">
        <v>-614.86</v>
      </c>
      <c r="W149" s="4">
        <v>-10372.4</v>
      </c>
      <c r="X149" t="s">
        <v>303</v>
      </c>
    </row>
    <row r="150" spans="2:24" x14ac:dyDescent="0.25">
      <c r="B150">
        <v>2027</v>
      </c>
      <c r="C150" t="s">
        <v>71</v>
      </c>
      <c r="D150" t="s">
        <v>72</v>
      </c>
      <c r="E150" t="s">
        <v>73</v>
      </c>
      <c r="F150" t="s">
        <v>74</v>
      </c>
      <c r="G150" t="s">
        <v>51</v>
      </c>
      <c r="H150" t="s">
        <v>291</v>
      </c>
      <c r="I150" t="s">
        <v>304</v>
      </c>
      <c r="J150" t="s">
        <v>77</v>
      </c>
      <c r="K150" s="4">
        <v>0</v>
      </c>
      <c r="L150" s="4">
        <v>0</v>
      </c>
      <c r="M150" s="4">
        <v>0</v>
      </c>
      <c r="N150" s="4">
        <v>0</v>
      </c>
      <c r="O150" s="107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t="s">
        <v>294</v>
      </c>
    </row>
    <row r="151" spans="2:24" x14ac:dyDescent="0.25">
      <c r="B151">
        <v>2027</v>
      </c>
      <c r="C151" t="s">
        <v>71</v>
      </c>
      <c r="D151" t="s">
        <v>72</v>
      </c>
      <c r="E151" t="s">
        <v>73</v>
      </c>
      <c r="F151" t="s">
        <v>74</v>
      </c>
      <c r="G151" t="s">
        <v>51</v>
      </c>
      <c r="H151" t="s">
        <v>305</v>
      </c>
      <c r="I151" t="s">
        <v>306</v>
      </c>
      <c r="J151" t="s">
        <v>77</v>
      </c>
      <c r="K151" s="4">
        <v>-489</v>
      </c>
      <c r="L151" s="4">
        <v>-489</v>
      </c>
      <c r="M151" s="4">
        <v>-489</v>
      </c>
      <c r="N151" s="4">
        <v>-489</v>
      </c>
      <c r="O151" s="107">
        <v>-489</v>
      </c>
      <c r="P151" s="4">
        <v>-489</v>
      </c>
      <c r="Q151" s="4">
        <v>-489</v>
      </c>
      <c r="R151" s="4">
        <v>-489</v>
      </c>
      <c r="S151" s="4">
        <v>-489</v>
      </c>
      <c r="T151" s="4">
        <v>-489</v>
      </c>
      <c r="U151" s="4">
        <v>-489</v>
      </c>
      <c r="V151" s="4">
        <v>-489</v>
      </c>
      <c r="W151" s="4">
        <v>-5868</v>
      </c>
      <c r="X151" t="s">
        <v>237</v>
      </c>
    </row>
    <row r="152" spans="2:24" x14ac:dyDescent="0.25">
      <c r="B152">
        <v>2027</v>
      </c>
      <c r="C152" t="s">
        <v>71</v>
      </c>
      <c r="D152" t="s">
        <v>72</v>
      </c>
      <c r="E152" t="s">
        <v>73</v>
      </c>
      <c r="F152" t="s">
        <v>74</v>
      </c>
      <c r="G152" t="s">
        <v>51</v>
      </c>
      <c r="H152" t="s">
        <v>305</v>
      </c>
      <c r="I152" t="s">
        <v>307</v>
      </c>
      <c r="J152" t="s">
        <v>77</v>
      </c>
      <c r="K152" s="4">
        <v>-3500</v>
      </c>
      <c r="L152" s="4">
        <v>-4200</v>
      </c>
      <c r="M152" s="4">
        <v>-4200</v>
      </c>
      <c r="N152" s="4">
        <v>-4200</v>
      </c>
      <c r="O152" s="107">
        <v>-4200</v>
      </c>
      <c r="P152" s="4">
        <v>-4200</v>
      </c>
      <c r="Q152" s="4">
        <v>-4200</v>
      </c>
      <c r="R152" s="4">
        <v>-3500</v>
      </c>
      <c r="S152" s="4">
        <v>-3500</v>
      </c>
      <c r="T152" s="4">
        <v>-3500</v>
      </c>
      <c r="U152" s="4">
        <v>-4200</v>
      </c>
      <c r="V152" s="4">
        <v>-4200</v>
      </c>
      <c r="W152" s="4">
        <v>-47600</v>
      </c>
      <c r="X152" t="s">
        <v>308</v>
      </c>
    </row>
    <row r="153" spans="2:24" x14ac:dyDescent="0.25">
      <c r="B153">
        <v>2027</v>
      </c>
      <c r="C153" t="s">
        <v>71</v>
      </c>
      <c r="D153" t="s">
        <v>72</v>
      </c>
      <c r="E153" t="s">
        <v>73</v>
      </c>
      <c r="F153" t="s">
        <v>74</v>
      </c>
      <c r="G153" t="s">
        <v>51</v>
      </c>
      <c r="H153" t="s">
        <v>305</v>
      </c>
      <c r="I153" t="s">
        <v>309</v>
      </c>
      <c r="J153" t="s">
        <v>77</v>
      </c>
      <c r="K153" s="4">
        <v>-1435.94</v>
      </c>
      <c r="L153" s="4">
        <v>-1435.94</v>
      </c>
      <c r="M153" s="4">
        <v>-1435.94</v>
      </c>
      <c r="N153" s="4">
        <v>-1435.94</v>
      </c>
      <c r="O153" s="107">
        <v>-1435.94</v>
      </c>
      <c r="P153" s="4">
        <v>-1435.94</v>
      </c>
      <c r="Q153" s="4">
        <v>-1435.94</v>
      </c>
      <c r="R153" s="4">
        <v>-1435.94</v>
      </c>
      <c r="S153" s="4">
        <v>-1435.94</v>
      </c>
      <c r="T153" s="4">
        <v>-1435.94</v>
      </c>
      <c r="U153" s="4">
        <v>-1435.94</v>
      </c>
      <c r="V153" s="4">
        <v>-1435.94</v>
      </c>
      <c r="W153" s="4">
        <v>-17231.28</v>
      </c>
      <c r="X153" t="s">
        <v>237</v>
      </c>
    </row>
    <row r="154" spans="2:24" x14ac:dyDescent="0.25">
      <c r="B154">
        <v>2027</v>
      </c>
      <c r="C154" t="s">
        <v>71</v>
      </c>
      <c r="D154" t="s">
        <v>72</v>
      </c>
      <c r="E154" t="s">
        <v>73</v>
      </c>
      <c r="F154" t="s">
        <v>74</v>
      </c>
      <c r="G154" t="s">
        <v>51</v>
      </c>
      <c r="H154" t="s">
        <v>305</v>
      </c>
      <c r="I154" t="s">
        <v>310</v>
      </c>
      <c r="J154" t="s">
        <v>77</v>
      </c>
      <c r="K154" s="4">
        <v>-800</v>
      </c>
      <c r="L154" s="4">
        <v>-800</v>
      </c>
      <c r="M154" s="4">
        <v>-250</v>
      </c>
      <c r="N154" s="4">
        <v>-250</v>
      </c>
      <c r="O154" s="107">
        <v>-250</v>
      </c>
      <c r="P154" s="4">
        <v>-250</v>
      </c>
      <c r="Q154" s="4">
        <v>-250</v>
      </c>
      <c r="R154" s="4">
        <v>-250</v>
      </c>
      <c r="S154" s="4">
        <v>-250</v>
      </c>
      <c r="T154" s="4">
        <v>-250</v>
      </c>
      <c r="U154" s="4">
        <v>-800</v>
      </c>
      <c r="V154" s="4">
        <v>-800</v>
      </c>
      <c r="W154" s="4">
        <v>-5200</v>
      </c>
      <c r="X154" t="s">
        <v>311</v>
      </c>
    </row>
    <row r="155" spans="2:24" x14ac:dyDescent="0.25">
      <c r="B155">
        <v>2027</v>
      </c>
      <c r="C155" t="s">
        <v>71</v>
      </c>
      <c r="D155" t="s">
        <v>72</v>
      </c>
      <c r="E155" t="s">
        <v>73</v>
      </c>
      <c r="F155" t="s">
        <v>74</v>
      </c>
      <c r="G155" t="s">
        <v>51</v>
      </c>
      <c r="H155" t="s">
        <v>305</v>
      </c>
      <c r="I155" t="s">
        <v>312</v>
      </c>
      <c r="J155" t="s">
        <v>77</v>
      </c>
      <c r="K155" s="4">
        <v>-1693.78</v>
      </c>
      <c r="L155" s="4">
        <v>-1693.78</v>
      </c>
      <c r="M155" s="4">
        <v>-1693.78</v>
      </c>
      <c r="N155" s="4">
        <v>-1693.78</v>
      </c>
      <c r="O155" s="107">
        <v>-1693.78</v>
      </c>
      <c r="P155" s="4">
        <v>-1693.78</v>
      </c>
      <c r="Q155" s="4">
        <v>-1693.78</v>
      </c>
      <c r="R155" s="4">
        <v>-1693.78</v>
      </c>
      <c r="S155" s="4">
        <v>-1693.78</v>
      </c>
      <c r="T155" s="4">
        <v>-1693.78</v>
      </c>
      <c r="U155" s="4">
        <v>-1693.78</v>
      </c>
      <c r="V155" s="4">
        <v>-1693.78</v>
      </c>
      <c r="W155" s="4">
        <v>-20325.36</v>
      </c>
      <c r="X155" t="s">
        <v>237</v>
      </c>
    </row>
    <row r="156" spans="2:24" x14ac:dyDescent="0.25">
      <c r="B156">
        <v>2027</v>
      </c>
      <c r="C156" t="s">
        <v>71</v>
      </c>
      <c r="D156" t="s">
        <v>72</v>
      </c>
      <c r="E156" t="s">
        <v>73</v>
      </c>
      <c r="F156" t="s">
        <v>74</v>
      </c>
      <c r="G156" t="s">
        <v>51</v>
      </c>
      <c r="H156" t="s">
        <v>313</v>
      </c>
      <c r="I156" t="s">
        <v>314</v>
      </c>
      <c r="J156" t="s">
        <v>77</v>
      </c>
      <c r="K156" s="4">
        <v>-213</v>
      </c>
      <c r="L156" s="4">
        <v>-213</v>
      </c>
      <c r="M156" s="4">
        <v>-213</v>
      </c>
      <c r="N156" s="4">
        <v>-213</v>
      </c>
      <c r="O156" s="107">
        <v>-213</v>
      </c>
      <c r="P156" s="4">
        <v>-213</v>
      </c>
      <c r="Q156" s="4">
        <v>-213</v>
      </c>
      <c r="R156" s="4">
        <v>-213</v>
      </c>
      <c r="S156" s="4">
        <v>-213</v>
      </c>
      <c r="T156" s="4">
        <v>-213</v>
      </c>
      <c r="U156" s="4">
        <v>-213</v>
      </c>
      <c r="V156" s="4">
        <v>-213</v>
      </c>
      <c r="W156" s="4">
        <v>-2556</v>
      </c>
      <c r="X156" t="s">
        <v>315</v>
      </c>
    </row>
    <row r="157" spans="2:24" x14ac:dyDescent="0.25">
      <c r="B157">
        <v>2027</v>
      </c>
      <c r="C157" t="s">
        <v>71</v>
      </c>
      <c r="D157" t="s">
        <v>72</v>
      </c>
      <c r="E157" t="s">
        <v>73</v>
      </c>
      <c r="F157" t="s">
        <v>74</v>
      </c>
      <c r="G157" t="s">
        <v>51</v>
      </c>
      <c r="H157" t="s">
        <v>313</v>
      </c>
      <c r="I157" t="s">
        <v>316</v>
      </c>
      <c r="J157" t="s">
        <v>77</v>
      </c>
      <c r="K157" s="4">
        <v>-7550</v>
      </c>
      <c r="L157" s="4">
        <v>0</v>
      </c>
      <c r="M157" s="4">
        <v>0</v>
      </c>
      <c r="N157" s="4">
        <v>0</v>
      </c>
      <c r="O157" s="107">
        <v>0</v>
      </c>
      <c r="P157" s="4">
        <v>0</v>
      </c>
      <c r="Q157" s="4">
        <v>-515</v>
      </c>
      <c r="R157" s="4">
        <v>0</v>
      </c>
      <c r="S157" s="4">
        <v>-8625</v>
      </c>
      <c r="T157" s="4">
        <v>0</v>
      </c>
      <c r="U157" s="4">
        <v>0</v>
      </c>
      <c r="V157" s="4">
        <v>-8625</v>
      </c>
      <c r="W157" s="4">
        <v>-25315</v>
      </c>
      <c r="X157" t="s">
        <v>317</v>
      </c>
    </row>
    <row r="158" spans="2:24" x14ac:dyDescent="0.25">
      <c r="B158">
        <v>2027</v>
      </c>
      <c r="C158" t="s">
        <v>71</v>
      </c>
      <c r="D158" t="s">
        <v>72</v>
      </c>
      <c r="E158" t="s">
        <v>73</v>
      </c>
      <c r="F158" t="s">
        <v>74</v>
      </c>
      <c r="G158" t="s">
        <v>51</v>
      </c>
      <c r="H158" t="s">
        <v>313</v>
      </c>
      <c r="I158" t="s">
        <v>318</v>
      </c>
      <c r="J158" t="s">
        <v>77</v>
      </c>
      <c r="K158" s="4">
        <v>-460.58</v>
      </c>
      <c r="L158" s="4">
        <v>-460.58</v>
      </c>
      <c r="M158" s="4">
        <v>-460.58</v>
      </c>
      <c r="N158" s="4">
        <v>-460.58</v>
      </c>
      <c r="O158" s="107">
        <v>-460.58</v>
      </c>
      <c r="P158" s="4">
        <v>-460.58</v>
      </c>
      <c r="Q158" s="4">
        <v>-460.58</v>
      </c>
      <c r="R158" s="4">
        <v>-460.58</v>
      </c>
      <c r="S158" s="4">
        <v>-460.58</v>
      </c>
      <c r="T158" s="4">
        <v>-460.58</v>
      </c>
      <c r="U158" s="4">
        <v>-460.58</v>
      </c>
      <c r="V158" s="4">
        <v>-460.58</v>
      </c>
      <c r="W158" s="4">
        <v>-5526.96</v>
      </c>
      <c r="X158" t="s">
        <v>315</v>
      </c>
    </row>
    <row r="159" spans="2:24" x14ac:dyDescent="0.25">
      <c r="B159">
        <v>2027</v>
      </c>
      <c r="C159" t="s">
        <v>71</v>
      </c>
      <c r="D159" t="s">
        <v>72</v>
      </c>
      <c r="E159" t="s">
        <v>73</v>
      </c>
      <c r="F159" t="s">
        <v>74</v>
      </c>
      <c r="G159" t="s">
        <v>51</v>
      </c>
      <c r="H159" t="s">
        <v>313</v>
      </c>
      <c r="I159" t="s">
        <v>319</v>
      </c>
      <c r="J159" t="s">
        <v>77</v>
      </c>
      <c r="K159" s="4">
        <v>-74.989999999999995</v>
      </c>
      <c r="L159" s="4">
        <v>-74.989999999999995</v>
      </c>
      <c r="M159" s="4">
        <v>-74.989999999999995</v>
      </c>
      <c r="N159" s="4">
        <v>-74.989999999999995</v>
      </c>
      <c r="O159" s="107">
        <v>-74.989999999999995</v>
      </c>
      <c r="P159" s="4">
        <v>-74.989999999999995</v>
      </c>
      <c r="Q159" s="4">
        <v>-74.989999999999995</v>
      </c>
      <c r="R159" s="4">
        <v>-74.989999999999995</v>
      </c>
      <c r="S159" s="4">
        <v>-74.989999999999995</v>
      </c>
      <c r="T159" s="4">
        <v>-74.989999999999995</v>
      </c>
      <c r="U159" s="4">
        <v>-74.989999999999995</v>
      </c>
      <c r="V159" s="4">
        <v>-74.989999999999995</v>
      </c>
      <c r="W159" s="4">
        <v>-899.88</v>
      </c>
      <c r="X159" t="s">
        <v>315</v>
      </c>
    </row>
    <row r="160" spans="2:24" x14ac:dyDescent="0.25">
      <c r="B160">
        <v>2027</v>
      </c>
      <c r="C160" t="s">
        <v>71</v>
      </c>
      <c r="D160" t="s">
        <v>72</v>
      </c>
      <c r="E160" t="s">
        <v>73</v>
      </c>
      <c r="F160" t="s">
        <v>74</v>
      </c>
      <c r="G160" t="s">
        <v>51</v>
      </c>
      <c r="H160" t="s">
        <v>313</v>
      </c>
      <c r="I160" t="s">
        <v>320</v>
      </c>
      <c r="J160" t="s">
        <v>77</v>
      </c>
      <c r="K160" s="4">
        <v>-550</v>
      </c>
      <c r="L160" s="4">
        <v>-550</v>
      </c>
      <c r="M160" s="4">
        <v>-550</v>
      </c>
      <c r="N160" s="4">
        <v>-550</v>
      </c>
      <c r="O160" s="107">
        <v>-550</v>
      </c>
      <c r="P160" s="4">
        <v>-550</v>
      </c>
      <c r="Q160" s="4">
        <v>-550</v>
      </c>
      <c r="R160" s="4">
        <v>-550</v>
      </c>
      <c r="S160" s="4">
        <v>-550</v>
      </c>
      <c r="T160" s="4">
        <v>-550</v>
      </c>
      <c r="U160" s="4">
        <v>-550</v>
      </c>
      <c r="V160" s="4">
        <v>-550</v>
      </c>
      <c r="W160" s="4">
        <v>-6600</v>
      </c>
      <c r="X160" t="s">
        <v>321</v>
      </c>
    </row>
    <row r="161" spans="2:24" x14ac:dyDescent="0.25">
      <c r="B161">
        <v>2027</v>
      </c>
      <c r="C161" t="s">
        <v>71</v>
      </c>
      <c r="D161" t="s">
        <v>72</v>
      </c>
      <c r="E161" t="s">
        <v>73</v>
      </c>
      <c r="F161" t="s">
        <v>74</v>
      </c>
      <c r="G161" t="s">
        <v>51</v>
      </c>
      <c r="H161" t="s">
        <v>313</v>
      </c>
      <c r="I161" t="s">
        <v>322</v>
      </c>
      <c r="J161" t="s">
        <v>77</v>
      </c>
      <c r="K161" s="4">
        <v>-96</v>
      </c>
      <c r="L161" s="4">
        <v>-96</v>
      </c>
      <c r="M161" s="4">
        <v>-96</v>
      </c>
      <c r="N161" s="4">
        <v>-96</v>
      </c>
      <c r="O161" s="107">
        <v>-96</v>
      </c>
      <c r="P161" s="4">
        <v>-96</v>
      </c>
      <c r="Q161" s="4">
        <v>-96</v>
      </c>
      <c r="R161" s="4">
        <v>-96</v>
      </c>
      <c r="S161" s="4">
        <v>-96</v>
      </c>
      <c r="T161" s="4">
        <v>-96</v>
      </c>
      <c r="U161" s="4">
        <v>-96</v>
      </c>
      <c r="V161" s="4">
        <v>-96</v>
      </c>
      <c r="W161" s="4">
        <v>-1152</v>
      </c>
      <c r="X161" t="s">
        <v>315</v>
      </c>
    </row>
    <row r="162" spans="2:24" x14ac:dyDescent="0.25">
      <c r="B162">
        <v>2027</v>
      </c>
      <c r="C162" t="s">
        <v>71</v>
      </c>
      <c r="D162" t="s">
        <v>72</v>
      </c>
      <c r="E162" t="s">
        <v>73</v>
      </c>
      <c r="F162" t="s">
        <v>74</v>
      </c>
      <c r="G162" t="s">
        <v>51</v>
      </c>
      <c r="H162" t="s">
        <v>313</v>
      </c>
      <c r="I162" t="s">
        <v>323</v>
      </c>
      <c r="J162" t="s">
        <v>77</v>
      </c>
      <c r="K162" s="4">
        <v>-6200</v>
      </c>
      <c r="L162" s="4">
        <v>-6200</v>
      </c>
      <c r="M162" s="4">
        <v>-6200</v>
      </c>
      <c r="N162" s="4">
        <v>-6200</v>
      </c>
      <c r="O162" s="107">
        <v>-6200</v>
      </c>
      <c r="P162" s="4">
        <v>-6200</v>
      </c>
      <c r="Q162" s="4">
        <v>-6200</v>
      </c>
      <c r="R162" s="4">
        <v>-6200</v>
      </c>
      <c r="S162" s="4">
        <v>-6200</v>
      </c>
      <c r="T162" s="4">
        <v>-6200</v>
      </c>
      <c r="U162" s="4">
        <v>-6200</v>
      </c>
      <c r="V162" s="4">
        <v>-6200</v>
      </c>
      <c r="W162" s="4">
        <v>-74400</v>
      </c>
      <c r="X162" t="s">
        <v>324</v>
      </c>
    </row>
    <row r="163" spans="2:24" x14ac:dyDescent="0.25">
      <c r="B163">
        <v>2027</v>
      </c>
      <c r="C163" t="s">
        <v>71</v>
      </c>
      <c r="D163" t="s">
        <v>72</v>
      </c>
      <c r="E163" t="s">
        <v>73</v>
      </c>
      <c r="F163" t="s">
        <v>74</v>
      </c>
      <c r="G163" t="s">
        <v>51</v>
      </c>
      <c r="H163" t="s">
        <v>313</v>
      </c>
      <c r="I163" t="s">
        <v>325</v>
      </c>
      <c r="J163" t="s">
        <v>77</v>
      </c>
      <c r="K163" s="4">
        <v>-600</v>
      </c>
      <c r="L163" s="4">
        <v>0</v>
      </c>
      <c r="M163" s="4">
        <v>0</v>
      </c>
      <c r="N163" s="4">
        <v>-600</v>
      </c>
      <c r="O163" s="107">
        <v>0</v>
      </c>
      <c r="P163" s="4">
        <v>0</v>
      </c>
      <c r="Q163" s="4">
        <v>-600</v>
      </c>
      <c r="R163" s="4">
        <v>0</v>
      </c>
      <c r="S163" s="4">
        <v>0</v>
      </c>
      <c r="T163" s="4">
        <v>0</v>
      </c>
      <c r="U163" s="4">
        <v>-600</v>
      </c>
      <c r="V163" s="4">
        <v>0</v>
      </c>
      <c r="W163" s="4">
        <v>-2400</v>
      </c>
      <c r="X163" t="s">
        <v>326</v>
      </c>
    </row>
    <row r="164" spans="2:24" x14ac:dyDescent="0.25">
      <c r="B164">
        <v>2027</v>
      </c>
      <c r="C164" t="s">
        <v>71</v>
      </c>
      <c r="D164" t="s">
        <v>72</v>
      </c>
      <c r="E164" t="s">
        <v>73</v>
      </c>
      <c r="F164" t="s">
        <v>74</v>
      </c>
      <c r="G164" t="s">
        <v>51</v>
      </c>
      <c r="H164" t="s">
        <v>313</v>
      </c>
      <c r="I164" t="s">
        <v>327</v>
      </c>
      <c r="J164" t="s">
        <v>77</v>
      </c>
      <c r="K164" s="4">
        <v>-90</v>
      </c>
      <c r="L164" s="4">
        <v>-90</v>
      </c>
      <c r="M164" s="4">
        <v>-90</v>
      </c>
      <c r="N164" s="4">
        <v>-90</v>
      </c>
      <c r="O164" s="107">
        <v>-90</v>
      </c>
      <c r="P164" s="4">
        <v>-90</v>
      </c>
      <c r="Q164" s="4">
        <v>-90</v>
      </c>
      <c r="R164" s="4">
        <v>-90</v>
      </c>
      <c r="S164" s="4">
        <v>-90</v>
      </c>
      <c r="T164" s="4">
        <v>-90</v>
      </c>
      <c r="U164" s="4">
        <v>-90</v>
      </c>
      <c r="V164" s="4">
        <v>-90</v>
      </c>
      <c r="W164" s="4">
        <v>-1080</v>
      </c>
      <c r="X164" t="s">
        <v>315</v>
      </c>
    </row>
    <row r="165" spans="2:24" x14ac:dyDescent="0.25">
      <c r="B165">
        <v>2027</v>
      </c>
      <c r="C165" t="s">
        <v>71</v>
      </c>
      <c r="D165" t="s">
        <v>72</v>
      </c>
      <c r="E165" t="s">
        <v>73</v>
      </c>
      <c r="F165" t="s">
        <v>74</v>
      </c>
      <c r="G165" t="s">
        <v>51</v>
      </c>
      <c r="H165" t="s">
        <v>313</v>
      </c>
      <c r="I165" t="s">
        <v>328</v>
      </c>
      <c r="J165" t="s">
        <v>77</v>
      </c>
      <c r="K165" s="4">
        <v>-819.53</v>
      </c>
      <c r="L165" s="4">
        <v>-819.53</v>
      </c>
      <c r="M165" s="4">
        <v>-819.53</v>
      </c>
      <c r="N165" s="4">
        <v>-819.53</v>
      </c>
      <c r="O165" s="107">
        <v>-819.53</v>
      </c>
      <c r="P165" s="4">
        <v>-819.53</v>
      </c>
      <c r="Q165" s="4">
        <v>-819.53</v>
      </c>
      <c r="R165" s="4">
        <v>-819.53</v>
      </c>
      <c r="S165" s="4">
        <v>-819.53</v>
      </c>
      <c r="T165" s="4">
        <v>-819.53</v>
      </c>
      <c r="U165" s="4">
        <v>-819.53</v>
      </c>
      <c r="V165" s="4">
        <v>-819.53</v>
      </c>
      <c r="W165" s="4">
        <v>-9834.36</v>
      </c>
      <c r="X165" t="s">
        <v>315</v>
      </c>
    </row>
    <row r="166" spans="2:24" x14ac:dyDescent="0.25">
      <c r="B166">
        <v>2027</v>
      </c>
      <c r="C166" t="s">
        <v>71</v>
      </c>
      <c r="D166" t="s">
        <v>72</v>
      </c>
      <c r="E166" t="s">
        <v>73</v>
      </c>
      <c r="F166" t="s">
        <v>74</v>
      </c>
      <c r="G166" t="s">
        <v>51</v>
      </c>
      <c r="H166" t="s">
        <v>313</v>
      </c>
      <c r="I166" t="s">
        <v>329</v>
      </c>
      <c r="J166" t="s">
        <v>77</v>
      </c>
      <c r="K166" s="4">
        <v>-295.08</v>
      </c>
      <c r="L166" s="4">
        <v>-295.08</v>
      </c>
      <c r="M166" s="4">
        <v>-295.08</v>
      </c>
      <c r="N166" s="4">
        <v>-295.08</v>
      </c>
      <c r="O166" s="107">
        <v>-295.08</v>
      </c>
      <c r="P166" s="4">
        <v>-295.08</v>
      </c>
      <c r="Q166" s="4">
        <v>-295.08</v>
      </c>
      <c r="R166" s="4">
        <v>-295.08</v>
      </c>
      <c r="S166" s="4">
        <v>-295.08</v>
      </c>
      <c r="T166" s="4">
        <v>-295.08</v>
      </c>
      <c r="U166" s="4">
        <v>-295.08</v>
      </c>
      <c r="V166" s="4">
        <v>-295.08</v>
      </c>
      <c r="W166" s="4">
        <v>-3540.96</v>
      </c>
      <c r="X166" t="s">
        <v>315</v>
      </c>
    </row>
    <row r="167" spans="2:24" x14ac:dyDescent="0.25">
      <c r="B167">
        <v>2027</v>
      </c>
      <c r="C167" t="s">
        <v>71</v>
      </c>
      <c r="D167" t="s">
        <v>72</v>
      </c>
      <c r="E167" t="s">
        <v>73</v>
      </c>
      <c r="F167" t="s">
        <v>74</v>
      </c>
      <c r="G167" t="s">
        <v>51</v>
      </c>
      <c r="H167" t="s">
        <v>313</v>
      </c>
      <c r="I167" t="s">
        <v>330</v>
      </c>
      <c r="J167" t="s">
        <v>77</v>
      </c>
      <c r="K167" s="4">
        <v>-1326.15</v>
      </c>
      <c r="L167" s="4">
        <v>-1326.15</v>
      </c>
      <c r="M167" s="4">
        <v>-1326.15</v>
      </c>
      <c r="N167" s="4">
        <v>-1326.15</v>
      </c>
      <c r="O167" s="107">
        <v>-1326.15</v>
      </c>
      <c r="P167" s="4">
        <v>-1326.15</v>
      </c>
      <c r="Q167" s="4">
        <v>-1326.15</v>
      </c>
      <c r="R167" s="4">
        <v>-1326.15</v>
      </c>
      <c r="S167" s="4">
        <v>-1326.15</v>
      </c>
      <c r="T167" s="4">
        <v>-1326.15</v>
      </c>
      <c r="U167" s="4">
        <v>-1326.15</v>
      </c>
      <c r="V167" s="4">
        <v>-1326.15</v>
      </c>
      <c r="W167" s="4">
        <v>-15913.8</v>
      </c>
      <c r="X167" t="s">
        <v>315</v>
      </c>
    </row>
    <row r="168" spans="2:24" x14ac:dyDescent="0.25">
      <c r="B168">
        <v>2027</v>
      </c>
      <c r="C168" t="s">
        <v>71</v>
      </c>
      <c r="D168" t="s">
        <v>72</v>
      </c>
      <c r="E168" t="s">
        <v>73</v>
      </c>
      <c r="F168" t="s">
        <v>74</v>
      </c>
      <c r="G168" t="s">
        <v>51</v>
      </c>
      <c r="H168" t="s">
        <v>313</v>
      </c>
      <c r="I168" t="s">
        <v>331</v>
      </c>
      <c r="J168" t="s">
        <v>77</v>
      </c>
      <c r="K168" s="4">
        <v>-4434.58</v>
      </c>
      <c r="L168" s="4">
        <v>-4434.58</v>
      </c>
      <c r="M168" s="4">
        <v>-4434.58</v>
      </c>
      <c r="N168" s="4">
        <v>-4434.58</v>
      </c>
      <c r="O168" s="107">
        <v>-4434.58</v>
      </c>
      <c r="P168" s="4">
        <v>-4434.58</v>
      </c>
      <c r="Q168" s="4">
        <v>-4434.58</v>
      </c>
      <c r="R168" s="4">
        <v>-4434.58</v>
      </c>
      <c r="S168" s="4">
        <v>-4434.58</v>
      </c>
      <c r="T168" s="4">
        <v>-4434.58</v>
      </c>
      <c r="U168" s="4">
        <v>-4434.58</v>
      </c>
      <c r="V168" s="4">
        <v>-4434.62</v>
      </c>
      <c r="W168" s="4">
        <v>-53215</v>
      </c>
      <c r="X168" t="s">
        <v>332</v>
      </c>
    </row>
    <row r="169" spans="2:24" x14ac:dyDescent="0.25">
      <c r="B169">
        <v>2027</v>
      </c>
      <c r="C169" t="s">
        <v>71</v>
      </c>
      <c r="D169" t="s">
        <v>72</v>
      </c>
      <c r="E169" t="s">
        <v>73</v>
      </c>
      <c r="F169" t="s">
        <v>74</v>
      </c>
      <c r="G169" t="s">
        <v>51</v>
      </c>
      <c r="H169" t="s">
        <v>313</v>
      </c>
      <c r="I169" t="s">
        <v>333</v>
      </c>
      <c r="J169" t="s">
        <v>77</v>
      </c>
      <c r="K169" s="4">
        <v>-263.39999999999998</v>
      </c>
      <c r="L169" s="4">
        <v>-263.39999999999998</v>
      </c>
      <c r="M169" s="4">
        <v>-263.39999999999998</v>
      </c>
      <c r="N169" s="4">
        <v>-263.39999999999998</v>
      </c>
      <c r="O169" s="107">
        <v>-263.39999999999998</v>
      </c>
      <c r="P169" s="4">
        <v>-263.39999999999998</v>
      </c>
      <c r="Q169" s="4">
        <v>-263.39999999999998</v>
      </c>
      <c r="R169" s="4">
        <v>-263.39999999999998</v>
      </c>
      <c r="S169" s="4">
        <v>-263.39999999999998</v>
      </c>
      <c r="T169" s="4">
        <v>-263.39999999999998</v>
      </c>
      <c r="U169" s="4">
        <v>-263.39999999999998</v>
      </c>
      <c r="V169" s="4">
        <v>-263.39999999999998</v>
      </c>
      <c r="W169" s="4">
        <v>-3160.8000000000011</v>
      </c>
      <c r="X169" t="s">
        <v>315</v>
      </c>
    </row>
    <row r="170" spans="2:24" x14ac:dyDescent="0.25">
      <c r="B170">
        <v>2027</v>
      </c>
      <c r="C170" t="s">
        <v>71</v>
      </c>
      <c r="D170" t="s">
        <v>72</v>
      </c>
      <c r="E170" t="s">
        <v>73</v>
      </c>
      <c r="F170" t="s">
        <v>74</v>
      </c>
      <c r="G170" t="s">
        <v>51</v>
      </c>
      <c r="H170" t="s">
        <v>313</v>
      </c>
      <c r="I170" t="s">
        <v>334</v>
      </c>
      <c r="J170" t="s">
        <v>77</v>
      </c>
      <c r="K170" s="4">
        <v>-156.84</v>
      </c>
      <c r="L170" s="4">
        <v>-156.84</v>
      </c>
      <c r="M170" s="4">
        <v>-156.84</v>
      </c>
      <c r="N170" s="4">
        <v>-156.84</v>
      </c>
      <c r="O170" s="107">
        <v>-156.84</v>
      </c>
      <c r="P170" s="4">
        <v>-156.84</v>
      </c>
      <c r="Q170" s="4">
        <v>-156.84</v>
      </c>
      <c r="R170" s="4">
        <v>-156.84</v>
      </c>
      <c r="S170" s="4">
        <v>-156.84</v>
      </c>
      <c r="T170" s="4">
        <v>-156.84</v>
      </c>
      <c r="U170" s="4">
        <v>-156.84</v>
      </c>
      <c r="V170" s="4">
        <v>-156.84</v>
      </c>
      <c r="W170" s="4">
        <v>-1882.08</v>
      </c>
      <c r="X170" t="s">
        <v>315</v>
      </c>
    </row>
    <row r="171" spans="2:24" x14ac:dyDescent="0.25">
      <c r="B171">
        <v>2027</v>
      </c>
      <c r="C171" t="s">
        <v>71</v>
      </c>
      <c r="D171" t="s">
        <v>72</v>
      </c>
      <c r="E171" t="s">
        <v>73</v>
      </c>
      <c r="F171" t="s">
        <v>74</v>
      </c>
      <c r="G171" t="s">
        <v>51</v>
      </c>
      <c r="H171" t="s">
        <v>313</v>
      </c>
      <c r="I171" t="s">
        <v>335</v>
      </c>
      <c r="J171" t="s">
        <v>77</v>
      </c>
      <c r="K171" s="4">
        <v>-500.03</v>
      </c>
      <c r="L171" s="4">
        <v>-500.03</v>
      </c>
      <c r="M171" s="4">
        <v>-500.03</v>
      </c>
      <c r="N171" s="4">
        <v>-500.03</v>
      </c>
      <c r="O171" s="107">
        <v>-500.03</v>
      </c>
      <c r="P171" s="4">
        <v>-500.03</v>
      </c>
      <c r="Q171" s="4">
        <v>-500.03</v>
      </c>
      <c r="R171" s="4">
        <v>-500.03</v>
      </c>
      <c r="S171" s="4">
        <v>-500.03</v>
      </c>
      <c r="T171" s="4">
        <v>-500.03</v>
      </c>
      <c r="U171" s="4">
        <v>-500.03</v>
      </c>
      <c r="V171" s="4">
        <v>-500.03</v>
      </c>
      <c r="W171" s="4">
        <v>-6000.3599999999979</v>
      </c>
      <c r="X171" t="s">
        <v>315</v>
      </c>
    </row>
    <row r="172" spans="2:24" x14ac:dyDescent="0.25">
      <c r="B172">
        <v>2027</v>
      </c>
      <c r="C172" t="s">
        <v>71</v>
      </c>
      <c r="D172" t="s">
        <v>72</v>
      </c>
      <c r="E172" t="s">
        <v>73</v>
      </c>
      <c r="F172" t="s">
        <v>74</v>
      </c>
      <c r="G172" t="s">
        <v>51</v>
      </c>
      <c r="H172" t="s">
        <v>313</v>
      </c>
      <c r="I172" t="s">
        <v>336</v>
      </c>
      <c r="J172" t="s">
        <v>77</v>
      </c>
      <c r="K172" s="4">
        <v>-1500</v>
      </c>
      <c r="L172" s="4">
        <v>-2000</v>
      </c>
      <c r="M172" s="4">
        <v>-2000</v>
      </c>
      <c r="N172" s="4">
        <v>-2000</v>
      </c>
      <c r="O172" s="107">
        <v>-2000</v>
      </c>
      <c r="P172" s="4">
        <v>-2000</v>
      </c>
      <c r="Q172" s="4">
        <v>-2000</v>
      </c>
      <c r="R172" s="4">
        <v>-1000</v>
      </c>
      <c r="S172" s="4">
        <v>-2000</v>
      </c>
      <c r="T172" s="4">
        <v>-2000</v>
      </c>
      <c r="U172" s="4">
        <v>-2000</v>
      </c>
      <c r="V172" s="4">
        <v>-1500</v>
      </c>
      <c r="W172" s="4">
        <v>-22000</v>
      </c>
      <c r="X172" t="s">
        <v>337</v>
      </c>
    </row>
    <row r="173" spans="2:24" x14ac:dyDescent="0.25">
      <c r="B173">
        <v>2027</v>
      </c>
      <c r="C173" t="s">
        <v>71</v>
      </c>
      <c r="D173" t="s">
        <v>72</v>
      </c>
      <c r="E173" t="s">
        <v>73</v>
      </c>
      <c r="F173" t="s">
        <v>74</v>
      </c>
      <c r="G173" t="s">
        <v>51</v>
      </c>
      <c r="H173" t="s">
        <v>313</v>
      </c>
      <c r="I173" t="s">
        <v>338</v>
      </c>
      <c r="J173" t="s">
        <v>77</v>
      </c>
      <c r="K173" s="4">
        <v>-1500</v>
      </c>
      <c r="L173" s="4">
        <v>-2000</v>
      </c>
      <c r="M173" s="4">
        <v>-2000</v>
      </c>
      <c r="N173" s="4">
        <v>-2000</v>
      </c>
      <c r="O173" s="107">
        <v>-2000</v>
      </c>
      <c r="P173" s="4">
        <v>-2000</v>
      </c>
      <c r="Q173" s="4">
        <v>-2000</v>
      </c>
      <c r="R173" s="4">
        <v>-1000</v>
      </c>
      <c r="S173" s="4">
        <v>-2000</v>
      </c>
      <c r="T173" s="4">
        <v>-2000</v>
      </c>
      <c r="U173" s="4">
        <v>-2000</v>
      </c>
      <c r="V173" s="4">
        <v>-1500</v>
      </c>
      <c r="W173" s="4">
        <v>-22000</v>
      </c>
      <c r="X173" t="s">
        <v>339</v>
      </c>
    </row>
    <row r="174" spans="2:24" x14ac:dyDescent="0.25">
      <c r="B174">
        <v>2027</v>
      </c>
      <c r="C174" t="s">
        <v>71</v>
      </c>
      <c r="D174" t="s">
        <v>72</v>
      </c>
      <c r="E174" t="s">
        <v>73</v>
      </c>
      <c r="F174" t="s">
        <v>74</v>
      </c>
      <c r="G174" t="s">
        <v>51</v>
      </c>
      <c r="H174" t="s">
        <v>313</v>
      </c>
      <c r="I174" t="s">
        <v>340</v>
      </c>
      <c r="J174" t="s">
        <v>77</v>
      </c>
      <c r="K174" s="4">
        <v>-900</v>
      </c>
      <c r="L174" s="4">
        <v>-1200</v>
      </c>
      <c r="M174" s="4">
        <v>-1200</v>
      </c>
      <c r="N174" s="4">
        <v>-1200</v>
      </c>
      <c r="O174" s="107">
        <v>-1200</v>
      </c>
      <c r="P174" s="4">
        <v>-1200</v>
      </c>
      <c r="Q174" s="4">
        <v>-1200</v>
      </c>
      <c r="R174" s="4">
        <v>-600</v>
      </c>
      <c r="S174" s="4">
        <v>-1200</v>
      </c>
      <c r="T174" s="4">
        <v>-1200</v>
      </c>
      <c r="U174" s="4">
        <v>-1200</v>
      </c>
      <c r="V174" s="4">
        <v>-900</v>
      </c>
      <c r="W174" s="4">
        <v>-13200</v>
      </c>
      <c r="X174" t="s">
        <v>341</v>
      </c>
    </row>
    <row r="175" spans="2:24" x14ac:dyDescent="0.25">
      <c r="B175">
        <v>2027</v>
      </c>
      <c r="C175" t="s">
        <v>71</v>
      </c>
      <c r="D175" t="s">
        <v>72</v>
      </c>
      <c r="E175" t="s">
        <v>73</v>
      </c>
      <c r="F175" t="s">
        <v>74</v>
      </c>
      <c r="G175" t="s">
        <v>51</v>
      </c>
      <c r="H175" t="s">
        <v>313</v>
      </c>
      <c r="I175" t="s">
        <v>342</v>
      </c>
      <c r="J175" t="s">
        <v>77</v>
      </c>
      <c r="K175" s="4">
        <v>-1500</v>
      </c>
      <c r="L175" s="4">
        <v>-2000</v>
      </c>
      <c r="M175" s="4">
        <v>-2000</v>
      </c>
      <c r="N175" s="4">
        <v>-2000</v>
      </c>
      <c r="O175" s="107">
        <v>-2000</v>
      </c>
      <c r="P175" s="4">
        <v>-2000</v>
      </c>
      <c r="Q175" s="4">
        <v>-2000</v>
      </c>
      <c r="R175" s="4">
        <v>-1000</v>
      </c>
      <c r="S175" s="4">
        <v>-2000</v>
      </c>
      <c r="T175" s="4">
        <v>-2000</v>
      </c>
      <c r="U175" s="4">
        <v>-2000</v>
      </c>
      <c r="V175" s="4">
        <v>-1500</v>
      </c>
      <c r="W175" s="4">
        <v>-22000</v>
      </c>
      <c r="X175" t="s">
        <v>343</v>
      </c>
    </row>
    <row r="176" spans="2:24" x14ac:dyDescent="0.25">
      <c r="B176">
        <v>2027</v>
      </c>
      <c r="C176" t="s">
        <v>71</v>
      </c>
      <c r="D176" t="s">
        <v>72</v>
      </c>
      <c r="E176" t="s">
        <v>73</v>
      </c>
      <c r="F176" t="s">
        <v>74</v>
      </c>
      <c r="G176" t="s">
        <v>51</v>
      </c>
      <c r="H176" t="s">
        <v>313</v>
      </c>
      <c r="I176" t="s">
        <v>344</v>
      </c>
      <c r="J176" t="s">
        <v>77</v>
      </c>
      <c r="K176" s="4">
        <v>-450</v>
      </c>
      <c r="L176" s="4">
        <v>-600</v>
      </c>
      <c r="M176" s="4">
        <v>-600</v>
      </c>
      <c r="N176" s="4">
        <v>-600</v>
      </c>
      <c r="O176" s="107">
        <v>-600</v>
      </c>
      <c r="P176" s="4">
        <v>-600</v>
      </c>
      <c r="Q176" s="4">
        <v>-600</v>
      </c>
      <c r="R176" s="4">
        <v>-300</v>
      </c>
      <c r="S176" s="4">
        <v>-600</v>
      </c>
      <c r="T176" s="4">
        <v>-600</v>
      </c>
      <c r="U176" s="4">
        <v>-600</v>
      </c>
      <c r="V176" s="4">
        <v>-450</v>
      </c>
      <c r="W176" s="4">
        <v>-6600</v>
      </c>
      <c r="X176" t="s">
        <v>345</v>
      </c>
    </row>
    <row r="177" spans="2:24" x14ac:dyDescent="0.25">
      <c r="B177">
        <v>2027</v>
      </c>
      <c r="C177" t="s">
        <v>71</v>
      </c>
      <c r="D177" t="s">
        <v>72</v>
      </c>
      <c r="E177" t="s">
        <v>73</v>
      </c>
      <c r="F177" t="s">
        <v>74</v>
      </c>
      <c r="G177" t="s">
        <v>51</v>
      </c>
      <c r="H177" t="s">
        <v>313</v>
      </c>
      <c r="I177" t="s">
        <v>346</v>
      </c>
      <c r="J177" t="s">
        <v>77</v>
      </c>
      <c r="K177" s="4">
        <v>-202.44</v>
      </c>
      <c r="L177" s="4">
        <v>-202.44</v>
      </c>
      <c r="M177" s="4">
        <v>-202.44</v>
      </c>
      <c r="N177" s="4">
        <v>-202.44</v>
      </c>
      <c r="O177" s="4">
        <v>-202.44</v>
      </c>
      <c r="P177" s="4">
        <v>-202.44</v>
      </c>
      <c r="Q177" s="4">
        <v>-202.44</v>
      </c>
      <c r="R177" s="4">
        <v>-202.44</v>
      </c>
      <c r="S177" s="4">
        <v>-202.44</v>
      </c>
      <c r="T177" s="4">
        <v>-202.44</v>
      </c>
      <c r="U177" s="4">
        <v>-202.44</v>
      </c>
      <c r="V177" s="4">
        <v>-202.44</v>
      </c>
      <c r="W177" s="4">
        <v>-2429.2800000000002</v>
      </c>
      <c r="X177" t="s">
        <v>315</v>
      </c>
    </row>
    <row r="178" spans="2:24" x14ac:dyDescent="0.25">
      <c r="B178">
        <v>2027</v>
      </c>
      <c r="C178" t="s">
        <v>71</v>
      </c>
      <c r="D178" t="s">
        <v>72</v>
      </c>
      <c r="E178" t="s">
        <v>73</v>
      </c>
      <c r="F178" t="s">
        <v>74</v>
      </c>
      <c r="G178" t="s">
        <v>51</v>
      </c>
      <c r="H178" t="s">
        <v>313</v>
      </c>
      <c r="I178" t="s">
        <v>347</v>
      </c>
      <c r="J178" t="s">
        <v>77</v>
      </c>
      <c r="K178" s="4">
        <v>-91.05</v>
      </c>
      <c r="L178" s="4">
        <v>-91.05</v>
      </c>
      <c r="M178" s="4">
        <v>-91.05</v>
      </c>
      <c r="N178" s="4">
        <v>-91.05</v>
      </c>
      <c r="O178" s="4">
        <v>-91.05</v>
      </c>
      <c r="P178" s="4">
        <v>-91.05</v>
      </c>
      <c r="Q178" s="4">
        <v>-91.05</v>
      </c>
      <c r="R178" s="4">
        <v>-91.05</v>
      </c>
      <c r="S178" s="4">
        <v>-91.05</v>
      </c>
      <c r="T178" s="4">
        <v>-91.05</v>
      </c>
      <c r="U178" s="4">
        <v>-91.05</v>
      </c>
      <c r="V178" s="4">
        <v>-91.05</v>
      </c>
      <c r="W178" s="4">
        <v>-1092.5999999999999</v>
      </c>
      <c r="X178" t="s">
        <v>315</v>
      </c>
    </row>
    <row r="179" spans="2:24" x14ac:dyDescent="0.25">
      <c r="B179">
        <v>2027</v>
      </c>
      <c r="C179" t="s">
        <v>71</v>
      </c>
      <c r="D179" t="s">
        <v>72</v>
      </c>
      <c r="E179" t="s">
        <v>73</v>
      </c>
      <c r="F179" t="s">
        <v>74</v>
      </c>
      <c r="G179" t="s">
        <v>51</v>
      </c>
      <c r="H179" t="s">
        <v>313</v>
      </c>
      <c r="I179" t="s">
        <v>348</v>
      </c>
      <c r="J179" t="s">
        <v>77</v>
      </c>
      <c r="K179" s="4">
        <v>-450</v>
      </c>
      <c r="L179" s="4">
        <v>-600</v>
      </c>
      <c r="M179" s="4">
        <v>-600</v>
      </c>
      <c r="N179" s="4">
        <v>-600</v>
      </c>
      <c r="O179" s="107">
        <v>-600</v>
      </c>
      <c r="P179" s="4">
        <v>-600</v>
      </c>
      <c r="Q179" s="4">
        <v>-600</v>
      </c>
      <c r="R179" s="4">
        <v>-300</v>
      </c>
      <c r="S179" s="4">
        <v>-600</v>
      </c>
      <c r="T179" s="4">
        <v>-600</v>
      </c>
      <c r="U179" s="4">
        <v>-600</v>
      </c>
      <c r="V179" s="4">
        <v>-450</v>
      </c>
      <c r="W179" s="4">
        <v>-6600</v>
      </c>
      <c r="X179" t="s">
        <v>349</v>
      </c>
    </row>
    <row r="180" spans="2:24" x14ac:dyDescent="0.25">
      <c r="B180">
        <v>2027</v>
      </c>
      <c r="C180" t="s">
        <v>71</v>
      </c>
      <c r="D180" t="s">
        <v>72</v>
      </c>
      <c r="E180" t="s">
        <v>73</v>
      </c>
      <c r="F180" t="s">
        <v>74</v>
      </c>
      <c r="G180" t="s">
        <v>51</v>
      </c>
      <c r="H180" t="s">
        <v>350</v>
      </c>
      <c r="I180" t="s">
        <v>351</v>
      </c>
      <c r="J180" t="s">
        <v>77</v>
      </c>
      <c r="K180" s="4">
        <v>-156.06</v>
      </c>
      <c r="L180" s="4">
        <v>-156.06</v>
      </c>
      <c r="M180" s="4">
        <v>-156.06</v>
      </c>
      <c r="N180" s="4">
        <v>-156.06</v>
      </c>
      <c r="O180" s="107">
        <v>-156.06</v>
      </c>
      <c r="P180" s="4">
        <v>-156.06</v>
      </c>
      <c r="Q180" s="4">
        <v>-156.06</v>
      </c>
      <c r="R180" s="4">
        <v>-156.06</v>
      </c>
      <c r="S180" s="4">
        <v>-156.06</v>
      </c>
      <c r="T180" s="4">
        <v>-156.06</v>
      </c>
      <c r="U180" s="4">
        <v>-156.06</v>
      </c>
      <c r="V180" s="4">
        <v>-156.06</v>
      </c>
      <c r="W180" s="4">
        <v>-1872.72</v>
      </c>
      <c r="X180" t="s">
        <v>352</v>
      </c>
    </row>
    <row r="181" spans="2:24" x14ac:dyDescent="0.25">
      <c r="B181">
        <v>2027</v>
      </c>
      <c r="C181" t="s">
        <v>71</v>
      </c>
      <c r="D181" t="s">
        <v>72</v>
      </c>
      <c r="E181" t="s">
        <v>73</v>
      </c>
      <c r="F181" t="s">
        <v>74</v>
      </c>
      <c r="G181" t="s">
        <v>51</v>
      </c>
      <c r="H181" t="s">
        <v>350</v>
      </c>
      <c r="I181" t="s">
        <v>353</v>
      </c>
      <c r="J181" t="s">
        <v>77</v>
      </c>
      <c r="K181" s="4">
        <v>0</v>
      </c>
      <c r="L181" s="4">
        <v>0</v>
      </c>
      <c r="M181" s="4">
        <v>0</v>
      </c>
      <c r="N181" s="4">
        <v>0</v>
      </c>
      <c r="O181" s="107">
        <v>-581.49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-581.49</v>
      </c>
      <c r="X181" t="s">
        <v>354</v>
      </c>
    </row>
    <row r="182" spans="2:24" x14ac:dyDescent="0.25">
      <c r="B182">
        <v>2027</v>
      </c>
      <c r="C182" t="s">
        <v>71</v>
      </c>
      <c r="D182" t="s">
        <v>72</v>
      </c>
      <c r="E182" t="s">
        <v>73</v>
      </c>
      <c r="F182" t="s">
        <v>74</v>
      </c>
      <c r="G182" t="s">
        <v>51</v>
      </c>
      <c r="H182" t="s">
        <v>350</v>
      </c>
      <c r="I182" t="s">
        <v>355</v>
      </c>
      <c r="J182" t="s">
        <v>77</v>
      </c>
      <c r="K182" s="4">
        <v>-616.38</v>
      </c>
      <c r="L182" s="4">
        <v>-616.38</v>
      </c>
      <c r="M182" s="4">
        <v>-616.38</v>
      </c>
      <c r="N182" s="4">
        <v>-616.38</v>
      </c>
      <c r="O182" s="107">
        <v>-616.38</v>
      </c>
      <c r="P182" s="4">
        <v>-616.38</v>
      </c>
      <c r="Q182" s="4">
        <v>-616.38</v>
      </c>
      <c r="R182" s="4">
        <v>-616.38</v>
      </c>
      <c r="S182" s="4">
        <v>-616.38</v>
      </c>
      <c r="T182" s="4">
        <v>-616.38</v>
      </c>
      <c r="U182" s="4">
        <v>-616.38</v>
      </c>
      <c r="V182" s="4">
        <v>-616.38</v>
      </c>
      <c r="W182" s="4">
        <v>-7396.56</v>
      </c>
      <c r="X182" t="s">
        <v>356</v>
      </c>
    </row>
    <row r="183" spans="2:24" x14ac:dyDescent="0.25">
      <c r="B183">
        <v>2027</v>
      </c>
      <c r="C183" t="s">
        <v>71</v>
      </c>
      <c r="D183" t="s">
        <v>72</v>
      </c>
      <c r="E183" t="s">
        <v>73</v>
      </c>
      <c r="F183" t="s">
        <v>74</v>
      </c>
      <c r="G183" t="s">
        <v>51</v>
      </c>
      <c r="H183" t="s">
        <v>350</v>
      </c>
      <c r="I183" t="s">
        <v>357</v>
      </c>
      <c r="J183" t="s">
        <v>77</v>
      </c>
      <c r="K183" s="4">
        <v>-2516.21</v>
      </c>
      <c r="L183" s="4">
        <v>-4075.81</v>
      </c>
      <c r="M183" s="4">
        <v>-3909.7</v>
      </c>
      <c r="N183" s="4">
        <v>-3147.65</v>
      </c>
      <c r="O183" s="107">
        <v>-5167.87</v>
      </c>
      <c r="P183" s="4">
        <v>-5124.8599999999997</v>
      </c>
      <c r="Q183" s="4">
        <v>-3251.56</v>
      </c>
      <c r="R183" s="4">
        <v>-2075.09</v>
      </c>
      <c r="S183" s="4">
        <v>-1205.3699999999999</v>
      </c>
      <c r="T183" s="4">
        <v>-2015.85</v>
      </c>
      <c r="U183" s="4">
        <v>-3116.01</v>
      </c>
      <c r="V183" s="4">
        <v>-3417.97</v>
      </c>
      <c r="W183" s="4">
        <v>-39023.949999999997</v>
      </c>
      <c r="X183" t="s">
        <v>358</v>
      </c>
    </row>
    <row r="184" spans="2:24" x14ac:dyDescent="0.25">
      <c r="B184">
        <v>2027</v>
      </c>
      <c r="C184" t="s">
        <v>71</v>
      </c>
      <c r="D184" t="s">
        <v>72</v>
      </c>
      <c r="E184" t="s">
        <v>73</v>
      </c>
      <c r="F184" t="s">
        <v>74</v>
      </c>
      <c r="G184" t="s">
        <v>51</v>
      </c>
      <c r="H184" t="s">
        <v>359</v>
      </c>
      <c r="I184" t="s">
        <v>360</v>
      </c>
      <c r="J184" t="s">
        <v>77</v>
      </c>
      <c r="K184" s="4">
        <v>0</v>
      </c>
      <c r="L184" s="4">
        <v>0</v>
      </c>
      <c r="M184" s="4">
        <v>0</v>
      </c>
      <c r="N184" s="4">
        <v>0</v>
      </c>
      <c r="O184" s="107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t="s">
        <v>361</v>
      </c>
    </row>
    <row r="185" spans="2:24" x14ac:dyDescent="0.25">
      <c r="B185">
        <v>2027</v>
      </c>
      <c r="C185" t="s">
        <v>71</v>
      </c>
      <c r="D185" t="s">
        <v>72</v>
      </c>
      <c r="E185" t="s">
        <v>73</v>
      </c>
      <c r="F185" t="s">
        <v>74</v>
      </c>
      <c r="G185" t="s">
        <v>51</v>
      </c>
      <c r="H185" t="s">
        <v>362</v>
      </c>
      <c r="I185" t="s">
        <v>363</v>
      </c>
      <c r="J185" t="s">
        <v>77</v>
      </c>
      <c r="K185" s="4">
        <v>0</v>
      </c>
      <c r="L185" s="4">
        <v>0</v>
      </c>
      <c r="M185" s="4">
        <v>0</v>
      </c>
      <c r="N185" s="4">
        <v>0</v>
      </c>
      <c r="O185" s="107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t="s">
        <v>364</v>
      </c>
    </row>
    <row r="186" spans="2:24" x14ac:dyDescent="0.25">
      <c r="B186">
        <v>2027</v>
      </c>
      <c r="C186" t="s">
        <v>71</v>
      </c>
      <c r="D186" t="s">
        <v>72</v>
      </c>
      <c r="E186" t="s">
        <v>73</v>
      </c>
      <c r="F186" t="s">
        <v>74</v>
      </c>
      <c r="G186" t="s">
        <v>53</v>
      </c>
      <c r="H186" t="s">
        <v>365</v>
      </c>
      <c r="I186" t="s">
        <v>366</v>
      </c>
      <c r="J186" t="s">
        <v>77</v>
      </c>
      <c r="K186" s="4">
        <v>-3154.35</v>
      </c>
      <c r="L186" s="4">
        <v>-3154.35</v>
      </c>
      <c r="M186" s="4">
        <v>-3154.35</v>
      </c>
      <c r="N186" s="4">
        <v>-3154.35</v>
      </c>
      <c r="O186" s="107">
        <v>-3154.35</v>
      </c>
      <c r="P186" s="4">
        <v>-3154.35</v>
      </c>
      <c r="Q186" s="4">
        <v>-3154.35</v>
      </c>
      <c r="R186" s="4">
        <v>-3154.35</v>
      </c>
      <c r="S186" s="4">
        <v>-3154.35</v>
      </c>
      <c r="T186" s="4">
        <v>-3154.35</v>
      </c>
      <c r="U186" s="4">
        <v>-3154.35</v>
      </c>
      <c r="V186" s="4">
        <v>-3154.35</v>
      </c>
      <c r="W186" s="4">
        <v>-37852.19999999999</v>
      </c>
      <c r="X186" t="s">
        <v>367</v>
      </c>
    </row>
    <row r="187" spans="2:24" x14ac:dyDescent="0.25">
      <c r="B187">
        <v>2027</v>
      </c>
      <c r="C187" t="s">
        <v>71</v>
      </c>
      <c r="D187" t="s">
        <v>72</v>
      </c>
      <c r="E187" t="s">
        <v>73</v>
      </c>
      <c r="F187" t="s">
        <v>74</v>
      </c>
      <c r="G187" t="s">
        <v>53</v>
      </c>
      <c r="H187" t="s">
        <v>365</v>
      </c>
      <c r="I187" t="s">
        <v>368</v>
      </c>
      <c r="J187" t="s">
        <v>77</v>
      </c>
      <c r="K187" s="4">
        <v>-5772</v>
      </c>
      <c r="L187" s="4">
        <v>-5772</v>
      </c>
      <c r="M187" s="4">
        <v>-5772</v>
      </c>
      <c r="N187" s="4">
        <v>-5772</v>
      </c>
      <c r="O187" s="107">
        <v>-5772</v>
      </c>
      <c r="P187" s="4">
        <v>-5772</v>
      </c>
      <c r="Q187" s="4">
        <v>-5772</v>
      </c>
      <c r="R187" s="4">
        <v>-5772</v>
      </c>
      <c r="S187" s="4">
        <v>-5772</v>
      </c>
      <c r="T187" s="4">
        <v>-5772</v>
      </c>
      <c r="U187" s="4">
        <v>-5772</v>
      </c>
      <c r="V187" s="4">
        <v>-5772</v>
      </c>
      <c r="W187" s="4">
        <v>-69264</v>
      </c>
      <c r="X187" t="s">
        <v>367</v>
      </c>
    </row>
    <row r="188" spans="2:24" x14ac:dyDescent="0.25">
      <c r="B188">
        <v>2027</v>
      </c>
      <c r="C188" t="s">
        <v>71</v>
      </c>
      <c r="D188" t="s">
        <v>72</v>
      </c>
      <c r="E188" t="s">
        <v>73</v>
      </c>
      <c r="F188" t="s">
        <v>74</v>
      </c>
      <c r="G188" t="s">
        <v>53</v>
      </c>
      <c r="H188" t="s">
        <v>365</v>
      </c>
      <c r="I188" t="s">
        <v>369</v>
      </c>
      <c r="J188" t="s">
        <v>77</v>
      </c>
      <c r="K188" s="4">
        <v>-6419</v>
      </c>
      <c r="L188" s="4">
        <v>-6419</v>
      </c>
      <c r="M188" s="4">
        <v>-6419</v>
      </c>
      <c r="N188" s="4">
        <v>-6419</v>
      </c>
      <c r="O188" s="107">
        <v>-6419</v>
      </c>
      <c r="P188" s="4">
        <v>-6419</v>
      </c>
      <c r="Q188" s="4">
        <v>-6419</v>
      </c>
      <c r="R188" s="4">
        <v>-6419</v>
      </c>
      <c r="S188" s="4">
        <v>-6419</v>
      </c>
      <c r="T188" s="4">
        <v>-6419</v>
      </c>
      <c r="U188" s="4">
        <v>-6419</v>
      </c>
      <c r="V188" s="4">
        <v>-6419</v>
      </c>
      <c r="W188" s="4">
        <v>-77028</v>
      </c>
      <c r="X188" t="s">
        <v>367</v>
      </c>
    </row>
    <row r="189" spans="2:24" x14ac:dyDescent="0.25">
      <c r="B189">
        <v>2027</v>
      </c>
      <c r="C189" t="s">
        <v>71</v>
      </c>
      <c r="D189" t="s">
        <v>72</v>
      </c>
      <c r="E189" t="s">
        <v>73</v>
      </c>
      <c r="F189" t="s">
        <v>74</v>
      </c>
      <c r="G189" t="s">
        <v>53</v>
      </c>
      <c r="H189" t="s">
        <v>365</v>
      </c>
      <c r="I189" t="s">
        <v>370</v>
      </c>
      <c r="J189" t="s">
        <v>77</v>
      </c>
      <c r="K189" s="4">
        <v>-1642</v>
      </c>
      <c r="L189" s="4">
        <v>-1642</v>
      </c>
      <c r="M189" s="4">
        <v>-1642</v>
      </c>
      <c r="N189" s="4">
        <v>-1642</v>
      </c>
      <c r="O189" s="107">
        <v>-1642</v>
      </c>
      <c r="P189" s="4">
        <v>-1642</v>
      </c>
      <c r="Q189" s="4">
        <v>-1642</v>
      </c>
      <c r="R189" s="4">
        <v>-1642</v>
      </c>
      <c r="S189" s="4">
        <v>-1642</v>
      </c>
      <c r="T189" s="4">
        <v>-1642</v>
      </c>
      <c r="U189" s="4">
        <v>-1642</v>
      </c>
      <c r="V189" s="4">
        <v>-1642</v>
      </c>
      <c r="W189" s="4">
        <v>-19704</v>
      </c>
      <c r="X189" t="s">
        <v>367</v>
      </c>
    </row>
    <row r="190" spans="2:24" x14ac:dyDescent="0.25">
      <c r="B190">
        <v>2027</v>
      </c>
      <c r="C190" t="s">
        <v>71</v>
      </c>
      <c r="D190" t="s">
        <v>72</v>
      </c>
      <c r="E190" t="s">
        <v>73</v>
      </c>
      <c r="F190" t="s">
        <v>74</v>
      </c>
      <c r="G190" t="s">
        <v>53</v>
      </c>
      <c r="H190" t="s">
        <v>365</v>
      </c>
      <c r="I190" t="s">
        <v>371</v>
      </c>
      <c r="J190" t="s">
        <v>77</v>
      </c>
      <c r="K190" s="4">
        <v>-1337</v>
      </c>
      <c r="L190" s="4">
        <v>-1337</v>
      </c>
      <c r="M190" s="4">
        <v>-1337</v>
      </c>
      <c r="N190" s="4">
        <v>-1337</v>
      </c>
      <c r="O190" s="107">
        <v>-1337</v>
      </c>
      <c r="P190" s="4">
        <v>-1337</v>
      </c>
      <c r="Q190" s="4">
        <v>-1337</v>
      </c>
      <c r="R190" s="4">
        <v>-1337</v>
      </c>
      <c r="S190" s="4">
        <v>-1337</v>
      </c>
      <c r="T190" s="4">
        <v>-1337</v>
      </c>
      <c r="U190" s="4">
        <v>-1337</v>
      </c>
      <c r="V190" s="4">
        <v>-1337</v>
      </c>
      <c r="W190" s="4">
        <v>-16044</v>
      </c>
      <c r="X190" t="s">
        <v>367</v>
      </c>
    </row>
    <row r="191" spans="2:24" x14ac:dyDescent="0.25">
      <c r="B191">
        <v>2027</v>
      </c>
      <c r="C191" t="s">
        <v>71</v>
      </c>
      <c r="D191" t="s">
        <v>72</v>
      </c>
      <c r="E191" t="s">
        <v>73</v>
      </c>
      <c r="F191" t="s">
        <v>74</v>
      </c>
      <c r="G191" t="s">
        <v>53</v>
      </c>
      <c r="H191" t="s">
        <v>365</v>
      </c>
      <c r="I191" t="s">
        <v>372</v>
      </c>
      <c r="J191" t="s">
        <v>77</v>
      </c>
      <c r="K191" s="4">
        <v>-856</v>
      </c>
      <c r="L191" s="4">
        <v>-856</v>
      </c>
      <c r="M191" s="4">
        <v>-856</v>
      </c>
      <c r="N191" s="4">
        <v>-856</v>
      </c>
      <c r="O191" s="107">
        <v>-856</v>
      </c>
      <c r="P191" s="4">
        <v>-856</v>
      </c>
      <c r="Q191" s="4">
        <v>-856</v>
      </c>
      <c r="R191" s="4">
        <v>-856</v>
      </c>
      <c r="S191" s="4">
        <v>-856</v>
      </c>
      <c r="T191" s="4">
        <v>-856</v>
      </c>
      <c r="U191" s="4">
        <v>-856</v>
      </c>
      <c r="V191" s="4">
        <v>-856</v>
      </c>
      <c r="W191" s="4">
        <v>-10272</v>
      </c>
      <c r="X191" t="s">
        <v>367</v>
      </c>
    </row>
    <row r="192" spans="2:24" x14ac:dyDescent="0.25">
      <c r="B192">
        <v>2027</v>
      </c>
      <c r="C192" t="s">
        <v>71</v>
      </c>
      <c r="D192" t="s">
        <v>72</v>
      </c>
      <c r="E192" t="s">
        <v>73</v>
      </c>
      <c r="F192" t="s">
        <v>74</v>
      </c>
      <c r="G192" t="s">
        <v>53</v>
      </c>
      <c r="H192" t="s">
        <v>365</v>
      </c>
      <c r="I192" t="s">
        <v>373</v>
      </c>
      <c r="J192" t="s">
        <v>77</v>
      </c>
      <c r="K192" s="4">
        <v>-45</v>
      </c>
      <c r="L192" s="4">
        <v>-45</v>
      </c>
      <c r="M192" s="4">
        <v>-45</v>
      </c>
      <c r="N192" s="4">
        <v>-45</v>
      </c>
      <c r="O192" s="107">
        <v>-45</v>
      </c>
      <c r="P192" s="4">
        <v>-45</v>
      </c>
      <c r="Q192" s="4">
        <v>-45</v>
      </c>
      <c r="R192" s="4">
        <v>-45</v>
      </c>
      <c r="S192" s="4">
        <v>-45</v>
      </c>
      <c r="T192" s="4">
        <v>-45</v>
      </c>
      <c r="U192" s="4">
        <v>-45</v>
      </c>
      <c r="V192" s="4">
        <v>-45</v>
      </c>
      <c r="W192" s="4">
        <v>-540</v>
      </c>
      <c r="X192" t="s">
        <v>367</v>
      </c>
    </row>
    <row r="193" spans="2:24" x14ac:dyDescent="0.25">
      <c r="B193">
        <v>2027</v>
      </c>
      <c r="C193" t="s">
        <v>71</v>
      </c>
      <c r="D193" t="s">
        <v>72</v>
      </c>
      <c r="E193" t="s">
        <v>73</v>
      </c>
      <c r="F193" t="s">
        <v>85</v>
      </c>
      <c r="G193" t="s">
        <v>55</v>
      </c>
      <c r="H193" t="s">
        <v>96</v>
      </c>
      <c r="I193" t="s">
        <v>374</v>
      </c>
      <c r="J193" t="s">
        <v>77</v>
      </c>
      <c r="K193" s="4">
        <v>-30880.78</v>
      </c>
      <c r="L193" s="4">
        <v>-50021.31</v>
      </c>
      <c r="M193" s="4">
        <v>-47982.62</v>
      </c>
      <c r="N193" s="4">
        <v>-38630.300000000003</v>
      </c>
      <c r="O193" s="107">
        <v>-63423.85</v>
      </c>
      <c r="P193" s="4">
        <v>-62896.06</v>
      </c>
      <c r="Q193" s="4">
        <v>-39905.519999999997</v>
      </c>
      <c r="R193" s="4">
        <v>-25466.97</v>
      </c>
      <c r="S193" s="4">
        <v>-14793.2</v>
      </c>
      <c r="T193" s="4">
        <v>-24740.02</v>
      </c>
      <c r="U193" s="4">
        <v>-38241.9</v>
      </c>
      <c r="V193" s="4">
        <v>-41947.79</v>
      </c>
      <c r="W193" s="4">
        <v>-478930.32000000012</v>
      </c>
      <c r="X193" t="s">
        <v>375</v>
      </c>
    </row>
    <row r="194" spans="2:24" x14ac:dyDescent="0.25">
      <c r="B194">
        <v>2027</v>
      </c>
      <c r="C194" t="s">
        <v>71</v>
      </c>
      <c r="D194" t="s">
        <v>72</v>
      </c>
      <c r="E194" t="s">
        <v>73</v>
      </c>
      <c r="F194" t="s">
        <v>85</v>
      </c>
      <c r="G194" t="s">
        <v>55</v>
      </c>
      <c r="H194" t="s">
        <v>376</v>
      </c>
      <c r="I194" t="s">
        <v>377</v>
      </c>
      <c r="J194" t="s">
        <v>77</v>
      </c>
      <c r="K194" s="4">
        <v>0</v>
      </c>
      <c r="L194" s="4">
        <v>0</v>
      </c>
      <c r="M194" s="4">
        <v>0</v>
      </c>
      <c r="N194" s="4">
        <v>0</v>
      </c>
      <c r="O194" s="107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t="s">
        <v>378</v>
      </c>
    </row>
    <row r="195" spans="2:24" x14ac:dyDescent="0.25">
      <c r="B195">
        <v>2027</v>
      </c>
      <c r="C195" t="s">
        <v>71</v>
      </c>
      <c r="D195" t="s">
        <v>72</v>
      </c>
      <c r="E195" t="s">
        <v>73</v>
      </c>
      <c r="F195" t="s">
        <v>85</v>
      </c>
      <c r="G195" t="s">
        <v>55</v>
      </c>
      <c r="H195" t="s">
        <v>379</v>
      </c>
      <c r="I195" t="s">
        <v>380</v>
      </c>
      <c r="J195" t="s">
        <v>77</v>
      </c>
      <c r="K195" s="4">
        <v>0</v>
      </c>
      <c r="L195" s="4">
        <v>0</v>
      </c>
      <c r="M195" s="4">
        <v>0</v>
      </c>
      <c r="N195" s="4">
        <v>0</v>
      </c>
      <c r="O195" s="107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t="s">
        <v>381</v>
      </c>
    </row>
    <row r="196" spans="2:24" x14ac:dyDescent="0.25">
      <c r="B196">
        <v>2027</v>
      </c>
      <c r="C196" t="s">
        <v>71</v>
      </c>
      <c r="D196" t="s">
        <v>72</v>
      </c>
      <c r="E196" t="s">
        <v>73</v>
      </c>
      <c r="F196" t="s">
        <v>85</v>
      </c>
      <c r="G196" t="s">
        <v>55</v>
      </c>
      <c r="H196" t="s">
        <v>382</v>
      </c>
      <c r="I196" t="s">
        <v>383</v>
      </c>
      <c r="J196" t="s">
        <v>77</v>
      </c>
      <c r="K196" s="4">
        <v>0</v>
      </c>
      <c r="L196" s="4">
        <v>0</v>
      </c>
      <c r="M196" s="4">
        <v>0</v>
      </c>
      <c r="N196" s="4">
        <v>0</v>
      </c>
      <c r="O196" s="107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t="s">
        <v>110</v>
      </c>
    </row>
    <row r="197" spans="2:24" x14ac:dyDescent="0.25">
      <c r="B197">
        <v>2027</v>
      </c>
      <c r="C197" t="s">
        <v>71</v>
      </c>
      <c r="D197" t="s">
        <v>72</v>
      </c>
      <c r="E197" t="s">
        <v>73</v>
      </c>
      <c r="F197" t="s">
        <v>85</v>
      </c>
      <c r="G197" t="s">
        <v>55</v>
      </c>
      <c r="H197" t="s">
        <v>382</v>
      </c>
      <c r="I197" t="s">
        <v>384</v>
      </c>
      <c r="J197" t="s">
        <v>77</v>
      </c>
      <c r="K197" s="4">
        <v>0</v>
      </c>
      <c r="L197" s="4">
        <v>0</v>
      </c>
      <c r="M197" s="4">
        <v>0</v>
      </c>
      <c r="N197" s="4">
        <v>0</v>
      </c>
      <c r="O197" s="107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t="s">
        <v>110</v>
      </c>
    </row>
    <row r="198" spans="2:24" x14ac:dyDescent="0.25">
      <c r="B198">
        <v>2027</v>
      </c>
      <c r="C198" t="s">
        <v>71</v>
      </c>
      <c r="D198" t="s">
        <v>72</v>
      </c>
      <c r="E198" t="s">
        <v>73</v>
      </c>
      <c r="F198" t="s">
        <v>85</v>
      </c>
      <c r="G198" t="s">
        <v>55</v>
      </c>
      <c r="H198" t="s">
        <v>382</v>
      </c>
      <c r="I198" t="s">
        <v>385</v>
      </c>
      <c r="J198" t="s">
        <v>77</v>
      </c>
      <c r="K198" s="4">
        <v>0</v>
      </c>
      <c r="L198" s="4">
        <v>0</v>
      </c>
      <c r="M198" s="4">
        <v>0</v>
      </c>
      <c r="N198" s="4">
        <v>0</v>
      </c>
      <c r="O198" s="107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t="s">
        <v>110</v>
      </c>
    </row>
    <row r="199" spans="2:24" x14ac:dyDescent="0.25">
      <c r="B199">
        <v>2027</v>
      </c>
      <c r="C199" t="s">
        <v>71</v>
      </c>
      <c r="D199" t="s">
        <v>72</v>
      </c>
      <c r="E199" t="s">
        <v>73</v>
      </c>
      <c r="F199" t="s">
        <v>85</v>
      </c>
      <c r="G199" t="s">
        <v>55</v>
      </c>
      <c r="H199" t="s">
        <v>382</v>
      </c>
      <c r="I199" t="s">
        <v>386</v>
      </c>
      <c r="J199" t="s">
        <v>77</v>
      </c>
      <c r="K199" s="4">
        <v>0</v>
      </c>
      <c r="L199" s="4">
        <v>0</v>
      </c>
      <c r="M199" s="4">
        <v>0</v>
      </c>
      <c r="N199" s="4">
        <v>0</v>
      </c>
      <c r="O199" s="107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t="s">
        <v>110</v>
      </c>
    </row>
    <row r="200" spans="2:24" x14ac:dyDescent="0.25">
      <c r="B200">
        <v>2027</v>
      </c>
      <c r="C200" t="s">
        <v>71</v>
      </c>
      <c r="D200" t="s">
        <v>72</v>
      </c>
      <c r="E200" t="s">
        <v>73</v>
      </c>
      <c r="F200" t="s">
        <v>85</v>
      </c>
      <c r="G200" t="s">
        <v>55</v>
      </c>
      <c r="H200" t="s">
        <v>382</v>
      </c>
      <c r="I200" t="s">
        <v>387</v>
      </c>
      <c r="J200" t="s">
        <v>77</v>
      </c>
      <c r="K200" s="4">
        <v>0</v>
      </c>
      <c r="L200" s="4">
        <v>0</v>
      </c>
      <c r="M200" s="4">
        <v>0</v>
      </c>
      <c r="N200" s="4">
        <v>0</v>
      </c>
      <c r="O200" s="107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t="s">
        <v>110</v>
      </c>
    </row>
    <row r="201" spans="2:24" x14ac:dyDescent="0.25">
      <c r="B201">
        <v>2027</v>
      </c>
      <c r="C201" t="s">
        <v>71</v>
      </c>
      <c r="D201" t="s">
        <v>72</v>
      </c>
      <c r="E201" t="s">
        <v>73</v>
      </c>
      <c r="F201" t="s">
        <v>85</v>
      </c>
      <c r="G201" t="s">
        <v>55</v>
      </c>
      <c r="H201" t="s">
        <v>382</v>
      </c>
      <c r="I201" t="s">
        <v>388</v>
      </c>
      <c r="J201" t="s">
        <v>77</v>
      </c>
      <c r="K201" s="4">
        <v>0</v>
      </c>
      <c r="L201" s="4">
        <v>0</v>
      </c>
      <c r="M201" s="4">
        <v>0</v>
      </c>
      <c r="N201" s="4">
        <v>0</v>
      </c>
      <c r="O201" s="107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t="s">
        <v>110</v>
      </c>
    </row>
    <row r="202" spans="2:24" x14ac:dyDescent="0.25">
      <c r="B202">
        <v>2027</v>
      </c>
      <c r="C202" t="s">
        <v>71</v>
      </c>
      <c r="D202" t="s">
        <v>72</v>
      </c>
      <c r="E202" t="s">
        <v>73</v>
      </c>
      <c r="F202" t="s">
        <v>85</v>
      </c>
      <c r="G202" t="s">
        <v>55</v>
      </c>
      <c r="H202" t="s">
        <v>382</v>
      </c>
      <c r="I202" t="s">
        <v>389</v>
      </c>
      <c r="J202" t="s">
        <v>77</v>
      </c>
      <c r="K202" s="4">
        <v>0</v>
      </c>
      <c r="L202" s="4">
        <v>0</v>
      </c>
      <c r="M202" s="4">
        <v>0</v>
      </c>
      <c r="N202" s="4">
        <v>0</v>
      </c>
      <c r="O202" s="107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t="s">
        <v>110</v>
      </c>
    </row>
    <row r="203" spans="2:24" x14ac:dyDescent="0.25">
      <c r="B203">
        <v>2027</v>
      </c>
      <c r="C203" t="s">
        <v>71</v>
      </c>
      <c r="D203" t="s">
        <v>72</v>
      </c>
      <c r="E203" t="s">
        <v>73</v>
      </c>
      <c r="F203" t="s">
        <v>85</v>
      </c>
      <c r="G203" t="s">
        <v>56</v>
      </c>
      <c r="H203" t="s">
        <v>390</v>
      </c>
      <c r="I203" t="s">
        <v>391</v>
      </c>
      <c r="J203" t="s">
        <v>77</v>
      </c>
      <c r="K203" s="4">
        <v>0</v>
      </c>
      <c r="L203" s="4">
        <v>0</v>
      </c>
      <c r="M203" s="4">
        <v>0</v>
      </c>
      <c r="N203" s="4">
        <v>0</v>
      </c>
      <c r="O203" s="107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t="s">
        <v>392</v>
      </c>
    </row>
    <row r="204" spans="2:24" x14ac:dyDescent="0.25">
      <c r="B204">
        <v>2027</v>
      </c>
      <c r="C204" t="s">
        <v>71</v>
      </c>
      <c r="D204" t="s">
        <v>72</v>
      </c>
      <c r="E204" t="s">
        <v>73</v>
      </c>
      <c r="F204" t="s">
        <v>74</v>
      </c>
      <c r="G204" t="s">
        <v>51</v>
      </c>
      <c r="H204" t="s">
        <v>393</v>
      </c>
      <c r="I204" t="s">
        <v>394</v>
      </c>
      <c r="J204" t="s">
        <v>77</v>
      </c>
      <c r="K204" s="4">
        <v>0</v>
      </c>
      <c r="L204" s="4">
        <v>0</v>
      </c>
      <c r="M204" s="4">
        <v>0</v>
      </c>
      <c r="N204" s="4">
        <v>0</v>
      </c>
      <c r="O204" s="107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t="s">
        <v>80</v>
      </c>
    </row>
    <row r="205" spans="2:24" x14ac:dyDescent="0.25">
      <c r="B205">
        <v>2027</v>
      </c>
      <c r="C205" t="s">
        <v>71</v>
      </c>
      <c r="D205" t="s">
        <v>72</v>
      </c>
      <c r="E205" t="s">
        <v>73</v>
      </c>
      <c r="F205" t="s">
        <v>85</v>
      </c>
      <c r="G205" t="s">
        <v>57</v>
      </c>
      <c r="H205" t="s">
        <v>395</v>
      </c>
      <c r="I205" t="s">
        <v>396</v>
      </c>
      <c r="J205" t="s">
        <v>77</v>
      </c>
      <c r="K205" s="4">
        <v>0</v>
      </c>
      <c r="L205" s="4">
        <v>0</v>
      </c>
      <c r="M205" s="4">
        <v>0</v>
      </c>
      <c r="N205" s="4">
        <v>0</v>
      </c>
      <c r="O205" s="107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t="s">
        <v>397</v>
      </c>
    </row>
    <row r="206" spans="2:24" x14ac:dyDescent="0.25">
      <c r="K206" s="4"/>
      <c r="L206" s="4"/>
      <c r="M206" s="4"/>
      <c r="N206" s="4"/>
      <c r="P206" s="4"/>
      <c r="Q206" s="4"/>
      <c r="R206" s="4"/>
      <c r="S206" s="4"/>
      <c r="T206" s="4"/>
      <c r="U206" s="4"/>
      <c r="V206" s="4"/>
      <c r="W206" s="4"/>
    </row>
    <row r="207" spans="2:24" x14ac:dyDescent="0.25">
      <c r="K207" s="4"/>
      <c r="L207" s="4"/>
      <c r="M207" s="4"/>
      <c r="N207" s="4"/>
      <c r="P207" s="4"/>
      <c r="Q207" s="4"/>
      <c r="R207" s="4"/>
      <c r="S207" s="4"/>
      <c r="T207" s="4"/>
      <c r="U207" s="4"/>
      <c r="V207" s="4"/>
      <c r="W207" s="4"/>
    </row>
    <row r="208" spans="2:24" x14ac:dyDescent="0.25">
      <c r="K208" s="4"/>
      <c r="L208" s="4"/>
      <c r="M208" s="4"/>
      <c r="N208" s="4"/>
      <c r="P208" s="4"/>
      <c r="Q208" s="4"/>
      <c r="R208" s="4"/>
      <c r="S208" s="4"/>
      <c r="T208" s="4"/>
      <c r="U208" s="4"/>
      <c r="V208" s="4"/>
      <c r="W208" s="4"/>
    </row>
    <row r="209" spans="11:23" x14ac:dyDescent="0.25">
      <c r="K209" s="4"/>
      <c r="L209" s="4"/>
      <c r="M209" s="4"/>
      <c r="N209" s="4"/>
      <c r="P209" s="4"/>
      <c r="Q209" s="4"/>
      <c r="R209" s="4"/>
      <c r="S209" s="4"/>
      <c r="T209" s="4"/>
      <c r="U209" s="4"/>
      <c r="V209" s="4"/>
      <c r="W209" s="4"/>
    </row>
    <row r="210" spans="11:23" x14ac:dyDescent="0.25">
      <c r="K210" s="4"/>
      <c r="L210" s="4"/>
      <c r="M210" s="4"/>
      <c r="N210" s="4"/>
      <c r="P210" s="4"/>
      <c r="Q210" s="4"/>
      <c r="R210" s="4"/>
      <c r="S210" s="4"/>
      <c r="T210" s="4"/>
      <c r="U210" s="4"/>
      <c r="V210" s="4"/>
      <c r="W210" s="4"/>
    </row>
    <row r="211" spans="11:23" x14ac:dyDescent="0.25">
      <c r="P211" s="4"/>
      <c r="Q211" s="4"/>
      <c r="R211" s="4"/>
      <c r="W211" s="4"/>
    </row>
    <row r="212" spans="11:23" x14ac:dyDescent="0.25">
      <c r="K212" s="4"/>
      <c r="L212" s="4"/>
      <c r="M212" s="4"/>
      <c r="N212" s="4"/>
      <c r="P212" s="4"/>
      <c r="R212" s="4"/>
      <c r="S212" s="4"/>
      <c r="T212" s="4"/>
      <c r="U212" s="4"/>
      <c r="V212" s="4"/>
      <c r="W212" s="4"/>
    </row>
    <row r="213" spans="11:23" x14ac:dyDescent="0.25">
      <c r="K213" s="4"/>
      <c r="L213" s="4"/>
      <c r="M213" s="4"/>
      <c r="N213" s="4"/>
      <c r="P213" s="4"/>
      <c r="R213" s="4"/>
      <c r="S213" s="4"/>
      <c r="T213" s="4"/>
      <c r="U213" s="4"/>
      <c r="V213" s="4"/>
      <c r="W213" s="4"/>
    </row>
    <row r="214" spans="11:23" x14ac:dyDescent="0.25">
      <c r="K214" s="4"/>
      <c r="L214" s="4"/>
      <c r="M214" s="4"/>
      <c r="N214" s="4"/>
      <c r="P214" s="4"/>
      <c r="R214" s="4"/>
      <c r="S214" s="4"/>
      <c r="T214" s="4"/>
      <c r="U214" s="4"/>
      <c r="V214" s="4"/>
      <c r="W214" s="4"/>
    </row>
    <row r="215" spans="11:23" x14ac:dyDescent="0.25">
      <c r="K215" s="4"/>
      <c r="L215" s="4"/>
      <c r="M215" s="4"/>
      <c r="N215" s="4"/>
      <c r="P215" s="4"/>
      <c r="R215" s="4"/>
      <c r="S215" s="4"/>
      <c r="T215" s="4"/>
      <c r="U215" s="4"/>
      <c r="V215" s="4"/>
      <c r="W215" s="4"/>
    </row>
    <row r="216" spans="11:23" x14ac:dyDescent="0.25">
      <c r="K216" s="4"/>
      <c r="L216" s="4"/>
      <c r="M216" s="4"/>
      <c r="N216" s="4"/>
      <c r="P216" s="4"/>
      <c r="R216" s="4"/>
      <c r="W216" s="4"/>
    </row>
    <row r="217" spans="11:23" x14ac:dyDescent="0.25">
      <c r="K217" s="4"/>
      <c r="L217" s="4"/>
      <c r="M217" s="4"/>
      <c r="N217" s="4"/>
      <c r="P217" s="4"/>
      <c r="R217" s="4"/>
      <c r="W217" s="4"/>
    </row>
    <row r="218" spans="11:23" x14ac:dyDescent="0.25">
      <c r="K218" s="4"/>
      <c r="L218" s="4"/>
      <c r="M218" s="4"/>
      <c r="N218" s="4"/>
      <c r="P218" s="4"/>
      <c r="R218" s="4"/>
      <c r="W218" s="4"/>
    </row>
    <row r="219" spans="11:23" x14ac:dyDescent="0.25">
      <c r="K219" s="4"/>
      <c r="L219" s="4"/>
      <c r="M219" s="4"/>
      <c r="N219" s="4"/>
      <c r="P219" s="4"/>
      <c r="R219" s="4"/>
      <c r="W219" s="4"/>
    </row>
    <row r="220" spans="11:23" x14ac:dyDescent="0.25">
      <c r="K220" s="4"/>
      <c r="L220" s="4"/>
      <c r="M220" s="4"/>
      <c r="N220" s="4"/>
      <c r="P220" s="107"/>
      <c r="R220" s="4"/>
      <c r="S220" s="4"/>
      <c r="T220" s="4"/>
      <c r="U220" s="4"/>
      <c r="V220" s="4"/>
      <c r="W220" s="4"/>
    </row>
    <row r="221" spans="11:23" x14ac:dyDescent="0.25">
      <c r="K221" s="4"/>
      <c r="L221" s="4"/>
      <c r="M221" s="4"/>
      <c r="N221" s="4"/>
      <c r="P221" s="107"/>
      <c r="R221" s="4"/>
      <c r="S221" s="4"/>
      <c r="T221" s="4"/>
      <c r="U221" s="4"/>
      <c r="V221" s="4"/>
      <c r="W221" s="4"/>
    </row>
    <row r="222" spans="11:23" x14ac:dyDescent="0.25">
      <c r="K222" s="4"/>
      <c r="L222" s="4"/>
      <c r="M222" s="4"/>
      <c r="N222" s="4"/>
      <c r="P222" s="107"/>
      <c r="R222" s="4"/>
      <c r="S222" s="4"/>
      <c r="T222" s="4"/>
      <c r="U222" s="4"/>
      <c r="V222" s="4"/>
      <c r="W222" s="4"/>
    </row>
    <row r="223" spans="11:23" x14ac:dyDescent="0.25">
      <c r="K223" s="4"/>
      <c r="L223" s="4"/>
      <c r="M223" s="4"/>
      <c r="N223" s="4"/>
      <c r="P223" s="4"/>
      <c r="R223" s="4"/>
      <c r="W223" s="4"/>
    </row>
    <row r="224" spans="11:23" x14ac:dyDescent="0.25">
      <c r="K224" s="4"/>
      <c r="L224" s="4"/>
      <c r="M224" s="4"/>
      <c r="N224" s="4"/>
      <c r="P224" s="4"/>
      <c r="R224" s="4"/>
      <c r="W224" s="4"/>
    </row>
    <row r="225" spans="16:23" x14ac:dyDescent="0.25">
      <c r="P225" s="4"/>
      <c r="Q225" s="4"/>
      <c r="R225" s="4"/>
      <c r="W225" s="4"/>
    </row>
    <row r="226" spans="16:23" x14ac:dyDescent="0.25">
      <c r="W226" s="4"/>
    </row>
    <row r="227" spans="16:23" x14ac:dyDescent="0.25">
      <c r="W227" s="4"/>
    </row>
    <row r="228" spans="16:23" x14ac:dyDescent="0.25">
      <c r="W228" s="4"/>
    </row>
    <row r="229" spans="16:23" x14ac:dyDescent="0.25">
      <c r="W229" s="4"/>
    </row>
    <row r="230" spans="16:23" x14ac:dyDescent="0.25">
      <c r="W230" s="4"/>
    </row>
    <row r="231" spans="16:23" x14ac:dyDescent="0.25">
      <c r="W231" s="4"/>
    </row>
    <row r="232" spans="16:23" x14ac:dyDescent="0.25">
      <c r="W232" s="4"/>
    </row>
    <row r="233" spans="16:23" x14ac:dyDescent="0.25">
      <c r="W233" s="4"/>
    </row>
    <row r="234" spans="16:23" x14ac:dyDescent="0.25">
      <c r="W234" s="4"/>
    </row>
    <row r="235" spans="16:23" x14ac:dyDescent="0.25">
      <c r="W235" s="4"/>
    </row>
    <row r="236" spans="16:23" x14ac:dyDescent="0.25">
      <c r="W236" s="4"/>
    </row>
    <row r="237" spans="16:23" x14ac:dyDescent="0.25">
      <c r="W237" s="4"/>
    </row>
    <row r="238" spans="16:23" x14ac:dyDescent="0.25">
      <c r="W238" s="4"/>
    </row>
    <row r="239" spans="16:23" x14ac:dyDescent="0.25">
      <c r="W239" s="4"/>
    </row>
    <row r="240" spans="16:23" x14ac:dyDescent="0.25">
      <c r="W240" s="4"/>
    </row>
    <row r="241" spans="23:23" x14ac:dyDescent="0.25">
      <c r="W241" s="4"/>
    </row>
    <row r="242" spans="23:23" x14ac:dyDescent="0.25">
      <c r="W242" s="4"/>
    </row>
    <row r="243" spans="23:23" x14ac:dyDescent="0.25">
      <c r="W243" s="4"/>
    </row>
    <row r="244" spans="23:23" x14ac:dyDescent="0.25">
      <c r="W244" s="4"/>
    </row>
    <row r="245" spans="23:23" x14ac:dyDescent="0.25">
      <c r="W245" s="4"/>
    </row>
    <row r="246" spans="23:23" x14ac:dyDescent="0.25">
      <c r="W246" s="4"/>
    </row>
    <row r="247" spans="23:23" x14ac:dyDescent="0.25">
      <c r="W247" s="4"/>
    </row>
    <row r="248" spans="23:23" x14ac:dyDescent="0.25">
      <c r="W248" s="4"/>
    </row>
    <row r="249" spans="23:23" x14ac:dyDescent="0.25">
      <c r="W249" s="4"/>
    </row>
    <row r="250" spans="23:23" x14ac:dyDescent="0.25">
      <c r="W250" s="4"/>
    </row>
    <row r="251" spans="23:23" x14ac:dyDescent="0.25">
      <c r="W251" s="4"/>
    </row>
    <row r="252" spans="23:23" x14ac:dyDescent="0.25">
      <c r="W252" s="4"/>
    </row>
    <row r="253" spans="23:23" x14ac:dyDescent="0.25">
      <c r="W253" s="4"/>
    </row>
    <row r="254" spans="23:23" x14ac:dyDescent="0.25">
      <c r="W254" s="4"/>
    </row>
    <row r="255" spans="23:23" x14ac:dyDescent="0.25">
      <c r="W255" s="4"/>
    </row>
    <row r="256" spans="23:23" x14ac:dyDescent="0.25">
      <c r="W256" s="4"/>
    </row>
    <row r="257" spans="23:23" x14ac:dyDescent="0.25">
      <c r="W257" s="4"/>
    </row>
    <row r="258" spans="23:23" x14ac:dyDescent="0.25">
      <c r="W258" s="4"/>
    </row>
    <row r="259" spans="23:23" x14ac:dyDescent="0.25">
      <c r="W259" s="4"/>
    </row>
  </sheetData>
  <autoFilter ref="B3:X20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I158"/>
  <sheetViews>
    <sheetView workbookViewId="0"/>
  </sheetViews>
  <sheetFormatPr baseColWidth="10" defaultRowHeight="15" x14ac:dyDescent="0.25"/>
  <cols>
    <col min="1" max="1" width="61.42578125" bestFit="1" customWidth="1"/>
    <col min="2" max="2" width="12.5703125" bestFit="1" customWidth="1"/>
    <col min="3" max="3" width="6.42578125" bestFit="1" customWidth="1"/>
    <col min="4" max="4" width="6" bestFit="1" customWidth="1"/>
    <col min="5" max="5" width="6.5703125" bestFit="1" customWidth="1"/>
    <col min="6" max="6" width="6.140625" bestFit="1" customWidth="1"/>
    <col min="7" max="7" width="12.42578125" bestFit="1" customWidth="1"/>
    <col min="8" max="8" width="16.28515625" style="107" bestFit="1" customWidth="1"/>
    <col min="9" max="9" width="12.5703125" bestFit="1" customWidth="1"/>
  </cols>
  <sheetData>
    <row r="1" spans="1:9" x14ac:dyDescent="0.25">
      <c r="A1" t="s">
        <v>68</v>
      </c>
      <c r="B1" t="s">
        <v>69</v>
      </c>
      <c r="C1" s="106">
        <v>46023</v>
      </c>
      <c r="D1" s="106">
        <v>46054</v>
      </c>
      <c r="E1" s="106">
        <v>46082</v>
      </c>
      <c r="F1" s="106">
        <v>46113</v>
      </c>
      <c r="G1" s="106">
        <v>46143</v>
      </c>
      <c r="H1" s="107" t="s">
        <v>398</v>
      </c>
      <c r="I1" t="s">
        <v>399</v>
      </c>
    </row>
    <row r="2" spans="1:9" x14ac:dyDescent="0.25">
      <c r="A2" t="s">
        <v>76</v>
      </c>
      <c r="B2" t="s">
        <v>77</v>
      </c>
      <c r="G2" s="4">
        <v>2029266.99</v>
      </c>
      <c r="H2" s="107">
        <f>VLOOKUP(A2,'PL Mensual 2027'!I:O,7,0)</f>
        <v>2397051.31</v>
      </c>
      <c r="I2" s="108">
        <f>G2-H2</f>
        <v>-367784.32000000007</v>
      </c>
    </row>
    <row r="3" spans="1:9" x14ac:dyDescent="0.25">
      <c r="A3" t="s">
        <v>79</v>
      </c>
      <c r="B3" t="s">
        <v>77</v>
      </c>
      <c r="G3" s="4">
        <v>-106250.17</v>
      </c>
      <c r="H3" s="107">
        <f>VLOOKUP(A3,'PL Mensual 2027'!I:O,7,0)</f>
        <v>0</v>
      </c>
      <c r="I3" s="108">
        <f>G3-H3</f>
        <v>-106250.17</v>
      </c>
    </row>
    <row r="4" spans="1:9" x14ac:dyDescent="0.25">
      <c r="A4" t="s">
        <v>81</v>
      </c>
      <c r="B4" t="s">
        <v>77</v>
      </c>
      <c r="G4" t="s">
        <v>400</v>
      </c>
      <c r="H4" s="107">
        <f>VLOOKUP(A4,'PL Mensual 2027'!I:O,7,0)</f>
        <v>0</v>
      </c>
      <c r="I4" s="108"/>
    </row>
    <row r="5" spans="1:9" x14ac:dyDescent="0.25">
      <c r="A5" t="s">
        <v>84</v>
      </c>
      <c r="B5" t="s">
        <v>77</v>
      </c>
      <c r="G5" t="s">
        <v>400</v>
      </c>
      <c r="H5" s="107">
        <f>VLOOKUP(A5,'PL Mensual 2027'!I:O,7,0)</f>
        <v>0</v>
      </c>
      <c r="I5" s="108"/>
    </row>
    <row r="6" spans="1:9" x14ac:dyDescent="0.25">
      <c r="A6" t="s">
        <v>82</v>
      </c>
      <c r="B6" t="s">
        <v>77</v>
      </c>
      <c r="G6" s="4">
        <v>25140.75</v>
      </c>
      <c r="H6" s="107">
        <f>VLOOKUP(A6,'PL Mensual 2027'!I:O,7,0)</f>
        <v>38718.800000000003</v>
      </c>
      <c r="I6" s="108">
        <f>G6-H6</f>
        <v>-13578.050000000003</v>
      </c>
    </row>
    <row r="7" spans="1:9" x14ac:dyDescent="0.25">
      <c r="A7" t="s">
        <v>87</v>
      </c>
      <c r="B7" t="s">
        <v>77</v>
      </c>
      <c r="G7" s="4">
        <v>101865.8</v>
      </c>
      <c r="H7" s="107">
        <f>VLOOKUP(A7,'PL Mensual 2027'!I:O,7,0)</f>
        <v>0</v>
      </c>
      <c r="I7" s="108">
        <f>G7-H7</f>
        <v>101865.8</v>
      </c>
    </row>
    <row r="8" spans="1:9" x14ac:dyDescent="0.25">
      <c r="A8" t="s">
        <v>89</v>
      </c>
      <c r="B8" t="s">
        <v>77</v>
      </c>
      <c r="G8" t="s">
        <v>400</v>
      </c>
      <c r="H8" s="107">
        <f>VLOOKUP(A8,'PL Mensual 2027'!I:O,7,0)</f>
        <v>0</v>
      </c>
      <c r="I8" s="108"/>
    </row>
    <row r="9" spans="1:9" x14ac:dyDescent="0.25">
      <c r="A9" t="s">
        <v>91</v>
      </c>
      <c r="B9" t="s">
        <v>77</v>
      </c>
      <c r="G9" s="4">
        <v>80917.990000000005</v>
      </c>
      <c r="H9" s="107">
        <f>VLOOKUP(A9,'PL Mensual 2027'!I:O,7,0)</f>
        <v>0</v>
      </c>
      <c r="I9" s="108">
        <f>G9-H9</f>
        <v>80917.990000000005</v>
      </c>
    </row>
    <row r="10" spans="1:9" x14ac:dyDescent="0.25">
      <c r="A10" t="s">
        <v>93</v>
      </c>
      <c r="B10" t="s">
        <v>77</v>
      </c>
      <c r="G10" s="4">
        <v>111557.6</v>
      </c>
      <c r="H10" s="107">
        <f>VLOOKUP(A10,'PL Mensual 2027'!I:O,7,0)</f>
        <v>0</v>
      </c>
      <c r="I10" s="108">
        <f>G10-H10</f>
        <v>111557.6</v>
      </c>
    </row>
    <row r="11" spans="1:9" x14ac:dyDescent="0.25">
      <c r="A11" t="s">
        <v>401</v>
      </c>
      <c r="B11" t="s">
        <v>402</v>
      </c>
      <c r="G11" s="4">
        <v>-111557.6</v>
      </c>
      <c r="H11" s="107" t="e">
        <f>VLOOKUP(A11,'PL Mensual 2027'!I:O,7,0)</f>
        <v>#N/A</v>
      </c>
      <c r="I11" s="108" t="e">
        <f>G11-H11</f>
        <v>#N/A</v>
      </c>
    </row>
    <row r="12" spans="1:9" x14ac:dyDescent="0.25">
      <c r="A12" t="s">
        <v>94</v>
      </c>
      <c r="B12" t="s">
        <v>77</v>
      </c>
      <c r="G12" s="4">
        <v>2913.09</v>
      </c>
      <c r="H12" s="107">
        <f>VLOOKUP(A12,'PL Mensual 2027'!I:O,7,0)</f>
        <v>4563.41</v>
      </c>
      <c r="I12" s="108">
        <f>G12-H12</f>
        <v>-1650.3199999999997</v>
      </c>
    </row>
    <row r="13" spans="1:9" x14ac:dyDescent="0.25">
      <c r="A13" t="s">
        <v>97</v>
      </c>
      <c r="B13" t="s">
        <v>77</v>
      </c>
      <c r="G13" t="s">
        <v>400</v>
      </c>
      <c r="H13" s="107">
        <f>VLOOKUP(A13,'PL Mensual 2027'!I:O,7,0)</f>
        <v>0</v>
      </c>
      <c r="I13" s="108"/>
    </row>
    <row r="14" spans="1:9" x14ac:dyDescent="0.25">
      <c r="A14" t="s">
        <v>374</v>
      </c>
      <c r="B14" t="s">
        <v>77</v>
      </c>
      <c r="G14" s="4">
        <v>-38633.949999999997</v>
      </c>
      <c r="H14" s="107">
        <f>VLOOKUP(A14,'PL Mensual 2027'!I:O,7,0)</f>
        <v>-63423.85</v>
      </c>
      <c r="I14" s="108">
        <f>G14-H14</f>
        <v>24789.9</v>
      </c>
    </row>
    <row r="15" spans="1:9" x14ac:dyDescent="0.25">
      <c r="A15" t="s">
        <v>99</v>
      </c>
      <c r="B15" t="s">
        <v>77</v>
      </c>
      <c r="G15" t="s">
        <v>400</v>
      </c>
      <c r="H15" s="107">
        <f>VLOOKUP(A15,'PL Mensual 2027'!I:O,7,0)</f>
        <v>0</v>
      </c>
      <c r="I15" s="108"/>
    </row>
    <row r="16" spans="1:9" x14ac:dyDescent="0.25">
      <c r="A16" t="s">
        <v>100</v>
      </c>
      <c r="B16" t="s">
        <v>77</v>
      </c>
      <c r="G16" t="s">
        <v>400</v>
      </c>
      <c r="H16" s="107">
        <f>VLOOKUP(A16,'PL Mensual 2027'!I:O,7,0)</f>
        <v>-52583.3</v>
      </c>
      <c r="I16" s="108"/>
    </row>
    <row r="17" spans="1:9" x14ac:dyDescent="0.25">
      <c r="A17" t="s">
        <v>394</v>
      </c>
      <c r="B17" t="s">
        <v>77</v>
      </c>
      <c r="G17" s="4">
        <v>-1350</v>
      </c>
      <c r="H17" s="107">
        <f>VLOOKUP(A17,'PL Mensual 2027'!I:O,7,0)</f>
        <v>0</v>
      </c>
      <c r="I17" s="108">
        <f t="shared" ref="I17:I24" si="0">G17-H17</f>
        <v>-1350</v>
      </c>
    </row>
    <row r="18" spans="1:9" x14ac:dyDescent="0.25">
      <c r="A18" t="s">
        <v>109</v>
      </c>
      <c r="B18" t="s">
        <v>77</v>
      </c>
      <c r="G18" s="4">
        <v>4436.0200000000004</v>
      </c>
      <c r="H18" s="107">
        <f>VLOOKUP(A18,'PL Mensual 2027'!I:O,7,0)</f>
        <v>0</v>
      </c>
      <c r="I18" s="108">
        <f t="shared" si="0"/>
        <v>4436.0200000000004</v>
      </c>
    </row>
    <row r="19" spans="1:9" x14ac:dyDescent="0.25">
      <c r="A19" t="s">
        <v>112</v>
      </c>
      <c r="B19" t="s">
        <v>77</v>
      </c>
      <c r="G19" s="4">
        <v>-34727.120000000003</v>
      </c>
      <c r="H19" s="107">
        <f>VLOOKUP(A19,'PL Mensual 2027'!I:O,7,0)</f>
        <v>0</v>
      </c>
      <c r="I19" s="108">
        <f t="shared" si="0"/>
        <v>-34727.120000000003</v>
      </c>
    </row>
    <row r="20" spans="1:9" x14ac:dyDescent="0.25">
      <c r="A20" t="s">
        <v>114</v>
      </c>
      <c r="B20" t="s">
        <v>77</v>
      </c>
      <c r="G20" s="4">
        <v>-417425.43</v>
      </c>
      <c r="H20" s="107">
        <f>VLOOKUP(A20,'PL Mensual 2027'!I:O,7,0)</f>
        <v>-607735.53</v>
      </c>
      <c r="I20" s="108">
        <f t="shared" si="0"/>
        <v>190310.10000000003</v>
      </c>
    </row>
    <row r="21" spans="1:9" x14ac:dyDescent="0.25">
      <c r="A21" t="s">
        <v>403</v>
      </c>
      <c r="B21" t="s">
        <v>77</v>
      </c>
      <c r="G21" s="4">
        <v>-108150</v>
      </c>
      <c r="H21" s="107" t="e">
        <f>VLOOKUP(A21,'PL Mensual 2027'!I:O,7,0)</f>
        <v>#N/A</v>
      </c>
      <c r="I21" s="108" t="e">
        <f t="shared" si="0"/>
        <v>#N/A</v>
      </c>
    </row>
    <row r="22" spans="1:9" x14ac:dyDescent="0.25">
      <c r="A22" t="s">
        <v>117</v>
      </c>
      <c r="B22" t="s">
        <v>77</v>
      </c>
      <c r="G22" s="4">
        <v>-111111.14</v>
      </c>
      <c r="H22" s="107">
        <f>VLOOKUP(A22,'PL Mensual 2027'!I:O,7,0)</f>
        <v>-125465.45</v>
      </c>
      <c r="I22" s="108">
        <f t="shared" si="0"/>
        <v>14354.309999999998</v>
      </c>
    </row>
    <row r="23" spans="1:9" x14ac:dyDescent="0.25">
      <c r="A23" t="s">
        <v>121</v>
      </c>
      <c r="B23" t="s">
        <v>77</v>
      </c>
      <c r="G23" s="4">
        <v>-2784.91</v>
      </c>
      <c r="H23" s="107">
        <f>VLOOKUP(A23,'PL Mensual 2027'!I:O,7,0)</f>
        <v>-19591.740000000002</v>
      </c>
      <c r="I23" s="108">
        <f t="shared" si="0"/>
        <v>16806.830000000002</v>
      </c>
    </row>
    <row r="24" spans="1:9" x14ac:dyDescent="0.25">
      <c r="A24" t="s">
        <v>123</v>
      </c>
      <c r="B24" t="s">
        <v>77</v>
      </c>
      <c r="G24" s="4">
        <v>-17326.400000000001</v>
      </c>
      <c r="H24" s="107">
        <f>VLOOKUP(A24,'PL Mensual 2027'!I:O,7,0)</f>
        <v>-20375.400000000001</v>
      </c>
      <c r="I24" s="108">
        <f t="shared" si="0"/>
        <v>3049</v>
      </c>
    </row>
    <row r="25" spans="1:9" x14ac:dyDescent="0.25">
      <c r="A25" t="s">
        <v>125</v>
      </c>
      <c r="B25" t="s">
        <v>77</v>
      </c>
      <c r="G25" t="s">
        <v>400</v>
      </c>
      <c r="H25" s="107">
        <f>VLOOKUP(A25,'PL Mensual 2027'!I:O,7,0)</f>
        <v>-131.91999999999999</v>
      </c>
      <c r="I25" s="108"/>
    </row>
    <row r="26" spans="1:9" x14ac:dyDescent="0.25">
      <c r="A26" t="s">
        <v>127</v>
      </c>
      <c r="B26" t="s">
        <v>77</v>
      </c>
      <c r="G26" t="s">
        <v>400</v>
      </c>
      <c r="H26" s="107">
        <f>VLOOKUP(A26,'PL Mensual 2027'!I:O,7,0)</f>
        <v>-204.02</v>
      </c>
      <c r="I26" s="108"/>
    </row>
    <row r="27" spans="1:9" x14ac:dyDescent="0.25">
      <c r="A27" t="s">
        <v>128</v>
      </c>
      <c r="B27" t="s">
        <v>77</v>
      </c>
      <c r="G27" t="s">
        <v>400</v>
      </c>
      <c r="H27" s="107">
        <f>VLOOKUP(A27,'PL Mensual 2027'!I:O,7,0)</f>
        <v>-10501.17</v>
      </c>
      <c r="I27" s="108"/>
    </row>
    <row r="28" spans="1:9" x14ac:dyDescent="0.25">
      <c r="A28" t="s">
        <v>133</v>
      </c>
      <c r="B28" t="s">
        <v>77</v>
      </c>
      <c r="G28" t="s">
        <v>400</v>
      </c>
      <c r="H28" s="107">
        <f>VLOOKUP(A28,'PL Mensual 2027'!I:O,7,0)</f>
        <v>-964.39</v>
      </c>
      <c r="I28" s="108"/>
    </row>
    <row r="29" spans="1:9" x14ac:dyDescent="0.25">
      <c r="A29" t="s">
        <v>134</v>
      </c>
      <c r="B29" t="s">
        <v>77</v>
      </c>
      <c r="G29" t="s">
        <v>400</v>
      </c>
      <c r="H29" s="107">
        <f>VLOOKUP(A29,'PL Mensual 2027'!I:O,7,0)</f>
        <v>-1559.63</v>
      </c>
      <c r="I29" s="108"/>
    </row>
    <row r="30" spans="1:9" x14ac:dyDescent="0.25">
      <c r="A30" t="s">
        <v>135</v>
      </c>
      <c r="B30" t="s">
        <v>77</v>
      </c>
      <c r="G30">
        <v>-480.84</v>
      </c>
      <c r="H30" s="107">
        <f>VLOOKUP(A30,'PL Mensual 2027'!I:O,7,0)</f>
        <v>-2600</v>
      </c>
      <c r="I30" s="108">
        <f t="shared" ref="I30:I36" si="1">G30-H30</f>
        <v>2119.16</v>
      </c>
    </row>
    <row r="31" spans="1:9" x14ac:dyDescent="0.25">
      <c r="A31" t="s">
        <v>137</v>
      </c>
      <c r="B31" t="s">
        <v>77</v>
      </c>
      <c r="G31" s="4">
        <v>1124</v>
      </c>
      <c r="H31" s="107">
        <f>VLOOKUP(A31,'PL Mensual 2027'!I:O,7,0)</f>
        <v>-183.2</v>
      </c>
      <c r="I31" s="108">
        <f t="shared" si="1"/>
        <v>1307.2</v>
      </c>
    </row>
    <row r="32" spans="1:9" x14ac:dyDescent="0.25">
      <c r="A32" t="s">
        <v>139</v>
      </c>
      <c r="B32" t="s">
        <v>77</v>
      </c>
      <c r="G32" s="4">
        <v>-32102.71</v>
      </c>
      <c r="H32" s="107">
        <f>VLOOKUP(A32,'PL Mensual 2027'!I:O,7,0)</f>
        <v>-7500</v>
      </c>
      <c r="I32" s="108">
        <f t="shared" si="1"/>
        <v>-24602.71</v>
      </c>
    </row>
    <row r="33" spans="1:9" x14ac:dyDescent="0.25">
      <c r="A33" t="s">
        <v>401</v>
      </c>
      <c r="B33" t="s">
        <v>402</v>
      </c>
      <c r="G33" s="4">
        <v>28562.71</v>
      </c>
      <c r="H33" s="107" t="e">
        <f>VLOOKUP(A33,'PL Mensual 2027'!I:O,7,0)</f>
        <v>#N/A</v>
      </c>
      <c r="I33" s="108" t="e">
        <f t="shared" si="1"/>
        <v>#N/A</v>
      </c>
    </row>
    <row r="34" spans="1:9" x14ac:dyDescent="0.25">
      <c r="A34" t="s">
        <v>142</v>
      </c>
      <c r="B34" t="s">
        <v>77</v>
      </c>
      <c r="G34" s="4">
        <v>-43504.89</v>
      </c>
      <c r="H34" s="107">
        <f>VLOOKUP(A34,'PL Mensual 2027'!I:O,7,0)</f>
        <v>0</v>
      </c>
      <c r="I34" s="108">
        <f t="shared" si="1"/>
        <v>-43504.89</v>
      </c>
    </row>
    <row r="35" spans="1:9" x14ac:dyDescent="0.25">
      <c r="A35" t="s">
        <v>145</v>
      </c>
      <c r="B35" t="s">
        <v>77</v>
      </c>
      <c r="G35" s="4">
        <v>-73565.42</v>
      </c>
      <c r="H35" s="107">
        <f>VLOOKUP(A35,'PL Mensual 2027'!I:O,7,0)</f>
        <v>0</v>
      </c>
      <c r="I35" s="108">
        <f t="shared" si="1"/>
        <v>-73565.42</v>
      </c>
    </row>
    <row r="36" spans="1:9" x14ac:dyDescent="0.25">
      <c r="A36" t="s">
        <v>150</v>
      </c>
      <c r="B36" t="s">
        <v>77</v>
      </c>
      <c r="G36" s="4">
        <v>-104048.18</v>
      </c>
      <c r="H36" s="107">
        <f>VLOOKUP(A36,'PL Mensual 2027'!I:O,7,0)</f>
        <v>-127379.94</v>
      </c>
      <c r="I36" s="108">
        <f t="shared" si="1"/>
        <v>23331.760000000009</v>
      </c>
    </row>
    <row r="37" spans="1:9" x14ac:dyDescent="0.25">
      <c r="A37" t="s">
        <v>404</v>
      </c>
      <c r="B37" t="s">
        <v>77</v>
      </c>
      <c r="G37" t="s">
        <v>400</v>
      </c>
      <c r="H37" s="107" t="e">
        <f>VLOOKUP(A37,'PL Mensual 2027'!I:O,7,0)</f>
        <v>#N/A</v>
      </c>
      <c r="I37" s="108"/>
    </row>
    <row r="38" spans="1:9" x14ac:dyDescent="0.25">
      <c r="A38" t="s">
        <v>153</v>
      </c>
      <c r="B38" t="s">
        <v>77</v>
      </c>
      <c r="G38" s="4">
        <v>-30856.34</v>
      </c>
      <c r="H38" s="107">
        <f>VLOOKUP(A38,'PL Mensual 2027'!I:O,7,0)</f>
        <v>-35002.800000000003</v>
      </c>
      <c r="I38" s="108">
        <f t="shared" ref="I38:I44" si="2">G38-H38</f>
        <v>4146.4600000000028</v>
      </c>
    </row>
    <row r="39" spans="1:9" x14ac:dyDescent="0.25">
      <c r="A39" t="s">
        <v>164</v>
      </c>
      <c r="B39" t="s">
        <v>77</v>
      </c>
      <c r="G39">
        <v>-88</v>
      </c>
      <c r="H39" s="107">
        <f>VLOOKUP(A39,'PL Mensual 2027'!I:O,7,0)</f>
        <v>0</v>
      </c>
      <c r="I39" s="108">
        <f t="shared" si="2"/>
        <v>-88</v>
      </c>
    </row>
    <row r="40" spans="1:9" x14ac:dyDescent="0.25">
      <c r="A40" t="s">
        <v>172</v>
      </c>
      <c r="B40" t="s">
        <v>77</v>
      </c>
      <c r="G40">
        <v>-487.47</v>
      </c>
      <c r="H40" s="107">
        <f>VLOOKUP(A40,'PL Mensual 2027'!I:O,7,0)</f>
        <v>-322.5</v>
      </c>
      <c r="I40" s="108">
        <f t="shared" si="2"/>
        <v>-164.97000000000003</v>
      </c>
    </row>
    <row r="41" spans="1:9" x14ac:dyDescent="0.25">
      <c r="A41" t="s">
        <v>174</v>
      </c>
      <c r="B41" t="s">
        <v>77</v>
      </c>
      <c r="G41" s="4">
        <v>-1464.58</v>
      </c>
      <c r="H41" s="107">
        <f>VLOOKUP(A41,'PL Mensual 2027'!I:O,7,0)</f>
        <v>-812.59</v>
      </c>
      <c r="I41" s="108">
        <f t="shared" si="2"/>
        <v>-651.9899999999999</v>
      </c>
    </row>
    <row r="42" spans="1:9" x14ac:dyDescent="0.25">
      <c r="A42" t="s">
        <v>175</v>
      </c>
      <c r="B42" t="s">
        <v>77</v>
      </c>
      <c r="G42" s="4">
        <v>-1476.12</v>
      </c>
      <c r="H42" s="107">
        <f>VLOOKUP(A42,'PL Mensual 2027'!I:O,7,0)</f>
        <v>-1229.19</v>
      </c>
      <c r="I42" s="108">
        <f t="shared" si="2"/>
        <v>-246.92999999999984</v>
      </c>
    </row>
    <row r="43" spans="1:9" x14ac:dyDescent="0.25">
      <c r="A43" t="s">
        <v>177</v>
      </c>
      <c r="B43" t="s">
        <v>77</v>
      </c>
      <c r="G43">
        <v>-192</v>
      </c>
      <c r="H43" s="107">
        <f>VLOOKUP(A43,'PL Mensual 2027'!I:O,7,0)</f>
        <v>-192</v>
      </c>
      <c r="I43" s="108">
        <f t="shared" si="2"/>
        <v>0</v>
      </c>
    </row>
    <row r="44" spans="1:9" x14ac:dyDescent="0.25">
      <c r="A44" t="s">
        <v>179</v>
      </c>
      <c r="B44" t="s">
        <v>77</v>
      </c>
      <c r="G44" s="4">
        <v>-15421.92</v>
      </c>
      <c r="H44" s="107">
        <f>VLOOKUP(A44,'PL Mensual 2027'!I:O,7,0)</f>
        <v>-1877.6</v>
      </c>
      <c r="I44" s="108">
        <f t="shared" si="2"/>
        <v>-13544.32</v>
      </c>
    </row>
    <row r="45" spans="1:9" x14ac:dyDescent="0.25">
      <c r="A45" t="s">
        <v>183</v>
      </c>
      <c r="B45" t="s">
        <v>77</v>
      </c>
      <c r="G45" t="s">
        <v>400</v>
      </c>
      <c r="H45" s="107">
        <f>VLOOKUP(A45,'PL Mensual 2027'!I:O,7,0)</f>
        <v>-361.46</v>
      </c>
      <c r="I45" s="108"/>
    </row>
    <row r="46" spans="1:9" x14ac:dyDescent="0.25">
      <c r="A46" t="s">
        <v>185</v>
      </c>
      <c r="B46" t="s">
        <v>77</v>
      </c>
      <c r="G46" t="s">
        <v>400</v>
      </c>
      <c r="H46" s="107">
        <f>VLOOKUP(A46,'PL Mensual 2027'!I:O,7,0)</f>
        <v>-369.97</v>
      </c>
      <c r="I46" s="108"/>
    </row>
    <row r="47" spans="1:9" x14ac:dyDescent="0.25">
      <c r="A47" t="s">
        <v>187</v>
      </c>
      <c r="B47" t="s">
        <v>77</v>
      </c>
      <c r="G47">
        <v>-338</v>
      </c>
      <c r="H47" s="107">
        <f>VLOOKUP(A47,'PL Mensual 2027'!I:O,7,0)</f>
        <v>-338</v>
      </c>
      <c r="I47" s="108">
        <f>G47-H47</f>
        <v>0</v>
      </c>
    </row>
    <row r="48" spans="1:9" x14ac:dyDescent="0.25">
      <c r="A48" t="s">
        <v>188</v>
      </c>
      <c r="B48" t="s">
        <v>77</v>
      </c>
      <c r="G48">
        <v>-443.49</v>
      </c>
      <c r="H48" s="107">
        <f>VLOOKUP(A48,'PL Mensual 2027'!I:O,7,0)</f>
        <v>-470.16</v>
      </c>
      <c r="I48" s="108">
        <f>G48-H48</f>
        <v>26.670000000000016</v>
      </c>
    </row>
    <row r="49" spans="1:9" x14ac:dyDescent="0.25">
      <c r="A49" t="s">
        <v>189</v>
      </c>
      <c r="B49" t="s">
        <v>77</v>
      </c>
      <c r="G49">
        <v>-399.42</v>
      </c>
      <c r="H49" s="107">
        <f>VLOOKUP(A49,'PL Mensual 2027'!I:O,7,0)</f>
        <v>-345.06</v>
      </c>
      <c r="I49" s="108">
        <f>G49-H49</f>
        <v>-54.360000000000014</v>
      </c>
    </row>
    <row r="50" spans="1:9" x14ac:dyDescent="0.25">
      <c r="A50" t="s">
        <v>190</v>
      </c>
      <c r="B50" t="s">
        <v>77</v>
      </c>
      <c r="G50" t="s">
        <v>400</v>
      </c>
      <c r="H50" s="107">
        <f>VLOOKUP(A50,'PL Mensual 2027'!I:O,7,0)</f>
        <v>-813.69</v>
      </c>
      <c r="I50" s="108"/>
    </row>
    <row r="51" spans="1:9" x14ac:dyDescent="0.25">
      <c r="A51" t="s">
        <v>193</v>
      </c>
      <c r="B51" t="s">
        <v>77</v>
      </c>
      <c r="G51">
        <v>-200</v>
      </c>
      <c r="H51" s="107">
        <f>VLOOKUP(A51,'PL Mensual 2027'!I:O,7,0)</f>
        <v>-228.57</v>
      </c>
      <c r="I51" s="108">
        <f>G51-H51</f>
        <v>28.569999999999993</v>
      </c>
    </row>
    <row r="52" spans="1:9" x14ac:dyDescent="0.25">
      <c r="A52" t="s">
        <v>194</v>
      </c>
      <c r="B52" t="s">
        <v>77</v>
      </c>
      <c r="G52">
        <v>-200.22</v>
      </c>
      <c r="H52" s="107">
        <f>VLOOKUP(A52,'PL Mensual 2027'!I:O,7,0)</f>
        <v>-228.82</v>
      </c>
      <c r="I52" s="108">
        <f>G52-H52</f>
        <v>28.599999999999994</v>
      </c>
    </row>
    <row r="53" spans="1:9" x14ac:dyDescent="0.25">
      <c r="A53" t="s">
        <v>195</v>
      </c>
      <c r="B53" t="s">
        <v>77</v>
      </c>
      <c r="G53" t="s">
        <v>400</v>
      </c>
      <c r="H53" s="107">
        <f>VLOOKUP(A53,'PL Mensual 2027'!I:O,7,0)</f>
        <v>-482.36</v>
      </c>
      <c r="I53" s="108"/>
    </row>
    <row r="54" spans="1:9" x14ac:dyDescent="0.25">
      <c r="A54" t="s">
        <v>196</v>
      </c>
      <c r="B54" t="s">
        <v>77</v>
      </c>
      <c r="G54" s="4">
        <v>-1172.1400000000001</v>
      </c>
      <c r="H54" s="107">
        <f>VLOOKUP(A54,'PL Mensual 2027'!I:O,7,0)</f>
        <v>-1557.86</v>
      </c>
      <c r="I54" s="108">
        <f t="shared" ref="I54:I60" si="3">G54-H54</f>
        <v>385.7199999999998</v>
      </c>
    </row>
    <row r="55" spans="1:9" x14ac:dyDescent="0.25">
      <c r="A55" t="s">
        <v>197</v>
      </c>
      <c r="B55" t="s">
        <v>77</v>
      </c>
      <c r="G55" s="4">
        <v>-1015.21</v>
      </c>
      <c r="H55" s="107">
        <f>VLOOKUP(A55,'PL Mensual 2027'!I:O,7,0)</f>
        <v>-1338.15</v>
      </c>
      <c r="I55" s="108">
        <f t="shared" si="3"/>
        <v>322.94000000000005</v>
      </c>
    </row>
    <row r="56" spans="1:9" x14ac:dyDescent="0.25">
      <c r="A56" t="s">
        <v>198</v>
      </c>
      <c r="B56" t="s">
        <v>77</v>
      </c>
      <c r="G56">
        <v>-677.53</v>
      </c>
      <c r="H56" s="107">
        <f>VLOOKUP(A56,'PL Mensual 2027'!I:O,7,0)</f>
        <v>-645.34</v>
      </c>
      <c r="I56" s="108">
        <f t="shared" si="3"/>
        <v>-32.189999999999941</v>
      </c>
    </row>
    <row r="57" spans="1:9" x14ac:dyDescent="0.25">
      <c r="A57" t="s">
        <v>199</v>
      </c>
      <c r="B57" t="s">
        <v>77</v>
      </c>
      <c r="G57" s="4">
        <v>-1600</v>
      </c>
      <c r="H57" s="107">
        <f>VLOOKUP(A57,'PL Mensual 2027'!I:O,7,0)</f>
        <v>-1600</v>
      </c>
      <c r="I57" s="108">
        <f t="shared" si="3"/>
        <v>0</v>
      </c>
    </row>
    <row r="58" spans="1:9" x14ac:dyDescent="0.25">
      <c r="A58" t="s">
        <v>200</v>
      </c>
      <c r="B58" t="s">
        <v>77</v>
      </c>
      <c r="G58" s="4">
        <v>-1208.01</v>
      </c>
      <c r="H58" s="107">
        <f>VLOOKUP(A58,'PL Mensual 2027'!I:O,7,0)</f>
        <v>-1093.31</v>
      </c>
      <c r="I58" s="108">
        <f t="shared" si="3"/>
        <v>-114.70000000000005</v>
      </c>
    </row>
    <row r="59" spans="1:9" x14ac:dyDescent="0.25">
      <c r="A59" t="s">
        <v>201</v>
      </c>
      <c r="B59" t="s">
        <v>77</v>
      </c>
      <c r="G59">
        <v>-665</v>
      </c>
      <c r="H59" s="107">
        <f>VLOOKUP(A59,'PL Mensual 2027'!I:O,7,0)</f>
        <v>-677.75</v>
      </c>
      <c r="I59" s="108">
        <f t="shared" si="3"/>
        <v>12.75</v>
      </c>
    </row>
    <row r="60" spans="1:9" x14ac:dyDescent="0.25">
      <c r="A60" t="s">
        <v>401</v>
      </c>
      <c r="B60" t="s">
        <v>402</v>
      </c>
      <c r="G60">
        <v>665</v>
      </c>
      <c r="H60" s="107" t="e">
        <f>VLOOKUP(A60,'PL Mensual 2027'!I:O,7,0)</f>
        <v>#N/A</v>
      </c>
      <c r="I60" s="108" t="e">
        <f t="shared" si="3"/>
        <v>#N/A</v>
      </c>
    </row>
    <row r="61" spans="1:9" x14ac:dyDescent="0.25">
      <c r="A61" t="s">
        <v>203</v>
      </c>
      <c r="B61" t="s">
        <v>77</v>
      </c>
      <c r="G61" t="s">
        <v>400</v>
      </c>
      <c r="H61" s="107">
        <f>VLOOKUP(A61,'PL Mensual 2027'!I:O,7,0)</f>
        <v>-748.65</v>
      </c>
      <c r="I61" s="108"/>
    </row>
    <row r="62" spans="1:9" x14ac:dyDescent="0.25">
      <c r="A62" t="s">
        <v>205</v>
      </c>
      <c r="B62" t="s">
        <v>77</v>
      </c>
      <c r="G62" t="s">
        <v>400</v>
      </c>
      <c r="H62" s="107">
        <f>VLOOKUP(A62,'PL Mensual 2027'!I:O,7,0)</f>
        <v>-731.87</v>
      </c>
      <c r="I62" s="108"/>
    </row>
    <row r="63" spans="1:9" x14ac:dyDescent="0.25">
      <c r="A63" t="s">
        <v>206</v>
      </c>
      <c r="B63" t="s">
        <v>77</v>
      </c>
      <c r="G63">
        <v>-183.66</v>
      </c>
      <c r="H63" s="107">
        <f>VLOOKUP(A63,'PL Mensual 2027'!I:O,7,0)</f>
        <v>-122.19</v>
      </c>
      <c r="I63" s="108">
        <f>G63-H63</f>
        <v>-61.47</v>
      </c>
    </row>
    <row r="64" spans="1:9" x14ac:dyDescent="0.25">
      <c r="A64" t="s">
        <v>207</v>
      </c>
      <c r="B64" t="s">
        <v>77</v>
      </c>
      <c r="G64" t="s">
        <v>400</v>
      </c>
      <c r="H64" s="107">
        <f>VLOOKUP(A64,'PL Mensual 2027'!I:O,7,0)</f>
        <v>-800</v>
      </c>
      <c r="I64" s="108"/>
    </row>
    <row r="65" spans="1:9" x14ac:dyDescent="0.25">
      <c r="A65" t="s">
        <v>209</v>
      </c>
      <c r="B65" t="s">
        <v>77</v>
      </c>
      <c r="G65" t="s">
        <v>400</v>
      </c>
      <c r="H65" s="107">
        <f>VLOOKUP(A65,'PL Mensual 2027'!I:O,7,0)</f>
        <v>-249.63</v>
      </c>
      <c r="I65" s="108"/>
    </row>
    <row r="66" spans="1:9" x14ac:dyDescent="0.25">
      <c r="A66" t="s">
        <v>210</v>
      </c>
      <c r="B66" t="s">
        <v>77</v>
      </c>
      <c r="G66" t="s">
        <v>400</v>
      </c>
      <c r="H66" s="107">
        <f>VLOOKUP(A66,'PL Mensual 2027'!I:O,7,0)</f>
        <v>-515.01</v>
      </c>
      <c r="I66" s="108"/>
    </row>
    <row r="67" spans="1:9" x14ac:dyDescent="0.25">
      <c r="A67" t="s">
        <v>212</v>
      </c>
      <c r="B67" t="s">
        <v>77</v>
      </c>
      <c r="G67" t="s">
        <v>400</v>
      </c>
      <c r="H67" s="107">
        <f>VLOOKUP(A67,'PL Mensual 2027'!I:O,7,0)</f>
        <v>-935.11</v>
      </c>
      <c r="I67" s="108"/>
    </row>
    <row r="68" spans="1:9" x14ac:dyDescent="0.25">
      <c r="A68" t="s">
        <v>215</v>
      </c>
      <c r="B68" t="s">
        <v>77</v>
      </c>
      <c r="G68">
        <v>-942.88</v>
      </c>
      <c r="H68" s="107">
        <f>VLOOKUP(A68,'PL Mensual 2027'!I:O,7,0)</f>
        <v>0</v>
      </c>
      <c r="I68" s="108">
        <f>G68-H68</f>
        <v>-942.88</v>
      </c>
    </row>
    <row r="69" spans="1:9" x14ac:dyDescent="0.25">
      <c r="A69" t="s">
        <v>217</v>
      </c>
      <c r="B69" t="s">
        <v>77</v>
      </c>
      <c r="G69" t="s">
        <v>400</v>
      </c>
      <c r="H69" s="107">
        <f>VLOOKUP(A69,'PL Mensual 2027'!I:O,7,0)</f>
        <v>0</v>
      </c>
      <c r="I69" s="108"/>
    </row>
    <row r="70" spans="1:9" x14ac:dyDescent="0.25">
      <c r="A70" t="s">
        <v>219</v>
      </c>
      <c r="B70" t="s">
        <v>77</v>
      </c>
      <c r="G70" t="s">
        <v>400</v>
      </c>
      <c r="H70" s="107">
        <f>VLOOKUP(A70,'PL Mensual 2027'!I:O,7,0)</f>
        <v>-367.5</v>
      </c>
      <c r="I70" s="108"/>
    </row>
    <row r="71" spans="1:9" x14ac:dyDescent="0.25">
      <c r="A71" t="s">
        <v>221</v>
      </c>
      <c r="B71" t="s">
        <v>77</v>
      </c>
      <c r="G71" s="4">
        <v>-1092.45</v>
      </c>
      <c r="H71" s="107">
        <f>VLOOKUP(A71,'PL Mensual 2027'!I:O,7,0)</f>
        <v>0</v>
      </c>
      <c r="I71" s="108">
        <f>G71-H71</f>
        <v>-1092.45</v>
      </c>
    </row>
    <row r="72" spans="1:9" x14ac:dyDescent="0.25">
      <c r="A72" t="s">
        <v>223</v>
      </c>
      <c r="B72" t="s">
        <v>77</v>
      </c>
      <c r="G72">
        <v>-799.04</v>
      </c>
      <c r="H72" s="107">
        <f>VLOOKUP(A72,'PL Mensual 2027'!I:O,7,0)</f>
        <v>-262.5</v>
      </c>
      <c r="I72" s="108">
        <f>G72-H72</f>
        <v>-536.54</v>
      </c>
    </row>
    <row r="73" spans="1:9" x14ac:dyDescent="0.25">
      <c r="A73" t="s">
        <v>225</v>
      </c>
      <c r="B73" t="s">
        <v>77</v>
      </c>
      <c r="G73" t="s">
        <v>400</v>
      </c>
      <c r="H73" s="107">
        <f>VLOOKUP(A73,'PL Mensual 2027'!I:O,7,0)</f>
        <v>0</v>
      </c>
      <c r="I73" s="108"/>
    </row>
    <row r="74" spans="1:9" x14ac:dyDescent="0.25">
      <c r="A74" t="s">
        <v>228</v>
      </c>
      <c r="B74" t="s">
        <v>77</v>
      </c>
      <c r="G74" s="4">
        <v>-21698</v>
      </c>
      <c r="H74" s="107">
        <f>VLOOKUP(A74,'PL Mensual 2027'!I:O,7,0)</f>
        <v>-6000</v>
      </c>
      <c r="I74" s="108">
        <f t="shared" ref="I74:I80" si="4">G74-H74</f>
        <v>-15698</v>
      </c>
    </row>
    <row r="75" spans="1:9" x14ac:dyDescent="0.25">
      <c r="A75" t="s">
        <v>230</v>
      </c>
      <c r="B75" t="s">
        <v>77</v>
      </c>
      <c r="G75" s="4">
        <v>-2891.19</v>
      </c>
      <c r="H75" s="107">
        <f>VLOOKUP(A75,'PL Mensual 2027'!I:O,7,0)</f>
        <v>-1400</v>
      </c>
      <c r="I75" s="108">
        <f t="shared" si="4"/>
        <v>-1491.19</v>
      </c>
    </row>
    <row r="76" spans="1:9" x14ac:dyDescent="0.25">
      <c r="A76" t="s">
        <v>232</v>
      </c>
      <c r="B76" t="s">
        <v>77</v>
      </c>
      <c r="G76" s="4">
        <v>-2271.2399999999998</v>
      </c>
      <c r="H76" s="107">
        <f>VLOOKUP(A76,'PL Mensual 2027'!I:O,7,0)</f>
        <v>0</v>
      </c>
      <c r="I76" s="108">
        <f t="shared" si="4"/>
        <v>-2271.2399999999998</v>
      </c>
    </row>
    <row r="77" spans="1:9" x14ac:dyDescent="0.25">
      <c r="A77" t="s">
        <v>234</v>
      </c>
      <c r="B77" t="s">
        <v>77</v>
      </c>
      <c r="G77" s="4">
        <v>-1574.71</v>
      </c>
      <c r="H77" s="107">
        <f>VLOOKUP(A77,'PL Mensual 2027'!I:O,7,0)</f>
        <v>-1610</v>
      </c>
      <c r="I77" s="108">
        <f t="shared" si="4"/>
        <v>35.289999999999964</v>
      </c>
    </row>
    <row r="78" spans="1:9" x14ac:dyDescent="0.25">
      <c r="A78" t="s">
        <v>236</v>
      </c>
      <c r="B78" t="s">
        <v>77</v>
      </c>
      <c r="G78">
        <v>-429</v>
      </c>
      <c r="H78" s="107">
        <f>VLOOKUP(A78,'PL Mensual 2027'!I:O,7,0)</f>
        <v>-610.55999999999995</v>
      </c>
      <c r="I78" s="108">
        <f t="shared" si="4"/>
        <v>181.55999999999995</v>
      </c>
    </row>
    <row r="79" spans="1:9" x14ac:dyDescent="0.25">
      <c r="A79" t="s">
        <v>238</v>
      </c>
      <c r="B79" t="s">
        <v>77</v>
      </c>
      <c r="G79" s="4">
        <v>-4225.22</v>
      </c>
      <c r="H79" s="107">
        <f>VLOOKUP(A79,'PL Mensual 2027'!I:O,7,0)</f>
        <v>-4000</v>
      </c>
      <c r="I79" s="108">
        <f t="shared" si="4"/>
        <v>-225.22000000000025</v>
      </c>
    </row>
    <row r="80" spans="1:9" x14ac:dyDescent="0.25">
      <c r="A80" t="s">
        <v>240</v>
      </c>
      <c r="B80" t="s">
        <v>77</v>
      </c>
      <c r="G80">
        <v>-141.55000000000001</v>
      </c>
      <c r="H80" s="107">
        <f>VLOOKUP(A80,'PL Mensual 2027'!I:O,7,0)</f>
        <v>-500</v>
      </c>
      <c r="I80" s="108">
        <f t="shared" si="4"/>
        <v>358.45</v>
      </c>
    </row>
    <row r="81" spans="1:9" x14ac:dyDescent="0.25">
      <c r="A81" t="s">
        <v>242</v>
      </c>
      <c r="B81" t="s">
        <v>77</v>
      </c>
      <c r="G81" t="s">
        <v>400</v>
      </c>
      <c r="H81" s="107">
        <f>VLOOKUP(A81,'PL Mensual 2027'!I:O,7,0)</f>
        <v>-6000</v>
      </c>
      <c r="I81" s="108"/>
    </row>
    <row r="82" spans="1:9" x14ac:dyDescent="0.25">
      <c r="A82" t="s">
        <v>244</v>
      </c>
      <c r="B82" t="s">
        <v>77</v>
      </c>
      <c r="G82" s="4">
        <v>-3398.55</v>
      </c>
      <c r="H82" s="107">
        <f>VLOOKUP(A82,'PL Mensual 2027'!I:O,7,0)</f>
        <v>-283.20999999999998</v>
      </c>
      <c r="I82" s="108">
        <f>G82-H82</f>
        <v>-3115.34</v>
      </c>
    </row>
    <row r="83" spans="1:9" x14ac:dyDescent="0.25">
      <c r="A83" t="s">
        <v>247</v>
      </c>
      <c r="B83" t="s">
        <v>77</v>
      </c>
      <c r="G83">
        <v>-377.56</v>
      </c>
      <c r="H83" s="107">
        <f>VLOOKUP(A83,'PL Mensual 2027'!I:O,7,0)</f>
        <v>0</v>
      </c>
      <c r="I83" s="108">
        <f>G83-H83</f>
        <v>-377.56</v>
      </c>
    </row>
    <row r="84" spans="1:9" x14ac:dyDescent="0.25">
      <c r="A84" t="s">
        <v>250</v>
      </c>
      <c r="B84" t="s">
        <v>77</v>
      </c>
      <c r="G84" t="s">
        <v>400</v>
      </c>
      <c r="H84" s="107">
        <f>VLOOKUP(A84,'PL Mensual 2027'!I:O,7,0)</f>
        <v>0</v>
      </c>
      <c r="I84" s="108"/>
    </row>
    <row r="85" spans="1:9" x14ac:dyDescent="0.25">
      <c r="A85" t="s">
        <v>256</v>
      </c>
      <c r="B85" t="s">
        <v>77</v>
      </c>
      <c r="G85">
        <v>-53.14</v>
      </c>
      <c r="H85" s="107">
        <f>VLOOKUP(A85,'PL Mensual 2027'!I:O,7,0)</f>
        <v>0</v>
      </c>
      <c r="I85" s="108">
        <f>G85-H85</f>
        <v>-53.14</v>
      </c>
    </row>
    <row r="86" spans="1:9" x14ac:dyDescent="0.25">
      <c r="A86" t="s">
        <v>257</v>
      </c>
      <c r="B86" t="s">
        <v>77</v>
      </c>
      <c r="G86" t="s">
        <v>400</v>
      </c>
      <c r="H86" s="107">
        <f>VLOOKUP(A86,'PL Mensual 2027'!I:O,7,0)</f>
        <v>0</v>
      </c>
      <c r="I86" s="108"/>
    </row>
    <row r="87" spans="1:9" x14ac:dyDescent="0.25">
      <c r="A87" t="s">
        <v>258</v>
      </c>
      <c r="B87" t="s">
        <v>77</v>
      </c>
      <c r="G87" t="s">
        <v>400</v>
      </c>
      <c r="H87" s="107">
        <f>VLOOKUP(A87,'PL Mensual 2027'!I:O,7,0)</f>
        <v>0</v>
      </c>
      <c r="I87" s="108"/>
    </row>
    <row r="88" spans="1:9" x14ac:dyDescent="0.25">
      <c r="A88" t="s">
        <v>251</v>
      </c>
      <c r="B88" t="s">
        <v>77</v>
      </c>
      <c r="G88">
        <v>-53.12</v>
      </c>
      <c r="H88" s="107">
        <f>VLOOKUP(A88,'PL Mensual 2027'!I:O,7,0)</f>
        <v>0</v>
      </c>
      <c r="I88" s="108">
        <f>G88-H88</f>
        <v>-53.12</v>
      </c>
    </row>
    <row r="89" spans="1:9" x14ac:dyDescent="0.25">
      <c r="A89" t="s">
        <v>259</v>
      </c>
      <c r="B89" t="s">
        <v>77</v>
      </c>
      <c r="G89" t="s">
        <v>400</v>
      </c>
      <c r="H89" s="107">
        <f>VLOOKUP(A89,'PL Mensual 2027'!I:O,7,0)</f>
        <v>0</v>
      </c>
      <c r="I89" s="108"/>
    </row>
    <row r="90" spans="1:9" x14ac:dyDescent="0.25">
      <c r="A90" t="s">
        <v>261</v>
      </c>
      <c r="B90" t="s">
        <v>77</v>
      </c>
      <c r="G90" t="s">
        <v>400</v>
      </c>
      <c r="H90" s="107">
        <f>VLOOKUP(A90,'PL Mensual 2027'!I:O,7,0)</f>
        <v>0</v>
      </c>
      <c r="I90" s="108"/>
    </row>
    <row r="91" spans="1:9" x14ac:dyDescent="0.25">
      <c r="A91" t="s">
        <v>262</v>
      </c>
      <c r="B91" t="s">
        <v>77</v>
      </c>
      <c r="G91" t="s">
        <v>400</v>
      </c>
      <c r="H91" s="107">
        <f>VLOOKUP(A91,'PL Mensual 2027'!I:O,7,0)</f>
        <v>0</v>
      </c>
      <c r="I91" s="108"/>
    </row>
    <row r="92" spans="1:9" x14ac:dyDescent="0.25">
      <c r="A92" t="s">
        <v>253</v>
      </c>
      <c r="B92" t="s">
        <v>77</v>
      </c>
      <c r="G92">
        <v>-53.12</v>
      </c>
      <c r="H92" s="107">
        <f>VLOOKUP(A92,'PL Mensual 2027'!I:O,7,0)</f>
        <v>0</v>
      </c>
      <c r="I92" s="108">
        <f>G92-H92</f>
        <v>-53.12</v>
      </c>
    </row>
    <row r="93" spans="1:9" x14ac:dyDescent="0.25">
      <c r="A93" t="s">
        <v>263</v>
      </c>
      <c r="B93" t="s">
        <v>77</v>
      </c>
      <c r="G93" t="s">
        <v>400</v>
      </c>
      <c r="H93" s="107">
        <f>VLOOKUP(A93,'PL Mensual 2027'!I:O,7,0)</f>
        <v>0</v>
      </c>
      <c r="I93" s="108"/>
    </row>
    <row r="94" spans="1:9" x14ac:dyDescent="0.25">
      <c r="A94" t="s">
        <v>264</v>
      </c>
      <c r="B94" t="s">
        <v>77</v>
      </c>
      <c r="G94" t="s">
        <v>400</v>
      </c>
      <c r="H94" s="107">
        <f>VLOOKUP(A94,'PL Mensual 2027'!I:O,7,0)</f>
        <v>0</v>
      </c>
      <c r="I94" s="108"/>
    </row>
    <row r="95" spans="1:9" x14ac:dyDescent="0.25">
      <c r="A95" t="s">
        <v>265</v>
      </c>
      <c r="B95" t="s">
        <v>77</v>
      </c>
      <c r="G95">
        <v>-53.12</v>
      </c>
      <c r="H95" s="107">
        <f>VLOOKUP(A95,'PL Mensual 2027'!I:O,7,0)</f>
        <v>0</v>
      </c>
      <c r="I95" s="108">
        <f>G95-H95</f>
        <v>-53.12</v>
      </c>
    </row>
    <row r="96" spans="1:9" x14ac:dyDescent="0.25">
      <c r="A96" t="s">
        <v>268</v>
      </c>
      <c r="B96" t="s">
        <v>77</v>
      </c>
      <c r="G96" s="4">
        <v>-17966.84</v>
      </c>
      <c r="H96" s="107">
        <f>VLOOKUP(A96,'PL Mensual 2027'!I:O,7,0)</f>
        <v>-18645.63</v>
      </c>
      <c r="I96" s="108">
        <f>G96-H96</f>
        <v>678.79000000000087</v>
      </c>
    </row>
    <row r="97" spans="1:9" x14ac:dyDescent="0.25">
      <c r="A97" t="s">
        <v>270</v>
      </c>
      <c r="B97" t="s">
        <v>77</v>
      </c>
      <c r="G97">
        <v>-951.38</v>
      </c>
      <c r="H97" s="107">
        <f>VLOOKUP(A97,'PL Mensual 2027'!I:O,7,0)</f>
        <v>-38718.800000000003</v>
      </c>
      <c r="I97" s="108">
        <f>G97-H97</f>
        <v>37767.420000000006</v>
      </c>
    </row>
    <row r="98" spans="1:9" x14ac:dyDescent="0.25">
      <c r="A98" t="s">
        <v>272</v>
      </c>
      <c r="B98" t="s">
        <v>77</v>
      </c>
      <c r="G98" s="4">
        <v>-6790.44</v>
      </c>
      <c r="H98" s="107">
        <f>VLOOKUP(A98,'PL Mensual 2027'!I:O,7,0)</f>
        <v>-14028.95</v>
      </c>
      <c r="I98" s="108">
        <f>G98-H98</f>
        <v>7238.5100000000011</v>
      </c>
    </row>
    <row r="99" spans="1:9" x14ac:dyDescent="0.25">
      <c r="A99" t="s">
        <v>274</v>
      </c>
      <c r="B99" t="s">
        <v>77</v>
      </c>
      <c r="G99" t="s">
        <v>400</v>
      </c>
      <c r="H99" s="107">
        <f>VLOOKUP(A99,'PL Mensual 2027'!I:O,7,0)</f>
        <v>0</v>
      </c>
      <c r="I99" s="108"/>
    </row>
    <row r="100" spans="1:9" x14ac:dyDescent="0.25">
      <c r="A100" t="s">
        <v>405</v>
      </c>
      <c r="B100" t="s">
        <v>77</v>
      </c>
      <c r="G100" t="s">
        <v>400</v>
      </c>
      <c r="H100" s="107" t="e">
        <f>VLOOKUP(A100,'PL Mensual 2027'!I:O,7,0)</f>
        <v>#N/A</v>
      </c>
      <c r="I100" s="108"/>
    </row>
    <row r="101" spans="1:9" x14ac:dyDescent="0.25">
      <c r="A101" t="s">
        <v>277</v>
      </c>
      <c r="B101" t="s">
        <v>77</v>
      </c>
      <c r="G101" t="s">
        <v>400</v>
      </c>
      <c r="H101" s="107">
        <f>VLOOKUP(A101,'PL Mensual 2027'!I:O,7,0)</f>
        <v>-1389.04</v>
      </c>
      <c r="I101" s="108"/>
    </row>
    <row r="102" spans="1:9" x14ac:dyDescent="0.25">
      <c r="A102" t="s">
        <v>280</v>
      </c>
      <c r="B102" t="s">
        <v>77</v>
      </c>
      <c r="G102" t="s">
        <v>400</v>
      </c>
      <c r="H102" s="107">
        <f>VLOOKUP(A102,'PL Mensual 2027'!I:O,7,0)</f>
        <v>-188.17</v>
      </c>
      <c r="I102" s="108"/>
    </row>
    <row r="103" spans="1:9" x14ac:dyDescent="0.25">
      <c r="A103" t="s">
        <v>283</v>
      </c>
      <c r="B103" t="s">
        <v>77</v>
      </c>
      <c r="G103" s="4">
        <v>-5788.51</v>
      </c>
      <c r="H103" s="107">
        <f>VLOOKUP(A103,'PL Mensual 2027'!I:O,7,0)</f>
        <v>-3281.59</v>
      </c>
      <c r="I103" s="108">
        <f>G103-H103</f>
        <v>-2506.92</v>
      </c>
    </row>
    <row r="104" spans="1:9" x14ac:dyDescent="0.25">
      <c r="A104" t="s">
        <v>284</v>
      </c>
      <c r="B104" t="s">
        <v>77</v>
      </c>
      <c r="G104" t="s">
        <v>400</v>
      </c>
      <c r="H104" s="107">
        <f>VLOOKUP(A104,'PL Mensual 2027'!I:O,7,0)</f>
        <v>-2975.68</v>
      </c>
      <c r="I104" s="108"/>
    </row>
    <row r="105" spans="1:9" x14ac:dyDescent="0.25">
      <c r="A105" t="s">
        <v>287</v>
      </c>
      <c r="B105" t="s">
        <v>77</v>
      </c>
      <c r="G105">
        <v>-8.4700000000000006</v>
      </c>
      <c r="H105" s="107">
        <f>VLOOKUP(A105,'PL Mensual 2027'!I:O,7,0)</f>
        <v>-49.02</v>
      </c>
      <c r="I105" s="108">
        <f>G105-H105</f>
        <v>40.550000000000004</v>
      </c>
    </row>
    <row r="106" spans="1:9" x14ac:dyDescent="0.25">
      <c r="A106" t="s">
        <v>289</v>
      </c>
      <c r="B106" t="s">
        <v>77</v>
      </c>
      <c r="G106">
        <v>-43.09</v>
      </c>
      <c r="H106" s="107">
        <f>VLOOKUP(A106,'PL Mensual 2027'!I:O,7,0)</f>
        <v>-171.17</v>
      </c>
      <c r="I106" s="108">
        <f>G106-H106</f>
        <v>128.07999999999998</v>
      </c>
    </row>
    <row r="107" spans="1:9" x14ac:dyDescent="0.25">
      <c r="A107" t="s">
        <v>290</v>
      </c>
      <c r="B107" t="s">
        <v>77</v>
      </c>
      <c r="G107" s="4">
        <v>-1201.98</v>
      </c>
      <c r="H107" s="107">
        <f>VLOOKUP(A107,'PL Mensual 2027'!I:O,7,0)</f>
        <v>-811.09</v>
      </c>
      <c r="I107" s="108">
        <f>G107-H107</f>
        <v>-390.89</v>
      </c>
    </row>
    <row r="108" spans="1:9" x14ac:dyDescent="0.25">
      <c r="A108" t="s">
        <v>296</v>
      </c>
      <c r="B108" t="s">
        <v>77</v>
      </c>
      <c r="G108">
        <v>-170.36</v>
      </c>
      <c r="H108" s="107">
        <f>VLOOKUP(A108,'PL Mensual 2027'!I:O,7,0)</f>
        <v>-2543.62</v>
      </c>
      <c r="I108" s="108">
        <f>G108-H108</f>
        <v>2373.2599999999998</v>
      </c>
    </row>
    <row r="109" spans="1:9" x14ac:dyDescent="0.25">
      <c r="A109" t="s">
        <v>298</v>
      </c>
      <c r="B109" t="s">
        <v>77</v>
      </c>
      <c r="G109" t="s">
        <v>400</v>
      </c>
      <c r="H109" s="107">
        <f>VLOOKUP(A109,'PL Mensual 2027'!I:O,7,0)</f>
        <v>-3351.46</v>
      </c>
      <c r="I109" s="108"/>
    </row>
    <row r="110" spans="1:9" x14ac:dyDescent="0.25">
      <c r="A110" t="s">
        <v>300</v>
      </c>
      <c r="B110" t="s">
        <v>77</v>
      </c>
      <c r="G110">
        <v>-55</v>
      </c>
      <c r="H110" s="107">
        <f>VLOOKUP(A110,'PL Mensual 2027'!I:O,7,0)</f>
        <v>-19481.53</v>
      </c>
      <c r="I110" s="108">
        <f>G110-H110</f>
        <v>19426.53</v>
      </c>
    </row>
    <row r="111" spans="1:9" x14ac:dyDescent="0.25">
      <c r="A111" t="s">
        <v>302</v>
      </c>
      <c r="B111" t="s">
        <v>77</v>
      </c>
      <c r="G111" s="4">
        <v>-3208.9</v>
      </c>
      <c r="H111" s="107">
        <f>VLOOKUP(A111,'PL Mensual 2027'!I:O,7,0)</f>
        <v>-1029.3900000000001</v>
      </c>
      <c r="I111" s="108">
        <f>G111-H111</f>
        <v>-2179.5100000000002</v>
      </c>
    </row>
    <row r="112" spans="1:9" x14ac:dyDescent="0.25">
      <c r="A112" t="s">
        <v>304</v>
      </c>
      <c r="B112" t="s">
        <v>77</v>
      </c>
      <c r="G112" t="s">
        <v>400</v>
      </c>
      <c r="H112" s="107">
        <f>VLOOKUP(A112,'PL Mensual 2027'!I:O,7,0)</f>
        <v>0</v>
      </c>
      <c r="I112" s="108"/>
    </row>
    <row r="113" spans="1:9" x14ac:dyDescent="0.25">
      <c r="A113" t="s">
        <v>307</v>
      </c>
      <c r="B113" t="s">
        <v>77</v>
      </c>
      <c r="G113" s="4">
        <v>-2638.99</v>
      </c>
      <c r="H113" s="107">
        <f>VLOOKUP(A113,'PL Mensual 2027'!I:O,7,0)</f>
        <v>-4200</v>
      </c>
      <c r="I113" s="108">
        <f>G113-H113</f>
        <v>1561.0100000000002</v>
      </c>
    </row>
    <row r="114" spans="1:9" x14ac:dyDescent="0.25">
      <c r="A114" t="s">
        <v>401</v>
      </c>
      <c r="B114" t="s">
        <v>402</v>
      </c>
      <c r="G114" s="4">
        <v>1523.79</v>
      </c>
      <c r="H114" s="107" t="e">
        <f>VLOOKUP(A114,'PL Mensual 2027'!I:O,7,0)</f>
        <v>#N/A</v>
      </c>
      <c r="I114" s="108" t="e">
        <f>G114-H114</f>
        <v>#N/A</v>
      </c>
    </row>
    <row r="115" spans="1:9" x14ac:dyDescent="0.25">
      <c r="A115" t="s">
        <v>309</v>
      </c>
      <c r="B115" t="s">
        <v>77</v>
      </c>
      <c r="G115" t="s">
        <v>400</v>
      </c>
      <c r="H115" s="107">
        <f>VLOOKUP(A115,'PL Mensual 2027'!I:O,7,0)</f>
        <v>-1435.94</v>
      </c>
      <c r="I115" s="108"/>
    </row>
    <row r="116" spans="1:9" x14ac:dyDescent="0.25">
      <c r="A116" t="s">
        <v>310</v>
      </c>
      <c r="B116" t="s">
        <v>77</v>
      </c>
      <c r="G116">
        <v>-259.61</v>
      </c>
      <c r="H116" s="107">
        <f>VLOOKUP(A116,'PL Mensual 2027'!I:O,7,0)</f>
        <v>-250</v>
      </c>
      <c r="I116" s="108">
        <f>G116-H116</f>
        <v>-9.6100000000000136</v>
      </c>
    </row>
    <row r="117" spans="1:9" x14ac:dyDescent="0.25">
      <c r="A117" t="s">
        <v>312</v>
      </c>
      <c r="B117" t="s">
        <v>77</v>
      </c>
      <c r="G117" s="4">
        <v>-1891.22</v>
      </c>
      <c r="H117" s="107">
        <f>VLOOKUP(A117,'PL Mensual 2027'!I:O,7,0)</f>
        <v>-1693.78</v>
      </c>
      <c r="I117" s="108">
        <f>G117-H117</f>
        <v>-197.44000000000005</v>
      </c>
    </row>
    <row r="118" spans="1:9" x14ac:dyDescent="0.25">
      <c r="A118" t="s">
        <v>314</v>
      </c>
      <c r="B118" t="s">
        <v>77</v>
      </c>
      <c r="G118" t="s">
        <v>400</v>
      </c>
      <c r="H118" s="107">
        <f>VLOOKUP(A118,'PL Mensual 2027'!I:O,7,0)</f>
        <v>-213</v>
      </c>
      <c r="I118" s="108"/>
    </row>
    <row r="119" spans="1:9" x14ac:dyDescent="0.25">
      <c r="A119" t="s">
        <v>316</v>
      </c>
      <c r="B119" t="s">
        <v>77</v>
      </c>
      <c r="G119">
        <v>-277.83999999999997</v>
      </c>
      <c r="H119" s="107">
        <f>VLOOKUP(A119,'PL Mensual 2027'!I:O,7,0)</f>
        <v>0</v>
      </c>
      <c r="I119" s="108">
        <f>G119-H119</f>
        <v>-277.83999999999997</v>
      </c>
    </row>
    <row r="120" spans="1:9" x14ac:dyDescent="0.25">
      <c r="A120" t="s">
        <v>318</v>
      </c>
      <c r="B120" t="s">
        <v>77</v>
      </c>
      <c r="G120" t="s">
        <v>400</v>
      </c>
      <c r="H120" s="107">
        <f>VLOOKUP(A120,'PL Mensual 2027'!I:O,7,0)</f>
        <v>-460.58</v>
      </c>
      <c r="I120" s="108"/>
    </row>
    <row r="121" spans="1:9" x14ac:dyDescent="0.25">
      <c r="A121" t="s">
        <v>319</v>
      </c>
      <c r="B121" t="s">
        <v>77</v>
      </c>
      <c r="G121">
        <v>-75.94</v>
      </c>
      <c r="H121" s="107">
        <f>VLOOKUP(A121,'PL Mensual 2027'!I:O,7,0)</f>
        <v>-74.989999999999995</v>
      </c>
      <c r="I121" s="108">
        <f>G121-H121</f>
        <v>-0.95000000000000284</v>
      </c>
    </row>
    <row r="122" spans="1:9" x14ac:dyDescent="0.25">
      <c r="A122" t="s">
        <v>320</v>
      </c>
      <c r="B122" t="s">
        <v>77</v>
      </c>
      <c r="G122">
        <v>36.18</v>
      </c>
      <c r="H122" s="107">
        <f>VLOOKUP(A122,'PL Mensual 2027'!I:O,7,0)</f>
        <v>-550</v>
      </c>
      <c r="I122" s="108">
        <f>G122-H122</f>
        <v>586.17999999999995</v>
      </c>
    </row>
    <row r="123" spans="1:9" x14ac:dyDescent="0.25">
      <c r="A123" t="s">
        <v>322</v>
      </c>
      <c r="B123" t="s">
        <v>77</v>
      </c>
      <c r="G123">
        <v>-144</v>
      </c>
      <c r="H123" s="107">
        <f>VLOOKUP(A123,'PL Mensual 2027'!I:O,7,0)</f>
        <v>-96</v>
      </c>
      <c r="I123" s="108">
        <f>G123-H123</f>
        <v>-48</v>
      </c>
    </row>
    <row r="124" spans="1:9" x14ac:dyDescent="0.25">
      <c r="A124" t="s">
        <v>323</v>
      </c>
      <c r="B124" t="s">
        <v>77</v>
      </c>
      <c r="G124">
        <v>-971.18</v>
      </c>
      <c r="H124" s="107">
        <f>VLOOKUP(A124,'PL Mensual 2027'!I:O,7,0)</f>
        <v>-6200</v>
      </c>
      <c r="I124" s="108">
        <f>G124-H124</f>
        <v>5228.82</v>
      </c>
    </row>
    <row r="125" spans="1:9" x14ac:dyDescent="0.25">
      <c r="A125" t="s">
        <v>401</v>
      </c>
      <c r="B125" t="s">
        <v>402</v>
      </c>
      <c r="G125">
        <v>425.73</v>
      </c>
      <c r="H125" s="107" t="e">
        <f>VLOOKUP(A125,'PL Mensual 2027'!I:O,7,0)</f>
        <v>#N/A</v>
      </c>
      <c r="I125" s="108" t="e">
        <f>G125-H125</f>
        <v>#N/A</v>
      </c>
    </row>
    <row r="126" spans="1:9" x14ac:dyDescent="0.25">
      <c r="A126" t="s">
        <v>325</v>
      </c>
      <c r="B126" t="s">
        <v>77</v>
      </c>
      <c r="G126" t="s">
        <v>400</v>
      </c>
      <c r="H126" s="107">
        <f>VLOOKUP(A126,'PL Mensual 2027'!I:O,7,0)</f>
        <v>0</v>
      </c>
      <c r="I126" s="108"/>
    </row>
    <row r="127" spans="1:9" x14ac:dyDescent="0.25">
      <c r="A127" t="s">
        <v>328</v>
      </c>
      <c r="B127" t="s">
        <v>77</v>
      </c>
      <c r="G127">
        <v>29.06</v>
      </c>
      <c r="H127" s="107">
        <f>VLOOKUP(A127,'PL Mensual 2027'!I:O,7,0)</f>
        <v>-819.53</v>
      </c>
      <c r="I127" s="108">
        <f>G127-H127</f>
        <v>848.58999999999992</v>
      </c>
    </row>
    <row r="128" spans="1:9" x14ac:dyDescent="0.25">
      <c r="A128" t="s">
        <v>329</v>
      </c>
      <c r="B128" t="s">
        <v>77</v>
      </c>
      <c r="G128">
        <v>-425</v>
      </c>
      <c r="H128" s="107">
        <f>VLOOKUP(A128,'PL Mensual 2027'!I:O,7,0)</f>
        <v>-295.08</v>
      </c>
      <c r="I128" s="108">
        <f>G128-H128</f>
        <v>-129.92000000000002</v>
      </c>
    </row>
    <row r="129" spans="1:9" x14ac:dyDescent="0.25">
      <c r="A129" t="s">
        <v>330</v>
      </c>
      <c r="B129" t="s">
        <v>77</v>
      </c>
      <c r="G129" s="4">
        <v>-2671.84</v>
      </c>
      <c r="H129" s="107">
        <f>VLOOKUP(A129,'PL Mensual 2027'!I:O,7,0)</f>
        <v>-1326.15</v>
      </c>
      <c r="I129" s="108">
        <f>G129-H129</f>
        <v>-1345.69</v>
      </c>
    </row>
    <row r="130" spans="1:9" x14ac:dyDescent="0.25">
      <c r="A130" t="s">
        <v>331</v>
      </c>
      <c r="B130" t="s">
        <v>77</v>
      </c>
      <c r="G130">
        <v>-625.20000000000005</v>
      </c>
      <c r="H130" s="107">
        <f>VLOOKUP(A130,'PL Mensual 2027'!I:O,7,0)</f>
        <v>-4434.58</v>
      </c>
      <c r="I130" s="108">
        <f>G130-H130</f>
        <v>3809.38</v>
      </c>
    </row>
    <row r="131" spans="1:9" x14ac:dyDescent="0.25">
      <c r="A131" t="s">
        <v>333</v>
      </c>
      <c r="B131" t="s">
        <v>77</v>
      </c>
      <c r="G131" t="s">
        <v>400</v>
      </c>
      <c r="H131" s="107">
        <f>VLOOKUP(A131,'PL Mensual 2027'!I:O,7,0)</f>
        <v>-263.39999999999998</v>
      </c>
      <c r="I131" s="108"/>
    </row>
    <row r="132" spans="1:9" x14ac:dyDescent="0.25">
      <c r="A132" t="s">
        <v>336</v>
      </c>
      <c r="B132" t="s">
        <v>77</v>
      </c>
      <c r="G132" s="4">
        <v>-2533.9299999999998</v>
      </c>
      <c r="H132" s="107">
        <f>VLOOKUP(A132,'PL Mensual 2027'!I:O,7,0)</f>
        <v>-2000</v>
      </c>
      <c r="I132" s="108">
        <f t="shared" ref="I132:I137" si="5">G132-H132</f>
        <v>-533.92999999999984</v>
      </c>
    </row>
    <row r="133" spans="1:9" x14ac:dyDescent="0.25">
      <c r="A133" t="s">
        <v>338</v>
      </c>
      <c r="B133" t="s">
        <v>77</v>
      </c>
      <c r="G133" s="4">
        <v>-2522.2600000000002</v>
      </c>
      <c r="H133" s="107">
        <f>VLOOKUP(A133,'PL Mensual 2027'!I:O,7,0)</f>
        <v>-2000</v>
      </c>
      <c r="I133" s="108">
        <f t="shared" si="5"/>
        <v>-522.26000000000022</v>
      </c>
    </row>
    <row r="134" spans="1:9" x14ac:dyDescent="0.25">
      <c r="A134" t="s">
        <v>340</v>
      </c>
      <c r="B134" t="s">
        <v>77</v>
      </c>
      <c r="G134" s="4">
        <v>-1786.27</v>
      </c>
      <c r="H134" s="107">
        <f>VLOOKUP(A134,'PL Mensual 2027'!I:O,7,0)</f>
        <v>-1200</v>
      </c>
      <c r="I134" s="108">
        <f t="shared" si="5"/>
        <v>-586.27</v>
      </c>
    </row>
    <row r="135" spans="1:9" x14ac:dyDescent="0.25">
      <c r="A135" t="s">
        <v>342</v>
      </c>
      <c r="B135" t="s">
        <v>77</v>
      </c>
      <c r="G135" s="4">
        <v>-3016.62</v>
      </c>
      <c r="H135" s="107">
        <f>VLOOKUP(A135,'PL Mensual 2027'!I:O,7,0)</f>
        <v>-2000</v>
      </c>
      <c r="I135" s="108">
        <f t="shared" si="5"/>
        <v>-1016.6199999999999</v>
      </c>
    </row>
    <row r="136" spans="1:9" x14ac:dyDescent="0.25">
      <c r="A136" t="s">
        <v>344</v>
      </c>
      <c r="B136" t="s">
        <v>77</v>
      </c>
      <c r="G136">
        <v>-506.79</v>
      </c>
      <c r="H136" s="107">
        <f>VLOOKUP(A136,'PL Mensual 2027'!I:O,7,0)</f>
        <v>-600</v>
      </c>
      <c r="I136" s="108">
        <f t="shared" si="5"/>
        <v>93.20999999999998</v>
      </c>
    </row>
    <row r="137" spans="1:9" x14ac:dyDescent="0.25">
      <c r="A137" t="s">
        <v>346</v>
      </c>
      <c r="B137" t="s">
        <v>77</v>
      </c>
      <c r="G137">
        <v>-222.62</v>
      </c>
      <c r="H137" s="107">
        <f>VLOOKUP(A137,'PL Mensual 2027'!I:O,7,0)</f>
        <v>-202.44</v>
      </c>
      <c r="I137" s="108">
        <f t="shared" si="5"/>
        <v>-20.180000000000007</v>
      </c>
    </row>
    <row r="138" spans="1:9" x14ac:dyDescent="0.25">
      <c r="A138" t="s">
        <v>347</v>
      </c>
      <c r="B138" t="s">
        <v>77</v>
      </c>
      <c r="G138" t="s">
        <v>400</v>
      </c>
      <c r="H138" s="107">
        <f>VLOOKUP(A138,'PL Mensual 2027'!I:O,7,0)</f>
        <v>-91.05</v>
      </c>
      <c r="I138" s="108"/>
    </row>
    <row r="139" spans="1:9" x14ac:dyDescent="0.25">
      <c r="A139" t="s">
        <v>351</v>
      </c>
      <c r="B139" t="s">
        <v>77</v>
      </c>
      <c r="G139">
        <v>-27.57</v>
      </c>
      <c r="H139" s="107">
        <f>VLOOKUP(A139,'PL Mensual 2027'!I:O,7,0)</f>
        <v>-156.06</v>
      </c>
      <c r="I139" s="108">
        <f>G139-H139</f>
        <v>128.49</v>
      </c>
    </row>
    <row r="140" spans="1:9" x14ac:dyDescent="0.25">
      <c r="A140" t="s">
        <v>353</v>
      </c>
      <c r="B140" t="s">
        <v>77</v>
      </c>
      <c r="G140">
        <v>-581.49</v>
      </c>
      <c r="H140" s="107">
        <f>VLOOKUP(A140,'PL Mensual 2027'!I:O,7,0)</f>
        <v>-581.49</v>
      </c>
      <c r="I140" s="108">
        <f>G140-H140</f>
        <v>0</v>
      </c>
    </row>
    <row r="141" spans="1:9" x14ac:dyDescent="0.25">
      <c r="A141" t="s">
        <v>357</v>
      </c>
      <c r="B141" t="s">
        <v>77</v>
      </c>
      <c r="G141">
        <v>-159.84</v>
      </c>
      <c r="H141" s="107">
        <f>VLOOKUP(A141,'PL Mensual 2027'!I:O,7,0)</f>
        <v>-5167.87</v>
      </c>
      <c r="I141" s="108">
        <f>G141-H141</f>
        <v>5008.03</v>
      </c>
    </row>
    <row r="142" spans="1:9" x14ac:dyDescent="0.25">
      <c r="A142" t="s">
        <v>360</v>
      </c>
      <c r="B142" t="s">
        <v>77</v>
      </c>
      <c r="G142" t="s">
        <v>400</v>
      </c>
      <c r="H142" s="107">
        <f>VLOOKUP(A142,'PL Mensual 2027'!I:O,7,0)</f>
        <v>0</v>
      </c>
      <c r="I142" s="108"/>
    </row>
    <row r="143" spans="1:9" x14ac:dyDescent="0.25">
      <c r="A143" t="s">
        <v>366</v>
      </c>
      <c r="B143" t="s">
        <v>77</v>
      </c>
      <c r="G143" s="4">
        <v>-3154.35</v>
      </c>
      <c r="H143" s="107">
        <f>VLOOKUP(A143,'PL Mensual 2027'!I:O,7,0)</f>
        <v>-3154.35</v>
      </c>
      <c r="I143" s="108">
        <f t="shared" ref="I143:I149" si="6">G143-H143</f>
        <v>0</v>
      </c>
    </row>
    <row r="144" spans="1:9" x14ac:dyDescent="0.25">
      <c r="A144" t="s">
        <v>368</v>
      </c>
      <c r="B144" t="s">
        <v>77</v>
      </c>
      <c r="G144" s="4">
        <v>-5719.74</v>
      </c>
      <c r="H144" s="107">
        <f>VLOOKUP(A144,'PL Mensual 2027'!I:O,7,0)</f>
        <v>-5772</v>
      </c>
      <c r="I144" s="108">
        <f t="shared" si="6"/>
        <v>52.260000000000218</v>
      </c>
    </row>
    <row r="145" spans="1:9" x14ac:dyDescent="0.25">
      <c r="A145" t="s">
        <v>369</v>
      </c>
      <c r="B145" t="s">
        <v>77</v>
      </c>
      <c r="G145" s="4">
        <v>-6398.5</v>
      </c>
      <c r="H145" s="107">
        <f>VLOOKUP(A145,'PL Mensual 2027'!I:O,7,0)</f>
        <v>-6419</v>
      </c>
      <c r="I145" s="108">
        <f t="shared" si="6"/>
        <v>20.5</v>
      </c>
    </row>
    <row r="146" spans="1:9" x14ac:dyDescent="0.25">
      <c r="A146" t="s">
        <v>370</v>
      </c>
      <c r="B146" t="s">
        <v>77</v>
      </c>
      <c r="G146" s="4">
        <v>-1522.43</v>
      </c>
      <c r="H146" s="107">
        <f>VLOOKUP(A146,'PL Mensual 2027'!I:O,7,0)</f>
        <v>-1642</v>
      </c>
      <c r="I146" s="108">
        <f t="shared" si="6"/>
        <v>119.56999999999994</v>
      </c>
    </row>
    <row r="147" spans="1:9" x14ac:dyDescent="0.25">
      <c r="A147" t="s">
        <v>371</v>
      </c>
      <c r="B147" t="s">
        <v>77</v>
      </c>
      <c r="G147" s="4">
        <v>-1325.66</v>
      </c>
      <c r="H147" s="107">
        <f>VLOOKUP(A147,'PL Mensual 2027'!I:O,7,0)</f>
        <v>-1337</v>
      </c>
      <c r="I147" s="108">
        <f t="shared" si="6"/>
        <v>11.339999999999918</v>
      </c>
    </row>
    <row r="148" spans="1:9" x14ac:dyDescent="0.25">
      <c r="A148" t="s">
        <v>372</v>
      </c>
      <c r="B148" t="s">
        <v>77</v>
      </c>
      <c r="G148">
        <v>-937.75</v>
      </c>
      <c r="H148" s="107">
        <f>VLOOKUP(A148,'PL Mensual 2027'!I:O,7,0)</f>
        <v>-856</v>
      </c>
      <c r="I148" s="108">
        <f t="shared" si="6"/>
        <v>-81.75</v>
      </c>
    </row>
    <row r="149" spans="1:9" x14ac:dyDescent="0.25">
      <c r="A149" t="s">
        <v>373</v>
      </c>
      <c r="B149" t="s">
        <v>77</v>
      </c>
      <c r="G149">
        <v>-131.25</v>
      </c>
      <c r="H149" s="107">
        <f>VLOOKUP(A149,'PL Mensual 2027'!I:O,7,0)</f>
        <v>-45</v>
      </c>
      <c r="I149" s="108">
        <f t="shared" si="6"/>
        <v>-86.25</v>
      </c>
    </row>
    <row r="150" spans="1:9" x14ac:dyDescent="0.25">
      <c r="A150" t="s">
        <v>103</v>
      </c>
      <c r="B150" t="s">
        <v>77</v>
      </c>
      <c r="G150" t="s">
        <v>400</v>
      </c>
      <c r="H150" s="107">
        <f>VLOOKUP(A150,'PL Mensual 2027'!I:O,7,0)</f>
        <v>0</v>
      </c>
      <c r="I150" s="108"/>
    </row>
    <row r="151" spans="1:9" x14ac:dyDescent="0.25">
      <c r="A151" t="s">
        <v>105</v>
      </c>
      <c r="B151" t="s">
        <v>77</v>
      </c>
      <c r="G151" t="s">
        <v>400</v>
      </c>
      <c r="H151" s="107">
        <f>VLOOKUP(A151,'PL Mensual 2027'!I:O,7,0)</f>
        <v>0</v>
      </c>
      <c r="I151" s="108"/>
    </row>
    <row r="152" spans="1:9" x14ac:dyDescent="0.25">
      <c r="A152" t="s">
        <v>107</v>
      </c>
      <c r="B152" t="s">
        <v>77</v>
      </c>
      <c r="G152" t="s">
        <v>400</v>
      </c>
      <c r="H152" s="107">
        <f>VLOOKUP(A152,'PL Mensual 2027'!I:O,7,0)</f>
        <v>0</v>
      </c>
      <c r="I152" s="108"/>
    </row>
    <row r="153" spans="1:9" x14ac:dyDescent="0.25">
      <c r="A153" t="s">
        <v>380</v>
      </c>
      <c r="B153" t="s">
        <v>77</v>
      </c>
      <c r="G153">
        <v>-17.690000000000001</v>
      </c>
      <c r="H153" s="107">
        <f>VLOOKUP(A153,'PL Mensual 2027'!I:O,7,0)</f>
        <v>0</v>
      </c>
      <c r="I153" s="108">
        <f>G153-H153</f>
        <v>-17.690000000000001</v>
      </c>
    </row>
    <row r="154" spans="1:9" x14ac:dyDescent="0.25">
      <c r="A154" t="s">
        <v>377</v>
      </c>
      <c r="B154" t="s">
        <v>77</v>
      </c>
      <c r="G154" t="s">
        <v>400</v>
      </c>
      <c r="H154" s="107">
        <f>VLOOKUP(A154,'PL Mensual 2027'!I:O,7,0)</f>
        <v>0</v>
      </c>
      <c r="I154" s="108"/>
    </row>
    <row r="155" spans="1:9" x14ac:dyDescent="0.25">
      <c r="A155" t="s">
        <v>391</v>
      </c>
      <c r="B155" t="s">
        <v>77</v>
      </c>
      <c r="G155" s="4">
        <v>2879.75</v>
      </c>
      <c r="H155" s="107">
        <f>VLOOKUP(A155,'PL Mensual 2027'!I:O,7,0)</f>
        <v>0</v>
      </c>
      <c r="I155" s="108">
        <f>G155-H155</f>
        <v>2879.75</v>
      </c>
    </row>
    <row r="156" spans="1:9" x14ac:dyDescent="0.25">
      <c r="G156" s="4">
        <f>SUM(G2:G155)</f>
        <v>1013452.1500000007</v>
      </c>
      <c r="H156" s="4" t="e">
        <f>SUM(H2:H155)</f>
        <v>#N/A</v>
      </c>
      <c r="I156" s="4" t="e">
        <f>SUM(I2:I155)</f>
        <v>#N/A</v>
      </c>
    </row>
    <row r="157" spans="1:9" x14ac:dyDescent="0.25">
      <c r="G157" s="4">
        <f>'PL Mensual 2027'!O2</f>
        <v>1158097.3400000003</v>
      </c>
    </row>
    <row r="158" spans="1:9" x14ac:dyDescent="0.25">
      <c r="F158" s="110" t="s">
        <v>406</v>
      </c>
      <c r="G158" s="111">
        <f>G156-G157</f>
        <v>-144645.18999999959</v>
      </c>
      <c r="H158" s="109"/>
    </row>
  </sheetData>
  <autoFilter ref="A1:I155" xr:uid="{00000000-0009-0000-0000-000003000000}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7"/>
  <sheetViews>
    <sheetView workbookViewId="0"/>
  </sheetViews>
  <sheetFormatPr baseColWidth="10" defaultRowHeight="15" x14ac:dyDescent="0.25"/>
  <cols>
    <col min="1" max="1" width="4.85546875" customWidth="1"/>
  </cols>
  <sheetData>
    <row r="1" spans="2:13" x14ac:dyDescent="0.25">
      <c r="B1" s="6" t="s">
        <v>407</v>
      </c>
    </row>
    <row r="2" spans="2:13" x14ac:dyDescent="0.25">
      <c r="B2" s="1">
        <v>2026</v>
      </c>
      <c r="C2" s="5"/>
    </row>
    <row r="3" spans="2:13" x14ac:dyDescent="0.25">
      <c r="C3" s="5"/>
    </row>
    <row r="4" spans="2:13" ht="15" customHeight="1" thickBot="1" x14ac:dyDescent="0.3"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</row>
    <row r="5" spans="2:13" ht="15" customHeight="1" thickBot="1" x14ac:dyDescent="0.3">
      <c r="B5" s="11" t="s">
        <v>408</v>
      </c>
      <c r="C5" s="12" t="s">
        <v>409</v>
      </c>
      <c r="D5" s="12" t="s">
        <v>410</v>
      </c>
      <c r="E5" s="12" t="s">
        <v>411</v>
      </c>
      <c r="F5" s="12" t="s">
        <v>412</v>
      </c>
      <c r="G5" s="12" t="s">
        <v>413</v>
      </c>
      <c r="H5" s="12" t="s">
        <v>414</v>
      </c>
      <c r="I5" s="12" t="s">
        <v>415</v>
      </c>
      <c r="J5" s="12" t="s">
        <v>416</v>
      </c>
      <c r="K5" s="12" t="s">
        <v>417</v>
      </c>
      <c r="L5" s="12" t="s">
        <v>418</v>
      </c>
      <c r="M5" s="13" t="s">
        <v>419</v>
      </c>
    </row>
    <row r="6" spans="2:13" ht="15" customHeight="1" thickBot="1" x14ac:dyDescent="0.3">
      <c r="B6" s="14">
        <v>26.201699999999999</v>
      </c>
      <c r="C6" s="15">
        <v>40.074890000000003</v>
      </c>
      <c r="D6" s="15">
        <v>29.27336</v>
      </c>
      <c r="E6" s="16">
        <v>0</v>
      </c>
      <c r="F6" s="16"/>
      <c r="G6" s="16"/>
      <c r="H6" s="16"/>
      <c r="I6" s="16"/>
      <c r="J6" s="16"/>
      <c r="K6" s="16"/>
      <c r="L6" s="16"/>
      <c r="M6" s="17"/>
    </row>
    <row r="7" spans="2:13" x14ac:dyDescent="0.25">
      <c r="B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9"/>
  <sheetViews>
    <sheetView topLeftCell="A43" workbookViewId="0">
      <selection activeCell="D71" sqref="D71"/>
    </sheetView>
  </sheetViews>
  <sheetFormatPr baseColWidth="10" defaultRowHeight="15" x14ac:dyDescent="0.25"/>
  <cols>
    <col min="1" max="1" width="12.7109375" customWidth="1"/>
    <col min="2" max="2" width="10.5703125" bestFit="1" customWidth="1"/>
    <col min="3" max="3" width="8.85546875" bestFit="1" customWidth="1"/>
    <col min="4" max="4" width="22.5703125" customWidth="1"/>
    <col min="5" max="5" width="7.85546875" bestFit="1" customWidth="1"/>
    <col min="6" max="6" width="24.42578125" bestFit="1" customWidth="1"/>
    <col min="7" max="7" width="30.28515625" bestFit="1" customWidth="1"/>
    <col min="8" max="8" width="29.140625" bestFit="1" customWidth="1"/>
    <col min="9" max="9" width="19.42578125" bestFit="1" customWidth="1"/>
    <col min="10" max="10" width="36.28515625" bestFit="1" customWidth="1"/>
    <col min="11" max="11" width="43.140625" bestFit="1" customWidth="1"/>
    <col min="12" max="12" width="16.7109375" customWidth="1"/>
    <col min="13" max="13" width="10.140625" bestFit="1" customWidth="1"/>
    <col min="14" max="14" width="11.85546875" style="107" bestFit="1" customWidth="1"/>
    <col min="15" max="15" width="33.140625" bestFit="1" customWidth="1"/>
  </cols>
  <sheetData>
    <row r="1" spans="1:15" x14ac:dyDescent="0.25">
      <c r="N1" s="107">
        <f>SUM(N3:N2300)</f>
        <v>-100248.98525029339</v>
      </c>
    </row>
    <row r="2" spans="1:15" ht="15" customHeight="1" thickBot="1" x14ac:dyDescent="0.3">
      <c r="A2" s="89" t="s">
        <v>420</v>
      </c>
      <c r="B2" s="90" t="s">
        <v>421</v>
      </c>
      <c r="C2" s="91" t="s">
        <v>62</v>
      </c>
      <c r="D2" s="91" t="s">
        <v>422</v>
      </c>
      <c r="E2" s="92" t="s">
        <v>423</v>
      </c>
      <c r="F2" s="92" t="s">
        <v>63</v>
      </c>
      <c r="G2" s="92" t="s">
        <v>64</v>
      </c>
      <c r="H2" s="92" t="s">
        <v>65</v>
      </c>
      <c r="I2" s="92" t="s">
        <v>66</v>
      </c>
      <c r="J2" s="93" t="s">
        <v>67</v>
      </c>
      <c r="K2" s="93" t="s">
        <v>424</v>
      </c>
      <c r="L2" s="92" t="s">
        <v>425</v>
      </c>
      <c r="M2" s="92" t="s">
        <v>426</v>
      </c>
      <c r="N2" s="112" t="s">
        <v>427</v>
      </c>
      <c r="O2" s="94" t="s">
        <v>428</v>
      </c>
    </row>
    <row r="3" spans="1:15" ht="15" customHeight="1" thickTop="1" x14ac:dyDescent="0.25">
      <c r="A3" s="95">
        <v>46053</v>
      </c>
      <c r="B3">
        <v>1</v>
      </c>
      <c r="C3" t="s">
        <v>71</v>
      </c>
      <c r="D3" t="s">
        <v>429</v>
      </c>
      <c r="F3" t="s">
        <v>72</v>
      </c>
      <c r="G3" t="s">
        <v>73</v>
      </c>
      <c r="H3" s="18" t="s">
        <v>74</v>
      </c>
      <c r="I3" t="s">
        <v>49</v>
      </c>
      <c r="J3" t="s">
        <v>149</v>
      </c>
      <c r="K3" t="s">
        <v>77</v>
      </c>
      <c r="N3" s="107">
        <v>7934.82</v>
      </c>
      <c r="O3" t="s">
        <v>430</v>
      </c>
    </row>
    <row r="4" spans="1:15" x14ac:dyDescent="0.25">
      <c r="A4" s="95">
        <v>46053</v>
      </c>
      <c r="B4">
        <v>1</v>
      </c>
      <c r="C4" t="s">
        <v>71</v>
      </c>
      <c r="D4" t="s">
        <v>429</v>
      </c>
      <c r="F4" t="s">
        <v>72</v>
      </c>
      <c r="G4" t="s">
        <v>73</v>
      </c>
      <c r="H4" s="18" t="s">
        <v>74</v>
      </c>
      <c r="I4" t="s">
        <v>49</v>
      </c>
      <c r="J4" t="s">
        <v>152</v>
      </c>
      <c r="K4" t="s">
        <v>77</v>
      </c>
      <c r="N4" s="107">
        <v>1693.8</v>
      </c>
      <c r="O4" t="s">
        <v>430</v>
      </c>
    </row>
    <row r="5" spans="1:15" x14ac:dyDescent="0.25">
      <c r="A5" s="95">
        <v>46053</v>
      </c>
      <c r="B5">
        <v>1</v>
      </c>
      <c r="C5" t="s">
        <v>71</v>
      </c>
      <c r="D5" t="s">
        <v>429</v>
      </c>
      <c r="F5" t="s">
        <v>72</v>
      </c>
      <c r="G5" t="s">
        <v>73</v>
      </c>
      <c r="H5" s="18" t="s">
        <v>74</v>
      </c>
      <c r="I5" t="s">
        <v>49</v>
      </c>
      <c r="J5" t="s">
        <v>149</v>
      </c>
      <c r="K5" t="s">
        <v>77</v>
      </c>
      <c r="N5" s="107">
        <v>2166.7600000000002</v>
      </c>
      <c r="O5" t="s">
        <v>431</v>
      </c>
    </row>
    <row r="6" spans="1:15" x14ac:dyDescent="0.25">
      <c r="A6" s="95">
        <v>46053</v>
      </c>
      <c r="B6">
        <v>1</v>
      </c>
      <c r="C6" t="s">
        <v>71</v>
      </c>
      <c r="D6" t="s">
        <v>429</v>
      </c>
      <c r="F6" t="s">
        <v>72</v>
      </c>
      <c r="G6" t="s">
        <v>73</v>
      </c>
      <c r="H6" s="18" t="s">
        <v>74</v>
      </c>
      <c r="I6" t="s">
        <v>49</v>
      </c>
      <c r="J6" t="s">
        <v>152</v>
      </c>
      <c r="K6" t="s">
        <v>77</v>
      </c>
      <c r="N6" s="107">
        <v>911.41</v>
      </c>
      <c r="O6" t="s">
        <v>431</v>
      </c>
    </row>
    <row r="7" spans="1:15" x14ac:dyDescent="0.25">
      <c r="A7" s="95">
        <v>46053</v>
      </c>
      <c r="B7">
        <v>1</v>
      </c>
      <c r="C7" t="s">
        <v>71</v>
      </c>
      <c r="D7" t="s">
        <v>429</v>
      </c>
      <c r="F7" t="s">
        <v>72</v>
      </c>
      <c r="G7" t="s">
        <v>73</v>
      </c>
      <c r="H7" s="18" t="s">
        <v>74</v>
      </c>
      <c r="I7" t="s">
        <v>49</v>
      </c>
      <c r="J7" t="s">
        <v>149</v>
      </c>
      <c r="K7" t="s">
        <v>77</v>
      </c>
      <c r="N7" s="107">
        <v>4444.21</v>
      </c>
      <c r="O7" t="s">
        <v>432</v>
      </c>
    </row>
    <row r="8" spans="1:15" x14ac:dyDescent="0.25">
      <c r="A8" s="95">
        <v>46053</v>
      </c>
      <c r="B8">
        <v>1</v>
      </c>
      <c r="C8" t="s">
        <v>71</v>
      </c>
      <c r="D8" t="s">
        <v>429</v>
      </c>
      <c r="F8" t="s">
        <v>72</v>
      </c>
      <c r="G8" t="s">
        <v>73</v>
      </c>
      <c r="H8" s="18" t="s">
        <v>74</v>
      </c>
      <c r="I8" t="s">
        <v>49</v>
      </c>
      <c r="J8" t="s">
        <v>152</v>
      </c>
      <c r="K8" t="s">
        <v>77</v>
      </c>
      <c r="N8" s="107">
        <v>1720.91</v>
      </c>
      <c r="O8" t="s">
        <v>432</v>
      </c>
    </row>
    <row r="9" spans="1:15" x14ac:dyDescent="0.25">
      <c r="A9" s="95">
        <v>46053</v>
      </c>
      <c r="B9">
        <v>1</v>
      </c>
      <c r="C9" t="s">
        <v>71</v>
      </c>
      <c r="D9" t="s">
        <v>429</v>
      </c>
      <c r="F9" t="s">
        <v>72</v>
      </c>
      <c r="G9" t="s">
        <v>73</v>
      </c>
      <c r="H9" s="18" t="s">
        <v>74</v>
      </c>
      <c r="I9" t="s">
        <v>49</v>
      </c>
      <c r="J9" t="s">
        <v>149</v>
      </c>
      <c r="K9" t="s">
        <v>77</v>
      </c>
      <c r="N9" s="107">
        <v>5593.98</v>
      </c>
      <c r="O9" t="s">
        <v>433</v>
      </c>
    </row>
    <row r="10" spans="1:15" x14ac:dyDescent="0.25">
      <c r="A10" s="95">
        <v>46053</v>
      </c>
      <c r="B10">
        <v>1</v>
      </c>
      <c r="C10" t="s">
        <v>71</v>
      </c>
      <c r="D10" t="s">
        <v>429</v>
      </c>
      <c r="F10" t="s">
        <v>72</v>
      </c>
      <c r="G10" t="s">
        <v>73</v>
      </c>
      <c r="H10" s="18" t="s">
        <v>74</v>
      </c>
      <c r="I10" t="s">
        <v>49</v>
      </c>
      <c r="J10" t="s">
        <v>152</v>
      </c>
      <c r="K10" t="s">
        <v>77</v>
      </c>
      <c r="N10" s="107">
        <v>1735.81</v>
      </c>
      <c r="O10" t="s">
        <v>433</v>
      </c>
    </row>
    <row r="11" spans="1:15" x14ac:dyDescent="0.25">
      <c r="A11" s="95">
        <v>46081</v>
      </c>
      <c r="B11">
        <v>2</v>
      </c>
      <c r="C11" t="s">
        <v>71</v>
      </c>
      <c r="D11" t="s">
        <v>429</v>
      </c>
      <c r="F11" t="s">
        <v>72</v>
      </c>
      <c r="G11" t="s">
        <v>73</v>
      </c>
      <c r="H11" s="18" t="s">
        <v>74</v>
      </c>
      <c r="I11" t="s">
        <v>49</v>
      </c>
      <c r="J11" t="s">
        <v>149</v>
      </c>
      <c r="K11" t="s">
        <v>77</v>
      </c>
      <c r="N11" s="107">
        <v>9273.34</v>
      </c>
      <c r="O11" t="s">
        <v>430</v>
      </c>
    </row>
    <row r="12" spans="1:15" x14ac:dyDescent="0.25">
      <c r="A12" s="95">
        <v>46081</v>
      </c>
      <c r="B12">
        <v>2</v>
      </c>
      <c r="C12" t="s">
        <v>71</v>
      </c>
      <c r="D12" t="s">
        <v>429</v>
      </c>
      <c r="F12" t="s">
        <v>72</v>
      </c>
      <c r="G12" t="s">
        <v>73</v>
      </c>
      <c r="H12" s="18" t="s">
        <v>74</v>
      </c>
      <c r="I12" t="s">
        <v>49</v>
      </c>
      <c r="J12" t="s">
        <v>152</v>
      </c>
      <c r="K12" t="s">
        <v>77</v>
      </c>
      <c r="N12" s="107">
        <v>1774.57</v>
      </c>
      <c r="O12" t="s">
        <v>430</v>
      </c>
    </row>
    <row r="13" spans="1:15" x14ac:dyDescent="0.25">
      <c r="A13" s="95">
        <v>46081</v>
      </c>
      <c r="B13">
        <v>2</v>
      </c>
      <c r="C13" t="s">
        <v>71</v>
      </c>
      <c r="D13" t="s">
        <v>429</v>
      </c>
      <c r="F13" t="s">
        <v>72</v>
      </c>
      <c r="G13" t="s">
        <v>73</v>
      </c>
      <c r="H13" s="18" t="s">
        <v>74</v>
      </c>
      <c r="I13" t="s">
        <v>49</v>
      </c>
      <c r="J13" t="s">
        <v>149</v>
      </c>
      <c r="K13" t="s">
        <v>77</v>
      </c>
      <c r="N13" s="107">
        <v>3414.13</v>
      </c>
      <c r="O13" t="s">
        <v>431</v>
      </c>
    </row>
    <row r="14" spans="1:15" x14ac:dyDescent="0.25">
      <c r="A14" s="95">
        <v>46081</v>
      </c>
      <c r="B14">
        <v>2</v>
      </c>
      <c r="C14" t="s">
        <v>71</v>
      </c>
      <c r="D14" t="s">
        <v>429</v>
      </c>
      <c r="F14" t="s">
        <v>72</v>
      </c>
      <c r="G14" t="s">
        <v>73</v>
      </c>
      <c r="H14" s="18" t="s">
        <v>74</v>
      </c>
      <c r="I14" t="s">
        <v>49</v>
      </c>
      <c r="J14" t="s">
        <v>152</v>
      </c>
      <c r="K14" t="s">
        <v>77</v>
      </c>
      <c r="N14" s="107">
        <v>838.96</v>
      </c>
      <c r="O14" t="s">
        <v>431</v>
      </c>
    </row>
    <row r="15" spans="1:15" x14ac:dyDescent="0.25">
      <c r="A15" s="95">
        <v>46081</v>
      </c>
      <c r="B15">
        <v>2</v>
      </c>
      <c r="C15" t="s">
        <v>71</v>
      </c>
      <c r="D15" t="s">
        <v>434</v>
      </c>
      <c r="F15" t="s">
        <v>72</v>
      </c>
      <c r="G15" t="s">
        <v>73</v>
      </c>
      <c r="H15" s="18" t="s">
        <v>74</v>
      </c>
      <c r="I15" t="s">
        <v>49</v>
      </c>
      <c r="J15" t="s">
        <v>435</v>
      </c>
      <c r="K15" t="s">
        <v>77</v>
      </c>
      <c r="N15" s="107">
        <v>11278.98</v>
      </c>
      <c r="O15" t="s">
        <v>431</v>
      </c>
    </row>
    <row r="16" spans="1:15" x14ac:dyDescent="0.25">
      <c r="A16" s="95">
        <v>46081</v>
      </c>
      <c r="B16">
        <v>2</v>
      </c>
      <c r="C16" t="s">
        <v>71</v>
      </c>
      <c r="D16" t="s">
        <v>429</v>
      </c>
      <c r="F16" t="s">
        <v>72</v>
      </c>
      <c r="G16" t="s">
        <v>73</v>
      </c>
      <c r="H16" s="18" t="s">
        <v>74</v>
      </c>
      <c r="I16" t="s">
        <v>49</v>
      </c>
      <c r="J16" t="s">
        <v>149</v>
      </c>
      <c r="K16" t="s">
        <v>77</v>
      </c>
      <c r="N16" s="107">
        <v>4444.21</v>
      </c>
      <c r="O16" t="s">
        <v>432</v>
      </c>
    </row>
    <row r="17" spans="1:15" x14ac:dyDescent="0.25">
      <c r="A17" s="95">
        <v>46081</v>
      </c>
      <c r="B17">
        <v>2</v>
      </c>
      <c r="C17" t="s">
        <v>71</v>
      </c>
      <c r="D17" t="s">
        <v>429</v>
      </c>
      <c r="F17" t="s">
        <v>72</v>
      </c>
      <c r="G17" t="s">
        <v>73</v>
      </c>
      <c r="H17" s="18" t="s">
        <v>74</v>
      </c>
      <c r="I17" t="s">
        <v>49</v>
      </c>
      <c r="J17" t="s">
        <v>152</v>
      </c>
      <c r="K17" t="s">
        <v>77</v>
      </c>
      <c r="N17" s="107">
        <v>1720.91</v>
      </c>
      <c r="O17" t="s">
        <v>432</v>
      </c>
    </row>
    <row r="18" spans="1:15" x14ac:dyDescent="0.25">
      <c r="A18" s="95">
        <v>46081</v>
      </c>
      <c r="B18">
        <v>2</v>
      </c>
      <c r="C18" t="s">
        <v>71</v>
      </c>
      <c r="D18" t="s">
        <v>429</v>
      </c>
      <c r="F18" t="s">
        <v>72</v>
      </c>
      <c r="G18" t="s">
        <v>73</v>
      </c>
      <c r="H18" s="18" t="s">
        <v>74</v>
      </c>
      <c r="I18" t="s">
        <v>49</v>
      </c>
      <c r="J18" t="s">
        <v>149</v>
      </c>
      <c r="K18" t="s">
        <v>77</v>
      </c>
      <c r="N18" s="107">
        <v>5593.98</v>
      </c>
      <c r="O18" t="s">
        <v>433</v>
      </c>
    </row>
    <row r="19" spans="1:15" x14ac:dyDescent="0.25">
      <c r="A19" s="95">
        <v>46081</v>
      </c>
      <c r="B19">
        <v>2</v>
      </c>
      <c r="C19" t="s">
        <v>71</v>
      </c>
      <c r="D19" t="s">
        <v>429</v>
      </c>
      <c r="F19" t="s">
        <v>72</v>
      </c>
      <c r="G19" t="s">
        <v>73</v>
      </c>
      <c r="H19" s="18" t="s">
        <v>74</v>
      </c>
      <c r="I19" t="s">
        <v>49</v>
      </c>
      <c r="J19" t="s">
        <v>152</v>
      </c>
      <c r="K19" t="s">
        <v>77</v>
      </c>
      <c r="N19" s="107">
        <v>1735.81</v>
      </c>
      <c r="O19" t="s">
        <v>433</v>
      </c>
    </row>
    <row r="20" spans="1:15" x14ac:dyDescent="0.25">
      <c r="A20" s="95">
        <v>46112</v>
      </c>
      <c r="B20">
        <v>3</v>
      </c>
      <c r="C20" t="s">
        <v>71</v>
      </c>
      <c r="D20" t="s">
        <v>429</v>
      </c>
      <c r="F20" t="s">
        <v>72</v>
      </c>
      <c r="G20" t="s">
        <v>73</v>
      </c>
      <c r="H20" s="18" t="s">
        <v>74</v>
      </c>
      <c r="I20" t="s">
        <v>49</v>
      </c>
      <c r="J20" t="s">
        <v>149</v>
      </c>
      <c r="K20" t="s">
        <v>77</v>
      </c>
      <c r="N20" s="107">
        <v>10999.04</v>
      </c>
      <c r="O20" t="s">
        <v>436</v>
      </c>
    </row>
    <row r="21" spans="1:15" x14ac:dyDescent="0.25">
      <c r="A21" s="95">
        <v>46112</v>
      </c>
      <c r="B21">
        <v>3</v>
      </c>
      <c r="C21" t="s">
        <v>71</v>
      </c>
      <c r="D21" t="s">
        <v>429</v>
      </c>
      <c r="F21" t="s">
        <v>72</v>
      </c>
      <c r="G21" t="s">
        <v>73</v>
      </c>
      <c r="H21" t="s">
        <v>74</v>
      </c>
      <c r="I21" t="s">
        <v>49</v>
      </c>
      <c r="J21" t="s">
        <v>149</v>
      </c>
      <c r="K21" t="s">
        <v>77</v>
      </c>
      <c r="N21" s="107">
        <v>14077.68</v>
      </c>
      <c r="O21" t="s">
        <v>437</v>
      </c>
    </row>
    <row r="22" spans="1:15" x14ac:dyDescent="0.25">
      <c r="A22" s="95">
        <v>46112</v>
      </c>
      <c r="B22">
        <v>3</v>
      </c>
      <c r="C22" t="s">
        <v>71</v>
      </c>
      <c r="D22" t="s">
        <v>429</v>
      </c>
      <c r="F22" t="s">
        <v>72</v>
      </c>
      <c r="G22" t="s">
        <v>73</v>
      </c>
      <c r="H22" t="s">
        <v>74</v>
      </c>
      <c r="I22" t="s">
        <v>49</v>
      </c>
      <c r="J22" t="s">
        <v>152</v>
      </c>
      <c r="K22" t="s">
        <v>77</v>
      </c>
      <c r="N22" s="107">
        <v>2057.2800000000002</v>
      </c>
      <c r="O22" t="s">
        <v>436</v>
      </c>
    </row>
    <row r="23" spans="1:15" x14ac:dyDescent="0.25">
      <c r="A23" s="95">
        <v>46112</v>
      </c>
      <c r="B23">
        <v>3</v>
      </c>
      <c r="C23" t="s">
        <v>71</v>
      </c>
      <c r="D23" t="s">
        <v>429</v>
      </c>
      <c r="F23" t="s">
        <v>72</v>
      </c>
      <c r="G23" t="s">
        <v>73</v>
      </c>
      <c r="H23" t="s">
        <v>74</v>
      </c>
      <c r="I23" t="s">
        <v>49</v>
      </c>
      <c r="J23" t="s">
        <v>152</v>
      </c>
      <c r="K23" t="s">
        <v>77</v>
      </c>
      <c r="N23" s="107">
        <v>2139.36</v>
      </c>
      <c r="O23" t="s">
        <v>437</v>
      </c>
    </row>
    <row r="24" spans="1:15" x14ac:dyDescent="0.25">
      <c r="A24" s="95">
        <v>46173</v>
      </c>
      <c r="B24">
        <v>5</v>
      </c>
      <c r="C24" t="s">
        <v>71</v>
      </c>
      <c r="D24" t="s">
        <v>438</v>
      </c>
      <c r="F24" t="s">
        <v>72</v>
      </c>
      <c r="G24" t="s">
        <v>73</v>
      </c>
      <c r="H24" t="s">
        <v>74</v>
      </c>
      <c r="I24" t="s">
        <v>48</v>
      </c>
      <c r="J24" t="s">
        <v>138</v>
      </c>
      <c r="K24" t="s">
        <v>401</v>
      </c>
      <c r="N24" s="107">
        <v>28562.71</v>
      </c>
      <c r="O24" t="s">
        <v>439</v>
      </c>
    </row>
    <row r="25" spans="1:15" x14ac:dyDescent="0.25">
      <c r="A25" s="95">
        <v>46173</v>
      </c>
      <c r="B25">
        <v>5</v>
      </c>
      <c r="C25" t="s">
        <v>71</v>
      </c>
      <c r="D25" t="s">
        <v>438</v>
      </c>
      <c r="F25" t="s">
        <v>72</v>
      </c>
      <c r="G25" t="s">
        <v>73</v>
      </c>
      <c r="H25" t="s">
        <v>74</v>
      </c>
      <c r="I25" t="s">
        <v>51</v>
      </c>
      <c r="J25" t="s">
        <v>176</v>
      </c>
      <c r="K25" t="s">
        <v>401</v>
      </c>
      <c r="N25" s="107">
        <v>665</v>
      </c>
      <c r="O25" t="s">
        <v>440</v>
      </c>
    </row>
    <row r="26" spans="1:15" x14ac:dyDescent="0.25">
      <c r="A26" s="95">
        <v>46173</v>
      </c>
      <c r="B26">
        <v>5</v>
      </c>
      <c r="C26" t="s">
        <v>71</v>
      </c>
      <c r="D26" t="s">
        <v>438</v>
      </c>
      <c r="F26" t="s">
        <v>72</v>
      </c>
      <c r="G26" t="s">
        <v>73</v>
      </c>
      <c r="H26" t="s">
        <v>74</v>
      </c>
      <c r="I26" t="s">
        <v>51</v>
      </c>
      <c r="J26" t="s">
        <v>305</v>
      </c>
      <c r="K26" t="s">
        <v>401</v>
      </c>
      <c r="N26" s="107">
        <v>1523.79</v>
      </c>
      <c r="O26" t="s">
        <v>441</v>
      </c>
    </row>
    <row r="27" spans="1:15" x14ac:dyDescent="0.25">
      <c r="A27" s="95">
        <v>46173</v>
      </c>
      <c r="B27">
        <v>5</v>
      </c>
      <c r="C27" t="s">
        <v>71</v>
      </c>
      <c r="D27" t="s">
        <v>438</v>
      </c>
      <c r="F27" t="s">
        <v>72</v>
      </c>
      <c r="G27" t="s">
        <v>73</v>
      </c>
      <c r="H27" t="s">
        <v>74</v>
      </c>
      <c r="I27" t="s">
        <v>51</v>
      </c>
      <c r="J27" t="s">
        <v>313</v>
      </c>
      <c r="K27" t="s">
        <v>401</v>
      </c>
      <c r="N27" s="107">
        <v>425.73</v>
      </c>
      <c r="O27" t="s">
        <v>442</v>
      </c>
    </row>
    <row r="28" spans="1:15" x14ac:dyDescent="0.25">
      <c r="A28" s="95">
        <v>46173</v>
      </c>
      <c r="B28">
        <v>5</v>
      </c>
      <c r="C28" t="s">
        <v>71</v>
      </c>
      <c r="D28" t="s">
        <v>443</v>
      </c>
      <c r="F28" t="s">
        <v>72</v>
      </c>
      <c r="G28" t="s">
        <v>73</v>
      </c>
      <c r="H28" t="s">
        <v>74</v>
      </c>
      <c r="I28" t="s">
        <v>46</v>
      </c>
      <c r="J28" t="s">
        <v>86</v>
      </c>
      <c r="K28" t="s">
        <v>87</v>
      </c>
      <c r="N28" s="107">
        <v>-101865.8</v>
      </c>
      <c r="O28" t="s">
        <v>444</v>
      </c>
    </row>
    <row r="29" spans="1:15" x14ac:dyDescent="0.25">
      <c r="A29" s="95">
        <v>46173</v>
      </c>
      <c r="B29">
        <v>5</v>
      </c>
      <c r="C29" t="s">
        <v>71</v>
      </c>
      <c r="D29" t="s">
        <v>443</v>
      </c>
      <c r="F29" t="s">
        <v>72</v>
      </c>
      <c r="G29" t="s">
        <v>73</v>
      </c>
      <c r="H29" t="s">
        <v>74</v>
      </c>
      <c r="I29" t="s">
        <v>46</v>
      </c>
      <c r="J29" t="s">
        <v>90</v>
      </c>
      <c r="K29" t="s">
        <v>91</v>
      </c>
      <c r="N29" s="107">
        <v>-80917.990000000005</v>
      </c>
      <c r="O29" t="s">
        <v>445</v>
      </c>
    </row>
    <row r="30" spans="1:15" x14ac:dyDescent="0.25">
      <c r="A30" s="95">
        <v>46173</v>
      </c>
      <c r="B30">
        <v>5</v>
      </c>
      <c r="C30" t="s">
        <v>71</v>
      </c>
      <c r="D30" t="s">
        <v>443</v>
      </c>
      <c r="F30" t="s">
        <v>72</v>
      </c>
      <c r="G30" t="s">
        <v>73</v>
      </c>
      <c r="H30" t="s">
        <v>74</v>
      </c>
      <c r="I30" t="s">
        <v>46</v>
      </c>
      <c r="J30" t="s">
        <v>92</v>
      </c>
      <c r="K30" t="s">
        <v>93</v>
      </c>
      <c r="N30" s="107">
        <v>-111557.6</v>
      </c>
      <c r="O30" t="s">
        <v>402</v>
      </c>
    </row>
    <row r="31" spans="1:15" x14ac:dyDescent="0.25">
      <c r="A31" s="95">
        <v>46173</v>
      </c>
      <c r="B31">
        <v>5</v>
      </c>
      <c r="C31" t="s">
        <v>71</v>
      </c>
      <c r="D31" t="s">
        <v>443</v>
      </c>
      <c r="F31" t="s">
        <v>72</v>
      </c>
      <c r="G31" t="s">
        <v>73</v>
      </c>
      <c r="H31" t="s">
        <v>74</v>
      </c>
      <c r="I31" t="s">
        <v>48</v>
      </c>
      <c r="J31" t="s">
        <v>113</v>
      </c>
      <c r="K31" t="s">
        <v>114</v>
      </c>
      <c r="N31" s="107">
        <v>101865.8</v>
      </c>
      <c r="O31" t="s">
        <v>444</v>
      </c>
    </row>
    <row r="32" spans="1:15" x14ac:dyDescent="0.25">
      <c r="A32" s="95">
        <v>46173</v>
      </c>
      <c r="B32">
        <v>5</v>
      </c>
      <c r="C32" t="s">
        <v>71</v>
      </c>
      <c r="D32" t="s">
        <v>443</v>
      </c>
      <c r="F32" t="s">
        <v>72</v>
      </c>
      <c r="G32" t="s">
        <v>73</v>
      </c>
      <c r="H32" t="s">
        <v>74</v>
      </c>
      <c r="I32" t="s">
        <v>48</v>
      </c>
      <c r="J32" t="s">
        <v>116</v>
      </c>
      <c r="K32" t="s">
        <v>117</v>
      </c>
      <c r="N32" s="107">
        <v>80917.990000000005</v>
      </c>
      <c r="O32" t="s">
        <v>445</v>
      </c>
    </row>
    <row r="33" spans="1:15" x14ac:dyDescent="0.25">
      <c r="A33" s="95">
        <v>46203</v>
      </c>
      <c r="B33">
        <v>6</v>
      </c>
      <c r="C33" t="s">
        <v>71</v>
      </c>
      <c r="D33" t="s">
        <v>438</v>
      </c>
      <c r="F33" t="s">
        <v>72</v>
      </c>
      <c r="G33" t="s">
        <v>73</v>
      </c>
      <c r="H33" t="s">
        <v>74</v>
      </c>
      <c r="I33" t="s">
        <v>48</v>
      </c>
      <c r="J33" t="s">
        <v>138</v>
      </c>
      <c r="K33" t="s">
        <v>401</v>
      </c>
      <c r="N33" s="107">
        <v>36290</v>
      </c>
      <c r="O33" t="s">
        <v>439</v>
      </c>
    </row>
    <row r="34" spans="1:15" x14ac:dyDescent="0.25">
      <c r="A34" s="95">
        <v>46203</v>
      </c>
      <c r="B34">
        <v>6</v>
      </c>
      <c r="C34" t="s">
        <v>71</v>
      </c>
      <c r="D34" t="s">
        <v>438</v>
      </c>
      <c r="F34" t="s">
        <v>72</v>
      </c>
      <c r="G34" t="s">
        <v>73</v>
      </c>
      <c r="H34" t="s">
        <v>74</v>
      </c>
      <c r="I34" t="s">
        <v>51</v>
      </c>
      <c r="J34" t="s">
        <v>176</v>
      </c>
      <c r="K34" t="s">
        <v>401</v>
      </c>
      <c r="N34" s="107">
        <v>665</v>
      </c>
      <c r="O34" t="s">
        <v>440</v>
      </c>
    </row>
    <row r="35" spans="1:15" x14ac:dyDescent="0.25">
      <c r="A35" s="95">
        <v>46203</v>
      </c>
      <c r="B35">
        <v>6</v>
      </c>
      <c r="C35" t="s">
        <v>71</v>
      </c>
      <c r="D35" t="s">
        <v>438</v>
      </c>
      <c r="F35" t="s">
        <v>72</v>
      </c>
      <c r="G35" t="s">
        <v>73</v>
      </c>
      <c r="H35" t="s">
        <v>74</v>
      </c>
      <c r="I35" t="s">
        <v>51</v>
      </c>
      <c r="J35" t="s">
        <v>305</v>
      </c>
      <c r="K35" t="s">
        <v>401</v>
      </c>
      <c r="N35" s="107">
        <v>1217.6400000000001</v>
      </c>
      <c r="O35" t="s">
        <v>441</v>
      </c>
    </row>
    <row r="36" spans="1:15" x14ac:dyDescent="0.25">
      <c r="A36" s="95">
        <v>46203</v>
      </c>
      <c r="B36">
        <v>6</v>
      </c>
      <c r="C36" t="s">
        <v>71</v>
      </c>
      <c r="D36" t="s">
        <v>438</v>
      </c>
      <c r="F36" t="s">
        <v>72</v>
      </c>
      <c r="G36" t="s">
        <v>73</v>
      </c>
      <c r="H36" t="s">
        <v>74</v>
      </c>
      <c r="I36" t="s">
        <v>51</v>
      </c>
      <c r="J36" t="s">
        <v>313</v>
      </c>
      <c r="K36" t="s">
        <v>401</v>
      </c>
      <c r="N36" s="107">
        <v>340.2</v>
      </c>
      <c r="O36" t="s">
        <v>442</v>
      </c>
    </row>
    <row r="37" spans="1:15" x14ac:dyDescent="0.25">
      <c r="A37" s="95">
        <v>46203</v>
      </c>
      <c r="B37">
        <v>6</v>
      </c>
      <c r="C37" t="s">
        <v>71</v>
      </c>
      <c r="D37" t="s">
        <v>443</v>
      </c>
      <c r="F37" t="s">
        <v>72</v>
      </c>
      <c r="G37" t="s">
        <v>73</v>
      </c>
      <c r="H37" t="s">
        <v>74</v>
      </c>
      <c r="I37" t="s">
        <v>46</v>
      </c>
      <c r="J37" t="s">
        <v>86</v>
      </c>
      <c r="K37" t="s">
        <v>87</v>
      </c>
      <c r="N37" s="107">
        <v>-70011.64</v>
      </c>
      <c r="O37" t="s">
        <v>444</v>
      </c>
    </row>
    <row r="38" spans="1:15" x14ac:dyDescent="0.25">
      <c r="A38" s="95">
        <v>46203</v>
      </c>
      <c r="B38">
        <v>6</v>
      </c>
      <c r="C38" t="s">
        <v>71</v>
      </c>
      <c r="D38" t="s">
        <v>443</v>
      </c>
      <c r="F38" t="s">
        <v>72</v>
      </c>
      <c r="G38" t="s">
        <v>73</v>
      </c>
      <c r="H38" t="s">
        <v>74</v>
      </c>
      <c r="I38" t="s">
        <v>46</v>
      </c>
      <c r="J38" t="s">
        <v>90</v>
      </c>
      <c r="K38" t="s">
        <v>91</v>
      </c>
      <c r="N38" s="107">
        <v>-44823.06</v>
      </c>
      <c r="O38" t="s">
        <v>445</v>
      </c>
    </row>
    <row r="39" spans="1:15" x14ac:dyDescent="0.25">
      <c r="A39" s="95">
        <v>46203</v>
      </c>
      <c r="B39">
        <v>6</v>
      </c>
      <c r="C39" t="s">
        <v>71</v>
      </c>
      <c r="D39" t="s">
        <v>443</v>
      </c>
      <c r="F39" t="s">
        <v>72</v>
      </c>
      <c r="G39" t="s">
        <v>73</v>
      </c>
      <c r="H39" t="s">
        <v>74</v>
      </c>
      <c r="I39" t="s">
        <v>46</v>
      </c>
      <c r="J39" t="s">
        <v>92</v>
      </c>
      <c r="K39" t="s">
        <v>93</v>
      </c>
      <c r="N39" s="107">
        <v>-70833.600000000006</v>
      </c>
      <c r="O39" t="s">
        <v>402</v>
      </c>
    </row>
    <row r="40" spans="1:15" x14ac:dyDescent="0.25">
      <c r="A40" s="95">
        <v>46203</v>
      </c>
      <c r="B40">
        <v>6</v>
      </c>
      <c r="C40" t="s">
        <v>71</v>
      </c>
      <c r="D40" t="s">
        <v>443</v>
      </c>
      <c r="F40" t="s">
        <v>72</v>
      </c>
      <c r="G40" t="s">
        <v>73</v>
      </c>
      <c r="H40" t="s">
        <v>74</v>
      </c>
      <c r="I40" t="s">
        <v>48</v>
      </c>
      <c r="J40" t="s">
        <v>113</v>
      </c>
      <c r="K40" t="s">
        <v>114</v>
      </c>
      <c r="N40" s="107">
        <v>70011.64</v>
      </c>
      <c r="O40" t="s">
        <v>444</v>
      </c>
    </row>
    <row r="41" spans="1:15" x14ac:dyDescent="0.25">
      <c r="A41" s="95">
        <v>46203</v>
      </c>
      <c r="B41">
        <v>6</v>
      </c>
      <c r="C41" t="s">
        <v>71</v>
      </c>
      <c r="D41" t="s">
        <v>443</v>
      </c>
      <c r="F41" t="s">
        <v>72</v>
      </c>
      <c r="G41" t="s">
        <v>73</v>
      </c>
      <c r="H41" t="s">
        <v>74</v>
      </c>
      <c r="I41" t="s">
        <v>48</v>
      </c>
      <c r="J41" t="s">
        <v>116</v>
      </c>
      <c r="K41" t="s">
        <v>117</v>
      </c>
      <c r="N41" s="107">
        <v>44823.06</v>
      </c>
      <c r="O41" t="s">
        <v>445</v>
      </c>
    </row>
    <row r="42" spans="1:15" x14ac:dyDescent="0.25">
      <c r="A42" s="95">
        <v>46234</v>
      </c>
      <c r="B42">
        <v>7</v>
      </c>
      <c r="C42" t="s">
        <v>71</v>
      </c>
      <c r="D42" t="s">
        <v>438</v>
      </c>
      <c r="F42" t="s">
        <v>72</v>
      </c>
      <c r="G42" t="s">
        <v>73</v>
      </c>
      <c r="H42" t="s">
        <v>74</v>
      </c>
      <c r="I42" t="s">
        <v>48</v>
      </c>
      <c r="J42" t="s">
        <v>138</v>
      </c>
      <c r="K42" t="s">
        <v>401</v>
      </c>
      <c r="N42" s="107">
        <v>34757.97</v>
      </c>
      <c r="O42" t="s">
        <v>439</v>
      </c>
    </row>
    <row r="43" spans="1:15" x14ac:dyDescent="0.25">
      <c r="A43" s="95">
        <v>46234</v>
      </c>
      <c r="B43">
        <v>7</v>
      </c>
      <c r="C43" t="s">
        <v>71</v>
      </c>
      <c r="D43" t="s">
        <v>438</v>
      </c>
      <c r="F43" t="s">
        <v>72</v>
      </c>
      <c r="G43" t="s">
        <v>73</v>
      </c>
      <c r="H43" t="s">
        <v>74</v>
      </c>
      <c r="I43" t="s">
        <v>51</v>
      </c>
      <c r="J43" t="s">
        <v>176</v>
      </c>
      <c r="K43" t="s">
        <v>401</v>
      </c>
      <c r="N43" s="107">
        <v>665</v>
      </c>
      <c r="O43" t="s">
        <v>440</v>
      </c>
    </row>
    <row r="44" spans="1:15" x14ac:dyDescent="0.25">
      <c r="A44" s="95">
        <v>46234</v>
      </c>
      <c r="B44">
        <v>7</v>
      </c>
      <c r="C44" t="s">
        <v>71</v>
      </c>
      <c r="D44" t="s">
        <v>438</v>
      </c>
      <c r="F44" t="s">
        <v>72</v>
      </c>
      <c r="G44" t="s">
        <v>73</v>
      </c>
      <c r="H44" t="s">
        <v>74</v>
      </c>
      <c r="I44" t="s">
        <v>51</v>
      </c>
      <c r="J44" t="s">
        <v>305</v>
      </c>
      <c r="K44" t="s">
        <v>401</v>
      </c>
      <c r="N44" s="107">
        <v>599.66456452289231</v>
      </c>
      <c r="O44" t="s">
        <v>441</v>
      </c>
    </row>
    <row r="45" spans="1:15" x14ac:dyDescent="0.25">
      <c r="A45" s="95">
        <v>46234</v>
      </c>
      <c r="B45">
        <v>7</v>
      </c>
      <c r="C45" t="s">
        <v>71</v>
      </c>
      <c r="D45" t="s">
        <v>438</v>
      </c>
      <c r="F45" t="s">
        <v>72</v>
      </c>
      <c r="G45" t="s">
        <v>73</v>
      </c>
      <c r="H45" t="s">
        <v>74</v>
      </c>
      <c r="I45" t="s">
        <v>51</v>
      </c>
      <c r="J45" t="s">
        <v>313</v>
      </c>
      <c r="K45" t="s">
        <v>401</v>
      </c>
      <c r="N45" s="107">
        <v>167.5412164799003</v>
      </c>
      <c r="O45" t="s">
        <v>442</v>
      </c>
    </row>
    <row r="46" spans="1:15" x14ac:dyDescent="0.25">
      <c r="A46" s="95">
        <v>46234</v>
      </c>
      <c r="B46">
        <v>7</v>
      </c>
      <c r="C46" t="s">
        <v>71</v>
      </c>
      <c r="D46" t="s">
        <v>443</v>
      </c>
      <c r="F46" t="s">
        <v>72</v>
      </c>
      <c r="G46" t="s">
        <v>73</v>
      </c>
      <c r="H46" t="s">
        <v>74</v>
      </c>
      <c r="I46" t="s">
        <v>46</v>
      </c>
      <c r="J46" t="s">
        <v>86</v>
      </c>
      <c r="K46" t="s">
        <v>87</v>
      </c>
      <c r="N46" s="107">
        <v>-17402.29</v>
      </c>
      <c r="O46" t="s">
        <v>444</v>
      </c>
    </row>
    <row r="47" spans="1:15" x14ac:dyDescent="0.25">
      <c r="A47" s="95">
        <v>46234</v>
      </c>
      <c r="B47">
        <v>7</v>
      </c>
      <c r="C47" t="s">
        <v>71</v>
      </c>
      <c r="D47" t="s">
        <v>443</v>
      </c>
      <c r="F47" t="s">
        <v>72</v>
      </c>
      <c r="G47" t="s">
        <v>73</v>
      </c>
      <c r="H47" t="s">
        <v>74</v>
      </c>
      <c r="I47" t="s">
        <v>46</v>
      </c>
      <c r="J47" t="s">
        <v>90</v>
      </c>
      <c r="K47" t="s">
        <v>91</v>
      </c>
      <c r="N47" s="107">
        <v>-26969.69</v>
      </c>
      <c r="O47" t="s">
        <v>445</v>
      </c>
    </row>
    <row r="48" spans="1:15" x14ac:dyDescent="0.25">
      <c r="A48" s="95">
        <v>46234</v>
      </c>
      <c r="B48">
        <v>7</v>
      </c>
      <c r="C48" t="s">
        <v>71</v>
      </c>
      <c r="D48" t="s">
        <v>443</v>
      </c>
      <c r="F48" t="s">
        <v>72</v>
      </c>
      <c r="G48" t="s">
        <v>73</v>
      </c>
      <c r="H48" t="s">
        <v>74</v>
      </c>
      <c r="I48" t="s">
        <v>46</v>
      </c>
      <c r="J48" t="s">
        <v>92</v>
      </c>
      <c r="K48" t="s">
        <v>93</v>
      </c>
      <c r="N48" s="107">
        <v>-41581</v>
      </c>
      <c r="O48" t="s">
        <v>402</v>
      </c>
    </row>
    <row r="49" spans="1:15" x14ac:dyDescent="0.25">
      <c r="A49" s="95">
        <v>46234</v>
      </c>
      <c r="B49">
        <v>7</v>
      </c>
      <c r="C49" t="s">
        <v>71</v>
      </c>
      <c r="D49" t="s">
        <v>443</v>
      </c>
      <c r="F49" t="s">
        <v>72</v>
      </c>
      <c r="G49" t="s">
        <v>73</v>
      </c>
      <c r="H49" t="s">
        <v>74</v>
      </c>
      <c r="I49" t="s">
        <v>48</v>
      </c>
      <c r="J49" t="s">
        <v>113</v>
      </c>
      <c r="K49" t="s">
        <v>114</v>
      </c>
      <c r="N49" s="107">
        <v>17402.29</v>
      </c>
      <c r="O49" t="s">
        <v>444</v>
      </c>
    </row>
    <row r="50" spans="1:15" x14ac:dyDescent="0.25">
      <c r="A50" s="95">
        <v>46234</v>
      </c>
      <c r="B50">
        <v>7</v>
      </c>
      <c r="C50" t="s">
        <v>71</v>
      </c>
      <c r="D50" t="s">
        <v>443</v>
      </c>
      <c r="F50" t="s">
        <v>72</v>
      </c>
      <c r="G50" t="s">
        <v>73</v>
      </c>
      <c r="H50" t="s">
        <v>74</v>
      </c>
      <c r="I50" t="s">
        <v>48</v>
      </c>
      <c r="J50" t="s">
        <v>116</v>
      </c>
      <c r="K50" t="s">
        <v>117</v>
      </c>
      <c r="N50" s="107">
        <v>26969.69</v>
      </c>
      <c r="O50" t="s">
        <v>445</v>
      </c>
    </row>
    <row r="51" spans="1:15" x14ac:dyDescent="0.25">
      <c r="A51" s="95">
        <v>46265</v>
      </c>
      <c r="B51">
        <v>8</v>
      </c>
      <c r="C51" t="s">
        <v>71</v>
      </c>
      <c r="D51" t="s">
        <v>438</v>
      </c>
      <c r="F51" t="s">
        <v>72</v>
      </c>
      <c r="G51" t="s">
        <v>73</v>
      </c>
      <c r="H51" t="s">
        <v>74</v>
      </c>
      <c r="I51" t="s">
        <v>48</v>
      </c>
      <c r="J51" t="s">
        <v>138</v>
      </c>
      <c r="K51" t="s">
        <v>401</v>
      </c>
      <c r="N51" s="107">
        <v>19725.189999999999</v>
      </c>
      <c r="O51" t="s">
        <v>439</v>
      </c>
    </row>
    <row r="52" spans="1:15" x14ac:dyDescent="0.25">
      <c r="A52" s="95">
        <v>46265</v>
      </c>
      <c r="B52">
        <v>8</v>
      </c>
      <c r="C52" t="s">
        <v>71</v>
      </c>
      <c r="D52" t="s">
        <v>438</v>
      </c>
      <c r="F52" t="s">
        <v>72</v>
      </c>
      <c r="G52" t="s">
        <v>73</v>
      </c>
      <c r="H52" t="s">
        <v>74</v>
      </c>
      <c r="I52" t="s">
        <v>51</v>
      </c>
      <c r="J52" t="s">
        <v>176</v>
      </c>
      <c r="K52" t="s">
        <v>401</v>
      </c>
      <c r="N52" s="107">
        <v>665</v>
      </c>
      <c r="O52" t="s">
        <v>440</v>
      </c>
    </row>
    <row r="53" spans="1:15" x14ac:dyDescent="0.25">
      <c r="A53" s="95">
        <v>46265</v>
      </c>
      <c r="B53">
        <v>8</v>
      </c>
      <c r="C53" t="s">
        <v>71</v>
      </c>
      <c r="D53" t="s">
        <v>438</v>
      </c>
      <c r="F53" t="s">
        <v>72</v>
      </c>
      <c r="G53" t="s">
        <v>73</v>
      </c>
      <c r="H53" t="s">
        <v>74</v>
      </c>
      <c r="I53" t="s">
        <v>51</v>
      </c>
      <c r="J53" t="s">
        <v>305</v>
      </c>
      <c r="K53" t="s">
        <v>401</v>
      </c>
      <c r="N53" s="107">
        <v>2675.3568568927658</v>
      </c>
      <c r="O53" t="s">
        <v>441</v>
      </c>
    </row>
    <row r="54" spans="1:15" x14ac:dyDescent="0.25">
      <c r="A54" s="95">
        <v>46265</v>
      </c>
      <c r="B54">
        <v>8</v>
      </c>
      <c r="C54" t="s">
        <v>71</v>
      </c>
      <c r="D54" t="s">
        <v>438</v>
      </c>
      <c r="F54" t="s">
        <v>72</v>
      </c>
      <c r="G54" t="s">
        <v>73</v>
      </c>
      <c r="H54" t="s">
        <v>74</v>
      </c>
      <c r="I54" t="s">
        <v>51</v>
      </c>
      <c r="J54" t="s">
        <v>313</v>
      </c>
      <c r="K54" t="s">
        <v>401</v>
      </c>
      <c r="N54" s="107">
        <v>747.47211181104615</v>
      </c>
      <c r="O54" t="s">
        <v>442</v>
      </c>
    </row>
    <row r="55" spans="1:15" x14ac:dyDescent="0.25">
      <c r="A55" s="95">
        <v>46265</v>
      </c>
      <c r="B55">
        <v>8</v>
      </c>
      <c r="C55" t="s">
        <v>71</v>
      </c>
      <c r="D55" t="s">
        <v>443</v>
      </c>
      <c r="F55" t="s">
        <v>72</v>
      </c>
      <c r="G55" t="s">
        <v>73</v>
      </c>
      <c r="H55" t="s">
        <v>74</v>
      </c>
      <c r="I55" t="s">
        <v>46</v>
      </c>
      <c r="J55" t="s">
        <v>86</v>
      </c>
      <c r="K55" t="s">
        <v>87</v>
      </c>
      <c r="N55" s="107">
        <v>-141074.4</v>
      </c>
      <c r="O55" t="s">
        <v>444</v>
      </c>
    </row>
    <row r="56" spans="1:15" x14ac:dyDescent="0.25">
      <c r="A56" s="95">
        <v>46265</v>
      </c>
      <c r="B56">
        <v>8</v>
      </c>
      <c r="C56" t="s">
        <v>71</v>
      </c>
      <c r="D56" t="s">
        <v>443</v>
      </c>
      <c r="F56" t="s">
        <v>72</v>
      </c>
      <c r="G56" t="s">
        <v>73</v>
      </c>
      <c r="H56" t="s">
        <v>74</v>
      </c>
      <c r="I56" t="s">
        <v>46</v>
      </c>
      <c r="J56" t="s">
        <v>90</v>
      </c>
      <c r="K56" t="s">
        <v>91</v>
      </c>
      <c r="N56" s="107">
        <v>-59572.72</v>
      </c>
      <c r="O56" t="s">
        <v>445</v>
      </c>
    </row>
    <row r="57" spans="1:15" x14ac:dyDescent="0.25">
      <c r="A57" s="95">
        <v>46265</v>
      </c>
      <c r="B57">
        <v>8</v>
      </c>
      <c r="C57" t="s">
        <v>71</v>
      </c>
      <c r="D57" t="s">
        <v>443</v>
      </c>
      <c r="F57" t="s">
        <v>72</v>
      </c>
      <c r="G57" t="s">
        <v>73</v>
      </c>
      <c r="H57" t="s">
        <v>74</v>
      </c>
      <c r="I57" t="s">
        <v>46</v>
      </c>
      <c r="J57" t="s">
        <v>92</v>
      </c>
      <c r="K57" t="s">
        <v>93</v>
      </c>
      <c r="N57" s="107">
        <v>-101520</v>
      </c>
      <c r="O57" t="s">
        <v>402</v>
      </c>
    </row>
    <row r="58" spans="1:15" x14ac:dyDescent="0.25">
      <c r="A58" s="95">
        <v>46265</v>
      </c>
      <c r="B58">
        <v>8</v>
      </c>
      <c r="C58" t="s">
        <v>71</v>
      </c>
      <c r="D58" t="s">
        <v>443</v>
      </c>
      <c r="F58" t="s">
        <v>72</v>
      </c>
      <c r="G58" t="s">
        <v>73</v>
      </c>
      <c r="H58" t="s">
        <v>74</v>
      </c>
      <c r="I58" t="s">
        <v>48</v>
      </c>
      <c r="J58" t="s">
        <v>113</v>
      </c>
      <c r="K58" t="s">
        <v>114</v>
      </c>
      <c r="N58" s="107">
        <v>141074.4</v>
      </c>
      <c r="O58" t="s">
        <v>444</v>
      </c>
    </row>
    <row r="59" spans="1:15" x14ac:dyDescent="0.25">
      <c r="A59" s="95">
        <v>46265</v>
      </c>
      <c r="B59">
        <v>8</v>
      </c>
      <c r="C59" t="s">
        <v>71</v>
      </c>
      <c r="D59" t="s">
        <v>443</v>
      </c>
      <c r="F59" t="s">
        <v>72</v>
      </c>
      <c r="G59" t="s">
        <v>73</v>
      </c>
      <c r="H59" t="s">
        <v>74</v>
      </c>
      <c r="I59" t="s">
        <v>48</v>
      </c>
      <c r="J59" t="s">
        <v>116</v>
      </c>
      <c r="K59" t="s">
        <v>117</v>
      </c>
      <c r="N59" s="107">
        <v>59572.72</v>
      </c>
      <c r="O59" t="s">
        <v>445</v>
      </c>
    </row>
  </sheetData>
  <autoFilter ref="A2:O5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5"/>
  <sheetViews>
    <sheetView workbookViewId="0">
      <selection activeCell="D71" sqref="D71"/>
    </sheetView>
  </sheetViews>
  <sheetFormatPr baseColWidth="10" defaultRowHeight="15" x14ac:dyDescent="0.25"/>
  <cols>
    <col min="8" max="8" width="29.140625" bestFit="1" customWidth="1"/>
  </cols>
  <sheetData>
    <row r="1" spans="1:14" x14ac:dyDescent="0.25">
      <c r="L1">
        <f>SUBTOTAL(9,L3:L52)</f>
        <v>174.42694000000009</v>
      </c>
    </row>
    <row r="2" spans="1:14" x14ac:dyDescent="0.25">
      <c r="A2" s="96" t="s">
        <v>446</v>
      </c>
      <c r="B2" s="96" t="s">
        <v>62</v>
      </c>
      <c r="C2" s="96" t="s">
        <v>447</v>
      </c>
      <c r="D2" s="96" t="s">
        <v>63</v>
      </c>
      <c r="E2" s="96" t="s">
        <v>64</v>
      </c>
      <c r="F2" s="96" t="s">
        <v>65</v>
      </c>
      <c r="G2" s="96" t="s">
        <v>66</v>
      </c>
      <c r="H2" s="96" t="s">
        <v>67</v>
      </c>
      <c r="I2" s="96" t="s">
        <v>68</v>
      </c>
      <c r="J2" s="96" t="s">
        <v>448</v>
      </c>
      <c r="K2" s="97" t="s">
        <v>449</v>
      </c>
      <c r="L2" s="97" t="s">
        <v>450</v>
      </c>
      <c r="M2" s="97" t="s">
        <v>428</v>
      </c>
      <c r="N2" s="97" t="s">
        <v>422</v>
      </c>
    </row>
    <row r="3" spans="1:14" x14ac:dyDescent="0.25">
      <c r="B3" s="98" t="s">
        <v>71</v>
      </c>
      <c r="C3" s="98" t="s">
        <v>451</v>
      </c>
      <c r="D3" s="98" t="s">
        <v>72</v>
      </c>
      <c r="E3" s="18" t="s">
        <v>73</v>
      </c>
      <c r="F3" s="18" t="s">
        <v>74</v>
      </c>
      <c r="G3" s="18" t="s">
        <v>49</v>
      </c>
      <c r="H3" s="18" t="s">
        <v>149</v>
      </c>
      <c r="I3" s="18"/>
      <c r="J3" s="98">
        <v>1</v>
      </c>
      <c r="K3" s="99">
        <v>9918.52</v>
      </c>
      <c r="L3" s="99">
        <f t="shared" ref="L3:L45" si="0">+K3/1000</f>
        <v>9.9185200000000009</v>
      </c>
      <c r="M3" s="100" t="s">
        <v>430</v>
      </c>
      <c r="N3" t="s">
        <v>429</v>
      </c>
    </row>
    <row r="4" spans="1:14" x14ac:dyDescent="0.25">
      <c r="B4" s="98" t="s">
        <v>71</v>
      </c>
      <c r="C4" s="98" t="s">
        <v>451</v>
      </c>
      <c r="D4" s="98" t="s">
        <v>72</v>
      </c>
      <c r="E4" s="18" t="s">
        <v>73</v>
      </c>
      <c r="F4" s="18" t="s">
        <v>74</v>
      </c>
      <c r="G4" s="18" t="s">
        <v>49</v>
      </c>
      <c r="H4" s="18" t="s">
        <v>152</v>
      </c>
      <c r="I4" s="18"/>
      <c r="J4" s="98">
        <v>1</v>
      </c>
      <c r="K4" s="99">
        <v>6612.34</v>
      </c>
      <c r="L4" s="99">
        <f t="shared" si="0"/>
        <v>6.6123400000000006</v>
      </c>
      <c r="M4" s="100" t="s">
        <v>430</v>
      </c>
      <c r="N4" t="s">
        <v>429</v>
      </c>
    </row>
    <row r="5" spans="1:14" x14ac:dyDescent="0.25">
      <c r="B5" s="98" t="s">
        <v>71</v>
      </c>
      <c r="C5" s="98" t="s">
        <v>451</v>
      </c>
      <c r="D5" s="98" t="s">
        <v>72</v>
      </c>
      <c r="E5" s="18" t="s">
        <v>73</v>
      </c>
      <c r="F5" s="18" t="s">
        <v>74</v>
      </c>
      <c r="G5" s="18" t="s">
        <v>49</v>
      </c>
      <c r="H5" s="18" t="s">
        <v>149</v>
      </c>
      <c r="I5" s="18"/>
      <c r="J5" s="98">
        <v>2</v>
      </c>
      <c r="K5" s="99">
        <v>1295.9100000000001</v>
      </c>
      <c r="L5" s="99">
        <f t="shared" si="0"/>
        <v>1.2959100000000001</v>
      </c>
      <c r="M5" s="100" t="s">
        <v>430</v>
      </c>
      <c r="N5" t="s">
        <v>429</v>
      </c>
    </row>
    <row r="6" spans="1:14" x14ac:dyDescent="0.25">
      <c r="B6" s="98" t="s">
        <v>71</v>
      </c>
      <c r="C6" s="98" t="s">
        <v>451</v>
      </c>
      <c r="D6" s="98" t="s">
        <v>72</v>
      </c>
      <c r="E6" s="18" t="s">
        <v>73</v>
      </c>
      <c r="F6" s="18" t="s">
        <v>74</v>
      </c>
      <c r="G6" s="18" t="s">
        <v>49</v>
      </c>
      <c r="H6" s="18" t="s">
        <v>152</v>
      </c>
      <c r="I6" s="18"/>
      <c r="J6" s="98">
        <v>2</v>
      </c>
      <c r="K6" s="99">
        <v>863.94</v>
      </c>
      <c r="L6" s="99">
        <f t="shared" si="0"/>
        <v>0.86394000000000004</v>
      </c>
      <c r="M6" s="100" t="s">
        <v>430</v>
      </c>
      <c r="N6" t="s">
        <v>429</v>
      </c>
    </row>
    <row r="7" spans="1:14" x14ac:dyDescent="0.25">
      <c r="B7" s="98" t="s">
        <v>71</v>
      </c>
      <c r="C7" s="98" t="s">
        <v>451</v>
      </c>
      <c r="D7" s="98" t="s">
        <v>72</v>
      </c>
      <c r="E7" s="18" t="s">
        <v>73</v>
      </c>
      <c r="F7" s="18" t="s">
        <v>74</v>
      </c>
      <c r="G7" s="18" t="s">
        <v>49</v>
      </c>
      <c r="H7" s="18" t="s">
        <v>149</v>
      </c>
      <c r="I7" s="18"/>
      <c r="J7" s="98">
        <v>1</v>
      </c>
      <c r="K7" s="99">
        <v>1708.45</v>
      </c>
      <c r="L7" s="99">
        <f t="shared" si="0"/>
        <v>1.70845</v>
      </c>
      <c r="M7" s="100" t="s">
        <v>431</v>
      </c>
      <c r="N7" t="s">
        <v>429</v>
      </c>
    </row>
    <row r="8" spans="1:14" x14ac:dyDescent="0.25">
      <c r="B8" s="98" t="s">
        <v>71</v>
      </c>
      <c r="C8" s="98" t="s">
        <v>451</v>
      </c>
      <c r="D8" s="98" t="s">
        <v>72</v>
      </c>
      <c r="E8" s="18" t="s">
        <v>73</v>
      </c>
      <c r="F8" s="18" t="s">
        <v>74</v>
      </c>
      <c r="G8" s="18" t="s">
        <v>49</v>
      </c>
      <c r="H8" s="18" t="s">
        <v>152</v>
      </c>
      <c r="I8" s="18"/>
      <c r="J8" s="98">
        <v>1</v>
      </c>
      <c r="K8" s="99">
        <v>659.51</v>
      </c>
      <c r="L8" s="99">
        <f t="shared" si="0"/>
        <v>0.65951000000000004</v>
      </c>
      <c r="M8" s="100" t="s">
        <v>431</v>
      </c>
      <c r="N8" t="s">
        <v>429</v>
      </c>
    </row>
    <row r="9" spans="1:14" x14ac:dyDescent="0.25">
      <c r="B9" s="98" t="s">
        <v>71</v>
      </c>
      <c r="C9" s="98" t="s">
        <v>451</v>
      </c>
      <c r="D9" s="98" t="s">
        <v>72</v>
      </c>
      <c r="E9" s="18" t="s">
        <v>73</v>
      </c>
      <c r="F9" s="18" t="s">
        <v>74</v>
      </c>
      <c r="G9" s="18" t="s">
        <v>49</v>
      </c>
      <c r="H9" s="18" t="s">
        <v>149</v>
      </c>
      <c r="I9" s="18"/>
      <c r="J9" s="98">
        <v>2</v>
      </c>
      <c r="K9" s="99">
        <v>1708.45</v>
      </c>
      <c r="L9" s="99">
        <f t="shared" si="0"/>
        <v>1.70845</v>
      </c>
      <c r="M9" s="100" t="s">
        <v>431</v>
      </c>
      <c r="N9" t="s">
        <v>429</v>
      </c>
    </row>
    <row r="10" spans="1:14" x14ac:dyDescent="0.25">
      <c r="B10" s="98" t="s">
        <v>71</v>
      </c>
      <c r="C10" s="98" t="s">
        <v>451</v>
      </c>
      <c r="D10" s="98" t="s">
        <v>72</v>
      </c>
      <c r="E10" s="18" t="s">
        <v>73</v>
      </c>
      <c r="F10" s="18" t="s">
        <v>74</v>
      </c>
      <c r="G10" s="18" t="s">
        <v>49</v>
      </c>
      <c r="H10" s="18" t="s">
        <v>152</v>
      </c>
      <c r="I10" s="18"/>
      <c r="J10" s="98">
        <v>2</v>
      </c>
      <c r="K10" s="99">
        <v>659.51</v>
      </c>
      <c r="L10" s="99">
        <f t="shared" si="0"/>
        <v>0.65951000000000004</v>
      </c>
      <c r="M10" s="100" t="s">
        <v>431</v>
      </c>
      <c r="N10" t="s">
        <v>429</v>
      </c>
    </row>
    <row r="11" spans="1:14" x14ac:dyDescent="0.25">
      <c r="B11" s="98" t="s">
        <v>71</v>
      </c>
      <c r="C11" s="98" t="s">
        <v>451</v>
      </c>
      <c r="D11" s="98" t="s">
        <v>72</v>
      </c>
      <c r="E11" s="18" t="s">
        <v>73</v>
      </c>
      <c r="F11" s="18" t="s">
        <v>74</v>
      </c>
      <c r="G11" s="18" t="s">
        <v>49</v>
      </c>
      <c r="H11" s="18" t="s">
        <v>149</v>
      </c>
      <c r="I11" s="18"/>
      <c r="J11" s="98">
        <v>3</v>
      </c>
      <c r="K11" s="99">
        <v>1708.45</v>
      </c>
      <c r="L11" s="99">
        <f t="shared" si="0"/>
        <v>1.70845</v>
      </c>
      <c r="M11" s="100" t="s">
        <v>431</v>
      </c>
      <c r="N11" t="s">
        <v>429</v>
      </c>
    </row>
    <row r="12" spans="1:14" x14ac:dyDescent="0.25">
      <c r="B12" s="98" t="s">
        <v>71</v>
      </c>
      <c r="C12" s="98" t="s">
        <v>451</v>
      </c>
      <c r="D12" s="98" t="s">
        <v>72</v>
      </c>
      <c r="E12" s="18" t="s">
        <v>73</v>
      </c>
      <c r="F12" s="18" t="s">
        <v>74</v>
      </c>
      <c r="G12" s="18" t="s">
        <v>49</v>
      </c>
      <c r="H12" s="18" t="s">
        <v>152</v>
      </c>
      <c r="I12" s="18"/>
      <c r="J12" s="98">
        <v>3</v>
      </c>
      <c r="K12" s="99">
        <v>659.51</v>
      </c>
      <c r="L12" s="99">
        <f t="shared" si="0"/>
        <v>0.65951000000000004</v>
      </c>
      <c r="M12" s="100" t="s">
        <v>431</v>
      </c>
      <c r="N12" t="s">
        <v>429</v>
      </c>
    </row>
    <row r="13" spans="1:14" x14ac:dyDescent="0.25">
      <c r="B13" s="98" t="s">
        <v>71</v>
      </c>
      <c r="C13" s="98" t="s">
        <v>451</v>
      </c>
      <c r="D13" s="98" t="s">
        <v>72</v>
      </c>
      <c r="E13" s="18" t="s">
        <v>73</v>
      </c>
      <c r="F13" s="18" t="s">
        <v>74</v>
      </c>
      <c r="G13" s="18" t="s">
        <v>49</v>
      </c>
      <c r="H13" s="18" t="s">
        <v>452</v>
      </c>
      <c r="I13" s="18"/>
      <c r="J13" s="98">
        <v>3</v>
      </c>
      <c r="K13" s="99">
        <v>19064.32</v>
      </c>
      <c r="L13" s="99">
        <f t="shared" si="0"/>
        <v>19.064319999999999</v>
      </c>
      <c r="M13" s="100" t="s">
        <v>431</v>
      </c>
      <c r="N13" t="s">
        <v>434</v>
      </c>
    </row>
    <row r="14" spans="1:14" x14ac:dyDescent="0.25">
      <c r="B14" s="98" t="s">
        <v>71</v>
      </c>
      <c r="C14" s="98" t="s">
        <v>451</v>
      </c>
      <c r="D14" s="98" t="s">
        <v>72</v>
      </c>
      <c r="E14" s="18" t="s">
        <v>73</v>
      </c>
      <c r="F14" s="18" t="s">
        <v>74</v>
      </c>
      <c r="G14" s="18" t="s">
        <v>49</v>
      </c>
      <c r="H14" s="18" t="s">
        <v>149</v>
      </c>
      <c r="I14" s="18"/>
      <c r="J14" s="98">
        <v>1</v>
      </c>
      <c r="K14" s="99">
        <v>5700.18</v>
      </c>
      <c r="L14" s="99">
        <f t="shared" si="0"/>
        <v>5.7001800000000005</v>
      </c>
      <c r="M14" s="100" t="s">
        <v>432</v>
      </c>
      <c r="N14" t="s">
        <v>429</v>
      </c>
    </row>
    <row r="15" spans="1:14" x14ac:dyDescent="0.25">
      <c r="B15" s="98" t="s">
        <v>71</v>
      </c>
      <c r="C15" s="98" t="s">
        <v>451</v>
      </c>
      <c r="D15" s="98" t="s">
        <v>72</v>
      </c>
      <c r="E15" s="18" t="s">
        <v>73</v>
      </c>
      <c r="F15" s="18" t="s">
        <v>74</v>
      </c>
      <c r="G15" s="18" t="s">
        <v>49</v>
      </c>
      <c r="H15" s="18" t="s">
        <v>152</v>
      </c>
      <c r="I15" s="18"/>
      <c r="J15" s="98">
        <v>1</v>
      </c>
      <c r="K15" s="99">
        <v>1409.09</v>
      </c>
      <c r="L15" s="99">
        <f t="shared" si="0"/>
        <v>1.40909</v>
      </c>
      <c r="M15" s="100" t="s">
        <v>432</v>
      </c>
      <c r="N15" t="s">
        <v>429</v>
      </c>
    </row>
    <row r="16" spans="1:14" x14ac:dyDescent="0.25">
      <c r="B16" s="98" t="s">
        <v>71</v>
      </c>
      <c r="C16" s="98" t="s">
        <v>451</v>
      </c>
      <c r="D16" s="98" t="s">
        <v>72</v>
      </c>
      <c r="E16" s="18" t="s">
        <v>73</v>
      </c>
      <c r="F16" s="18" t="s">
        <v>74</v>
      </c>
      <c r="G16" s="18" t="s">
        <v>49</v>
      </c>
      <c r="H16" s="18" t="s">
        <v>149</v>
      </c>
      <c r="I16" s="18"/>
      <c r="J16" s="98">
        <v>2</v>
      </c>
      <c r="K16" s="99">
        <v>5700.18</v>
      </c>
      <c r="L16" s="99">
        <f t="shared" si="0"/>
        <v>5.7001800000000005</v>
      </c>
      <c r="M16" s="100" t="s">
        <v>432</v>
      </c>
      <c r="N16" t="s">
        <v>429</v>
      </c>
    </row>
    <row r="17" spans="2:14" x14ac:dyDescent="0.25">
      <c r="B17" s="98" t="s">
        <v>71</v>
      </c>
      <c r="C17" s="98" t="s">
        <v>451</v>
      </c>
      <c r="D17" s="98" t="s">
        <v>72</v>
      </c>
      <c r="E17" s="18" t="s">
        <v>73</v>
      </c>
      <c r="F17" s="18" t="s">
        <v>74</v>
      </c>
      <c r="G17" s="18" t="s">
        <v>49</v>
      </c>
      <c r="H17" s="18" t="s">
        <v>152</v>
      </c>
      <c r="I17" s="18"/>
      <c r="J17" s="98">
        <v>2</v>
      </c>
      <c r="K17" s="99">
        <v>1409.09</v>
      </c>
      <c r="L17" s="99">
        <f t="shared" si="0"/>
        <v>1.40909</v>
      </c>
      <c r="M17" s="100" t="s">
        <v>432</v>
      </c>
      <c r="N17" t="s">
        <v>429</v>
      </c>
    </row>
    <row r="18" spans="2:14" x14ac:dyDescent="0.25">
      <c r="B18" s="98" t="s">
        <v>71</v>
      </c>
      <c r="C18" s="98" t="s">
        <v>451</v>
      </c>
      <c r="D18" s="98" t="s">
        <v>72</v>
      </c>
      <c r="E18" s="18" t="s">
        <v>73</v>
      </c>
      <c r="F18" s="18" t="s">
        <v>74</v>
      </c>
      <c r="G18" s="18" t="s">
        <v>49</v>
      </c>
      <c r="H18" s="18" t="s">
        <v>149</v>
      </c>
      <c r="I18" s="18"/>
      <c r="J18" s="98">
        <v>3</v>
      </c>
      <c r="K18" s="99">
        <v>5700.18</v>
      </c>
      <c r="L18" s="99">
        <f t="shared" si="0"/>
        <v>5.7001800000000005</v>
      </c>
      <c r="M18" s="100" t="s">
        <v>432</v>
      </c>
      <c r="N18" t="s">
        <v>429</v>
      </c>
    </row>
    <row r="19" spans="2:14" x14ac:dyDescent="0.25">
      <c r="B19" s="98" t="s">
        <v>71</v>
      </c>
      <c r="C19" s="98" t="s">
        <v>451</v>
      </c>
      <c r="D19" s="98" t="s">
        <v>72</v>
      </c>
      <c r="E19" s="18" t="s">
        <v>73</v>
      </c>
      <c r="F19" s="18" t="s">
        <v>74</v>
      </c>
      <c r="G19" s="18" t="s">
        <v>49</v>
      </c>
      <c r="H19" s="18" t="s">
        <v>152</v>
      </c>
      <c r="I19" s="18"/>
      <c r="J19" s="98">
        <v>3</v>
      </c>
      <c r="K19" s="99">
        <v>1409.09</v>
      </c>
      <c r="L19" s="99">
        <f t="shared" si="0"/>
        <v>1.40909</v>
      </c>
      <c r="M19" s="100" t="s">
        <v>432</v>
      </c>
      <c r="N19" t="s">
        <v>429</v>
      </c>
    </row>
    <row r="20" spans="2:14" x14ac:dyDescent="0.25">
      <c r="B20" s="98" t="s">
        <v>71</v>
      </c>
      <c r="C20" s="98" t="s">
        <v>451</v>
      </c>
      <c r="D20" s="98" t="s">
        <v>72</v>
      </c>
      <c r="E20" s="18" t="s">
        <v>73</v>
      </c>
      <c r="F20" s="18" t="s">
        <v>74</v>
      </c>
      <c r="G20" s="18" t="s">
        <v>49</v>
      </c>
      <c r="H20" s="18" t="s">
        <v>149</v>
      </c>
      <c r="I20" s="18"/>
      <c r="J20" s="98">
        <v>4</v>
      </c>
      <c r="K20" s="99">
        <v>5700.18</v>
      </c>
      <c r="L20" s="99">
        <f t="shared" si="0"/>
        <v>5.7001800000000005</v>
      </c>
      <c r="M20" s="100" t="s">
        <v>432</v>
      </c>
      <c r="N20" t="s">
        <v>429</v>
      </c>
    </row>
    <row r="21" spans="2:14" x14ac:dyDescent="0.25">
      <c r="B21" s="98" t="s">
        <v>71</v>
      </c>
      <c r="C21" s="98" t="s">
        <v>451</v>
      </c>
      <c r="D21" s="98" t="s">
        <v>72</v>
      </c>
      <c r="E21" s="18" t="s">
        <v>73</v>
      </c>
      <c r="F21" s="18" t="s">
        <v>74</v>
      </c>
      <c r="G21" s="18" t="s">
        <v>49</v>
      </c>
      <c r="H21" s="18" t="s">
        <v>152</v>
      </c>
      <c r="I21" s="18"/>
      <c r="J21" s="98">
        <v>4</v>
      </c>
      <c r="K21" s="99">
        <v>1409.09</v>
      </c>
      <c r="L21" s="99">
        <f t="shared" si="0"/>
        <v>1.40909</v>
      </c>
      <c r="M21" s="100" t="s">
        <v>432</v>
      </c>
      <c r="N21" t="s">
        <v>429</v>
      </c>
    </row>
    <row r="22" spans="2:14" x14ac:dyDescent="0.25">
      <c r="B22" s="98" t="s">
        <v>71</v>
      </c>
      <c r="C22" s="98" t="s">
        <v>451</v>
      </c>
      <c r="D22" s="98" t="s">
        <v>72</v>
      </c>
      <c r="E22" s="18" t="s">
        <v>73</v>
      </c>
      <c r="F22" s="18" t="s">
        <v>74</v>
      </c>
      <c r="G22" s="18" t="s">
        <v>49</v>
      </c>
      <c r="H22" s="18" t="s">
        <v>149</v>
      </c>
      <c r="I22" s="18"/>
      <c r="J22" s="98">
        <v>5</v>
      </c>
      <c r="K22" s="99">
        <v>5700.18</v>
      </c>
      <c r="L22" s="99">
        <f t="shared" si="0"/>
        <v>5.7001800000000005</v>
      </c>
      <c r="M22" s="100" t="s">
        <v>432</v>
      </c>
      <c r="N22" t="s">
        <v>429</v>
      </c>
    </row>
    <row r="23" spans="2:14" x14ac:dyDescent="0.25">
      <c r="B23" s="98" t="s">
        <v>71</v>
      </c>
      <c r="C23" s="98" t="s">
        <v>451</v>
      </c>
      <c r="D23" s="98" t="s">
        <v>72</v>
      </c>
      <c r="E23" s="18" t="s">
        <v>73</v>
      </c>
      <c r="F23" s="18" t="s">
        <v>74</v>
      </c>
      <c r="G23" s="18" t="s">
        <v>49</v>
      </c>
      <c r="H23" s="18" t="s">
        <v>152</v>
      </c>
      <c r="I23" s="18"/>
      <c r="J23" s="98">
        <v>5</v>
      </c>
      <c r="K23" s="99">
        <v>1409.09</v>
      </c>
      <c r="L23" s="99">
        <f t="shared" si="0"/>
        <v>1.40909</v>
      </c>
      <c r="M23" s="100" t="s">
        <v>432</v>
      </c>
      <c r="N23" t="s">
        <v>429</v>
      </c>
    </row>
    <row r="24" spans="2:14" x14ac:dyDescent="0.25">
      <c r="B24" s="98" t="s">
        <v>71</v>
      </c>
      <c r="C24" s="98" t="s">
        <v>451</v>
      </c>
      <c r="D24" s="98" t="s">
        <v>72</v>
      </c>
      <c r="E24" s="18" t="s">
        <v>73</v>
      </c>
      <c r="F24" s="18" t="s">
        <v>74</v>
      </c>
      <c r="G24" s="18" t="s">
        <v>49</v>
      </c>
      <c r="H24" s="18" t="s">
        <v>149</v>
      </c>
      <c r="I24" s="18"/>
      <c r="J24" s="98">
        <v>6</v>
      </c>
      <c r="K24" s="99">
        <v>5700.18</v>
      </c>
      <c r="L24" s="99">
        <f t="shared" si="0"/>
        <v>5.7001800000000005</v>
      </c>
      <c r="M24" s="100" t="s">
        <v>432</v>
      </c>
      <c r="N24" t="s">
        <v>429</v>
      </c>
    </row>
    <row r="25" spans="2:14" x14ac:dyDescent="0.25">
      <c r="B25" s="98" t="s">
        <v>71</v>
      </c>
      <c r="C25" s="98" t="s">
        <v>451</v>
      </c>
      <c r="D25" s="98" t="s">
        <v>72</v>
      </c>
      <c r="E25" s="18" t="s">
        <v>73</v>
      </c>
      <c r="F25" s="18" t="s">
        <v>74</v>
      </c>
      <c r="G25" s="18" t="s">
        <v>49</v>
      </c>
      <c r="H25" s="18" t="s">
        <v>152</v>
      </c>
      <c r="I25" s="18"/>
      <c r="J25" s="98">
        <v>6</v>
      </c>
      <c r="K25" s="99">
        <v>1409.09</v>
      </c>
      <c r="L25" s="99">
        <f t="shared" si="0"/>
        <v>1.40909</v>
      </c>
      <c r="M25" s="100" t="s">
        <v>432</v>
      </c>
      <c r="N25" t="s">
        <v>429</v>
      </c>
    </row>
    <row r="26" spans="2:14" x14ac:dyDescent="0.25">
      <c r="B26" s="98" t="s">
        <v>71</v>
      </c>
      <c r="C26" s="98" t="s">
        <v>451</v>
      </c>
      <c r="D26" s="98" t="s">
        <v>72</v>
      </c>
      <c r="E26" s="18" t="s">
        <v>73</v>
      </c>
      <c r="F26" s="18" t="s">
        <v>74</v>
      </c>
      <c r="G26" s="18" t="s">
        <v>49</v>
      </c>
      <c r="H26" s="18" t="s">
        <v>149</v>
      </c>
      <c r="I26" s="18"/>
      <c r="J26" s="98">
        <v>7</v>
      </c>
      <c r="K26" s="99">
        <v>5700.18</v>
      </c>
      <c r="L26" s="99">
        <f t="shared" si="0"/>
        <v>5.7001800000000005</v>
      </c>
      <c r="M26" s="100" t="s">
        <v>432</v>
      </c>
      <c r="N26" t="s">
        <v>429</v>
      </c>
    </row>
    <row r="27" spans="2:14" x14ac:dyDescent="0.25">
      <c r="B27" s="98" t="s">
        <v>71</v>
      </c>
      <c r="C27" s="98" t="s">
        <v>451</v>
      </c>
      <c r="D27" s="98" t="s">
        <v>72</v>
      </c>
      <c r="E27" s="18" t="s">
        <v>73</v>
      </c>
      <c r="F27" s="18" t="s">
        <v>74</v>
      </c>
      <c r="G27" s="18" t="s">
        <v>49</v>
      </c>
      <c r="H27" s="18" t="s">
        <v>152</v>
      </c>
      <c r="I27" s="18"/>
      <c r="J27" s="98">
        <v>7</v>
      </c>
      <c r="K27" s="99">
        <v>1409.09</v>
      </c>
      <c r="L27" s="99">
        <f t="shared" si="0"/>
        <v>1.40909</v>
      </c>
      <c r="M27" s="100" t="s">
        <v>432</v>
      </c>
      <c r="N27" t="s">
        <v>429</v>
      </c>
    </row>
    <row r="28" spans="2:14" x14ac:dyDescent="0.25">
      <c r="B28" s="98" t="s">
        <v>71</v>
      </c>
      <c r="C28" s="98" t="s">
        <v>451</v>
      </c>
      <c r="D28" s="98" t="s">
        <v>72</v>
      </c>
      <c r="E28" s="18" t="s">
        <v>73</v>
      </c>
      <c r="F28" s="18" t="s">
        <v>74</v>
      </c>
      <c r="G28" s="18" t="s">
        <v>49</v>
      </c>
      <c r="H28" s="18" t="s">
        <v>149</v>
      </c>
      <c r="I28" s="18"/>
      <c r="J28" s="98">
        <v>8</v>
      </c>
      <c r="K28" s="99">
        <v>3800.14</v>
      </c>
      <c r="L28" s="99">
        <f t="shared" si="0"/>
        <v>3.8001399999999999</v>
      </c>
      <c r="M28" s="100" t="s">
        <v>432</v>
      </c>
      <c r="N28" t="s">
        <v>429</v>
      </c>
    </row>
    <row r="29" spans="2:14" x14ac:dyDescent="0.25">
      <c r="B29" s="98" t="s">
        <v>71</v>
      </c>
      <c r="C29" s="98" t="s">
        <v>451</v>
      </c>
      <c r="D29" s="98" t="s">
        <v>72</v>
      </c>
      <c r="E29" s="18" t="s">
        <v>73</v>
      </c>
      <c r="F29" s="18" t="s">
        <v>74</v>
      </c>
      <c r="G29" s="18" t="s">
        <v>49</v>
      </c>
      <c r="H29" s="18" t="s">
        <v>152</v>
      </c>
      <c r="I29" s="18"/>
      <c r="J29" s="98">
        <v>8</v>
      </c>
      <c r="K29" s="99">
        <v>939.39</v>
      </c>
      <c r="L29" s="99">
        <f t="shared" si="0"/>
        <v>0.93938999999999995</v>
      </c>
      <c r="M29" s="100" t="s">
        <v>432</v>
      </c>
      <c r="N29" t="s">
        <v>429</v>
      </c>
    </row>
    <row r="30" spans="2:14" x14ac:dyDescent="0.25">
      <c r="B30" s="98" t="s">
        <v>71</v>
      </c>
      <c r="C30" s="98" t="s">
        <v>451</v>
      </c>
      <c r="D30" s="98" t="s">
        <v>72</v>
      </c>
      <c r="E30" s="18" t="s">
        <v>73</v>
      </c>
      <c r="F30" s="18" t="s">
        <v>74</v>
      </c>
      <c r="G30" s="18" t="s">
        <v>49</v>
      </c>
      <c r="H30" s="18" t="s">
        <v>149</v>
      </c>
      <c r="I30" s="18"/>
      <c r="J30" s="98">
        <v>1</v>
      </c>
      <c r="K30" s="99">
        <v>8364.9763795631643</v>
      </c>
      <c r="L30" s="99">
        <f t="shared" si="0"/>
        <v>8.3649763795631635</v>
      </c>
      <c r="M30" s="100" t="s">
        <v>433</v>
      </c>
      <c r="N30" t="s">
        <v>429</v>
      </c>
    </row>
    <row r="31" spans="2:14" x14ac:dyDescent="0.25">
      <c r="B31" s="98" t="s">
        <v>71</v>
      </c>
      <c r="C31" s="98" t="s">
        <v>451</v>
      </c>
      <c r="D31" s="98" t="s">
        <v>72</v>
      </c>
      <c r="E31" s="18" t="s">
        <v>73</v>
      </c>
      <c r="F31" s="18" t="s">
        <v>74</v>
      </c>
      <c r="G31" s="18" t="s">
        <v>49</v>
      </c>
      <c r="H31" s="18" t="s">
        <v>152</v>
      </c>
      <c r="I31" s="18"/>
      <c r="J31" s="98">
        <v>1</v>
      </c>
      <c r="K31" s="99">
        <v>1425.9301239939241</v>
      </c>
      <c r="L31" s="99">
        <f t="shared" si="0"/>
        <v>1.4259301239939242</v>
      </c>
      <c r="M31" s="100" t="s">
        <v>433</v>
      </c>
      <c r="N31" t="s">
        <v>429</v>
      </c>
    </row>
    <row r="32" spans="2:14" x14ac:dyDescent="0.25">
      <c r="B32" s="98" t="s">
        <v>71</v>
      </c>
      <c r="C32" s="98" t="s">
        <v>451</v>
      </c>
      <c r="D32" s="98" t="s">
        <v>72</v>
      </c>
      <c r="E32" s="18" t="s">
        <v>73</v>
      </c>
      <c r="F32" s="18" t="s">
        <v>74</v>
      </c>
      <c r="G32" s="18" t="s">
        <v>49</v>
      </c>
      <c r="H32" s="18" t="s">
        <v>149</v>
      </c>
      <c r="I32" s="18"/>
      <c r="J32" s="98">
        <v>2</v>
      </c>
      <c r="K32" s="99">
        <v>8364.9763795631643</v>
      </c>
      <c r="L32" s="99">
        <f t="shared" si="0"/>
        <v>8.3649763795631635</v>
      </c>
      <c r="M32" s="100" t="s">
        <v>433</v>
      </c>
      <c r="N32" t="s">
        <v>429</v>
      </c>
    </row>
    <row r="33" spans="2:14" x14ac:dyDescent="0.25">
      <c r="B33" s="98" t="s">
        <v>71</v>
      </c>
      <c r="C33" s="98" t="s">
        <v>451</v>
      </c>
      <c r="D33" s="98" t="s">
        <v>72</v>
      </c>
      <c r="E33" s="18" t="s">
        <v>73</v>
      </c>
      <c r="F33" s="18" t="s">
        <v>74</v>
      </c>
      <c r="G33" s="18" t="s">
        <v>49</v>
      </c>
      <c r="H33" s="18" t="s">
        <v>152</v>
      </c>
      <c r="I33" s="18"/>
      <c r="J33" s="98">
        <v>2</v>
      </c>
      <c r="K33" s="99">
        <v>1425.9301239939241</v>
      </c>
      <c r="L33" s="99">
        <f t="shared" si="0"/>
        <v>1.4259301239939242</v>
      </c>
      <c r="M33" s="100" t="s">
        <v>433</v>
      </c>
      <c r="N33" t="s">
        <v>429</v>
      </c>
    </row>
    <row r="34" spans="2:14" x14ac:dyDescent="0.25">
      <c r="B34" s="98" t="s">
        <v>71</v>
      </c>
      <c r="C34" s="98" t="s">
        <v>451</v>
      </c>
      <c r="D34" s="98" t="s">
        <v>72</v>
      </c>
      <c r="E34" s="18" t="s">
        <v>73</v>
      </c>
      <c r="F34" s="18" t="s">
        <v>74</v>
      </c>
      <c r="G34" s="18" t="s">
        <v>49</v>
      </c>
      <c r="H34" s="18" t="s">
        <v>149</v>
      </c>
      <c r="I34" s="18"/>
      <c r="J34" s="98">
        <v>3</v>
      </c>
      <c r="K34" s="99">
        <v>8364.9763795631643</v>
      </c>
      <c r="L34" s="99">
        <f t="shared" si="0"/>
        <v>8.3649763795631635</v>
      </c>
      <c r="M34" s="100" t="s">
        <v>433</v>
      </c>
      <c r="N34" t="s">
        <v>429</v>
      </c>
    </row>
    <row r="35" spans="2:14" x14ac:dyDescent="0.25">
      <c r="B35" s="98" t="s">
        <v>71</v>
      </c>
      <c r="C35" s="98" t="s">
        <v>451</v>
      </c>
      <c r="D35" s="98" t="s">
        <v>72</v>
      </c>
      <c r="E35" s="18" t="s">
        <v>73</v>
      </c>
      <c r="F35" s="18" t="s">
        <v>74</v>
      </c>
      <c r="G35" s="18" t="s">
        <v>49</v>
      </c>
      <c r="H35" s="18" t="s">
        <v>152</v>
      </c>
      <c r="I35" s="18"/>
      <c r="J35" s="98">
        <v>3</v>
      </c>
      <c r="K35" s="99">
        <v>1425.9301239939241</v>
      </c>
      <c r="L35" s="99">
        <f t="shared" si="0"/>
        <v>1.4259301239939242</v>
      </c>
      <c r="M35" s="100" t="s">
        <v>433</v>
      </c>
      <c r="N35" t="s">
        <v>429</v>
      </c>
    </row>
    <row r="36" spans="2:14" x14ac:dyDescent="0.25">
      <c r="B36" s="98" t="s">
        <v>71</v>
      </c>
      <c r="C36" s="98" t="s">
        <v>451</v>
      </c>
      <c r="D36" s="98" t="s">
        <v>72</v>
      </c>
      <c r="E36" s="18" t="s">
        <v>73</v>
      </c>
      <c r="F36" s="18" t="s">
        <v>74</v>
      </c>
      <c r="G36" s="18" t="s">
        <v>49</v>
      </c>
      <c r="H36" s="18" t="s">
        <v>149</v>
      </c>
      <c r="I36" s="18"/>
      <c r="J36" s="98">
        <v>4</v>
      </c>
      <c r="K36" s="99">
        <v>8364.9763795631643</v>
      </c>
      <c r="L36" s="99">
        <f t="shared" si="0"/>
        <v>8.3649763795631635</v>
      </c>
      <c r="M36" s="100" t="s">
        <v>433</v>
      </c>
      <c r="N36" t="s">
        <v>429</v>
      </c>
    </row>
    <row r="37" spans="2:14" x14ac:dyDescent="0.25">
      <c r="B37" s="98" t="s">
        <v>71</v>
      </c>
      <c r="C37" s="98" t="s">
        <v>451</v>
      </c>
      <c r="D37" s="98" t="s">
        <v>72</v>
      </c>
      <c r="E37" s="18" t="s">
        <v>73</v>
      </c>
      <c r="F37" s="18" t="s">
        <v>74</v>
      </c>
      <c r="G37" s="18" t="s">
        <v>49</v>
      </c>
      <c r="H37" s="18" t="s">
        <v>152</v>
      </c>
      <c r="I37" s="18"/>
      <c r="J37" s="98">
        <v>4</v>
      </c>
      <c r="K37" s="99">
        <v>1425.9301239939241</v>
      </c>
      <c r="L37" s="99">
        <f t="shared" si="0"/>
        <v>1.4259301239939242</v>
      </c>
      <c r="M37" s="100" t="s">
        <v>433</v>
      </c>
      <c r="N37" t="s">
        <v>429</v>
      </c>
    </row>
    <row r="38" spans="2:14" x14ac:dyDescent="0.25">
      <c r="B38" s="98" t="s">
        <v>71</v>
      </c>
      <c r="C38" s="98" t="s">
        <v>451</v>
      </c>
      <c r="D38" s="98" t="s">
        <v>72</v>
      </c>
      <c r="E38" s="18" t="s">
        <v>73</v>
      </c>
      <c r="F38" s="18" t="s">
        <v>74</v>
      </c>
      <c r="G38" s="18" t="s">
        <v>49</v>
      </c>
      <c r="H38" s="18" t="s">
        <v>149</v>
      </c>
      <c r="I38" s="18"/>
      <c r="J38" s="98">
        <v>5</v>
      </c>
      <c r="K38" s="99">
        <v>8364.9763795631643</v>
      </c>
      <c r="L38" s="99">
        <f t="shared" si="0"/>
        <v>8.3649763795631635</v>
      </c>
      <c r="M38" s="100" t="s">
        <v>433</v>
      </c>
      <c r="N38" t="s">
        <v>429</v>
      </c>
    </row>
    <row r="39" spans="2:14" x14ac:dyDescent="0.25">
      <c r="B39" s="98" t="s">
        <v>71</v>
      </c>
      <c r="C39" s="98" t="s">
        <v>451</v>
      </c>
      <c r="D39" s="98" t="s">
        <v>72</v>
      </c>
      <c r="E39" s="18" t="s">
        <v>73</v>
      </c>
      <c r="F39" s="18" t="s">
        <v>74</v>
      </c>
      <c r="G39" s="18" t="s">
        <v>49</v>
      </c>
      <c r="H39" s="18" t="s">
        <v>152</v>
      </c>
      <c r="I39" s="18"/>
      <c r="J39" s="98">
        <v>5</v>
      </c>
      <c r="K39" s="99">
        <v>1425.9301239939241</v>
      </c>
      <c r="L39" s="99">
        <f t="shared" si="0"/>
        <v>1.4259301239939242</v>
      </c>
      <c r="M39" s="100" t="s">
        <v>433</v>
      </c>
      <c r="N39" t="s">
        <v>429</v>
      </c>
    </row>
    <row r="40" spans="2:14" x14ac:dyDescent="0.25">
      <c r="B40" s="98" t="s">
        <v>71</v>
      </c>
      <c r="C40" s="98" t="s">
        <v>451</v>
      </c>
      <c r="D40" s="98" t="s">
        <v>72</v>
      </c>
      <c r="E40" s="18" t="s">
        <v>73</v>
      </c>
      <c r="F40" s="18" t="s">
        <v>74</v>
      </c>
      <c r="G40" s="18" t="s">
        <v>49</v>
      </c>
      <c r="H40" s="18" t="s">
        <v>149</v>
      </c>
      <c r="I40" s="18"/>
      <c r="J40" s="98">
        <v>6</v>
      </c>
      <c r="K40" s="99">
        <v>8364.9763795631643</v>
      </c>
      <c r="L40" s="99">
        <f t="shared" si="0"/>
        <v>8.3649763795631635</v>
      </c>
      <c r="M40" s="100" t="s">
        <v>433</v>
      </c>
      <c r="N40" t="s">
        <v>429</v>
      </c>
    </row>
    <row r="41" spans="2:14" x14ac:dyDescent="0.25">
      <c r="B41" s="98" t="s">
        <v>71</v>
      </c>
      <c r="C41" s="98" t="s">
        <v>451</v>
      </c>
      <c r="D41" s="98" t="s">
        <v>72</v>
      </c>
      <c r="E41" s="18" t="s">
        <v>73</v>
      </c>
      <c r="F41" s="18" t="s">
        <v>74</v>
      </c>
      <c r="G41" s="18" t="s">
        <v>49</v>
      </c>
      <c r="H41" s="18" t="s">
        <v>152</v>
      </c>
      <c r="I41" s="18"/>
      <c r="J41" s="98">
        <v>6</v>
      </c>
      <c r="K41" s="99">
        <v>1425.9301239939241</v>
      </c>
      <c r="L41" s="99">
        <f t="shared" si="0"/>
        <v>1.4259301239939242</v>
      </c>
      <c r="M41" s="100" t="s">
        <v>433</v>
      </c>
      <c r="N41" t="s">
        <v>429</v>
      </c>
    </row>
    <row r="42" spans="2:14" x14ac:dyDescent="0.25">
      <c r="B42" s="98" t="s">
        <v>71</v>
      </c>
      <c r="C42" s="98" t="s">
        <v>451</v>
      </c>
      <c r="D42" s="98" t="s">
        <v>72</v>
      </c>
      <c r="E42" s="18" t="s">
        <v>73</v>
      </c>
      <c r="F42" s="18" t="s">
        <v>74</v>
      </c>
      <c r="G42" s="18" t="s">
        <v>49</v>
      </c>
      <c r="H42" s="18" t="s">
        <v>149</v>
      </c>
      <c r="I42" s="18"/>
      <c r="J42" s="98">
        <v>7</v>
      </c>
      <c r="K42" s="99">
        <v>8364.9763795631643</v>
      </c>
      <c r="L42" s="99">
        <f t="shared" si="0"/>
        <v>8.3649763795631635</v>
      </c>
      <c r="M42" s="100" t="s">
        <v>433</v>
      </c>
      <c r="N42" t="s">
        <v>429</v>
      </c>
    </row>
    <row r="43" spans="2:14" x14ac:dyDescent="0.25">
      <c r="B43" s="98" t="s">
        <v>71</v>
      </c>
      <c r="C43" s="98" t="s">
        <v>451</v>
      </c>
      <c r="D43" s="98" t="s">
        <v>72</v>
      </c>
      <c r="E43" s="18" t="s">
        <v>73</v>
      </c>
      <c r="F43" s="18" t="s">
        <v>74</v>
      </c>
      <c r="G43" s="18" t="s">
        <v>49</v>
      </c>
      <c r="H43" s="18" t="s">
        <v>152</v>
      </c>
      <c r="I43" s="18"/>
      <c r="J43" s="98">
        <v>7</v>
      </c>
      <c r="K43" s="99">
        <v>1425.9301239939241</v>
      </c>
      <c r="L43" s="99">
        <f t="shared" si="0"/>
        <v>1.4259301239939242</v>
      </c>
      <c r="M43" s="100" t="s">
        <v>433</v>
      </c>
      <c r="N43" t="s">
        <v>429</v>
      </c>
    </row>
    <row r="44" spans="2:14" x14ac:dyDescent="0.25">
      <c r="B44" s="98" t="s">
        <v>71</v>
      </c>
      <c r="C44" s="98" t="s">
        <v>451</v>
      </c>
      <c r="D44" s="98" t="s">
        <v>72</v>
      </c>
      <c r="E44" s="18" t="s">
        <v>73</v>
      </c>
      <c r="F44" s="18" t="s">
        <v>74</v>
      </c>
      <c r="G44" s="18" t="s">
        <v>49</v>
      </c>
      <c r="H44" s="18" t="s">
        <v>149</v>
      </c>
      <c r="I44" s="18"/>
      <c r="J44" s="98">
        <v>8</v>
      </c>
      <c r="K44" s="99">
        <v>5576.6453430578558</v>
      </c>
      <c r="L44" s="99">
        <f t="shared" si="0"/>
        <v>5.576645343057856</v>
      </c>
      <c r="M44" s="100" t="s">
        <v>433</v>
      </c>
      <c r="N44" t="s">
        <v>429</v>
      </c>
    </row>
    <row r="45" spans="2:14" x14ac:dyDescent="0.25">
      <c r="B45" s="98" t="s">
        <v>71</v>
      </c>
      <c r="C45" s="98" t="s">
        <v>451</v>
      </c>
      <c r="D45" s="98" t="s">
        <v>72</v>
      </c>
      <c r="E45" s="18" t="s">
        <v>73</v>
      </c>
      <c r="F45" s="18" t="s">
        <v>74</v>
      </c>
      <c r="G45" s="18" t="s">
        <v>49</v>
      </c>
      <c r="H45" s="18" t="s">
        <v>152</v>
      </c>
      <c r="I45" s="18"/>
      <c r="J45" s="98">
        <v>8</v>
      </c>
      <c r="K45" s="99">
        <v>950.61913204253312</v>
      </c>
      <c r="L45" s="99">
        <f t="shared" si="0"/>
        <v>0.95061913204253312</v>
      </c>
      <c r="M45" s="100" t="s">
        <v>433</v>
      </c>
      <c r="N45" t="s">
        <v>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B1:Q35"/>
  <sheetViews>
    <sheetView workbookViewId="0">
      <selection activeCell="D71" sqref="D71"/>
    </sheetView>
  </sheetViews>
  <sheetFormatPr baseColWidth="10" defaultRowHeight="15" x14ac:dyDescent="0.25"/>
  <cols>
    <col min="5" max="5" width="27.5703125" bestFit="1" customWidth="1"/>
    <col min="11" max="11" width="76.28515625" bestFit="1" customWidth="1"/>
    <col min="12" max="12" width="10.85546875" style="107" customWidth="1"/>
    <col min="16" max="16" width="30.85546875" bestFit="1" customWidth="1"/>
    <col min="17" max="17" width="21.85546875" bestFit="1" customWidth="1"/>
  </cols>
  <sheetData>
    <row r="1" spans="2:17" x14ac:dyDescent="0.25">
      <c r="P1" s="104" t="s">
        <v>421</v>
      </c>
      <c r="Q1" t="s">
        <v>453</v>
      </c>
    </row>
    <row r="2" spans="2:17" ht="40.5" customHeight="1" x14ac:dyDescent="0.25">
      <c r="B2" s="101" t="s">
        <v>420</v>
      </c>
      <c r="C2" s="102" t="s">
        <v>421</v>
      </c>
      <c r="D2" s="102" t="s">
        <v>62</v>
      </c>
      <c r="E2" s="102" t="s">
        <v>454</v>
      </c>
      <c r="F2" s="102" t="s">
        <v>423</v>
      </c>
      <c r="G2" s="102" t="s">
        <v>424</v>
      </c>
      <c r="H2" s="102" t="s">
        <v>447</v>
      </c>
      <c r="I2" s="102" t="s">
        <v>66</v>
      </c>
      <c r="J2" s="102" t="s">
        <v>425</v>
      </c>
      <c r="K2" s="102" t="s">
        <v>426</v>
      </c>
      <c r="L2" s="113" t="s">
        <v>455</v>
      </c>
      <c r="M2" s="102" t="s">
        <v>456</v>
      </c>
    </row>
    <row r="3" spans="2:17" hidden="1" x14ac:dyDescent="0.25">
      <c r="B3" s="95">
        <v>45667</v>
      </c>
      <c r="C3">
        <f t="shared" ref="C3:C35" si="0">MONTH(B3)</f>
        <v>1</v>
      </c>
      <c r="D3" t="s">
        <v>457</v>
      </c>
      <c r="E3" t="s">
        <v>434</v>
      </c>
      <c r="G3">
        <v>641000007</v>
      </c>
      <c r="H3" t="s">
        <v>451</v>
      </c>
      <c r="K3" t="s">
        <v>458</v>
      </c>
      <c r="L3" s="4">
        <v>112732.33</v>
      </c>
      <c r="M3">
        <v>112.73233</v>
      </c>
      <c r="P3" s="104" t="s">
        <v>459</v>
      </c>
      <c r="Q3" t="s">
        <v>460</v>
      </c>
    </row>
    <row r="4" spans="2:17" hidden="1" x14ac:dyDescent="0.25">
      <c r="B4" s="95">
        <v>45734</v>
      </c>
      <c r="C4">
        <f t="shared" si="0"/>
        <v>3</v>
      </c>
      <c r="D4" t="s">
        <v>457</v>
      </c>
      <c r="E4" t="s">
        <v>461</v>
      </c>
      <c r="F4" t="s">
        <v>462</v>
      </c>
      <c r="G4">
        <v>623000001</v>
      </c>
      <c r="H4" t="s">
        <v>21</v>
      </c>
      <c r="J4" t="s">
        <v>463</v>
      </c>
      <c r="K4" t="s">
        <v>464</v>
      </c>
      <c r="L4" s="4">
        <v>14111.19</v>
      </c>
      <c r="M4">
        <v>14.111190000000001</v>
      </c>
      <c r="P4" s="19" t="s">
        <v>461</v>
      </c>
      <c r="Q4">
        <v>161.05205000000001</v>
      </c>
    </row>
    <row r="5" spans="2:17" hidden="1" x14ac:dyDescent="0.25">
      <c r="B5" s="95">
        <v>45744</v>
      </c>
      <c r="C5">
        <f t="shared" si="0"/>
        <v>3</v>
      </c>
      <c r="D5" t="s">
        <v>457</v>
      </c>
      <c r="E5" t="s">
        <v>461</v>
      </c>
      <c r="F5" t="s">
        <v>465</v>
      </c>
      <c r="G5">
        <v>623000001</v>
      </c>
      <c r="H5" t="s">
        <v>21</v>
      </c>
      <c r="J5" t="s">
        <v>463</v>
      </c>
      <c r="K5" t="s">
        <v>464</v>
      </c>
      <c r="L5" s="4">
        <v>4000</v>
      </c>
      <c r="M5">
        <v>4</v>
      </c>
      <c r="P5" s="19" t="s">
        <v>466</v>
      </c>
      <c r="Q5">
        <v>134.19399000000001</v>
      </c>
    </row>
    <row r="6" spans="2:17" hidden="1" x14ac:dyDescent="0.25">
      <c r="B6" s="95">
        <v>45776</v>
      </c>
      <c r="C6">
        <f t="shared" si="0"/>
        <v>4</v>
      </c>
      <c r="D6" t="s">
        <v>457</v>
      </c>
      <c r="E6" t="s">
        <v>461</v>
      </c>
      <c r="F6" t="s">
        <v>467</v>
      </c>
      <c r="G6">
        <v>623000001</v>
      </c>
      <c r="H6" t="s">
        <v>21</v>
      </c>
      <c r="J6" t="s">
        <v>463</v>
      </c>
      <c r="K6" t="s">
        <v>464</v>
      </c>
      <c r="L6" s="4">
        <v>4297.2299999999996</v>
      </c>
      <c r="M6">
        <v>4.2972299999999999</v>
      </c>
      <c r="P6" s="19" t="s">
        <v>468</v>
      </c>
      <c r="Q6">
        <v>48.997439999999997</v>
      </c>
    </row>
    <row r="7" spans="2:17" hidden="1" x14ac:dyDescent="0.25">
      <c r="B7" s="95">
        <v>45805</v>
      </c>
      <c r="C7">
        <f t="shared" si="0"/>
        <v>5</v>
      </c>
      <c r="D7" t="s">
        <v>457</v>
      </c>
      <c r="E7" t="s">
        <v>461</v>
      </c>
      <c r="F7" t="s">
        <v>469</v>
      </c>
      <c r="G7">
        <v>623000001</v>
      </c>
      <c r="H7" t="s">
        <v>21</v>
      </c>
      <c r="J7" t="s">
        <v>463</v>
      </c>
      <c r="K7" t="s">
        <v>464</v>
      </c>
      <c r="L7" s="4">
        <v>4000</v>
      </c>
      <c r="M7">
        <v>4</v>
      </c>
      <c r="P7" s="19" t="s">
        <v>434</v>
      </c>
      <c r="Q7">
        <v>112.73233</v>
      </c>
    </row>
    <row r="8" spans="2:17" x14ac:dyDescent="0.25">
      <c r="B8" s="95">
        <v>45838</v>
      </c>
      <c r="C8">
        <f t="shared" si="0"/>
        <v>6</v>
      </c>
      <c r="D8" t="s">
        <v>457</v>
      </c>
      <c r="E8" t="s">
        <v>461</v>
      </c>
      <c r="F8" t="s">
        <v>470</v>
      </c>
      <c r="G8">
        <v>623000001</v>
      </c>
      <c r="H8" t="s">
        <v>21</v>
      </c>
      <c r="J8" t="s">
        <v>463</v>
      </c>
      <c r="K8" t="s">
        <v>464</v>
      </c>
      <c r="L8" s="107">
        <v>4000</v>
      </c>
      <c r="M8">
        <v>4</v>
      </c>
      <c r="P8" s="19" t="s">
        <v>471</v>
      </c>
      <c r="Q8">
        <v>1.8</v>
      </c>
    </row>
    <row r="9" spans="2:17" hidden="1" x14ac:dyDescent="0.25">
      <c r="B9" s="95">
        <v>45866</v>
      </c>
      <c r="C9">
        <f t="shared" si="0"/>
        <v>7</v>
      </c>
      <c r="D9" t="s">
        <v>457</v>
      </c>
      <c r="E9" t="s">
        <v>461</v>
      </c>
      <c r="F9" t="s">
        <v>472</v>
      </c>
      <c r="G9">
        <v>623000001</v>
      </c>
      <c r="H9" t="s">
        <v>21</v>
      </c>
      <c r="J9" t="s">
        <v>463</v>
      </c>
      <c r="K9" t="s">
        <v>464</v>
      </c>
      <c r="L9" s="4">
        <v>4589.25</v>
      </c>
      <c r="M9">
        <v>4.5892499999999998</v>
      </c>
      <c r="P9" s="19" t="s">
        <v>451</v>
      </c>
      <c r="Q9">
        <v>310.01328999999998</v>
      </c>
    </row>
    <row r="10" spans="2:17" hidden="1" x14ac:dyDescent="0.25">
      <c r="B10" s="95">
        <v>45901</v>
      </c>
      <c r="C10">
        <f t="shared" si="0"/>
        <v>9</v>
      </c>
      <c r="D10" t="s">
        <v>457</v>
      </c>
      <c r="E10" t="s">
        <v>461</v>
      </c>
      <c r="F10" t="s">
        <v>473</v>
      </c>
      <c r="G10">
        <v>623000001</v>
      </c>
      <c r="H10" t="s">
        <v>21</v>
      </c>
      <c r="J10" t="s">
        <v>463</v>
      </c>
      <c r="K10" t="s">
        <v>464</v>
      </c>
      <c r="L10" s="4">
        <v>4000</v>
      </c>
      <c r="M10">
        <v>4</v>
      </c>
      <c r="P10" s="19" t="s">
        <v>474</v>
      </c>
      <c r="Q10">
        <v>139.50071</v>
      </c>
    </row>
    <row r="11" spans="2:17" hidden="1" x14ac:dyDescent="0.25">
      <c r="B11" s="95">
        <v>45929</v>
      </c>
      <c r="C11">
        <f t="shared" si="0"/>
        <v>9</v>
      </c>
      <c r="D11" t="s">
        <v>457</v>
      </c>
      <c r="E11" t="s">
        <v>461</v>
      </c>
      <c r="F11" t="s">
        <v>475</v>
      </c>
      <c r="G11">
        <v>623000001</v>
      </c>
      <c r="H11" t="s">
        <v>21</v>
      </c>
      <c r="J11" t="s">
        <v>463</v>
      </c>
      <c r="K11" t="s">
        <v>464</v>
      </c>
      <c r="L11" s="4">
        <v>4054.38</v>
      </c>
      <c r="M11">
        <v>4.0543800000000001</v>
      </c>
      <c r="P11" s="19" t="s">
        <v>476</v>
      </c>
      <c r="Q11">
        <v>50.395650000000003</v>
      </c>
    </row>
    <row r="12" spans="2:17" hidden="1" x14ac:dyDescent="0.25">
      <c r="B12" s="95">
        <v>45875</v>
      </c>
      <c r="C12">
        <f t="shared" si="0"/>
        <v>8</v>
      </c>
      <c r="D12" t="s">
        <v>457</v>
      </c>
      <c r="E12" t="s">
        <v>468</v>
      </c>
      <c r="F12" t="s">
        <v>477</v>
      </c>
      <c r="G12">
        <v>627000005</v>
      </c>
      <c r="H12" t="s">
        <v>21</v>
      </c>
      <c r="J12" t="s">
        <v>478</v>
      </c>
      <c r="K12" t="s">
        <v>479</v>
      </c>
      <c r="L12" s="4">
        <v>40493.75</v>
      </c>
      <c r="M12">
        <v>40.493749999999999</v>
      </c>
      <c r="P12" s="19" t="s">
        <v>58</v>
      </c>
      <c r="Q12">
        <v>958.68546000000003</v>
      </c>
    </row>
    <row r="13" spans="2:17" hidden="1" x14ac:dyDescent="0.25">
      <c r="B13" s="95">
        <v>45875</v>
      </c>
      <c r="C13">
        <f t="shared" si="0"/>
        <v>8</v>
      </c>
      <c r="D13" t="s">
        <v>457</v>
      </c>
      <c r="E13" t="s">
        <v>468</v>
      </c>
      <c r="F13" t="s">
        <v>477</v>
      </c>
      <c r="G13">
        <v>634100000</v>
      </c>
      <c r="H13" t="s">
        <v>21</v>
      </c>
      <c r="J13" t="s">
        <v>478</v>
      </c>
      <c r="K13" t="s">
        <v>480</v>
      </c>
      <c r="L13">
        <v>8503.69</v>
      </c>
      <c r="M13">
        <v>8.5036900000000006</v>
      </c>
    </row>
    <row r="14" spans="2:17" hidden="1" x14ac:dyDescent="0.25">
      <c r="B14" s="95">
        <v>45962</v>
      </c>
      <c r="C14">
        <f t="shared" si="0"/>
        <v>11</v>
      </c>
      <c r="D14" t="s">
        <v>457</v>
      </c>
      <c r="E14" t="s">
        <v>461</v>
      </c>
      <c r="F14">
        <v>3522900376</v>
      </c>
      <c r="G14">
        <v>623000001</v>
      </c>
      <c r="H14" t="s">
        <v>21</v>
      </c>
      <c r="J14" t="s">
        <v>481</v>
      </c>
      <c r="K14" t="s">
        <v>482</v>
      </c>
      <c r="L14">
        <v>118000</v>
      </c>
      <c r="M14">
        <v>118</v>
      </c>
    </row>
    <row r="15" spans="2:17" hidden="1" x14ac:dyDescent="0.25">
      <c r="B15" s="95">
        <v>45993</v>
      </c>
      <c r="C15">
        <f t="shared" si="0"/>
        <v>12</v>
      </c>
      <c r="D15" t="s">
        <v>457</v>
      </c>
      <c r="E15" t="s">
        <v>471</v>
      </c>
      <c r="G15">
        <v>623000001</v>
      </c>
      <c r="H15" t="s">
        <v>21</v>
      </c>
      <c r="J15" t="s">
        <v>483</v>
      </c>
      <c r="K15" t="s">
        <v>484</v>
      </c>
      <c r="L15">
        <v>1800</v>
      </c>
      <c r="M15">
        <v>1.8</v>
      </c>
    </row>
    <row r="16" spans="2:17" hidden="1" x14ac:dyDescent="0.25">
      <c r="B16" s="95">
        <v>45748</v>
      </c>
      <c r="C16">
        <f t="shared" si="0"/>
        <v>4</v>
      </c>
      <c r="D16" t="s">
        <v>457</v>
      </c>
      <c r="E16" t="s">
        <v>476</v>
      </c>
      <c r="F16" t="s">
        <v>485</v>
      </c>
      <c r="G16">
        <v>622010201</v>
      </c>
      <c r="H16" t="s">
        <v>21</v>
      </c>
      <c r="J16" t="s">
        <v>486</v>
      </c>
      <c r="K16" t="s">
        <v>487</v>
      </c>
      <c r="L16">
        <v>11502.5</v>
      </c>
      <c r="M16">
        <v>11.5025</v>
      </c>
      <c r="Q16" s="103"/>
    </row>
    <row r="17" spans="2:13" hidden="1" x14ac:dyDescent="0.25">
      <c r="B17" s="95">
        <v>45748</v>
      </c>
      <c r="C17">
        <f t="shared" si="0"/>
        <v>4</v>
      </c>
      <c r="D17" t="s">
        <v>457</v>
      </c>
      <c r="E17" t="s">
        <v>476</v>
      </c>
      <c r="F17" t="s">
        <v>488</v>
      </c>
      <c r="G17">
        <v>622010201</v>
      </c>
      <c r="H17" t="s">
        <v>21</v>
      </c>
      <c r="J17" t="s">
        <v>486</v>
      </c>
      <c r="K17" t="s">
        <v>487</v>
      </c>
      <c r="L17">
        <v>11049.5</v>
      </c>
      <c r="M17">
        <v>11.0495</v>
      </c>
    </row>
    <row r="18" spans="2:13" hidden="1" x14ac:dyDescent="0.25">
      <c r="B18" s="95">
        <v>45992</v>
      </c>
      <c r="C18">
        <f t="shared" si="0"/>
        <v>12</v>
      </c>
      <c r="D18" t="s">
        <v>457</v>
      </c>
      <c r="E18" t="s">
        <v>476</v>
      </c>
      <c r="F18" t="s">
        <v>489</v>
      </c>
      <c r="G18">
        <v>622010201</v>
      </c>
      <c r="H18" t="s">
        <v>21</v>
      </c>
      <c r="J18" t="s">
        <v>486</v>
      </c>
      <c r="K18" t="s">
        <v>487</v>
      </c>
      <c r="L18">
        <v>12968</v>
      </c>
      <c r="M18">
        <v>12.968</v>
      </c>
    </row>
    <row r="19" spans="2:13" hidden="1" x14ac:dyDescent="0.25">
      <c r="B19" s="95">
        <v>45992</v>
      </c>
      <c r="C19">
        <f t="shared" si="0"/>
        <v>12</v>
      </c>
      <c r="D19" t="s">
        <v>457</v>
      </c>
      <c r="E19" t="s">
        <v>476</v>
      </c>
      <c r="F19" t="s">
        <v>490</v>
      </c>
      <c r="G19">
        <v>622000006</v>
      </c>
      <c r="H19" t="s">
        <v>21</v>
      </c>
      <c r="J19" t="s">
        <v>486</v>
      </c>
      <c r="L19">
        <v>4897</v>
      </c>
      <c r="M19">
        <v>4.8970000000000002</v>
      </c>
    </row>
    <row r="20" spans="2:13" hidden="1" x14ac:dyDescent="0.25">
      <c r="B20" s="95">
        <v>45713</v>
      </c>
      <c r="C20">
        <f t="shared" si="0"/>
        <v>2</v>
      </c>
      <c r="D20" t="s">
        <v>457</v>
      </c>
      <c r="E20" t="s">
        <v>476</v>
      </c>
      <c r="F20">
        <v>25000332</v>
      </c>
      <c r="G20">
        <v>622010200</v>
      </c>
      <c r="H20" t="s">
        <v>21</v>
      </c>
      <c r="J20" t="s">
        <v>491</v>
      </c>
      <c r="K20" t="s">
        <v>487</v>
      </c>
      <c r="L20">
        <v>9978.65</v>
      </c>
      <c r="M20">
        <v>9.97865</v>
      </c>
    </row>
    <row r="21" spans="2:13" hidden="1" x14ac:dyDescent="0.25">
      <c r="B21" s="95">
        <v>45721</v>
      </c>
      <c r="C21">
        <f t="shared" si="0"/>
        <v>3</v>
      </c>
      <c r="D21" t="s">
        <v>457</v>
      </c>
      <c r="E21" t="s">
        <v>466</v>
      </c>
      <c r="G21">
        <v>627000008</v>
      </c>
      <c r="H21" t="s">
        <v>21</v>
      </c>
      <c r="K21" t="s">
        <v>492</v>
      </c>
      <c r="L21">
        <v>8479.84</v>
      </c>
      <c r="M21">
        <v>8.4798399999999994</v>
      </c>
    </row>
    <row r="22" spans="2:13" hidden="1" x14ac:dyDescent="0.25">
      <c r="B22" s="95">
        <v>45677</v>
      </c>
      <c r="C22">
        <f t="shared" si="0"/>
        <v>1</v>
      </c>
      <c r="D22" t="s">
        <v>457</v>
      </c>
      <c r="E22" t="s">
        <v>466</v>
      </c>
      <c r="G22">
        <v>623100006</v>
      </c>
      <c r="H22" t="s">
        <v>21</v>
      </c>
      <c r="K22" t="s">
        <v>493</v>
      </c>
      <c r="L22">
        <v>21135</v>
      </c>
      <c r="M22">
        <v>21.135000000000002</v>
      </c>
    </row>
    <row r="23" spans="2:13" hidden="1" x14ac:dyDescent="0.25">
      <c r="B23" s="95">
        <v>45660</v>
      </c>
      <c r="C23">
        <f t="shared" si="0"/>
        <v>1</v>
      </c>
      <c r="D23" t="s">
        <v>457</v>
      </c>
      <c r="E23" t="s">
        <v>466</v>
      </c>
      <c r="G23">
        <v>623100007</v>
      </c>
      <c r="H23" t="s">
        <v>21</v>
      </c>
      <c r="K23" t="s">
        <v>494</v>
      </c>
      <c r="L23">
        <v>18863.509999999998</v>
      </c>
      <c r="M23">
        <v>18.863510000000002</v>
      </c>
    </row>
    <row r="24" spans="2:13" hidden="1" x14ac:dyDescent="0.25">
      <c r="B24" s="95">
        <v>45692</v>
      </c>
      <c r="C24">
        <f t="shared" si="0"/>
        <v>2</v>
      </c>
      <c r="D24" t="s">
        <v>457</v>
      </c>
      <c r="E24" t="s">
        <v>466</v>
      </c>
      <c r="G24">
        <v>623100007</v>
      </c>
      <c r="H24" t="s">
        <v>21</v>
      </c>
      <c r="K24" t="s">
        <v>494</v>
      </c>
      <c r="L24">
        <v>3423.3</v>
      </c>
      <c r="M24">
        <v>3.4232999999999998</v>
      </c>
    </row>
    <row r="25" spans="2:13" x14ac:dyDescent="0.25">
      <c r="B25" s="95">
        <v>45838</v>
      </c>
      <c r="C25">
        <f t="shared" si="0"/>
        <v>6</v>
      </c>
      <c r="D25" t="s">
        <v>457</v>
      </c>
      <c r="E25" t="s">
        <v>451</v>
      </c>
      <c r="G25">
        <v>640000000</v>
      </c>
      <c r="H25" t="s">
        <v>451</v>
      </c>
      <c r="K25" t="s">
        <v>495</v>
      </c>
      <c r="L25" s="107">
        <v>26136.49</v>
      </c>
      <c r="M25">
        <v>26.136489999999998</v>
      </c>
    </row>
    <row r="26" spans="2:13" hidden="1" x14ac:dyDescent="0.25">
      <c r="B26" s="95">
        <v>45930</v>
      </c>
      <c r="C26">
        <f t="shared" si="0"/>
        <v>9</v>
      </c>
      <c r="D26" t="s">
        <v>457</v>
      </c>
      <c r="E26" t="s">
        <v>451</v>
      </c>
      <c r="G26">
        <v>647000000</v>
      </c>
      <c r="H26" t="s">
        <v>451</v>
      </c>
      <c r="K26" t="s">
        <v>496</v>
      </c>
      <c r="L26">
        <v>65849.570000000007</v>
      </c>
      <c r="M26">
        <v>65.84957</v>
      </c>
    </row>
    <row r="27" spans="2:13" x14ac:dyDescent="0.25">
      <c r="B27" s="95">
        <v>45827</v>
      </c>
      <c r="C27">
        <f t="shared" si="0"/>
        <v>6</v>
      </c>
      <c r="D27" t="s">
        <v>457</v>
      </c>
      <c r="E27" t="s">
        <v>466</v>
      </c>
      <c r="G27">
        <v>623000001</v>
      </c>
      <c r="H27" t="s">
        <v>21</v>
      </c>
      <c r="K27" t="s">
        <v>497</v>
      </c>
      <c r="L27" s="107">
        <v>10969.96</v>
      </c>
      <c r="M27">
        <v>10.96996</v>
      </c>
    </row>
    <row r="28" spans="2:13" hidden="1" x14ac:dyDescent="0.25">
      <c r="B28" s="95">
        <v>45740</v>
      </c>
      <c r="C28">
        <f t="shared" si="0"/>
        <v>3</v>
      </c>
      <c r="D28" t="s">
        <v>457</v>
      </c>
      <c r="E28" t="s">
        <v>466</v>
      </c>
      <c r="G28">
        <v>623000001</v>
      </c>
      <c r="H28" t="s">
        <v>21</v>
      </c>
      <c r="K28" t="s">
        <v>498</v>
      </c>
      <c r="L28">
        <v>50283.360000000001</v>
      </c>
      <c r="M28">
        <v>50.283360000000002</v>
      </c>
    </row>
    <row r="29" spans="2:13" hidden="1" x14ac:dyDescent="0.25">
      <c r="B29" s="95">
        <v>45775</v>
      </c>
      <c r="C29">
        <f t="shared" si="0"/>
        <v>4</v>
      </c>
      <c r="D29" t="s">
        <v>457</v>
      </c>
      <c r="E29" t="s">
        <v>474</v>
      </c>
      <c r="G29">
        <v>709000000</v>
      </c>
      <c r="H29" t="s">
        <v>14</v>
      </c>
      <c r="K29" t="s">
        <v>474</v>
      </c>
      <c r="L29">
        <v>102533.02</v>
      </c>
      <c r="M29">
        <v>102.53301999999999</v>
      </c>
    </row>
    <row r="30" spans="2:13" hidden="1" x14ac:dyDescent="0.25">
      <c r="B30" s="95">
        <v>45775</v>
      </c>
      <c r="C30">
        <f t="shared" si="0"/>
        <v>4</v>
      </c>
      <c r="D30" t="s">
        <v>457</v>
      </c>
      <c r="E30" t="s">
        <v>474</v>
      </c>
      <c r="G30">
        <v>709000000</v>
      </c>
      <c r="H30" t="s">
        <v>14</v>
      </c>
      <c r="K30" t="s">
        <v>474</v>
      </c>
      <c r="L30">
        <v>36967.69</v>
      </c>
      <c r="M30">
        <v>36.967689999999997</v>
      </c>
    </row>
    <row r="31" spans="2:13" hidden="1" x14ac:dyDescent="0.25">
      <c r="B31" s="95">
        <v>45716</v>
      </c>
      <c r="C31">
        <f t="shared" si="0"/>
        <v>2</v>
      </c>
      <c r="D31" t="s">
        <v>457</v>
      </c>
      <c r="E31" t="s">
        <v>451</v>
      </c>
      <c r="G31">
        <v>640000000</v>
      </c>
      <c r="H31" t="s">
        <v>451</v>
      </c>
      <c r="K31" t="s">
        <v>499</v>
      </c>
      <c r="L31">
        <v>135000</v>
      </c>
      <c r="M31">
        <v>135</v>
      </c>
    </row>
    <row r="32" spans="2:13" hidden="1" x14ac:dyDescent="0.25">
      <c r="B32" s="95">
        <v>45665</v>
      </c>
      <c r="C32">
        <f t="shared" si="0"/>
        <v>1</v>
      </c>
      <c r="D32" t="s">
        <v>457</v>
      </c>
      <c r="E32" t="s">
        <v>466</v>
      </c>
      <c r="G32">
        <v>627000010</v>
      </c>
      <c r="H32" t="s">
        <v>21</v>
      </c>
      <c r="K32" t="s">
        <v>500</v>
      </c>
      <c r="L32">
        <v>9175.4599999999991</v>
      </c>
      <c r="M32">
        <v>9.1754599999999993</v>
      </c>
    </row>
    <row r="33" spans="2:13" hidden="1" x14ac:dyDescent="0.25">
      <c r="B33" s="95">
        <v>45761</v>
      </c>
      <c r="C33">
        <f t="shared" si="0"/>
        <v>4</v>
      </c>
      <c r="D33" t="s">
        <v>457</v>
      </c>
      <c r="E33" t="s">
        <v>466</v>
      </c>
      <c r="G33">
        <v>627000010</v>
      </c>
      <c r="H33" t="s">
        <v>21</v>
      </c>
      <c r="K33" t="s">
        <v>501</v>
      </c>
      <c r="L33">
        <v>11863.56</v>
      </c>
      <c r="M33">
        <v>11.86356</v>
      </c>
    </row>
    <row r="34" spans="2:13" hidden="1" x14ac:dyDescent="0.25">
      <c r="B34" s="95">
        <v>45688</v>
      </c>
      <c r="C34">
        <f t="shared" si="0"/>
        <v>1</v>
      </c>
      <c r="D34" t="s">
        <v>457</v>
      </c>
      <c r="E34" t="s">
        <v>451</v>
      </c>
      <c r="G34">
        <v>640000000</v>
      </c>
      <c r="H34" t="s">
        <v>451</v>
      </c>
      <c r="K34" t="s">
        <v>502</v>
      </c>
      <c r="L34">
        <v>41513.615000000013</v>
      </c>
      <c r="M34">
        <v>41.513615000000009</v>
      </c>
    </row>
    <row r="35" spans="2:13" x14ac:dyDescent="0.25">
      <c r="B35" s="95">
        <v>45838</v>
      </c>
      <c r="C35">
        <f t="shared" si="0"/>
        <v>6</v>
      </c>
      <c r="D35" t="s">
        <v>457</v>
      </c>
      <c r="E35" t="s">
        <v>451</v>
      </c>
      <c r="G35">
        <v>640000000</v>
      </c>
      <c r="H35" t="s">
        <v>451</v>
      </c>
      <c r="K35" t="s">
        <v>502</v>
      </c>
      <c r="L35" s="107">
        <v>41513.615000000013</v>
      </c>
      <c r="M35">
        <v>41.513615000000009</v>
      </c>
    </row>
  </sheetData>
  <autoFilter ref="B2:M35" xr:uid="{00000000-0009-0000-0000-000007000000}">
    <filterColumn colId="0">
      <filters>
        <dateGroupItem year="2025" month="6" dateTimeGrouping="month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5"/>
  <sheetViews>
    <sheetView topLeftCell="A193" workbookViewId="0">
      <selection activeCell="D71" sqref="D71"/>
    </sheetView>
  </sheetViews>
  <sheetFormatPr baseColWidth="10" defaultRowHeight="15" x14ac:dyDescent="0.25"/>
  <cols>
    <col min="1" max="1" width="62.140625" bestFit="1" customWidth="1"/>
    <col min="2" max="2" width="12.7109375" style="107" bestFit="1" customWidth="1"/>
  </cols>
  <sheetData>
    <row r="1" spans="1:2" x14ac:dyDescent="0.25">
      <c r="A1" s="1" t="s">
        <v>415</v>
      </c>
    </row>
    <row r="2" spans="1:2" x14ac:dyDescent="0.25">
      <c r="A2" t="s">
        <v>68</v>
      </c>
      <c r="B2" s="107" t="s">
        <v>503</v>
      </c>
    </row>
    <row r="3" spans="1:2" x14ac:dyDescent="0.25">
      <c r="A3" t="s">
        <v>76</v>
      </c>
      <c r="B3" s="107">
        <v>802410.56</v>
      </c>
    </row>
    <row r="4" spans="1:2" x14ac:dyDescent="0.25">
      <c r="A4" t="s">
        <v>79</v>
      </c>
      <c r="B4" s="107">
        <v>0</v>
      </c>
    </row>
    <row r="5" spans="1:2" x14ac:dyDescent="0.25">
      <c r="A5" t="s">
        <v>81</v>
      </c>
      <c r="B5" s="107" t="s">
        <v>504</v>
      </c>
    </row>
    <row r="6" spans="1:2" x14ac:dyDescent="0.25">
      <c r="A6" t="s">
        <v>82</v>
      </c>
      <c r="B6" s="107">
        <v>11429</v>
      </c>
    </row>
    <row r="7" spans="1:2" x14ac:dyDescent="0.25">
      <c r="A7" t="s">
        <v>84</v>
      </c>
      <c r="B7" s="107" t="s">
        <v>504</v>
      </c>
    </row>
    <row r="8" spans="1:2" x14ac:dyDescent="0.25">
      <c r="A8" t="s">
        <v>84</v>
      </c>
      <c r="B8" s="107" t="s">
        <v>504</v>
      </c>
    </row>
    <row r="9" spans="1:2" x14ac:dyDescent="0.25">
      <c r="A9" t="s">
        <v>87</v>
      </c>
      <c r="B9" s="107">
        <v>141074.4</v>
      </c>
    </row>
    <row r="10" spans="1:2" x14ac:dyDescent="0.25">
      <c r="A10" t="s">
        <v>89</v>
      </c>
      <c r="B10" s="107" t="s">
        <v>504</v>
      </c>
    </row>
    <row r="11" spans="1:2" x14ac:dyDescent="0.25">
      <c r="A11" t="s">
        <v>91</v>
      </c>
      <c r="B11" s="107">
        <v>59572.72</v>
      </c>
    </row>
    <row r="12" spans="1:2" x14ac:dyDescent="0.25">
      <c r="A12" t="s">
        <v>93</v>
      </c>
      <c r="B12" s="107">
        <v>101520</v>
      </c>
    </row>
    <row r="13" spans="1:2" x14ac:dyDescent="0.25">
      <c r="A13" t="s">
        <v>94</v>
      </c>
      <c r="B13" s="107">
        <v>1694.59</v>
      </c>
    </row>
    <row r="14" spans="1:2" x14ac:dyDescent="0.25">
      <c r="A14" t="s">
        <v>97</v>
      </c>
      <c r="B14" s="107" t="s">
        <v>504</v>
      </c>
    </row>
    <row r="15" spans="1:2" x14ac:dyDescent="0.25">
      <c r="A15" t="s">
        <v>99</v>
      </c>
      <c r="B15" s="107" t="s">
        <v>504</v>
      </c>
    </row>
    <row r="16" spans="1:2" x14ac:dyDescent="0.25">
      <c r="A16" t="s">
        <v>100</v>
      </c>
      <c r="B16" s="107">
        <v>-16000</v>
      </c>
    </row>
    <row r="17" spans="1:2" x14ac:dyDescent="0.25">
      <c r="A17" t="s">
        <v>103</v>
      </c>
      <c r="B17" s="107" t="s">
        <v>504</v>
      </c>
    </row>
    <row r="18" spans="1:2" x14ac:dyDescent="0.25">
      <c r="A18" t="s">
        <v>105</v>
      </c>
      <c r="B18" s="107">
        <v>-0.02</v>
      </c>
    </row>
    <row r="19" spans="1:2" x14ac:dyDescent="0.25">
      <c r="A19" t="s">
        <v>107</v>
      </c>
      <c r="B19" s="107">
        <v>0.01</v>
      </c>
    </row>
    <row r="20" spans="1:2" x14ac:dyDescent="0.25">
      <c r="A20" t="s">
        <v>109</v>
      </c>
      <c r="B20" s="107">
        <v>27557.62</v>
      </c>
    </row>
    <row r="21" spans="1:2" x14ac:dyDescent="0.25">
      <c r="A21" t="s">
        <v>112</v>
      </c>
      <c r="B21" s="107">
        <v>-20822.98</v>
      </c>
    </row>
    <row r="22" spans="1:2" x14ac:dyDescent="0.25">
      <c r="A22" t="s">
        <v>114</v>
      </c>
      <c r="B22" s="107">
        <v>-265516.84000000003</v>
      </c>
    </row>
    <row r="23" spans="1:2" x14ac:dyDescent="0.25">
      <c r="A23" t="s">
        <v>403</v>
      </c>
      <c r="B23" s="107">
        <v>-64800</v>
      </c>
    </row>
    <row r="24" spans="1:2" x14ac:dyDescent="0.25">
      <c r="A24" t="s">
        <v>117</v>
      </c>
      <c r="B24" s="107">
        <v>-68178.759999999995</v>
      </c>
    </row>
    <row r="25" spans="1:2" x14ac:dyDescent="0.25">
      <c r="A25" t="s">
        <v>119</v>
      </c>
      <c r="B25" s="107" t="s">
        <v>504</v>
      </c>
    </row>
    <row r="26" spans="1:2" x14ac:dyDescent="0.25">
      <c r="A26" t="s">
        <v>121</v>
      </c>
      <c r="B26" s="107">
        <v>-2886.68</v>
      </c>
    </row>
    <row r="27" spans="1:2" x14ac:dyDescent="0.25">
      <c r="A27" t="s">
        <v>123</v>
      </c>
      <c r="B27" s="107">
        <v>-4331.6000000000004</v>
      </c>
    </row>
    <row r="28" spans="1:2" x14ac:dyDescent="0.25">
      <c r="A28" t="s">
        <v>125</v>
      </c>
      <c r="B28" s="107" t="s">
        <v>504</v>
      </c>
    </row>
    <row r="29" spans="1:2" x14ac:dyDescent="0.25">
      <c r="A29" t="s">
        <v>127</v>
      </c>
      <c r="B29" s="107" t="s">
        <v>504</v>
      </c>
    </row>
    <row r="30" spans="1:2" x14ac:dyDescent="0.25">
      <c r="A30" t="s">
        <v>128</v>
      </c>
      <c r="B30" s="107">
        <v>-1108.8</v>
      </c>
    </row>
    <row r="31" spans="1:2" x14ac:dyDescent="0.25">
      <c r="A31" t="s">
        <v>130</v>
      </c>
      <c r="B31" s="107">
        <v>0</v>
      </c>
    </row>
    <row r="32" spans="1:2" x14ac:dyDescent="0.25">
      <c r="A32" t="s">
        <v>131</v>
      </c>
      <c r="B32" s="107">
        <v>0</v>
      </c>
    </row>
    <row r="33" spans="1:2" x14ac:dyDescent="0.25">
      <c r="A33" t="s">
        <v>132</v>
      </c>
      <c r="B33" s="107">
        <v>0</v>
      </c>
    </row>
    <row r="34" spans="1:2" x14ac:dyDescent="0.25">
      <c r="A34" t="s">
        <v>133</v>
      </c>
      <c r="B34" s="107">
        <v>-371.23</v>
      </c>
    </row>
    <row r="35" spans="1:2" x14ac:dyDescent="0.25">
      <c r="A35" t="s">
        <v>134</v>
      </c>
      <c r="B35" s="107" t="s">
        <v>504</v>
      </c>
    </row>
    <row r="36" spans="1:2" x14ac:dyDescent="0.25">
      <c r="A36" t="s">
        <v>135</v>
      </c>
      <c r="B36" s="107">
        <v>-2557.66</v>
      </c>
    </row>
    <row r="37" spans="1:2" x14ac:dyDescent="0.25">
      <c r="A37" t="s">
        <v>137</v>
      </c>
      <c r="B37" s="107" t="s">
        <v>504</v>
      </c>
    </row>
    <row r="38" spans="1:2" x14ac:dyDescent="0.25">
      <c r="A38" t="s">
        <v>139</v>
      </c>
      <c r="B38" s="107">
        <v>-25856.5</v>
      </c>
    </row>
    <row r="39" spans="1:2" x14ac:dyDescent="0.25">
      <c r="A39" t="s">
        <v>142</v>
      </c>
      <c r="B39" s="107">
        <v>-59037.03</v>
      </c>
    </row>
    <row r="40" spans="1:2" x14ac:dyDescent="0.25">
      <c r="A40" t="s">
        <v>145</v>
      </c>
      <c r="B40" s="107">
        <v>-4582.08</v>
      </c>
    </row>
    <row r="41" spans="1:2" x14ac:dyDescent="0.25">
      <c r="A41" t="s">
        <v>148</v>
      </c>
      <c r="B41" s="107">
        <v>0</v>
      </c>
    </row>
    <row r="42" spans="1:2" x14ac:dyDescent="0.25">
      <c r="A42" t="s">
        <v>150</v>
      </c>
      <c r="B42" s="107">
        <v>-128060.74</v>
      </c>
    </row>
    <row r="43" spans="1:2" x14ac:dyDescent="0.25">
      <c r="A43" t="s">
        <v>505</v>
      </c>
      <c r="B43" s="107">
        <v>0</v>
      </c>
    </row>
    <row r="44" spans="1:2" x14ac:dyDescent="0.25">
      <c r="A44" t="s">
        <v>506</v>
      </c>
      <c r="B44" s="107">
        <v>0</v>
      </c>
    </row>
    <row r="45" spans="1:2" x14ac:dyDescent="0.25">
      <c r="A45" t="s">
        <v>404</v>
      </c>
      <c r="B45" s="107" t="s">
        <v>504</v>
      </c>
    </row>
    <row r="46" spans="1:2" x14ac:dyDescent="0.25">
      <c r="A46" t="s">
        <v>507</v>
      </c>
      <c r="B46" s="107">
        <v>0</v>
      </c>
    </row>
    <row r="47" spans="1:2" x14ac:dyDescent="0.25">
      <c r="A47" t="s">
        <v>153</v>
      </c>
      <c r="B47" s="107">
        <v>-24572.05</v>
      </c>
    </row>
    <row r="48" spans="1:2" x14ac:dyDescent="0.25">
      <c r="A48" t="s">
        <v>156</v>
      </c>
      <c r="B48" s="107">
        <v>0</v>
      </c>
    </row>
    <row r="49" spans="1:2" x14ac:dyDescent="0.25">
      <c r="A49" t="s">
        <v>157</v>
      </c>
      <c r="B49" s="107">
        <v>0</v>
      </c>
    </row>
    <row r="50" spans="1:2" x14ac:dyDescent="0.25">
      <c r="A50" t="s">
        <v>158</v>
      </c>
      <c r="B50" s="107">
        <v>0</v>
      </c>
    </row>
    <row r="51" spans="1:2" x14ac:dyDescent="0.25">
      <c r="A51" t="s">
        <v>159</v>
      </c>
      <c r="B51" s="107">
        <v>0</v>
      </c>
    </row>
    <row r="52" spans="1:2" x14ac:dyDescent="0.25">
      <c r="A52" t="s">
        <v>160</v>
      </c>
      <c r="B52" s="107">
        <v>0</v>
      </c>
    </row>
    <row r="53" spans="1:2" x14ac:dyDescent="0.25">
      <c r="A53" t="s">
        <v>161</v>
      </c>
      <c r="B53" s="107">
        <v>0</v>
      </c>
    </row>
    <row r="54" spans="1:2" x14ac:dyDescent="0.25">
      <c r="A54" t="s">
        <v>162</v>
      </c>
      <c r="B54" s="107">
        <v>0</v>
      </c>
    </row>
    <row r="55" spans="1:2" x14ac:dyDescent="0.25">
      <c r="A55" t="s">
        <v>163</v>
      </c>
      <c r="B55" s="107">
        <v>0</v>
      </c>
    </row>
    <row r="56" spans="1:2" x14ac:dyDescent="0.25">
      <c r="A56" t="s">
        <v>164</v>
      </c>
      <c r="B56" s="107" t="s">
        <v>504</v>
      </c>
    </row>
    <row r="57" spans="1:2" x14ac:dyDescent="0.25">
      <c r="A57" t="s">
        <v>166</v>
      </c>
      <c r="B57" s="107">
        <v>0</v>
      </c>
    </row>
    <row r="58" spans="1:2" x14ac:dyDescent="0.25">
      <c r="A58" t="s">
        <v>167</v>
      </c>
      <c r="B58" s="107">
        <v>0</v>
      </c>
    </row>
    <row r="59" spans="1:2" x14ac:dyDescent="0.25">
      <c r="A59" t="s">
        <v>168</v>
      </c>
      <c r="B59" s="107">
        <v>0</v>
      </c>
    </row>
    <row r="60" spans="1:2" x14ac:dyDescent="0.25">
      <c r="A60" t="s">
        <v>169</v>
      </c>
      <c r="B60" s="107">
        <v>0</v>
      </c>
    </row>
    <row r="61" spans="1:2" x14ac:dyDescent="0.25">
      <c r="A61" t="s">
        <v>170</v>
      </c>
      <c r="B61" s="107">
        <v>0</v>
      </c>
    </row>
    <row r="62" spans="1:2" x14ac:dyDescent="0.25">
      <c r="A62" t="s">
        <v>172</v>
      </c>
      <c r="B62" s="107" t="s">
        <v>504</v>
      </c>
    </row>
    <row r="63" spans="1:2" x14ac:dyDescent="0.25">
      <c r="A63" t="s">
        <v>174</v>
      </c>
      <c r="B63" s="107">
        <v>-399.98</v>
      </c>
    </row>
    <row r="64" spans="1:2" x14ac:dyDescent="0.25">
      <c r="A64" t="s">
        <v>175</v>
      </c>
      <c r="B64" s="107">
        <v>-911.52</v>
      </c>
    </row>
    <row r="65" spans="1:2" x14ac:dyDescent="0.25">
      <c r="A65" t="s">
        <v>177</v>
      </c>
      <c r="B65" s="107">
        <v>-192</v>
      </c>
    </row>
    <row r="66" spans="1:2" x14ac:dyDescent="0.25">
      <c r="A66" t="s">
        <v>179</v>
      </c>
      <c r="B66" s="107" t="s">
        <v>504</v>
      </c>
    </row>
    <row r="67" spans="1:2" x14ac:dyDescent="0.25">
      <c r="A67" t="s">
        <v>181</v>
      </c>
      <c r="B67" s="107">
        <v>0</v>
      </c>
    </row>
    <row r="68" spans="1:2" x14ac:dyDescent="0.25">
      <c r="A68" t="s">
        <v>183</v>
      </c>
      <c r="B68" s="107" t="s">
        <v>504</v>
      </c>
    </row>
    <row r="69" spans="1:2" x14ac:dyDescent="0.25">
      <c r="A69" t="s">
        <v>184</v>
      </c>
      <c r="B69" s="107">
        <v>0</v>
      </c>
    </row>
    <row r="70" spans="1:2" x14ac:dyDescent="0.25">
      <c r="A70" t="s">
        <v>185</v>
      </c>
      <c r="B70" s="107" t="s">
        <v>504</v>
      </c>
    </row>
    <row r="71" spans="1:2" x14ac:dyDescent="0.25">
      <c r="A71" t="s">
        <v>186</v>
      </c>
      <c r="B71" s="107">
        <v>0</v>
      </c>
    </row>
    <row r="72" spans="1:2" x14ac:dyDescent="0.25">
      <c r="A72" t="s">
        <v>187</v>
      </c>
      <c r="B72" s="107">
        <v>-338</v>
      </c>
    </row>
    <row r="73" spans="1:2" x14ac:dyDescent="0.25">
      <c r="A73" t="s">
        <v>188</v>
      </c>
      <c r="B73" s="107" t="s">
        <v>504</v>
      </c>
    </row>
    <row r="74" spans="1:2" x14ac:dyDescent="0.25">
      <c r="A74" t="s">
        <v>189</v>
      </c>
      <c r="B74" s="107">
        <v>-399.42</v>
      </c>
    </row>
    <row r="75" spans="1:2" x14ac:dyDescent="0.25">
      <c r="A75" t="s">
        <v>190</v>
      </c>
      <c r="B75" s="107">
        <v>-1139.1600000000001</v>
      </c>
    </row>
    <row r="76" spans="1:2" x14ac:dyDescent="0.25">
      <c r="A76" t="s">
        <v>191</v>
      </c>
      <c r="B76" s="107">
        <v>0</v>
      </c>
    </row>
    <row r="77" spans="1:2" x14ac:dyDescent="0.25">
      <c r="A77" t="s">
        <v>192</v>
      </c>
      <c r="B77" s="107">
        <v>0</v>
      </c>
    </row>
    <row r="78" spans="1:2" x14ac:dyDescent="0.25">
      <c r="A78" t="s">
        <v>193</v>
      </c>
      <c r="B78" s="107">
        <v>-400</v>
      </c>
    </row>
    <row r="79" spans="1:2" x14ac:dyDescent="0.25">
      <c r="A79" t="s">
        <v>194</v>
      </c>
      <c r="B79" s="107">
        <v>-400.44</v>
      </c>
    </row>
    <row r="80" spans="1:2" x14ac:dyDescent="0.25">
      <c r="A80" t="s">
        <v>195</v>
      </c>
      <c r="B80" s="107" t="s">
        <v>504</v>
      </c>
    </row>
    <row r="81" spans="1:2" x14ac:dyDescent="0.25">
      <c r="A81" t="s">
        <v>196</v>
      </c>
      <c r="B81" s="107" t="s">
        <v>504</v>
      </c>
    </row>
    <row r="82" spans="1:2" x14ac:dyDescent="0.25">
      <c r="A82" t="s">
        <v>197</v>
      </c>
      <c r="B82" s="107" t="s">
        <v>504</v>
      </c>
    </row>
    <row r="83" spans="1:2" x14ac:dyDescent="0.25">
      <c r="A83" t="s">
        <v>198</v>
      </c>
      <c r="B83" s="107">
        <v>-677.53</v>
      </c>
    </row>
    <row r="84" spans="1:2" x14ac:dyDescent="0.25">
      <c r="A84" t="s">
        <v>199</v>
      </c>
      <c r="B84" s="107">
        <v>-1600</v>
      </c>
    </row>
    <row r="85" spans="1:2" x14ac:dyDescent="0.25">
      <c r="A85" t="s">
        <v>200</v>
      </c>
      <c r="B85" s="107">
        <v>-1208.01</v>
      </c>
    </row>
    <row r="86" spans="1:2" x14ac:dyDescent="0.25">
      <c r="A86" t="s">
        <v>201</v>
      </c>
      <c r="B86" s="107">
        <v>-1407</v>
      </c>
    </row>
    <row r="87" spans="1:2" x14ac:dyDescent="0.25">
      <c r="A87" t="s">
        <v>203</v>
      </c>
      <c r="B87" s="107" t="s">
        <v>504</v>
      </c>
    </row>
    <row r="88" spans="1:2" x14ac:dyDescent="0.25">
      <c r="A88" t="s">
        <v>205</v>
      </c>
      <c r="B88" s="107">
        <v>-115.48</v>
      </c>
    </row>
    <row r="89" spans="1:2" x14ac:dyDescent="0.25">
      <c r="A89" t="s">
        <v>206</v>
      </c>
      <c r="B89" s="107" t="s">
        <v>504</v>
      </c>
    </row>
    <row r="90" spans="1:2" x14ac:dyDescent="0.25">
      <c r="A90" t="s">
        <v>207</v>
      </c>
      <c r="B90" s="107" t="s">
        <v>504</v>
      </c>
    </row>
    <row r="91" spans="1:2" x14ac:dyDescent="0.25">
      <c r="A91" t="s">
        <v>209</v>
      </c>
      <c r="B91" s="107" t="s">
        <v>504</v>
      </c>
    </row>
    <row r="92" spans="1:2" x14ac:dyDescent="0.25">
      <c r="A92" t="s">
        <v>210</v>
      </c>
      <c r="B92" s="107" t="s">
        <v>504</v>
      </c>
    </row>
    <row r="93" spans="1:2" x14ac:dyDescent="0.25">
      <c r="A93" t="s">
        <v>211</v>
      </c>
      <c r="B93" s="107">
        <v>0</v>
      </c>
    </row>
    <row r="94" spans="1:2" x14ac:dyDescent="0.25">
      <c r="A94" t="s">
        <v>212</v>
      </c>
      <c r="B94" s="107">
        <v>-977.98</v>
      </c>
    </row>
    <row r="95" spans="1:2" x14ac:dyDescent="0.25">
      <c r="A95" t="s">
        <v>213</v>
      </c>
      <c r="B95" s="107" t="s">
        <v>504</v>
      </c>
    </row>
    <row r="96" spans="1:2" x14ac:dyDescent="0.25">
      <c r="A96" t="s">
        <v>214</v>
      </c>
      <c r="B96" s="107">
        <v>0</v>
      </c>
    </row>
    <row r="97" spans="1:2" x14ac:dyDescent="0.25">
      <c r="A97" t="s">
        <v>215</v>
      </c>
      <c r="B97" s="107">
        <v>-1983.69</v>
      </c>
    </row>
    <row r="98" spans="1:2" x14ac:dyDescent="0.25">
      <c r="A98" t="s">
        <v>217</v>
      </c>
      <c r="B98" s="107">
        <v>-5848.16</v>
      </c>
    </row>
    <row r="99" spans="1:2" x14ac:dyDescent="0.25">
      <c r="A99" t="s">
        <v>219</v>
      </c>
      <c r="B99" s="107">
        <v>-11965.55</v>
      </c>
    </row>
    <row r="100" spans="1:2" x14ac:dyDescent="0.25">
      <c r="A100" t="s">
        <v>221</v>
      </c>
      <c r="B100" s="107">
        <v>-288.39</v>
      </c>
    </row>
    <row r="101" spans="1:2" x14ac:dyDescent="0.25">
      <c r="A101" t="s">
        <v>223</v>
      </c>
      <c r="B101" s="107">
        <v>-108.17</v>
      </c>
    </row>
    <row r="102" spans="1:2" x14ac:dyDescent="0.25">
      <c r="A102" t="s">
        <v>225</v>
      </c>
      <c r="B102" s="107" t="s">
        <v>504</v>
      </c>
    </row>
    <row r="103" spans="1:2" x14ac:dyDescent="0.25">
      <c r="A103" t="s">
        <v>228</v>
      </c>
      <c r="B103" s="107">
        <v>-2853.02</v>
      </c>
    </row>
    <row r="104" spans="1:2" x14ac:dyDescent="0.25">
      <c r="A104" t="s">
        <v>230</v>
      </c>
      <c r="B104" s="107">
        <v>-2148.2399999999998</v>
      </c>
    </row>
    <row r="105" spans="1:2" x14ac:dyDescent="0.25">
      <c r="A105" t="s">
        <v>232</v>
      </c>
      <c r="B105" s="107" t="s">
        <v>504</v>
      </c>
    </row>
    <row r="106" spans="1:2" x14ac:dyDescent="0.25">
      <c r="A106" t="s">
        <v>234</v>
      </c>
      <c r="B106" s="107" t="s">
        <v>504</v>
      </c>
    </row>
    <row r="107" spans="1:2" x14ac:dyDescent="0.25">
      <c r="A107" t="s">
        <v>236</v>
      </c>
      <c r="B107" s="107">
        <v>-210</v>
      </c>
    </row>
    <row r="108" spans="1:2" x14ac:dyDescent="0.25">
      <c r="A108" t="s">
        <v>238</v>
      </c>
      <c r="B108" s="107">
        <v>-4396.3900000000003</v>
      </c>
    </row>
    <row r="109" spans="1:2" x14ac:dyDescent="0.25">
      <c r="A109" t="s">
        <v>240</v>
      </c>
      <c r="B109" s="107">
        <v>-20364.61</v>
      </c>
    </row>
    <row r="110" spans="1:2" x14ac:dyDescent="0.25">
      <c r="A110" t="s">
        <v>242</v>
      </c>
      <c r="B110" s="107">
        <v>-6760.66</v>
      </c>
    </row>
    <row r="111" spans="1:2" x14ac:dyDescent="0.25">
      <c r="A111" t="s">
        <v>244</v>
      </c>
      <c r="B111" s="107" t="s">
        <v>504</v>
      </c>
    </row>
    <row r="112" spans="1:2" x14ac:dyDescent="0.25">
      <c r="A112" t="s">
        <v>246</v>
      </c>
      <c r="B112" s="107">
        <v>0</v>
      </c>
    </row>
    <row r="113" spans="1:2" x14ac:dyDescent="0.25">
      <c r="A113" t="s">
        <v>247</v>
      </c>
      <c r="B113" s="107" t="s">
        <v>504</v>
      </c>
    </row>
    <row r="114" spans="1:2" x14ac:dyDescent="0.25">
      <c r="A114" t="s">
        <v>249</v>
      </c>
      <c r="B114" s="107">
        <v>0</v>
      </c>
    </row>
    <row r="115" spans="1:2" x14ac:dyDescent="0.25">
      <c r="A115" t="s">
        <v>250</v>
      </c>
      <c r="B115" s="107">
        <v>-663</v>
      </c>
    </row>
    <row r="116" spans="1:2" x14ac:dyDescent="0.25">
      <c r="A116" t="s">
        <v>251</v>
      </c>
      <c r="B116" s="107" t="s">
        <v>504</v>
      </c>
    </row>
    <row r="117" spans="1:2" x14ac:dyDescent="0.25">
      <c r="A117" t="s">
        <v>252</v>
      </c>
      <c r="B117" s="107">
        <v>0</v>
      </c>
    </row>
    <row r="118" spans="1:2" x14ac:dyDescent="0.25">
      <c r="A118" t="s">
        <v>253</v>
      </c>
      <c r="B118" s="107" t="s">
        <v>504</v>
      </c>
    </row>
    <row r="119" spans="1:2" x14ac:dyDescent="0.25">
      <c r="A119" t="s">
        <v>256</v>
      </c>
      <c r="B119" s="107" t="s">
        <v>504</v>
      </c>
    </row>
    <row r="120" spans="1:2" x14ac:dyDescent="0.25">
      <c r="A120" t="s">
        <v>257</v>
      </c>
      <c r="B120" s="107" t="s">
        <v>504</v>
      </c>
    </row>
    <row r="121" spans="1:2" x14ac:dyDescent="0.25">
      <c r="A121" t="s">
        <v>258</v>
      </c>
      <c r="B121" s="107" t="s">
        <v>504</v>
      </c>
    </row>
    <row r="122" spans="1:2" x14ac:dyDescent="0.25">
      <c r="A122" t="s">
        <v>259</v>
      </c>
      <c r="B122" s="107" t="s">
        <v>504</v>
      </c>
    </row>
    <row r="123" spans="1:2" x14ac:dyDescent="0.25">
      <c r="A123" t="s">
        <v>260</v>
      </c>
      <c r="B123" s="107">
        <v>-4869.95</v>
      </c>
    </row>
    <row r="124" spans="1:2" x14ac:dyDescent="0.25">
      <c r="A124" t="s">
        <v>261</v>
      </c>
      <c r="B124" s="107" t="s">
        <v>504</v>
      </c>
    </row>
    <row r="125" spans="1:2" x14ac:dyDescent="0.25">
      <c r="A125" t="s">
        <v>262</v>
      </c>
      <c r="B125" s="107" t="s">
        <v>504</v>
      </c>
    </row>
    <row r="126" spans="1:2" x14ac:dyDescent="0.25">
      <c r="A126" t="s">
        <v>263</v>
      </c>
      <c r="B126" s="107">
        <v>-212.5</v>
      </c>
    </row>
    <row r="127" spans="1:2" x14ac:dyDescent="0.25">
      <c r="A127" t="s">
        <v>264</v>
      </c>
      <c r="B127" s="107" t="s">
        <v>504</v>
      </c>
    </row>
    <row r="128" spans="1:2" x14ac:dyDescent="0.25">
      <c r="A128" t="s">
        <v>265</v>
      </c>
      <c r="B128" s="107" t="s">
        <v>504</v>
      </c>
    </row>
    <row r="129" spans="1:2" x14ac:dyDescent="0.25">
      <c r="A129" t="s">
        <v>266</v>
      </c>
      <c r="B129" s="107">
        <v>0</v>
      </c>
    </row>
    <row r="130" spans="1:2" x14ac:dyDescent="0.25">
      <c r="A130" t="s">
        <v>268</v>
      </c>
      <c r="B130" s="107">
        <v>-7363.19</v>
      </c>
    </row>
    <row r="131" spans="1:2" x14ac:dyDescent="0.25">
      <c r="A131" t="s">
        <v>270</v>
      </c>
      <c r="B131" s="107">
        <v>-8087.44</v>
      </c>
    </row>
    <row r="132" spans="1:2" x14ac:dyDescent="0.25">
      <c r="A132" t="s">
        <v>272</v>
      </c>
      <c r="B132" s="107">
        <v>-11901.38</v>
      </c>
    </row>
    <row r="133" spans="1:2" x14ac:dyDescent="0.25">
      <c r="A133" t="s">
        <v>274</v>
      </c>
      <c r="B133" s="107" t="s">
        <v>504</v>
      </c>
    </row>
    <row r="134" spans="1:2" x14ac:dyDescent="0.25">
      <c r="A134" t="s">
        <v>405</v>
      </c>
      <c r="B134" s="107">
        <v>-149.55000000000001</v>
      </c>
    </row>
    <row r="135" spans="1:2" x14ac:dyDescent="0.25">
      <c r="A135" t="s">
        <v>277</v>
      </c>
      <c r="B135" s="107" t="s">
        <v>504</v>
      </c>
    </row>
    <row r="136" spans="1:2" x14ac:dyDescent="0.25">
      <c r="A136" t="s">
        <v>278</v>
      </c>
      <c r="B136" s="107">
        <v>0</v>
      </c>
    </row>
    <row r="137" spans="1:2" x14ac:dyDescent="0.25">
      <c r="A137" t="s">
        <v>280</v>
      </c>
      <c r="B137" s="107" t="s">
        <v>504</v>
      </c>
    </row>
    <row r="138" spans="1:2" x14ac:dyDescent="0.25">
      <c r="A138" t="s">
        <v>282</v>
      </c>
      <c r="B138" s="107" t="s">
        <v>504</v>
      </c>
    </row>
    <row r="139" spans="1:2" x14ac:dyDescent="0.25">
      <c r="A139" t="s">
        <v>283</v>
      </c>
      <c r="B139" s="107" t="s">
        <v>504</v>
      </c>
    </row>
    <row r="140" spans="1:2" x14ac:dyDescent="0.25">
      <c r="A140" t="s">
        <v>284</v>
      </c>
      <c r="B140" s="107" t="s">
        <v>504</v>
      </c>
    </row>
    <row r="141" spans="1:2" x14ac:dyDescent="0.25">
      <c r="A141" t="s">
        <v>286</v>
      </c>
      <c r="B141" s="107">
        <v>0</v>
      </c>
    </row>
    <row r="142" spans="1:2" x14ac:dyDescent="0.25">
      <c r="A142" t="s">
        <v>287</v>
      </c>
      <c r="B142" s="107">
        <v>-7.26</v>
      </c>
    </row>
    <row r="143" spans="1:2" x14ac:dyDescent="0.25">
      <c r="A143" t="s">
        <v>289</v>
      </c>
      <c r="B143" s="107">
        <v>-143.33000000000001</v>
      </c>
    </row>
    <row r="144" spans="1:2" x14ac:dyDescent="0.25">
      <c r="A144" t="s">
        <v>290</v>
      </c>
      <c r="B144" s="107">
        <v>-615.71</v>
      </c>
    </row>
    <row r="145" spans="1:2" x14ac:dyDescent="0.25">
      <c r="A145" t="s">
        <v>292</v>
      </c>
      <c r="B145" s="107">
        <v>0</v>
      </c>
    </row>
    <row r="146" spans="1:2" x14ac:dyDescent="0.25">
      <c r="A146" t="s">
        <v>293</v>
      </c>
      <c r="B146" s="107">
        <v>-214.6</v>
      </c>
    </row>
    <row r="147" spans="1:2" x14ac:dyDescent="0.25">
      <c r="A147" t="s">
        <v>295</v>
      </c>
      <c r="B147" s="107" t="s">
        <v>504</v>
      </c>
    </row>
    <row r="148" spans="1:2" x14ac:dyDescent="0.25">
      <c r="A148" t="s">
        <v>296</v>
      </c>
      <c r="B148" s="107" t="s">
        <v>504</v>
      </c>
    </row>
    <row r="149" spans="1:2" x14ac:dyDescent="0.25">
      <c r="A149" t="s">
        <v>298</v>
      </c>
      <c r="B149" s="107" t="s">
        <v>504</v>
      </c>
    </row>
    <row r="150" spans="1:2" x14ac:dyDescent="0.25">
      <c r="A150" t="s">
        <v>300</v>
      </c>
      <c r="B150" s="107" t="s">
        <v>504</v>
      </c>
    </row>
    <row r="151" spans="1:2" x14ac:dyDescent="0.25">
      <c r="A151" t="s">
        <v>302</v>
      </c>
      <c r="B151" s="107">
        <v>-3164.3</v>
      </c>
    </row>
    <row r="152" spans="1:2" x14ac:dyDescent="0.25">
      <c r="A152" t="s">
        <v>304</v>
      </c>
      <c r="B152" s="107" t="s">
        <v>504</v>
      </c>
    </row>
    <row r="153" spans="1:2" x14ac:dyDescent="0.25">
      <c r="A153" t="s">
        <v>306</v>
      </c>
      <c r="B153" s="107" t="s">
        <v>504</v>
      </c>
    </row>
    <row r="154" spans="1:2" x14ac:dyDescent="0.25">
      <c r="A154" t="s">
        <v>307</v>
      </c>
      <c r="B154" s="107">
        <v>-4025.79</v>
      </c>
    </row>
    <row r="155" spans="1:2" x14ac:dyDescent="0.25">
      <c r="A155" t="s">
        <v>309</v>
      </c>
      <c r="B155" s="107" t="s">
        <v>504</v>
      </c>
    </row>
    <row r="156" spans="1:2" x14ac:dyDescent="0.25">
      <c r="A156" t="s">
        <v>310</v>
      </c>
      <c r="B156" s="107">
        <v>-853</v>
      </c>
    </row>
    <row r="157" spans="1:2" x14ac:dyDescent="0.25">
      <c r="A157" t="s">
        <v>312</v>
      </c>
      <c r="B157" s="107">
        <v>-1496.33</v>
      </c>
    </row>
    <row r="158" spans="1:2" x14ac:dyDescent="0.25">
      <c r="A158" t="s">
        <v>314</v>
      </c>
      <c r="B158" s="107" t="s">
        <v>504</v>
      </c>
    </row>
    <row r="159" spans="1:2" x14ac:dyDescent="0.25">
      <c r="A159" t="s">
        <v>316</v>
      </c>
      <c r="B159" s="107">
        <v>-986.98</v>
      </c>
    </row>
    <row r="160" spans="1:2" x14ac:dyDescent="0.25">
      <c r="A160" t="s">
        <v>318</v>
      </c>
      <c r="B160" s="107" t="s">
        <v>504</v>
      </c>
    </row>
    <row r="161" spans="1:2" x14ac:dyDescent="0.25">
      <c r="A161" t="s">
        <v>319</v>
      </c>
      <c r="B161" s="107">
        <v>-75.94</v>
      </c>
    </row>
    <row r="162" spans="1:2" x14ac:dyDescent="0.25">
      <c r="A162" t="s">
        <v>320</v>
      </c>
      <c r="B162" s="107" t="s">
        <v>504</v>
      </c>
    </row>
    <row r="163" spans="1:2" x14ac:dyDescent="0.25">
      <c r="A163" t="s">
        <v>322</v>
      </c>
      <c r="B163" s="107" t="s">
        <v>504</v>
      </c>
    </row>
    <row r="164" spans="1:2" x14ac:dyDescent="0.25">
      <c r="A164" t="s">
        <v>323</v>
      </c>
      <c r="B164" s="107">
        <v>-79.8</v>
      </c>
    </row>
    <row r="165" spans="1:2" x14ac:dyDescent="0.25">
      <c r="A165" t="s">
        <v>325</v>
      </c>
      <c r="B165" s="107" t="s">
        <v>504</v>
      </c>
    </row>
    <row r="166" spans="1:2" x14ac:dyDescent="0.25">
      <c r="A166" t="s">
        <v>327</v>
      </c>
      <c r="B166" s="107" t="s">
        <v>504</v>
      </c>
    </row>
    <row r="167" spans="1:2" x14ac:dyDescent="0.25">
      <c r="A167" t="s">
        <v>328</v>
      </c>
      <c r="B167" s="107">
        <v>-1663.31</v>
      </c>
    </row>
    <row r="168" spans="1:2" x14ac:dyDescent="0.25">
      <c r="A168" t="s">
        <v>329</v>
      </c>
      <c r="B168" s="107" t="s">
        <v>504</v>
      </c>
    </row>
    <row r="169" spans="1:2" x14ac:dyDescent="0.25">
      <c r="A169" t="s">
        <v>330</v>
      </c>
      <c r="B169" s="107">
        <v>-932.8</v>
      </c>
    </row>
    <row r="170" spans="1:2" x14ac:dyDescent="0.25">
      <c r="A170" t="s">
        <v>331</v>
      </c>
      <c r="B170" s="107">
        <v>-4513.8</v>
      </c>
    </row>
    <row r="171" spans="1:2" x14ac:dyDescent="0.25">
      <c r="A171" t="s">
        <v>333</v>
      </c>
      <c r="B171" s="107">
        <v>-340</v>
      </c>
    </row>
    <row r="172" spans="1:2" x14ac:dyDescent="0.25">
      <c r="A172" t="s">
        <v>334</v>
      </c>
      <c r="B172" s="107">
        <v>-107.24</v>
      </c>
    </row>
    <row r="173" spans="1:2" x14ac:dyDescent="0.25">
      <c r="A173" t="s">
        <v>335</v>
      </c>
      <c r="B173" s="107">
        <v>-500.03</v>
      </c>
    </row>
    <row r="174" spans="1:2" x14ac:dyDescent="0.25">
      <c r="A174" t="s">
        <v>336</v>
      </c>
      <c r="B174" s="107">
        <v>-2380.04</v>
      </c>
    </row>
    <row r="175" spans="1:2" x14ac:dyDescent="0.25">
      <c r="A175" t="s">
        <v>338</v>
      </c>
      <c r="B175" s="107">
        <v>-1290.01</v>
      </c>
    </row>
    <row r="176" spans="1:2" x14ac:dyDescent="0.25">
      <c r="A176" t="s">
        <v>340</v>
      </c>
      <c r="B176" s="107">
        <v>-1377.28</v>
      </c>
    </row>
    <row r="177" spans="1:2" x14ac:dyDescent="0.25">
      <c r="A177" t="s">
        <v>342</v>
      </c>
      <c r="B177" s="107">
        <v>-283.02999999999997</v>
      </c>
    </row>
    <row r="178" spans="1:2" x14ac:dyDescent="0.25">
      <c r="A178" t="s">
        <v>344</v>
      </c>
      <c r="B178" s="107">
        <v>-281.24</v>
      </c>
    </row>
    <row r="179" spans="1:2" x14ac:dyDescent="0.25">
      <c r="A179" t="s">
        <v>346</v>
      </c>
      <c r="B179" s="107" t="s">
        <v>504</v>
      </c>
    </row>
    <row r="180" spans="1:2" x14ac:dyDescent="0.25">
      <c r="A180" t="s">
        <v>347</v>
      </c>
      <c r="B180" s="107">
        <v>-100.45</v>
      </c>
    </row>
    <row r="181" spans="1:2" x14ac:dyDescent="0.25">
      <c r="A181" t="s">
        <v>348</v>
      </c>
      <c r="B181" s="107">
        <v>-141.13999999999999</v>
      </c>
    </row>
    <row r="182" spans="1:2" x14ac:dyDescent="0.25">
      <c r="A182" t="s">
        <v>351</v>
      </c>
      <c r="B182" s="107" t="s">
        <v>504</v>
      </c>
    </row>
    <row r="183" spans="1:2" x14ac:dyDescent="0.25">
      <c r="A183" t="s">
        <v>353</v>
      </c>
      <c r="B183" s="107" t="s">
        <v>504</v>
      </c>
    </row>
    <row r="184" spans="1:2" x14ac:dyDescent="0.25">
      <c r="A184" t="s">
        <v>355</v>
      </c>
      <c r="B184" s="107">
        <v>-7396.59</v>
      </c>
    </row>
    <row r="185" spans="1:2" x14ac:dyDescent="0.25">
      <c r="A185" t="s">
        <v>357</v>
      </c>
      <c r="B185" s="107">
        <v>-838.08</v>
      </c>
    </row>
    <row r="186" spans="1:2" x14ac:dyDescent="0.25">
      <c r="A186" t="s">
        <v>360</v>
      </c>
      <c r="B186" s="107" t="s">
        <v>504</v>
      </c>
    </row>
    <row r="187" spans="1:2" x14ac:dyDescent="0.25">
      <c r="A187" t="s">
        <v>366</v>
      </c>
      <c r="B187" s="107">
        <v>-3154.35</v>
      </c>
    </row>
    <row r="188" spans="1:2" x14ac:dyDescent="0.25">
      <c r="A188" t="s">
        <v>368</v>
      </c>
      <c r="B188" s="107">
        <v>-5772.02</v>
      </c>
    </row>
    <row r="189" spans="1:2" x14ac:dyDescent="0.25">
      <c r="A189" t="s">
        <v>369</v>
      </c>
      <c r="B189" s="107">
        <v>-6419.19</v>
      </c>
    </row>
    <row r="190" spans="1:2" x14ac:dyDescent="0.25">
      <c r="A190" t="s">
        <v>370</v>
      </c>
      <c r="B190" s="107">
        <v>-1642.07</v>
      </c>
    </row>
    <row r="191" spans="1:2" x14ac:dyDescent="0.25">
      <c r="A191" t="s">
        <v>371</v>
      </c>
      <c r="B191" s="107">
        <v>-1337.16</v>
      </c>
    </row>
    <row r="192" spans="1:2" x14ac:dyDescent="0.25">
      <c r="A192" t="s">
        <v>372</v>
      </c>
      <c r="B192" s="107">
        <v>-855.5</v>
      </c>
    </row>
    <row r="193" spans="1:2" x14ac:dyDescent="0.25">
      <c r="A193" t="s">
        <v>373</v>
      </c>
      <c r="B193" s="107">
        <v>-45</v>
      </c>
    </row>
    <row r="194" spans="1:2" x14ac:dyDescent="0.25">
      <c r="A194" t="s">
        <v>374</v>
      </c>
      <c r="B194" s="107">
        <v>-19768.43</v>
      </c>
    </row>
    <row r="195" spans="1:2" x14ac:dyDescent="0.25">
      <c r="A195" t="s">
        <v>377</v>
      </c>
      <c r="B195" s="107" t="s">
        <v>504</v>
      </c>
    </row>
    <row r="196" spans="1:2" x14ac:dyDescent="0.25">
      <c r="A196" t="s">
        <v>380</v>
      </c>
      <c r="B196" s="107" t="s">
        <v>504</v>
      </c>
    </row>
    <row r="197" spans="1:2" x14ac:dyDescent="0.25">
      <c r="A197" t="s">
        <v>383</v>
      </c>
      <c r="B197" s="107">
        <v>0</v>
      </c>
    </row>
    <row r="198" spans="1:2" x14ac:dyDescent="0.25">
      <c r="A198" t="s">
        <v>384</v>
      </c>
      <c r="B198" s="107">
        <v>0</v>
      </c>
    </row>
    <row r="199" spans="1:2" x14ac:dyDescent="0.25">
      <c r="A199" t="s">
        <v>385</v>
      </c>
      <c r="B199" s="107">
        <v>0</v>
      </c>
    </row>
    <row r="200" spans="1:2" x14ac:dyDescent="0.25">
      <c r="A200" t="s">
        <v>386</v>
      </c>
      <c r="B200" s="107">
        <v>0</v>
      </c>
    </row>
    <row r="201" spans="1:2" x14ac:dyDescent="0.25">
      <c r="A201" t="s">
        <v>387</v>
      </c>
      <c r="B201" s="107">
        <v>0</v>
      </c>
    </row>
    <row r="202" spans="1:2" x14ac:dyDescent="0.25">
      <c r="A202" t="s">
        <v>388</v>
      </c>
      <c r="B202" s="107">
        <v>0</v>
      </c>
    </row>
    <row r="203" spans="1:2" x14ac:dyDescent="0.25">
      <c r="A203" t="s">
        <v>389</v>
      </c>
      <c r="B203" s="107">
        <v>0</v>
      </c>
    </row>
    <row r="204" spans="1:2" x14ac:dyDescent="0.25">
      <c r="A204" t="s">
        <v>391</v>
      </c>
      <c r="B204" s="107" t="s">
        <v>504</v>
      </c>
    </row>
    <row r="205" spans="1:2" x14ac:dyDescent="0.25">
      <c r="A205" t="s">
        <v>394</v>
      </c>
      <c r="B205" s="107" t="s">
        <v>504</v>
      </c>
    </row>
    <row r="206" spans="1:2" x14ac:dyDescent="0.25">
      <c r="A206" t="s">
        <v>254</v>
      </c>
      <c r="B206" s="107" t="s">
        <v>504</v>
      </c>
    </row>
    <row r="207" spans="1:2" x14ac:dyDescent="0.25">
      <c r="A207" t="s">
        <v>255</v>
      </c>
      <c r="B207" s="116" t="s">
        <v>504</v>
      </c>
    </row>
    <row r="208" spans="1:2" x14ac:dyDescent="0.25">
      <c r="A208" t="s">
        <v>363</v>
      </c>
      <c r="B208" s="107" t="s">
        <v>504</v>
      </c>
    </row>
    <row r="209" spans="1:2" x14ac:dyDescent="0.25">
      <c r="A209" t="s">
        <v>396</v>
      </c>
      <c r="B209" s="107" t="s">
        <v>504</v>
      </c>
    </row>
    <row r="210" spans="1:2" x14ac:dyDescent="0.25">
      <c r="B210" s="107">
        <f>SUM(B2:B209)</f>
        <v>283433.72000000026</v>
      </c>
    </row>
    <row r="212" spans="1:2" x14ac:dyDescent="0.25">
      <c r="B212" s="107">
        <v>-77706.98</v>
      </c>
    </row>
    <row r="215" spans="1:2" x14ac:dyDescent="0.25">
      <c r="B215" s="107">
        <f>SUM(B210:B212)</f>
        <v>205726.74000000028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2027</vt:lpstr>
      <vt:lpstr>TABLA</vt:lpstr>
      <vt:lpstr>PL Mensual 2027</vt:lpstr>
      <vt:lpstr>Ginger</vt:lpstr>
      <vt:lpstr>Extraitems 2026</vt:lpstr>
      <vt:lpstr>Ext Items 2026</vt:lpstr>
      <vt:lpstr>Ext Items Budget</vt:lpstr>
      <vt:lpstr>Ext Items 2025</vt:lpstr>
      <vt:lpstr>Cuenta 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cp:lastPrinted>2026-05-15T09:09:31Z</cp:lastPrinted>
  <dcterms:created xsi:type="dcterms:W3CDTF">2026-04-16T11:19:49Z</dcterms:created>
  <dcterms:modified xsi:type="dcterms:W3CDTF">2026-10-02T12:47:55Z</dcterms:modified>
</cp:coreProperties>
</file>