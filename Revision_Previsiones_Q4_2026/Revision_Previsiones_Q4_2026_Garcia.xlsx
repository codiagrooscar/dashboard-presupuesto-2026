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García"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143"/>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GARCÍA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F143</f>
        <v/>
      </c>
      <c r="E6" s="11">
        <f>G143</f>
        <v/>
      </c>
      <c r="H6" s="12">
        <f>I143</f>
        <v/>
      </c>
      <c r="J6" s="13">
        <f>O143</f>
        <v/>
      </c>
      <c r="M6" s="14">
        <f>P143</f>
        <v/>
      </c>
      <c r="P6" s="15">
        <f>Q143</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AGROGIMEDEL, S.L.U.</t>
        </is>
      </c>
      <c r="D10" s="26" t="inlineStr">
        <is>
          <t>AGZNP0005</t>
        </is>
      </c>
      <c r="E10" s="25" t="inlineStr">
        <is>
          <t>AGROXILATO ZN PLUS, 5 KG</t>
        </is>
      </c>
      <c r="F10" s="27" t="n">
        <v>0</v>
      </c>
      <c r="G10" s="28" t="n">
        <v>0</v>
      </c>
      <c r="H10" s="29">
        <f>ABS(G10-F10)</f>
        <v/>
      </c>
      <c r="I10" s="30">
        <f>IF(F10&gt;0, G10/F10, IF(G10&gt;0, 1.0, 0.0))</f>
        <v/>
      </c>
      <c r="J10" s="31" t="inlineStr"/>
      <c r="K10" s="27" t="n">
        <v>0</v>
      </c>
      <c r="L10" s="32" t="n">
        <v>0</v>
      </c>
      <c r="M10" s="27" t="n">
        <v>200</v>
      </c>
      <c r="N10" s="32" t="n">
        <v>200</v>
      </c>
      <c r="O10" s="27">
        <f>F10+K10+M10</f>
        <v/>
      </c>
      <c r="P10" s="32">
        <f>F10+L10+N10</f>
        <v/>
      </c>
      <c r="Q10" s="33">
        <f>P10-O10</f>
        <v/>
      </c>
      <c r="R10" s="34" t="inlineStr"/>
    </row>
    <row r="11" ht="19" customHeight="1">
      <c r="B11" s="35" t="inlineStr">
        <is>
          <t>ESPAÑA</t>
        </is>
      </c>
      <c r="C11" s="36" t="inlineStr">
        <is>
          <t>AGRONEW FITO, S.L.</t>
        </is>
      </c>
      <c r="D11" s="37" t="inlineStr">
        <is>
          <t>AGXK0020</t>
        </is>
      </c>
      <c r="E11" s="36" t="inlineStr">
        <is>
          <t>AGROXILATO-K, 20 L</t>
        </is>
      </c>
      <c r="F11" s="27" t="n">
        <v>0</v>
      </c>
      <c r="G11" s="38" t="n">
        <v>0</v>
      </c>
      <c r="H11" s="29">
        <f>ABS(G11-F11)</f>
        <v/>
      </c>
      <c r="I11" s="30">
        <f>IF(F11&gt;0, G11/F11, IF(G11&gt;0, 1.0, 0.0))</f>
        <v/>
      </c>
      <c r="J11" s="31" t="inlineStr"/>
      <c r="K11" s="27" t="n">
        <v>1280</v>
      </c>
      <c r="L11" s="32" t="n">
        <v>1280</v>
      </c>
      <c r="M11" s="27" t="n">
        <v>0</v>
      </c>
      <c r="N11" s="32" t="n">
        <v>0</v>
      </c>
      <c r="O11" s="27">
        <f>F11+K11+M11</f>
        <v/>
      </c>
      <c r="P11" s="32">
        <f>F11+L11+N11</f>
        <v/>
      </c>
      <c r="Q11" s="33">
        <f>P11-O11</f>
        <v/>
      </c>
      <c r="R11" s="34" t="inlineStr"/>
    </row>
    <row r="12" ht="19" customHeight="1">
      <c r="B12" s="24" t="inlineStr">
        <is>
          <t>ESPAÑA</t>
        </is>
      </c>
      <c r="C12" s="25" t="inlineStr">
        <is>
          <t>AGRONEW FITO, S.L.</t>
        </is>
      </c>
      <c r="D12" s="26" t="inlineStr">
        <is>
          <t>AGXK1000</t>
        </is>
      </c>
      <c r="E12" s="25" t="inlineStr">
        <is>
          <t>AGROXILATO-K, 1000 L</t>
        </is>
      </c>
      <c r="F12" s="27" t="n">
        <v>0</v>
      </c>
      <c r="G12" s="28" t="n">
        <v>0</v>
      </c>
      <c r="H12" s="29">
        <f>ABS(G12-F12)</f>
        <v/>
      </c>
      <c r="I12" s="30">
        <f>IF(F12&gt;0, G12/F12, IF(G12&gt;0, 1.0, 0.0))</f>
        <v/>
      </c>
      <c r="J12" s="31" t="inlineStr"/>
      <c r="K12" s="27" t="n">
        <v>2000</v>
      </c>
      <c r="L12" s="32" t="n">
        <v>2000</v>
      </c>
      <c r="M12" s="27" t="n">
        <v>0</v>
      </c>
      <c r="N12" s="32" t="n">
        <v>0</v>
      </c>
      <c r="O12" s="27">
        <f>F12+K12+M12</f>
        <v/>
      </c>
      <c r="P12" s="32">
        <f>F12+L12+N12</f>
        <v/>
      </c>
      <c r="Q12" s="33">
        <f>P12-O12</f>
        <v/>
      </c>
      <c r="R12" s="34" t="inlineStr"/>
    </row>
    <row r="13" ht="19" customHeight="1">
      <c r="B13" s="35" t="inlineStr">
        <is>
          <t>ESPAÑA</t>
        </is>
      </c>
      <c r="C13" s="36" t="inlineStr">
        <is>
          <t>AGRONEW FITO, S.L.</t>
        </is>
      </c>
      <c r="D13" s="37" t="inlineStr">
        <is>
          <t>AGZ-M0005</t>
        </is>
      </c>
      <c r="E13" s="36" t="inlineStr">
        <is>
          <t>AGROXILATO-ZN-MN, 5 KG</t>
        </is>
      </c>
      <c r="F13" s="27" t="n">
        <v>0</v>
      </c>
      <c r="G13" s="38" t="n">
        <v>0</v>
      </c>
      <c r="H13" s="29">
        <f>ABS(G13-F13)</f>
        <v/>
      </c>
      <c r="I13" s="30">
        <f>IF(F13&gt;0, G13/F13, IF(G13&gt;0, 1.0, 0.0))</f>
        <v/>
      </c>
      <c r="J13" s="31" t="inlineStr"/>
      <c r="K13" s="27" t="n">
        <v>0</v>
      </c>
      <c r="L13" s="32" t="n">
        <v>0</v>
      </c>
      <c r="M13" s="27" t="n">
        <v>0</v>
      </c>
      <c r="N13" s="32" t="n">
        <v>0</v>
      </c>
      <c r="O13" s="27">
        <f>F13+K13+M13</f>
        <v/>
      </c>
      <c r="P13" s="32">
        <f>F13+L13+N13</f>
        <v/>
      </c>
      <c r="Q13" s="33">
        <f>P13-O13</f>
        <v/>
      </c>
      <c r="R13" s="34" t="inlineStr"/>
    </row>
    <row r="14" ht="19" customHeight="1">
      <c r="B14" s="24" t="inlineStr">
        <is>
          <t>ESPAÑA</t>
        </is>
      </c>
      <c r="C14" s="25" t="inlineStr">
        <is>
          <t>AGRONEW FITO, S.L.</t>
        </is>
      </c>
      <c r="D14" s="26" t="inlineStr">
        <is>
          <t>AGZNP0005</t>
        </is>
      </c>
      <c r="E14" s="25" t="inlineStr">
        <is>
          <t>AGROXILATO-ZN PLUS, 5 KG</t>
        </is>
      </c>
      <c r="F14" s="27" t="n">
        <v>0</v>
      </c>
      <c r="G14" s="28" t="n">
        <v>0</v>
      </c>
      <c r="H14" s="29">
        <f>ABS(G14-F14)</f>
        <v/>
      </c>
      <c r="I14" s="30">
        <f>IF(F14&gt;0, G14/F14, IF(G14&gt;0, 1.0, 0.0))</f>
        <v/>
      </c>
      <c r="J14" s="31" t="inlineStr"/>
      <c r="K14" s="27" t="n">
        <v>0</v>
      </c>
      <c r="L14" s="32" t="n">
        <v>0</v>
      </c>
      <c r="M14" s="27" t="n">
        <v>0</v>
      </c>
      <c r="N14" s="32" t="n">
        <v>0</v>
      </c>
      <c r="O14" s="27">
        <f>F14+K14+M14</f>
        <v/>
      </c>
      <c r="P14" s="32">
        <f>F14+L14+N14</f>
        <v/>
      </c>
      <c r="Q14" s="33">
        <f>P14-O14</f>
        <v/>
      </c>
      <c r="R14" s="34" t="inlineStr"/>
    </row>
    <row r="15" ht="19" customHeight="1">
      <c r="B15" s="35" t="inlineStr">
        <is>
          <t>ESPAÑA</t>
        </is>
      </c>
      <c r="C15" s="36" t="inlineStr">
        <is>
          <t>AGRONEW FITO, S.L.</t>
        </is>
      </c>
      <c r="D15" s="37" t="inlineStr">
        <is>
          <t>AN0020</t>
        </is>
      </c>
      <c r="E15" s="36" t="inlineStr">
        <is>
          <t>ALCAPLANT NEW, 20 KG</t>
        </is>
      </c>
      <c r="F15" s="27" t="n">
        <v>0</v>
      </c>
      <c r="G15" s="38" t="n">
        <v>0</v>
      </c>
      <c r="H15" s="29">
        <f>ABS(G15-F15)</f>
        <v/>
      </c>
      <c r="I15" s="30">
        <f>IF(F15&gt;0, G15/F15, IF(G15&gt;0, 1.0, 0.0))</f>
        <v/>
      </c>
      <c r="J15" s="31" t="inlineStr"/>
      <c r="K15" s="27" t="n">
        <v>600</v>
      </c>
      <c r="L15" s="32" t="n">
        <v>600</v>
      </c>
      <c r="M15" s="27" t="n">
        <v>0</v>
      </c>
      <c r="N15" s="32" t="n">
        <v>0</v>
      </c>
      <c r="O15" s="27">
        <f>F15+K15+M15</f>
        <v/>
      </c>
      <c r="P15" s="32">
        <f>F15+L15+N15</f>
        <v/>
      </c>
      <c r="Q15" s="33">
        <f>P15-O15</f>
        <v/>
      </c>
      <c r="R15" s="34" t="inlineStr"/>
    </row>
    <row r="16" ht="19" customHeight="1">
      <c r="B16" s="24" t="inlineStr">
        <is>
          <t>ESPAÑA</t>
        </is>
      </c>
      <c r="C16" s="25" t="inlineStr">
        <is>
          <t>AGRONEW FITO, S.L.</t>
        </is>
      </c>
      <c r="D16" s="26" t="inlineStr">
        <is>
          <t>ANAE0020</t>
        </is>
      </c>
      <c r="E16" s="25" t="inlineStr">
        <is>
          <t>ALCAPLANT NEW AE, 20 KG</t>
        </is>
      </c>
      <c r="F16" s="27" t="n">
        <v>1100</v>
      </c>
      <c r="G16" s="28" t="n">
        <v>1100</v>
      </c>
      <c r="H16" s="29">
        <f>ABS(G16-F16)</f>
        <v/>
      </c>
      <c r="I16" s="30">
        <f>IF(F16&gt;0, G16/F16, IF(G16&gt;0, 1.0, 0.0))</f>
        <v/>
      </c>
      <c r="J16" s="31" t="inlineStr">
        <is>
          <t>Cierre según previsto</t>
        </is>
      </c>
      <c r="K16" s="27" t="n">
        <v>0</v>
      </c>
      <c r="L16" s="32" t="n">
        <v>0</v>
      </c>
      <c r="M16" s="27" t="n">
        <v>0</v>
      </c>
      <c r="N16" s="32" t="n">
        <v>0</v>
      </c>
      <c r="O16" s="27">
        <f>F16+K16+M16</f>
        <v/>
      </c>
      <c r="P16" s="32">
        <f>F16+L16+N16</f>
        <v/>
      </c>
      <c r="Q16" s="33">
        <f>P16-O16</f>
        <v/>
      </c>
      <c r="R16" s="34" t="inlineStr"/>
    </row>
    <row r="17" ht="19" customHeight="1">
      <c r="B17" s="35" t="inlineStr">
        <is>
          <t>ESPAÑA</t>
        </is>
      </c>
      <c r="C17" s="36" t="inlineStr">
        <is>
          <t>AGRONEW FITO, S.L.</t>
        </is>
      </c>
      <c r="D17" s="37" t="inlineStr">
        <is>
          <t>PT0020</t>
        </is>
      </c>
      <c r="E17" s="36" t="inlineStr">
        <is>
          <t>AGROPOTASION, 20 L</t>
        </is>
      </c>
      <c r="F17" s="27" t="n">
        <v>0</v>
      </c>
      <c r="G17" s="38" t="n">
        <v>0</v>
      </c>
      <c r="H17" s="29">
        <f>ABS(G17-F17)</f>
        <v/>
      </c>
      <c r="I17" s="30">
        <f>IF(F17&gt;0, G17/F17, IF(G17&gt;0, 1.0, 0.0))</f>
        <v/>
      </c>
      <c r="J17" s="31" t="inlineStr"/>
      <c r="K17" s="27" t="n">
        <v>1280</v>
      </c>
      <c r="L17" s="32" t="n">
        <v>1280</v>
      </c>
      <c r="M17" s="27" t="n">
        <v>0</v>
      </c>
      <c r="N17" s="32" t="n">
        <v>0</v>
      </c>
      <c r="O17" s="27">
        <f>F17+K17+M17</f>
        <v/>
      </c>
      <c r="P17" s="32">
        <f>F17+L17+N17</f>
        <v/>
      </c>
      <c r="Q17" s="33">
        <f>P17-O17</f>
        <v/>
      </c>
      <c r="R17" s="34" t="inlineStr"/>
    </row>
    <row r="18" ht="19" customHeight="1">
      <c r="B18" s="24" t="inlineStr">
        <is>
          <t>ESPAÑA</t>
        </is>
      </c>
      <c r="C18" s="25" t="inlineStr">
        <is>
          <t>AGRONEW FITO, S.L.</t>
        </is>
      </c>
      <c r="D18" s="26" t="inlineStr">
        <is>
          <t>S1000</t>
        </is>
      </c>
      <c r="E18" s="25" t="inlineStr">
        <is>
          <t>SAL-WAX STAR, 1000 L</t>
        </is>
      </c>
      <c r="F18" s="27" t="n">
        <v>5000</v>
      </c>
      <c r="G18" s="28" t="n">
        <v>0</v>
      </c>
      <c r="H18" s="29">
        <f>ABS(G18-F18)</f>
        <v/>
      </c>
      <c r="I18" s="30">
        <f>IF(F18&gt;0, G18/F18, IF(G18&gt;0, 1.0, 0.0))</f>
        <v/>
      </c>
      <c r="J18" s="31" t="inlineStr"/>
      <c r="K18" s="27" t="n">
        <v>5000</v>
      </c>
      <c r="L18" s="32" t="n">
        <v>5000</v>
      </c>
      <c r="M18" s="27" t="n">
        <v>0</v>
      </c>
      <c r="N18" s="32" t="n">
        <v>0</v>
      </c>
      <c r="O18" s="27">
        <f>F18+K18+M18</f>
        <v/>
      </c>
      <c r="P18" s="32">
        <f>F18+L18+N18</f>
        <v/>
      </c>
      <c r="Q18" s="33">
        <f>P18-O18</f>
        <v/>
      </c>
      <c r="R18" s="34" t="inlineStr"/>
    </row>
    <row r="19" ht="19" customHeight="1">
      <c r="B19" s="35" t="inlineStr">
        <is>
          <t>ESPAÑA</t>
        </is>
      </c>
      <c r="C19" s="36" t="inlineStr">
        <is>
          <t>AGROREBOLLO, S.L.</t>
        </is>
      </c>
      <c r="D19" s="37" t="inlineStr">
        <is>
          <t>AGZNP0005</t>
        </is>
      </c>
      <c r="E19" s="36" t="inlineStr">
        <is>
          <t>AGROXILATO ZN PLUS, 5 KG</t>
        </is>
      </c>
      <c r="F19" s="27" t="n">
        <v>0</v>
      </c>
      <c r="G19" s="38" t="n">
        <v>0</v>
      </c>
      <c r="H19" s="29">
        <f>ABS(G19-F19)</f>
        <v/>
      </c>
      <c r="I19" s="30">
        <f>IF(F19&gt;0, G19/F19, IF(G19&gt;0, 1.0, 0.0))</f>
        <v/>
      </c>
      <c r="J19" s="31" t="inlineStr"/>
      <c r="K19" s="27" t="n">
        <v>0</v>
      </c>
      <c r="L19" s="32" t="n">
        <v>0</v>
      </c>
      <c r="M19" s="27" t="n">
        <v>750</v>
      </c>
      <c r="N19" s="32" t="n">
        <v>750</v>
      </c>
      <c r="O19" s="27">
        <f>F19+K19+M19</f>
        <v/>
      </c>
      <c r="P19" s="32">
        <f>F19+L19+N19</f>
        <v/>
      </c>
      <c r="Q19" s="33">
        <f>P19-O19</f>
        <v/>
      </c>
      <c r="R19" s="34" t="inlineStr"/>
    </row>
    <row r="20" ht="19" customHeight="1">
      <c r="B20" s="24" t="inlineStr">
        <is>
          <t>ESPAÑA</t>
        </is>
      </c>
      <c r="C20" s="25" t="inlineStr">
        <is>
          <t>AGROSER BERNARDINO, S.L.</t>
        </is>
      </c>
      <c r="D20" s="26" t="inlineStr">
        <is>
          <t>AN0020</t>
        </is>
      </c>
      <c r="E20" s="25" t="inlineStr">
        <is>
          <t>ALCAPLANT NEW, 20 KG</t>
        </is>
      </c>
      <c r="F20" s="27" t="n">
        <v>2200</v>
      </c>
      <c r="G20" s="28" t="n">
        <v>0</v>
      </c>
      <c r="H20" s="29">
        <f>ABS(G20-F20)</f>
        <v/>
      </c>
      <c r="I20" s="30">
        <f>IF(F20&gt;0, G20/F20, IF(G20&gt;0, 1.0, 0.0))</f>
        <v/>
      </c>
      <c r="J20" s="31" t="inlineStr"/>
      <c r="K20" s="27" t="n">
        <v>3300</v>
      </c>
      <c r="L20" s="32" t="n">
        <v>3300</v>
      </c>
      <c r="M20" s="27" t="n">
        <v>1100</v>
      </c>
      <c r="N20" s="32" t="n">
        <v>1100</v>
      </c>
      <c r="O20" s="27">
        <f>F20+K20+M20</f>
        <v/>
      </c>
      <c r="P20" s="32">
        <f>F20+L20+N20</f>
        <v/>
      </c>
      <c r="Q20" s="33">
        <f>P20-O20</f>
        <v/>
      </c>
      <c r="R20" s="34" t="inlineStr"/>
    </row>
    <row r="21" ht="19" customHeight="1">
      <c r="B21" s="35" t="inlineStr">
        <is>
          <t>ESPAÑA</t>
        </is>
      </c>
      <c r="C21" s="36" t="inlineStr">
        <is>
          <t>AGROSER BERNARDINO, S.L.</t>
        </is>
      </c>
      <c r="D21" s="37" t="inlineStr">
        <is>
          <t>BIO0020</t>
        </is>
      </c>
      <c r="E21" s="36" t="inlineStr">
        <is>
          <t>BIORAD-20, 20 L</t>
        </is>
      </c>
      <c r="F21" s="27" t="n">
        <v>1280</v>
      </c>
      <c r="G21" s="38" t="n">
        <v>0</v>
      </c>
      <c r="H21" s="29">
        <f>ABS(G21-F21)</f>
        <v/>
      </c>
      <c r="I21" s="30">
        <f>IF(F21&gt;0, G21/F21, IF(G21&gt;0, 1.0, 0.0))</f>
        <v/>
      </c>
      <c r="J21" s="31" t="inlineStr"/>
      <c r="K21" s="27" t="n">
        <v>640</v>
      </c>
      <c r="L21" s="32" t="n">
        <v>640</v>
      </c>
      <c r="M21" s="27" t="n">
        <v>640</v>
      </c>
      <c r="N21" s="32" t="n">
        <v>640</v>
      </c>
      <c r="O21" s="27">
        <f>F21+K21+M21</f>
        <v/>
      </c>
      <c r="P21" s="32">
        <f>F21+L21+N21</f>
        <v/>
      </c>
      <c r="Q21" s="33">
        <f>P21-O21</f>
        <v/>
      </c>
      <c r="R21" s="34" t="inlineStr"/>
    </row>
    <row r="22" ht="19" customHeight="1">
      <c r="B22" s="24" t="inlineStr">
        <is>
          <t>ESPAÑA</t>
        </is>
      </c>
      <c r="C22" s="25" t="inlineStr">
        <is>
          <t>AGROSER BERNARDINO, S.L.</t>
        </is>
      </c>
      <c r="D22" s="26" t="inlineStr">
        <is>
          <t>BIO1000</t>
        </is>
      </c>
      <c r="E22" s="25" t="inlineStr">
        <is>
          <t>BIORAD-20, 1000 L</t>
        </is>
      </c>
      <c r="F22" s="27" t="n">
        <v>2000</v>
      </c>
      <c r="G22" s="28" t="n">
        <v>0</v>
      </c>
      <c r="H22" s="29">
        <f>ABS(G22-F22)</f>
        <v/>
      </c>
      <c r="I22" s="30">
        <f>IF(F22&gt;0, G22/F22, IF(G22&gt;0, 1.0, 0.0))</f>
        <v/>
      </c>
      <c r="J22" s="31" t="inlineStr"/>
      <c r="K22" s="27" t="n">
        <v>2000</v>
      </c>
      <c r="L22" s="32" t="n">
        <v>2000</v>
      </c>
      <c r="M22" s="27" t="n">
        <v>0</v>
      </c>
      <c r="N22" s="32" t="n">
        <v>0</v>
      </c>
      <c r="O22" s="27">
        <f>F22+K22+M22</f>
        <v/>
      </c>
      <c r="P22" s="32">
        <f>F22+L22+N22</f>
        <v/>
      </c>
      <c r="Q22" s="33">
        <f>P22-O22</f>
        <v/>
      </c>
      <c r="R22" s="34" t="inlineStr"/>
    </row>
    <row r="23" ht="19" customHeight="1">
      <c r="B23" s="35" t="inlineStr">
        <is>
          <t>ESPAÑA</t>
        </is>
      </c>
      <c r="C23" s="36" t="inlineStr">
        <is>
          <t>AGROSER BERNARDINO, S.L.</t>
        </is>
      </c>
      <c r="D23" s="37" t="inlineStr">
        <is>
          <t>C-CU0005</t>
        </is>
      </c>
      <c r="E23" s="36" t="inlineStr">
        <is>
          <t>CODICOBRE, 5 L</t>
        </is>
      </c>
      <c r="F23" s="27" t="n">
        <v>600</v>
      </c>
      <c r="G23" s="38" t="n">
        <v>0</v>
      </c>
      <c r="H23" s="29">
        <f>ABS(G23-F23)</f>
        <v/>
      </c>
      <c r="I23" s="30">
        <f>IF(F23&gt;0, G23/F23, IF(G23&gt;0, 1.0, 0.0))</f>
        <v/>
      </c>
      <c r="J23" s="31" t="inlineStr"/>
      <c r="K23" s="27" t="n">
        <v>0</v>
      </c>
      <c r="L23" s="32" t="n">
        <v>0</v>
      </c>
      <c r="M23" s="27" t="n">
        <v>0</v>
      </c>
      <c r="N23" s="32" t="n">
        <v>0</v>
      </c>
      <c r="O23" s="27">
        <f>F23+K23+M23</f>
        <v/>
      </c>
      <c r="P23" s="32">
        <f>F23+L23+N23</f>
        <v/>
      </c>
      <c r="Q23" s="33">
        <f>P23-O23</f>
        <v/>
      </c>
      <c r="R23" s="34" t="inlineStr"/>
    </row>
    <row r="24" ht="19" customHeight="1">
      <c r="B24" s="24" t="inlineStr">
        <is>
          <t>ESPAÑA</t>
        </is>
      </c>
      <c r="C24" s="25" t="inlineStr">
        <is>
          <t>AGROSER BERNARDINO, S.L.</t>
        </is>
      </c>
      <c r="D24" s="26" t="inlineStr">
        <is>
          <t>FROST-P0020</t>
        </is>
      </c>
      <c r="E24" s="25" t="inlineStr">
        <is>
          <t>CODIFROST PLUS, 20 L</t>
        </is>
      </c>
      <c r="F24" s="27" t="n">
        <v>0</v>
      </c>
      <c r="G24" s="28" t="n">
        <v>0</v>
      </c>
      <c r="H24" s="29">
        <f>ABS(G24-F24)</f>
        <v/>
      </c>
      <c r="I24" s="30">
        <f>IF(F24&gt;0, G24/F24, IF(G24&gt;0, 1.0, 0.0))</f>
        <v/>
      </c>
      <c r="J24" s="31" t="inlineStr"/>
      <c r="K24" s="27" t="n">
        <v>200</v>
      </c>
      <c r="L24" s="32" t="n">
        <v>200</v>
      </c>
      <c r="M24" s="27" t="n">
        <v>200</v>
      </c>
      <c r="N24" s="32" t="n">
        <v>200</v>
      </c>
      <c r="O24" s="27">
        <f>F24+K24+M24</f>
        <v/>
      </c>
      <c r="P24" s="32">
        <f>F24+L24+N24</f>
        <v/>
      </c>
      <c r="Q24" s="33">
        <f>P24-O24</f>
        <v/>
      </c>
      <c r="R24" s="34" t="inlineStr"/>
    </row>
    <row r="25" ht="19" customHeight="1">
      <c r="B25" s="35" t="inlineStr">
        <is>
          <t>ESPAÑA</t>
        </is>
      </c>
      <c r="C25" s="36" t="inlineStr">
        <is>
          <t>AGROSER BERNARDINO, S.L.</t>
        </is>
      </c>
      <c r="D25" s="37" t="inlineStr">
        <is>
          <t>PT0020</t>
        </is>
      </c>
      <c r="E25" s="36" t="inlineStr">
        <is>
          <t>AGROPOTASION, 20 L</t>
        </is>
      </c>
      <c r="F25" s="27" t="n">
        <v>640</v>
      </c>
      <c r="G25" s="38" t="n">
        <v>0</v>
      </c>
      <c r="H25" s="29">
        <f>ABS(G25-F25)</f>
        <v/>
      </c>
      <c r="I25" s="30">
        <f>IF(F25&gt;0, G25/F25, IF(G25&gt;0, 1.0, 0.0))</f>
        <v/>
      </c>
      <c r="J25" s="31" t="inlineStr"/>
      <c r="K25" s="27" t="n">
        <v>640</v>
      </c>
      <c r="L25" s="32" t="n">
        <v>640</v>
      </c>
      <c r="M25" s="27" t="n">
        <v>0</v>
      </c>
      <c r="N25" s="32" t="n">
        <v>0</v>
      </c>
      <c r="O25" s="27">
        <f>F25+K25+M25</f>
        <v/>
      </c>
      <c r="P25" s="32">
        <f>F25+L25+N25</f>
        <v/>
      </c>
      <c r="Q25" s="33">
        <f>P25-O25</f>
        <v/>
      </c>
      <c r="R25" s="34" t="inlineStr"/>
    </row>
    <row r="26" ht="19" customHeight="1">
      <c r="B26" s="24" t="inlineStr">
        <is>
          <t>ESPAÑA</t>
        </is>
      </c>
      <c r="C26" s="25" t="inlineStr">
        <is>
          <t>AGROTRAPICHE, S.L.U</t>
        </is>
      </c>
      <c r="D26" s="26" t="inlineStr">
        <is>
          <t>A-50(2)0020</t>
        </is>
      </c>
      <c r="E26" s="25" t="inlineStr">
        <is>
          <t>CODIORGAN-A50, 20 KG</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AGROTRAPICHE, S.L.U</t>
        </is>
      </c>
      <c r="D27" s="37" t="inlineStr">
        <is>
          <t>AGZNP0005</t>
        </is>
      </c>
      <c r="E27" s="36" t="inlineStr">
        <is>
          <t>AGROXILATO-ZN PLUS, 5 KG</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AGROTRAPICHE, S.L.U</t>
        </is>
      </c>
      <c r="D28" s="26" t="inlineStr">
        <is>
          <t>AVAN0005</t>
        </is>
      </c>
      <c r="E28" s="25" t="inlineStr">
        <is>
          <t>FLORAMEC AVANCE, 5 L</t>
        </is>
      </c>
      <c r="F28" s="27" t="n">
        <v>100</v>
      </c>
      <c r="G28" s="28" t="n">
        <v>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ESPAÑA</t>
        </is>
      </c>
      <c r="C29" s="36" t="inlineStr">
        <is>
          <t>AGROTRAPICHE, S.L.U</t>
        </is>
      </c>
      <c r="D29" s="37" t="inlineStr">
        <is>
          <t>C-CU0020</t>
        </is>
      </c>
      <c r="E29" s="36" t="inlineStr">
        <is>
          <t>CODICOBRE, 20 L</t>
        </is>
      </c>
      <c r="F29" s="27" t="n">
        <v>0</v>
      </c>
      <c r="G29" s="38" t="n">
        <v>0</v>
      </c>
      <c r="H29" s="29">
        <f>ABS(G29-F29)</f>
        <v/>
      </c>
      <c r="I29" s="30">
        <f>IF(F29&gt;0, G29/F29, IF(G29&gt;0, 1.0, 0.0))</f>
        <v/>
      </c>
      <c r="J29" s="31" t="inlineStr"/>
      <c r="K29" s="27" t="n">
        <v>200</v>
      </c>
      <c r="L29" s="32" t="n">
        <v>200</v>
      </c>
      <c r="M29" s="27" t="n">
        <v>0</v>
      </c>
      <c r="N29" s="32" t="n">
        <v>0</v>
      </c>
      <c r="O29" s="27">
        <f>F29+K29+M29</f>
        <v/>
      </c>
      <c r="P29" s="32">
        <f>F29+L29+N29</f>
        <v/>
      </c>
      <c r="Q29" s="33">
        <f>P29-O29</f>
        <v/>
      </c>
      <c r="R29" s="34" t="inlineStr"/>
    </row>
    <row r="30" ht="19" customHeight="1">
      <c r="B30" s="24" t="inlineStr">
        <is>
          <t>ESPAÑA</t>
        </is>
      </c>
      <c r="C30" s="25" t="inlineStr">
        <is>
          <t>AGRUPACION DE LABRADORES DEL POZUELO, SA</t>
        </is>
      </c>
      <c r="D30" s="26" t="inlineStr">
        <is>
          <t>AGXK0020</t>
        </is>
      </c>
      <c r="E30" s="25" t="inlineStr">
        <is>
          <t>AGROXILATO-K, 20 L</t>
        </is>
      </c>
      <c r="F30" s="27" t="n">
        <v>100</v>
      </c>
      <c r="G30" s="28" t="n">
        <v>0</v>
      </c>
      <c r="H30" s="29">
        <f>ABS(G30-F30)</f>
        <v/>
      </c>
      <c r="I30" s="30">
        <f>IF(F30&gt;0, G30/F30, IF(G30&gt;0, 1.0, 0.0))</f>
        <v/>
      </c>
      <c r="J30" s="31" t="inlineStr"/>
      <c r="K30" s="27" t="n">
        <v>0</v>
      </c>
      <c r="L30" s="32" t="n">
        <v>0</v>
      </c>
      <c r="M30" s="27" t="n">
        <v>100</v>
      </c>
      <c r="N30" s="32" t="n">
        <v>100</v>
      </c>
      <c r="O30" s="27">
        <f>F30+K30+M30</f>
        <v/>
      </c>
      <c r="P30" s="32">
        <f>F30+L30+N30</f>
        <v/>
      </c>
      <c r="Q30" s="33">
        <f>P30-O30</f>
        <v/>
      </c>
      <c r="R30" s="34" t="inlineStr"/>
    </row>
    <row r="31" ht="19" customHeight="1">
      <c r="B31" s="35" t="inlineStr">
        <is>
          <t>ESPAÑA</t>
        </is>
      </c>
      <c r="C31" s="36" t="inlineStr">
        <is>
          <t>AGRUPACION DE LABRADORES DEL POZUELO, SA</t>
        </is>
      </c>
      <c r="D31" s="37" t="inlineStr">
        <is>
          <t>AVAN0005</t>
        </is>
      </c>
      <c r="E31" s="36" t="inlineStr">
        <is>
          <t>FLORAMEC AVANCE, 5 L</t>
        </is>
      </c>
      <c r="F31" s="27" t="n">
        <v>300</v>
      </c>
      <c r="G31" s="38" t="n">
        <v>0</v>
      </c>
      <c r="H31" s="29">
        <f>ABS(G31-F31)</f>
        <v/>
      </c>
      <c r="I31" s="30">
        <f>IF(F31&gt;0, G31/F31, IF(G31&gt;0, 1.0, 0.0))</f>
        <v/>
      </c>
      <c r="J31" s="31" t="inlineStr"/>
      <c r="K31" s="27" t="n">
        <v>0</v>
      </c>
      <c r="L31" s="32" t="n">
        <v>0</v>
      </c>
      <c r="M31" s="27" t="n">
        <v>300</v>
      </c>
      <c r="N31" s="32" t="n">
        <v>300</v>
      </c>
      <c r="O31" s="27">
        <f>F31+K31+M31</f>
        <v/>
      </c>
      <c r="P31" s="32">
        <f>F31+L31+N31</f>
        <v/>
      </c>
      <c r="Q31" s="33">
        <f>P31-O31</f>
        <v/>
      </c>
      <c r="R31" s="34" t="inlineStr"/>
    </row>
    <row r="32" ht="19" customHeight="1">
      <c r="B32" s="24" t="inlineStr">
        <is>
          <t>ESPAÑA</t>
        </is>
      </c>
      <c r="C32" s="25" t="inlineStr">
        <is>
          <t>AGRUPACION DE LABRADORES DEL POZUELO, SA</t>
        </is>
      </c>
      <c r="D32" s="26" t="inlineStr">
        <is>
          <t>AVAN0020</t>
        </is>
      </c>
      <c r="E32" s="25" t="inlineStr">
        <is>
          <t>FLORAMEC AVANCE, 20 L</t>
        </is>
      </c>
      <c r="F32" s="27" t="n">
        <v>200</v>
      </c>
      <c r="G32" s="28" t="n">
        <v>0</v>
      </c>
      <c r="H32" s="29">
        <f>ABS(G32-F32)</f>
        <v/>
      </c>
      <c r="I32" s="30">
        <f>IF(F32&gt;0, G32/F32, IF(G32&gt;0, 1.0, 0.0))</f>
        <v/>
      </c>
      <c r="J32" s="31" t="inlineStr"/>
      <c r="K32" s="27" t="n">
        <v>0</v>
      </c>
      <c r="L32" s="32" t="n">
        <v>0</v>
      </c>
      <c r="M32" s="27" t="n">
        <v>200</v>
      </c>
      <c r="N32" s="32" t="n">
        <v>200</v>
      </c>
      <c r="O32" s="27">
        <f>F32+K32+M32</f>
        <v/>
      </c>
      <c r="P32" s="32">
        <f>F32+L32+N32</f>
        <v/>
      </c>
      <c r="Q32" s="33">
        <f>P32-O32</f>
        <v/>
      </c>
      <c r="R32" s="34" t="inlineStr"/>
    </row>
    <row r="33" ht="19" customHeight="1">
      <c r="B33" s="35" t="inlineStr">
        <is>
          <t>ESPAÑA</t>
        </is>
      </c>
      <c r="C33" s="36" t="inlineStr">
        <is>
          <t>AGRUPACION DE LABRADORES DEL POZUELO, SA</t>
        </is>
      </c>
      <c r="D33" s="37" t="inlineStr">
        <is>
          <t>C-CU0005</t>
        </is>
      </c>
      <c r="E33" s="36" t="inlineStr">
        <is>
          <t>CODICOBRE, 5 L</t>
        </is>
      </c>
      <c r="F33" s="27" t="n">
        <v>0</v>
      </c>
      <c r="G33" s="38" t="n">
        <v>0</v>
      </c>
      <c r="H33" s="29">
        <f>ABS(G33-F33)</f>
        <v/>
      </c>
      <c r="I33" s="30">
        <f>IF(F33&gt;0, G33/F33, IF(G33&gt;0, 1.0, 0.0))</f>
        <v/>
      </c>
      <c r="J33" s="31" t="inlineStr"/>
      <c r="K33" s="27" t="n">
        <v>0</v>
      </c>
      <c r="L33" s="32" t="n">
        <v>0</v>
      </c>
      <c r="M33" s="27" t="n">
        <v>200</v>
      </c>
      <c r="N33" s="32" t="n">
        <v>200</v>
      </c>
      <c r="O33" s="27">
        <f>F33+K33+M33</f>
        <v/>
      </c>
      <c r="P33" s="32">
        <f>F33+L33+N33</f>
        <v/>
      </c>
      <c r="Q33" s="33">
        <f>P33-O33</f>
        <v/>
      </c>
      <c r="R33" s="34" t="inlineStr"/>
    </row>
    <row r="34" ht="19" customHeight="1">
      <c r="B34" s="24" t="inlineStr">
        <is>
          <t>LÍBANO</t>
        </is>
      </c>
      <c r="C34" s="25" t="inlineStr">
        <is>
          <t>BELAGRI FOR AGRICULTURE-GEORGES BOU MON</t>
        </is>
      </c>
      <c r="D34" s="26" t="inlineStr">
        <is>
          <t>AGMG0005</t>
        </is>
      </c>
      <c r="E34" s="25" t="inlineStr">
        <is>
          <t>AGROXILATO-MG, 5 KG (EXPORT)</t>
        </is>
      </c>
      <c r="F34" s="27" t="n">
        <v>0</v>
      </c>
      <c r="G34" s="28" t="n">
        <v>0</v>
      </c>
      <c r="H34" s="29">
        <f>ABS(G34-F34)</f>
        <v/>
      </c>
      <c r="I34" s="30">
        <f>IF(F34&gt;0, G34/F34, IF(G34&gt;0, 1.0, 0.0))</f>
        <v/>
      </c>
      <c r="J34" s="31" t="inlineStr"/>
      <c r="K34" s="27" t="n">
        <v>0</v>
      </c>
      <c r="L34" s="32" t="n">
        <v>0</v>
      </c>
      <c r="M34" s="27" t="n">
        <v>5000</v>
      </c>
      <c r="N34" s="32" t="n">
        <v>5000</v>
      </c>
      <c r="O34" s="27">
        <f>F34+K34+M34</f>
        <v/>
      </c>
      <c r="P34" s="32">
        <f>F34+L34+N34</f>
        <v/>
      </c>
      <c r="Q34" s="33">
        <f>P34-O34</f>
        <v/>
      </c>
      <c r="R34" s="34" t="inlineStr"/>
    </row>
    <row r="35" ht="19" customHeight="1">
      <c r="B35" s="35" t="inlineStr">
        <is>
          <t>LÍBANO</t>
        </is>
      </c>
      <c r="C35" s="36" t="inlineStr">
        <is>
          <t>BELAGRI FOR AGRICULTURE-GEORGES BOU MON</t>
        </is>
      </c>
      <c r="D35" s="37" t="inlineStr">
        <is>
          <t>AGXCR0020</t>
        </is>
      </c>
      <c r="E35" s="36" t="inlineStr">
        <is>
          <t>AGROXILATO-K, (0-5-20), 20 LtS.</t>
        </is>
      </c>
      <c r="F35" s="27" t="n">
        <v>0</v>
      </c>
      <c r="G35" s="38" t="n">
        <v>0</v>
      </c>
      <c r="H35" s="29">
        <f>ABS(G35-F35)</f>
        <v/>
      </c>
      <c r="I35" s="30">
        <f>IF(F35&gt;0, G35/F35, IF(G35&gt;0, 1.0, 0.0))</f>
        <v/>
      </c>
      <c r="J35" s="31" t="inlineStr"/>
      <c r="K35" s="27" t="n">
        <v>0</v>
      </c>
      <c r="L35" s="32" t="n">
        <v>0</v>
      </c>
      <c r="M35" s="27" t="n">
        <v>5000</v>
      </c>
      <c r="N35" s="32" t="n">
        <v>5000</v>
      </c>
      <c r="O35" s="27">
        <f>F35+K35+M35</f>
        <v/>
      </c>
      <c r="P35" s="32">
        <f>F35+L35+N35</f>
        <v/>
      </c>
      <c r="Q35" s="33">
        <f>P35-O35</f>
        <v/>
      </c>
      <c r="R35" s="34" t="inlineStr"/>
    </row>
    <row r="36" ht="19" customHeight="1">
      <c r="B36" s="24" t="inlineStr">
        <is>
          <t>LÍBANO</t>
        </is>
      </c>
      <c r="C36" s="25" t="inlineStr">
        <is>
          <t>BELAGRI FOR AGRICULTURE-GEORGES BOU MON</t>
        </is>
      </c>
      <c r="D36" s="26" t="inlineStr">
        <is>
          <t>AN0020</t>
        </is>
      </c>
      <c r="E36" s="25" t="inlineStr">
        <is>
          <t>ALCAPLANT NEW, 20 KG</t>
        </is>
      </c>
      <c r="F36" s="27" t="n">
        <v>0</v>
      </c>
      <c r="G36" s="28" t="n">
        <v>0</v>
      </c>
      <c r="H36" s="29">
        <f>ABS(G36-F36)</f>
        <v/>
      </c>
      <c r="I36" s="30">
        <f>IF(F36&gt;0, G36/F36, IF(G36&gt;0, 1.0, 0.0))</f>
        <v/>
      </c>
      <c r="J36" s="31" t="inlineStr"/>
      <c r="K36" s="27" t="n">
        <v>0</v>
      </c>
      <c r="L36" s="32" t="n">
        <v>0</v>
      </c>
      <c r="M36" s="27" t="n">
        <v>7700</v>
      </c>
      <c r="N36" s="32" t="n">
        <v>7700</v>
      </c>
      <c r="O36" s="27">
        <f>F36+K36+M36</f>
        <v/>
      </c>
      <c r="P36" s="32">
        <f>F36+L36+N36</f>
        <v/>
      </c>
      <c r="Q36" s="33">
        <f>P36-O36</f>
        <v/>
      </c>
      <c r="R36" s="34" t="inlineStr"/>
    </row>
    <row r="37" ht="19" customHeight="1">
      <c r="B37" s="35" t="inlineStr">
        <is>
          <t>LÍBANO</t>
        </is>
      </c>
      <c r="C37" s="36" t="inlineStr">
        <is>
          <t>BELAGRI FOR AGRICULTURE-GEORGES BOU MON</t>
        </is>
      </c>
      <c r="D37" s="37" t="inlineStr">
        <is>
          <t>BC0005</t>
        </is>
      </c>
      <c r="E37" s="36" t="inlineStr">
        <is>
          <t>BITTER-CAL, 5 KG</t>
        </is>
      </c>
      <c r="F37" s="27" t="n">
        <v>0</v>
      </c>
      <c r="G37" s="38" t="n">
        <v>0</v>
      </c>
      <c r="H37" s="29">
        <f>ABS(G37-F37)</f>
        <v/>
      </c>
      <c r="I37" s="30">
        <f>IF(F37&gt;0, G37/F37, IF(G37&gt;0, 1.0, 0.0))</f>
        <v/>
      </c>
      <c r="J37" s="31" t="inlineStr"/>
      <c r="K37" s="27" t="n">
        <v>0</v>
      </c>
      <c r="L37" s="32" t="n">
        <v>0</v>
      </c>
      <c r="M37" s="27" t="n">
        <v>10000</v>
      </c>
      <c r="N37" s="32" t="n">
        <v>10000</v>
      </c>
      <c r="O37" s="27">
        <f>F37+K37+M37</f>
        <v/>
      </c>
      <c r="P37" s="32">
        <f>F37+L37+N37</f>
        <v/>
      </c>
      <c r="Q37" s="33">
        <f>P37-O37</f>
        <v/>
      </c>
      <c r="R37" s="34" t="inlineStr"/>
    </row>
    <row r="38" ht="19" customHeight="1">
      <c r="B38" s="24" t="inlineStr">
        <is>
          <t>LÍBANO</t>
        </is>
      </c>
      <c r="C38" s="25" t="inlineStr">
        <is>
          <t>BELAGRI FOR AGRICULTURE-GEORGES BOU MON</t>
        </is>
      </c>
      <c r="D38" s="26" t="inlineStr">
        <is>
          <t>BPLUS0005</t>
        </is>
      </c>
      <c r="E38" s="25" t="inlineStr">
        <is>
          <t>BOROCAL PLUS, 5 KG</t>
        </is>
      </c>
      <c r="F38" s="27" t="n">
        <v>0</v>
      </c>
      <c r="G38" s="28" t="n">
        <v>0</v>
      </c>
      <c r="H38" s="29">
        <f>ABS(G38-F38)</f>
        <v/>
      </c>
      <c r="I38" s="30">
        <f>IF(F38&gt;0, G38/F38, IF(G38&gt;0, 1.0, 0.0))</f>
        <v/>
      </c>
      <c r="J38" s="31" t="inlineStr"/>
      <c r="K38" s="27" t="n">
        <v>0</v>
      </c>
      <c r="L38" s="32" t="n">
        <v>0</v>
      </c>
      <c r="M38" s="27" t="n">
        <v>1000</v>
      </c>
      <c r="N38" s="32" t="n">
        <v>1000</v>
      </c>
      <c r="O38" s="27">
        <f>F38+K38+M38</f>
        <v/>
      </c>
      <c r="P38" s="32">
        <f>F38+L38+N38</f>
        <v/>
      </c>
      <c r="Q38" s="33">
        <f>P38-O38</f>
        <v/>
      </c>
      <c r="R38" s="34" t="inlineStr"/>
    </row>
    <row r="39" ht="19" customHeight="1">
      <c r="B39" s="35" t="inlineStr">
        <is>
          <t>EGIPTO</t>
        </is>
      </c>
      <c r="C39" s="36" t="inlineStr">
        <is>
          <t>DIPLOMATS ORCHARDS FOR TRADE AGENCIES</t>
        </is>
      </c>
      <c r="D39" s="37" t="inlineStr">
        <is>
          <t>A-50EG0001</t>
        </is>
      </c>
      <c r="E39" s="36" t="inlineStr">
        <is>
          <t>CODIORGAN-A50</t>
        </is>
      </c>
      <c r="F39" s="27" t="n">
        <v>0</v>
      </c>
      <c r="G39" s="38" t="n">
        <v>0</v>
      </c>
      <c r="H39" s="29">
        <f>ABS(G39-F39)</f>
        <v/>
      </c>
      <c r="I39" s="30">
        <f>IF(F39&gt;0, G39/F39, IF(G39&gt;0, 1.0, 0.0))</f>
        <v/>
      </c>
      <c r="J39" s="31" t="inlineStr"/>
      <c r="K39" s="27" t="n">
        <v>0</v>
      </c>
      <c r="L39" s="32" t="n">
        <v>0</v>
      </c>
      <c r="M39" s="27" t="n">
        <v>5000</v>
      </c>
      <c r="N39" s="32" t="n">
        <v>5000</v>
      </c>
      <c r="O39" s="27">
        <f>F39+K39+M39</f>
        <v/>
      </c>
      <c r="P39" s="32">
        <f>F39+L39+N39</f>
        <v/>
      </c>
      <c r="Q39" s="33">
        <f>P39-O39</f>
        <v/>
      </c>
      <c r="R39" s="34" t="inlineStr"/>
    </row>
    <row r="40" ht="19" customHeight="1">
      <c r="B40" s="24" t="inlineStr">
        <is>
          <t>EGIPTO</t>
        </is>
      </c>
      <c r="C40" s="25" t="inlineStr">
        <is>
          <t>DIPLOMATS ORCHARDS FOR TRADE AGENCIES</t>
        </is>
      </c>
      <c r="D40" s="26" t="inlineStr">
        <is>
          <t>AVAN0001</t>
        </is>
      </c>
      <c r="E40" s="25" t="inlineStr">
        <is>
          <t>CODI-FLOR AVANCE, 1 L</t>
        </is>
      </c>
      <c r="F40" s="27" t="n">
        <v>3000</v>
      </c>
      <c r="G40" s="28" t="n">
        <v>0</v>
      </c>
      <c r="H40" s="29">
        <f>ABS(G40-F40)</f>
        <v/>
      </c>
      <c r="I40" s="30">
        <f>IF(F40&gt;0, G40/F40, IF(G40&gt;0, 1.0, 0.0))</f>
        <v/>
      </c>
      <c r="J40" s="31" t="inlineStr"/>
      <c r="K40" s="27" t="n">
        <v>0</v>
      </c>
      <c r="L40" s="32" t="n">
        <v>0</v>
      </c>
      <c r="M40" s="27" t="n">
        <v>0</v>
      </c>
      <c r="N40" s="32" t="n">
        <v>0</v>
      </c>
      <c r="O40" s="27">
        <f>F40+K40+M40</f>
        <v/>
      </c>
      <c r="P40" s="32">
        <f>F40+L40+N40</f>
        <v/>
      </c>
      <c r="Q40" s="33">
        <f>P40-O40</f>
        <v/>
      </c>
      <c r="R40" s="34" t="inlineStr"/>
    </row>
    <row r="41" ht="19" customHeight="1">
      <c r="B41" s="35" t="inlineStr">
        <is>
          <t>EGIPTO</t>
        </is>
      </c>
      <c r="C41" s="36" t="inlineStr">
        <is>
          <t>DOTRA CHEMICALS</t>
        </is>
      </c>
      <c r="D41" s="37" t="inlineStr">
        <is>
          <t>AGXK0005EG</t>
        </is>
      </c>
      <c r="E41" s="36" t="inlineStr">
        <is>
          <t>AGROXILATO-K, 5 L</t>
        </is>
      </c>
      <c r="F41" s="27" t="n">
        <v>0</v>
      </c>
      <c r="G41" s="38" t="n">
        <v>16800</v>
      </c>
      <c r="H41" s="29">
        <f>ABS(G41-F41)</f>
        <v/>
      </c>
      <c r="I41" s="30">
        <f>IF(F41&gt;0, G41/F41, IF(G41&gt;0, 1.0, 0.0))</f>
        <v/>
      </c>
      <c r="J41" s="31" t="inlineStr">
        <is>
          <t>Pedido extra no previsto</t>
        </is>
      </c>
      <c r="K41" s="27" t="n">
        <v>0</v>
      </c>
      <c r="L41" s="32" t="n">
        <v>0</v>
      </c>
      <c r="M41" s="27" t="n">
        <v>0</v>
      </c>
      <c r="N41" s="32" t="n">
        <v>0</v>
      </c>
      <c r="O41" s="27">
        <f>F41+K41+M41</f>
        <v/>
      </c>
      <c r="P41" s="32">
        <f>F41+L41+N41</f>
        <v/>
      </c>
      <c r="Q41" s="33">
        <f>P41-O41</f>
        <v/>
      </c>
      <c r="R41" s="34" t="inlineStr"/>
    </row>
    <row r="42" ht="19" customHeight="1">
      <c r="B42" s="24" t="inlineStr">
        <is>
          <t>EGIPTO</t>
        </is>
      </c>
      <c r="C42" s="25" t="inlineStr">
        <is>
          <t>DOTRA CHEMICALS</t>
        </is>
      </c>
      <c r="D42" s="26" t="inlineStr">
        <is>
          <t>AGZNP0001</t>
        </is>
      </c>
      <c r="E42" s="25" t="inlineStr">
        <is>
          <t>AGROXILATO-ZN PLUS</t>
        </is>
      </c>
      <c r="F42" s="27" t="n">
        <v>2000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EGIPTO</t>
        </is>
      </c>
      <c r="C43" s="36" t="inlineStr">
        <is>
          <t>DOTRA CHEMICALS</t>
        </is>
      </c>
      <c r="D43" s="37" t="inlineStr">
        <is>
          <t>AN1000</t>
        </is>
      </c>
      <c r="E43" s="36" t="inlineStr">
        <is>
          <t>ALCAPLANT-NEW</t>
        </is>
      </c>
      <c r="F43" s="27" t="n">
        <v>0</v>
      </c>
      <c r="G43" s="38" t="n">
        <v>0</v>
      </c>
      <c r="H43" s="29">
        <f>ABS(G43-F43)</f>
        <v/>
      </c>
      <c r="I43" s="30">
        <f>IF(F43&gt;0, G43/F43, IF(G43&gt;0, 1.0, 0.0))</f>
        <v/>
      </c>
      <c r="J43" s="31" t="inlineStr"/>
      <c r="K43" s="27" t="n">
        <v>20000</v>
      </c>
      <c r="L43" s="32" t="n">
        <v>20000</v>
      </c>
      <c r="M43" s="27" t="n">
        <v>0</v>
      </c>
      <c r="N43" s="32" t="n">
        <v>0</v>
      </c>
      <c r="O43" s="27">
        <f>F43+K43+M43</f>
        <v/>
      </c>
      <c r="P43" s="32">
        <f>F43+L43+N43</f>
        <v/>
      </c>
      <c r="Q43" s="33">
        <f>P43-O43</f>
        <v/>
      </c>
      <c r="R43" s="34" t="inlineStr"/>
    </row>
    <row r="44" ht="19" customHeight="1">
      <c r="B44" s="24" t="inlineStr">
        <is>
          <t>EGIPTO</t>
        </is>
      </c>
      <c r="C44" s="25" t="inlineStr">
        <is>
          <t>DOTRA CHEMICALS</t>
        </is>
      </c>
      <c r="D44" s="26" t="inlineStr">
        <is>
          <t>AVAN0001</t>
        </is>
      </c>
      <c r="E44" s="25" t="inlineStr">
        <is>
          <t>FLORAMEC AVANCE</t>
        </is>
      </c>
      <c r="F44" s="27" t="n">
        <v>0</v>
      </c>
      <c r="G44" s="28" t="n">
        <v>0</v>
      </c>
      <c r="H44" s="29">
        <f>ABS(G44-F44)</f>
        <v/>
      </c>
      <c r="I44" s="30">
        <f>IF(F44&gt;0, G44/F44, IF(G44&gt;0, 1.0, 0.0))</f>
        <v/>
      </c>
      <c r="J44" s="31" t="inlineStr"/>
      <c r="K44" s="27" t="n">
        <v>0</v>
      </c>
      <c r="L44" s="32" t="n">
        <v>0</v>
      </c>
      <c r="M44" s="27" t="n">
        <v>3000</v>
      </c>
      <c r="N44" s="32" t="n">
        <v>3000</v>
      </c>
      <c r="O44" s="27">
        <f>F44+K44+M44</f>
        <v/>
      </c>
      <c r="P44" s="32">
        <f>F44+L44+N44</f>
        <v/>
      </c>
      <c r="Q44" s="33">
        <f>P44-O44</f>
        <v/>
      </c>
      <c r="R44" s="34" t="inlineStr"/>
    </row>
    <row r="45" ht="19" customHeight="1">
      <c r="B45" s="35" t="inlineStr">
        <is>
          <t>EGIPTO</t>
        </is>
      </c>
      <c r="C45" s="36" t="inlineStr">
        <is>
          <t>DOTRA CHEMICALS</t>
        </is>
      </c>
      <c r="D45" s="37" t="inlineStr">
        <is>
          <t>C-CU20001</t>
        </is>
      </c>
      <c r="E45" s="36" t="inlineStr">
        <is>
          <t>CODICOBRE</t>
        </is>
      </c>
      <c r="F45" s="27" t="n">
        <v>0</v>
      </c>
      <c r="G45" s="38" t="n">
        <v>0</v>
      </c>
      <c r="H45" s="29">
        <f>ABS(G45-F45)</f>
        <v/>
      </c>
      <c r="I45" s="30">
        <f>IF(F45&gt;0, G45/F45, IF(G45&gt;0, 1.0, 0.0))</f>
        <v/>
      </c>
      <c r="J45" s="31" t="inlineStr"/>
      <c r="K45" s="27" t="n">
        <v>7920</v>
      </c>
      <c r="L45" s="32" t="n">
        <v>7920</v>
      </c>
      <c r="M45" s="27" t="n">
        <v>0</v>
      </c>
      <c r="N45" s="32" t="n">
        <v>0</v>
      </c>
      <c r="O45" s="27">
        <f>F45+K45+M45</f>
        <v/>
      </c>
      <c r="P45" s="32">
        <f>F45+L45+N45</f>
        <v/>
      </c>
      <c r="Q45" s="33">
        <f>P45-O45</f>
        <v/>
      </c>
      <c r="R45" s="34" t="inlineStr"/>
    </row>
    <row r="46" ht="19" customHeight="1">
      <c r="B46" s="24" t="inlineStr">
        <is>
          <t>EGIPTO</t>
        </is>
      </c>
      <c r="C46" s="25" t="inlineStr">
        <is>
          <t>DOTRA CHEMICALS</t>
        </is>
      </c>
      <c r="D46" s="26" t="inlineStr">
        <is>
          <t>SPCE2B0001</t>
        </is>
      </c>
      <c r="E46" s="25" t="inlineStr">
        <is>
          <t>NEW SPRINTENE</t>
        </is>
      </c>
      <c r="F46" s="27" t="n">
        <v>5000</v>
      </c>
      <c r="G46" s="28" t="n">
        <v>0</v>
      </c>
      <c r="H46" s="29">
        <f>ABS(G46-F46)</f>
        <v/>
      </c>
      <c r="I46" s="30">
        <f>IF(F46&gt;0, G46/F46, IF(G46&gt;0, 1.0, 0.0))</f>
        <v/>
      </c>
      <c r="J46" s="31" t="inlineStr"/>
      <c r="K46" s="27" t="n">
        <v>10000</v>
      </c>
      <c r="L46" s="32" t="n">
        <v>10000</v>
      </c>
      <c r="M46" s="27" t="n">
        <v>0</v>
      </c>
      <c r="N46" s="32" t="n">
        <v>0</v>
      </c>
      <c r="O46" s="27">
        <f>F46+K46+M46</f>
        <v/>
      </c>
      <c r="P46" s="32">
        <f>F46+L46+N46</f>
        <v/>
      </c>
      <c r="Q46" s="33">
        <f>P46-O46</f>
        <v/>
      </c>
      <c r="R46" s="34" t="inlineStr"/>
    </row>
    <row r="47" ht="19" customHeight="1">
      <c r="B47" s="35" t="inlineStr">
        <is>
          <t>EGIPTO</t>
        </is>
      </c>
      <c r="C47" s="36" t="inlineStr">
        <is>
          <t>DOTRA CHEMICALS</t>
        </is>
      </c>
      <c r="D47" s="37" t="inlineStr">
        <is>
          <t>SPCE2B0001EG</t>
        </is>
      </c>
      <c r="E47" s="36" t="inlineStr">
        <is>
          <t>SPRINTENE CON BORO, 1 L</t>
        </is>
      </c>
      <c r="F47" s="27" t="n">
        <v>0</v>
      </c>
      <c r="G47" s="38" t="n">
        <v>10296</v>
      </c>
      <c r="H47" s="29">
        <f>ABS(G47-F47)</f>
        <v/>
      </c>
      <c r="I47" s="30">
        <f>IF(F47&gt;0, G47/F47, IF(G47&gt;0, 1.0, 0.0))</f>
        <v/>
      </c>
      <c r="J47" s="31" t="inlineStr">
        <is>
          <t>Pedido extra no previsto</t>
        </is>
      </c>
      <c r="K47" s="27" t="n">
        <v>0</v>
      </c>
      <c r="L47" s="32" t="n">
        <v>0</v>
      </c>
      <c r="M47" s="27" t="n">
        <v>0</v>
      </c>
      <c r="N47" s="32" t="n">
        <v>0</v>
      </c>
      <c r="O47" s="27">
        <f>F47+K47+M47</f>
        <v/>
      </c>
      <c r="P47" s="32">
        <f>F47+L47+N47</f>
        <v/>
      </c>
      <c r="Q47" s="33">
        <f>P47-O47</f>
        <v/>
      </c>
      <c r="R47" s="34" t="inlineStr"/>
    </row>
    <row r="48" ht="19" customHeight="1">
      <c r="B48" s="24" t="inlineStr">
        <is>
          <t>EGIPTO</t>
        </is>
      </c>
      <c r="C48" s="25" t="inlineStr">
        <is>
          <t>DOTRA CHEMICALS</t>
        </is>
      </c>
      <c r="D48" s="26" t="inlineStr">
        <is>
          <t>SSEG0005</t>
        </is>
      </c>
      <c r="E48" s="25" t="inlineStr">
        <is>
          <t>SAL-WAX Ca</t>
        </is>
      </c>
      <c r="F48" s="27" t="n">
        <v>21000</v>
      </c>
      <c r="G48" s="28" t="n">
        <v>21000</v>
      </c>
      <c r="H48" s="29">
        <f>ABS(G48-F48)</f>
        <v/>
      </c>
      <c r="I48" s="30">
        <f>IF(F48&gt;0, G48/F48, IF(G48&gt;0, 1.0, 0.0))</f>
        <v/>
      </c>
      <c r="J48" s="31" t="inlineStr">
        <is>
          <t>Cierre según previsto</t>
        </is>
      </c>
      <c r="K48" s="27" t="n">
        <v>21000</v>
      </c>
      <c r="L48" s="32" t="n">
        <v>21000</v>
      </c>
      <c r="M48" s="27" t="n">
        <v>0</v>
      </c>
      <c r="N48" s="32" t="n">
        <v>0</v>
      </c>
      <c r="O48" s="27">
        <f>F48+K48+M48</f>
        <v/>
      </c>
      <c r="P48" s="32">
        <f>F48+L48+N48</f>
        <v/>
      </c>
      <c r="Q48" s="33">
        <f>P48-O48</f>
        <v/>
      </c>
      <c r="R48" s="34" t="inlineStr"/>
    </row>
    <row r="49" ht="19" customHeight="1">
      <c r="B49" s="35" t="inlineStr">
        <is>
          <t>EGIPTO</t>
        </is>
      </c>
      <c r="C49" s="36" t="inlineStr">
        <is>
          <t>DOTRA CHEMICALS</t>
        </is>
      </c>
      <c r="D49" s="37" t="inlineStr">
        <is>
          <t>SSEG0005EG</t>
        </is>
      </c>
      <c r="E49" s="36" t="inlineStr">
        <is>
          <t>SALWAX CALCIO EGIPTO, 5 KG</t>
        </is>
      </c>
      <c r="F49" s="27" t="n">
        <v>0</v>
      </c>
      <c r="G49" s="38" t="n">
        <v>8000</v>
      </c>
      <c r="H49" s="29">
        <f>ABS(G49-F49)</f>
        <v/>
      </c>
      <c r="I49" s="30">
        <f>IF(F49&gt;0, G49/F49, IF(G49&gt;0, 1.0, 0.0))</f>
        <v/>
      </c>
      <c r="J49" s="31" t="inlineStr">
        <is>
          <t>Pedido extra no previsto</t>
        </is>
      </c>
      <c r="K49" s="27" t="n">
        <v>0</v>
      </c>
      <c r="L49" s="32" t="n">
        <v>0</v>
      </c>
      <c r="M49" s="27" t="n">
        <v>0</v>
      </c>
      <c r="N49" s="32" t="n">
        <v>0</v>
      </c>
      <c r="O49" s="27">
        <f>F49+K49+M49</f>
        <v/>
      </c>
      <c r="P49" s="32">
        <f>F49+L49+N49</f>
        <v/>
      </c>
      <c r="Q49" s="33">
        <f>P49-O49</f>
        <v/>
      </c>
      <c r="R49" s="34" t="inlineStr"/>
    </row>
    <row r="50" ht="19" customHeight="1">
      <c r="B50" s="24" t="inlineStr">
        <is>
          <t>EGIPTO</t>
        </is>
      </c>
      <c r="C50" s="25" t="inlineStr">
        <is>
          <t>DOTRA CHEMICALS</t>
        </is>
      </c>
      <c r="D50" s="26" t="inlineStr">
        <is>
          <t>SSEG0020</t>
        </is>
      </c>
      <c r="E50" s="25" t="inlineStr">
        <is>
          <t>SAL-WAX Ca</t>
        </is>
      </c>
      <c r="F50" s="27" t="n">
        <v>0</v>
      </c>
      <c r="G50" s="28" t="n">
        <v>0</v>
      </c>
      <c r="H50" s="29">
        <f>ABS(G50-F50)</f>
        <v/>
      </c>
      <c r="I50" s="30">
        <f>IF(F50&gt;0, G50/F50, IF(G50&gt;0, 1.0, 0.0))</f>
        <v/>
      </c>
      <c r="J50" s="31" t="inlineStr"/>
      <c r="K50" s="27" t="n">
        <v>10000</v>
      </c>
      <c r="L50" s="32" t="n">
        <v>10000</v>
      </c>
      <c r="M50" s="27" t="n">
        <v>0</v>
      </c>
      <c r="N50" s="32" t="n">
        <v>0</v>
      </c>
      <c r="O50" s="27">
        <f>F50+K50+M50</f>
        <v/>
      </c>
      <c r="P50" s="32">
        <f>F50+L50+N50</f>
        <v/>
      </c>
      <c r="Q50" s="33">
        <f>P50-O50</f>
        <v/>
      </c>
      <c r="R50" s="34" t="inlineStr"/>
    </row>
    <row r="51" ht="19" customHeight="1">
      <c r="B51" s="35" t="inlineStr">
        <is>
          <t>ARABIA SAUDÍ</t>
        </is>
      </c>
      <c r="C51" s="36" t="inlineStr">
        <is>
          <t>DOTRA GULF TRADING COMPANY</t>
        </is>
      </c>
      <c r="D51" s="37" t="inlineStr">
        <is>
          <t>AQUOMAR0005</t>
        </is>
      </c>
      <c r="E51" s="36" t="inlineStr">
        <is>
          <t>AQUOM ARABIA, 5 L</t>
        </is>
      </c>
      <c r="F51" s="27" t="n">
        <v>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DOTRA GULF TRADING COMPANY</t>
        </is>
      </c>
      <c r="D52" s="26" t="inlineStr">
        <is>
          <t>AVAN0001</t>
        </is>
      </c>
      <c r="E52" s="25" t="inlineStr">
        <is>
          <t>FLORAMEC AVANCE, 1 L</t>
        </is>
      </c>
      <c r="F52" s="27" t="n">
        <v>0</v>
      </c>
      <c r="G52" s="28" t="n">
        <v>0</v>
      </c>
      <c r="H52" s="29">
        <f>ABS(G52-F52)</f>
        <v/>
      </c>
      <c r="I52" s="30">
        <f>IF(F52&gt;0, G52/F52, IF(G52&gt;0, 1.0, 0.0))</f>
        <v/>
      </c>
      <c r="J52" s="31" t="inlineStr"/>
      <c r="K52" s="27" t="n">
        <v>0</v>
      </c>
      <c r="L52" s="32" t="n">
        <v>0</v>
      </c>
      <c r="M52" s="27" t="n">
        <v>0</v>
      </c>
      <c r="N52" s="32" t="n">
        <v>0</v>
      </c>
      <c r="O52" s="27">
        <f>F52+K52+M52</f>
        <v/>
      </c>
      <c r="P52" s="32">
        <f>F52+L52+N52</f>
        <v/>
      </c>
      <c r="Q52" s="33">
        <f>P52-O52</f>
        <v/>
      </c>
      <c r="R52" s="34" t="inlineStr"/>
    </row>
    <row r="53" ht="19" customHeight="1">
      <c r="B53" s="35" t="inlineStr">
        <is>
          <t>ARABIA SAUDÍ</t>
        </is>
      </c>
      <c r="C53" s="36" t="inlineStr">
        <is>
          <t>DOTRA GULF TRADING COMPANY</t>
        </is>
      </c>
      <c r="D53" s="37" t="inlineStr">
        <is>
          <t>BIO0005</t>
        </is>
      </c>
      <c r="E53" s="36" t="inlineStr">
        <is>
          <t>BIORAD-20, 5L</t>
        </is>
      </c>
      <c r="F53" s="27" t="n">
        <v>0</v>
      </c>
      <c r="G53" s="38" t="n">
        <v>0</v>
      </c>
      <c r="H53" s="29">
        <f>ABS(G53-F53)</f>
        <v/>
      </c>
      <c r="I53" s="30">
        <f>IF(F53&gt;0, G53/F53, IF(G53&gt;0, 1.0, 0.0))</f>
        <v/>
      </c>
      <c r="J53" s="31" t="inlineStr"/>
      <c r="K53" s="27" t="n">
        <v>0</v>
      </c>
      <c r="L53" s="32" t="n">
        <v>0</v>
      </c>
      <c r="M53" s="27" t="n">
        <v>0</v>
      </c>
      <c r="N53" s="32" t="n">
        <v>0</v>
      </c>
      <c r="O53" s="27">
        <f>F53+K53+M53</f>
        <v/>
      </c>
      <c r="P53" s="32">
        <f>F53+L53+N53</f>
        <v/>
      </c>
      <c r="Q53" s="33">
        <f>P53-O53</f>
        <v/>
      </c>
      <c r="R53" s="34" t="inlineStr"/>
    </row>
    <row r="54" ht="19" customHeight="1">
      <c r="B54" s="24" t="inlineStr">
        <is>
          <t>ARABIA SAUDÍ</t>
        </is>
      </c>
      <c r="C54" s="25" t="inlineStr">
        <is>
          <t>DOTRA GULF TRADING COMPANY</t>
        </is>
      </c>
      <c r="D54" s="26" t="inlineStr">
        <is>
          <t>SPAR0001</t>
        </is>
      </c>
      <c r="E54" s="25" t="inlineStr">
        <is>
          <t>SPRINTENE ARABIA, 1 L</t>
        </is>
      </c>
      <c r="F54" s="27" t="n">
        <v>0</v>
      </c>
      <c r="G54" s="28" t="n">
        <v>0</v>
      </c>
      <c r="H54" s="29">
        <f>ABS(G54-F54)</f>
        <v/>
      </c>
      <c r="I54" s="30">
        <f>IF(F54&gt;0, G54/F54, IF(G54&gt;0, 1.0, 0.0))</f>
        <v/>
      </c>
      <c r="J54" s="31" t="inlineStr"/>
      <c r="K54" s="27" t="n">
        <v>0</v>
      </c>
      <c r="L54" s="32" t="n">
        <v>0</v>
      </c>
      <c r="M54" s="27" t="n">
        <v>0</v>
      </c>
      <c r="N54" s="32" t="n">
        <v>0</v>
      </c>
      <c r="O54" s="27">
        <f>F54+K54+M54</f>
        <v/>
      </c>
      <c r="P54" s="32">
        <f>F54+L54+N54</f>
        <v/>
      </c>
      <c r="Q54" s="33">
        <f>P54-O54</f>
        <v/>
      </c>
      <c r="R54" s="34" t="inlineStr"/>
    </row>
    <row r="55" ht="19" customHeight="1">
      <c r="B55" s="35" t="inlineStr">
        <is>
          <t>ARABIA SAUDÍ</t>
        </is>
      </c>
      <c r="C55" s="36" t="inlineStr">
        <is>
          <t>DOTRA GULF TRADING COMPANY</t>
        </is>
      </c>
      <c r="D55" s="37" t="inlineStr">
        <is>
          <t>SSEG0005</t>
        </is>
      </c>
      <c r="E55" s="36" t="inlineStr">
        <is>
          <t>SALWAX CALCIO EGIPTO, 5 KG</t>
        </is>
      </c>
      <c r="F55" s="27" t="n">
        <v>0</v>
      </c>
      <c r="G55" s="38" t="n">
        <v>0</v>
      </c>
      <c r="H55" s="29">
        <f>ABS(G55-F55)</f>
        <v/>
      </c>
      <c r="I55" s="30">
        <f>IF(F55&gt;0, G55/F55, IF(G55&gt;0, 1.0, 0.0))</f>
        <v/>
      </c>
      <c r="J55" s="31" t="inlineStr"/>
      <c r="K55" s="27" t="n">
        <v>0</v>
      </c>
      <c r="L55" s="32" t="n">
        <v>0</v>
      </c>
      <c r="M55" s="27" t="n">
        <v>0</v>
      </c>
      <c r="N55" s="32" t="n">
        <v>0</v>
      </c>
      <c r="O55" s="27">
        <f>F55+K55+M55</f>
        <v/>
      </c>
      <c r="P55" s="32">
        <f>F55+L55+N55</f>
        <v/>
      </c>
      <c r="Q55" s="33">
        <f>P55-O55</f>
        <v/>
      </c>
      <c r="R55" s="34" t="inlineStr"/>
    </row>
    <row r="56" ht="19" customHeight="1">
      <c r="B56" s="24" t="inlineStr">
        <is>
          <t>ESPAÑA</t>
        </is>
      </c>
      <c r="C56" s="25" t="inlineStr">
        <is>
          <t>ECO-PONIENTE, S.L.U.</t>
        </is>
      </c>
      <c r="D56" s="26" t="inlineStr">
        <is>
          <t>AGXKAE0020</t>
        </is>
      </c>
      <c r="E56" s="25" t="inlineStr">
        <is>
          <t>BIOCULTURE POTASIO, 20 L</t>
        </is>
      </c>
      <c r="F56" s="27" t="n">
        <v>0</v>
      </c>
      <c r="G56" s="28" t="n">
        <v>0</v>
      </c>
      <c r="H56" s="29">
        <f>ABS(G56-F56)</f>
        <v/>
      </c>
      <c r="I56" s="30">
        <f>IF(F56&gt;0, G56/F56, IF(G56&gt;0, 1.0, 0.0))</f>
        <v/>
      </c>
      <c r="J56" s="31" t="inlineStr"/>
      <c r="K56" s="27" t="n">
        <v>0</v>
      </c>
      <c r="L56" s="32" t="n">
        <v>0</v>
      </c>
      <c r="M56" s="27" t="n">
        <v>640</v>
      </c>
      <c r="N56" s="32" t="n">
        <v>640</v>
      </c>
      <c r="O56" s="27">
        <f>F56+K56+M56</f>
        <v/>
      </c>
      <c r="P56" s="32">
        <f>F56+L56+N56</f>
        <v/>
      </c>
      <c r="Q56" s="33">
        <f>P56-O56</f>
        <v/>
      </c>
      <c r="R56" s="34" t="inlineStr"/>
    </row>
    <row r="57" ht="19" customHeight="1">
      <c r="B57" s="35" t="inlineStr">
        <is>
          <t>ESPAÑA</t>
        </is>
      </c>
      <c r="C57" s="36" t="inlineStr">
        <is>
          <t>EL PINAR BERRIES, S.L.</t>
        </is>
      </c>
      <c r="D57" s="37" t="inlineStr">
        <is>
          <t>AN0005</t>
        </is>
      </c>
      <c r="E57" s="36" t="inlineStr">
        <is>
          <t>ALCAPLANT NEW, 5 KG</t>
        </is>
      </c>
      <c r="F57" s="27" t="n">
        <v>0</v>
      </c>
      <c r="G57" s="38" t="n">
        <v>0</v>
      </c>
      <c r="H57" s="29">
        <f>ABS(G57-F57)</f>
        <v/>
      </c>
      <c r="I57" s="30">
        <f>IF(F57&gt;0, G57/F57, IF(G57&gt;0, 1.0, 0.0))</f>
        <v/>
      </c>
      <c r="J57" s="31" t="inlineStr"/>
      <c r="K57" s="27" t="n">
        <v>0</v>
      </c>
      <c r="L57" s="32" t="n">
        <v>0</v>
      </c>
      <c r="M57" s="27" t="n">
        <v>0</v>
      </c>
      <c r="N57" s="32" t="n">
        <v>0</v>
      </c>
      <c r="O57" s="27">
        <f>F57+K57+M57</f>
        <v/>
      </c>
      <c r="P57" s="32">
        <f>F57+L57+N57</f>
        <v/>
      </c>
      <c r="Q57" s="33">
        <f>P57-O57</f>
        <v/>
      </c>
      <c r="R57" s="34" t="inlineStr"/>
    </row>
    <row r="58" ht="19" customHeight="1">
      <c r="B58" s="24" t="inlineStr">
        <is>
          <t>GRECIA</t>
        </is>
      </c>
      <c r="C58" s="25" t="inlineStr">
        <is>
          <t>EMPHYTON SERVICE P.C.</t>
        </is>
      </c>
      <c r="D58" s="26" t="inlineStr">
        <is>
          <t>GRE10001</t>
        </is>
      </c>
      <c r="E58" s="25" t="inlineStr">
        <is>
          <t>TONAZ</t>
        </is>
      </c>
      <c r="F58" s="27" t="n">
        <v>0</v>
      </c>
      <c r="G58" s="28" t="n">
        <v>0</v>
      </c>
      <c r="H58" s="29">
        <f>ABS(G58-F58)</f>
        <v/>
      </c>
      <c r="I58" s="30">
        <f>IF(F58&gt;0, G58/F58, IF(G58&gt;0, 1.0, 0.0))</f>
        <v/>
      </c>
      <c r="J58" s="31" t="inlineStr"/>
      <c r="K58" s="27" t="n">
        <v>0</v>
      </c>
      <c r="L58" s="32" t="n">
        <v>0</v>
      </c>
      <c r="M58" s="27" t="n">
        <v>8000</v>
      </c>
      <c r="N58" s="32" t="n">
        <v>8000</v>
      </c>
      <c r="O58" s="27">
        <f>F58+K58+M58</f>
        <v/>
      </c>
      <c r="P58" s="32">
        <f>F58+L58+N58</f>
        <v/>
      </c>
      <c r="Q58" s="33">
        <f>P58-O58</f>
        <v/>
      </c>
      <c r="R58" s="34" t="inlineStr"/>
    </row>
    <row r="59" ht="19" customHeight="1">
      <c r="B59" s="35" t="inlineStr">
        <is>
          <t>GRECIA</t>
        </is>
      </c>
      <c r="C59" s="36" t="inlineStr">
        <is>
          <t>EMPHYTON SERVICE P.C.</t>
        </is>
      </c>
      <c r="D59" s="37" t="inlineStr">
        <is>
          <t>GRE10005</t>
        </is>
      </c>
      <c r="E59" s="36" t="inlineStr">
        <is>
          <t>TONAZ</t>
        </is>
      </c>
      <c r="F59" s="27" t="n">
        <v>0</v>
      </c>
      <c r="G59" s="38" t="n">
        <v>0</v>
      </c>
      <c r="H59" s="29">
        <f>ABS(G59-F59)</f>
        <v/>
      </c>
      <c r="I59" s="30">
        <f>IF(F59&gt;0, G59/F59, IF(G59&gt;0, 1.0, 0.0))</f>
        <v/>
      </c>
      <c r="J59" s="31" t="inlineStr"/>
      <c r="K59" s="27" t="n">
        <v>0</v>
      </c>
      <c r="L59" s="32" t="n">
        <v>0</v>
      </c>
      <c r="M59" s="27" t="n">
        <v>4000</v>
      </c>
      <c r="N59" s="32" t="n">
        <v>4000</v>
      </c>
      <c r="O59" s="27">
        <f>F59+K59+M59</f>
        <v/>
      </c>
      <c r="P59" s="32">
        <f>F59+L59+N59</f>
        <v/>
      </c>
      <c r="Q59" s="33">
        <f>P59-O59</f>
        <v/>
      </c>
      <c r="R59" s="34" t="inlineStr"/>
    </row>
    <row r="60" ht="19" customHeight="1">
      <c r="B60" s="24" t="inlineStr">
        <is>
          <t>GRECIA</t>
        </is>
      </c>
      <c r="C60" s="25" t="inlineStr">
        <is>
          <t>EMPHYTON SERVICE P.C.</t>
        </is>
      </c>
      <c r="D60" s="26" t="inlineStr">
        <is>
          <t>VITA0001</t>
        </is>
      </c>
      <c r="E60" s="25" t="inlineStr">
        <is>
          <t>VITA-S</t>
        </is>
      </c>
      <c r="F60" s="27" t="n">
        <v>0</v>
      </c>
      <c r="G60" s="28" t="n">
        <v>0</v>
      </c>
      <c r="H60" s="29">
        <f>ABS(G60-F60)</f>
        <v/>
      </c>
      <c r="I60" s="30">
        <f>IF(F60&gt;0, G60/F60, IF(G60&gt;0, 1.0, 0.0))</f>
        <v/>
      </c>
      <c r="J60" s="31" t="inlineStr"/>
      <c r="K60" s="27" t="n">
        <v>0</v>
      </c>
      <c r="L60" s="32" t="n">
        <v>0</v>
      </c>
      <c r="M60" s="27" t="n">
        <v>10000</v>
      </c>
      <c r="N60" s="32" t="n">
        <v>10000</v>
      </c>
      <c r="O60" s="27">
        <f>F60+K60+M60</f>
        <v/>
      </c>
      <c r="P60" s="32">
        <f>F60+L60+N60</f>
        <v/>
      </c>
      <c r="Q60" s="33">
        <f>P60-O60</f>
        <v/>
      </c>
      <c r="R60" s="34" t="inlineStr"/>
    </row>
    <row r="61" ht="19" customHeight="1">
      <c r="B61" s="35" t="inlineStr">
        <is>
          <t>GRECIA</t>
        </is>
      </c>
      <c r="C61" s="36" t="inlineStr">
        <is>
          <t>EMPHYTON SERVICE P.C.</t>
        </is>
      </c>
      <c r="D61" s="37" t="inlineStr">
        <is>
          <t>VITA0005</t>
        </is>
      </c>
      <c r="E61" s="36" t="inlineStr">
        <is>
          <t>VITA-S</t>
        </is>
      </c>
      <c r="F61" s="27" t="n">
        <v>0</v>
      </c>
      <c r="G61" s="38" t="n">
        <v>0</v>
      </c>
      <c r="H61" s="29">
        <f>ABS(G61-F61)</f>
        <v/>
      </c>
      <c r="I61" s="30">
        <f>IF(F61&gt;0, G61/F61, IF(G61&gt;0, 1.0, 0.0))</f>
        <v/>
      </c>
      <c r="J61" s="31" t="inlineStr"/>
      <c r="K61" s="27" t="n">
        <v>0</v>
      </c>
      <c r="L61" s="32" t="n">
        <v>0</v>
      </c>
      <c r="M61" s="27" t="n">
        <v>10000</v>
      </c>
      <c r="N61" s="32" t="n">
        <v>10000</v>
      </c>
      <c r="O61" s="27">
        <f>F61+K61+M61</f>
        <v/>
      </c>
      <c r="P61" s="32">
        <f>F61+L61+N61</f>
        <v/>
      </c>
      <c r="Q61" s="33">
        <f>P61-O61</f>
        <v/>
      </c>
      <c r="R61" s="34" t="inlineStr"/>
    </row>
    <row r="62" ht="19" customHeight="1">
      <c r="B62" s="24" t="inlineStr">
        <is>
          <t>GRECIA</t>
        </is>
      </c>
      <c r="C62" s="25" t="inlineStr">
        <is>
          <t>GEORGIOS POULTSIDIS</t>
        </is>
      </c>
      <c r="D62" s="26" t="inlineStr">
        <is>
          <t>GRE20005</t>
        </is>
      </c>
      <c r="E62" s="25" t="inlineStr">
        <is>
          <t>EGERSIS, 5 L</t>
        </is>
      </c>
      <c r="F62" s="27" t="n">
        <v>0</v>
      </c>
      <c r="G62" s="28" t="n">
        <v>0</v>
      </c>
      <c r="H62" s="29">
        <f>ABS(G62-F62)</f>
        <v/>
      </c>
      <c r="I62" s="30">
        <f>IF(F62&gt;0, G62/F62, IF(G62&gt;0, 1.0, 0.0))</f>
        <v/>
      </c>
      <c r="J62" s="31" t="inlineStr"/>
      <c r="K62" s="27" t="n">
        <v>0</v>
      </c>
      <c r="L62" s="32" t="n">
        <v>0</v>
      </c>
      <c r="M62" s="27" t="n">
        <v>2000</v>
      </c>
      <c r="N62" s="32" t="n">
        <v>2000</v>
      </c>
      <c r="O62" s="27">
        <f>F62+K62+M62</f>
        <v/>
      </c>
      <c r="P62" s="32">
        <f>F62+L62+N62</f>
        <v/>
      </c>
      <c r="Q62" s="33">
        <f>P62-O62</f>
        <v/>
      </c>
      <c r="R62" s="34" t="inlineStr"/>
    </row>
    <row r="63" ht="19" customHeight="1">
      <c r="B63" s="35" t="inlineStr">
        <is>
          <t>ESPAÑA</t>
        </is>
      </c>
      <c r="C63" s="36" t="inlineStr">
        <is>
          <t>HORTOFRUTICOLA COSTA DE ALMERÍA, S.L.</t>
        </is>
      </c>
      <c r="D63" s="37" t="inlineStr">
        <is>
          <t>AGXK0020</t>
        </is>
      </c>
      <c r="E63" s="36" t="inlineStr">
        <is>
          <t>AGROXILATO-K, 20 L</t>
        </is>
      </c>
      <c r="F63" s="27" t="n">
        <v>0</v>
      </c>
      <c r="G63" s="38" t="n">
        <v>0</v>
      </c>
      <c r="H63" s="29">
        <f>ABS(G63-F63)</f>
        <v/>
      </c>
      <c r="I63" s="30">
        <f>IF(F63&gt;0, G63/F63, IF(G63&gt;0, 1.0, 0.0))</f>
        <v/>
      </c>
      <c r="J63" s="31" t="inlineStr"/>
      <c r="K63" s="27" t="n">
        <v>0</v>
      </c>
      <c r="L63" s="32" t="n">
        <v>0</v>
      </c>
      <c r="M63" s="27" t="n">
        <v>1280</v>
      </c>
      <c r="N63" s="32" t="n">
        <v>1280</v>
      </c>
      <c r="O63" s="27">
        <f>F63+K63+M63</f>
        <v/>
      </c>
      <c r="P63" s="32">
        <f>F63+L63+N63</f>
        <v/>
      </c>
      <c r="Q63" s="33">
        <f>P63-O63</f>
        <v/>
      </c>
      <c r="R63" s="34" t="inlineStr"/>
    </row>
    <row r="64" ht="19" customHeight="1">
      <c r="B64" s="24" t="inlineStr">
        <is>
          <t>ESPAÑA</t>
        </is>
      </c>
      <c r="C64" s="25" t="inlineStr">
        <is>
          <t>INIESTA DEL PINO DISTRIBUCIONES S.L.U</t>
        </is>
      </c>
      <c r="D64" s="26" t="inlineStr">
        <is>
          <t>A-50(2)0005</t>
        </is>
      </c>
      <c r="E64" s="25" t="inlineStr">
        <is>
          <t>CODIORGAN-A50, 5 KG</t>
        </is>
      </c>
      <c r="F64" s="27" t="n">
        <v>0</v>
      </c>
      <c r="G64" s="28" t="n">
        <v>0</v>
      </c>
      <c r="H64" s="29">
        <f>ABS(G64-F64)</f>
        <v/>
      </c>
      <c r="I64" s="30">
        <f>IF(F64&gt;0, G64/F64, IF(G64&gt;0, 1.0, 0.0))</f>
        <v/>
      </c>
      <c r="J64" s="31" t="inlineStr"/>
      <c r="K64" s="27" t="n">
        <v>0</v>
      </c>
      <c r="L64" s="32" t="n">
        <v>0</v>
      </c>
      <c r="M64" s="27" t="n">
        <v>25</v>
      </c>
      <c r="N64" s="32" t="n">
        <v>25</v>
      </c>
      <c r="O64" s="27">
        <f>F64+K64+M64</f>
        <v/>
      </c>
      <c r="P64" s="32">
        <f>F64+L64+N64</f>
        <v/>
      </c>
      <c r="Q64" s="33">
        <f>P64-O64</f>
        <v/>
      </c>
      <c r="R64" s="34" t="inlineStr"/>
    </row>
    <row r="65" ht="19" customHeight="1">
      <c r="B65" s="35" t="inlineStr">
        <is>
          <t>ESPAÑA</t>
        </is>
      </c>
      <c r="C65" s="36" t="inlineStr">
        <is>
          <t>INIESTA DEL PINO DISTRIBUCIONES S.L.U</t>
        </is>
      </c>
      <c r="D65" s="37" t="inlineStr">
        <is>
          <t>AGXK0020</t>
        </is>
      </c>
      <c r="E65" s="36" t="inlineStr">
        <is>
          <t>AGROXILATO-K, 20 L</t>
        </is>
      </c>
      <c r="F65" s="27" t="n">
        <v>1920</v>
      </c>
      <c r="G65" s="38" t="n">
        <v>1920</v>
      </c>
      <c r="H65" s="29">
        <f>ABS(G65-F65)</f>
        <v/>
      </c>
      <c r="I65" s="30">
        <f>IF(F65&gt;0, G65/F65, IF(G65&gt;0, 1.0, 0.0))</f>
        <v/>
      </c>
      <c r="J65" s="31" t="inlineStr">
        <is>
          <t>Cierre según previsto</t>
        </is>
      </c>
      <c r="K65" s="27" t="n">
        <v>0</v>
      </c>
      <c r="L65" s="32" t="n">
        <v>0</v>
      </c>
      <c r="M65" s="27" t="n">
        <v>0</v>
      </c>
      <c r="N65" s="32" t="n">
        <v>0</v>
      </c>
      <c r="O65" s="27">
        <f>F65+K65+M65</f>
        <v/>
      </c>
      <c r="P65" s="32">
        <f>F65+L65+N65</f>
        <v/>
      </c>
      <c r="Q65" s="33">
        <f>P65-O65</f>
        <v/>
      </c>
      <c r="R65" s="34" t="inlineStr"/>
    </row>
    <row r="66" ht="19" customHeight="1">
      <c r="B66" s="24" t="inlineStr">
        <is>
          <t>ESPAÑA</t>
        </is>
      </c>
      <c r="C66" s="25" t="inlineStr">
        <is>
          <t>INIESTA DEL PINO DISTRIBUCIONES S.L.U</t>
        </is>
      </c>
      <c r="D66" s="26" t="inlineStr">
        <is>
          <t>CALCIO0005</t>
        </is>
      </c>
      <c r="E66" s="25" t="inlineStr">
        <is>
          <t>CALCIAMEC, 5 KG</t>
        </is>
      </c>
      <c r="F66" s="27" t="n">
        <v>75</v>
      </c>
      <c r="G66" s="28" t="n">
        <v>0</v>
      </c>
      <c r="H66" s="29">
        <f>ABS(G66-F66)</f>
        <v/>
      </c>
      <c r="I66" s="30">
        <f>IF(F66&gt;0, G66/F66, IF(G66&gt;0, 1.0, 0.0))</f>
        <v/>
      </c>
      <c r="J66" s="31" t="inlineStr"/>
      <c r="K66" s="27" t="n">
        <v>0</v>
      </c>
      <c r="L66" s="32" t="n">
        <v>0</v>
      </c>
      <c r="M66" s="27" t="n">
        <v>0</v>
      </c>
      <c r="N66" s="32" t="n">
        <v>0</v>
      </c>
      <c r="O66" s="27">
        <f>F66+K66+M66</f>
        <v/>
      </c>
      <c r="P66" s="32">
        <f>F66+L66+N66</f>
        <v/>
      </c>
      <c r="Q66" s="33">
        <f>P66-O66</f>
        <v/>
      </c>
      <c r="R66" s="34" t="inlineStr"/>
    </row>
    <row r="67" ht="19" customHeight="1">
      <c r="B67" s="35" t="inlineStr">
        <is>
          <t>ESPAÑA</t>
        </is>
      </c>
      <c r="C67" s="36" t="inlineStr">
        <is>
          <t>INIESTA DEL PINO DISTRIBUCIONES S.L.U</t>
        </is>
      </c>
      <c r="D67" s="37" t="inlineStr">
        <is>
          <t>CBROT0005</t>
        </is>
      </c>
      <c r="E67" s="36" t="inlineStr">
        <is>
          <t>CODIBROT, 5 L</t>
        </is>
      </c>
      <c r="F67" s="27" t="n">
        <v>0</v>
      </c>
      <c r="G67" s="38" t="n">
        <v>20</v>
      </c>
      <c r="H67" s="29">
        <f>ABS(G67-F67)</f>
        <v/>
      </c>
      <c r="I67" s="30">
        <f>IF(F67&gt;0, G67/F67, IF(G67&gt;0, 1.0, 0.0))</f>
        <v/>
      </c>
      <c r="J67" s="31" t="inlineStr">
        <is>
          <t>Pedido extra no previsto</t>
        </is>
      </c>
      <c r="K67" s="27" t="n">
        <v>0</v>
      </c>
      <c r="L67" s="32" t="n">
        <v>0</v>
      </c>
      <c r="M67" s="27" t="n">
        <v>0</v>
      </c>
      <c r="N67" s="32" t="n">
        <v>0</v>
      </c>
      <c r="O67" s="27">
        <f>F67+K67+M67</f>
        <v/>
      </c>
      <c r="P67" s="32">
        <f>F67+L67+N67</f>
        <v/>
      </c>
      <c r="Q67" s="33">
        <f>P67-O67</f>
        <v/>
      </c>
      <c r="R67" s="34" t="inlineStr"/>
    </row>
    <row r="68" ht="19" customHeight="1">
      <c r="B68" s="24" t="inlineStr">
        <is>
          <t>ESPAÑA</t>
        </is>
      </c>
      <c r="C68" s="25" t="inlineStr">
        <is>
          <t>INIESTA DEL PINO DISTRIBUCIONES S.L.U</t>
        </is>
      </c>
      <c r="D68" s="26" t="inlineStr">
        <is>
          <t>TRI0005</t>
        </is>
      </c>
      <c r="E68" s="25" t="inlineStr">
        <is>
          <t>TRIFENO-94, 5L</t>
        </is>
      </c>
      <c r="F68" s="27" t="n">
        <v>80</v>
      </c>
      <c r="G68" s="28" t="n">
        <v>0</v>
      </c>
      <c r="H68" s="29">
        <f>ABS(G68-F68)</f>
        <v/>
      </c>
      <c r="I68" s="30">
        <f>IF(F68&gt;0, G68/F68, IF(G68&gt;0, 1.0, 0.0))</f>
        <v/>
      </c>
      <c r="J68" s="31" t="inlineStr"/>
      <c r="K68" s="27" t="n">
        <v>0</v>
      </c>
      <c r="L68" s="32" t="n">
        <v>0</v>
      </c>
      <c r="M68" s="27" t="n">
        <v>240</v>
      </c>
      <c r="N68" s="32" t="n">
        <v>240</v>
      </c>
      <c r="O68" s="27">
        <f>F68+K68+M68</f>
        <v/>
      </c>
      <c r="P68" s="32">
        <f>F68+L68+N68</f>
        <v/>
      </c>
      <c r="Q68" s="33">
        <f>P68-O68</f>
        <v/>
      </c>
      <c r="R68" s="34" t="inlineStr"/>
    </row>
    <row r="69" ht="19" customHeight="1">
      <c r="B69" s="35" t="inlineStr">
        <is>
          <t>ESPAÑA</t>
        </is>
      </c>
      <c r="C69" s="36" t="inlineStr">
        <is>
          <t>ROMAROC PONIENTE, S.L.</t>
        </is>
      </c>
      <c r="D69" s="37" t="inlineStr">
        <is>
          <t>AGXK0200</t>
        </is>
      </c>
      <c r="E69" s="36" t="inlineStr">
        <is>
          <t>AGROXILATO-K, 200 L</t>
        </is>
      </c>
      <c r="F69" s="27" t="n">
        <v>800</v>
      </c>
      <c r="G69" s="38" t="n">
        <v>0</v>
      </c>
      <c r="H69" s="29">
        <f>ABS(G69-F69)</f>
        <v/>
      </c>
      <c r="I69" s="30">
        <f>IF(F69&gt;0, G69/F69, IF(G69&gt;0, 1.0, 0.0))</f>
        <v/>
      </c>
      <c r="J69" s="31" t="inlineStr"/>
      <c r="K69" s="27" t="n">
        <v>0</v>
      </c>
      <c r="L69" s="32" t="n">
        <v>0</v>
      </c>
      <c r="M69" s="27" t="n">
        <v>0</v>
      </c>
      <c r="N69" s="32" t="n">
        <v>0</v>
      </c>
      <c r="O69" s="27">
        <f>F69+K69+M69</f>
        <v/>
      </c>
      <c r="P69" s="32">
        <f>F69+L69+N69</f>
        <v/>
      </c>
      <c r="Q69" s="33">
        <f>P69-O69</f>
        <v/>
      </c>
      <c r="R69" s="34" t="inlineStr"/>
    </row>
    <row r="70" ht="19" customHeight="1">
      <c r="B70" s="24" t="inlineStr">
        <is>
          <t>RUMANÍA</t>
        </is>
      </c>
      <c r="C70" s="25" t="inlineStr">
        <is>
          <t>SC MARCOSER S.R.L.</t>
        </is>
      </c>
      <c r="D70" s="26" t="inlineStr">
        <is>
          <t>A-500001</t>
        </is>
      </c>
      <c r="E70" s="25" t="inlineStr">
        <is>
          <t>CODIORGAN  A-50</t>
        </is>
      </c>
      <c r="F70" s="27" t="n">
        <v>1056</v>
      </c>
      <c r="G70" s="28" t="n">
        <v>0</v>
      </c>
      <c r="H70" s="29">
        <f>ABS(G70-F70)</f>
        <v/>
      </c>
      <c r="I70" s="30">
        <f>IF(F70&gt;0, G70/F70, IF(G70&gt;0, 1.0, 0.0))</f>
        <v/>
      </c>
      <c r="J70" s="31" t="inlineStr"/>
      <c r="K70" s="27" t="n">
        <v>0</v>
      </c>
      <c r="L70" s="32" t="n">
        <v>0</v>
      </c>
      <c r="M70" s="27" t="n">
        <v>0</v>
      </c>
      <c r="N70" s="32" t="n">
        <v>0</v>
      </c>
      <c r="O70" s="27">
        <f>F70+K70+M70</f>
        <v/>
      </c>
      <c r="P70" s="32">
        <f>F70+L70+N70</f>
        <v/>
      </c>
      <c r="Q70" s="33">
        <f>P70-O70</f>
        <v/>
      </c>
      <c r="R70" s="34" t="inlineStr"/>
    </row>
    <row r="71" ht="19" customHeight="1">
      <c r="B71" s="35" t="inlineStr">
        <is>
          <t>RUMANÍA</t>
        </is>
      </c>
      <c r="C71" s="36" t="inlineStr">
        <is>
          <t>SC MARCOSER S.R.L.</t>
        </is>
      </c>
      <c r="D71" s="37" t="inlineStr">
        <is>
          <t>AGMG0001</t>
        </is>
      </c>
      <c r="E71" s="36" t="inlineStr">
        <is>
          <t>AGROXILATO Mg</t>
        </is>
      </c>
      <c r="F71" s="27" t="n">
        <v>528</v>
      </c>
      <c r="G71" s="38" t="n">
        <v>0</v>
      </c>
      <c r="H71" s="29">
        <f>ABS(G71-F71)</f>
        <v/>
      </c>
      <c r="I71" s="30">
        <f>IF(F71&gt;0, G71/F71, IF(G71&gt;0, 1.0, 0.0))</f>
        <v/>
      </c>
      <c r="J71" s="31" t="inlineStr"/>
      <c r="K71" s="27" t="n">
        <v>0</v>
      </c>
      <c r="L71" s="32" t="n">
        <v>0</v>
      </c>
      <c r="M71" s="27" t="n">
        <v>0</v>
      </c>
      <c r="N71" s="32" t="n">
        <v>0</v>
      </c>
      <c r="O71" s="27">
        <f>F71+K71+M71</f>
        <v/>
      </c>
      <c r="P71" s="32">
        <f>F71+L71+N71</f>
        <v/>
      </c>
      <c r="Q71" s="33">
        <f>P71-O71</f>
        <v/>
      </c>
      <c r="R71" s="34" t="inlineStr"/>
    </row>
    <row r="72" ht="19" customHeight="1">
      <c r="B72" s="24" t="inlineStr">
        <is>
          <t>RUMANÍA</t>
        </is>
      </c>
      <c r="C72" s="25" t="inlineStr">
        <is>
          <t>SC MARCOSER S.R.L.</t>
        </is>
      </c>
      <c r="D72" s="26" t="inlineStr">
        <is>
          <t>AGXCR0020</t>
        </is>
      </c>
      <c r="E72" s="25" t="inlineStr">
        <is>
          <t>AGROXILATO-K</t>
        </is>
      </c>
      <c r="F72" s="27" t="n">
        <v>0</v>
      </c>
      <c r="G72" s="28" t="n">
        <v>0</v>
      </c>
      <c r="H72" s="29">
        <f>ABS(G72-F72)</f>
        <v/>
      </c>
      <c r="I72" s="30">
        <f>IF(F72&gt;0, G72/F72, IF(G72&gt;0, 1.0, 0.0))</f>
        <v/>
      </c>
      <c r="J72" s="31" t="inlineStr"/>
      <c r="K72" s="27" t="n">
        <v>640</v>
      </c>
      <c r="L72" s="32" t="n">
        <v>640</v>
      </c>
      <c r="M72" s="27" t="n">
        <v>0</v>
      </c>
      <c r="N72" s="32" t="n">
        <v>0</v>
      </c>
      <c r="O72" s="27">
        <f>F72+K72+M72</f>
        <v/>
      </c>
      <c r="P72" s="32">
        <f>F72+L72+N72</f>
        <v/>
      </c>
      <c r="Q72" s="33">
        <f>P72-O72</f>
        <v/>
      </c>
      <c r="R72" s="34" t="inlineStr"/>
    </row>
    <row r="73" ht="19" customHeight="1">
      <c r="B73" s="35" t="inlineStr">
        <is>
          <t>RUMANÍA</t>
        </is>
      </c>
      <c r="C73" s="36" t="inlineStr">
        <is>
          <t>SC MARCOSER S.R.L.</t>
        </is>
      </c>
      <c r="D73" s="37" t="inlineStr">
        <is>
          <t>AGXCR1000</t>
        </is>
      </c>
      <c r="E73" s="36" t="inlineStr">
        <is>
          <t>AGROXILATO-K</t>
        </is>
      </c>
      <c r="F73" s="27" t="n">
        <v>0</v>
      </c>
      <c r="G73" s="38" t="n">
        <v>0</v>
      </c>
      <c r="H73" s="29">
        <f>ABS(G73-F73)</f>
        <v/>
      </c>
      <c r="I73" s="30">
        <f>IF(F73&gt;0, G73/F73, IF(G73&gt;0, 1.0, 0.0))</f>
        <v/>
      </c>
      <c r="J73" s="31" t="inlineStr"/>
      <c r="K73" s="27" t="n">
        <v>1000</v>
      </c>
      <c r="L73" s="32" t="n">
        <v>1000</v>
      </c>
      <c r="M73" s="27" t="n">
        <v>0</v>
      </c>
      <c r="N73" s="32" t="n">
        <v>0</v>
      </c>
      <c r="O73" s="27">
        <f>F73+K73+M73</f>
        <v/>
      </c>
      <c r="P73" s="32">
        <f>F73+L73+N73</f>
        <v/>
      </c>
      <c r="Q73" s="33">
        <f>P73-O73</f>
        <v/>
      </c>
      <c r="R73" s="34" t="inlineStr"/>
    </row>
    <row r="74" ht="19" customHeight="1">
      <c r="B74" s="24" t="inlineStr">
        <is>
          <t>RUMANÍA</t>
        </is>
      </c>
      <c r="C74" s="25" t="inlineStr">
        <is>
          <t>SC MARCOSER S.R.L.</t>
        </is>
      </c>
      <c r="D74" s="26" t="inlineStr">
        <is>
          <t>AGXKAE0001</t>
        </is>
      </c>
      <c r="E74" s="25" t="inlineStr">
        <is>
          <t>BIOCULTURE POTASIO</t>
        </is>
      </c>
      <c r="F74" s="27" t="n">
        <v>0</v>
      </c>
      <c r="G74" s="28" t="n">
        <v>0</v>
      </c>
      <c r="H74" s="29">
        <f>ABS(G74-F74)</f>
        <v/>
      </c>
      <c r="I74" s="30">
        <f>IF(F74&gt;0, G74/F74, IF(G74&gt;0, 1.0, 0.0))</f>
        <v/>
      </c>
      <c r="J74" s="31" t="inlineStr"/>
      <c r="K74" s="27" t="n">
        <v>0</v>
      </c>
      <c r="L74" s="32" t="n">
        <v>0</v>
      </c>
      <c r="M74" s="27" t="n">
        <v>0</v>
      </c>
      <c r="N74" s="32" t="n">
        <v>0</v>
      </c>
      <c r="O74" s="27">
        <f>F74+K74+M74</f>
        <v/>
      </c>
      <c r="P74" s="32">
        <f>F74+L74+N74</f>
        <v/>
      </c>
      <c r="Q74" s="33">
        <f>P74-O74</f>
        <v/>
      </c>
      <c r="R74" s="34" t="inlineStr"/>
    </row>
    <row r="75" ht="19" customHeight="1">
      <c r="B75" s="35" t="inlineStr">
        <is>
          <t>ESPAÑA</t>
        </is>
      </c>
      <c r="C75" s="36" t="inlineStr">
        <is>
          <t>SC MARCOSER S.R.L.</t>
        </is>
      </c>
      <c r="D75" s="37" t="inlineStr">
        <is>
          <t>AGXKAEP0001</t>
        </is>
      </c>
      <c r="E75" s="36" t="inlineStr">
        <is>
          <t>BIOCULTURE POTASIO PLUS, 1 L</t>
        </is>
      </c>
      <c r="F75" s="27" t="n">
        <v>396</v>
      </c>
      <c r="G75" s="38" t="n">
        <v>0</v>
      </c>
      <c r="H75" s="29">
        <f>ABS(G75-F75)</f>
        <v/>
      </c>
      <c r="I75" s="30">
        <f>IF(F75&gt;0, G75/F75, IF(G75&gt;0, 1.0, 0.0))</f>
        <v/>
      </c>
      <c r="J75" s="31" t="inlineStr"/>
      <c r="K75" s="27" t="n">
        <v>0</v>
      </c>
      <c r="L75" s="32" t="n">
        <v>0</v>
      </c>
      <c r="M75" s="27" t="n">
        <v>0</v>
      </c>
      <c r="N75" s="32" t="n">
        <v>0</v>
      </c>
      <c r="O75" s="27">
        <f>F75+K75+M75</f>
        <v/>
      </c>
      <c r="P75" s="32">
        <f>F75+L75+N75</f>
        <v/>
      </c>
      <c r="Q75" s="33">
        <f>P75-O75</f>
        <v/>
      </c>
      <c r="R75" s="34" t="inlineStr"/>
    </row>
    <row r="76" ht="19" customHeight="1">
      <c r="B76" s="24" t="inlineStr">
        <is>
          <t>RUMANÍA</t>
        </is>
      </c>
      <c r="C76" s="25" t="inlineStr">
        <is>
          <t>SC MARCOSER S.R.L.</t>
        </is>
      </c>
      <c r="D76" s="26" t="inlineStr">
        <is>
          <t>AN0020</t>
        </is>
      </c>
      <c r="E76" s="25" t="inlineStr">
        <is>
          <t>ALCAPLANT NEW</t>
        </is>
      </c>
      <c r="F76" s="27" t="n">
        <v>0</v>
      </c>
      <c r="G76" s="28" t="n">
        <v>0</v>
      </c>
      <c r="H76" s="29">
        <f>ABS(G76-F76)</f>
        <v/>
      </c>
      <c r="I76" s="30">
        <f>IF(F76&gt;0, G76/F76, IF(G76&gt;0, 1.0, 0.0))</f>
        <v/>
      </c>
      <c r="J76" s="31" t="inlineStr"/>
      <c r="K76" s="27" t="n">
        <v>1100</v>
      </c>
      <c r="L76" s="32" t="n">
        <v>1100</v>
      </c>
      <c r="M76" s="27" t="n">
        <v>0</v>
      </c>
      <c r="N76" s="32" t="n">
        <v>0</v>
      </c>
      <c r="O76" s="27">
        <f>F76+K76+M76</f>
        <v/>
      </c>
      <c r="P76" s="32">
        <f>F76+L76+N76</f>
        <v/>
      </c>
      <c r="Q76" s="33">
        <f>P76-O76</f>
        <v/>
      </c>
      <c r="R76" s="34" t="inlineStr"/>
    </row>
    <row r="77" ht="19" customHeight="1">
      <c r="B77" s="35" t="inlineStr">
        <is>
          <t>RUMANÍA</t>
        </is>
      </c>
      <c r="C77" s="36" t="inlineStr">
        <is>
          <t>SC MARCOSER S.R.L.</t>
        </is>
      </c>
      <c r="D77" s="37" t="inlineStr">
        <is>
          <t>AVAN0001</t>
        </is>
      </c>
      <c r="E77" s="36" t="inlineStr">
        <is>
          <t>FLORAMEC AVANCE</t>
        </is>
      </c>
      <c r="F77" s="27" t="n">
        <v>0</v>
      </c>
      <c r="G77" s="38" t="n">
        <v>0</v>
      </c>
      <c r="H77" s="29">
        <f>ABS(G77-F77)</f>
        <v/>
      </c>
      <c r="I77" s="30">
        <f>IF(F77&gt;0, G77/F77, IF(G77&gt;0, 1.0, 0.0))</f>
        <v/>
      </c>
      <c r="J77" s="31" t="inlineStr"/>
      <c r="K77" s="27" t="n">
        <v>300</v>
      </c>
      <c r="L77" s="32" t="n">
        <v>300</v>
      </c>
      <c r="M77" s="27" t="n">
        <v>0</v>
      </c>
      <c r="N77" s="32" t="n">
        <v>0</v>
      </c>
      <c r="O77" s="27">
        <f>F77+K77+M77</f>
        <v/>
      </c>
      <c r="P77" s="32">
        <f>F77+L77+N77</f>
        <v/>
      </c>
      <c r="Q77" s="33">
        <f>P77-O77</f>
        <v/>
      </c>
      <c r="R77" s="34" t="inlineStr"/>
    </row>
    <row r="78" ht="19" customHeight="1">
      <c r="B78" s="24" t="inlineStr">
        <is>
          <t>RUMANÍA</t>
        </is>
      </c>
      <c r="C78" s="25" t="inlineStr">
        <is>
          <t>SC MARCOSER S.R.L.</t>
        </is>
      </c>
      <c r="D78" s="26" t="inlineStr">
        <is>
          <t>AVAN0200</t>
        </is>
      </c>
      <c r="E78" s="25" t="inlineStr">
        <is>
          <t>FLORAMEC AVANCE, 200 L</t>
        </is>
      </c>
      <c r="F78" s="27" t="n">
        <v>0</v>
      </c>
      <c r="G78" s="28" t="n">
        <v>0</v>
      </c>
      <c r="H78" s="29">
        <f>ABS(G78-F78)</f>
        <v/>
      </c>
      <c r="I78" s="30">
        <f>IF(F78&gt;0, G78/F78, IF(G78&gt;0, 1.0, 0.0))</f>
        <v/>
      </c>
      <c r="J78" s="31" t="inlineStr"/>
      <c r="K78" s="27" t="n">
        <v>400</v>
      </c>
      <c r="L78" s="32" t="n">
        <v>400</v>
      </c>
      <c r="M78" s="27" t="n">
        <v>0</v>
      </c>
      <c r="N78" s="32" t="n">
        <v>0</v>
      </c>
      <c r="O78" s="27">
        <f>F78+K78+M78</f>
        <v/>
      </c>
      <c r="P78" s="32">
        <f>F78+L78+N78</f>
        <v/>
      </c>
      <c r="Q78" s="33">
        <f>P78-O78</f>
        <v/>
      </c>
      <c r="R78" s="34" t="inlineStr"/>
    </row>
    <row r="79" ht="19" customHeight="1">
      <c r="B79" s="35" t="inlineStr">
        <is>
          <t>RUMANÍA</t>
        </is>
      </c>
      <c r="C79" s="36" t="inlineStr">
        <is>
          <t>SC MARCOSER S.R.L.</t>
        </is>
      </c>
      <c r="D79" s="37" t="inlineStr">
        <is>
          <t>B0001</t>
        </is>
      </c>
      <c r="E79" s="36" t="inlineStr">
        <is>
          <t>BOROCAL</t>
        </is>
      </c>
      <c r="F79" s="27" t="n">
        <v>0</v>
      </c>
      <c r="G79" s="38" t="n">
        <v>0</v>
      </c>
      <c r="H79" s="29">
        <f>ABS(G79-F79)</f>
        <v/>
      </c>
      <c r="I79" s="30">
        <f>IF(F79&gt;0, G79/F79, IF(G79&gt;0, 1.0, 0.0))</f>
        <v/>
      </c>
      <c r="J79" s="31" t="inlineStr"/>
      <c r="K79" s="27" t="n">
        <v>660</v>
      </c>
      <c r="L79" s="32" t="n">
        <v>660</v>
      </c>
      <c r="M79" s="27" t="n">
        <v>0</v>
      </c>
      <c r="N79" s="32" t="n">
        <v>0</v>
      </c>
      <c r="O79" s="27">
        <f>F79+K79+M79</f>
        <v/>
      </c>
      <c r="P79" s="32">
        <f>F79+L79+N79</f>
        <v/>
      </c>
      <c r="Q79" s="33">
        <f>P79-O79</f>
        <v/>
      </c>
      <c r="R79" s="34" t="inlineStr"/>
    </row>
    <row r="80" ht="19" customHeight="1">
      <c r="B80" s="24" t="inlineStr">
        <is>
          <t>RUMANÍA</t>
        </is>
      </c>
      <c r="C80" s="25" t="inlineStr">
        <is>
          <t>SC MARCOSER S.R.L.</t>
        </is>
      </c>
      <c r="D80" s="26" t="inlineStr">
        <is>
          <t>B0020</t>
        </is>
      </c>
      <c r="E80" s="25" t="inlineStr">
        <is>
          <t>BOROCAL</t>
        </is>
      </c>
      <c r="F80" s="27" t="n">
        <v>0</v>
      </c>
      <c r="G80" s="28" t="n">
        <v>0</v>
      </c>
      <c r="H80" s="29">
        <f>ABS(G80-F80)</f>
        <v/>
      </c>
      <c r="I80" s="30">
        <f>IF(F80&gt;0, G80/F80, IF(G80&gt;0, 1.0, 0.0))</f>
        <v/>
      </c>
      <c r="J80" s="31" t="inlineStr"/>
      <c r="K80" s="27" t="n">
        <v>640</v>
      </c>
      <c r="L80" s="32" t="n">
        <v>640</v>
      </c>
      <c r="M80" s="27" t="n">
        <v>0</v>
      </c>
      <c r="N80" s="32" t="n">
        <v>0</v>
      </c>
      <c r="O80" s="27">
        <f>F80+K80+M80</f>
        <v/>
      </c>
      <c r="P80" s="32">
        <f>F80+L80+N80</f>
        <v/>
      </c>
      <c r="Q80" s="33">
        <f>P80-O80</f>
        <v/>
      </c>
      <c r="R80" s="34" t="inlineStr"/>
    </row>
    <row r="81" ht="19" customHeight="1">
      <c r="B81" s="35" t="inlineStr">
        <is>
          <t>RUMANÍA</t>
        </is>
      </c>
      <c r="C81" s="36" t="inlineStr">
        <is>
          <t>SC MARCOSER S.R.L.</t>
        </is>
      </c>
      <c r="D81" s="37" t="inlineStr">
        <is>
          <t>B1000</t>
        </is>
      </c>
      <c r="E81" s="36" t="inlineStr">
        <is>
          <t>BOROCAL, 1000 L</t>
        </is>
      </c>
      <c r="F81" s="27" t="n">
        <v>0</v>
      </c>
      <c r="G81" s="38" t="n">
        <v>0</v>
      </c>
      <c r="H81" s="29">
        <f>ABS(G81-F81)</f>
        <v/>
      </c>
      <c r="I81" s="30">
        <f>IF(F81&gt;0, G81/F81, IF(G81&gt;0, 1.0, 0.0))</f>
        <v/>
      </c>
      <c r="J81" s="31" t="inlineStr"/>
      <c r="K81" s="27" t="n">
        <v>1000</v>
      </c>
      <c r="L81" s="32" t="n">
        <v>1000</v>
      </c>
      <c r="M81" s="27" t="n">
        <v>0</v>
      </c>
      <c r="N81" s="32" t="n">
        <v>0</v>
      </c>
      <c r="O81" s="27">
        <f>F81+K81+M81</f>
        <v/>
      </c>
      <c r="P81" s="32">
        <f>F81+L81+N81</f>
        <v/>
      </c>
      <c r="Q81" s="33">
        <f>P81-O81</f>
        <v/>
      </c>
      <c r="R81" s="34" t="inlineStr"/>
    </row>
    <row r="82" ht="19" customHeight="1">
      <c r="B82" s="24" t="inlineStr">
        <is>
          <t>RUMANÍA</t>
        </is>
      </c>
      <c r="C82" s="25" t="inlineStr">
        <is>
          <t>SC MARCOSER S.R.L.</t>
        </is>
      </c>
      <c r="D82" s="26" t="inlineStr">
        <is>
          <t>BIO0001</t>
        </is>
      </c>
      <c r="E82" s="25" t="inlineStr">
        <is>
          <t>BIORAD-20</t>
        </is>
      </c>
      <c r="F82" s="27" t="n">
        <v>792</v>
      </c>
      <c r="G82" s="28" t="n">
        <v>0</v>
      </c>
      <c r="H82" s="29">
        <f>ABS(G82-F82)</f>
        <v/>
      </c>
      <c r="I82" s="30">
        <f>IF(F82&gt;0, G82/F82, IF(G82&gt;0, 1.0, 0.0))</f>
        <v/>
      </c>
      <c r="J82" s="31" t="inlineStr"/>
      <c r="K82" s="27" t="n">
        <v>0</v>
      </c>
      <c r="L82" s="32" t="n">
        <v>0</v>
      </c>
      <c r="M82" s="27" t="n">
        <v>0</v>
      </c>
      <c r="N82" s="32" t="n">
        <v>0</v>
      </c>
      <c r="O82" s="27">
        <f>F82+K82+M82</f>
        <v/>
      </c>
      <c r="P82" s="32">
        <f>F82+L82+N82</f>
        <v/>
      </c>
      <c r="Q82" s="33">
        <f>P82-O82</f>
        <v/>
      </c>
      <c r="R82" s="34" t="inlineStr"/>
    </row>
    <row r="83" ht="19" customHeight="1">
      <c r="B83" s="35" t="inlineStr">
        <is>
          <t>RUMANÍA</t>
        </is>
      </c>
      <c r="C83" s="36" t="inlineStr">
        <is>
          <t>SC MARCOSER S.R.L.</t>
        </is>
      </c>
      <c r="D83" s="37" t="inlineStr">
        <is>
          <t>BIO0005</t>
        </is>
      </c>
      <c r="E83" s="36" t="inlineStr">
        <is>
          <t>BIORAD-20</t>
        </is>
      </c>
      <c r="F83" s="27" t="n">
        <v>600</v>
      </c>
      <c r="G83" s="38" t="n">
        <v>0</v>
      </c>
      <c r="H83" s="29">
        <f>ABS(G83-F83)</f>
        <v/>
      </c>
      <c r="I83" s="30">
        <f>IF(F83&gt;0, G83/F83, IF(G83&gt;0, 1.0, 0.0))</f>
        <v/>
      </c>
      <c r="J83" s="31" t="inlineStr"/>
      <c r="K83" s="27" t="n">
        <v>0</v>
      </c>
      <c r="L83" s="32" t="n">
        <v>0</v>
      </c>
      <c r="M83" s="27" t="n">
        <v>0</v>
      </c>
      <c r="N83" s="32" t="n">
        <v>0</v>
      </c>
      <c r="O83" s="27">
        <f>F83+K83+M83</f>
        <v/>
      </c>
      <c r="P83" s="32">
        <f>F83+L83+N83</f>
        <v/>
      </c>
      <c r="Q83" s="33">
        <f>P83-O83</f>
        <v/>
      </c>
      <c r="R83" s="34" t="inlineStr"/>
    </row>
    <row r="84" ht="19" customHeight="1">
      <c r="B84" s="24" t="inlineStr">
        <is>
          <t>RUMANÍA</t>
        </is>
      </c>
      <c r="C84" s="25" t="inlineStr">
        <is>
          <t>SC MARCOSER S.R.L.</t>
        </is>
      </c>
      <c r="D84" s="26" t="inlineStr">
        <is>
          <t>BIO0020</t>
        </is>
      </c>
      <c r="E84" s="25" t="inlineStr">
        <is>
          <t>BIORAD-20</t>
        </is>
      </c>
      <c r="F84" s="27" t="n">
        <v>640</v>
      </c>
      <c r="G84" s="28" t="n">
        <v>0</v>
      </c>
      <c r="H84" s="29">
        <f>ABS(G84-F84)</f>
        <v/>
      </c>
      <c r="I84" s="30">
        <f>IF(F84&gt;0, G84/F84, IF(G84&gt;0, 1.0, 0.0))</f>
        <v/>
      </c>
      <c r="J84" s="31" t="inlineStr"/>
      <c r="K84" s="27" t="n">
        <v>0</v>
      </c>
      <c r="L84" s="32" t="n">
        <v>0</v>
      </c>
      <c r="M84" s="27" t="n">
        <v>0</v>
      </c>
      <c r="N84" s="32" t="n">
        <v>0</v>
      </c>
      <c r="O84" s="27">
        <f>F84+K84+M84</f>
        <v/>
      </c>
      <c r="P84" s="32">
        <f>F84+L84+N84</f>
        <v/>
      </c>
      <c r="Q84" s="33">
        <f>P84-O84</f>
        <v/>
      </c>
      <c r="R84" s="34" t="inlineStr"/>
    </row>
    <row r="85" ht="19" customHeight="1">
      <c r="B85" s="35" t="inlineStr">
        <is>
          <t>RUMANÍA</t>
        </is>
      </c>
      <c r="C85" s="36" t="inlineStr">
        <is>
          <t>SC MARCOSER S.R.L.</t>
        </is>
      </c>
      <c r="D85" s="37" t="inlineStr">
        <is>
          <t>C-CU0001</t>
        </is>
      </c>
      <c r="E85" s="36" t="inlineStr">
        <is>
          <t>CODICOBRE</t>
        </is>
      </c>
      <c r="F85" s="27" t="n">
        <v>0</v>
      </c>
      <c r="G85" s="38" t="n">
        <v>0</v>
      </c>
      <c r="H85" s="29">
        <f>ABS(G85-F85)</f>
        <v/>
      </c>
      <c r="I85" s="30">
        <f>IF(F85&gt;0, G85/F85, IF(G85&gt;0, 1.0, 0.0))</f>
        <v/>
      </c>
      <c r="J85" s="31" t="inlineStr"/>
      <c r="K85" s="27" t="n">
        <v>660</v>
      </c>
      <c r="L85" s="32" t="n">
        <v>660</v>
      </c>
      <c r="M85" s="27" t="n">
        <v>0</v>
      </c>
      <c r="N85" s="32" t="n">
        <v>0</v>
      </c>
      <c r="O85" s="27">
        <f>F85+K85+M85</f>
        <v/>
      </c>
      <c r="P85" s="32">
        <f>F85+L85+N85</f>
        <v/>
      </c>
      <c r="Q85" s="33">
        <f>P85-O85</f>
        <v/>
      </c>
      <c r="R85" s="34" t="inlineStr"/>
    </row>
    <row r="86" ht="19" customHeight="1">
      <c r="B86" s="24" t="inlineStr">
        <is>
          <t>RUMANÍA</t>
        </is>
      </c>
      <c r="C86" s="25" t="inlineStr">
        <is>
          <t>SC MARCOSER S.R.L.</t>
        </is>
      </c>
      <c r="D86" s="26" t="inlineStr">
        <is>
          <t>C-CU0020</t>
        </is>
      </c>
      <c r="E86" s="25" t="inlineStr">
        <is>
          <t>CODICOBRE</t>
        </is>
      </c>
      <c r="F86" s="27" t="n">
        <v>0</v>
      </c>
      <c r="G86" s="28" t="n">
        <v>0</v>
      </c>
      <c r="H86" s="29">
        <f>ABS(G86-F86)</f>
        <v/>
      </c>
      <c r="I86" s="30">
        <f>IF(F86&gt;0, G86/F86, IF(G86&gt;0, 1.0, 0.0))</f>
        <v/>
      </c>
      <c r="J86" s="31" t="inlineStr"/>
      <c r="K86" s="27" t="n">
        <v>320</v>
      </c>
      <c r="L86" s="32" t="n">
        <v>320</v>
      </c>
      <c r="M86" s="27" t="n">
        <v>0</v>
      </c>
      <c r="N86" s="32" t="n">
        <v>0</v>
      </c>
      <c r="O86" s="27">
        <f>F86+K86+M86</f>
        <v/>
      </c>
      <c r="P86" s="32">
        <f>F86+L86+N86</f>
        <v/>
      </c>
      <c r="Q86" s="33">
        <f>P86-O86</f>
        <v/>
      </c>
      <c r="R86" s="34" t="inlineStr"/>
    </row>
    <row r="87" ht="19" customHeight="1">
      <c r="B87" s="35" t="inlineStr">
        <is>
          <t>RUMANÍA</t>
        </is>
      </c>
      <c r="C87" s="36" t="inlineStr">
        <is>
          <t>SC MARCOSER S.R.L.</t>
        </is>
      </c>
      <c r="D87" s="37" t="inlineStr">
        <is>
          <t>C-L0001</t>
        </is>
      </c>
      <c r="E87" s="36" t="inlineStr">
        <is>
          <t>CODIBOR-L</t>
        </is>
      </c>
      <c r="F87" s="27" t="n">
        <v>792</v>
      </c>
      <c r="G87" s="38" t="n">
        <v>0</v>
      </c>
      <c r="H87" s="29">
        <f>ABS(G87-F87)</f>
        <v/>
      </c>
      <c r="I87" s="30">
        <f>IF(F87&gt;0, G87/F87, IF(G87&gt;0, 1.0, 0.0))</f>
        <v/>
      </c>
      <c r="J87" s="31" t="inlineStr"/>
      <c r="K87" s="27" t="n">
        <v>0</v>
      </c>
      <c r="L87" s="32" t="n">
        <v>0</v>
      </c>
      <c r="M87" s="27" t="n">
        <v>0</v>
      </c>
      <c r="N87" s="32" t="n">
        <v>0</v>
      </c>
      <c r="O87" s="27">
        <f>F87+K87+M87</f>
        <v/>
      </c>
      <c r="P87" s="32">
        <f>F87+L87+N87</f>
        <v/>
      </c>
      <c r="Q87" s="33">
        <f>P87-O87</f>
        <v/>
      </c>
      <c r="R87" s="34" t="inlineStr"/>
    </row>
    <row r="88" ht="19" customHeight="1">
      <c r="B88" s="24" t="inlineStr">
        <is>
          <t>RUMANÍA</t>
        </is>
      </c>
      <c r="C88" s="25" t="inlineStr">
        <is>
          <t>SC MARCOSER S.R.L.</t>
        </is>
      </c>
      <c r="D88" s="26" t="inlineStr">
        <is>
          <t>FLOR0001</t>
        </is>
      </c>
      <c r="E88" s="25" t="inlineStr">
        <is>
          <t>FLORAMEC</t>
        </is>
      </c>
      <c r="F88" s="27" t="n">
        <v>0</v>
      </c>
      <c r="G88" s="28" t="n">
        <v>0</v>
      </c>
      <c r="H88" s="29">
        <f>ABS(G88-F88)</f>
        <v/>
      </c>
      <c r="I88" s="30">
        <f>IF(F88&gt;0, G88/F88, IF(G88&gt;0, 1.0, 0.0))</f>
        <v/>
      </c>
      <c r="J88" s="31" t="inlineStr"/>
      <c r="K88" s="27" t="n">
        <v>300</v>
      </c>
      <c r="L88" s="32" t="n">
        <v>300</v>
      </c>
      <c r="M88" s="27" t="n">
        <v>0</v>
      </c>
      <c r="N88" s="32" t="n">
        <v>0</v>
      </c>
      <c r="O88" s="27">
        <f>F88+K88+M88</f>
        <v/>
      </c>
      <c r="P88" s="32">
        <f>F88+L88+N88</f>
        <v/>
      </c>
      <c r="Q88" s="33">
        <f>P88-O88</f>
        <v/>
      </c>
      <c r="R88" s="34" t="inlineStr"/>
    </row>
    <row r="89" ht="19" customHeight="1">
      <c r="B89" s="35" t="inlineStr">
        <is>
          <t>RUMANÍA</t>
        </is>
      </c>
      <c r="C89" s="36" t="inlineStr">
        <is>
          <t>SC MARCOSER S.R.L.</t>
        </is>
      </c>
      <c r="D89" s="37" t="inlineStr">
        <is>
          <t>G0001</t>
        </is>
      </c>
      <c r="E89" s="36" t="inlineStr">
        <is>
          <t>GREEN-UP</t>
        </is>
      </c>
      <c r="F89" s="27" t="n">
        <v>0</v>
      </c>
      <c r="G89" s="38" t="n">
        <v>0</v>
      </c>
      <c r="H89" s="29">
        <f>ABS(G89-F89)</f>
        <v/>
      </c>
      <c r="I89" s="30">
        <f>IF(F89&gt;0, G89/F89, IF(G89&gt;0, 1.0, 0.0))</f>
        <v/>
      </c>
      <c r="J89" s="31" t="inlineStr"/>
      <c r="K89" s="27" t="n">
        <v>660</v>
      </c>
      <c r="L89" s="32" t="n">
        <v>660</v>
      </c>
      <c r="M89" s="27" t="n">
        <v>0</v>
      </c>
      <c r="N89" s="32" t="n">
        <v>0</v>
      </c>
      <c r="O89" s="27">
        <f>F89+K89+M89</f>
        <v/>
      </c>
      <c r="P89" s="32">
        <f>F89+L89+N89</f>
        <v/>
      </c>
      <c r="Q89" s="33">
        <f>P89-O89</f>
        <v/>
      </c>
      <c r="R89" s="34" t="inlineStr"/>
    </row>
    <row r="90" ht="19" customHeight="1">
      <c r="B90" s="24" t="inlineStr">
        <is>
          <t>RUMANÍA</t>
        </is>
      </c>
      <c r="C90" s="25" t="inlineStr">
        <is>
          <t>SC MARCOSER S.R.L.</t>
        </is>
      </c>
      <c r="D90" s="26" t="inlineStr">
        <is>
          <t>G0200</t>
        </is>
      </c>
      <c r="E90" s="25" t="inlineStr">
        <is>
          <t>GREEN-UP EXPORTACION, 200 L</t>
        </is>
      </c>
      <c r="F90" s="27" t="n">
        <v>0</v>
      </c>
      <c r="G90" s="28" t="n">
        <v>0</v>
      </c>
      <c r="H90" s="29">
        <f>ABS(G90-F90)</f>
        <v/>
      </c>
      <c r="I90" s="30">
        <f>IF(F90&gt;0, G90/F90, IF(G90&gt;0, 1.0, 0.0))</f>
        <v/>
      </c>
      <c r="J90" s="31" t="inlineStr"/>
      <c r="K90" s="27" t="n">
        <v>400</v>
      </c>
      <c r="L90" s="32" t="n">
        <v>400</v>
      </c>
      <c r="M90" s="27" t="n">
        <v>0</v>
      </c>
      <c r="N90" s="32" t="n">
        <v>0</v>
      </c>
      <c r="O90" s="27">
        <f>F90+K90+M90</f>
        <v/>
      </c>
      <c r="P90" s="32">
        <f>F90+L90+N90</f>
        <v/>
      </c>
      <c r="Q90" s="33">
        <f>P90-O90</f>
        <v/>
      </c>
      <c r="R90" s="34" t="inlineStr"/>
    </row>
    <row r="91" ht="19" customHeight="1">
      <c r="B91" s="35" t="inlineStr">
        <is>
          <t>ESPAÑA</t>
        </is>
      </c>
      <c r="C91" s="36" t="inlineStr">
        <is>
          <t>SC MARCOSER S.R.L.</t>
        </is>
      </c>
      <c r="D91" s="37" t="inlineStr">
        <is>
          <t>P-5X0020RU</t>
        </is>
      </c>
      <c r="E91" s="36" t="inlineStr">
        <is>
          <t>P.M.S. 5x, 20 L</t>
        </is>
      </c>
      <c r="F91" s="27" t="n">
        <v>0</v>
      </c>
      <c r="G91" s="38" t="n">
        <v>0</v>
      </c>
      <c r="H91" s="29">
        <f>ABS(G91-F91)</f>
        <v/>
      </c>
      <c r="I91" s="30">
        <f>IF(F91&gt;0, G91/F91, IF(G91&gt;0, 1.0, 0.0))</f>
        <v/>
      </c>
      <c r="J91" s="31" t="inlineStr"/>
      <c r="K91" s="27" t="n">
        <v>0</v>
      </c>
      <c r="L91" s="32" t="n">
        <v>0</v>
      </c>
      <c r="M91" s="27" t="n">
        <v>0</v>
      </c>
      <c r="N91" s="32" t="n">
        <v>0</v>
      </c>
      <c r="O91" s="27">
        <f>F91+K91+M91</f>
        <v/>
      </c>
      <c r="P91" s="32">
        <f>F91+L91+N91</f>
        <v/>
      </c>
      <c r="Q91" s="33">
        <f>P91-O91</f>
        <v/>
      </c>
      <c r="R91" s="34" t="inlineStr"/>
    </row>
    <row r="92" ht="19" customHeight="1">
      <c r="B92" s="24" t="inlineStr">
        <is>
          <t>RUMANÍA</t>
        </is>
      </c>
      <c r="C92" s="25" t="inlineStr">
        <is>
          <t>SC MARCOSER S.R.L.</t>
        </is>
      </c>
      <c r="D92" s="26" t="inlineStr">
        <is>
          <t>PK500001</t>
        </is>
      </c>
      <c r="E92" s="25" t="inlineStr">
        <is>
          <t>POLIFRUIT K50</t>
        </is>
      </c>
      <c r="F92" s="27" t="n">
        <v>0</v>
      </c>
      <c r="G92" s="28" t="n">
        <v>0</v>
      </c>
      <c r="H92" s="29">
        <f>ABS(G92-F92)</f>
        <v/>
      </c>
      <c r="I92" s="30">
        <f>IF(F92&gt;0, G92/F92, IF(G92&gt;0, 1.0, 0.0))</f>
        <v/>
      </c>
      <c r="J92" s="31" t="inlineStr"/>
      <c r="K92" s="27" t="n">
        <v>300</v>
      </c>
      <c r="L92" s="32" t="n">
        <v>300</v>
      </c>
      <c r="M92" s="27" t="n">
        <v>0</v>
      </c>
      <c r="N92" s="32" t="n">
        <v>0</v>
      </c>
      <c r="O92" s="27">
        <f>F92+K92+M92</f>
        <v/>
      </c>
      <c r="P92" s="32">
        <f>F92+L92+N92</f>
        <v/>
      </c>
      <c r="Q92" s="33">
        <f>P92-O92</f>
        <v/>
      </c>
      <c r="R92" s="34" t="inlineStr"/>
    </row>
    <row r="93" ht="19" customHeight="1">
      <c r="B93" s="35" t="inlineStr">
        <is>
          <t>RUMANÍA</t>
        </is>
      </c>
      <c r="C93" s="36" t="inlineStr">
        <is>
          <t>SC MARCOSER S.R.L.</t>
        </is>
      </c>
      <c r="D93" s="37" t="inlineStr">
        <is>
          <t>PK500020</t>
        </is>
      </c>
      <c r="E93" s="36" t="inlineStr">
        <is>
          <t>POLIFRUIT K50</t>
        </is>
      </c>
      <c r="F93" s="27" t="n">
        <v>0</v>
      </c>
      <c r="G93" s="38" t="n">
        <v>0</v>
      </c>
      <c r="H93" s="29">
        <f>ABS(G93-F93)</f>
        <v/>
      </c>
      <c r="I93" s="30">
        <f>IF(F93&gt;0, G93/F93, IF(G93&gt;0, 1.0, 0.0))</f>
        <v/>
      </c>
      <c r="J93" s="31" t="inlineStr"/>
      <c r="K93" s="27" t="n">
        <v>640</v>
      </c>
      <c r="L93" s="32" t="n">
        <v>640</v>
      </c>
      <c r="M93" s="27" t="n">
        <v>0</v>
      </c>
      <c r="N93" s="32" t="n">
        <v>0</v>
      </c>
      <c r="O93" s="27">
        <f>F93+K93+M93</f>
        <v/>
      </c>
      <c r="P93" s="32">
        <f>F93+L93+N93</f>
        <v/>
      </c>
      <c r="Q93" s="33">
        <f>P93-O93</f>
        <v/>
      </c>
      <c r="R93" s="34" t="inlineStr"/>
    </row>
    <row r="94" ht="19" customHeight="1">
      <c r="B94" s="24" t="inlineStr">
        <is>
          <t>RUMANÍA</t>
        </is>
      </c>
      <c r="C94" s="25" t="inlineStr">
        <is>
          <t>SC MARCOSER S.R.L.</t>
        </is>
      </c>
      <c r="D94" s="26" t="inlineStr">
        <is>
          <t>PML0001</t>
        </is>
      </c>
      <c r="E94" s="25" t="inlineStr">
        <is>
          <t>POLIGREEN MIX L</t>
        </is>
      </c>
      <c r="F94" s="27" t="n">
        <v>0</v>
      </c>
      <c r="G94" s="28" t="n">
        <v>0</v>
      </c>
      <c r="H94" s="29">
        <f>ABS(G94-F94)</f>
        <v/>
      </c>
      <c r="I94" s="30">
        <f>IF(F94&gt;0, G94/F94, IF(G94&gt;0, 1.0, 0.0))</f>
        <v/>
      </c>
      <c r="J94" s="31" t="inlineStr"/>
      <c r="K94" s="27" t="n">
        <v>660</v>
      </c>
      <c r="L94" s="32" t="n">
        <v>660</v>
      </c>
      <c r="M94" s="27" t="n">
        <v>0</v>
      </c>
      <c r="N94" s="32" t="n">
        <v>0</v>
      </c>
      <c r="O94" s="27">
        <f>F94+K94+M94</f>
        <v/>
      </c>
      <c r="P94" s="32">
        <f>F94+L94+N94</f>
        <v/>
      </c>
      <c r="Q94" s="33">
        <f>P94-O94</f>
        <v/>
      </c>
      <c r="R94" s="34" t="inlineStr"/>
    </row>
    <row r="95" ht="19" customHeight="1">
      <c r="B95" s="35" t="inlineStr">
        <is>
          <t>RUMANÍA</t>
        </is>
      </c>
      <c r="C95" s="36" t="inlineStr">
        <is>
          <t>SC MARCOSER S.R.L.</t>
        </is>
      </c>
      <c r="D95" s="37" t="inlineStr">
        <is>
          <t>PT0001</t>
        </is>
      </c>
      <c r="E95" s="36" t="inlineStr">
        <is>
          <t>AGROPOTASION</t>
        </is>
      </c>
      <c r="F95" s="27" t="n">
        <v>0</v>
      </c>
      <c r="G95" s="38" t="n">
        <v>0</v>
      </c>
      <c r="H95" s="29">
        <f>ABS(G95-F95)</f>
        <v/>
      </c>
      <c r="I95" s="30">
        <f>IF(F95&gt;0, G95/F95, IF(G95&gt;0, 1.0, 0.0))</f>
        <v/>
      </c>
      <c r="J95" s="31" t="inlineStr"/>
      <c r="K95" s="27" t="n">
        <v>600</v>
      </c>
      <c r="L95" s="32" t="n">
        <v>600</v>
      </c>
      <c r="M95" s="27" t="n">
        <v>0</v>
      </c>
      <c r="N95" s="32" t="n">
        <v>0</v>
      </c>
      <c r="O95" s="27">
        <f>F95+K95+M95</f>
        <v/>
      </c>
      <c r="P95" s="32">
        <f>F95+L95+N95</f>
        <v/>
      </c>
      <c r="Q95" s="33">
        <f>P95-O95</f>
        <v/>
      </c>
      <c r="R95" s="34" t="inlineStr"/>
    </row>
    <row r="96" ht="19" customHeight="1">
      <c r="B96" s="24" t="inlineStr">
        <is>
          <t>RUMANÍA</t>
        </is>
      </c>
      <c r="C96" s="25" t="inlineStr">
        <is>
          <t>SC MARCOSER S.R.L.</t>
        </is>
      </c>
      <c r="D96" s="26" t="inlineStr">
        <is>
          <t>PT0020</t>
        </is>
      </c>
      <c r="E96" s="25" t="inlineStr">
        <is>
          <t>AGROPOTASION</t>
        </is>
      </c>
      <c r="F96" s="27" t="n">
        <v>0</v>
      </c>
      <c r="G96" s="28" t="n">
        <v>0</v>
      </c>
      <c r="H96" s="29">
        <f>ABS(G96-F96)</f>
        <v/>
      </c>
      <c r="I96" s="30">
        <f>IF(F96&gt;0, G96/F96, IF(G96&gt;0, 1.0, 0.0))</f>
        <v/>
      </c>
      <c r="J96" s="31" t="inlineStr"/>
      <c r="K96" s="27" t="n">
        <v>600</v>
      </c>
      <c r="L96" s="32" t="n">
        <v>600</v>
      </c>
      <c r="M96" s="27" t="n">
        <v>0</v>
      </c>
      <c r="N96" s="32" t="n">
        <v>0</v>
      </c>
      <c r="O96" s="27">
        <f>F96+K96+M96</f>
        <v/>
      </c>
      <c r="P96" s="32">
        <f>F96+L96+N96</f>
        <v/>
      </c>
      <c r="Q96" s="33">
        <f>P96-O96</f>
        <v/>
      </c>
      <c r="R96" s="34" t="inlineStr"/>
    </row>
    <row r="97" ht="19" customHeight="1">
      <c r="B97" s="35" t="inlineStr">
        <is>
          <t>RUMANÍA</t>
        </is>
      </c>
      <c r="C97" s="36" t="inlineStr">
        <is>
          <t>SC MARCOSER S.R.L.</t>
        </is>
      </c>
      <c r="D97" s="37" t="inlineStr">
        <is>
          <t>SPCE0001</t>
        </is>
      </c>
      <c r="E97" s="36" t="inlineStr">
        <is>
          <t>SPRINTENE</t>
        </is>
      </c>
      <c r="F97" s="27" t="n">
        <v>792</v>
      </c>
      <c r="G97" s="38" t="n">
        <v>0</v>
      </c>
      <c r="H97" s="29">
        <f>ABS(G97-F97)</f>
        <v/>
      </c>
      <c r="I97" s="30">
        <f>IF(F97&gt;0, G97/F97, IF(G97&gt;0, 1.0, 0.0))</f>
        <v/>
      </c>
      <c r="J97" s="31" t="inlineStr"/>
      <c r="K97" s="27" t="n">
        <v>0</v>
      </c>
      <c r="L97" s="32" t="n">
        <v>0</v>
      </c>
      <c r="M97" s="27" t="n">
        <v>0</v>
      </c>
      <c r="N97" s="32" t="n">
        <v>0</v>
      </c>
      <c r="O97" s="27">
        <f>F97+K97+M97</f>
        <v/>
      </c>
      <c r="P97" s="32">
        <f>F97+L97+N97</f>
        <v/>
      </c>
      <c r="Q97" s="33">
        <f>P97-O97</f>
        <v/>
      </c>
      <c r="R97" s="34" t="inlineStr"/>
    </row>
    <row r="98" ht="19" customHeight="1">
      <c r="B98" s="24" t="inlineStr">
        <is>
          <t>RUMANÍA</t>
        </is>
      </c>
      <c r="C98" s="25" t="inlineStr">
        <is>
          <t>SC MARCOSER S.R.L.</t>
        </is>
      </c>
      <c r="D98" s="26" t="inlineStr">
        <is>
          <t>SPCE0020</t>
        </is>
      </c>
      <c r="E98" s="25" t="inlineStr">
        <is>
          <t>SPRINTENE</t>
        </is>
      </c>
      <c r="F98" s="27" t="n">
        <v>640</v>
      </c>
      <c r="G98" s="28" t="n">
        <v>0</v>
      </c>
      <c r="H98" s="29">
        <f>ABS(G98-F98)</f>
        <v/>
      </c>
      <c r="I98" s="30">
        <f>IF(F98&gt;0, G98/F98, IF(G98&gt;0, 1.0, 0.0))</f>
        <v/>
      </c>
      <c r="J98" s="31" t="inlineStr"/>
      <c r="K98" s="27" t="n">
        <v>0</v>
      </c>
      <c r="L98" s="32" t="n">
        <v>0</v>
      </c>
      <c r="M98" s="27" t="n">
        <v>0</v>
      </c>
      <c r="N98" s="32" t="n">
        <v>0</v>
      </c>
      <c r="O98" s="27">
        <f>F98+K98+M98</f>
        <v/>
      </c>
      <c r="P98" s="32">
        <f>F98+L98+N98</f>
        <v/>
      </c>
      <c r="Q98" s="33">
        <f>P98-O98</f>
        <v/>
      </c>
      <c r="R98" s="34" t="inlineStr"/>
    </row>
    <row r="99" ht="19" customHeight="1">
      <c r="B99" s="35" t="inlineStr">
        <is>
          <t>RUMANÍA</t>
        </is>
      </c>
      <c r="C99" s="36" t="inlineStr">
        <is>
          <t>SC MARCOSER S.R.L.</t>
        </is>
      </c>
      <c r="D99" s="37" t="inlineStr">
        <is>
          <t>SS0001</t>
        </is>
      </c>
      <c r="E99" s="36" t="inlineStr">
        <is>
          <t>SAL-WAX Ca</t>
        </is>
      </c>
      <c r="F99" s="27" t="n">
        <v>1056</v>
      </c>
      <c r="G99" s="38" t="n">
        <v>0</v>
      </c>
      <c r="H99" s="29">
        <f>ABS(G99-F99)</f>
        <v/>
      </c>
      <c r="I99" s="30">
        <f>IF(F99&gt;0, G99/F99, IF(G99&gt;0, 1.0, 0.0))</f>
        <v/>
      </c>
      <c r="J99" s="31" t="inlineStr"/>
      <c r="K99" s="27" t="n">
        <v>0</v>
      </c>
      <c r="L99" s="32" t="n">
        <v>0</v>
      </c>
      <c r="M99" s="27" t="n">
        <v>0</v>
      </c>
      <c r="N99" s="32" t="n">
        <v>0</v>
      </c>
      <c r="O99" s="27">
        <f>F99+K99+M99</f>
        <v/>
      </c>
      <c r="P99" s="32">
        <f>F99+L99+N99</f>
        <v/>
      </c>
      <c r="Q99" s="33">
        <f>P99-O99</f>
        <v/>
      </c>
      <c r="R99" s="34" t="inlineStr"/>
    </row>
    <row r="100" ht="19" customHeight="1">
      <c r="B100" s="24" t="inlineStr">
        <is>
          <t>RUMANÍA</t>
        </is>
      </c>
      <c r="C100" s="25" t="inlineStr">
        <is>
          <t>SC MARCOSER S.R.L.</t>
        </is>
      </c>
      <c r="D100" s="26" t="inlineStr">
        <is>
          <t>SS0020</t>
        </is>
      </c>
      <c r="E100" s="25" t="inlineStr">
        <is>
          <t>SAL-WAX-Ca</t>
        </is>
      </c>
      <c r="F100" s="27" t="n">
        <v>0</v>
      </c>
      <c r="G100" s="28" t="n">
        <v>0</v>
      </c>
      <c r="H100" s="29">
        <f>ABS(G100-F100)</f>
        <v/>
      </c>
      <c r="I100" s="30">
        <f>IF(F100&gt;0, G100/F100, IF(G100&gt;0, 1.0, 0.0))</f>
        <v/>
      </c>
      <c r="J100" s="31" t="inlineStr"/>
      <c r="K100" s="27" t="n">
        <v>600</v>
      </c>
      <c r="L100" s="32" t="n">
        <v>600</v>
      </c>
      <c r="M100" s="27" t="n">
        <v>0</v>
      </c>
      <c r="N100" s="32" t="n">
        <v>0</v>
      </c>
      <c r="O100" s="27">
        <f>F100+K100+M100</f>
        <v/>
      </c>
      <c r="P100" s="32">
        <f>F100+L100+N100</f>
        <v/>
      </c>
      <c r="Q100" s="33">
        <f>P100-O100</f>
        <v/>
      </c>
      <c r="R100" s="34" t="inlineStr"/>
    </row>
    <row r="101" ht="19" customHeight="1">
      <c r="B101" s="35" t="inlineStr">
        <is>
          <t>ESPAÑA</t>
        </is>
      </c>
      <c r="C101" s="36" t="inlineStr">
        <is>
          <t>SERVIAGRI´ 97, S.L.</t>
        </is>
      </c>
      <c r="D101" s="37" t="inlineStr">
        <is>
          <t>AGXK0005</t>
        </is>
      </c>
      <c r="E101" s="36" t="inlineStr">
        <is>
          <t>AGROXILATO-K, 5 L</t>
        </is>
      </c>
      <c r="F101" s="27" t="n">
        <v>200</v>
      </c>
      <c r="G101" s="38" t="n">
        <v>0</v>
      </c>
      <c r="H101" s="29">
        <f>ABS(G101-F101)</f>
        <v/>
      </c>
      <c r="I101" s="30">
        <f>IF(F101&gt;0, G101/F101, IF(G101&gt;0, 1.0, 0.0))</f>
        <v/>
      </c>
      <c r="J101" s="31" t="inlineStr"/>
      <c r="K101" s="27" t="n">
        <v>200</v>
      </c>
      <c r="L101" s="32" t="n">
        <v>200</v>
      </c>
      <c r="M101" s="27" t="n">
        <v>0</v>
      </c>
      <c r="N101" s="32" t="n">
        <v>0</v>
      </c>
      <c r="O101" s="27">
        <f>F101+K101+M101</f>
        <v/>
      </c>
      <c r="P101" s="32">
        <f>F101+L101+N101</f>
        <v/>
      </c>
      <c r="Q101" s="33">
        <f>P101-O101</f>
        <v/>
      </c>
      <c r="R101" s="34" t="inlineStr"/>
    </row>
    <row r="102" ht="19" customHeight="1">
      <c r="B102" s="24" t="inlineStr">
        <is>
          <t>ESPAÑA</t>
        </is>
      </c>
      <c r="C102" s="25" t="inlineStr">
        <is>
          <t>SERVIAGRI´ 97, S.L.</t>
        </is>
      </c>
      <c r="D102" s="26" t="inlineStr">
        <is>
          <t>AGXK0020</t>
        </is>
      </c>
      <c r="E102" s="25" t="inlineStr">
        <is>
          <t>AGROXILATO-K, 20 L</t>
        </is>
      </c>
      <c r="F102" s="27" t="n">
        <v>640</v>
      </c>
      <c r="G102" s="28" t="n">
        <v>0</v>
      </c>
      <c r="H102" s="29">
        <f>ABS(G102-F102)</f>
        <v/>
      </c>
      <c r="I102" s="30">
        <f>IF(F102&gt;0, G102/F102, IF(G102&gt;0, 1.0, 0.0))</f>
        <v/>
      </c>
      <c r="J102" s="31" t="inlineStr"/>
      <c r="K102" s="27" t="n">
        <v>640</v>
      </c>
      <c r="L102" s="32" t="n">
        <v>640</v>
      </c>
      <c r="M102" s="27" t="n">
        <v>640</v>
      </c>
      <c r="N102" s="32" t="n">
        <v>640</v>
      </c>
      <c r="O102" s="27">
        <f>F102+K102+M102</f>
        <v/>
      </c>
      <c r="P102" s="32">
        <f>F102+L102+N102</f>
        <v/>
      </c>
      <c r="Q102" s="33">
        <f>P102-O102</f>
        <v/>
      </c>
      <c r="R102" s="34" t="inlineStr"/>
    </row>
    <row r="103" ht="19" customHeight="1">
      <c r="B103" s="35" t="inlineStr">
        <is>
          <t>ESPAÑA</t>
        </is>
      </c>
      <c r="C103" s="36" t="inlineStr">
        <is>
          <t>SERVIAGRI´ 97, S.L.</t>
        </is>
      </c>
      <c r="D103" s="37" t="inlineStr">
        <is>
          <t>ANAE0005</t>
        </is>
      </c>
      <c r="E103" s="36" t="inlineStr">
        <is>
          <t>ALCAPLANT NEW AE, 5 KG</t>
        </is>
      </c>
      <c r="F103" s="27" t="n">
        <v>0</v>
      </c>
      <c r="G103" s="38" t="n">
        <v>0</v>
      </c>
      <c r="H103" s="29">
        <f>ABS(G103-F103)</f>
        <v/>
      </c>
      <c r="I103" s="30">
        <f>IF(F103&gt;0, G103/F103, IF(G103&gt;0, 1.0, 0.0))</f>
        <v/>
      </c>
      <c r="J103" s="31" t="inlineStr"/>
      <c r="K103" s="27" t="n">
        <v>50</v>
      </c>
      <c r="L103" s="32" t="n">
        <v>50</v>
      </c>
      <c r="M103" s="27" t="n">
        <v>0</v>
      </c>
      <c r="N103" s="32" t="n">
        <v>0</v>
      </c>
      <c r="O103" s="27">
        <f>F103+K103+M103</f>
        <v/>
      </c>
      <c r="P103" s="32">
        <f>F103+L103+N103</f>
        <v/>
      </c>
      <c r="Q103" s="33">
        <f>P103-O103</f>
        <v/>
      </c>
      <c r="R103" s="34" t="inlineStr"/>
    </row>
    <row r="104" ht="19" customHeight="1">
      <c r="B104" s="24" t="inlineStr">
        <is>
          <t>ESPAÑA</t>
        </is>
      </c>
      <c r="C104" s="25" t="inlineStr">
        <is>
          <t>SERVIAGRI´ 97, S.L.</t>
        </is>
      </c>
      <c r="D104" s="26" t="inlineStr">
        <is>
          <t>AVAN0005</t>
        </is>
      </c>
      <c r="E104" s="25" t="inlineStr">
        <is>
          <t>FLORAMEC AVANCE, 5 L</t>
        </is>
      </c>
      <c r="F104" s="27" t="n">
        <v>100</v>
      </c>
      <c r="G104" s="28" t="n">
        <v>0</v>
      </c>
      <c r="H104" s="29">
        <f>ABS(G104-F104)</f>
        <v/>
      </c>
      <c r="I104" s="30">
        <f>IF(F104&gt;0, G104/F104, IF(G104&gt;0, 1.0, 0.0))</f>
        <v/>
      </c>
      <c r="J104" s="31" t="inlineStr"/>
      <c r="K104" s="27" t="n">
        <v>100</v>
      </c>
      <c r="L104" s="32" t="n">
        <v>100</v>
      </c>
      <c r="M104" s="27" t="n">
        <v>0</v>
      </c>
      <c r="N104" s="32" t="n">
        <v>0</v>
      </c>
      <c r="O104" s="27">
        <f>F104+K104+M104</f>
        <v/>
      </c>
      <c r="P104" s="32">
        <f>F104+L104+N104</f>
        <v/>
      </c>
      <c r="Q104" s="33">
        <f>P104-O104</f>
        <v/>
      </c>
      <c r="R104" s="34" t="inlineStr"/>
    </row>
    <row r="105" ht="19" customHeight="1">
      <c r="B105" s="35" t="inlineStr">
        <is>
          <t>ESPAÑA</t>
        </is>
      </c>
      <c r="C105" s="36" t="inlineStr">
        <is>
          <t>SERVIAGRI´ 97, S.L.</t>
        </is>
      </c>
      <c r="D105" s="37" t="inlineStr">
        <is>
          <t>B0001</t>
        </is>
      </c>
      <c r="E105" s="36" t="inlineStr">
        <is>
          <t>BOROCAL,1 L</t>
        </is>
      </c>
      <c r="F105" s="27" t="n">
        <v>0</v>
      </c>
      <c r="G105" s="38" t="n">
        <v>0</v>
      </c>
      <c r="H105" s="29">
        <f>ABS(G105-F105)</f>
        <v/>
      </c>
      <c r="I105" s="30">
        <f>IF(F105&gt;0, G105/F105, IF(G105&gt;0, 1.0, 0.0))</f>
        <v/>
      </c>
      <c r="J105" s="31" t="inlineStr"/>
      <c r="K105" s="27" t="n">
        <v>12</v>
      </c>
      <c r="L105" s="32" t="n">
        <v>12</v>
      </c>
      <c r="M105" s="27" t="n">
        <v>12</v>
      </c>
      <c r="N105" s="32" t="n">
        <v>12</v>
      </c>
      <c r="O105" s="27">
        <f>F105+K105+M105</f>
        <v/>
      </c>
      <c r="P105" s="32">
        <f>F105+L105+N105</f>
        <v/>
      </c>
      <c r="Q105" s="33">
        <f>P105-O105</f>
        <v/>
      </c>
      <c r="R105" s="34" t="inlineStr"/>
    </row>
    <row r="106" ht="19" customHeight="1">
      <c r="B106" s="24" t="inlineStr">
        <is>
          <t>ESPAÑA</t>
        </is>
      </c>
      <c r="C106" s="25" t="inlineStr">
        <is>
          <t>SERVIAGRI´ 97, S.L.</t>
        </is>
      </c>
      <c r="D106" s="26" t="inlineStr">
        <is>
          <t>B0005</t>
        </is>
      </c>
      <c r="E106" s="25" t="inlineStr">
        <is>
          <t>BOROCAL, 5 L</t>
        </is>
      </c>
      <c r="F106" s="27" t="n">
        <v>0</v>
      </c>
      <c r="G106" s="28" t="n">
        <v>0</v>
      </c>
      <c r="H106" s="29">
        <f>ABS(G106-F106)</f>
        <v/>
      </c>
      <c r="I106" s="30">
        <f>IF(F106&gt;0, G106/F106, IF(G106&gt;0, 1.0, 0.0))</f>
        <v/>
      </c>
      <c r="J106" s="31" t="inlineStr"/>
      <c r="K106" s="27" t="n">
        <v>20</v>
      </c>
      <c r="L106" s="32" t="n">
        <v>20</v>
      </c>
      <c r="M106" s="27" t="n">
        <v>0</v>
      </c>
      <c r="N106" s="32" t="n">
        <v>0</v>
      </c>
      <c r="O106" s="27">
        <f>F106+K106+M106</f>
        <v/>
      </c>
      <c r="P106" s="32">
        <f>F106+L106+N106</f>
        <v/>
      </c>
      <c r="Q106" s="33">
        <f>P106-O106</f>
        <v/>
      </c>
      <c r="R106" s="34" t="inlineStr"/>
    </row>
    <row r="107" ht="19" customHeight="1">
      <c r="B107" s="35" t="inlineStr">
        <is>
          <t>ESPAÑA</t>
        </is>
      </c>
      <c r="C107" s="36" t="inlineStr">
        <is>
          <t>SERVIAGRI´ 97, S.L.</t>
        </is>
      </c>
      <c r="D107" s="37" t="inlineStr">
        <is>
          <t>BIO0005</t>
        </is>
      </c>
      <c r="E107" s="36" t="inlineStr">
        <is>
          <t>BIORAD-20, 5L</t>
        </is>
      </c>
      <c r="F107" s="27" t="n">
        <v>300</v>
      </c>
      <c r="G107" s="38" t="n">
        <v>0</v>
      </c>
      <c r="H107" s="29">
        <f>ABS(G107-F107)</f>
        <v/>
      </c>
      <c r="I107" s="30">
        <f>IF(F107&gt;0, G107/F107, IF(G107&gt;0, 1.0, 0.0))</f>
        <v/>
      </c>
      <c r="J107" s="31" t="inlineStr"/>
      <c r="K107" s="27" t="n">
        <v>300</v>
      </c>
      <c r="L107" s="32" t="n">
        <v>300</v>
      </c>
      <c r="M107" s="27" t="n">
        <v>0</v>
      </c>
      <c r="N107" s="32" t="n">
        <v>0</v>
      </c>
      <c r="O107" s="27">
        <f>F107+K107+M107</f>
        <v/>
      </c>
      <c r="P107" s="32">
        <f>F107+L107+N107</f>
        <v/>
      </c>
      <c r="Q107" s="33">
        <f>P107-O107</f>
        <v/>
      </c>
      <c r="R107" s="34" t="inlineStr"/>
    </row>
    <row r="108" ht="19" customHeight="1">
      <c r="B108" s="24" t="inlineStr">
        <is>
          <t>ESPAÑA</t>
        </is>
      </c>
      <c r="C108" s="25" t="inlineStr">
        <is>
          <t>SERVIAGRI´ 97, S.L.</t>
        </is>
      </c>
      <c r="D108" s="26" t="inlineStr">
        <is>
          <t>BIO0020</t>
        </is>
      </c>
      <c r="E108" s="25" t="inlineStr">
        <is>
          <t>BIORAD-20, 20 L</t>
        </is>
      </c>
      <c r="F108" s="27" t="n">
        <v>600</v>
      </c>
      <c r="G108" s="28" t="n">
        <v>0</v>
      </c>
      <c r="H108" s="29">
        <f>ABS(G108-F108)</f>
        <v/>
      </c>
      <c r="I108" s="30">
        <f>IF(F108&gt;0, G108/F108, IF(G108&gt;0, 1.0, 0.0))</f>
        <v/>
      </c>
      <c r="J108" s="31" t="inlineStr"/>
      <c r="K108" s="27" t="n">
        <v>0</v>
      </c>
      <c r="L108" s="32" t="n">
        <v>0</v>
      </c>
      <c r="M108" s="27" t="n">
        <v>600</v>
      </c>
      <c r="N108" s="32" t="n">
        <v>600</v>
      </c>
      <c r="O108" s="27">
        <f>F108+K108+M108</f>
        <v/>
      </c>
      <c r="P108" s="32">
        <f>F108+L108+N108</f>
        <v/>
      </c>
      <c r="Q108" s="33">
        <f>P108-O108</f>
        <v/>
      </c>
      <c r="R108" s="34" t="inlineStr"/>
    </row>
    <row r="109" ht="19" customHeight="1">
      <c r="B109" s="35" t="inlineStr">
        <is>
          <t>ESPAÑA</t>
        </is>
      </c>
      <c r="C109" s="36" t="inlineStr">
        <is>
          <t>SERVIAGRI´ 97, S.L.</t>
        </is>
      </c>
      <c r="D109" s="37" t="inlineStr">
        <is>
          <t>BIO1000</t>
        </is>
      </c>
      <c r="E109" s="36" t="inlineStr">
        <is>
          <t>BIORAD-20, 1000 L</t>
        </is>
      </c>
      <c r="F109" s="27" t="n">
        <v>0</v>
      </c>
      <c r="G109" s="38" t="n">
        <v>3000</v>
      </c>
      <c r="H109" s="29">
        <f>ABS(G109-F109)</f>
        <v/>
      </c>
      <c r="I109" s="30">
        <f>IF(F109&gt;0, G109/F109, IF(G109&gt;0, 1.0, 0.0))</f>
        <v/>
      </c>
      <c r="J109" s="31" t="inlineStr">
        <is>
          <t>Pedido extra no previsto</t>
        </is>
      </c>
      <c r="K109" s="27" t="n">
        <v>0</v>
      </c>
      <c r="L109" s="32" t="n">
        <v>0</v>
      </c>
      <c r="M109" s="27" t="n">
        <v>0</v>
      </c>
      <c r="N109" s="32" t="n">
        <v>0</v>
      </c>
      <c r="O109" s="27">
        <f>F109+K109+M109</f>
        <v/>
      </c>
      <c r="P109" s="32">
        <f>F109+L109+N109</f>
        <v/>
      </c>
      <c r="Q109" s="33">
        <f>P109-O109</f>
        <v/>
      </c>
      <c r="R109" s="34" t="inlineStr"/>
    </row>
    <row r="110" ht="19" customHeight="1">
      <c r="B110" s="24" t="inlineStr">
        <is>
          <t>ESPAÑA</t>
        </is>
      </c>
      <c r="C110" s="25" t="inlineStr">
        <is>
          <t>SERVIAGRI´ 97, S.L.</t>
        </is>
      </c>
      <c r="D110" s="26" t="inlineStr">
        <is>
          <t>BROTA0001</t>
        </is>
      </c>
      <c r="E110" s="25" t="inlineStr">
        <is>
          <t>BROTAMEC, 1 L</t>
        </is>
      </c>
      <c r="F110" s="27" t="n">
        <v>0</v>
      </c>
      <c r="G110" s="28" t="n">
        <v>0</v>
      </c>
      <c r="H110" s="29">
        <f>ABS(G110-F110)</f>
        <v/>
      </c>
      <c r="I110" s="30">
        <f>IF(F110&gt;0, G110/F110, IF(G110&gt;0, 1.0, 0.0))</f>
        <v/>
      </c>
      <c r="J110" s="31" t="inlineStr"/>
      <c r="K110" s="27" t="n">
        <v>0</v>
      </c>
      <c r="L110" s="32" t="n">
        <v>0</v>
      </c>
      <c r="M110" s="27" t="n">
        <v>0</v>
      </c>
      <c r="N110" s="32" t="n">
        <v>0</v>
      </c>
      <c r="O110" s="27">
        <f>F110+K110+M110</f>
        <v/>
      </c>
      <c r="P110" s="32">
        <f>F110+L110+N110</f>
        <v/>
      </c>
      <c r="Q110" s="33">
        <f>P110-O110</f>
        <v/>
      </c>
      <c r="R110" s="34" t="inlineStr"/>
    </row>
    <row r="111" ht="19" customHeight="1">
      <c r="B111" s="35" t="inlineStr">
        <is>
          <t>ESPAÑA</t>
        </is>
      </c>
      <c r="C111" s="36" t="inlineStr">
        <is>
          <t>SERVIAGRI´ 97, S.L.</t>
        </is>
      </c>
      <c r="D111" s="37" t="inlineStr">
        <is>
          <t>BROTA0005</t>
        </is>
      </c>
      <c r="E111" s="36" t="inlineStr">
        <is>
          <t>BROTAMEC, 5 L</t>
        </is>
      </c>
      <c r="F111" s="27" t="n">
        <v>0</v>
      </c>
      <c r="G111" s="38" t="n">
        <v>0</v>
      </c>
      <c r="H111" s="29">
        <f>ABS(G111-F111)</f>
        <v/>
      </c>
      <c r="I111" s="30">
        <f>IF(F111&gt;0, G111/F111, IF(G111&gt;0, 1.0, 0.0))</f>
        <v/>
      </c>
      <c r="J111" s="31" t="inlineStr"/>
      <c r="K111" s="27" t="n">
        <v>300</v>
      </c>
      <c r="L111" s="32" t="n">
        <v>300</v>
      </c>
      <c r="M111" s="27" t="n">
        <v>0</v>
      </c>
      <c r="N111" s="32" t="n">
        <v>0</v>
      </c>
      <c r="O111" s="27">
        <f>F111+K111+M111</f>
        <v/>
      </c>
      <c r="P111" s="32">
        <f>F111+L111+N111</f>
        <v/>
      </c>
      <c r="Q111" s="33">
        <f>P111-O111</f>
        <v/>
      </c>
      <c r="R111" s="34" t="inlineStr"/>
    </row>
    <row r="112" ht="19" customHeight="1">
      <c r="B112" s="24" t="inlineStr">
        <is>
          <t>ESPAÑA</t>
        </is>
      </c>
      <c r="C112" s="25" t="inlineStr">
        <is>
          <t>SERVIAGRI´ 97, S.L.</t>
        </is>
      </c>
      <c r="D112" s="26" t="inlineStr">
        <is>
          <t>FTK0005</t>
        </is>
      </c>
      <c r="E112" s="25" t="inlineStr">
        <is>
          <t>FITOKONTROL CA FLOW, 5 KG</t>
        </is>
      </c>
      <c r="F112" s="27" t="n">
        <v>300</v>
      </c>
      <c r="G112" s="28" t="n">
        <v>0</v>
      </c>
      <c r="H112" s="29">
        <f>ABS(G112-F112)</f>
        <v/>
      </c>
      <c r="I112" s="30">
        <f>IF(F112&gt;0, G112/F112, IF(G112&gt;0, 1.0, 0.0))</f>
        <v/>
      </c>
      <c r="J112" s="31" t="inlineStr"/>
      <c r="K112" s="27" t="n">
        <v>300</v>
      </c>
      <c r="L112" s="32" t="n">
        <v>300</v>
      </c>
      <c r="M112" s="27" t="n">
        <v>300</v>
      </c>
      <c r="N112" s="32" t="n">
        <v>300</v>
      </c>
      <c r="O112" s="27">
        <f>F112+K112+M112</f>
        <v/>
      </c>
      <c r="P112" s="32">
        <f>F112+L112+N112</f>
        <v/>
      </c>
      <c r="Q112" s="33">
        <f>P112-O112</f>
        <v/>
      </c>
      <c r="R112" s="34" t="inlineStr"/>
    </row>
    <row r="113" ht="19" customHeight="1">
      <c r="B113" s="35" t="inlineStr">
        <is>
          <t>ESPAÑA</t>
        </is>
      </c>
      <c r="C113" s="36" t="inlineStr">
        <is>
          <t>SERVIAGRI´ 97, S.L.</t>
        </is>
      </c>
      <c r="D113" s="37" t="inlineStr">
        <is>
          <t>JF0005</t>
        </is>
      </c>
      <c r="E113" s="36" t="inlineStr">
        <is>
          <t>CODIGIN-FOS, 5 L</t>
        </is>
      </c>
      <c r="F113" s="27" t="n">
        <v>100</v>
      </c>
      <c r="G113" s="38" t="n">
        <v>0</v>
      </c>
      <c r="H113" s="29">
        <f>ABS(G113-F113)</f>
        <v/>
      </c>
      <c r="I113" s="30">
        <f>IF(F113&gt;0, G113/F113, IF(G113&gt;0, 1.0, 0.0))</f>
        <v/>
      </c>
      <c r="J113" s="31" t="inlineStr"/>
      <c r="K113" s="27" t="n">
        <v>0</v>
      </c>
      <c r="L113" s="32" t="n">
        <v>0</v>
      </c>
      <c r="M113" s="27" t="n">
        <v>0</v>
      </c>
      <c r="N113" s="32" t="n">
        <v>0</v>
      </c>
      <c r="O113" s="27">
        <f>F113+K113+M113</f>
        <v/>
      </c>
      <c r="P113" s="32">
        <f>F113+L113+N113</f>
        <v/>
      </c>
      <c r="Q113" s="33">
        <f>P113-O113</f>
        <v/>
      </c>
      <c r="R113" s="34" t="inlineStr"/>
    </row>
    <row r="114" ht="19" customHeight="1">
      <c r="B114" s="24" t="inlineStr">
        <is>
          <t>ESPAÑA</t>
        </is>
      </c>
      <c r="C114" s="25" t="inlineStr">
        <is>
          <t>SERVIAGRI´ 97, S.L.</t>
        </is>
      </c>
      <c r="D114" s="26" t="inlineStr">
        <is>
          <t>PREZN0005</t>
        </is>
      </c>
      <c r="E114" s="25" t="inlineStr">
        <is>
          <t>PREZINC, 5 kg</t>
        </is>
      </c>
      <c r="F114" s="27" t="n">
        <v>0</v>
      </c>
      <c r="G114" s="28" t="n">
        <v>0</v>
      </c>
      <c r="H114" s="29">
        <f>ABS(G114-F114)</f>
        <v/>
      </c>
      <c r="I114" s="30">
        <f>IF(F114&gt;0, G114/F114, IF(G114&gt;0, 1.0, 0.0))</f>
        <v/>
      </c>
      <c r="J114" s="31" t="inlineStr"/>
      <c r="K114" s="27" t="n">
        <v>0</v>
      </c>
      <c r="L114" s="32" t="n">
        <v>0</v>
      </c>
      <c r="M114" s="27" t="n">
        <v>3000</v>
      </c>
      <c r="N114" s="32" t="n">
        <v>3000</v>
      </c>
      <c r="O114" s="27">
        <f>F114+K114+M114</f>
        <v/>
      </c>
      <c r="P114" s="32">
        <f>F114+L114+N114</f>
        <v/>
      </c>
      <c r="Q114" s="33">
        <f>P114-O114</f>
        <v/>
      </c>
      <c r="R114" s="34" t="inlineStr"/>
    </row>
    <row r="115" ht="19" customHeight="1">
      <c r="B115" s="35" t="inlineStr">
        <is>
          <t>ESPAÑA</t>
        </is>
      </c>
      <c r="C115" s="36" t="inlineStr">
        <is>
          <t>SERVIAGRI´ 97, S.L.</t>
        </is>
      </c>
      <c r="D115" s="37" t="inlineStr">
        <is>
          <t>SSAE0005</t>
        </is>
      </c>
      <c r="E115" s="36" t="inlineStr">
        <is>
          <t>MAGNIFIC-VIETS-AE, 5 KG</t>
        </is>
      </c>
      <c r="F115" s="27" t="n">
        <v>200</v>
      </c>
      <c r="G115" s="38" t="n">
        <v>0</v>
      </c>
      <c r="H115" s="29">
        <f>ABS(G115-F115)</f>
        <v/>
      </c>
      <c r="I115" s="30">
        <f>IF(F115&gt;0, G115/F115, IF(G115&gt;0, 1.0, 0.0))</f>
        <v/>
      </c>
      <c r="J115" s="31" t="inlineStr"/>
      <c r="K115" s="27" t="n">
        <v>0</v>
      </c>
      <c r="L115" s="32" t="n">
        <v>0</v>
      </c>
      <c r="M115" s="27" t="n">
        <v>0</v>
      </c>
      <c r="N115" s="32" t="n">
        <v>0</v>
      </c>
      <c r="O115" s="27">
        <f>F115+K115+M115</f>
        <v/>
      </c>
      <c r="P115" s="32">
        <f>F115+L115+N115</f>
        <v/>
      </c>
      <c r="Q115" s="33">
        <f>P115-O115</f>
        <v/>
      </c>
      <c r="R115" s="34" t="inlineStr"/>
    </row>
    <row r="116" ht="19" customHeight="1">
      <c r="B116" s="24" t="inlineStr">
        <is>
          <t>MARRUECOS</t>
        </is>
      </c>
      <c r="C116" s="25" t="inlineStr">
        <is>
          <t>STE BBMAGRI, SARL</t>
        </is>
      </c>
      <c r="D116" s="26" t="inlineStr">
        <is>
          <t>A-50(2)0020</t>
        </is>
      </c>
      <c r="E116" s="25" t="inlineStr">
        <is>
          <t>CODIORGAN A-50</t>
        </is>
      </c>
      <c r="F116" s="27" t="n">
        <v>2000</v>
      </c>
      <c r="G116" s="28" t="n">
        <v>0</v>
      </c>
      <c r="H116" s="29">
        <f>ABS(G116-F116)</f>
        <v/>
      </c>
      <c r="I116" s="30">
        <f>IF(F116&gt;0, G116/F116, IF(G116&gt;0, 1.0, 0.0))</f>
        <v/>
      </c>
      <c r="J116" s="31" t="inlineStr"/>
      <c r="K116" s="27" t="n">
        <v>0</v>
      </c>
      <c r="L116" s="32" t="n">
        <v>0</v>
      </c>
      <c r="M116" s="27" t="n">
        <v>1000</v>
      </c>
      <c r="N116" s="32" t="n">
        <v>1000</v>
      </c>
      <c r="O116" s="27">
        <f>F116+K116+M116</f>
        <v/>
      </c>
      <c r="P116" s="32">
        <f>F116+L116+N116</f>
        <v/>
      </c>
      <c r="Q116" s="33">
        <f>P116-O116</f>
        <v/>
      </c>
      <c r="R116" s="34" t="inlineStr"/>
    </row>
    <row r="117" ht="19" customHeight="1">
      <c r="B117" s="35" t="inlineStr">
        <is>
          <t>MARRUECOS</t>
        </is>
      </c>
      <c r="C117" s="36" t="inlineStr">
        <is>
          <t>STE BBMAGRI, SARL</t>
        </is>
      </c>
      <c r="D117" s="37" t="inlineStr">
        <is>
          <t>A-500020MA</t>
        </is>
      </c>
      <c r="E117" s="36" t="inlineStr">
        <is>
          <t>CODIORGAN-A50, 20 KG</t>
        </is>
      </c>
      <c r="F117" s="27" t="n">
        <v>0</v>
      </c>
      <c r="G117" s="38" t="n">
        <v>1500</v>
      </c>
      <c r="H117" s="29">
        <f>ABS(G117-F117)</f>
        <v/>
      </c>
      <c r="I117" s="30">
        <f>IF(F117&gt;0, G117/F117, IF(G117&gt;0, 1.0, 0.0))</f>
        <v/>
      </c>
      <c r="J117" s="31" t="inlineStr">
        <is>
          <t>Pedido extra no previsto</t>
        </is>
      </c>
      <c r="K117" s="27" t="n">
        <v>0</v>
      </c>
      <c r="L117" s="32" t="n">
        <v>0</v>
      </c>
      <c r="M117" s="27" t="n">
        <v>0</v>
      </c>
      <c r="N117" s="32" t="n">
        <v>0</v>
      </c>
      <c r="O117" s="27">
        <f>F117+K117+M117</f>
        <v/>
      </c>
      <c r="P117" s="32">
        <f>F117+L117+N117</f>
        <v/>
      </c>
      <c r="Q117" s="33">
        <f>P117-O117</f>
        <v/>
      </c>
      <c r="R117" s="34" t="inlineStr"/>
    </row>
    <row r="118" ht="19" customHeight="1">
      <c r="B118" s="24" t="inlineStr">
        <is>
          <t>MARRUECOS</t>
        </is>
      </c>
      <c r="C118" s="25" t="inlineStr">
        <is>
          <t>STE BBMAGRI, SARL</t>
        </is>
      </c>
      <c r="D118" s="26" t="inlineStr">
        <is>
          <t>AGN0005</t>
        </is>
      </c>
      <c r="E118" s="25" t="inlineStr">
        <is>
          <t>AGROXILATO-N, 5 L</t>
        </is>
      </c>
      <c r="F118" s="27" t="n">
        <v>600</v>
      </c>
      <c r="G118" s="28" t="n">
        <v>0</v>
      </c>
      <c r="H118" s="29">
        <f>ABS(G118-F118)</f>
        <v/>
      </c>
      <c r="I118" s="30">
        <f>IF(F118&gt;0, G118/F118, IF(G118&gt;0, 1.0, 0.0))</f>
        <v/>
      </c>
      <c r="J118" s="31" t="inlineStr"/>
      <c r="K118" s="27" t="n">
        <v>0</v>
      </c>
      <c r="L118" s="32" t="n">
        <v>0</v>
      </c>
      <c r="M118" s="27" t="n">
        <v>0</v>
      </c>
      <c r="N118" s="32" t="n">
        <v>0</v>
      </c>
      <c r="O118" s="27">
        <f>F118+K118+M118</f>
        <v/>
      </c>
      <c r="P118" s="32">
        <f>F118+L118+N118</f>
        <v/>
      </c>
      <c r="Q118" s="33">
        <f>P118-O118</f>
        <v/>
      </c>
      <c r="R118" s="34" t="inlineStr"/>
    </row>
    <row r="119" ht="19" customHeight="1">
      <c r="B119" s="35" t="inlineStr">
        <is>
          <t>MARRUECOS</t>
        </is>
      </c>
      <c r="C119" s="36" t="inlineStr">
        <is>
          <t>STE BBMAGRI, SARL</t>
        </is>
      </c>
      <c r="D119" s="37" t="inlineStr">
        <is>
          <t>AGXK0020</t>
        </is>
      </c>
      <c r="E119" s="36" t="inlineStr">
        <is>
          <t>AGROXILATO-K</t>
        </is>
      </c>
      <c r="F119" s="27" t="n">
        <v>5000</v>
      </c>
      <c r="G119" s="38" t="n">
        <v>0</v>
      </c>
      <c r="H119" s="29">
        <f>ABS(G119-F119)</f>
        <v/>
      </c>
      <c r="I119" s="30">
        <f>IF(F119&gt;0, G119/F119, IF(G119&gt;0, 1.0, 0.0))</f>
        <v/>
      </c>
      <c r="J119" s="31" t="inlineStr"/>
      <c r="K119" s="27" t="n">
        <v>0</v>
      </c>
      <c r="L119" s="32" t="n">
        <v>0</v>
      </c>
      <c r="M119" s="27" t="n">
        <v>5000</v>
      </c>
      <c r="N119" s="32" t="n">
        <v>5000</v>
      </c>
      <c r="O119" s="27">
        <f>F119+K119+M119</f>
        <v/>
      </c>
      <c r="P119" s="32">
        <f>F119+L119+N119</f>
        <v/>
      </c>
      <c r="Q119" s="33">
        <f>P119-O119</f>
        <v/>
      </c>
      <c r="R119" s="34" t="inlineStr"/>
    </row>
    <row r="120" ht="19" customHeight="1">
      <c r="B120" s="24" t="inlineStr">
        <is>
          <t>MARRUECOS</t>
        </is>
      </c>
      <c r="C120" s="25" t="inlineStr">
        <is>
          <t>STE BBMAGRI, SARL</t>
        </is>
      </c>
      <c r="D120" s="26" t="inlineStr">
        <is>
          <t>AGXK0020MA</t>
        </is>
      </c>
      <c r="E120" s="25" t="inlineStr">
        <is>
          <t>AGROXILATO-K, 20 L</t>
        </is>
      </c>
      <c r="F120" s="27" t="n">
        <v>0</v>
      </c>
      <c r="G120" s="28" t="n">
        <v>7000</v>
      </c>
      <c r="H120" s="29">
        <f>ABS(G120-F120)</f>
        <v/>
      </c>
      <c r="I120" s="30">
        <f>IF(F120&gt;0, G120/F120, IF(G120&gt;0, 1.0, 0.0))</f>
        <v/>
      </c>
      <c r="J120" s="31" t="inlineStr">
        <is>
          <t>Pedido extra no previsto</t>
        </is>
      </c>
      <c r="K120" s="27" t="n">
        <v>0</v>
      </c>
      <c r="L120" s="32" t="n">
        <v>0</v>
      </c>
      <c r="M120" s="27" t="n">
        <v>0</v>
      </c>
      <c r="N120" s="32" t="n">
        <v>0</v>
      </c>
      <c r="O120" s="27">
        <f>F120+K120+M120</f>
        <v/>
      </c>
      <c r="P120" s="32">
        <f>F120+L120+N120</f>
        <v/>
      </c>
      <c r="Q120" s="33">
        <f>P120-O120</f>
        <v/>
      </c>
      <c r="R120" s="34" t="inlineStr"/>
    </row>
    <row r="121" ht="19" customHeight="1">
      <c r="B121" s="35" t="inlineStr">
        <is>
          <t>MARRUECOS</t>
        </is>
      </c>
      <c r="C121" s="36" t="inlineStr">
        <is>
          <t>STE BBMAGRI, SARL</t>
        </is>
      </c>
      <c r="D121" s="37" t="inlineStr">
        <is>
          <t>AGXK0200</t>
        </is>
      </c>
      <c r="E121" s="36" t="inlineStr">
        <is>
          <t>AGROXILATO-K</t>
        </is>
      </c>
      <c r="F121" s="27" t="n">
        <v>5000</v>
      </c>
      <c r="G121" s="38" t="n">
        <v>0</v>
      </c>
      <c r="H121" s="29">
        <f>ABS(G121-F121)</f>
        <v/>
      </c>
      <c r="I121" s="30">
        <f>IF(F121&gt;0, G121/F121, IF(G121&gt;0, 1.0, 0.0))</f>
        <v/>
      </c>
      <c r="J121" s="31" t="inlineStr"/>
      <c r="K121" s="27" t="n">
        <v>0</v>
      </c>
      <c r="L121" s="32" t="n">
        <v>0</v>
      </c>
      <c r="M121" s="27" t="n">
        <v>5000</v>
      </c>
      <c r="N121" s="32" t="n">
        <v>5000</v>
      </c>
      <c r="O121" s="27">
        <f>F121+K121+M121</f>
        <v/>
      </c>
      <c r="P121" s="32">
        <f>F121+L121+N121</f>
        <v/>
      </c>
      <c r="Q121" s="33">
        <f>P121-O121</f>
        <v/>
      </c>
      <c r="R121" s="34" t="inlineStr"/>
    </row>
    <row r="122" ht="19" customHeight="1">
      <c r="B122" s="24" t="inlineStr">
        <is>
          <t>MARRUECOS</t>
        </is>
      </c>
      <c r="C122" s="25" t="inlineStr">
        <is>
          <t>STE BBMAGRI, SARL</t>
        </is>
      </c>
      <c r="D122" s="26" t="inlineStr">
        <is>
          <t>AN0005</t>
        </is>
      </c>
      <c r="E122" s="25" t="inlineStr">
        <is>
          <t>ALCAPLANT NEW</t>
        </is>
      </c>
      <c r="F122" s="27" t="n">
        <v>3000</v>
      </c>
      <c r="G122" s="28" t="n">
        <v>0</v>
      </c>
      <c r="H122" s="29">
        <f>ABS(G122-F122)</f>
        <v/>
      </c>
      <c r="I122" s="30">
        <f>IF(F122&gt;0, G122/F122, IF(G122&gt;0, 1.0, 0.0))</f>
        <v/>
      </c>
      <c r="J122" s="31" t="inlineStr"/>
      <c r="K122" s="27" t="n">
        <v>0</v>
      </c>
      <c r="L122" s="32" t="n">
        <v>0</v>
      </c>
      <c r="M122" s="27" t="n">
        <v>0</v>
      </c>
      <c r="N122" s="32" t="n">
        <v>0</v>
      </c>
      <c r="O122" s="27">
        <f>F122+K122+M122</f>
        <v/>
      </c>
      <c r="P122" s="32">
        <f>F122+L122+N122</f>
        <v/>
      </c>
      <c r="Q122" s="33">
        <f>P122-O122</f>
        <v/>
      </c>
      <c r="R122" s="34" t="inlineStr"/>
    </row>
    <row r="123" ht="19" customHeight="1">
      <c r="B123" s="35" t="inlineStr">
        <is>
          <t>MARRUECOS</t>
        </is>
      </c>
      <c r="C123" s="36" t="inlineStr">
        <is>
          <t>STE BBMAGRI, SARL</t>
        </is>
      </c>
      <c r="D123" s="37" t="inlineStr">
        <is>
          <t>AVAN0020MA</t>
        </is>
      </c>
      <c r="E123" s="36" t="inlineStr">
        <is>
          <t>FLORAMEC AVANCE, 20 L</t>
        </is>
      </c>
      <c r="F123" s="27" t="n">
        <v>0</v>
      </c>
      <c r="G123" s="38" t="n">
        <v>2000</v>
      </c>
      <c r="H123" s="29">
        <f>ABS(G123-F123)</f>
        <v/>
      </c>
      <c r="I123" s="30">
        <f>IF(F123&gt;0, G123/F123, IF(G123&gt;0, 1.0, 0.0))</f>
        <v/>
      </c>
      <c r="J123" s="31" t="inlineStr">
        <is>
          <t>Pedido extra no previsto</t>
        </is>
      </c>
      <c r="K123" s="27" t="n">
        <v>0</v>
      </c>
      <c r="L123" s="32" t="n">
        <v>0</v>
      </c>
      <c r="M123" s="27" t="n">
        <v>0</v>
      </c>
      <c r="N123" s="32" t="n">
        <v>0</v>
      </c>
      <c r="O123" s="27">
        <f>F123+K123+M123</f>
        <v/>
      </c>
      <c r="P123" s="32">
        <f>F123+L123+N123</f>
        <v/>
      </c>
      <c r="Q123" s="33">
        <f>P123-O123</f>
        <v/>
      </c>
      <c r="R123" s="34" t="inlineStr"/>
    </row>
    <row r="124" ht="19" customHeight="1">
      <c r="B124" s="24" t="inlineStr">
        <is>
          <t>MARRUECOS</t>
        </is>
      </c>
      <c r="C124" s="25" t="inlineStr">
        <is>
          <t>STE BBMAGRI, SARL</t>
        </is>
      </c>
      <c r="D124" s="26" t="inlineStr">
        <is>
          <t>BIO0020</t>
        </is>
      </c>
      <c r="E124" s="25" t="inlineStr">
        <is>
          <t>RADISOL-20</t>
        </is>
      </c>
      <c r="F124" s="27" t="n">
        <v>5000</v>
      </c>
      <c r="G124" s="28" t="n">
        <v>0</v>
      </c>
      <c r="H124" s="29">
        <f>ABS(G124-F124)</f>
        <v/>
      </c>
      <c r="I124" s="30">
        <f>IF(F124&gt;0, G124/F124, IF(G124&gt;0, 1.0, 0.0))</f>
        <v/>
      </c>
      <c r="J124" s="31" t="inlineStr"/>
      <c r="K124" s="27" t="n">
        <v>0</v>
      </c>
      <c r="L124" s="32" t="n">
        <v>0</v>
      </c>
      <c r="M124" s="27" t="n">
        <v>5000</v>
      </c>
      <c r="N124" s="32" t="n">
        <v>5000</v>
      </c>
      <c r="O124" s="27">
        <f>F124+K124+M124</f>
        <v/>
      </c>
      <c r="P124" s="32">
        <f>F124+L124+N124</f>
        <v/>
      </c>
      <c r="Q124" s="33">
        <f>P124-O124</f>
        <v/>
      </c>
      <c r="R124" s="34" t="inlineStr"/>
    </row>
    <row r="125" ht="19" customHeight="1">
      <c r="B125" s="35" t="inlineStr">
        <is>
          <t>MARRUECOS</t>
        </is>
      </c>
      <c r="C125" s="36" t="inlineStr">
        <is>
          <t>STE BBMAGRI, SARL</t>
        </is>
      </c>
      <c r="D125" s="37" t="inlineStr">
        <is>
          <t>BR-590005MA</t>
        </is>
      </c>
      <c r="E125" s="36" t="inlineStr">
        <is>
          <t>BR-59, 5 KG</t>
        </is>
      </c>
      <c r="F125" s="27" t="n">
        <v>0</v>
      </c>
      <c r="G125" s="38" t="n">
        <v>800</v>
      </c>
      <c r="H125" s="29">
        <f>ABS(G125-F125)</f>
        <v/>
      </c>
      <c r="I125" s="30">
        <f>IF(F125&gt;0, G125/F125, IF(G125&gt;0, 1.0, 0.0))</f>
        <v/>
      </c>
      <c r="J125" s="31" t="inlineStr">
        <is>
          <t>Pedido extra no previsto</t>
        </is>
      </c>
      <c r="K125" s="27" t="n">
        <v>0</v>
      </c>
      <c r="L125" s="32" t="n">
        <v>0</v>
      </c>
      <c r="M125" s="27" t="n">
        <v>0</v>
      </c>
      <c r="N125" s="32" t="n">
        <v>0</v>
      </c>
      <c r="O125" s="27">
        <f>F125+K125+M125</f>
        <v/>
      </c>
      <c r="P125" s="32">
        <f>F125+L125+N125</f>
        <v/>
      </c>
      <c r="Q125" s="33">
        <f>P125-O125</f>
        <v/>
      </c>
      <c r="R125" s="34" t="inlineStr"/>
    </row>
    <row r="126" ht="19" customHeight="1">
      <c r="B126" s="24" t="inlineStr">
        <is>
          <t>MARRUECOS</t>
        </is>
      </c>
      <c r="C126" s="25" t="inlineStr">
        <is>
          <t>STE BBMAGRI, SARL</t>
        </is>
      </c>
      <c r="D126" s="26" t="inlineStr">
        <is>
          <t>BROTA0005</t>
        </is>
      </c>
      <c r="E126" s="25" t="inlineStr">
        <is>
          <t>BROTAMEC, 5 L</t>
        </is>
      </c>
      <c r="F126" s="27" t="n">
        <v>0</v>
      </c>
      <c r="G126" s="28" t="n">
        <v>200</v>
      </c>
      <c r="H126" s="29">
        <f>ABS(G126-F126)</f>
        <v/>
      </c>
      <c r="I126" s="30">
        <f>IF(F126&gt;0, G126/F126, IF(G126&gt;0, 1.0, 0.0))</f>
        <v/>
      </c>
      <c r="J126" s="31" t="inlineStr">
        <is>
          <t>Pedido extra no previsto</t>
        </is>
      </c>
      <c r="K126" s="27" t="n">
        <v>0</v>
      </c>
      <c r="L126" s="32" t="n">
        <v>0</v>
      </c>
      <c r="M126" s="27" t="n">
        <v>0</v>
      </c>
      <c r="N126" s="32" t="n">
        <v>0</v>
      </c>
      <c r="O126" s="27">
        <f>F126+K126+M126</f>
        <v/>
      </c>
      <c r="P126" s="32">
        <f>F126+L126+N126</f>
        <v/>
      </c>
      <c r="Q126" s="33">
        <f>P126-O126</f>
        <v/>
      </c>
      <c r="R126" s="34" t="inlineStr"/>
    </row>
    <row r="127" ht="19" customHeight="1">
      <c r="B127" s="35" t="inlineStr">
        <is>
          <t>MARRUECOS</t>
        </is>
      </c>
      <c r="C127" s="36" t="inlineStr">
        <is>
          <t>STE BBMAGRI, SARL</t>
        </is>
      </c>
      <c r="D127" s="37" t="inlineStr">
        <is>
          <t>C-CU0005MA</t>
        </is>
      </c>
      <c r="E127" s="36" t="inlineStr">
        <is>
          <t>CODICOBRE, 5 L</t>
        </is>
      </c>
      <c r="F127" s="27" t="n">
        <v>0</v>
      </c>
      <c r="G127" s="38" t="n">
        <v>1000</v>
      </c>
      <c r="H127" s="29">
        <f>ABS(G127-F127)</f>
        <v/>
      </c>
      <c r="I127" s="30">
        <f>IF(F127&gt;0, G127/F127, IF(G127&gt;0, 1.0, 0.0))</f>
        <v/>
      </c>
      <c r="J127" s="31" t="inlineStr">
        <is>
          <t>Pedido extra no previsto</t>
        </is>
      </c>
      <c r="K127" s="27" t="n">
        <v>0</v>
      </c>
      <c r="L127" s="32" t="n">
        <v>0</v>
      </c>
      <c r="M127" s="27" t="n">
        <v>0</v>
      </c>
      <c r="N127" s="32" t="n">
        <v>0</v>
      </c>
      <c r="O127" s="27">
        <f>F127+K127+M127</f>
        <v/>
      </c>
      <c r="P127" s="32">
        <f>F127+L127+N127</f>
        <v/>
      </c>
      <c r="Q127" s="33">
        <f>P127-O127</f>
        <v/>
      </c>
      <c r="R127" s="34" t="inlineStr"/>
    </row>
    <row r="128" ht="19" customHeight="1">
      <c r="B128" s="24" t="inlineStr">
        <is>
          <t>MARRUECOS</t>
        </is>
      </c>
      <c r="C128" s="25" t="inlineStr">
        <is>
          <t>STE BBMAGRI, SARL</t>
        </is>
      </c>
      <c r="D128" s="26" t="inlineStr">
        <is>
          <t>CALCIO0005</t>
        </is>
      </c>
      <c r="E128" s="25" t="inlineStr">
        <is>
          <t>CALCIAMEC, 5 KG</t>
        </is>
      </c>
      <c r="F128" s="27" t="n">
        <v>0</v>
      </c>
      <c r="G128" s="28" t="n">
        <v>0</v>
      </c>
      <c r="H128" s="29">
        <f>ABS(G128-F128)</f>
        <v/>
      </c>
      <c r="I128" s="30">
        <f>IF(F128&gt;0, G128/F128, IF(G128&gt;0, 1.0, 0.0))</f>
        <v/>
      </c>
      <c r="J128" s="31" t="inlineStr"/>
      <c r="K128" s="27" t="n">
        <v>0</v>
      </c>
      <c r="L128" s="32" t="n">
        <v>0</v>
      </c>
      <c r="M128" s="27" t="n">
        <v>1000</v>
      </c>
      <c r="N128" s="32" t="n">
        <v>1000</v>
      </c>
      <c r="O128" s="27">
        <f>F128+K128+M128</f>
        <v/>
      </c>
      <c r="P128" s="32">
        <f>F128+L128+N128</f>
        <v/>
      </c>
      <c r="Q128" s="33">
        <f>P128-O128</f>
        <v/>
      </c>
      <c r="R128" s="34" t="inlineStr"/>
    </row>
    <row r="129" ht="19" customHeight="1">
      <c r="B129" s="35" t="inlineStr">
        <is>
          <t>MARRUECOS</t>
        </is>
      </c>
      <c r="C129" s="36" t="inlineStr">
        <is>
          <t>STE BBMAGRI, SARL</t>
        </is>
      </c>
      <c r="D129" s="37" t="inlineStr">
        <is>
          <t>F-MIX0020</t>
        </is>
      </c>
      <c r="E129" s="36" t="inlineStr">
        <is>
          <t>FITOLIN-MIX, 20 L</t>
        </is>
      </c>
      <c r="F129" s="27" t="n">
        <v>0</v>
      </c>
      <c r="G129" s="38" t="n">
        <v>0</v>
      </c>
      <c r="H129" s="29">
        <f>ABS(G129-F129)</f>
        <v/>
      </c>
      <c r="I129" s="30">
        <f>IF(F129&gt;0, G129/F129, IF(G129&gt;0, 1.0, 0.0))</f>
        <v/>
      </c>
      <c r="J129" s="31" t="inlineStr"/>
      <c r="K129" s="27" t="n">
        <v>1000</v>
      </c>
      <c r="L129" s="32" t="n">
        <v>1000</v>
      </c>
      <c r="M129" s="27" t="n">
        <v>0</v>
      </c>
      <c r="N129" s="32" t="n">
        <v>0</v>
      </c>
      <c r="O129" s="27">
        <f>F129+K129+M129</f>
        <v/>
      </c>
      <c r="P129" s="32">
        <f>F129+L129+N129</f>
        <v/>
      </c>
      <c r="Q129" s="33">
        <f>P129-O129</f>
        <v/>
      </c>
      <c r="R129" s="34" t="inlineStr"/>
    </row>
    <row r="130" ht="19" customHeight="1">
      <c r="B130" s="24" t="inlineStr">
        <is>
          <t>MARRUECOS</t>
        </is>
      </c>
      <c r="C130" s="25" t="inlineStr">
        <is>
          <t>STE BBMAGRI, SARL</t>
        </is>
      </c>
      <c r="D130" s="26" t="inlineStr">
        <is>
          <t>FTK0005</t>
        </is>
      </c>
      <c r="E130" s="25" t="inlineStr">
        <is>
          <t>FITOKONTROL CA FLOW</t>
        </is>
      </c>
      <c r="F130" s="27" t="n">
        <v>0</v>
      </c>
      <c r="G130" s="28" t="n">
        <v>0</v>
      </c>
      <c r="H130" s="29">
        <f>ABS(G130-F130)</f>
        <v/>
      </c>
      <c r="I130" s="30">
        <f>IF(F130&gt;0, G130/F130, IF(G130&gt;0, 1.0, 0.0))</f>
        <v/>
      </c>
      <c r="J130" s="31" t="inlineStr"/>
      <c r="K130" s="27" t="n">
        <v>0</v>
      </c>
      <c r="L130" s="32" t="n">
        <v>0</v>
      </c>
      <c r="M130" s="27" t="n">
        <v>2000</v>
      </c>
      <c r="N130" s="32" t="n">
        <v>2000</v>
      </c>
      <c r="O130" s="27">
        <f>F130+K130+M130</f>
        <v/>
      </c>
      <c r="P130" s="32">
        <f>F130+L130+N130</f>
        <v/>
      </c>
      <c r="Q130" s="33">
        <f>P130-O130</f>
        <v/>
      </c>
      <c r="R130" s="34" t="inlineStr"/>
    </row>
    <row r="131" ht="19" customHeight="1">
      <c r="B131" s="35" t="inlineStr">
        <is>
          <t>MARRUECOS</t>
        </is>
      </c>
      <c r="C131" s="36" t="inlineStr">
        <is>
          <t>STE BBMAGRI, SARL</t>
        </is>
      </c>
      <c r="D131" s="37" t="inlineStr">
        <is>
          <t>JF0005</t>
        </is>
      </c>
      <c r="E131" s="36" t="inlineStr">
        <is>
          <t>CODIGIN-FOS</t>
        </is>
      </c>
      <c r="F131" s="27" t="n">
        <v>0</v>
      </c>
      <c r="G131" s="38" t="n">
        <v>0</v>
      </c>
      <c r="H131" s="29">
        <f>ABS(G131-F131)</f>
        <v/>
      </c>
      <c r="I131" s="30">
        <f>IF(F131&gt;0, G131/F131, IF(G131&gt;0, 1.0, 0.0))</f>
        <v/>
      </c>
      <c r="J131" s="31" t="inlineStr"/>
      <c r="K131" s="27" t="n">
        <v>0</v>
      </c>
      <c r="L131" s="32" t="n">
        <v>0</v>
      </c>
      <c r="M131" s="27" t="n">
        <v>1000</v>
      </c>
      <c r="N131" s="32" t="n">
        <v>1000</v>
      </c>
      <c r="O131" s="27">
        <f>F131+K131+M131</f>
        <v/>
      </c>
      <c r="P131" s="32">
        <f>F131+L131+N131</f>
        <v/>
      </c>
      <c r="Q131" s="33">
        <f>P131-O131</f>
        <v/>
      </c>
      <c r="R131" s="34" t="inlineStr"/>
    </row>
    <row r="132" ht="19" customHeight="1">
      <c r="B132" s="24" t="inlineStr">
        <is>
          <t>MARRUECOS</t>
        </is>
      </c>
      <c r="C132" s="25" t="inlineStr">
        <is>
          <t>STE BBMAGRI, SARL</t>
        </is>
      </c>
      <c r="D132" s="26" t="inlineStr">
        <is>
          <t>PHD0005</t>
        </is>
      </c>
      <c r="E132" s="25" t="inlineStr">
        <is>
          <t>PH-DOWNER, 5 L</t>
        </is>
      </c>
      <c r="F132" s="27" t="n">
        <v>1600</v>
      </c>
      <c r="G132" s="28" t="n">
        <v>600</v>
      </c>
      <c r="H132" s="29">
        <f>ABS(G132-F132)</f>
        <v/>
      </c>
      <c r="I132" s="30">
        <f>IF(F132&gt;0, G132/F132, IF(G132&gt;0, 1.0, 0.0))</f>
        <v/>
      </c>
      <c r="J132" s="31" t="inlineStr"/>
      <c r="K132" s="27" t="n">
        <v>0</v>
      </c>
      <c r="L132" s="32" t="n">
        <v>0</v>
      </c>
      <c r="M132" s="27" t="n">
        <v>0</v>
      </c>
      <c r="N132" s="32" t="n">
        <v>0</v>
      </c>
      <c r="O132" s="27">
        <f>F132+K132+M132</f>
        <v/>
      </c>
      <c r="P132" s="32">
        <f>F132+L132+N132</f>
        <v/>
      </c>
      <c r="Q132" s="33">
        <f>P132-O132</f>
        <v/>
      </c>
      <c r="R132" s="34" t="inlineStr"/>
    </row>
    <row r="133" ht="19" customHeight="1">
      <c r="B133" s="35" t="inlineStr">
        <is>
          <t>MARRUECOS</t>
        </is>
      </c>
      <c r="C133" s="36" t="inlineStr">
        <is>
          <t>STE BBMAGRI, SARL</t>
        </is>
      </c>
      <c r="D133" s="37" t="inlineStr">
        <is>
          <t>PHD0020</t>
        </is>
      </c>
      <c r="E133" s="36" t="inlineStr">
        <is>
          <t>PH-DOWNER</t>
        </is>
      </c>
      <c r="F133" s="27" t="n">
        <v>600</v>
      </c>
      <c r="G133" s="38" t="n">
        <v>0</v>
      </c>
      <c r="H133" s="29">
        <f>ABS(G133-F133)</f>
        <v/>
      </c>
      <c r="I133" s="30">
        <f>IF(F133&gt;0, G133/F133, IF(G133&gt;0, 1.0, 0.0))</f>
        <v/>
      </c>
      <c r="J133" s="31" t="inlineStr"/>
      <c r="K133" s="27" t="n">
        <v>0</v>
      </c>
      <c r="L133" s="32" t="n">
        <v>0</v>
      </c>
      <c r="M133" s="27" t="n">
        <v>0</v>
      </c>
      <c r="N133" s="32" t="n">
        <v>0</v>
      </c>
      <c r="O133" s="27">
        <f>F133+K133+M133</f>
        <v/>
      </c>
      <c r="P133" s="32">
        <f>F133+L133+N133</f>
        <v/>
      </c>
      <c r="Q133" s="33">
        <f>P133-O133</f>
        <v/>
      </c>
      <c r="R133" s="34" t="inlineStr"/>
    </row>
    <row r="134" ht="19" customHeight="1">
      <c r="B134" s="24" t="inlineStr">
        <is>
          <t>MARRUECOS</t>
        </is>
      </c>
      <c r="C134" s="25" t="inlineStr">
        <is>
          <t>STE BBMAGRI, SARL</t>
        </is>
      </c>
      <c r="D134" s="26" t="inlineStr">
        <is>
          <t>PHD0020MA</t>
        </is>
      </c>
      <c r="E134" s="25" t="inlineStr">
        <is>
          <t>PH-DOWNER, 20 L</t>
        </is>
      </c>
      <c r="F134" s="27" t="n">
        <v>0</v>
      </c>
      <c r="G134" s="28" t="n">
        <v>600</v>
      </c>
      <c r="H134" s="29">
        <f>ABS(G134-F134)</f>
        <v/>
      </c>
      <c r="I134" s="30">
        <f>IF(F134&gt;0, G134/F134, IF(G134&gt;0, 1.0, 0.0))</f>
        <v/>
      </c>
      <c r="J134" s="31" t="inlineStr">
        <is>
          <t>Pedido extra no previsto</t>
        </is>
      </c>
      <c r="K134" s="27" t="n">
        <v>0</v>
      </c>
      <c r="L134" s="32" t="n">
        <v>0</v>
      </c>
      <c r="M134" s="27" t="n">
        <v>0</v>
      </c>
      <c r="N134" s="32" t="n">
        <v>0</v>
      </c>
      <c r="O134" s="27">
        <f>F134+K134+M134</f>
        <v/>
      </c>
      <c r="P134" s="32">
        <f>F134+L134+N134</f>
        <v/>
      </c>
      <c r="Q134" s="33">
        <f>P134-O134</f>
        <v/>
      </c>
      <c r="R134" s="34" t="inlineStr"/>
    </row>
    <row r="135" ht="19" customHeight="1">
      <c r="B135" s="35" t="inlineStr">
        <is>
          <t>MARRUECOS</t>
        </is>
      </c>
      <c r="C135" s="36" t="inlineStr">
        <is>
          <t>STE BBMAGRI, SARL</t>
        </is>
      </c>
      <c r="D135" s="37" t="inlineStr">
        <is>
          <t>PT0020</t>
        </is>
      </c>
      <c r="E135" s="36" t="inlineStr">
        <is>
          <t>AGROPOTASION</t>
        </is>
      </c>
      <c r="F135" s="27" t="n">
        <v>5000</v>
      </c>
      <c r="G135" s="38" t="n">
        <v>0</v>
      </c>
      <c r="H135" s="29">
        <f>ABS(G135-F135)</f>
        <v/>
      </c>
      <c r="I135" s="30">
        <f>IF(F135&gt;0, G135/F135, IF(G135&gt;0, 1.0, 0.0))</f>
        <v/>
      </c>
      <c r="J135" s="31" t="inlineStr"/>
      <c r="K135" s="27" t="n">
        <v>0</v>
      </c>
      <c r="L135" s="32" t="n">
        <v>0</v>
      </c>
      <c r="M135" s="27" t="n">
        <v>0</v>
      </c>
      <c r="N135" s="32" t="n">
        <v>0</v>
      </c>
      <c r="O135" s="27">
        <f>F135+K135+M135</f>
        <v/>
      </c>
      <c r="P135" s="32">
        <f>F135+L135+N135</f>
        <v/>
      </c>
      <c r="Q135" s="33">
        <f>P135-O135</f>
        <v/>
      </c>
      <c r="R135" s="34" t="inlineStr"/>
    </row>
    <row r="136" ht="19" customHeight="1">
      <c r="B136" s="24" t="inlineStr">
        <is>
          <t>MARRUECOS</t>
        </is>
      </c>
      <c r="C136" s="25" t="inlineStr">
        <is>
          <t>STE BBMAGRI, SARL</t>
        </is>
      </c>
      <c r="D136" s="26" t="inlineStr">
        <is>
          <t>PT0020MA</t>
        </is>
      </c>
      <c r="E136" s="25" t="inlineStr">
        <is>
          <t>AGROPOTASION, 20 L</t>
        </is>
      </c>
      <c r="F136" s="27" t="n">
        <v>0</v>
      </c>
      <c r="G136" s="28" t="n">
        <v>3000</v>
      </c>
      <c r="H136" s="29">
        <f>ABS(G136-F136)</f>
        <v/>
      </c>
      <c r="I136" s="30">
        <f>IF(F136&gt;0, G136/F136, IF(G136&gt;0, 1.0, 0.0))</f>
        <v/>
      </c>
      <c r="J136" s="31" t="inlineStr">
        <is>
          <t>Pedido extra no previsto</t>
        </is>
      </c>
      <c r="K136" s="27" t="n">
        <v>0</v>
      </c>
      <c r="L136" s="32" t="n">
        <v>0</v>
      </c>
      <c r="M136" s="27" t="n">
        <v>0</v>
      </c>
      <c r="N136" s="32" t="n">
        <v>0</v>
      </c>
      <c r="O136" s="27">
        <f>F136+K136+M136</f>
        <v/>
      </c>
      <c r="P136" s="32">
        <f>F136+L136+N136</f>
        <v/>
      </c>
      <c r="Q136" s="33">
        <f>P136-O136</f>
        <v/>
      </c>
      <c r="R136" s="34" t="inlineStr"/>
    </row>
    <row r="137" ht="19" customHeight="1">
      <c r="B137" s="35" t="inlineStr">
        <is>
          <t>MARRUECOS</t>
        </is>
      </c>
      <c r="C137" s="36" t="inlineStr">
        <is>
          <t>STE BBMAGRI, SARL</t>
        </is>
      </c>
      <c r="D137" s="37" t="inlineStr">
        <is>
          <t>SS0020</t>
        </is>
      </c>
      <c r="E137" s="36" t="inlineStr">
        <is>
          <t>SAL-WAX-Ca</t>
        </is>
      </c>
      <c r="F137" s="27" t="n">
        <v>2000</v>
      </c>
      <c r="G137" s="38" t="n">
        <v>0</v>
      </c>
      <c r="H137" s="29">
        <f>ABS(G137-F137)</f>
        <v/>
      </c>
      <c r="I137" s="30">
        <f>IF(F137&gt;0, G137/F137, IF(G137&gt;0, 1.0, 0.0))</f>
        <v/>
      </c>
      <c r="J137" s="31" t="inlineStr"/>
      <c r="K137" s="27" t="n">
        <v>0</v>
      </c>
      <c r="L137" s="32" t="n">
        <v>0</v>
      </c>
      <c r="M137" s="27" t="n">
        <v>2000</v>
      </c>
      <c r="N137" s="32" t="n">
        <v>2000</v>
      </c>
      <c r="O137" s="27">
        <f>F137+K137+M137</f>
        <v/>
      </c>
      <c r="P137" s="32">
        <f>F137+L137+N137</f>
        <v/>
      </c>
      <c r="Q137" s="33">
        <f>P137-O137</f>
        <v/>
      </c>
      <c r="R137" s="34" t="inlineStr"/>
    </row>
    <row r="138" ht="19" customHeight="1">
      <c r="B138" s="24" t="inlineStr">
        <is>
          <t>MARRUECOS</t>
        </is>
      </c>
      <c r="C138" s="25" t="inlineStr">
        <is>
          <t>STE BBMAGRI, SARL</t>
        </is>
      </c>
      <c r="D138" s="26" t="inlineStr">
        <is>
          <t>SS0020MA</t>
        </is>
      </c>
      <c r="E138" s="25" t="inlineStr">
        <is>
          <t>SALWAX-CA, 20 KG</t>
        </is>
      </c>
      <c r="F138" s="27" t="n">
        <v>0</v>
      </c>
      <c r="G138" s="28" t="n">
        <v>2000</v>
      </c>
      <c r="H138" s="29">
        <f>ABS(G138-F138)</f>
        <v/>
      </c>
      <c r="I138" s="30">
        <f>IF(F138&gt;0, G138/F138, IF(G138&gt;0, 1.0, 0.0))</f>
        <v/>
      </c>
      <c r="J138" s="31" t="inlineStr">
        <is>
          <t>Pedido extra no previsto</t>
        </is>
      </c>
      <c r="K138" s="27" t="n">
        <v>0</v>
      </c>
      <c r="L138" s="32" t="n">
        <v>0</v>
      </c>
      <c r="M138" s="27" t="n">
        <v>0</v>
      </c>
      <c r="N138" s="32" t="n">
        <v>0</v>
      </c>
      <c r="O138" s="27">
        <f>F138+K138+M138</f>
        <v/>
      </c>
      <c r="P138" s="32">
        <f>F138+L138+N138</f>
        <v/>
      </c>
      <c r="Q138" s="33">
        <f>P138-O138</f>
        <v/>
      </c>
      <c r="R138" s="34" t="inlineStr"/>
    </row>
    <row r="139" ht="19" customHeight="1">
      <c r="B139" s="35" t="inlineStr">
        <is>
          <t>ESPAÑA</t>
        </is>
      </c>
      <c r="C139" s="36" t="inlineStr">
        <is>
          <t>TRATAMIENTOS AGRICOLAS BRENES, S.L.</t>
        </is>
      </c>
      <c r="D139" s="37" t="inlineStr">
        <is>
          <t>AGXK1000</t>
        </is>
      </c>
      <c r="E139" s="36" t="inlineStr">
        <is>
          <t>AGROXILATO-K, 1000 L</t>
        </is>
      </c>
      <c r="F139" s="27" t="n">
        <v>0</v>
      </c>
      <c r="G139" s="38" t="n">
        <v>0</v>
      </c>
      <c r="H139" s="29">
        <f>ABS(G139-F139)</f>
        <v/>
      </c>
      <c r="I139" s="30">
        <f>IF(F139&gt;0, G139/F139, IF(G139&gt;0, 1.0, 0.0))</f>
        <v/>
      </c>
      <c r="J139" s="31" t="inlineStr"/>
      <c r="K139" s="27" t="n">
        <v>0</v>
      </c>
      <c r="L139" s="32" t="n">
        <v>0</v>
      </c>
      <c r="M139" s="27" t="n">
        <v>1000</v>
      </c>
      <c r="N139" s="32" t="n">
        <v>1000</v>
      </c>
      <c r="O139" s="27">
        <f>F139+K139+M139</f>
        <v/>
      </c>
      <c r="P139" s="32">
        <f>F139+L139+N139</f>
        <v/>
      </c>
      <c r="Q139" s="33">
        <f>P139-O139</f>
        <v/>
      </c>
      <c r="R139" s="34" t="inlineStr"/>
    </row>
    <row r="140" ht="19" customHeight="1">
      <c r="B140" s="24" t="inlineStr">
        <is>
          <t>ESPAÑA</t>
        </is>
      </c>
      <c r="C140" s="25" t="inlineStr">
        <is>
          <t>TRATAMIENTOS AGRICOLAS BRENES, S.L.</t>
        </is>
      </c>
      <c r="D140" s="26" t="inlineStr">
        <is>
          <t>PT0020</t>
        </is>
      </c>
      <c r="E140" s="25" t="inlineStr">
        <is>
          <t>AGROPOTASION, 20 L</t>
        </is>
      </c>
      <c r="F140" s="27" t="n">
        <v>0</v>
      </c>
      <c r="G140" s="28" t="n">
        <v>640</v>
      </c>
      <c r="H140" s="29">
        <f>ABS(G140-F140)</f>
        <v/>
      </c>
      <c r="I140" s="30">
        <f>IF(F140&gt;0, G140/F140, IF(G140&gt;0, 1.0, 0.0))</f>
        <v/>
      </c>
      <c r="J140" s="31" t="inlineStr">
        <is>
          <t>Pedido extra no previsto</t>
        </is>
      </c>
      <c r="K140" s="27" t="n">
        <v>0</v>
      </c>
      <c r="L140" s="32" t="n">
        <v>0</v>
      </c>
      <c r="M140" s="27" t="n">
        <v>0</v>
      </c>
      <c r="N140" s="32" t="n">
        <v>0</v>
      </c>
      <c r="O140" s="27">
        <f>F140+K140+M140</f>
        <v/>
      </c>
      <c r="P140" s="32">
        <f>F140+L140+N140</f>
        <v/>
      </c>
      <c r="Q140" s="33">
        <f>P140-O140</f>
        <v/>
      </c>
      <c r="R140" s="34" t="inlineStr"/>
    </row>
    <row r="141" ht="19" customHeight="1">
      <c r="B141" s="35" t="inlineStr">
        <is>
          <t>ESPAÑA</t>
        </is>
      </c>
      <c r="C141" s="36" t="inlineStr">
        <is>
          <t>TRATAMIENTOS AGRICOLAS BRENES, S.L.</t>
        </is>
      </c>
      <c r="D141" s="37" t="inlineStr">
        <is>
          <t>WHITE0020</t>
        </is>
      </c>
      <c r="E141" s="36" t="inlineStr">
        <is>
          <t>AGROWHITE, 20 KG</t>
        </is>
      </c>
      <c r="F141" s="27" t="n">
        <v>1100</v>
      </c>
      <c r="G141" s="38" t="n">
        <v>0</v>
      </c>
      <c r="H141" s="29">
        <f>ABS(G141-F141)</f>
        <v/>
      </c>
      <c r="I141" s="30">
        <f>IF(F141&gt;0, G141/F141, IF(G141&gt;0, 1.0, 0.0))</f>
        <v/>
      </c>
      <c r="J141" s="31" t="inlineStr"/>
      <c r="K141" s="27" t="n">
        <v>0</v>
      </c>
      <c r="L141" s="32" t="n">
        <v>0</v>
      </c>
      <c r="M141" s="27" t="n">
        <v>0</v>
      </c>
      <c r="N141" s="32" t="n">
        <v>0</v>
      </c>
      <c r="O141" s="27">
        <f>F141+K141+M141</f>
        <v/>
      </c>
      <c r="P141" s="32">
        <f>F141+L141+N141</f>
        <v/>
      </c>
      <c r="Q141" s="33">
        <f>P141-O141</f>
        <v/>
      </c>
      <c r="R141" s="34" t="inlineStr"/>
    </row>
    <row r="142" ht="19" customHeight="1">
      <c r="B142" s="24" t="inlineStr">
        <is>
          <t>ESPAÑA</t>
        </is>
      </c>
      <c r="C142" s="25" t="inlineStr">
        <is>
          <t>UNICOM SERVICIOS Y GESTION S.L.</t>
        </is>
      </c>
      <c r="D142" s="26" t="inlineStr">
        <is>
          <t>AGXK0020</t>
        </is>
      </c>
      <c r="E142" s="25" t="inlineStr">
        <is>
          <t>AGROXILATO-K, 20 L</t>
        </is>
      </c>
      <c r="F142" s="27" t="n">
        <v>0</v>
      </c>
      <c r="G142" s="28" t="n">
        <v>0</v>
      </c>
      <c r="H142" s="29">
        <f>ABS(G142-F142)</f>
        <v/>
      </c>
      <c r="I142" s="30">
        <f>IF(F142&gt;0, G142/F142, IF(G142&gt;0, 1.0, 0.0))</f>
        <v/>
      </c>
      <c r="J142" s="31" t="inlineStr"/>
      <c r="K142" s="27" t="n">
        <v>640</v>
      </c>
      <c r="L142" s="32" t="n">
        <v>640</v>
      </c>
      <c r="M142" s="27" t="n">
        <v>0</v>
      </c>
      <c r="N142" s="32" t="n">
        <v>0</v>
      </c>
      <c r="O142" s="27">
        <f>F142+K142+M142</f>
        <v/>
      </c>
      <c r="P142" s="32">
        <f>F142+L142+N142</f>
        <v/>
      </c>
      <c r="Q142" s="33">
        <f>P142-O142</f>
        <v/>
      </c>
      <c r="R142" s="34" t="inlineStr"/>
    </row>
    <row r="143" ht="24" customHeight="1">
      <c r="B143" s="39" t="inlineStr">
        <is>
          <t>TOTAL CONSOLIDADO - GARCÍA (UNIDADES)</t>
        </is>
      </c>
      <c r="C143" s="40" t="n"/>
      <c r="D143" s="40" t="n"/>
      <c r="E143" s="40" t="n"/>
      <c r="F143" s="41">
        <f>SUM(F10:F142)</f>
        <v/>
      </c>
      <c r="G143" s="41">
        <f>SUM(G10:G142)</f>
        <v/>
      </c>
      <c r="H143" s="41">
        <f>SUM(H10:H142)</f>
        <v/>
      </c>
      <c r="I143" s="42">
        <f>IF(F143&gt;0, G143/F143, 1.0)</f>
        <v/>
      </c>
      <c r="J143" s="43" t="n"/>
      <c r="K143" s="41">
        <f>SUM(K10:K142)</f>
        <v/>
      </c>
      <c r="L143" s="41">
        <f>SUM(L10:L142)</f>
        <v/>
      </c>
      <c r="M143" s="41">
        <f>SUM(M10:M142)</f>
        <v/>
      </c>
      <c r="N143" s="41">
        <f>SUM(N10:N142)</f>
        <v/>
      </c>
      <c r="O143" s="41">
        <f>SUM(O10:O142)</f>
        <v/>
      </c>
      <c r="P143" s="41">
        <f>SUM(P10:P142)</f>
        <v/>
      </c>
      <c r="Q143" s="44">
        <f>SUM(Q10:Q142)</f>
        <v/>
      </c>
      <c r="R143" s="43" t="n"/>
    </row>
  </sheetData>
  <mergeCells count="20">
    <mergeCell ref="B4:R4"/>
    <mergeCell ref="J6:L6"/>
    <mergeCell ref="O8:R8"/>
    <mergeCell ref="B143:E143"/>
    <mergeCell ref="B3:R3"/>
    <mergeCell ref="M6:O6"/>
    <mergeCell ref="E6:G6"/>
    <mergeCell ref="H6:I6"/>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2026-10-28T08:32:08Z</dcterms:created>
  <dcterms:modified xmlns:dcterms="http://purl.org/dc/terms/" xmlns:xsi="http://www.w3.org/2001/XMLSchema-instance" xsi:type="dcterms:W3CDTF">2026-10-28T08:32:08Z</dcterms:modified>
</cp:coreProperties>
</file>