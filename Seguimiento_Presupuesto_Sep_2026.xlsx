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20/10/2026 | Generado: 20/10/2026 08:14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144,765 u</t>
        </is>
      </c>
      <c r="E6" s="4" t="n"/>
      <c r="F6" s="9" t="inlineStr">
        <is>
          <t>79.6%</t>
        </is>
      </c>
      <c r="G6" s="4" t="n"/>
      <c r="H6" s="10" t="inlineStr">
        <is>
          <t>80,649 u</t>
        </is>
      </c>
      <c r="I6" s="4" t="n"/>
      <c r="J6" s="7" t="inlineStr">
        <is>
          <t>99,736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4</v>
      </c>
      <c r="D10" s="15" t="n">
        <v>2320</v>
      </c>
      <c r="E10" s="15" t="n">
        <v>2924</v>
      </c>
      <c r="F10" s="15" t="n">
        <v>2924</v>
      </c>
      <c r="G10" s="15" t="n">
        <v>0</v>
      </c>
      <c r="H10" s="15">
        <f>MAX(0, D10-E10)</f>
        <v/>
      </c>
      <c r="I10" s="15">
        <f>'Alfonso'!J21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6</v>
      </c>
      <c r="D11" s="19" t="n">
        <v>37832</v>
      </c>
      <c r="E11" s="19" t="n">
        <v>80676</v>
      </c>
      <c r="F11" s="19" t="n">
        <v>6680</v>
      </c>
      <c r="G11" s="19" t="n">
        <v>73996</v>
      </c>
      <c r="H11" s="19">
        <f>MAX(0, D11-E11)</f>
        <v/>
      </c>
      <c r="I11" s="19">
        <f>'García'!J48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4</v>
      </c>
      <c r="D12" s="15" t="n">
        <v>21914</v>
      </c>
      <c r="E12" s="15" t="n">
        <v>15445</v>
      </c>
      <c r="F12" s="15" t="n">
        <v>13525</v>
      </c>
      <c r="G12" s="15" t="n">
        <v>1920</v>
      </c>
      <c r="H12" s="15">
        <f>MAX(0, D12-E12)</f>
        <v/>
      </c>
      <c r="I12" s="15">
        <f>'Irene'!J50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5</v>
      </c>
      <c r="D13" s="19" t="n">
        <v>17100</v>
      </c>
      <c r="E13" s="19" t="n">
        <v>12960</v>
      </c>
      <c r="F13" s="19" t="n">
        <v>11940</v>
      </c>
      <c r="G13" s="19" t="n">
        <v>1020</v>
      </c>
      <c r="H13" s="19">
        <f>MAX(0, D13-E13)</f>
        <v/>
      </c>
      <c r="I13" s="19">
        <f>'Javier'!J30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3</v>
      </c>
      <c r="D15" s="19" t="n">
        <v>17340</v>
      </c>
      <c r="E15" s="19" t="n">
        <v>9960</v>
      </c>
      <c r="F15" s="19" t="n">
        <v>9960</v>
      </c>
      <c r="G15" s="19" t="n">
        <v>0</v>
      </c>
      <c r="H15" s="19">
        <f>MAX(0, D15-E15)</f>
        <v/>
      </c>
      <c r="I15" s="19">
        <f>'Pedro'!J26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1</v>
      </c>
      <c r="D16" s="15" t="n">
        <v>46000</v>
      </c>
      <c r="E16" s="15" t="n">
        <v>22800</v>
      </c>
      <c r="F16" s="15" t="n">
        <v>0</v>
      </c>
      <c r="G16" s="15" t="n">
        <v>22800</v>
      </c>
      <c r="H16" s="15">
        <f>MAX(0, D16-E16)</f>
        <v/>
      </c>
      <c r="I16" s="15">
        <f>'Ricardo'!J13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20/10/2026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6" t="inlineStr">
        <is>
          <t>2,924 u</t>
        </is>
      </c>
      <c r="E6" s="4" t="n"/>
      <c r="F6" s="26" t="inlineStr">
        <is>
          <t>126.0%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En Curso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AGROCAMP CANET S.L.</t>
        </is>
      </c>
      <c r="C12" s="29" t="inlineStr">
        <is>
          <t>AGXK0020</t>
        </is>
      </c>
      <c r="D12" s="28" t="inlineStr">
        <is>
          <t>AGROXILATO-K, 20 L</t>
        </is>
      </c>
      <c r="E12" s="15" t="n">
        <v>0</v>
      </c>
      <c r="F12" s="15" t="n">
        <v>640</v>
      </c>
      <c r="G12" s="15" t="n">
        <v>640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AGROTÉCNICA DEL NORTE, S.L</t>
        </is>
      </c>
      <c r="C13" s="32" t="inlineStr">
        <is>
          <t>PT0005</t>
        </is>
      </c>
      <c r="D13" s="31" t="inlineStr">
        <is>
          <t>AGROPOTASION, 5 L</t>
        </is>
      </c>
      <c r="E13" s="19" t="n">
        <v>0</v>
      </c>
      <c r="F13" s="19" t="n">
        <v>400</v>
      </c>
      <c r="G13" s="19" t="n">
        <v>400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Extra Estimación</t>
        </is>
      </c>
    </row>
    <row r="14">
      <c r="B14" s="28" t="inlineStr">
        <is>
          <t>AGROVEYCA,S.L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400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VILLALTA SATIVUM, S.L.</t>
        </is>
      </c>
      <c r="C15" s="32" t="inlineStr">
        <is>
          <t>AGXKAEP0020</t>
        </is>
      </c>
      <c r="D15" s="31" t="inlineStr">
        <is>
          <t>BIOCULTURE POTASIO PLUS, 20 L</t>
        </is>
      </c>
      <c r="E15" s="19" t="n">
        <v>0</v>
      </c>
      <c r="F15" s="19" t="n">
        <v>140</v>
      </c>
      <c r="G15" s="19" t="n">
        <v>140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Extra Estimación</t>
        </is>
      </c>
    </row>
    <row r="16">
      <c r="B16" s="28" t="inlineStr">
        <is>
          <t>VILLALTA SATIVUM, S.L.</t>
        </is>
      </c>
      <c r="C16" s="29" t="inlineStr">
        <is>
          <t>AQUOM0020</t>
        </is>
      </c>
      <c r="D16" s="28" t="inlineStr">
        <is>
          <t>AQUOM, 20 L</t>
        </is>
      </c>
      <c r="E16" s="15" t="n">
        <v>0</v>
      </c>
      <c r="F16" s="15" t="n">
        <v>40</v>
      </c>
      <c r="G16" s="15" t="n">
        <v>40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VILLALTA SATIVUM, S.L.</t>
        </is>
      </c>
      <c r="C17" s="32" t="inlineStr">
        <is>
          <t>C-CUAE0020</t>
        </is>
      </c>
      <c r="D17" s="31" t="inlineStr">
        <is>
          <t>CUPRAMEC, 20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Extra Estimación</t>
        </is>
      </c>
    </row>
    <row r="18">
      <c r="B18" s="28" t="inlineStr">
        <is>
          <t>VILLALTA SATIVUM, S.L.</t>
        </is>
      </c>
      <c r="C18" s="29" t="inlineStr">
        <is>
          <t>PT0001</t>
        </is>
      </c>
      <c r="D18" s="28" t="inlineStr">
        <is>
          <t>AGROPOTASION, 1 L</t>
        </is>
      </c>
      <c r="E18" s="15" t="n">
        <v>0</v>
      </c>
      <c r="F18" s="15" t="n">
        <v>24</v>
      </c>
      <c r="G18" s="15" t="n">
        <v>24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Extra Estimación</t>
        </is>
      </c>
    </row>
    <row r="19">
      <c r="B19" s="31" t="inlineStr">
        <is>
          <t>VILLALTA SATIVUM, S.L.</t>
        </is>
      </c>
      <c r="C19" s="32" t="inlineStr">
        <is>
          <t>PT0005</t>
        </is>
      </c>
      <c r="D19" s="31" t="inlineStr">
        <is>
          <t>AGROPOTASION,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VILLALTA SATIVUM, S.L.</t>
        </is>
      </c>
      <c r="C20" s="29" t="inlineStr">
        <is>
          <t>PT0020</t>
        </is>
      </c>
      <c r="D20" s="28" t="inlineStr">
        <is>
          <t>AGROPOTASION, 20 L</t>
        </is>
      </c>
      <c r="E20" s="15" t="n">
        <v>0</v>
      </c>
      <c r="F20" s="15" t="n">
        <v>100</v>
      </c>
      <c r="G20" s="15" t="n">
        <v>100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 ht="24" customHeight="1">
      <c r="B21" s="21" t="inlineStr">
        <is>
          <t>TOTAL ALFONSO</t>
        </is>
      </c>
      <c r="C21" s="37" t="inlineStr">
        <is>
          <t>279 líneas</t>
        </is>
      </c>
      <c r="D21" s="38" t="inlineStr"/>
      <c r="E21" s="23">
        <f>SUM(E10:E20)</f>
        <v/>
      </c>
      <c r="F21" s="23">
        <f>SUM(F10:F20)</f>
        <v/>
      </c>
      <c r="G21" s="23">
        <f>SUM(G10:G20)</f>
        <v/>
      </c>
      <c r="H21" s="23">
        <f>SUM(H10:H20)</f>
        <v/>
      </c>
      <c r="I21" s="23">
        <f>SUM(I10:I20)</f>
        <v/>
      </c>
      <c r="J21" s="23">
        <f>SUM(J10:J20)</f>
        <v/>
      </c>
      <c r="K21" s="24">
        <f>IF(E21&gt;0, F21/E21, 0)</f>
        <v/>
      </c>
      <c r="L21" s="22">
        <f>IF(K21&gt;=1,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20/10/2026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6" t="inlineStr">
        <is>
          <t>80,676 u</t>
        </is>
      </c>
      <c r="E6" s="4" t="n"/>
      <c r="F6" s="26" t="inlineStr">
        <is>
          <t>213.2%</t>
        </is>
      </c>
      <c r="G6" s="4" t="n"/>
      <c r="H6" s="26" t="inlineStr">
        <is>
          <t>0 u</t>
        </is>
      </c>
      <c r="I6" s="4" t="n"/>
      <c r="J6" s="25" t="inlineStr">
        <is>
          <t>73,996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9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SPCE2B0001</t>
        </is>
      </c>
      <c r="D25" s="31" t="inlineStr">
        <is>
          <t>NEW SPRINTENE</t>
        </is>
      </c>
      <c r="E25" s="19" t="n">
        <v>0</v>
      </c>
      <c r="F25" s="19" t="n">
        <v>10296</v>
      </c>
      <c r="G25" s="19" t="n">
        <v>0</v>
      </c>
      <c r="H25" s="19" t="n">
        <v>10296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>
      <c r="B26" s="28" t="inlineStr">
        <is>
          <t>DOTRA CHEMICALS</t>
        </is>
      </c>
      <c r="C26" s="29" t="inlineStr">
        <is>
          <t>SSEG0005</t>
        </is>
      </c>
      <c r="D26" s="28" t="inlineStr">
        <is>
          <t>SAL-WAX Ca</t>
        </is>
      </c>
      <c r="E26" s="15" t="n">
        <v>20000</v>
      </c>
      <c r="F26" s="15" t="n">
        <v>21000</v>
      </c>
      <c r="G26" s="15" t="n">
        <v>0</v>
      </c>
      <c r="H26" s="15" t="n">
        <v>21000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Superado</t>
        </is>
      </c>
    </row>
    <row r="27">
      <c r="B27" s="31" t="inlineStr">
        <is>
          <t>DOTRA CHEMICALS</t>
        </is>
      </c>
      <c r="C27" s="32" t="inlineStr">
        <is>
          <t>SSEG0005EG</t>
        </is>
      </c>
      <c r="D27" s="31" t="inlineStr">
        <is>
          <t>SALWAX CALCIO EGIPTO, 5 KG</t>
        </is>
      </c>
      <c r="E27" s="19" t="n">
        <v>0</v>
      </c>
      <c r="F27" s="19" t="n">
        <v>8000</v>
      </c>
      <c r="G27" s="19" t="n">
        <v>0</v>
      </c>
      <c r="H27" s="19" t="n">
        <v>8000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Extra Estimación</t>
        </is>
      </c>
    </row>
    <row r="28">
      <c r="B28" s="28" t="inlineStr">
        <is>
          <t>INIESTA DEL PINO DISTRIBUCIONES S.L.U</t>
        </is>
      </c>
      <c r="C28" s="29" t="inlineStr">
        <is>
          <t>AGXK0020</t>
        </is>
      </c>
      <c r="D28" s="28" t="inlineStr">
        <is>
          <t>AGROXILATO-K, 20 L</t>
        </is>
      </c>
      <c r="E28" s="15" t="n">
        <v>640</v>
      </c>
      <c r="F28" s="15" t="n">
        <v>1920</v>
      </c>
      <c r="G28" s="15" t="n">
        <v>1920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Superado</t>
        </is>
      </c>
    </row>
    <row r="29">
      <c r="B29" s="31" t="inlineStr">
        <is>
          <t>INIESTA DEL PINO DISTRIBUCIONES S.L.U</t>
        </is>
      </c>
      <c r="C29" s="32" t="inlineStr">
        <is>
          <t>CBROT0005</t>
        </is>
      </c>
      <c r="D29" s="31" t="inlineStr">
        <is>
          <t>CODIBROT, 5 L</t>
        </is>
      </c>
      <c r="E29" s="19" t="n">
        <v>0</v>
      </c>
      <c r="F29" s="19" t="n">
        <v>20</v>
      </c>
      <c r="G29" s="19" t="n">
        <v>20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INIESTA DEL PINO DISTRIBUCIONES S.L.U</t>
        </is>
      </c>
      <c r="C30" s="29" t="inlineStr">
        <is>
          <t>TRI0005</t>
        </is>
      </c>
      <c r="D30" s="28" t="inlineStr">
        <is>
          <t>TRIFENO-94, 5L</t>
        </is>
      </c>
      <c r="E30" s="15" t="n">
        <v>60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6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AGXK0005</t>
        </is>
      </c>
      <c r="D31" s="31" t="inlineStr">
        <is>
          <t>AGROXILATO-K, 5 L</t>
        </is>
      </c>
      <c r="E31" s="19" t="n">
        <v>200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9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AVAN0005</t>
        </is>
      </c>
      <c r="D32" s="28" t="inlineStr">
        <is>
          <t>FLORAMEC AVANCE, 5 L</t>
        </is>
      </c>
      <c r="E32" s="15" t="n">
        <v>100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B0001</t>
        </is>
      </c>
      <c r="D33" s="31" t="inlineStr">
        <is>
          <t>BOROCAL,1 L</t>
        </is>
      </c>
      <c r="E33" s="19" t="n">
        <v>12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SERVIAGRI´ 97, S.L.</t>
        </is>
      </c>
      <c r="C34" s="29" t="inlineStr">
        <is>
          <t>BIO0005</t>
        </is>
      </c>
      <c r="D34" s="28" t="inlineStr">
        <is>
          <t>BIORAD-20, 5L</t>
        </is>
      </c>
      <c r="E34" s="15" t="n">
        <v>300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6" t="inlineStr">
        <is>
          <t>Sin Pedido</t>
        </is>
      </c>
    </row>
    <row r="35">
      <c r="B35" s="31" t="inlineStr">
        <is>
          <t>SERVIAGRI´ 97, S.L.</t>
        </is>
      </c>
      <c r="C35" s="32" t="inlineStr">
        <is>
          <t>BIO1000</t>
        </is>
      </c>
      <c r="D35" s="31" t="inlineStr">
        <is>
          <t>BIORAD-20, 1000 L</t>
        </is>
      </c>
      <c r="E35" s="19" t="n">
        <v>0</v>
      </c>
      <c r="F35" s="19" t="n">
        <v>3000</v>
      </c>
      <c r="G35" s="19" t="n">
        <v>3000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SERVIAGRI´ 97, S.L.</t>
        </is>
      </c>
      <c r="C36" s="29" t="inlineStr">
        <is>
          <t>FTK0005</t>
        </is>
      </c>
      <c r="D36" s="28" t="inlineStr">
        <is>
          <t>FITOKONTROL CA FLOW, 5 KG</t>
        </is>
      </c>
      <c r="E36" s="15" t="n">
        <v>300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6" t="inlineStr">
        <is>
          <t>Sin Pedido</t>
        </is>
      </c>
    </row>
    <row r="37">
      <c r="B37" s="31" t="inlineStr">
        <is>
          <t>SERVIAGRI´ 97, S.L.</t>
        </is>
      </c>
      <c r="C37" s="32" t="inlineStr">
        <is>
          <t>JF0005</t>
        </is>
      </c>
      <c r="D37" s="31" t="inlineStr">
        <is>
          <t>CODIGIN-FOS, 5 L</t>
        </is>
      </c>
      <c r="E37" s="19" t="n">
        <v>100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9" t="inlineStr">
        <is>
          <t>Sin Pedido</t>
        </is>
      </c>
    </row>
    <row r="38">
      <c r="B38" s="28" t="inlineStr">
        <is>
          <t>STE BBMAGRI, SARL</t>
        </is>
      </c>
      <c r="C38" s="29" t="inlineStr">
        <is>
          <t>A-500020</t>
        </is>
      </c>
      <c r="D38" s="28" t="inlineStr">
        <is>
          <t>CODIORGAN-A50, 20 KG</t>
        </is>
      </c>
      <c r="E38" s="15" t="n">
        <v>0</v>
      </c>
      <c r="F38" s="15" t="n">
        <v>1500</v>
      </c>
      <c r="G38" s="15" t="n">
        <v>0</v>
      </c>
      <c r="H38" s="15" t="n">
        <v>1500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4" t="inlineStr">
        <is>
          <t>Extra Estimación</t>
        </is>
      </c>
    </row>
    <row r="39">
      <c r="B39" s="31" t="inlineStr">
        <is>
          <t>STE BBMAGRI, SARL</t>
        </is>
      </c>
      <c r="C39" s="32" t="inlineStr">
        <is>
          <t>AGXK0020</t>
        </is>
      </c>
      <c r="D39" s="31" t="inlineStr">
        <is>
          <t>AGROXILATO-K</t>
        </is>
      </c>
      <c r="E39" s="19" t="n">
        <v>0</v>
      </c>
      <c r="F39" s="19" t="n">
        <v>7000</v>
      </c>
      <c r="G39" s="19" t="n">
        <v>0</v>
      </c>
      <c r="H39" s="19" t="n">
        <v>7000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5" t="inlineStr">
        <is>
          <t>Extra Estimación</t>
        </is>
      </c>
    </row>
    <row r="40">
      <c r="B40" s="28" t="inlineStr">
        <is>
          <t>STE BBMAGRI, SARL</t>
        </is>
      </c>
      <c r="C40" s="29" t="inlineStr">
        <is>
          <t>AVAN0020</t>
        </is>
      </c>
      <c r="D40" s="28" t="inlineStr">
        <is>
          <t>FLORAMEC AVANCE</t>
        </is>
      </c>
      <c r="E40" s="15" t="n">
        <v>0</v>
      </c>
      <c r="F40" s="15" t="n">
        <v>2000</v>
      </c>
      <c r="G40" s="15" t="n">
        <v>0</v>
      </c>
      <c r="H40" s="15" t="n">
        <v>2000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4" t="inlineStr">
        <is>
          <t>Extra Estimación</t>
        </is>
      </c>
    </row>
    <row r="41">
      <c r="B41" s="31" t="inlineStr">
        <is>
          <t>STE BBMAGRI, SARL</t>
        </is>
      </c>
      <c r="C41" s="32" t="inlineStr">
        <is>
          <t>BR-590005</t>
        </is>
      </c>
      <c r="D41" s="31" t="inlineStr">
        <is>
          <t>BR-59</t>
        </is>
      </c>
      <c r="E41" s="19" t="n">
        <v>0</v>
      </c>
      <c r="F41" s="19" t="n">
        <v>800</v>
      </c>
      <c r="G41" s="19" t="n">
        <v>0</v>
      </c>
      <c r="H41" s="19" t="n">
        <v>800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STE BBMAGRI, SARL</t>
        </is>
      </c>
      <c r="C42" s="29" t="inlineStr">
        <is>
          <t>C-CU0005</t>
        </is>
      </c>
      <c r="D42" s="28" t="inlineStr">
        <is>
          <t>CODICOBRE</t>
        </is>
      </c>
      <c r="E42" s="15" t="n">
        <v>0</v>
      </c>
      <c r="F42" s="15" t="n">
        <v>1000</v>
      </c>
      <c r="G42" s="15" t="n">
        <v>0</v>
      </c>
      <c r="H42" s="15" t="n">
        <v>1000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Extra Estimación</t>
        </is>
      </c>
    </row>
    <row r="43">
      <c r="B43" s="31" t="inlineStr">
        <is>
          <t>STE BBMAGRI, SARL</t>
        </is>
      </c>
      <c r="C43" s="32" t="inlineStr">
        <is>
          <t>PHD0020</t>
        </is>
      </c>
      <c r="D43" s="31" t="inlineStr">
        <is>
          <t>PH-DOWNER</t>
        </is>
      </c>
      <c r="E43" s="19" t="n">
        <v>0</v>
      </c>
      <c r="F43" s="19" t="n">
        <v>600</v>
      </c>
      <c r="G43" s="19" t="n">
        <v>0</v>
      </c>
      <c r="H43" s="19" t="n">
        <v>600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Extra Estimación</t>
        </is>
      </c>
    </row>
    <row r="44">
      <c r="B44" s="28" t="inlineStr">
        <is>
          <t>STE BBMAGRI, SARL</t>
        </is>
      </c>
      <c r="C44" s="29" t="inlineStr">
        <is>
          <t>PT0020</t>
        </is>
      </c>
      <c r="D44" s="28" t="inlineStr">
        <is>
          <t>AGROPOTASION</t>
        </is>
      </c>
      <c r="E44" s="15" t="n">
        <v>0</v>
      </c>
      <c r="F44" s="15" t="n">
        <v>3000</v>
      </c>
      <c r="G44" s="15" t="n">
        <v>0</v>
      </c>
      <c r="H44" s="15" t="n">
        <v>3000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Extra Estimación</t>
        </is>
      </c>
    </row>
    <row r="45">
      <c r="B45" s="31" t="inlineStr">
        <is>
          <t>STE BBMAGRI, SARL</t>
        </is>
      </c>
      <c r="C45" s="32" t="inlineStr">
        <is>
          <t>SS0020</t>
        </is>
      </c>
      <c r="D45" s="31" t="inlineStr">
        <is>
          <t>SAL-WAX-Ca</t>
        </is>
      </c>
      <c r="E45" s="19" t="n">
        <v>0</v>
      </c>
      <c r="F45" s="19" t="n">
        <v>2000</v>
      </c>
      <c r="G45" s="19" t="n">
        <v>0</v>
      </c>
      <c r="H45" s="19" t="n">
        <v>2000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Extra Estimación</t>
        </is>
      </c>
    </row>
    <row r="46">
      <c r="B46" s="28" t="inlineStr">
        <is>
          <t>TRATAMIENTOS AGRICOLAS BRENES, S.L.</t>
        </is>
      </c>
      <c r="C46" s="29" t="inlineStr">
        <is>
          <t>PT0020</t>
        </is>
      </c>
      <c r="D46" s="28" t="inlineStr">
        <is>
          <t>AGROPOTASION, 20 L</t>
        </is>
      </c>
      <c r="E46" s="15" t="n">
        <v>0</v>
      </c>
      <c r="F46" s="15" t="n">
        <v>640</v>
      </c>
      <c r="G46" s="15" t="n">
        <v>640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4" t="inlineStr">
        <is>
          <t>Extra Estimación</t>
        </is>
      </c>
    </row>
    <row r="47">
      <c r="B47" s="31" t="inlineStr">
        <is>
          <t>TRATAMIENTOS AGRICOLAS BRENES, S.L.</t>
        </is>
      </c>
      <c r="C47" s="32" t="inlineStr">
        <is>
          <t>WHITE0020</t>
        </is>
      </c>
      <c r="D47" s="31" t="inlineStr">
        <is>
          <t>AGROWHITE, 20 KG</t>
        </is>
      </c>
      <c r="E47" s="19" t="n">
        <v>1100</v>
      </c>
      <c r="F47" s="19" t="n">
        <v>0</v>
      </c>
      <c r="G47" s="19" t="n">
        <v>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9" t="inlineStr">
        <is>
          <t>Sin Pedido</t>
        </is>
      </c>
    </row>
    <row r="48" ht="24" customHeight="1">
      <c r="B48" s="21" t="inlineStr">
        <is>
          <t>TOTAL GARCÍA</t>
        </is>
      </c>
      <c r="C48" s="37" t="inlineStr">
        <is>
          <t>234 líneas</t>
        </is>
      </c>
      <c r="D48" s="38" t="inlineStr"/>
      <c r="E48" s="23">
        <f>SUM(E10:E47)</f>
        <v/>
      </c>
      <c r="F48" s="23">
        <f>SUM(F10:F47)</f>
        <v/>
      </c>
      <c r="G48" s="23">
        <f>SUM(G10:G47)</f>
        <v/>
      </c>
      <c r="H48" s="23">
        <f>SUM(H10:H47)</f>
        <v/>
      </c>
      <c r="I48" s="23">
        <f>SUM(I10:I47)</f>
        <v/>
      </c>
      <c r="J48" s="23">
        <f>SUM(J10:J47)</f>
        <v/>
      </c>
      <c r="K48" s="24">
        <f>IF(E48&gt;0, F48/E48, 0)</f>
        <v/>
      </c>
      <c r="L48" s="22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20/10/2026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15,445 u</t>
        </is>
      </c>
      <c r="E6" s="4" t="n"/>
      <c r="F6" s="40" t="inlineStr">
        <is>
          <t>70.5%</t>
        </is>
      </c>
      <c r="G6" s="4" t="n"/>
      <c r="H6" s="40" t="inlineStr">
        <is>
          <t>6,469 u</t>
        </is>
      </c>
      <c r="I6" s="4" t="n"/>
      <c r="J6" s="25" t="inlineStr">
        <is>
          <t>1,920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1280</v>
      </c>
      <c r="G11" s="19" t="n">
        <v>1280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200</v>
      </c>
      <c r="G12" s="15" t="n">
        <v>200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En Curso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1280</v>
      </c>
      <c r="G13" s="19" t="n">
        <v>640</v>
      </c>
      <c r="H13" s="19" t="n">
        <v>640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Superado</t>
        </is>
      </c>
    </row>
    <row r="14">
      <c r="B14" s="28" t="inlineStr">
        <is>
          <t>CAMPOEJIDO S.C.A.</t>
        </is>
      </c>
      <c r="C14" s="29" t="inlineStr">
        <is>
          <t>B0005</t>
        </is>
      </c>
      <c r="D14" s="28" t="inlineStr">
        <is>
          <t>BOROCAL, 5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60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300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48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400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1" t="inlineStr">
        <is>
          <t>Rezagado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800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1280</v>
      </c>
      <c r="F21" s="19" t="n">
        <v>1280</v>
      </c>
      <c r="G21" s="19" t="n">
        <v>1280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100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3200</v>
      </c>
      <c r="F23" s="19" t="n">
        <v>640</v>
      </c>
      <c r="G23" s="19" t="n">
        <v>640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1" t="inlineStr">
        <is>
          <t>Rezagado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640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100</v>
      </c>
      <c r="F25" s="19" t="n">
        <v>205</v>
      </c>
      <c r="G25" s="19" t="n">
        <v>205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Superado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1920</v>
      </c>
      <c r="G26" s="15" t="n">
        <v>640</v>
      </c>
      <c r="H26" s="15" t="n">
        <v>1280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En Curso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9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AGZ-M0001</t>
        </is>
      </c>
      <c r="D28" s="28" t="inlineStr">
        <is>
          <t>AGROXILATO-ZN-MN, 1 KG</t>
        </is>
      </c>
      <c r="E28" s="15" t="n">
        <v>0</v>
      </c>
      <c r="F28" s="15" t="n">
        <v>80</v>
      </c>
      <c r="G28" s="15" t="n">
        <v>80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COOP.AGRIC. SAN ISIDRO S.C.A.</t>
        </is>
      </c>
      <c r="C29" s="32" t="inlineStr">
        <is>
          <t>AGZ-M0005</t>
        </is>
      </c>
      <c r="D29" s="31" t="inlineStr">
        <is>
          <t>AGROXILATO-ZN-MN, 5 KG</t>
        </is>
      </c>
      <c r="E29" s="19" t="n">
        <v>0</v>
      </c>
      <c r="F29" s="19" t="n">
        <v>100</v>
      </c>
      <c r="G29" s="19" t="n">
        <v>100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COOP.AGRIC. SAN ISIDRO S.C.A.</t>
        </is>
      </c>
      <c r="C30" s="29" t="inlineStr">
        <is>
          <t>AVAN0005</t>
        </is>
      </c>
      <c r="D30" s="28" t="inlineStr">
        <is>
          <t>FLORAMEC AVANCE, 5 L</t>
        </is>
      </c>
      <c r="E30" s="15" t="n">
        <v>1200</v>
      </c>
      <c r="F30" s="15" t="n">
        <v>600</v>
      </c>
      <c r="G30" s="15" t="n">
        <v>600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C-L0005</t>
        </is>
      </c>
      <c r="D31" s="31" t="inlineStr">
        <is>
          <t>CODIBOR-L, 5 L</t>
        </is>
      </c>
      <c r="E31" s="19" t="n">
        <v>200</v>
      </c>
      <c r="F31" s="19" t="n">
        <v>200</v>
      </c>
      <c r="G31" s="19" t="n">
        <v>200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5" t="inlineStr">
        <is>
          <t>Superado</t>
        </is>
      </c>
    </row>
    <row r="32">
      <c r="B32" s="28" t="inlineStr">
        <is>
          <t>COOP.AGRIC. SAN ISIDRO S.C.A.</t>
        </is>
      </c>
      <c r="C32" s="29" t="inlineStr">
        <is>
          <t>C-MB0005</t>
        </is>
      </c>
      <c r="D32" s="28" t="inlineStr">
        <is>
          <t>CODIFOL-MB, 5 L</t>
        </is>
      </c>
      <c r="E32" s="15" t="n">
        <v>300</v>
      </c>
      <c r="F32" s="15" t="n">
        <v>200</v>
      </c>
      <c r="G32" s="15" t="n">
        <v>200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En Curso</t>
        </is>
      </c>
    </row>
    <row r="33">
      <c r="B33" s="31" t="inlineStr">
        <is>
          <t>COOP.AGRIC. SAN ISIDRO S.C.A.</t>
        </is>
      </c>
      <c r="C33" s="32" t="inlineStr">
        <is>
          <t>CPLUS0020</t>
        </is>
      </c>
      <c r="D33" s="31" t="inlineStr">
        <is>
          <t>CALCIPLUS, 20 L</t>
        </is>
      </c>
      <c r="E33" s="19" t="n">
        <v>640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COOP.AGRIC. SAN ISIDRO S.C.A.</t>
        </is>
      </c>
      <c r="C34" s="29" t="inlineStr">
        <is>
          <t>PIV0020</t>
        </is>
      </c>
      <c r="D34" s="28" t="inlineStr">
        <is>
          <t>PGR IV, 20 L</t>
        </is>
      </c>
      <c r="E34" s="15" t="n">
        <v>1280</v>
      </c>
      <c r="F34" s="15" t="n">
        <v>2560</v>
      </c>
      <c r="G34" s="15" t="n">
        <v>2560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4" t="inlineStr">
        <is>
          <t>Superado</t>
        </is>
      </c>
    </row>
    <row r="35">
      <c r="B35" s="31" t="inlineStr">
        <is>
          <t>COOP.AGRIC. SAN ISIDRO S.C.A.</t>
        </is>
      </c>
      <c r="C35" s="32" t="inlineStr">
        <is>
          <t>PT0020</t>
        </is>
      </c>
      <c r="D35" s="31" t="inlineStr">
        <is>
          <t>AGROPOTASION, 20 L</t>
        </is>
      </c>
      <c r="E35" s="19" t="n">
        <v>0</v>
      </c>
      <c r="F35" s="19" t="n">
        <v>320</v>
      </c>
      <c r="G35" s="19" t="n">
        <v>320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COOP.AGRIC. SAN ISIDRO S.C.A.</t>
        </is>
      </c>
      <c r="C36" s="29" t="inlineStr">
        <is>
          <t>S0020</t>
        </is>
      </c>
      <c r="D36" s="28" t="inlineStr">
        <is>
          <t>SAL-WAX STAR, 20 L</t>
        </is>
      </c>
      <c r="E36" s="15" t="n">
        <v>0</v>
      </c>
      <c r="F36" s="15" t="n">
        <v>640</v>
      </c>
      <c r="G36" s="15" t="n">
        <v>640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4" t="inlineStr">
        <is>
          <t>Extra Estimación</t>
        </is>
      </c>
    </row>
    <row r="37">
      <c r="B37" s="31" t="inlineStr">
        <is>
          <t>GUIVARTO AGRICOLA, S.L.</t>
        </is>
      </c>
      <c r="C37" s="32" t="inlineStr">
        <is>
          <t>A-50(2)0005</t>
        </is>
      </c>
      <c r="D37" s="31" t="inlineStr">
        <is>
          <t>CODIORGAN A-50, 5 KG</t>
        </is>
      </c>
      <c r="E37" s="19" t="n">
        <v>100</v>
      </c>
      <c r="F37" s="19" t="n">
        <v>100</v>
      </c>
      <c r="G37" s="19" t="n">
        <v>100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5" t="inlineStr">
        <is>
          <t>Superado</t>
        </is>
      </c>
    </row>
    <row r="38">
      <c r="B38" s="28" t="inlineStr">
        <is>
          <t>GUIVARTO AGRICOLA, S.L.</t>
        </is>
      </c>
      <c r="C38" s="29" t="inlineStr">
        <is>
          <t>AGXK0020</t>
        </is>
      </c>
      <c r="D38" s="28" t="inlineStr">
        <is>
          <t>AGROXILATO-K, 20 L</t>
        </is>
      </c>
      <c r="E38" s="15" t="n">
        <v>1240</v>
      </c>
      <c r="F38" s="15" t="n">
        <v>640</v>
      </c>
      <c r="G38" s="15" t="n">
        <v>640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0" t="inlineStr">
        <is>
          <t>En Curso</t>
        </is>
      </c>
    </row>
    <row r="39">
      <c r="B39" s="31" t="inlineStr">
        <is>
          <t>GUIVARTO AGRICOLA, S.L.</t>
        </is>
      </c>
      <c r="C39" s="32" t="inlineStr">
        <is>
          <t>AGZNP0005</t>
        </is>
      </c>
      <c r="D39" s="31" t="inlineStr">
        <is>
          <t>AGROXILATO-ZN PLUS, 5 KG</t>
        </is>
      </c>
      <c r="E39" s="19" t="n">
        <v>50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9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AQUOM0005</t>
        </is>
      </c>
      <c r="D40" s="28" t="inlineStr">
        <is>
          <t>AQUOM, 5 L</t>
        </is>
      </c>
      <c r="E40" s="15" t="n">
        <v>200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6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AVAN0005</t>
        </is>
      </c>
      <c r="D41" s="31" t="inlineStr">
        <is>
          <t>FLORAMEC AVANCE, 5 L</t>
        </is>
      </c>
      <c r="E41" s="19" t="n">
        <v>0</v>
      </c>
      <c r="F41" s="19" t="n">
        <v>600</v>
      </c>
      <c r="G41" s="19" t="n">
        <v>600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GUIVARTO AGRICOLA, S.L.</t>
        </is>
      </c>
      <c r="C42" s="29" t="inlineStr">
        <is>
          <t>AVAN0020</t>
        </is>
      </c>
      <c r="D42" s="28" t="inlineStr">
        <is>
          <t>FLORAMEC AVANCE, 20 L</t>
        </is>
      </c>
      <c r="E42" s="15" t="n">
        <v>640</v>
      </c>
      <c r="F42" s="15" t="n">
        <v>640</v>
      </c>
      <c r="G42" s="15" t="n">
        <v>640</v>
      </c>
      <c r="H42" s="15" t="n">
        <v>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Superado</t>
        </is>
      </c>
    </row>
    <row r="43">
      <c r="B43" s="31" t="inlineStr">
        <is>
          <t>GUIVARTO AGRICOLA, S.L.</t>
        </is>
      </c>
      <c r="C43" s="32" t="inlineStr">
        <is>
          <t>BEY0005</t>
        </is>
      </c>
      <c r="D43" s="31" t="inlineStr">
        <is>
          <t>FLORAMEC PLUS, 5 L</t>
        </is>
      </c>
      <c r="E43" s="19" t="n">
        <v>0</v>
      </c>
      <c r="F43" s="19" t="n">
        <v>100</v>
      </c>
      <c r="G43" s="19" t="n">
        <v>100</v>
      </c>
      <c r="H43" s="19" t="n">
        <v>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Extra Estimación</t>
        </is>
      </c>
    </row>
    <row r="44">
      <c r="B44" s="28" t="inlineStr">
        <is>
          <t>GUIVARTO AGRICOLA, S.L.</t>
        </is>
      </c>
      <c r="C44" s="29" t="inlineStr">
        <is>
          <t>BEY0020</t>
        </is>
      </c>
      <c r="D44" s="28" t="inlineStr">
        <is>
          <t>FLORAMEC PLUS 20 L</t>
        </is>
      </c>
      <c r="E44" s="15" t="n">
        <v>80</v>
      </c>
      <c r="F44" s="15" t="n">
        <v>120</v>
      </c>
      <c r="G44" s="15" t="n">
        <v>120</v>
      </c>
      <c r="H44" s="15" t="n">
        <v>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Superado</t>
        </is>
      </c>
    </row>
    <row r="45">
      <c r="B45" s="31" t="inlineStr">
        <is>
          <t>GUIVARTO AGRICOLA, S.L.</t>
        </is>
      </c>
      <c r="C45" s="32" t="inlineStr">
        <is>
          <t>BROTA0005</t>
        </is>
      </c>
      <c r="D45" s="31" t="inlineStr">
        <is>
          <t>BROTAMEC, 5 L</t>
        </is>
      </c>
      <c r="E45" s="19" t="n">
        <v>600</v>
      </c>
      <c r="F45" s="19" t="n">
        <v>600</v>
      </c>
      <c r="G45" s="19" t="n">
        <v>600</v>
      </c>
      <c r="H45" s="19" t="n">
        <v>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Superado</t>
        </is>
      </c>
    </row>
    <row r="46">
      <c r="B46" s="28" t="inlineStr">
        <is>
          <t>GUIVARTO AGRICOLA, S.L.</t>
        </is>
      </c>
      <c r="C46" s="29" t="inlineStr">
        <is>
          <t>C-M-P0001</t>
        </is>
      </c>
      <c r="D46" s="28" t="inlineStr">
        <is>
          <t>CODIFOL Mo-PLUS, 1 L</t>
        </is>
      </c>
      <c r="E46" s="15" t="n">
        <v>36</v>
      </c>
      <c r="F46" s="15" t="n">
        <v>0</v>
      </c>
      <c r="G46" s="15" t="n">
        <v>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6" t="inlineStr">
        <is>
          <t>Sin Pedido</t>
        </is>
      </c>
    </row>
    <row r="47">
      <c r="B47" s="31" t="inlineStr">
        <is>
          <t>GUIVARTO AGRICOLA, S.L.</t>
        </is>
      </c>
      <c r="C47" s="32" t="inlineStr">
        <is>
          <t>FTK0005</t>
        </is>
      </c>
      <c r="D47" s="31" t="inlineStr">
        <is>
          <t>FITOKONTROL CA FLOW, 5 KG</t>
        </is>
      </c>
      <c r="E47" s="19" t="n">
        <v>800</v>
      </c>
      <c r="F47" s="19" t="n">
        <v>0</v>
      </c>
      <c r="G47" s="19" t="n">
        <v>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9" t="inlineStr">
        <is>
          <t>Sin Pedido</t>
        </is>
      </c>
    </row>
    <row r="48">
      <c r="B48" s="28" t="inlineStr">
        <is>
          <t>GUIVARTO AGRICOLA, S.L.</t>
        </is>
      </c>
      <c r="C48" s="29" t="inlineStr">
        <is>
          <t>TRI0005</t>
        </is>
      </c>
      <c r="D48" s="28" t="inlineStr">
        <is>
          <t>TRIFENO-94, 5L</t>
        </is>
      </c>
      <c r="E48" s="15" t="n">
        <v>0</v>
      </c>
      <c r="F48" s="15" t="n">
        <v>300</v>
      </c>
      <c r="G48" s="15" t="n">
        <v>300</v>
      </c>
      <c r="H48" s="15" t="n">
        <v>0</v>
      </c>
      <c r="I48" s="15">
        <f>MAX(0, E48-F48)</f>
        <v/>
      </c>
      <c r="J48" s="15">
        <f>ABS(F48-E48)</f>
        <v/>
      </c>
      <c r="K48" s="16">
        <f>IF(E48&gt;0, F48/E48, IF(F48&gt;0, 1, 0))</f>
        <v/>
      </c>
      <c r="L48" s="34" t="inlineStr">
        <is>
          <t>Extra Estimación</t>
        </is>
      </c>
    </row>
    <row r="49">
      <c r="B49" s="31" t="inlineStr">
        <is>
          <t>SUCA, S.C.A.</t>
        </is>
      </c>
      <c r="C49" s="32" t="inlineStr">
        <is>
          <t>AGXK0020</t>
        </is>
      </c>
      <c r="D49" s="31" t="inlineStr">
        <is>
          <t>AGROXILATO-K, 20 L</t>
        </is>
      </c>
      <c r="E49" s="19" t="n">
        <v>0</v>
      </c>
      <c r="F49" s="19" t="n">
        <v>640</v>
      </c>
      <c r="G49" s="19" t="n">
        <v>640</v>
      </c>
      <c r="H49" s="19" t="n">
        <v>0</v>
      </c>
      <c r="I49" s="19">
        <f>MAX(0, E49-F49)</f>
        <v/>
      </c>
      <c r="J49" s="19">
        <f>ABS(F49-E49)</f>
        <v/>
      </c>
      <c r="K49" s="20">
        <f>IF(E49&gt;0, F49/E49, IF(F49&gt;0, 1, 0))</f>
        <v/>
      </c>
      <c r="L49" s="35" t="inlineStr">
        <is>
          <t>Extra Estimación</t>
        </is>
      </c>
    </row>
    <row r="50" ht="24" customHeight="1">
      <c r="B50" s="21" t="inlineStr">
        <is>
          <t>TOTAL IRENE</t>
        </is>
      </c>
      <c r="C50" s="37" t="inlineStr">
        <is>
          <t>89 líneas</t>
        </is>
      </c>
      <c r="D50" s="38" t="inlineStr"/>
      <c r="E50" s="23">
        <f>SUM(E10:E49)</f>
        <v/>
      </c>
      <c r="F50" s="23">
        <f>SUM(F10:F49)</f>
        <v/>
      </c>
      <c r="G50" s="23">
        <f>SUM(G10:G49)</f>
        <v/>
      </c>
      <c r="H50" s="23">
        <f>SUM(H10:H49)</f>
        <v/>
      </c>
      <c r="I50" s="23">
        <f>SUM(I10:I49)</f>
        <v/>
      </c>
      <c r="J50" s="23">
        <f>SUM(J10:J49)</f>
        <v/>
      </c>
      <c r="K50" s="24">
        <f>IF(E50&gt;0, F50/E50, 0)</f>
        <v/>
      </c>
      <c r="L50" s="22">
        <f>IF(K50&gt;=1,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20/10/2026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12,960 u</t>
        </is>
      </c>
      <c r="E6" s="4" t="n"/>
      <c r="F6" s="40" t="inlineStr">
        <is>
          <t>75.8%</t>
        </is>
      </c>
      <c r="G6" s="4" t="n"/>
      <c r="H6" s="40" t="inlineStr">
        <is>
          <t>4,140 u</t>
        </is>
      </c>
      <c r="I6" s="4" t="n"/>
      <c r="J6" s="25" t="inlineStr">
        <is>
          <t>1,020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AGXK0005</t>
        </is>
      </c>
      <c r="D10" s="28" t="inlineStr">
        <is>
          <t>AGROXILATO-K, 5 L</t>
        </is>
      </c>
      <c r="E10" s="15" t="n">
        <v>0</v>
      </c>
      <c r="F10" s="15" t="n">
        <v>20</v>
      </c>
      <c r="G10" s="15" t="n">
        <v>20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Extra Estimación</t>
        </is>
      </c>
    </row>
    <row r="11">
      <c r="B11" s="31" t="inlineStr">
        <is>
          <t>AGROQUIMICAS DRAGO S.L.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Extra Estimación</t>
        </is>
      </c>
    </row>
    <row r="12">
      <c r="B12" s="28" t="inlineStr">
        <is>
          <t>AGROQUIMICAS DRAGO S.L.</t>
        </is>
      </c>
      <c r="C12" s="29" t="inlineStr">
        <is>
          <t>AGXK0200</t>
        </is>
      </c>
      <c r="D12" s="28" t="inlineStr">
        <is>
          <t>AGROXILATO-K, 200 L</t>
        </is>
      </c>
      <c r="E12" s="15" t="n">
        <v>1600</v>
      </c>
      <c r="F12" s="15" t="n">
        <v>2400</v>
      </c>
      <c r="G12" s="15" t="n">
        <v>2400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AN0020</t>
        </is>
      </c>
      <c r="D13" s="31" t="inlineStr">
        <is>
          <t>ALCAPLANT NEW, 20 KG</t>
        </is>
      </c>
      <c r="E13" s="19" t="n">
        <v>1100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Superado</t>
        </is>
      </c>
    </row>
    <row r="14">
      <c r="B14" s="28" t="inlineStr">
        <is>
          <t>AGROQUIMICAS DRAGO S.L.</t>
        </is>
      </c>
      <c r="C14" s="29" t="inlineStr">
        <is>
          <t>CALCIO0020</t>
        </is>
      </c>
      <c r="D14" s="28" t="inlineStr">
        <is>
          <t>CALCIAMEC, 20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AGROQUIMICAS DRAGO S.L.</t>
        </is>
      </c>
      <c r="C15" s="32" t="inlineStr">
        <is>
          <t>PHD0005</t>
        </is>
      </c>
      <c r="D15" s="31" t="inlineStr">
        <is>
          <t>PH-DOWNER, 5 L</t>
        </is>
      </c>
      <c r="E15" s="19" t="n">
        <v>0</v>
      </c>
      <c r="F15" s="19" t="n">
        <v>40</v>
      </c>
      <c r="G15" s="19" t="n">
        <v>20</v>
      </c>
      <c r="H15" s="19" t="n">
        <v>20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Extra Estimación</t>
        </is>
      </c>
    </row>
    <row r="16">
      <c r="B16" s="28" t="inlineStr">
        <is>
          <t>CABRERA MORALES FRANCISCO</t>
        </is>
      </c>
      <c r="C16" s="29" t="inlineStr">
        <is>
          <t>ANAE0005</t>
        </is>
      </c>
      <c r="D16" s="28" t="inlineStr">
        <is>
          <t>ALCAPLANT NEW AE, 5 KG</t>
        </is>
      </c>
      <c r="E16" s="15" t="n">
        <v>6600</v>
      </c>
      <c r="F16" s="15" t="n">
        <v>2200</v>
      </c>
      <c r="G16" s="15" t="n">
        <v>2200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42" t="inlineStr">
        <is>
          <t>Rezagado</t>
        </is>
      </c>
    </row>
    <row r="17">
      <c r="B17" s="31" t="inlineStr">
        <is>
          <t>CABRERA MORALES FRANCISCO</t>
        </is>
      </c>
      <c r="C17" s="32" t="inlineStr">
        <is>
          <t>ANAE0020</t>
        </is>
      </c>
      <c r="D17" s="31" t="inlineStr">
        <is>
          <t>ALCAPLANT NEW AE, 20 KG</t>
        </is>
      </c>
      <c r="E17" s="19" t="n">
        <v>0</v>
      </c>
      <c r="F17" s="19" t="n">
        <v>1100</v>
      </c>
      <c r="G17" s="19" t="n">
        <v>1100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Extra Estimación</t>
        </is>
      </c>
    </row>
    <row r="18">
      <c r="B18" s="28" t="inlineStr">
        <is>
          <t>CABRERA MORALES FRANCISCO</t>
        </is>
      </c>
      <c r="C18" s="29" t="inlineStr">
        <is>
          <t>BIO0005</t>
        </is>
      </c>
      <c r="D18" s="28" t="inlineStr">
        <is>
          <t>BIORAD-20, 5L</t>
        </is>
      </c>
      <c r="E18" s="15" t="n">
        <v>0</v>
      </c>
      <c r="F18" s="15" t="n">
        <v>600</v>
      </c>
      <c r="G18" s="15" t="n">
        <v>600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Extra Estimación</t>
        </is>
      </c>
    </row>
    <row r="19">
      <c r="B19" s="31" t="inlineStr">
        <is>
          <t>CABRERA MORALES FRANCISCO</t>
        </is>
      </c>
      <c r="C19" s="32" t="inlineStr">
        <is>
          <t>SS0005</t>
        </is>
      </c>
      <c r="D19" s="31" t="inlineStr">
        <is>
          <t>SAL-WAX-Ca sólido, 5 KG</t>
        </is>
      </c>
      <c r="E19" s="19" t="n">
        <v>0</v>
      </c>
      <c r="F19" s="19" t="n">
        <v>1300</v>
      </c>
      <c r="G19" s="19" t="n">
        <v>1300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CODIMED EXPORT, S.L.</t>
        </is>
      </c>
      <c r="C20" s="29" t="inlineStr">
        <is>
          <t>C-CU0020</t>
        </is>
      </c>
      <c r="D20" s="28" t="inlineStr">
        <is>
          <t>CODICOBRE, 20 L</t>
        </is>
      </c>
      <c r="E20" s="15" t="n">
        <v>0</v>
      </c>
      <c r="F20" s="15" t="n">
        <v>300</v>
      </c>
      <c r="G20" s="15" t="n">
        <v>300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>
      <c r="B21" s="31" t="inlineStr">
        <is>
          <t>CODIMED EXPORT, S.L.</t>
        </is>
      </c>
      <c r="C21" s="32" t="inlineStr">
        <is>
          <t>C-L0005</t>
        </is>
      </c>
      <c r="D21" s="31" t="inlineStr">
        <is>
          <t>CODIBOR-L, 5 L</t>
        </is>
      </c>
      <c r="E21" s="19" t="n">
        <v>200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Sin Pedido</t>
        </is>
      </c>
    </row>
    <row r="22">
      <c r="B22" s="28" t="inlineStr">
        <is>
          <t>CODIMED EXPORT, S.L.</t>
        </is>
      </c>
      <c r="C22" s="29" t="inlineStr">
        <is>
          <t>C-L0020</t>
        </is>
      </c>
      <c r="D22" s="28" t="inlineStr">
        <is>
          <t>CODIBOR-L, 20 L</t>
        </is>
      </c>
      <c r="E22" s="15" t="n">
        <v>640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CODIMED EXPORT, S.L.</t>
        </is>
      </c>
      <c r="C23" s="32" t="inlineStr">
        <is>
          <t>JF1000</t>
        </is>
      </c>
      <c r="D23" s="31" t="inlineStr">
        <is>
          <t>CODIGIN-FOS, 1000 L</t>
        </is>
      </c>
      <c r="E23" s="19" t="n">
        <v>0</v>
      </c>
      <c r="F23" s="19" t="n">
        <v>1000</v>
      </c>
      <c r="G23" s="19" t="n">
        <v>0</v>
      </c>
      <c r="H23" s="19" t="n">
        <v>1000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Extra Estimación</t>
        </is>
      </c>
    </row>
    <row r="24">
      <c r="B24" s="28" t="inlineStr">
        <is>
          <t>CODIMED EXPORT, S.L.</t>
        </is>
      </c>
      <c r="C24" s="29" t="inlineStr">
        <is>
          <t>PT0005</t>
        </is>
      </c>
      <c r="D24" s="28" t="inlineStr">
        <is>
          <t>AGROPOTASION, 5 L</t>
        </is>
      </c>
      <c r="E24" s="15" t="n">
        <v>0</v>
      </c>
      <c r="F24" s="15" t="n">
        <v>200</v>
      </c>
      <c r="G24" s="15" t="n">
        <v>200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CODIMED EXPORT, S.L.</t>
        </is>
      </c>
      <c r="C25" s="32" t="inlineStr">
        <is>
          <t>PT0020</t>
        </is>
      </c>
      <c r="D25" s="31" t="inlineStr">
        <is>
          <t>AGROPOTASION, 20 L</t>
        </is>
      </c>
      <c r="E25" s="19" t="n">
        <v>0</v>
      </c>
      <c r="F25" s="19" t="n">
        <v>320</v>
      </c>
      <c r="G25" s="19" t="n">
        <v>320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>
      <c r="B26" s="28" t="inlineStr">
        <is>
          <t>FINCA DOÑA ANA C.B.</t>
        </is>
      </c>
      <c r="C26" s="29" t="inlineStr">
        <is>
          <t>PT1000</t>
        </is>
      </c>
      <c r="D26" s="28" t="inlineStr">
        <is>
          <t>AGROPOTASION, 1000 L</t>
        </is>
      </c>
      <c r="E26" s="15" t="n">
        <v>0</v>
      </c>
      <c r="F26" s="15" t="n">
        <v>1000</v>
      </c>
      <c r="G26" s="15" t="n">
        <v>1000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Extra Estimación</t>
        </is>
      </c>
    </row>
    <row r="27">
      <c r="B27" s="31" t="inlineStr">
        <is>
          <t>FITOSANITARIOS CARCAIXENT, S.L.</t>
        </is>
      </c>
      <c r="C27" s="32" t="inlineStr">
        <is>
          <t>PT0020</t>
        </is>
      </c>
      <c r="D27" s="31" t="inlineStr">
        <is>
          <t>AGROPOTASION, 20 L</t>
        </is>
      </c>
      <c r="E27" s="19" t="n">
        <v>0</v>
      </c>
      <c r="F27" s="19" t="n">
        <v>640</v>
      </c>
      <c r="G27" s="19" t="n">
        <v>640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Extra Estimación</t>
        </is>
      </c>
    </row>
    <row r="28">
      <c r="B28" s="28" t="inlineStr">
        <is>
          <t>FITOXENT S.C.L.V.</t>
        </is>
      </c>
      <c r="C28" s="29" t="inlineStr">
        <is>
          <t>FTK0005</t>
        </is>
      </c>
      <c r="D28" s="28" t="inlineStr">
        <is>
          <t>FITOKONTROL CA FLOW, 5 KG</t>
        </is>
      </c>
      <c r="E28" s="15" t="n">
        <v>4400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6" t="inlineStr">
        <is>
          <t>Sin Pedido</t>
        </is>
      </c>
    </row>
    <row r="29">
      <c r="B29" s="31" t="inlineStr">
        <is>
          <t>FITOXENT S.C.L.V.</t>
        </is>
      </c>
      <c r="C29" s="32" t="inlineStr">
        <is>
          <t>PT0020</t>
        </is>
      </c>
      <c r="D29" s="31" t="inlineStr">
        <is>
          <t>AGROPOTASION, 20 L</t>
        </is>
      </c>
      <c r="E29" s="19" t="n">
        <v>2560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9" t="inlineStr">
        <is>
          <t>Sin Pedido</t>
        </is>
      </c>
    </row>
    <row r="30" ht="24" customHeight="1">
      <c r="B30" s="21" t="inlineStr">
        <is>
          <t>TOTAL JAVIER</t>
        </is>
      </c>
      <c r="C30" s="37" t="inlineStr">
        <is>
          <t>176 líneas</t>
        </is>
      </c>
      <c r="D30" s="38" t="inlineStr"/>
      <c r="E30" s="23">
        <f>SUM(E10:E29)</f>
        <v/>
      </c>
      <c r="F30" s="23">
        <f>SUM(F10:F29)</f>
        <v/>
      </c>
      <c r="G30" s="23">
        <f>SUM(G10:G29)</f>
        <v/>
      </c>
      <c r="H30" s="23">
        <f>SUM(H10:H29)</f>
        <v/>
      </c>
      <c r="I30" s="23">
        <f>SUM(I10:I29)</f>
        <v/>
      </c>
      <c r="J30" s="23">
        <f>SUM(J10:J29)</f>
        <v/>
      </c>
      <c r="K30" s="24">
        <f>IF(E30&gt;0, F30/E30, 0)</f>
        <v/>
      </c>
      <c r="L30" s="22">
        <f>IF(K30&gt;=1,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20/10/2026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40" t="inlineStr">
        <is>
          <t>0.0%</t>
        </is>
      </c>
      <c r="G6" s="4" t="n"/>
      <c r="H6" s="40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 ht="24" customHeight="1">
      <c r="B16" s="21" t="inlineStr">
        <is>
          <t>TOTAL MEHMET</t>
        </is>
      </c>
      <c r="C16" s="37" t="inlineStr">
        <is>
          <t>61 líneas</t>
        </is>
      </c>
      <c r="D16" s="38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20/10/2026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9,960 u</t>
        </is>
      </c>
      <c r="E6" s="4" t="n"/>
      <c r="F6" s="40" t="inlineStr">
        <is>
          <t>57.4%</t>
        </is>
      </c>
      <c r="G6" s="4" t="n"/>
      <c r="H6" s="40" t="inlineStr">
        <is>
          <t>7,380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640</v>
      </c>
      <c r="G13" s="19" t="n">
        <v>640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640</v>
      </c>
      <c r="G15" s="19" t="n">
        <v>640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41" t="inlineStr">
        <is>
          <t>Rezagado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2200</v>
      </c>
      <c r="G18" s="15" t="n">
        <v>2200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Superado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1600</v>
      </c>
      <c r="G24" s="15" t="n">
        <v>1600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FITOMURCIA S.L.</t>
        </is>
      </c>
      <c r="C25" s="32" t="inlineStr">
        <is>
          <t>BIO1000</t>
        </is>
      </c>
      <c r="D25" s="31" t="inlineStr">
        <is>
          <t>BIORAD-20, 1000 L</t>
        </is>
      </c>
      <c r="E25" s="19" t="n">
        <v>0</v>
      </c>
      <c r="F25" s="19" t="n">
        <v>1000</v>
      </c>
      <c r="G25" s="19" t="n">
        <v>1000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 ht="24" customHeight="1">
      <c r="B26" s="21" t="inlineStr">
        <is>
          <t>TOTAL PEDRO</t>
        </is>
      </c>
      <c r="C26" s="37" t="inlineStr">
        <is>
          <t>104 líneas</t>
        </is>
      </c>
      <c r="D26" s="38" t="inlineStr"/>
      <c r="E26" s="23">
        <f>SUM(E10:E25)</f>
        <v/>
      </c>
      <c r="F26" s="23">
        <f>SUM(F10:F25)</f>
        <v/>
      </c>
      <c r="G26" s="23">
        <f>SUM(G10:G25)</f>
        <v/>
      </c>
      <c r="H26" s="23">
        <f>SUM(H10:H25)</f>
        <v/>
      </c>
      <c r="I26" s="23">
        <f>SUM(I10:I25)</f>
        <v/>
      </c>
      <c r="J26" s="23">
        <f>SUM(J10:J25)</f>
        <v/>
      </c>
      <c r="K26" s="24">
        <f>IF(E26&gt;0, F26/E26, 0)</f>
        <v/>
      </c>
      <c r="L26" s="22">
        <f>IF(K26&gt;=1,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20/10/2026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22,800 u</t>
        </is>
      </c>
      <c r="E6" s="4" t="n"/>
      <c r="F6" s="40" t="inlineStr">
        <is>
          <t>49.6%</t>
        </is>
      </c>
      <c r="G6" s="4" t="n"/>
      <c r="H6" s="40" t="inlineStr">
        <is>
          <t>23,200 u</t>
        </is>
      </c>
      <c r="I6" s="4" t="n"/>
      <c r="J6" s="25" t="inlineStr">
        <is>
          <t>22,800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19800</v>
      </c>
      <c r="G11" s="19" t="n">
        <v>0</v>
      </c>
      <c r="H11" s="19" t="n">
        <v>19800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41" t="inlineStr">
        <is>
          <t>Rezagado</t>
        </is>
      </c>
    </row>
    <row r="12">
      <c r="B12" s="28" t="inlineStr">
        <is>
          <t>LEKKERBIO B.V.</t>
        </is>
      </c>
      <c r="C12" s="29" t="inlineStr">
        <is>
          <t>DECA0020</t>
        </is>
      </c>
      <c r="D12" s="28" t="inlineStr">
        <is>
          <t>DEFENS-CA-AE, 20 KG</t>
        </is>
      </c>
      <c r="E12" s="15" t="n">
        <v>0</v>
      </c>
      <c r="F12" s="15" t="n">
        <v>3000</v>
      </c>
      <c r="G12" s="15" t="n">
        <v>0</v>
      </c>
      <c r="H12" s="15" t="n">
        <v>3000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 ht="24" customHeight="1">
      <c r="B13" s="21" t="inlineStr">
        <is>
          <t>TOTAL RICARDO</t>
        </is>
      </c>
      <c r="C13" s="37" t="inlineStr">
        <is>
          <t>116 líneas</t>
        </is>
      </c>
      <c r="D13" s="38" t="inlineStr"/>
      <c r="E13" s="23">
        <f>SUM(E10:E12)</f>
        <v/>
      </c>
      <c r="F13" s="23">
        <f>SUM(F10:F12)</f>
        <v/>
      </c>
      <c r="G13" s="23">
        <f>SUM(G10:G12)</f>
        <v/>
      </c>
      <c r="H13" s="23">
        <f>SUM(H10:H12)</f>
        <v/>
      </c>
      <c r="I13" s="23">
        <f>SUM(I10:I12)</f>
        <v/>
      </c>
      <c r="J13" s="23">
        <f>SUM(J10:J12)</f>
        <v/>
      </c>
      <c r="K13" s="24">
        <f>IF(E13&gt;0, F13/E13, 0)</f>
        <v/>
      </c>
      <c r="L13" s="22">
        <f>IF(K13&gt;=1,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2026-10-20T06:14:29Z</dcterms:created>
  <dcterms:modified xmlns:dcterms="http://purl.org/dc/terms/" xmlns:xsi="http://www.w3.org/2001/XMLSchema-instance" xsi:type="dcterms:W3CDTF">2026-10-20T06:14:30Z</dcterms:modified>
</cp:coreProperties>
</file>