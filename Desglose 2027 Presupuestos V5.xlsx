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4" documentId="11_694722DBB4878E6CD2076CCFEDCFEA88D7E9AF87" xr6:coauthVersionLast="47" xr6:coauthVersionMax="47" xr10:uidLastSave="{DDAB88C2-1685-45D5-8DC9-75CA53E50254}"/>
  <bookViews>
    <workbookView xWindow="-25710" yWindow="-110" windowWidth="25820" windowHeight="13900" xr2:uid="{00000000-000D-0000-FFFF-FFFF00000000}"/>
  </bookViews>
  <sheets>
    <sheet name="PL 2027 Desglose V5" sheetId="1" r:id="rId1"/>
    <sheet name="Resumen Ejecutivo y KPIs" sheetId="2" r:id="rId2"/>
    <sheet name="Comparativa Cuentas PGC" sheetId="3" r:id="rId3"/>
    <sheet name="Detalle Departamentos 2027" sheetId="4" r:id="rId4"/>
    <sheet name="Inmovilizaciones y Criteri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74" i="1" l="1"/>
  <c r="W175" i="1"/>
  <c r="W176" i="1"/>
  <c r="W177" i="1"/>
  <c r="W178" i="1"/>
  <c r="W179" i="1"/>
  <c r="W180" i="1"/>
  <c r="W173" i="1"/>
  <c r="D9" i="5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72" i="1"/>
  <c r="W171" i="1"/>
  <c r="W170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V3" i="1"/>
  <c r="U3" i="1"/>
  <c r="T3" i="1"/>
  <c r="S3" i="1"/>
  <c r="R3" i="1"/>
  <c r="Q3" i="1"/>
  <c r="P3" i="1"/>
  <c r="O3" i="1"/>
  <c r="N3" i="1"/>
  <c r="M3" i="1"/>
  <c r="L3" i="1"/>
  <c r="K3" i="1"/>
  <c r="W3" i="1" l="1"/>
</calcChain>
</file>

<file path=xl/sharedStrings.xml><?xml version="1.0" encoding="utf-8"?>
<sst xmlns="http://schemas.openxmlformats.org/spreadsheetml/2006/main" count="2680" uniqueCount="776">
  <si>
    <t>CODIAGRO - DESGLOSE PRESUPUESTARIO 2027 POR CUENTA CONTABLE (VERSIÓN DEFINITIVA V5)</t>
  </si>
  <si>
    <t>Periodo: 2027 | Presupuesto V5: Cifra Neta 17.738.160,29 €, Salarios 1,806 M€, SS 420k € y Transporte Exportación (305.223,30 €) reincorporado en Gasto (624000002) e Ingreso Repercutido (700001624) con impacto 0 en EBITDA</t>
  </si>
  <si>
    <t>RESULTADO NETO CONSOLIDADO (Suma Álgebraica P&amp;L)</t>
  </si>
  <si>
    <t>Periodo</t>
  </si>
  <si>
    <t>Empresa</t>
  </si>
  <si>
    <t>Nivel 1</t>
  </si>
  <si>
    <t>Nivel 2</t>
  </si>
  <si>
    <t>Nivel 3</t>
  </si>
  <si>
    <t>Nivel 4</t>
  </si>
  <si>
    <t>Nivel 5</t>
  </si>
  <si>
    <t>Cuenta Contable</t>
  </si>
  <si>
    <t>Grupo Ext Item</t>
  </si>
  <si>
    <t>Ene 2027</t>
  </si>
  <si>
    <t>Feb 2027</t>
  </si>
  <si>
    <t>Mar 2027</t>
  </si>
  <si>
    <t>Abr 2027</t>
  </si>
  <si>
    <t>May 2027</t>
  </si>
  <si>
    <t>Jun 2027</t>
  </si>
  <si>
    <t>Jul 2027</t>
  </si>
  <si>
    <t>Ago 2027</t>
  </si>
  <si>
    <t>Sep 2027</t>
  </si>
  <si>
    <t>Oct 2027</t>
  </si>
  <si>
    <t>Nov 2027</t>
  </si>
  <si>
    <t>Dic 2027</t>
  </si>
  <si>
    <t>Total 2027</t>
  </si>
  <si>
    <t>Criterio Previsión / Supuestos V3</t>
  </si>
  <si>
    <t>Codiagro</t>
  </si>
  <si>
    <t>RESULTADO DEL EJERCICIO</t>
  </si>
  <si>
    <t>RESULTADO ANTES DE IMPUESTOS</t>
  </si>
  <si>
    <t>RESULTADO DE LA EXPLOTACION</t>
  </si>
  <si>
    <t>1.- Importe neto de la cifra de negocios</t>
  </si>
  <si>
    <t>(700) Ventas</t>
  </si>
  <si>
    <t>700000000 - Ventas de mercaderías</t>
  </si>
  <si>
    <t>-</t>
  </si>
  <si>
    <t>Presupuesto de Ventas Brutas 2027 ajustado a 17.530.091,84 € (-558k€ opción 4) para cuadrar exactamente 17.180.000,00 € de Cifra Neta tras rappels (384k€) y envases (34k€).</t>
  </si>
  <si>
    <t>700000001 - VENTA MERCADERIAS POR ANTICIPO</t>
  </si>
  <si>
    <t>Sin dotación presupuestada en 2027 por corresponder a partidas singulares/no recurrentes.</t>
  </si>
  <si>
    <t>700000624 - VENTA POR TRANSP. REP. AL CLIENTE</t>
  </si>
  <si>
    <t>5.- Otros ingresos de explotación</t>
  </si>
  <si>
    <t>700001624 - VENTA POR TRANSPORTE REP. AL CLIENTE DEFINITIVO</t>
  </si>
  <si>
    <t>Según presupuesto de transporte 2027: facturación y repercusión íntegra del transporte de exportación al cliente (+305.223,30 €). Efecto compensado al 100% con el gasto 624000002 (impacto 0 en EBITDA).</t>
  </si>
  <si>
    <t>700000769 - INGRESOS POR RETRASOS DE COBRO Y ACTUALIZACION</t>
  </si>
  <si>
    <t>RESULTADO FINANCIERO</t>
  </si>
  <si>
    <t>14.- Ingresos financieros</t>
  </si>
  <si>
    <t>(702) Ventas de productos semiterminados</t>
  </si>
  <si>
    <t>702000000 - Ventas de productos semiterminados</t>
  </si>
  <si>
    <t>(703) Ventas por subproductos y residuos</t>
  </si>
  <si>
    <t>703000000 - Ventas de subproductos y residuos</t>
  </si>
  <si>
    <t>(704) Venta de envases y embalajes</t>
  </si>
  <si>
    <t>704000000 - Ventas de envases y embalajes</t>
  </si>
  <si>
    <t>(705) Prestación de servicios</t>
  </si>
  <si>
    <t>705000000 - Prestaciones de servicios</t>
  </si>
  <si>
    <t>705000001 - INGRESO POR GESTIÓN DE ENVASES</t>
  </si>
  <si>
    <t>Ingreso por gestión de envases 2027 (+34.459,57 €), facturación recurrente complementaria.</t>
  </si>
  <si>
    <t>(706) Dto. s/vtas p.p.</t>
  </si>
  <si>
    <t>706000000 - Dtos. ventas por pronto pago mercaderías</t>
  </si>
  <si>
    <t>(709) Bonificaciones s/ventas</t>
  </si>
  <si>
    <t>709000000 - «Rappels» ventas de mercaderías</t>
  </si>
  <si>
    <t>709000001 - PROVISION RAPPELS</t>
  </si>
  <si>
    <t>Provisión anual de rappels (-384.551,41 €) calculada como 2,19367% sobre ventas brutas para alcanzar la Cifra Neta de 17.180.000,00 €.</t>
  </si>
  <si>
    <t>11.- Deterioro y resultado por enajenaciones del inmovilizado</t>
  </si>
  <si>
    <t>(771) Beneficios procedentes IM</t>
  </si>
  <si>
    <t>771000000 - Beneficios del inmovilizado material</t>
  </si>
  <si>
    <t>13.- Otros resultados</t>
  </si>
  <si>
    <t>(678) Gastos excepcionales PGC 2008</t>
  </si>
  <si>
    <t>678000000 - Gastos excepcionales</t>
  </si>
  <si>
    <t>(778) Ingresos excepcionales PGC 2008</t>
  </si>
  <si>
    <t>778000000 - Ingresos excepcionales</t>
  </si>
  <si>
    <t>2.- Variación de existencias</t>
  </si>
  <si>
    <t>(711) Variación de existencias de productos semiterminados</t>
  </si>
  <si>
    <t>711000000 - Variación existencias de prod. semiterminados</t>
  </si>
  <si>
    <t>Cuenta inactiva / sin saldo previsto en 2027.</t>
  </si>
  <si>
    <t>(712) Variación de existencias producto terminado</t>
  </si>
  <si>
    <t>712000000 - Variación existencias de prod. terminados</t>
  </si>
  <si>
    <t>4.- Aprovisionamientos</t>
  </si>
  <si>
    <t>(601) Compras de materias primas</t>
  </si>
  <si>
    <t>601000000 - Compras de materias primas</t>
  </si>
  <si>
    <t>Compras de materias primas ajustadas proporcionalmente al menor volumen de fabricación/ventas (-145k€ de ahorro).</t>
  </si>
  <si>
    <t>(602) Compras de otros aprovisionamientos</t>
  </si>
  <si>
    <t>602000001 - COMPRA DE ENVASES Y EMBALAJES</t>
  </si>
  <si>
    <t>Compras de envases y embalajes ajustadas proporcionalmente (-30k€ de ahorro).</t>
  </si>
  <si>
    <t>602000000 - Compras de otros aprovisionamientos</t>
  </si>
  <si>
    <t>Cuenta fusionada con 602000001. Saldo fijado a 0 en 2027.</t>
  </si>
  <si>
    <t>602000002 - COMPRA DE ETIQUETAS</t>
  </si>
  <si>
    <t>Presupuesto de Compras 2027: Etiquetas bobina y adhesivas proyectadas con +4,5% de inflación (-148.535,55 € con reserva MOQ 3%).</t>
  </si>
  <si>
    <t>602000003 - COMPRA DE PALETS</t>
  </si>
  <si>
    <t>Presupuesto de Compras 2027: Palets homologados proyectados con +4,5% de inflación (-154.476,99 € con reserva MOQ 3%).</t>
  </si>
  <si>
    <t>602000004 - COMPRA MATERIAL DE LIMPIEZA</t>
  </si>
  <si>
    <t>Coste operativo menor de planta: proyección basada en el promedio mensual consolidado.</t>
  </si>
  <si>
    <t>602000005 - COMPRA MATERIAL DE OFICINA</t>
  </si>
  <si>
    <t>602000006 - COMPRA TAPONES DE ENVASES</t>
  </si>
  <si>
    <t>Presupuesto de Compras 2027: Tapones dosificadores proyectados con +4,5% de inflación (-79.615,06 € con reserva MOQ 3%).</t>
  </si>
  <si>
    <t>602000007 - COMPRAS LABORATORIO</t>
  </si>
  <si>
    <t>602000008 - RESPUESTOS PLANTA</t>
  </si>
  <si>
    <t>602000010 - COMPRA RIBBON</t>
  </si>
  <si>
    <t>602000011 - COMPRAS VARIAS PLANTA</t>
  </si>
  <si>
    <t>602000012 - REPUESTOS INFORMATICOS</t>
  </si>
  <si>
    <t>602000013 - COMPRA TINTA INPRESORA ETIQUETAS</t>
  </si>
  <si>
    <t>Coste semi-variable de consumibles de marcaje y codificación en planta según volumen fabril.</t>
  </si>
  <si>
    <t>602000100 - ENVASES Y EMBALAJES A DEVOLVER</t>
  </si>
  <si>
    <t>(607) Trabajos realizados por otras empresas</t>
  </si>
  <si>
    <t>607000000 - Trabajos realizados por otras empresas</t>
  </si>
  <si>
    <t>Coste variable: subcontratación y apoyos externos de formulación según picos de carga fabril.</t>
  </si>
  <si>
    <t>(611) Variación de existencias de materias primas</t>
  </si>
  <si>
    <t>611000000 - Variación de existencias de materias primas</t>
  </si>
  <si>
    <t>Ajuste previsional de variación de existencias para regularización de inventarios a cierre de ejercicio.</t>
  </si>
  <si>
    <t>(612) Variación de existencias envases/etiquetas</t>
  </si>
  <si>
    <t>612000000 - Variación de existencias otros aprovisionamientos</t>
  </si>
  <si>
    <t>Ajuste previsional de variación de existencias otros aprovisionamientos a cierre de ejercicio.</t>
  </si>
  <si>
    <t>(759) Otros ingresos de gestión</t>
  </si>
  <si>
    <t>759000000 - Ingresos por servicios diversos</t>
  </si>
  <si>
    <t>6.- Gastos de personal</t>
  </si>
  <si>
    <t>(640) Sueldos y salarios</t>
  </si>
  <si>
    <t>640000000 - Sueldos y salarios</t>
  </si>
  <si>
    <t>Sueldos y salarios definitivos 2027 (V3): -1.806.076,00 € brutos. Reparto mensual proporcional al histórico: -127.379,94 €/mes (Ene-Nov) y -404.896,66 € en Dic (pagas extras y regularización).</t>
  </si>
  <si>
    <t>(642) Seguridad social a cargo empresa</t>
  </si>
  <si>
    <t>642000000 - Seguridad Social a cargo empresa</t>
  </si>
  <si>
    <t>Seguridad Social a cargo de la empresa definitiva 2027 (V3): -420.033,60 €. Reparto lineal uniforme: -35.002,80 €/mes.</t>
  </si>
  <si>
    <t>(649) Otros gastos sociales</t>
  </si>
  <si>
    <t>649000000 - Otros gastos sociales</t>
  </si>
  <si>
    <t>649000001 - GASTOS COMERCIALES NIEVES RUIZ</t>
  </si>
  <si>
    <t>649000002 - GASTOS EMPR. ANTONIO ANDREU</t>
  </si>
  <si>
    <t>649000004 - GASTOS COMERCIALES RICARDO PEREZ</t>
  </si>
  <si>
    <t>649000007 - GASTOS COMERCIALES J.PAREDES</t>
  </si>
  <si>
    <t>649000009 - GASTOS COMERCIALES J.A. GARCIA</t>
  </si>
  <si>
    <t>649000010 - GASTOS EMP. CURRO</t>
  </si>
  <si>
    <t>649000012 - GASTOS COMERCIALES IRENE GARCIA</t>
  </si>
  <si>
    <t>649000100 - GTOS. CURSOS PERSONAL</t>
  </si>
  <si>
    <t>Formación bonificada y capacitación técnica del personal.</t>
  </si>
  <si>
    <t>649000101 - GTOS. SEG. Y RIESGOS PERSONAL</t>
  </si>
  <si>
    <t>649000102 - GASTOS ROPA UNIFORMES TRABAJADORES</t>
  </si>
  <si>
    <t>649000103 - GASTOS COMBUSTIBLE TRAB.</t>
  </si>
  <si>
    <t>649100001 - GTOS. COMIDAS TRAB.</t>
  </si>
  <si>
    <t>649100002 - GASTOS TRAB. EMPRESA VARIOS</t>
  </si>
  <si>
    <t>7.- Otros gastos de explotación</t>
  </si>
  <si>
    <t>(620) Gastos de investigación y desarrollo</t>
  </si>
  <si>
    <t>620000002 - COMPRAS LABORATORIO</t>
  </si>
  <si>
    <t>Coste estratégico de I+D: ensayos agronómicos de eficacia y desarrollo de bioestimulantes.</t>
  </si>
  <si>
    <t>620000003 - SUMINISTROS LABORATORIO</t>
  </si>
  <si>
    <t>620000004 - GTOS. ANALISIS LABORATORIOS</t>
  </si>
  <si>
    <t>(621) Arrendamientos y cánones</t>
  </si>
  <si>
    <t>621000001 - ALQUILER OFICINA CARTAGENA</t>
  </si>
  <si>
    <t>Coste fijo mensual según contratos vigentes de renting de vehículos y maquinaria auxiliar.</t>
  </si>
  <si>
    <t>621000014 - ALQUILER MURANO</t>
  </si>
  <si>
    <t>Arrendamiento Murano: coste anual pagado en 2026 (21.560,96 €) ajustado por inflación (+4,5% = 22.531,20 €/año, -1.877,60 €/mes).</t>
  </si>
  <si>
    <t>621000023 - RENTING TRANSPALETA ELECTRICA DE PIE</t>
  </si>
  <si>
    <t>Sin dotación presupuestada en 2027.</t>
  </si>
  <si>
    <t>621000024 - ALQUILER RENTING 2255KXN ANTONIO</t>
  </si>
  <si>
    <t>621000025 - ALQUILER RENTING 9128 LBT NIEVES</t>
  </si>
  <si>
    <t>621000026 - ALQUILER RENTING 9319LCL CURRO</t>
  </si>
  <si>
    <t>621000030 - ALQUILER RENTING 1075-LSC GARCIA</t>
  </si>
  <si>
    <t>621000031 - ALQUILER RENTING KONICA-MINOLTA Y KYOCERA</t>
  </si>
  <si>
    <t>621000032 - ALQUILER RENTING 6665-LVK JOSE JUAN</t>
  </si>
  <si>
    <t>621000033 - ALQUILER RENTING 2612-MBY ANTONIO</t>
  </si>
  <si>
    <t>621000034 - ALQUILER RENTING 3108-LZM NIEVES</t>
  </si>
  <si>
    <t>621000035 - ALQUILER RENTING 2142-MCS RICARDO</t>
  </si>
  <si>
    <t>621000036 - ALQUILER RENTING 3277-MDX JAVIER</t>
  </si>
  <si>
    <t>621000037 - CARRETILLA STILL ELEKTROSTAPLER 516213H00521</t>
  </si>
  <si>
    <t>621000038 - CARRETILLA STILL ELEKTROSTAPLER 516223J00123</t>
  </si>
  <si>
    <t>621000039 - ALQUILER RENTING 5043-MWW CURRO</t>
  </si>
  <si>
    <t>621000040 - ALQUILER RENTING 8917-MZT JAVIER</t>
  </si>
  <si>
    <t>621000041 - ALQUILER RENTING 8929-MZT RICARDO</t>
  </si>
  <si>
    <t>621000042 - ALQUILER RENTING 4946-NFH GARCIA</t>
  </si>
  <si>
    <t>621000044 - ALQUILER COMPRESOR DE TORNILLO 37KW KAESER BSD 75C</t>
  </si>
  <si>
    <t>621000045 - ALQUILER RENTING 3421-NJT PERE</t>
  </si>
  <si>
    <t>621000046 - ALQUILER CARRETILLAS</t>
  </si>
  <si>
    <t>(622) Reparación/conservación/mantenimiento</t>
  </si>
  <si>
    <t>622000001 - REPAR. EQUIPOS INFORM. Y FOTOCOPIADORAS</t>
  </si>
  <si>
    <t>Coste semi-variable: mantenimiento preventivo y correctivo de planta industrial.</t>
  </si>
  <si>
    <t>622000004 - REP. Y CONSERV. CARRETILLA ELECTRICA</t>
  </si>
  <si>
    <t>622000005 - REP. Y MANT. EQUIPOS SEGURIDAD</t>
  </si>
  <si>
    <t>622000006 - REP. Y MANT. INSTALACIONES VARIAS</t>
  </si>
  <si>
    <t>Presupuesto Mantenimiento Fábrica 2027: Instalaciones y edificios (-18.848,14 €). La adecuación estructural de cubierta/nave enfrente (9.600 €) es activable en cta 211.</t>
  </si>
  <si>
    <t>622000007 - REP. Y MANT. HYUNDAI 0377CJG</t>
  </si>
  <si>
    <t>622000008 - REP. Y MANT. MAQUINA BARREDORA</t>
  </si>
  <si>
    <t>622000009 - REP. Y MANT. FURGONETA 2589CRJ</t>
  </si>
  <si>
    <t>622000012 - LIMPIEZA OFICINAS, LABORATORIO Y VESTUARIOS</t>
  </si>
  <si>
    <t>622010000 MANTENIMIENTO</t>
  </si>
  <si>
    <t>622010001 - MANTENIMIENTO REPUESTO COMPRA AMAZON</t>
  </si>
  <si>
    <t>622010200 - ALCAPLANT</t>
  </si>
  <si>
    <t>Presupuesto Mantenimiento Fábrica 2027: Molinos y línea Alcaplant (-5.594,40 € gasto corriente). Las mejoras estructurales de molinos (9.410 €) son activables en cta 213.</t>
  </si>
  <si>
    <t>622010201 - REPARACIONES ALCAPLANT</t>
  </si>
  <si>
    <t>Fusionado en 622010200 según estructura presupuestaria de fábrica.</t>
  </si>
  <si>
    <t>622010300 - SOLIDOS</t>
  </si>
  <si>
    <t>Presupuesto Mantenimiento Fábrica 2027: Mantenimiento ensacadora y sinfines línea sólidos Elocom/Proymec (-7.035,00 €).</t>
  </si>
  <si>
    <t>622010400 - LIQUIDOS</t>
  </si>
  <si>
    <t>Presupuesto Mantenimiento Fábrica 2027: Valvulería, propulsores y conducciones línea líquidos (-6.090,00 €).</t>
  </si>
  <si>
    <t>622010500 - REPUESTOS MANT. VARIOS</t>
  </si>
  <si>
    <t>Presupuesto Mantenimiento Fábrica 2027: Repuestos generales de taller y planta (-3.255,00 €).</t>
  </si>
  <si>
    <t>622010501 - REP. MANT. FONTANERIA</t>
  </si>
  <si>
    <t>Integrado en repuestos generales y fontanería de planta (622010400 / 622010500).</t>
  </si>
  <si>
    <t>(623) Servicios profesionales independientes</t>
  </si>
  <si>
    <t>623000001 - SERV. PROF. INDEPENDIENTES</t>
  </si>
  <si>
    <t>Coste fijo de asesoramiento legal, técnico y fiscal, con refuerzo en diciembre por preparación del cierre y auditoría.</t>
  </si>
  <si>
    <t>623000002 - SERVICIOS CONTABLES Y FINANCIEROS</t>
  </si>
  <si>
    <t>Servicios contables y financieros externos: reducción del 50% (-1.400,00 €/mes) aplicada en 2027 según instrucción.</t>
  </si>
  <si>
    <t>623000003 - SERV. NOTARIOS, REGISTROS, LEGAL</t>
  </si>
  <si>
    <t>Presupuesto Regulatory 2027: Tasas y notaría de registros recurrentes (-550,00 € gasto corriente). Los expedientes de registro de nuevos formulados (25.900 € en Azerbaiyán, Sudáfrica y Guatemala) son activables en cta 203.</t>
  </si>
  <si>
    <t>623000004 - GTOS. BCS. OKO</t>
  </si>
  <si>
    <t>Presupuesto Regulatory 2027: Auditorías y certificaciones ecológicas oficiales (BCS-Kiwa, OMRI, Ecocert) (-10.193,00 €).</t>
  </si>
  <si>
    <t>623000005 - SERVICIOS PREST. CAMARA COMERCIO</t>
  </si>
  <si>
    <t>Proyección extrapolada de actividad recurrente.</t>
  </si>
  <si>
    <t>623100002 - GASTOS MAURICIO ALISTE</t>
  </si>
  <si>
    <t>Honorarios y gastos comerciales de zona: -4.000 €/mes + 5.000 € extra en dic (Total: -53.000 €). Sin incremento en 2027.</t>
  </si>
  <si>
    <t>623100006 - GASTOS Y SERVICIOS AGRICOLA DEL JUCAR</t>
  </si>
  <si>
    <t>Dotación mensual comercial: -500 €/mes + 30.000 € extraordinarios en dic (Total: -36.000 €). Sin incremento en 2027.</t>
  </si>
  <si>
    <t>623100007 - GASTOS Y SUELDO MEHMET CILOGLU</t>
  </si>
  <si>
    <t>Gestión comercial Mehmet: -6.000 €/mes + 100.000 € extraordinarios en dic (Total: -172.000 €). Sin incremento en 2027.</t>
  </si>
  <si>
    <t>623100008 - COMISIONES KAMAL KEHAL</t>
  </si>
  <si>
    <t>Comisiones Kamal Kehal: presupuestada en 2027 la misma cantidad anual real del 2026 (-3.398,55 €/año, -283,21 €/mes).</t>
  </si>
  <si>
    <t>623100009 - COMISIONES ABEL SALAZAR</t>
  </si>
  <si>
    <t>623200001 - GASTOS MARCAS EN ESPAÑA</t>
  </si>
  <si>
    <t>Sin dotación individual; centralizado en cuenta 623200017.</t>
  </si>
  <si>
    <t>623200005 - GASTOS MARCAS CHILE</t>
  </si>
  <si>
    <t>623200006 - MARCAS UNION EUROPEA</t>
  </si>
  <si>
    <t>623200011 - GASTOS MARCAS COLOMBIA</t>
  </si>
  <si>
    <t>623200021 - GASTOS MARCAS GUATEMALA</t>
  </si>
  <si>
    <t>623200023 - GASTOS MARCAS ARGELIA</t>
  </si>
  <si>
    <t>623200002 - GASTOS MARCAS MEXICO</t>
  </si>
  <si>
    <t>623200033 - GASTOS MARCAS MUNDIAL</t>
  </si>
  <si>
    <t>623200008 - GASTOS MARCAS EGIPTO</t>
  </si>
  <si>
    <t>623200009 - GASTOS MARCAS MARRUECOS</t>
  </si>
  <si>
    <t>623200010 - GASTOS MARCAS TURQUIA</t>
  </si>
  <si>
    <t>623200016 - GASTOS MARCAS ECUADOR</t>
  </si>
  <si>
    <t>623200017 GASTOS MARCAS EL SALVADOR</t>
  </si>
  <si>
    <t>623200020 - GASTOS MARCAS TUNEZ</t>
  </si>
  <si>
    <t>623200022 - GASTOS MARCAS BOLIVIA</t>
  </si>
  <si>
    <t>623200024 - GASTOS MARCAS INTERNACIONALES</t>
  </si>
  <si>
    <t>623200029 - GASTOS MARCAS GEORGIA</t>
  </si>
  <si>
    <t>623200030 - GASTOS MARCAS AZERBAIYAN</t>
  </si>
  <si>
    <t>623200037 - GASTOS MARCAS ESTADOS UNIDOS</t>
  </si>
  <si>
    <t>(624) Transportes ventas</t>
  </si>
  <si>
    <t>624000001 - TRANSPORTES NACIONAL</t>
  </si>
  <si>
    <t>Presupuesto Transporte 2027: Logística nacional terrestre (Campillo) mensualizada según volumen de ventas (-166.472,15 €).</t>
  </si>
  <si>
    <t>624000002 - TRANSPORTE INTERNACIONAL</t>
  </si>
  <si>
    <t>Según presupuesto de transporte 2027: coste de transporte internacional de exportación (-305.223,30 €). Repercutido 1:1 en factura al cliente mediante cuenta 700001624 (impacto 0 en EBITDA).</t>
  </si>
  <si>
    <t>624000003 - TRANSPORTES CANARIAS</t>
  </si>
  <si>
    <t>Presupuesto Transporte 2027: Logística marítima Canarias (Sealine) (-79.198,29 €).</t>
  </si>
  <si>
    <t>624000004 - GTOS. FLETE REP. AL CLIENTE</t>
  </si>
  <si>
    <t>REPERCUTIDO AL CLIENTE (0,00 €): Fletes marítimos y aéreos facturados directamente a clientes sin coste operativo para Codiagro.</t>
  </si>
  <si>
    <t>624000005 - TTE. PAQUETERIA</t>
  </si>
  <si>
    <t>624000006 - TRANSPORTES IMPORTACIÓN</t>
  </si>
  <si>
    <t>624000007 - ENVIO MUESTRAS</t>
  </si>
  <si>
    <t>(625) Primas de seguros</t>
  </si>
  <si>
    <t>625000001 - SEGUROS VEHÍCULOS</t>
  </si>
  <si>
    <t>Coste fijo: prima mensualizada de pólizas de seguro industrial y responsabilidad civil.</t>
  </si>
  <si>
    <t>625000003 SEGURO ACCIDENTES TRABAJADORES</t>
  </si>
  <si>
    <t>625000004 - SEGURO RESP. CIVIL</t>
  </si>
  <si>
    <t>625000005 - SEGUROS ACTIVIDAD</t>
  </si>
  <si>
    <t>(626) Servicios bancarios</t>
  </si>
  <si>
    <t>626000000 - Servicios bancarios y similares</t>
  </si>
  <si>
    <t>626000002 - GASTOS Y COMISIONES BANCO SABADELL</t>
  </si>
  <si>
    <t>Coste operativo recurrente por transaccionalidad bancaria y comisiones de gestión.</t>
  </si>
  <si>
    <t>626000005 - GASTOS Y COMISIONES CAIXALMASSORA</t>
  </si>
  <si>
    <t>626000007 - GASTOS Y COMISIONES BBVA</t>
  </si>
  <si>
    <t>(627) Publicidad</t>
  </si>
  <si>
    <t>627000001 - GTOS. PUBLICIDAD EN INTERNET</t>
  </si>
  <si>
    <t>627000004 - RELACIONES PUBLICAS</t>
  </si>
  <si>
    <t>Integrado dentro de los programas de activación comercial por cliente-producto (cuenta 627000008).</t>
  </si>
  <si>
    <t>627000005 - INVITACIONES CLIENTES</t>
  </si>
  <si>
    <t>627000006 - PUBLICIDAD CATALOGOS Y FOLLETOS</t>
  </si>
  <si>
    <t>Presupuesto Marketing V5: Marketing corporativo transversal, catálogos técnicos, packaging y branding web (-25.630,00 €).</t>
  </si>
  <si>
    <t>627000007 - FERIAS</t>
  </si>
  <si>
    <t>Presupuesto Marketing V5: Calendario ferial internacional (Fruit Attraction, Fruit Logistica, Sahara Expo, Growtech, etc.) (-33.770,00 €).</t>
  </si>
  <si>
    <t>627000008 - MARKETING</t>
  </si>
  <si>
    <t>Presupuesto Marketing V5: Programas de activación comercial por cliente clave y producto estratégico Familias A/B (-196.300,00 €).</t>
  </si>
  <si>
    <t>627000009 - ARTICULOS PUBLICIDAD</t>
  </si>
  <si>
    <t>Presupuesto Marketing V5: Reserva táctica de marketing y promociones especiales (-10.372,40 €).</t>
  </si>
  <si>
    <t>627000010 - RELACIONES PUBLICAS TEC. CLIENTES</t>
  </si>
  <si>
    <t>(628) Suministros</t>
  </si>
  <si>
    <t>628000001 - SUMINISTROS INFORMATICOS</t>
  </si>
  <si>
    <t>628000002 - SUMINISTROS ELECTRICIDAD</t>
  </si>
  <si>
    <t>Coste semi-variable: término fijo de potencia contratada + consumo eléctrico según horas de producción.</t>
  </si>
  <si>
    <t>628000003 - SUMINISTROS AGUA</t>
  </si>
  <si>
    <t>628000004 - SUMINISTROS TELEFONIA E INTERNET</t>
  </si>
  <si>
    <t>Coste semi-variable estacional: climatización de instalaciones y caldera en meses fríos.</t>
  </si>
  <si>
    <t>628000005 - SUMINISTROS GASOLEO</t>
  </si>
  <si>
    <t>(629) Otros servicios</t>
  </si>
  <si>
    <t>629000001 - HOSPEDAJE WEB</t>
  </si>
  <si>
    <t>Coste operativo general de estructura y servicios de oficinas/fábrica.</t>
  </si>
  <si>
    <t>629000002 - OTROS GASTOS</t>
  </si>
  <si>
    <t>Presupuesto Regulatory 2027: Declaración y cuotas anuales SCRAP envases agrarios AEVAE (-25.315,00 €).</t>
  </si>
  <si>
    <t>629000003 - SUSCRIPCIONES A REVISTAS Y PERIODICOS</t>
  </si>
  <si>
    <t>629000004 - GTOS. SERV. VIGILANCIA</t>
  </si>
  <si>
    <t>629000005 - GTOS. ANALISIS LABORATORIOS</t>
  </si>
  <si>
    <t>Presupuesto Regulatory 2027: Análisis externos de laboratorio para soporte regulatorio (-550 €/mes = -6.600,00 €).</t>
  </si>
  <si>
    <t>629000006 - GASTOS CORREOS</t>
  </si>
  <si>
    <t>629000007 - GASTOS RETIRADA DE RESIDUOS</t>
  </si>
  <si>
    <t>Presupuesto Regulatory 2027: Retirada y gestión medioambiental de residuos industriales (-6.200 €/mes = -74.400,00 € anual).</t>
  </si>
  <si>
    <t>629000008 - CUOTAS ASOCIACIONES</t>
  </si>
  <si>
    <t>Presupuesto Regulatory 2027: Cuota anual asociación sectorial química Quimacova (-2.400,00 €).</t>
  </si>
  <si>
    <t>629000009 - SANCIONES Y MULTAS</t>
  </si>
  <si>
    <t>629000010 - GASTOS COMERCIALES</t>
  </si>
  <si>
    <t>629000011 - EPIS PERSONAL</t>
  </si>
  <si>
    <t>629000012 - GASTOS VARIOS PERSONAL</t>
  </si>
  <si>
    <t>629000013 - FORMACION NO BONIFICADA</t>
  </si>
  <si>
    <t>Presupuesto anual formación no bonificada (53.215,00 €) con reparto mensual lineal homogéneo.</t>
  </si>
  <si>
    <t>629000014 - ROPA LABORAL</t>
  </si>
  <si>
    <t>629000015 MATERIAL DE OFICINA</t>
  </si>
  <si>
    <t>629000016 HERRAMIENTAS</t>
  </si>
  <si>
    <t>629100001 - GASTOS COMERCIALES PERE PORTA</t>
  </si>
  <si>
    <t>Gastos comerciales Pere Porta: 2,000.00 €/mes (Agosto al 50%, Enero y Diciembre al 75%). Total año: 22,000.00 €.</t>
  </si>
  <si>
    <t>629100002 - GASTOS RICARDO PEREZ-SANTAMARINA</t>
  </si>
  <si>
    <t>Gastos comerciales Ricardo Perez: 2,000.00 €/mes (Agosto al 50%, Enero y Diciembre al 75%). Total año: 22,000.00 €.</t>
  </si>
  <si>
    <t>629100003 - GASTOS JAVIER PAREDES</t>
  </si>
  <si>
    <t>Gastos comerciales Javier Paredes: 1,200.00 €/mes (Agosto al 50%, Enero y Diciembre al 75%). Total año: 13,200.00 €.</t>
  </si>
  <si>
    <t>629100004 - GASTOS GARCIA</t>
  </si>
  <si>
    <t>Gastos comerciales Garcia: 2,000.00 €/mes (Agosto al 50%, Enero y Diciembre al 75%). Total año: 22,000.00 €.</t>
  </si>
  <si>
    <t>629100005 - GASTOS IRENE</t>
  </si>
  <si>
    <t>Gastos comerciales Irene: 600.00 €/mes (Agosto al 50%, Enero y Diciembre al 75%). Total año: 6,600.00 €.</t>
  </si>
  <si>
    <t>629100006 - GASTOS ANTONIO ANDREU</t>
  </si>
  <si>
    <t>629100007 - GASTOS CURRO</t>
  </si>
  <si>
    <t>629100008 GASTOS PEDRO MEDINA</t>
  </si>
  <si>
    <t>Gastos comerciales Pedro Medina: 600.00 €/mes (Agosto al 50%, Enero y Diciembre al 75%). Total año: 6,600.00 €.</t>
  </si>
  <si>
    <t>(631) Otros tributos</t>
  </si>
  <si>
    <t>631000001 - IMPUESTOS VEHÍCULOS</t>
  </si>
  <si>
    <t>Coste fijo tributario: tasas municipales y tributos recurrentes de la actividad.</t>
  </si>
  <si>
    <t>631000002 - TASAS</t>
  </si>
  <si>
    <t>Tasas municipales: replicado el gasto de 2026 en el mismo mes de devengo (mayo: -581,49 €).</t>
  </si>
  <si>
    <t>631000004 IBIB</t>
  </si>
  <si>
    <t>Tasas e IBI: presupuestada en 2027 la misma cantidad anual pagada en 2026 (-7.396,59 €/año, -616,38 €/mes).</t>
  </si>
  <si>
    <t>631000006 - IMPUESTO PLASTICO NO RECICLADO</t>
  </si>
  <si>
    <t>Coste variable regulatorio sobre envases de plástico virgen envasados.</t>
  </si>
  <si>
    <t>(634) Ajustes negativos en la imposición indirecta</t>
  </si>
  <si>
    <t>634100000 - Ajustes negat. IVA circulante</t>
  </si>
  <si>
    <t>Ajustes negativos IVA: sin saldo previsto en 2027.</t>
  </si>
  <si>
    <t>(694) Pérdidas por op. Comerciales</t>
  </si>
  <si>
    <t>694000000 - Pérdidas deterioro de créditos por op.comerciales</t>
  </si>
  <si>
    <t>Pérdidas deterioro créditos: sin saldo previsto en 2027.</t>
  </si>
  <si>
    <t>8.- Amortización del inmovilizado</t>
  </si>
  <si>
    <t>(681) Amortización del inmovilizado material</t>
  </si>
  <si>
    <t>681100000 - Amortización de construcciones</t>
  </si>
  <si>
    <t>Coste fijo estricto: dotación lineal mensual calculada según las tablas oficiales de amortización fiscal y vida útil del inmovilizado.</t>
  </si>
  <si>
    <t>681200000 - Amortización de instalaciones técnicas</t>
  </si>
  <si>
    <t>681300000 - Amortización de maquinaria</t>
  </si>
  <si>
    <t>681500000 - Amortización de otras instalaciones</t>
  </si>
  <si>
    <t>681600000 - Amortización de mobiliario</t>
  </si>
  <si>
    <t>681700000 - Amortización de equipos para procesos de informac.</t>
  </si>
  <si>
    <t>681800000 - Amortización de elementos de transporte</t>
  </si>
  <si>
    <t>15.- Gastos financieros</t>
  </si>
  <si>
    <t>706000001 - DESCUENTO POR PRONTO PAGO DEFINITIVO</t>
  </si>
  <si>
    <t>Coste financiero variable: descuentos por pronto pago concedidos a clientes (2,70% s/ventas presupuestadas).</t>
  </si>
  <si>
    <t>(665) Intereses por descuento de efectos y operaciones de "factoring"</t>
  </si>
  <si>
    <t>665700015 - INTERESES PAGO FINANCIADO POR BBVA</t>
  </si>
  <si>
    <t>Intereses pago financiado proveedores: operación no recurrente, fijado a 0 en 2027.</t>
  </si>
  <si>
    <t>(662) Intereses de deudas con entidades de crédito</t>
  </si>
  <si>
    <t>662310005 - INTERESES PRESTAMO CAIXALMASSORA</t>
  </si>
  <si>
    <t>Intereses préstamo Caixabank: préstamo finalizado, fijado a 0 en 2027.</t>
  </si>
  <si>
    <t>(669) Otros gastos financieros</t>
  </si>
  <si>
    <t>669000002 - OTROS GTOS. DTO. EFECTOS SABADELL</t>
  </si>
  <si>
    <t>669000007 - OTROS GTOS. DTO.EFECTOS BBVA</t>
  </si>
  <si>
    <t>669100002 - OTROS GTOS. FINAN. SABADELL</t>
  </si>
  <si>
    <t>669100005 - OTROS GTOS. FINAN. C.RURAL ALMASSORA</t>
  </si>
  <si>
    <t>669100007 - OTROS GTOS. FINAN. BBVA.</t>
  </si>
  <si>
    <t>669200002 - GTOS. COBRO EXPORT B.SABADELL</t>
  </si>
  <si>
    <t>669200007 - GTOS. COBRO EXPORT. BBVA</t>
  </si>
  <si>
    <t>17.- Diferencias de cambio</t>
  </si>
  <si>
    <t>(768) Diferencias positivas de cambio</t>
  </si>
  <si>
    <t>768000000 - Diferencias positivas de cambio</t>
  </si>
  <si>
    <t>Diferencias positivas de cambio: sin estimación en 2027 por criterio de prudencia.</t>
  </si>
  <si>
    <t>(709) Publicidad</t>
  </si>
  <si>
    <t>709001500 - RAPPEL BONIFICACIONES POR PMK DEFINITIVO</t>
  </si>
  <si>
    <t>(769) Otros ingresos financieros</t>
  </si>
  <si>
    <t>769000000 - Otros ingresos financieros</t>
  </si>
  <si>
    <t>Otros ingresos financieros: sin estimación en 2027.</t>
  </si>
  <si>
    <t>CUADRO DE MANDO EJECUTIVO - P&amp;L 2027 (PRESUPUESTOS DEFINITIVOS V5)</t>
  </si>
  <si>
    <t>Comparativa P&amp;L V5 vs Presupuesto Definitivo V5 Ajustado (Cifra Neta 17,180 M€, Salarios 1,806 M€, SS 420k €, Transporte Export Reincorporado)</t>
  </si>
  <si>
    <t>Partida P&amp;L (Cuenta PGC)</t>
  </si>
  <si>
    <t>P&amp;L Anterior V5 (€)</t>
  </si>
  <si>
    <t>Presupuesto V5 (€)</t>
  </si>
  <si>
    <t>Variación (€)</t>
  </si>
  <si>
    <t>Var (%)</t>
  </si>
  <si>
    <t>Criterio / Justificación V5</t>
  </si>
  <si>
    <t>1. Ventas Brutas de Mercaderías (700000000)</t>
  </si>
  <si>
    <t>Ventas Brutas 2027 ajustadas a 17,53 M€ para absorber rappels y alcanzar exactamente 17,180 M€ netos</t>
  </si>
  <si>
    <t xml:space="preserve">   (-) Provisión Rappels Comerciales (709000001)</t>
  </si>
  <si>
    <t>2,19% s/ventas brutas (-384.551,41 €) para ajustar Cifra Neta</t>
  </si>
  <si>
    <t xml:space="preserve">   (+) Ingreso por Gestión de Envases (705000001)</t>
  </si>
  <si>
    <t>Facturación recurrente de gestión de envases</t>
  </si>
  <si>
    <t>IMPORTE NETO CIFRA DE NEGOCIOS (CNN)</t>
  </si>
  <si>
    <t>Cifra Neta de Negocios fijada en el objetivo comercial cerrado: 17.180.000,00 €</t>
  </si>
  <si>
    <t xml:space="preserve">   (+) Otros Ingresos / Transporte Repercutido (700001624)</t>
  </si>
  <si>
    <t>Transporte internacional de exportación repercutido al cliente (+305.223,30 €)</t>
  </si>
  <si>
    <t>(-) Aprovisionamientos y Compras (Grupo 60)</t>
  </si>
  <si>
    <t>Actualizado con el presupuesto técnico de Compras 2027</t>
  </si>
  <si>
    <t>MARGEN BRUTO DE EXPLOTACIÓN</t>
  </si>
  <si>
    <t>Margen bruto operativo: 67.32% sobre Cifra Neta</t>
  </si>
  <si>
    <t>(-) Gastos de Personal (Grupo 64)</t>
  </si>
  <si>
    <t>Salarios brutos 1.806.076 € (640) + SS empresa 420.033,60 € (642) + Formación 2.500 € (649)</t>
  </si>
  <si>
    <t>(-) Otros Gastos de Explotación - OPEX (Grupos 62 y 63)</t>
  </si>
  <si>
    <t>Incluye Transporte Exportación (-305k €), Campillo (-166k €), Canarias (-79k €), Mantenimiento, Mkt y Regulatory</t>
  </si>
  <si>
    <t>EBITDA (Resultado Operativo Bruto)</t>
  </si>
  <si>
    <t>Rentabilidad operativa: 42.48% s/ventas netas</t>
  </si>
  <si>
    <t>(-) Dotación de Amortizaciones (Grupo 68)</t>
  </si>
  <si>
    <t>Dotación lineal de inmovilizado material e intangible</t>
  </si>
  <si>
    <t>EBIT / RESULTADO DE EXPLOTACIÓN</t>
  </si>
  <si>
    <t>Margen neto de explotación: 40.40%</t>
  </si>
  <si>
    <t>(-) Gastos Financieros / Dto Pronto Pago (706000001)</t>
  </si>
  <si>
    <t>Descuentos financieros concedidos a clientes por pronto pago</t>
  </si>
  <si>
    <t>RESULTADO ANTES DE IMPUESTOS (EBT / BAI)</t>
  </si>
  <si>
    <t>Beneficio ordinario antes de impuesto sobre sociedades</t>
  </si>
  <si>
    <t>ANÁLISIS DE SENSIBILIDAD Y TRATAMIENTO DE INMOVILIZACIONES (V3)</t>
  </si>
  <si>
    <t>Escenario 2027</t>
  </si>
  <si>
    <t>EBITDA (€)</t>
  </si>
  <si>
    <t>% s/Ventas</t>
  </si>
  <si>
    <t>EBIT (€)</t>
  </si>
  <si>
    <t>Hipótesis Contable y Operativa</t>
  </si>
  <si>
    <t>Escenario A: Con Inmovilizaciones Activadas (Recomendado)</t>
  </si>
  <si>
    <t>Activa 61.210 € (16,3k marcas nuevas + 25,9k registros nuevos + 9,6k tejado nave + 9,4k molinos) en ctas 203, 211, 213 según PGC.</t>
  </si>
  <si>
    <t>Escenario B: Todo a Gasto Corriente (Conservador)</t>
  </si>
  <si>
    <t>No activa ninguna partida de marcas ni registros; se imputan íntegramente a pérdidas y ganancias en 2027.</t>
  </si>
  <si>
    <t>Escenario C: Con Reserva MOQ Compras en Stock</t>
  </si>
  <si>
    <t>Las compras incluyen +3% MOQ (182.159 €); al quedar en stock a 31/12 vía variación de existencias (cta 610/611), no minoran el EBITDA.</t>
  </si>
  <si>
    <t>ℹ️ SALVEDAD EXPRESA - TRANSPORTE DE EXPORTACIÓN (305.223,30 €):
El transporte internacional de exportación presupuestado por el área logística (305.223,30 €) se repercute íntegramente a los clientes en las facturas comerciales de venta (a través de la cuenta 700001624). Conforme a las instrucciones expresas, este importe NO figura como gasto operativo en la cuenta 624000002 de Codiagro, teniendo un impacto neto neutro (0,00 €) en el EBITDA presupuestado.</t>
  </si>
  <si>
    <t>ℹ️ TRATAMIENTO DEL TRANSPORTE DE EXPORTACIÓN (305.223,30 €) EN V5:
El transporte internacional de exportación presupuestado por el área logística (305.223,30 €) figura íntegramente contabilizado como GASTO en la cuenta 624000002 y correlativamente como INGRESO REPERCUTIDO en la cuenta 700001624. Esta imputación simétrica garantiza el reflejo del volumen logístico total contratado por la compañía manteniendo un impacto neto exactamente neutro (0,00 €) en el EBITDA presupuestado.</t>
  </si>
  <si>
    <t>COMPARATIVA DETALLADA DE CUENTAS PGC MODIFICADAS (PRESUPUESTOS V5)</t>
  </si>
  <si>
    <t>Detalle cuenta a cuenta del impacto entre el P&amp;L anterior V5 y el nuevo Presupuesto Definitivo V3</t>
  </si>
  <si>
    <t>Cuenta PGC</t>
  </si>
  <si>
    <t>Descripción Cuenta</t>
  </si>
  <si>
    <t>Área / Departamento</t>
  </si>
  <si>
    <t>Diferencia (€)</t>
  </si>
  <si>
    <t>Motivo y Justificación Técnica</t>
  </si>
  <si>
    <t>700001624</t>
  </si>
  <si>
    <t>VENTA POR TRANSPORTE REP. AL CLIENTE</t>
  </si>
  <si>
    <t>Transporte</t>
  </si>
  <si>
    <t>Ingreso por transporte exportación repercutido al cliente (+305.223,30 €), compensado con gasto 624000002</t>
  </si>
  <si>
    <t>709000001</t>
  </si>
  <si>
    <t>PROVISION RAPPELS</t>
  </si>
  <si>
    <t>Ventas</t>
  </si>
  <si>
    <t>Provisión 2,19% sobre ventas brutas ajustadas (18,10 M€)</t>
  </si>
  <si>
    <t>601000000</t>
  </si>
  <si>
    <t>Compras de materias primas</t>
  </si>
  <si>
    <t>Compras</t>
  </si>
  <si>
    <t>Necesidades netas de formulación (Presupuesto Compras 2027)</t>
  </si>
  <si>
    <t>602000001</t>
  </si>
  <si>
    <t>COMPRA DE ENVASES Y EMBALAJES</t>
  </si>
  <si>
    <t>Volumen de envasado 2027</t>
  </si>
  <si>
    <t>602000002</t>
  </si>
  <si>
    <t>COMPRA DE ETIQUETAS</t>
  </si>
  <si>
    <t>Tarifas y consumo etiquetas</t>
  </si>
  <si>
    <t>602000003</t>
  </si>
  <si>
    <t>COMPRA DE PALETS</t>
  </si>
  <si>
    <t>Palets según expediciones</t>
  </si>
  <si>
    <t>602000006</t>
  </si>
  <si>
    <t>COMPRA TAPONES DE ENVASES</t>
  </si>
  <si>
    <t>Tapones según unidades envasadas</t>
  </si>
  <si>
    <t>640000000</t>
  </si>
  <si>
    <t>Sueldos y salarios</t>
  </si>
  <si>
    <t>Personal</t>
  </si>
  <si>
    <t>Salario bruto definitivo 2027 (-1.806.076,00 €)</t>
  </si>
  <si>
    <t>642000000</t>
  </si>
  <si>
    <t>Seguridad Social a cargo empresa</t>
  </si>
  <si>
    <t>Seguridad Social definitiva 2027 (-420.033,60 €)</t>
  </si>
  <si>
    <t>622000006</t>
  </si>
  <si>
    <t>REP. Y MANT. INSTALACIONES</t>
  </si>
  <si>
    <t>Mantenimiento</t>
  </si>
  <si>
    <t>Cubierta nave, puerta corredera e instalaciones</t>
  </si>
  <si>
    <t>622010200</t>
  </si>
  <si>
    <t>ALCAPLANT</t>
  </si>
  <si>
    <t>Mantenimiento preventivo molinos Alcaplant</t>
  </si>
  <si>
    <t>622010201</t>
  </si>
  <si>
    <t>REPARACIONES ALCAPLANT</t>
  </si>
  <si>
    <t>Integrado en cuenta matriz 622010200</t>
  </si>
  <si>
    <t>622010300</t>
  </si>
  <si>
    <t>SOLIDOS</t>
  </si>
  <si>
    <t>Presupuesto técnico línea sólidos</t>
  </si>
  <si>
    <t>622010400</t>
  </si>
  <si>
    <t>LIQUIDOS</t>
  </si>
  <si>
    <t>Presupuesto técnico línea líquidos</t>
  </si>
  <si>
    <t>622010500</t>
  </si>
  <si>
    <t>REPUESTOS MANT. VARIOS</t>
  </si>
  <si>
    <t>Presupuesto consumibles taller</t>
  </si>
  <si>
    <t>622010501</t>
  </si>
  <si>
    <t>REP. MANT. FONTANERIA</t>
  </si>
  <si>
    <t>Integrado en 622010400 / 622010500</t>
  </si>
  <si>
    <t>623000003</t>
  </si>
  <si>
    <t>SERV. NOTARIOS, REGISTROS</t>
  </si>
  <si>
    <t>Regulatory</t>
  </si>
  <si>
    <t>Registros corriente (activación 25,9k € en 203)</t>
  </si>
  <si>
    <t>623000004</t>
  </si>
  <si>
    <t>GTOS. BCS. OKO</t>
  </si>
  <si>
    <t>Certificaciones ecológicas según calendario</t>
  </si>
  <si>
    <t>624000001</t>
  </si>
  <si>
    <t>TRANSPORTES NACIONAL</t>
  </si>
  <si>
    <t>Tarifas negociadas Campillo Palmera (-46.4k € ahorro)</t>
  </si>
  <si>
    <t>624000002</t>
  </si>
  <si>
    <t>TRANSPORTE INTERNACIONAL</t>
  </si>
  <si>
    <t>Transporte internacional exportación presupuestado (-305.223,30 €), compensado con ingreso 700001624</t>
  </si>
  <si>
    <t>624000003</t>
  </si>
  <si>
    <t>TRANSPORTES CANARIAS</t>
  </si>
  <si>
    <t>Tarifas insulares Sealine (-9.5k € ahorro)</t>
  </si>
  <si>
    <t>624000004</t>
  </si>
  <si>
    <t>GTOS. FLETE REP. AL CLIENTE</t>
  </si>
  <si>
    <t>Repercutido 100% al cliente en factura</t>
  </si>
  <si>
    <t>627000004</t>
  </si>
  <si>
    <t>Marketing</t>
  </si>
  <si>
    <t>Reclasificado en 627000008</t>
  </si>
  <si>
    <t>627000005</t>
  </si>
  <si>
    <t>627000006</t>
  </si>
  <si>
    <t>PUBLICIDAD CATALOGOS Y FOLLETOS</t>
  </si>
  <si>
    <t>Marketing corporativo transversal V5</t>
  </si>
  <si>
    <t>627000007</t>
  </si>
  <si>
    <t>FERIAS</t>
  </si>
  <si>
    <t>Ferias internacionales V5</t>
  </si>
  <si>
    <t>627000008</t>
  </si>
  <si>
    <t>MARKETING</t>
  </si>
  <si>
    <t>Activación comercial clientes y productos foco V5</t>
  </si>
  <si>
    <t>627000009</t>
  </si>
  <si>
    <t>ARTICULOS PUBLICIDAD</t>
  </si>
  <si>
    <t>Fondo de reserva táctica comercial V5</t>
  </si>
  <si>
    <t>627000010</t>
  </si>
  <si>
    <t>629000002</t>
  </si>
  <si>
    <t>OTROS GASTOS / SCRAP AEVAE</t>
  </si>
  <si>
    <t>Cuotas AEVAE según volumen puesto en mercado</t>
  </si>
  <si>
    <t>629000005</t>
  </si>
  <si>
    <t>GTOS. ANALISIS LABORATORIOS</t>
  </si>
  <si>
    <t>Análisis reglamentarios externos</t>
  </si>
  <si>
    <t>629000007</t>
  </si>
  <si>
    <t>GASTOS RETIRADA DE RESIDUOS</t>
  </si>
  <si>
    <t>Gasto mensual regularizado a 6.200 €/mes</t>
  </si>
  <si>
    <t>629000008</t>
  </si>
  <si>
    <t>CUOTAS ASOCIACIONES</t>
  </si>
  <si>
    <t>Alineado con cuota Quimacova (-7.2k € ahorro)</t>
  </si>
  <si>
    <t>700000000</t>
  </si>
  <si>
    <t>Ventas de mercaderías</t>
  </si>
  <si>
    <t>Ventas brutas incrementadas a 18,10 M€ para absorber rappels y fijar Cifra Neta en 17,738 M€</t>
  </si>
  <si>
    <t>DETALLE MENSUAL DE PRESUPUESTOS POR DEPARTAMENTO (EJERCICIO 2027)</t>
  </si>
  <si>
    <t>Depto</t>
  </si>
  <si>
    <t>Subcategoría</t>
  </si>
  <si>
    <t>Partida / Concepto Detallado</t>
  </si>
  <si>
    <t>Proveedor / Destino</t>
  </si>
  <si>
    <t>Cta PGC Gasto</t>
  </si>
  <si>
    <t>Nombre Cuenta PGC</t>
  </si>
  <si>
    <t>Tipo Contable</t>
  </si>
  <si>
    <t>Cta Inmovilizado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</si>
  <si>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</si>
  <si>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</si>
  <si>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</si>
  <si>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</si>
  <si>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</si>
  <si>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</si>
  <si>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</si>
  <si>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</si>
  <si>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</si>
  <si>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</si>
  <si>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</si>
  <si>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</si>
  <si>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2027 (€)</t>
  </si>
  <si>
    <t>Materias Primas</t>
  </si>
  <si>
    <t>Compras Netas MP Formulados (+3% reserva pedidos mín)</t>
  </si>
  <si>
    <t>Varios proveedores MP</t>
  </si>
  <si>
    <t>Gasto Corriente</t>
  </si>
  <si>
    <t>Envases y Embalajes</t>
  </si>
  <si>
    <t>Envases y bidones para producción envasados</t>
  </si>
  <si>
    <t>Varios envases</t>
  </si>
  <si>
    <t>Compra de envases y embalajes</t>
  </si>
  <si>
    <t>Etiquetas</t>
  </si>
  <si>
    <t>Etiquetas bobina y adhesivas para envasado</t>
  </si>
  <si>
    <t>Imprentas gráficas</t>
  </si>
  <si>
    <t>Compra de etiquetas</t>
  </si>
  <si>
    <t>Palets</t>
  </si>
  <si>
    <t>Palets homologados (nacional y export)</t>
  </si>
  <si>
    <t>Proveedores palets</t>
  </si>
  <si>
    <t>Compra de palets</t>
  </si>
  <si>
    <t>Tapones</t>
  </si>
  <si>
    <t>Tapones de seguridad y dosificadores envases</t>
  </si>
  <si>
    <t>Fabricantes tapones</t>
  </si>
  <si>
    <t>Compra tapones de envases</t>
  </si>
  <si>
    <t>Logística Nacional</t>
  </si>
  <si>
    <t>Transporte Resto Nacional (Campillo)</t>
  </si>
  <si>
    <t>Campillo Palmera</t>
  </si>
  <si>
    <t>Transportes nacional</t>
  </si>
  <si>
    <t>Logística Insular</t>
  </si>
  <si>
    <t>Transporte Canarias (Sealine marítimo)</t>
  </si>
  <si>
    <t>Sealine</t>
  </si>
  <si>
    <t>Transportes Canarias</t>
  </si>
  <si>
    <t>Logística Exportación</t>
  </si>
  <si>
    <t>Transporte Exportación (Repercutido 100% al Cliente)</t>
  </si>
  <si>
    <t>Transitarios y navieras</t>
  </si>
  <si>
    <t>700001624 / 624</t>
  </si>
  <si>
    <t>Venta transporte rep. / Flete internacional</t>
  </si>
  <si>
    <t>Repercutido a Clientes (Neutro)</t>
  </si>
  <si>
    <t>Correctivo</t>
  </si>
  <si>
    <t>Imprevistos y averías de planta (3.000 €/mes base + contingencia)</t>
  </si>
  <si>
    <t>Varios / Taller propio</t>
  </si>
  <si>
    <t>622010000</t>
  </si>
  <si>
    <t>Mantenimiento preventivo/correctivo</t>
  </si>
  <si>
    <t>Alcaplant / Molinos</t>
  </si>
  <si>
    <t>Mantenimiento preventivo y molinos Alcaplant (incluye overhaul Oliver&amp;Batlle)</t>
  </si>
  <si>
    <t xml:space="preserve">Maquisel / Talleres Hurtado / </t>
  </si>
  <si>
    <t>Mantenimiento Alcaplant</t>
  </si>
  <si>
    <t>Inmovilizable (Parcial)</t>
  </si>
  <si>
    <t>213000000 - Maquinaria</t>
  </si>
  <si>
    <t>Envasado Sólido</t>
  </si>
  <si>
    <t>Repuestos envasado sólido y repaso de sinfines Proymec</t>
  </si>
  <si>
    <t>Elocom Montajes / Proymec</t>
  </si>
  <si>
    <t>Mantenimiento Sólidos</t>
  </si>
  <si>
    <t>Líquidos y Tuberías</t>
  </si>
  <si>
    <t>Valvulería, latiguillos, fontanería y propulsores Proymec</t>
  </si>
  <si>
    <t>S.I.R / Irriagro / Proymec</t>
  </si>
  <si>
    <t>Mantenimiento Líquidos</t>
  </si>
  <si>
    <t>Taller Planta</t>
  </si>
  <si>
    <t>Consumibles de taller y repuestos generales de mantenimiento</t>
  </si>
  <si>
    <t>Novastec / Thermocontrol</t>
  </si>
  <si>
    <t>Repuestos mantenimiento varios</t>
  </si>
  <si>
    <t>Instalaciones y Edificios</t>
  </si>
  <si>
    <t>Reparación cubierta tejado nave y puerta corredera</t>
  </si>
  <si>
    <t>Cuvierbal / Diego Rodrigo Dols</t>
  </si>
  <si>
    <t>622000000</t>
  </si>
  <si>
    <t>Reparaciones y conservación</t>
  </si>
  <si>
    <t>211000000 - Construcciones</t>
  </si>
  <si>
    <t>Equipamiento Taller</t>
  </si>
  <si>
    <t>Herramientas eléctricas de taller</t>
  </si>
  <si>
    <t>Recambios Alcora</t>
  </si>
  <si>
    <t>629000016</t>
  </si>
  <si>
    <t>Herramientas taller</t>
  </si>
  <si>
    <t>Inmovilizable (Activable)</t>
  </si>
  <si>
    <t>214000000 - Utillaje</t>
  </si>
  <si>
    <t>Servicios Externos Especializados</t>
  </si>
  <si>
    <t>Revisión compresores de aire y mantenimiento carretillas elevadoras</t>
  </si>
  <si>
    <t>Repcar / Especialista aire com</t>
  </si>
  <si>
    <t>Ferias y Encuentros</t>
  </si>
  <si>
    <t>Ferias internacionales (Fruit Attraction, Fruit Logistica, Sahara Expo, Growtech, etc.)</t>
  </si>
  <si>
    <t>Entidades feriales e instalado</t>
  </si>
  <si>
    <t>Ferias y congresos</t>
  </si>
  <si>
    <t>Corporativo y Marca</t>
  </si>
  <si>
    <t>Marketing transversal, diseño corporativo, catálogos, packaging y web</t>
  </si>
  <si>
    <t>Agencias diseño y marketing</t>
  </si>
  <si>
    <t>Publicidad, catálogos y folletos</t>
  </si>
  <si>
    <t>Programas Cliente-Producto</t>
  </si>
  <si>
    <t>Planes de activación comercial por cliente clave y producto foco (Familias A/B)</t>
  </si>
  <si>
    <t>Distribuidores y material prom</t>
  </si>
  <si>
    <t>Marketing y campañas comerciales</t>
  </si>
  <si>
    <t>Reserva Táctica</t>
  </si>
  <si>
    <t>Fondo de maniobra para contingencias y oportunidades comerciales imprevistas</t>
  </si>
  <si>
    <t>Fondo de reserva comercial</t>
  </si>
  <si>
    <t>Artículos publicidad / promociones</t>
  </si>
  <si>
    <t>Marcas</t>
  </si>
  <si>
    <t>Amec chile</t>
  </si>
  <si>
    <t>1500</t>
  </si>
  <si>
    <t>623200000</t>
  </si>
  <si>
    <t>Gastos marcas y patentes</t>
  </si>
  <si>
    <t>Amec Perú</t>
  </si>
  <si>
    <t>1400</t>
  </si>
  <si>
    <t>Amec Costa Rica</t>
  </si>
  <si>
    <t>Agropotasión UE-Int</t>
  </si>
  <si>
    <t>4000</t>
  </si>
  <si>
    <t>Agropotasión Jordania</t>
  </si>
  <si>
    <t>3000</t>
  </si>
  <si>
    <t>Alcaplant Chile</t>
  </si>
  <si>
    <t>Alcaplant Perú</t>
  </si>
  <si>
    <t>Alcaplant Costa Rica</t>
  </si>
  <si>
    <t>Biorad Jordania</t>
  </si>
  <si>
    <t>Borocal Int</t>
  </si>
  <si>
    <t>Borocal Jordania</t>
  </si>
  <si>
    <t>Agroxigreen Int</t>
  </si>
  <si>
    <t>Calciamec Perú</t>
  </si>
  <si>
    <t>Fitokontrol Perú</t>
  </si>
  <si>
    <t>Poligreen España</t>
  </si>
  <si>
    <t>400</t>
  </si>
  <si>
    <t>Polifruit España</t>
  </si>
  <si>
    <t>Salwax Costa Rica</t>
  </si>
  <si>
    <t>Xilato Ecuador</t>
  </si>
  <si>
    <t>2300</t>
  </si>
  <si>
    <t>vigilancia mundial anual</t>
  </si>
  <si>
    <t>2550</t>
  </si>
  <si>
    <t>623200033</t>
  </si>
  <si>
    <t>Gastos marcas mundial</t>
  </si>
  <si>
    <t>Sprintium USA</t>
  </si>
  <si>
    <t>1300</t>
  </si>
  <si>
    <t>203000000 - Propiedad Industrial</t>
  </si>
  <si>
    <t>Codiagro USA</t>
  </si>
  <si>
    <t>Sprintium Omán</t>
  </si>
  <si>
    <t>1700</t>
  </si>
  <si>
    <t>Codiorgan-Guatemala</t>
  </si>
  <si>
    <t>1750</t>
  </si>
  <si>
    <t>Trifeno-94-Europea</t>
  </si>
  <si>
    <t>Trifeno-94-Guatemala</t>
  </si>
  <si>
    <t>Salwax-Arabia</t>
  </si>
  <si>
    <t>2000</t>
  </si>
  <si>
    <t>Biorad- Arabia</t>
  </si>
  <si>
    <t>Floramec Avance Arabia</t>
  </si>
  <si>
    <t>cambio titular Guatemala</t>
  </si>
  <si>
    <t>6840</t>
  </si>
  <si>
    <t>cambio titular Jordania</t>
  </si>
  <si>
    <t>4800</t>
  </si>
  <si>
    <t>cambio titular Túnez</t>
  </si>
  <si>
    <t>2400</t>
  </si>
  <si>
    <t>cambio titular Emiratos</t>
  </si>
  <si>
    <t>4200</t>
  </si>
  <si>
    <t>cambio titualr Nicaragua</t>
  </si>
  <si>
    <t>Consejero seguridad</t>
  </si>
  <si>
    <t>Ecosmep</t>
  </si>
  <si>
    <t>650</t>
  </si>
  <si>
    <t>623000001</t>
  </si>
  <si>
    <t>Servicios profesionales independientes</t>
  </si>
  <si>
    <t>Fds</t>
  </si>
  <si>
    <t>EQGEST</t>
  </si>
  <si>
    <t>1220</t>
  </si>
  <si>
    <t>Calidad</t>
  </si>
  <si>
    <t>ISO-BUREAU VERITAS</t>
  </si>
  <si>
    <t>1000</t>
  </si>
  <si>
    <t>General</t>
  </si>
  <si>
    <t>Quimacova</t>
  </si>
  <si>
    <t>Cuotas asociaciones</t>
  </si>
  <si>
    <t>Seguridad industrial</t>
  </si>
  <si>
    <t>Inspección reglamentaria BT</t>
  </si>
  <si>
    <t>700</t>
  </si>
  <si>
    <t>Ecológicos</t>
  </si>
  <si>
    <t>Ecocert</t>
  </si>
  <si>
    <t>970</t>
  </si>
  <si>
    <t>Gastos certificaciones ecológicas</t>
  </si>
  <si>
    <t>FIBL</t>
  </si>
  <si>
    <t>1100</t>
  </si>
  <si>
    <t>BCS-Kiwa</t>
  </si>
  <si>
    <t>5423</t>
  </si>
  <si>
    <t>OMRI</t>
  </si>
  <si>
    <t>2700</t>
  </si>
  <si>
    <t>Envases</t>
  </si>
  <si>
    <t>AEVAE-PEPE</t>
  </si>
  <si>
    <t>515</t>
  </si>
  <si>
    <t>Otros gastos de gestión / Envases</t>
  </si>
  <si>
    <t>AEVAE-declaración</t>
  </si>
  <si>
    <t>22050</t>
  </si>
  <si>
    <t>AEVAE-regularización</t>
  </si>
  <si>
    <t>Medioambiente</t>
  </si>
  <si>
    <t>Residuos P y NP</t>
  </si>
  <si>
    <t>74400</t>
  </si>
  <si>
    <t>Gastos retirada de residuos</t>
  </si>
  <si>
    <t>Regularización nave enfrente</t>
  </si>
  <si>
    <t>9600</t>
  </si>
  <si>
    <t>Registros</t>
  </si>
  <si>
    <t>Registro-Azerbaiyán</t>
  </si>
  <si>
    <t>13200</t>
  </si>
  <si>
    <t>Servicios registros y notarios</t>
  </si>
  <si>
    <t>203000000 - Licencias y Registros</t>
  </si>
  <si>
    <t>Análisis de labo externo para registros</t>
  </si>
  <si>
    <t>6600</t>
  </si>
  <si>
    <t>Gastos análisis de laboratorios</t>
  </si>
  <si>
    <t>Registro - Guatemala</t>
  </si>
  <si>
    <t>5740</t>
  </si>
  <si>
    <t>Registro-Sudáfrica</t>
  </si>
  <si>
    <t>6960</t>
  </si>
  <si>
    <t>Registro-Omán</t>
  </si>
  <si>
    <t>550</t>
  </si>
  <si>
    <t>Imprevistos</t>
  </si>
  <si>
    <t>Registro-Arabia</t>
  </si>
  <si>
    <t>200</t>
  </si>
  <si>
    <t>Otros gastos</t>
  </si>
  <si>
    <t>ANÁLISIS DE PARTIDAS INMOVILIZABLES (CAPEX VS OPEX 2027)</t>
  </si>
  <si>
    <t>Criterios contables según PGC (Norma de Registro y Valoración 5ª y 6ª y Resolución ICAC)</t>
  </si>
  <si>
    <t>Área</t>
  </si>
  <si>
    <t>Concepto Específico</t>
  </si>
  <si>
    <t>Importe 2027 (€)</t>
  </si>
  <si>
    <t>Cta Gasto Original</t>
  </si>
  <si>
    <t>Cta Inmovilizado Activable</t>
  </si>
  <si>
    <t>Vida Útil Estimada</t>
  </si>
  <si>
    <t>Criterio y Justificación PGC</t>
  </si>
  <si>
    <t>Regulatory / Marcas</t>
  </si>
  <si>
    <t>Nuevas marcas internacionales (Sprintium USA/Omán, Trifeno UE/Guatemala, Salwax, Biorad, Floramec Arabia)</t>
  </si>
  <si>
    <t>10 años (lineal)</t>
  </si>
  <si>
    <t>NRV 5ª PGC: Registro de nueva marca genera derecho legal de uso exclusivo y beneficios futuros. Gastos de registro oficial activables.</t>
  </si>
  <si>
    <t>Regulatory / Registros</t>
  </si>
  <si>
    <t>Expedientes y tasas oficiales de registro de nuevos productos (Azerbaiyán 13,2k €, Sudáfrica 7,0k €, Guatemala 5,7k €)</t>
  </si>
  <si>
    <t>203000000 - Licencias y Concesiones</t>
  </si>
  <si>
    <t>5 a 10 años</t>
  </si>
  <si>
    <t>RICAC Intangibles: Concesiones administrativas obligatorias para comercializar el producto de forma plurianual. Activable al generar flujo de caja.</t>
  </si>
  <si>
    <t>Mantenimiento / Nave</t>
  </si>
  <si>
    <t>Adecuación estructural y cubierta de nave enfrente (regularización nave almacén)</t>
  </si>
  <si>
    <t>20 a 50 años</t>
  </si>
  <si>
    <t>NRV 3ª PGC: Las obras que prolongan la vida útil del inmueble o aumentan su capacidad se activan como mayor valor del inmovilizado material.</t>
  </si>
  <si>
    <t>Mantenimiento / Fábrica</t>
  </si>
  <si>
    <t>Overhaul estructural y puesta a punto integral de molinos Alcaplant (Oliver &amp; Batlle)</t>
  </si>
  <si>
    <t>8 a 10 años</t>
  </si>
  <si>
    <t>NRV 3ª PGC: Grandes reparaciones o sustituciones de componentes clave que restablecen y prolongan la vida operativa de la máquina.</t>
  </si>
  <si>
    <t>TOTAL INMOVILIZACIONES ACTIVABLES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</si>
</sst>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€;[Red]\-#,##0.00\ \€;&quot;-&quot;"/>
    <numFmt numFmtId="165" formatCode="0.0%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475569"/>
      <name val="Calibri"/>
    </font>
    <font>
      <b/>
      <sz val="10"/>
      <color rgb="FF1E3A8A"/>
      <name val="Calibri"/>
    </font>
    <font>
      <b/>
      <sz val="10"/>
      <color rgb="FFFFFFFF"/>
      <name val="Calibri"/>
    </font>
    <font>
      <sz val="9"/>
      <name val="Calibri"/>
    </font>
    <font>
      <b/>
      <sz val="9"/>
      <name val="Calibri"/>
    </font>
    <font>
      <i/>
      <sz val="8"/>
      <color rgb="FF334155"/>
      <name val="Calibri"/>
    </font>
    <font>
      <b/>
      <sz val="11"/>
      <color rgb="FF166534"/>
      <name val="Calibri"/>
    </font>
    <font>
      <b/>
      <sz val="11"/>
      <color rgb="FF1E3A8A"/>
      <name val="Calibri"/>
    </font>
    <font>
      <b/>
      <sz val="9"/>
      <color rgb="FF1E3A8A"/>
      <name val="Calibri"/>
    </font>
    <font>
      <b/>
      <sz val="10"/>
      <color rgb="FF16653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DBEAFE"/>
        <bgColor rgb="FFDBEAFE"/>
      </patternFill>
    </fill>
    <fill>
      <patternFill patternType="solid">
        <fgColor rgb="FF1E293B"/>
        <bgColor rgb="FF1E293B"/>
      </patternFill>
    </fill>
    <fill>
      <patternFill patternType="solid">
        <fgColor rgb="FFEFF6FF"/>
        <bgColor rgb="FFEFF6FF"/>
      </patternFill>
    </fill>
    <fill>
      <patternFill patternType="solid">
        <fgColor rgb="FFDCFCE7"/>
        <bgColor rgb="FFDCFCE7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1E3A8A"/>
      </top>
      <bottom style="double">
        <color rgb="FF1E3A8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3" fillId="0" borderId="0" xfId="0" applyFont="1"/>
    <xf numFmtId="164" fontId="3" fillId="3" borderId="1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164" fontId="5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0" fontId="7" fillId="0" borderId="2" xfId="0" applyFont="1" applyBorder="1"/>
    <xf numFmtId="0" fontId="4" fillId="4" borderId="2" xfId="0" applyFont="1" applyFill="1" applyBorder="1" applyAlignment="1">
      <alignment horizontal="center" vertical="center"/>
    </xf>
    <xf numFmtId="164" fontId="5" fillId="0" borderId="2" xfId="0" applyNumberFormat="1" applyFont="1" applyBorder="1"/>
    <xf numFmtId="165" fontId="5" fillId="0" borderId="2" xfId="0" applyNumberFormat="1" applyFont="1" applyBorder="1"/>
    <xf numFmtId="0" fontId="6" fillId="5" borderId="2" xfId="0" applyFont="1" applyFill="1" applyBorder="1"/>
    <xf numFmtId="164" fontId="6" fillId="5" borderId="2" xfId="0" applyNumberFormat="1" applyFont="1" applyFill="1" applyBorder="1"/>
    <xf numFmtId="165" fontId="6" fillId="5" borderId="2" xfId="0" applyNumberFormat="1" applyFont="1" applyFill="1" applyBorder="1"/>
    <xf numFmtId="0" fontId="7" fillId="5" borderId="2" xfId="0" applyFont="1" applyFill="1" applyBorder="1"/>
    <xf numFmtId="0" fontId="8" fillId="6" borderId="2" xfId="0" applyFont="1" applyFill="1" applyBorder="1"/>
    <xf numFmtId="164" fontId="8" fillId="6" borderId="2" xfId="0" applyNumberFormat="1" applyFont="1" applyFill="1" applyBorder="1"/>
    <xf numFmtId="165" fontId="8" fillId="6" borderId="2" xfId="0" applyNumberFormat="1" applyFont="1" applyFill="1" applyBorder="1"/>
    <xf numFmtId="0" fontId="7" fillId="6" borderId="2" xfId="0" applyFont="1" applyFill="1" applyBorder="1"/>
    <xf numFmtId="0" fontId="9" fillId="0" borderId="0" xfId="0" applyFont="1"/>
    <xf numFmtId="0" fontId="6" fillId="6" borderId="2" xfId="0" applyFont="1" applyFill="1" applyBorder="1"/>
    <xf numFmtId="164" fontId="0" fillId="6" borderId="2" xfId="0" applyNumberFormat="1" applyFill="1" applyBorder="1"/>
    <xf numFmtId="165" fontId="0" fillId="6" borderId="2" xfId="0" applyNumberFormat="1" applyFill="1" applyBorder="1"/>
    <xf numFmtId="0" fontId="6" fillId="0" borderId="2" xfId="0" applyFont="1" applyBorder="1"/>
    <xf numFmtId="164" fontId="0" fillId="0" borderId="2" xfId="0" applyNumberFormat="1" applyBorder="1"/>
    <xf numFmtId="165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right"/>
    </xf>
    <xf numFmtId="164" fontId="6" fillId="0" borderId="2" xfId="0" applyNumberFormat="1" applyFont="1" applyBorder="1"/>
    <xf numFmtId="0" fontId="11" fillId="6" borderId="1" xfId="0" applyFont="1" applyFill="1" applyBorder="1"/>
    <xf numFmtId="0" fontId="0" fillId="6" borderId="1" xfId="0" applyFill="1" applyBorder="1"/>
    <xf numFmtId="164" fontId="8" fillId="6" borderId="1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0" fillId="3" borderId="2" xfId="0" applyFont="1" applyFill="1" applyBorder="1" applyAlignment="1">
      <alignment vertical="center" wrapText="1"/>
    </xf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206"/>
  <sheetViews>
    <sheetView tabSelected="1" workbookViewId="0">
      <pane xSplit="10" ySplit="4" topLeftCell="Q171" activePane="bottomRight" state="frozen"/>
      <selection pane="topRight"/>
      <selection pane="bottomLeft"/>
      <selection pane="bottomRight" activeCell="W179" sqref="W179"/>
    </sheetView>
  </sheetViews>
  <sheetFormatPr baseColWidth="10" defaultColWidth="8.7265625" defaultRowHeight="14.5" x14ac:dyDescent="0.35"/>
  <cols>
    <col min="2" max="2" width="8" customWidth="1"/>
    <col min="3" max="3" width="10" hidden="1" customWidth="1"/>
    <col min="4" max="4" width="24" hidden="1" customWidth="1"/>
    <col min="5" max="6" width="28" hidden="1" customWidth="1"/>
    <col min="7" max="7" width="35" hidden="1" customWidth="1"/>
    <col min="8" max="8" width="30" customWidth="1"/>
    <col min="9" max="9" width="38" customWidth="1"/>
    <col min="10" max="10" width="12" customWidth="1"/>
    <col min="11" max="22" width="14" customWidth="1"/>
    <col min="23" max="23" width="16" customWidth="1"/>
    <col min="24" max="24" width="70" customWidth="1"/>
  </cols>
  <sheetData>
    <row r="1" spans="2:24" ht="28" customHeight="1" x14ac:dyDescent="0.35">
      <c r="B1" s="35" t="s">
        <v>0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</row>
    <row r="2" spans="2:24" ht="20" customHeight="1" x14ac:dyDescent="0.35">
      <c r="B2" s="1" t="s">
        <v>1</v>
      </c>
    </row>
    <row r="3" spans="2:24" ht="22" customHeight="1" x14ac:dyDescent="0.35">
      <c r="B3" s="2" t="s">
        <v>2</v>
      </c>
      <c r="K3" s="3">
        <f t="shared" ref="K3:W3" si="0">SUBTOTAL(9,K5:K206)</f>
        <v>456200.33999999985</v>
      </c>
      <c r="L3" s="3">
        <f t="shared" si="0"/>
        <v>840413.29999999981</v>
      </c>
      <c r="M3" s="3">
        <f t="shared" si="0"/>
        <v>732565.94000000088</v>
      </c>
      <c r="N3" s="3">
        <f t="shared" si="0"/>
        <v>540182.25000000023</v>
      </c>
      <c r="O3" s="3">
        <f t="shared" si="0"/>
        <v>1107297.5100000002</v>
      </c>
      <c r="P3" s="3">
        <f t="shared" si="0"/>
        <v>1082498.8899999999</v>
      </c>
      <c r="Q3" s="3">
        <f t="shared" si="0"/>
        <v>568258.98000000021</v>
      </c>
      <c r="R3" s="3">
        <f t="shared" si="0"/>
        <v>280107.47999999963</v>
      </c>
      <c r="S3" s="3">
        <f t="shared" si="0"/>
        <v>10683.499999999989</v>
      </c>
      <c r="T3" s="3">
        <f t="shared" si="0"/>
        <v>238453.61999999973</v>
      </c>
      <c r="U3" s="3">
        <f t="shared" si="0"/>
        <v>503705.6100000001</v>
      </c>
      <c r="V3" s="3">
        <f t="shared" si="0"/>
        <v>228839.67999999961</v>
      </c>
      <c r="W3" s="3">
        <f t="shared" si="0"/>
        <v>6589207.0999999959</v>
      </c>
    </row>
    <row r="4" spans="2:24" ht="26" customHeight="1" x14ac:dyDescent="0.35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</row>
    <row r="5" spans="2:24" ht="18" customHeight="1" x14ac:dyDescent="0.35">
      <c r="B5" s="5">
        <v>2027</v>
      </c>
      <c r="C5" s="5" t="s">
        <v>26</v>
      </c>
      <c r="D5" s="6" t="s">
        <v>27</v>
      </c>
      <c r="E5" s="6" t="s">
        <v>28</v>
      </c>
      <c r="F5" s="6" t="s">
        <v>29</v>
      </c>
      <c r="G5" s="6" t="s">
        <v>30</v>
      </c>
      <c r="H5" s="6" t="s">
        <v>31</v>
      </c>
      <c r="I5" s="6" t="s">
        <v>32</v>
      </c>
      <c r="J5" s="5" t="s">
        <v>33</v>
      </c>
      <c r="K5" s="7">
        <v>1130316.53</v>
      </c>
      <c r="L5" s="7">
        <v>1830909.81</v>
      </c>
      <c r="M5" s="7">
        <v>1756288.33</v>
      </c>
      <c r="N5" s="7">
        <v>1413969.14</v>
      </c>
      <c r="O5" s="7">
        <v>2321477.31</v>
      </c>
      <c r="P5" s="7">
        <v>2302158.9300000002</v>
      </c>
      <c r="Q5" s="7">
        <v>1460645.59</v>
      </c>
      <c r="R5" s="7">
        <v>932157.29</v>
      </c>
      <c r="S5" s="7">
        <v>541469.36</v>
      </c>
      <c r="T5" s="7">
        <v>905548.76</v>
      </c>
      <c r="U5" s="7">
        <v>1399752.84</v>
      </c>
      <c r="V5" s="7">
        <v>1535397.94</v>
      </c>
      <c r="W5" s="8">
        <f t="shared" ref="W5:W36" si="1">SUM(K5:V5)</f>
        <v>17530091.829999998</v>
      </c>
      <c r="X5" s="9" t="s">
        <v>34</v>
      </c>
    </row>
    <row r="6" spans="2:24" ht="18" customHeight="1" x14ac:dyDescent="0.35">
      <c r="B6" s="5">
        <v>2027</v>
      </c>
      <c r="C6" s="5" t="s">
        <v>26</v>
      </c>
      <c r="D6" s="6" t="s">
        <v>27</v>
      </c>
      <c r="E6" s="6" t="s">
        <v>28</v>
      </c>
      <c r="F6" s="6" t="s">
        <v>29</v>
      </c>
      <c r="G6" s="6" t="s">
        <v>30</v>
      </c>
      <c r="H6" s="6" t="s">
        <v>31</v>
      </c>
      <c r="I6" s="6" t="s">
        <v>35</v>
      </c>
      <c r="J6" s="5" t="s">
        <v>33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8">
        <f t="shared" si="1"/>
        <v>0</v>
      </c>
      <c r="X6" s="9" t="s">
        <v>36</v>
      </c>
    </row>
    <row r="7" spans="2:24" ht="18" customHeight="1" x14ac:dyDescent="0.35">
      <c r="B7" s="5">
        <v>2027</v>
      </c>
      <c r="C7" s="5" t="s">
        <v>26</v>
      </c>
      <c r="D7" s="6" t="s">
        <v>27</v>
      </c>
      <c r="E7" s="6" t="s">
        <v>28</v>
      </c>
      <c r="F7" s="6" t="s">
        <v>29</v>
      </c>
      <c r="G7" s="6" t="s">
        <v>30</v>
      </c>
      <c r="H7" s="6" t="s">
        <v>31</v>
      </c>
      <c r="I7" s="6" t="s">
        <v>37</v>
      </c>
      <c r="J7" s="5" t="s">
        <v>33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8">
        <f t="shared" si="1"/>
        <v>0</v>
      </c>
      <c r="X7" s="9" t="s">
        <v>36</v>
      </c>
    </row>
    <row r="8" spans="2:24" ht="18" customHeight="1" x14ac:dyDescent="0.35">
      <c r="B8" s="5">
        <v>2027</v>
      </c>
      <c r="C8" s="5" t="s">
        <v>26</v>
      </c>
      <c r="D8" s="6" t="s">
        <v>27</v>
      </c>
      <c r="E8" s="6" t="s">
        <v>28</v>
      </c>
      <c r="F8" s="6" t="s">
        <v>29</v>
      </c>
      <c r="G8" s="6" t="s">
        <v>38</v>
      </c>
      <c r="H8" s="6" t="s">
        <v>31</v>
      </c>
      <c r="I8" s="6" t="s">
        <v>39</v>
      </c>
      <c r="J8" s="5" t="s">
        <v>33</v>
      </c>
      <c r="K8" s="7">
        <v>29809.200000000001</v>
      </c>
      <c r="L8" s="7">
        <v>21246.7</v>
      </c>
      <c r="M8" s="7">
        <v>19638.3</v>
      </c>
      <c r="N8" s="7">
        <v>8004.2</v>
      </c>
      <c r="O8" s="7">
        <v>38718.800000000003</v>
      </c>
      <c r="P8" s="7">
        <v>33492</v>
      </c>
      <c r="Q8" s="7">
        <v>13212.8</v>
      </c>
      <c r="R8" s="7">
        <v>18509.599999999999</v>
      </c>
      <c r="S8" s="7">
        <v>24148.9</v>
      </c>
      <c r="T8" s="7">
        <v>23411.3</v>
      </c>
      <c r="U8" s="7">
        <v>40650.699999999997</v>
      </c>
      <c r="V8" s="7">
        <v>34380.800000000003</v>
      </c>
      <c r="W8" s="8">
        <f t="shared" si="1"/>
        <v>305223.3</v>
      </c>
      <c r="X8" s="9" t="s">
        <v>40</v>
      </c>
    </row>
    <row r="9" spans="2:24" ht="18" customHeight="1" x14ac:dyDescent="0.35">
      <c r="B9" s="5">
        <v>2027</v>
      </c>
      <c r="C9" s="5" t="s">
        <v>26</v>
      </c>
      <c r="D9" s="6" t="s">
        <v>27</v>
      </c>
      <c r="E9" s="6" t="s">
        <v>28</v>
      </c>
      <c r="F9" s="6" t="s">
        <v>29</v>
      </c>
      <c r="G9" s="6" t="s">
        <v>30</v>
      </c>
      <c r="H9" s="6" t="s">
        <v>31</v>
      </c>
      <c r="I9" s="6" t="s">
        <v>41</v>
      </c>
      <c r="J9" s="5" t="s">
        <v>33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8">
        <f t="shared" si="1"/>
        <v>0</v>
      </c>
      <c r="X9" s="9" t="s">
        <v>36</v>
      </c>
    </row>
    <row r="10" spans="2:24" ht="18" customHeight="1" x14ac:dyDescent="0.35">
      <c r="B10" s="5">
        <v>2027</v>
      </c>
      <c r="C10" s="5" t="s">
        <v>26</v>
      </c>
      <c r="D10" s="6" t="s">
        <v>27</v>
      </c>
      <c r="E10" s="6" t="s">
        <v>28</v>
      </c>
      <c r="F10" s="6" t="s">
        <v>42</v>
      </c>
      <c r="G10" s="6" t="s">
        <v>43</v>
      </c>
      <c r="H10" s="6" t="s">
        <v>31</v>
      </c>
      <c r="I10" s="6" t="s">
        <v>41</v>
      </c>
      <c r="J10" s="5" t="s">
        <v>33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8">
        <f t="shared" si="1"/>
        <v>0</v>
      </c>
      <c r="X10" s="9" t="s">
        <v>36</v>
      </c>
    </row>
    <row r="11" spans="2:24" ht="18" customHeight="1" x14ac:dyDescent="0.35">
      <c r="B11" s="5">
        <v>2027</v>
      </c>
      <c r="C11" s="5" t="s">
        <v>26</v>
      </c>
      <c r="D11" s="6" t="s">
        <v>27</v>
      </c>
      <c r="E11" s="6" t="s">
        <v>28</v>
      </c>
      <c r="F11" s="6" t="s">
        <v>29</v>
      </c>
      <c r="G11" s="6" t="s">
        <v>30</v>
      </c>
      <c r="H11" s="6" t="s">
        <v>44</v>
      </c>
      <c r="I11" s="6" t="s">
        <v>45</v>
      </c>
      <c r="J11" s="5" t="s">
        <v>33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8">
        <f t="shared" si="1"/>
        <v>0</v>
      </c>
      <c r="X11" s="9" t="s">
        <v>36</v>
      </c>
    </row>
    <row r="12" spans="2:24" ht="18" customHeight="1" x14ac:dyDescent="0.35">
      <c r="B12" s="5">
        <v>2027</v>
      </c>
      <c r="C12" s="5" t="s">
        <v>26</v>
      </c>
      <c r="D12" s="6" t="s">
        <v>27</v>
      </c>
      <c r="E12" s="6" t="s">
        <v>28</v>
      </c>
      <c r="F12" s="6" t="s">
        <v>29</v>
      </c>
      <c r="G12" s="6" t="s">
        <v>30</v>
      </c>
      <c r="H12" s="6" t="s">
        <v>46</v>
      </c>
      <c r="I12" s="6" t="s">
        <v>47</v>
      </c>
      <c r="J12" s="5" t="s">
        <v>33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8">
        <f t="shared" si="1"/>
        <v>0</v>
      </c>
      <c r="X12" s="9" t="s">
        <v>36</v>
      </c>
    </row>
    <row r="13" spans="2:24" ht="18" customHeight="1" x14ac:dyDescent="0.35">
      <c r="B13" s="5">
        <v>2027</v>
      </c>
      <c r="C13" s="5" t="s">
        <v>26</v>
      </c>
      <c r="D13" s="6" t="s">
        <v>27</v>
      </c>
      <c r="E13" s="6" t="s">
        <v>28</v>
      </c>
      <c r="F13" s="6" t="s">
        <v>29</v>
      </c>
      <c r="G13" s="6" t="s">
        <v>30</v>
      </c>
      <c r="H13" s="6" t="s">
        <v>48</v>
      </c>
      <c r="I13" s="6" t="s">
        <v>49</v>
      </c>
      <c r="J13" s="5" t="s">
        <v>33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8">
        <f t="shared" si="1"/>
        <v>0</v>
      </c>
      <c r="X13" s="9" t="s">
        <v>36</v>
      </c>
    </row>
    <row r="14" spans="2:24" ht="18" customHeight="1" x14ac:dyDescent="0.35">
      <c r="B14" s="5">
        <v>2027</v>
      </c>
      <c r="C14" s="5" t="s">
        <v>26</v>
      </c>
      <c r="D14" s="6" t="s">
        <v>27</v>
      </c>
      <c r="E14" s="6" t="s">
        <v>28</v>
      </c>
      <c r="F14" s="6" t="s">
        <v>29</v>
      </c>
      <c r="G14" s="6" t="s">
        <v>30</v>
      </c>
      <c r="H14" s="6" t="s">
        <v>50</v>
      </c>
      <c r="I14" s="6" t="s">
        <v>51</v>
      </c>
      <c r="J14" s="5" t="s">
        <v>33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8">
        <f t="shared" si="1"/>
        <v>0</v>
      </c>
      <c r="X14" s="9" t="s">
        <v>36</v>
      </c>
    </row>
    <row r="15" spans="2:24" ht="18" customHeight="1" x14ac:dyDescent="0.35">
      <c r="B15" s="5">
        <v>2027</v>
      </c>
      <c r="C15" s="5" t="s">
        <v>26</v>
      </c>
      <c r="D15" s="6" t="s">
        <v>27</v>
      </c>
      <c r="E15" s="6" t="s">
        <v>28</v>
      </c>
      <c r="F15" s="6" t="s">
        <v>29</v>
      </c>
      <c r="G15" s="6" t="s">
        <v>30</v>
      </c>
      <c r="H15" s="6" t="s">
        <v>50</v>
      </c>
      <c r="I15" s="6" t="s">
        <v>52</v>
      </c>
      <c r="J15" s="5" t="s">
        <v>33</v>
      </c>
      <c r="K15" s="7">
        <v>2221.91</v>
      </c>
      <c r="L15" s="7">
        <v>3599.09</v>
      </c>
      <c r="M15" s="7">
        <v>3452.4</v>
      </c>
      <c r="N15" s="7">
        <v>2779.49</v>
      </c>
      <c r="O15" s="7">
        <v>4563.41</v>
      </c>
      <c r="P15" s="7">
        <v>4525.4399999999996</v>
      </c>
      <c r="Q15" s="7">
        <v>2871.25</v>
      </c>
      <c r="R15" s="7">
        <v>1832.38</v>
      </c>
      <c r="S15" s="7">
        <v>1064.3900000000001</v>
      </c>
      <c r="T15" s="7">
        <v>1780.07</v>
      </c>
      <c r="U15" s="7">
        <v>2751.55</v>
      </c>
      <c r="V15" s="7">
        <v>3018.19</v>
      </c>
      <c r="W15" s="8">
        <f t="shared" si="1"/>
        <v>34459.57</v>
      </c>
      <c r="X15" s="9" t="s">
        <v>53</v>
      </c>
    </row>
    <row r="16" spans="2:24" ht="18" customHeight="1" x14ac:dyDescent="0.35">
      <c r="B16" s="5">
        <v>2027</v>
      </c>
      <c r="C16" s="5" t="s">
        <v>26</v>
      </c>
      <c r="D16" s="6" t="s">
        <v>27</v>
      </c>
      <c r="E16" s="6" t="s">
        <v>28</v>
      </c>
      <c r="F16" s="6" t="s">
        <v>29</v>
      </c>
      <c r="G16" s="6" t="s">
        <v>30</v>
      </c>
      <c r="H16" s="6" t="s">
        <v>54</v>
      </c>
      <c r="I16" s="6" t="s">
        <v>55</v>
      </c>
      <c r="J16" s="5" t="s">
        <v>33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8">
        <f t="shared" si="1"/>
        <v>0</v>
      </c>
      <c r="X16" s="9" t="s">
        <v>36</v>
      </c>
    </row>
    <row r="17" spans="2:24" ht="18" customHeight="1" x14ac:dyDescent="0.35">
      <c r="B17" s="5">
        <v>2027</v>
      </c>
      <c r="C17" s="5" t="s">
        <v>26</v>
      </c>
      <c r="D17" s="6" t="s">
        <v>27</v>
      </c>
      <c r="E17" s="6" t="s">
        <v>28</v>
      </c>
      <c r="F17" s="6" t="s">
        <v>29</v>
      </c>
      <c r="G17" s="6" t="s">
        <v>30</v>
      </c>
      <c r="H17" s="6" t="s">
        <v>56</v>
      </c>
      <c r="I17" s="6" t="s">
        <v>57</v>
      </c>
      <c r="J17" s="5" t="s">
        <v>33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8">
        <f t="shared" si="1"/>
        <v>0</v>
      </c>
      <c r="X17" s="9" t="s">
        <v>36</v>
      </c>
    </row>
    <row r="18" spans="2:24" ht="18" customHeight="1" x14ac:dyDescent="0.35">
      <c r="B18" s="5">
        <v>2027</v>
      </c>
      <c r="C18" s="5" t="s">
        <v>26</v>
      </c>
      <c r="D18" s="6" t="s">
        <v>27</v>
      </c>
      <c r="E18" s="6" t="s">
        <v>28</v>
      </c>
      <c r="F18" s="6" t="s">
        <v>29</v>
      </c>
      <c r="G18" s="6" t="s">
        <v>30</v>
      </c>
      <c r="H18" s="6" t="s">
        <v>56</v>
      </c>
      <c r="I18" s="6" t="s">
        <v>58</v>
      </c>
      <c r="J18" s="5" t="s">
        <v>33</v>
      </c>
      <c r="K18" s="7">
        <v>-24795.360000000001</v>
      </c>
      <c r="L18" s="7">
        <v>-40164.019999999997</v>
      </c>
      <c r="M18" s="7">
        <v>-38527.07</v>
      </c>
      <c r="N18" s="7">
        <v>-31017.74</v>
      </c>
      <c r="O18" s="7">
        <v>-50925.42</v>
      </c>
      <c r="P18" s="7">
        <v>-50501.64</v>
      </c>
      <c r="Q18" s="7">
        <v>-32041.66</v>
      </c>
      <c r="R18" s="7">
        <v>-20448.400000000001</v>
      </c>
      <c r="S18" s="7">
        <v>-11878.02</v>
      </c>
      <c r="T18" s="7">
        <v>-19864.71</v>
      </c>
      <c r="U18" s="7">
        <v>-30705.88</v>
      </c>
      <c r="V18" s="7">
        <v>-33681.480000000003</v>
      </c>
      <c r="W18" s="8">
        <f t="shared" si="1"/>
        <v>-384551.4</v>
      </c>
      <c r="X18" s="9" t="s">
        <v>59</v>
      </c>
    </row>
    <row r="19" spans="2:24" ht="18" customHeight="1" x14ac:dyDescent="0.35">
      <c r="B19" s="5">
        <v>2027</v>
      </c>
      <c r="C19" s="5" t="s">
        <v>26</v>
      </c>
      <c r="D19" s="6" t="s">
        <v>27</v>
      </c>
      <c r="E19" s="6" t="s">
        <v>28</v>
      </c>
      <c r="F19" s="6" t="s">
        <v>29</v>
      </c>
      <c r="G19" s="6" t="s">
        <v>60</v>
      </c>
      <c r="H19" s="6" t="s">
        <v>61</v>
      </c>
      <c r="I19" s="6" t="s">
        <v>62</v>
      </c>
      <c r="J19" s="5" t="s">
        <v>33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8">
        <f t="shared" si="1"/>
        <v>0</v>
      </c>
      <c r="X19" s="9" t="s">
        <v>36</v>
      </c>
    </row>
    <row r="20" spans="2:24" ht="18" customHeight="1" x14ac:dyDescent="0.35">
      <c r="B20" s="5">
        <v>2027</v>
      </c>
      <c r="C20" s="5" t="s">
        <v>26</v>
      </c>
      <c r="D20" s="6" t="s">
        <v>27</v>
      </c>
      <c r="E20" s="6" t="s">
        <v>28</v>
      </c>
      <c r="F20" s="6" t="s">
        <v>29</v>
      </c>
      <c r="G20" s="6" t="s">
        <v>63</v>
      </c>
      <c r="H20" s="6" t="s">
        <v>64</v>
      </c>
      <c r="I20" s="6" t="s">
        <v>65</v>
      </c>
      <c r="J20" s="5" t="s">
        <v>33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8">
        <f t="shared" si="1"/>
        <v>0</v>
      </c>
      <c r="X20" s="9" t="s">
        <v>36</v>
      </c>
    </row>
    <row r="21" spans="2:24" ht="18" customHeight="1" x14ac:dyDescent="0.35">
      <c r="B21" s="5">
        <v>2027</v>
      </c>
      <c r="C21" s="5" t="s">
        <v>26</v>
      </c>
      <c r="D21" s="6" t="s">
        <v>27</v>
      </c>
      <c r="E21" s="6" t="s">
        <v>28</v>
      </c>
      <c r="F21" s="6" t="s">
        <v>29</v>
      </c>
      <c r="G21" s="6" t="s">
        <v>63</v>
      </c>
      <c r="H21" s="6" t="s">
        <v>66</v>
      </c>
      <c r="I21" s="6" t="s">
        <v>67</v>
      </c>
      <c r="J21" s="5" t="s">
        <v>33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8">
        <f t="shared" si="1"/>
        <v>0</v>
      </c>
      <c r="X21" s="9" t="s">
        <v>36</v>
      </c>
    </row>
    <row r="22" spans="2:24" ht="18" customHeight="1" x14ac:dyDescent="0.35">
      <c r="B22" s="5">
        <v>2027</v>
      </c>
      <c r="C22" s="5" t="s">
        <v>26</v>
      </c>
      <c r="D22" s="6" t="s">
        <v>27</v>
      </c>
      <c r="E22" s="6" t="s">
        <v>28</v>
      </c>
      <c r="F22" s="6" t="s">
        <v>29</v>
      </c>
      <c r="G22" s="6" t="s">
        <v>68</v>
      </c>
      <c r="H22" s="6" t="s">
        <v>69</v>
      </c>
      <c r="I22" s="6" t="s">
        <v>70</v>
      </c>
      <c r="J22" s="5" t="s">
        <v>33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8">
        <f t="shared" si="1"/>
        <v>0</v>
      </c>
      <c r="X22" s="9" t="s">
        <v>71</v>
      </c>
    </row>
    <row r="23" spans="2:24" ht="18" customHeight="1" x14ac:dyDescent="0.35">
      <c r="B23" s="5">
        <v>2027</v>
      </c>
      <c r="C23" s="5" t="s">
        <v>26</v>
      </c>
      <c r="D23" s="6" t="s">
        <v>27</v>
      </c>
      <c r="E23" s="6" t="s">
        <v>28</v>
      </c>
      <c r="F23" s="6" t="s">
        <v>29</v>
      </c>
      <c r="G23" s="6" t="s">
        <v>68</v>
      </c>
      <c r="H23" s="6" t="s">
        <v>72</v>
      </c>
      <c r="I23" s="6" t="s">
        <v>73</v>
      </c>
      <c r="J23" s="5" t="s">
        <v>33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8">
        <f t="shared" si="1"/>
        <v>0</v>
      </c>
      <c r="X23" s="9" t="s">
        <v>71</v>
      </c>
    </row>
    <row r="24" spans="2:24" ht="18" customHeight="1" x14ac:dyDescent="0.35">
      <c r="B24" s="5">
        <v>2027</v>
      </c>
      <c r="C24" s="5" t="s">
        <v>26</v>
      </c>
      <c r="D24" s="6" t="s">
        <v>27</v>
      </c>
      <c r="E24" s="6" t="s">
        <v>28</v>
      </c>
      <c r="F24" s="6" t="s">
        <v>29</v>
      </c>
      <c r="G24" s="6" t="s">
        <v>74</v>
      </c>
      <c r="H24" s="6" t="s">
        <v>75</v>
      </c>
      <c r="I24" s="6" t="s">
        <v>76</v>
      </c>
      <c r="J24" s="5" t="s">
        <v>33</v>
      </c>
      <c r="K24" s="7">
        <v>-227777.89</v>
      </c>
      <c r="L24" s="7">
        <v>-441666.87</v>
      </c>
      <c r="M24" s="7">
        <v>-465084.28</v>
      </c>
      <c r="N24" s="7">
        <v>-360048.72</v>
      </c>
      <c r="O24" s="7">
        <v>-588574.9</v>
      </c>
      <c r="P24" s="7">
        <v>-607611.56999999995</v>
      </c>
      <c r="Q24" s="7">
        <v>-391616.04</v>
      </c>
      <c r="R24" s="7">
        <v>-234894.09</v>
      </c>
      <c r="S24" s="7">
        <v>-142178.37</v>
      </c>
      <c r="T24" s="7">
        <v>-236773.11</v>
      </c>
      <c r="U24" s="7">
        <v>-377816.03</v>
      </c>
      <c r="V24" s="7">
        <v>-388263.88</v>
      </c>
      <c r="W24" s="8">
        <f t="shared" si="1"/>
        <v>-4462305.75</v>
      </c>
      <c r="X24" s="9" t="s">
        <v>77</v>
      </c>
    </row>
    <row r="25" spans="2:24" ht="18" customHeight="1" x14ac:dyDescent="0.35">
      <c r="B25" s="5">
        <v>2027</v>
      </c>
      <c r="C25" s="5" t="s">
        <v>26</v>
      </c>
      <c r="D25" s="6" t="s">
        <v>27</v>
      </c>
      <c r="E25" s="6" t="s">
        <v>28</v>
      </c>
      <c r="F25" s="6" t="s">
        <v>29</v>
      </c>
      <c r="G25" s="6" t="s">
        <v>74</v>
      </c>
      <c r="H25" s="6" t="s">
        <v>78</v>
      </c>
      <c r="I25" s="6" t="s">
        <v>79</v>
      </c>
      <c r="J25" s="5" t="s">
        <v>33</v>
      </c>
      <c r="K25" s="7">
        <v>-47024.160000000003</v>
      </c>
      <c r="L25" s="7">
        <v>-91181</v>
      </c>
      <c r="M25" s="7">
        <v>-96015.47</v>
      </c>
      <c r="N25" s="7">
        <v>-74331.14</v>
      </c>
      <c r="O25" s="7">
        <v>-121509.79</v>
      </c>
      <c r="P25" s="7">
        <v>-125439.87</v>
      </c>
      <c r="Q25" s="7">
        <v>-80848.13</v>
      </c>
      <c r="R25" s="7">
        <v>-48493.29</v>
      </c>
      <c r="S25" s="7">
        <v>-29352.37</v>
      </c>
      <c r="T25" s="7">
        <v>-48881.21</v>
      </c>
      <c r="U25" s="7">
        <v>-77999.16</v>
      </c>
      <c r="V25" s="7">
        <v>-80156.09</v>
      </c>
      <c r="W25" s="8">
        <f t="shared" si="1"/>
        <v>-921231.67999999993</v>
      </c>
      <c r="X25" s="9" t="s">
        <v>80</v>
      </c>
    </row>
    <row r="26" spans="2:24" ht="18" customHeight="1" x14ac:dyDescent="0.35">
      <c r="B26" s="5">
        <v>2027</v>
      </c>
      <c r="C26" s="5" t="s">
        <v>26</v>
      </c>
      <c r="D26" s="6" t="s">
        <v>27</v>
      </c>
      <c r="E26" s="6" t="s">
        <v>28</v>
      </c>
      <c r="F26" s="6" t="s">
        <v>29</v>
      </c>
      <c r="G26" s="6" t="s">
        <v>74</v>
      </c>
      <c r="H26" s="6" t="s">
        <v>78</v>
      </c>
      <c r="I26" s="6" t="s">
        <v>81</v>
      </c>
      <c r="J26" s="5" t="s">
        <v>33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8">
        <f t="shared" si="1"/>
        <v>0</v>
      </c>
      <c r="X26" s="9" t="s">
        <v>82</v>
      </c>
    </row>
    <row r="27" spans="2:24" ht="18" customHeight="1" x14ac:dyDescent="0.35">
      <c r="B27" s="5">
        <v>2027</v>
      </c>
      <c r="C27" s="5" t="s">
        <v>26</v>
      </c>
      <c r="D27" s="6" t="s">
        <v>27</v>
      </c>
      <c r="E27" s="6" t="s">
        <v>28</v>
      </c>
      <c r="F27" s="6" t="s">
        <v>29</v>
      </c>
      <c r="G27" s="6" t="s">
        <v>74</v>
      </c>
      <c r="H27" s="6" t="s">
        <v>78</v>
      </c>
      <c r="I27" s="6" t="s">
        <v>83</v>
      </c>
      <c r="J27" s="5" t="s">
        <v>33</v>
      </c>
      <c r="K27" s="7">
        <v>-7581.98</v>
      </c>
      <c r="L27" s="7">
        <v>-14701.65</v>
      </c>
      <c r="M27" s="7">
        <v>-15481.13</v>
      </c>
      <c r="N27" s="7">
        <v>-11984.84</v>
      </c>
      <c r="O27" s="7">
        <v>-19591.740000000002</v>
      </c>
      <c r="P27" s="7">
        <v>-20225.400000000001</v>
      </c>
      <c r="Q27" s="7">
        <v>-13035.61</v>
      </c>
      <c r="R27" s="7">
        <v>-7818.85</v>
      </c>
      <c r="S27" s="7">
        <v>-4732.6499999999996</v>
      </c>
      <c r="T27" s="7">
        <v>-7881.4</v>
      </c>
      <c r="U27" s="7">
        <v>-12576.26</v>
      </c>
      <c r="V27" s="7">
        <v>-12924.04</v>
      </c>
      <c r="W27" s="8">
        <f t="shared" si="1"/>
        <v>-148535.54999999999</v>
      </c>
      <c r="X27" s="9" t="s">
        <v>84</v>
      </c>
    </row>
    <row r="28" spans="2:24" ht="18" customHeight="1" x14ac:dyDescent="0.35">
      <c r="B28" s="5">
        <v>2027</v>
      </c>
      <c r="C28" s="5" t="s">
        <v>26</v>
      </c>
      <c r="D28" s="6" t="s">
        <v>27</v>
      </c>
      <c r="E28" s="6" t="s">
        <v>28</v>
      </c>
      <c r="F28" s="6" t="s">
        <v>29</v>
      </c>
      <c r="G28" s="6" t="s">
        <v>74</v>
      </c>
      <c r="H28" s="6" t="s">
        <v>78</v>
      </c>
      <c r="I28" s="6" t="s">
        <v>85</v>
      </c>
      <c r="J28" s="5" t="s">
        <v>33</v>
      </c>
      <c r="K28" s="7">
        <v>-7885.26</v>
      </c>
      <c r="L28" s="7">
        <v>-15289.71</v>
      </c>
      <c r="M28" s="7">
        <v>-16100.38</v>
      </c>
      <c r="N28" s="7">
        <v>-12464.24</v>
      </c>
      <c r="O28" s="7">
        <v>-20375.400000000001</v>
      </c>
      <c r="P28" s="7">
        <v>-21034.42</v>
      </c>
      <c r="Q28" s="7">
        <v>-13557.04</v>
      </c>
      <c r="R28" s="7">
        <v>-8131.61</v>
      </c>
      <c r="S28" s="7">
        <v>-4921.96</v>
      </c>
      <c r="T28" s="7">
        <v>-8196.66</v>
      </c>
      <c r="U28" s="7">
        <v>-13079.31</v>
      </c>
      <c r="V28" s="7">
        <v>-13441</v>
      </c>
      <c r="W28" s="8">
        <f t="shared" si="1"/>
        <v>-154476.99</v>
      </c>
      <c r="X28" s="9" t="s">
        <v>86</v>
      </c>
    </row>
    <row r="29" spans="2:24" ht="18" customHeight="1" x14ac:dyDescent="0.35">
      <c r="B29" s="5">
        <v>2027</v>
      </c>
      <c r="C29" s="5" t="s">
        <v>26</v>
      </c>
      <c r="D29" s="6" t="s">
        <v>27</v>
      </c>
      <c r="E29" s="6" t="s">
        <v>28</v>
      </c>
      <c r="F29" s="6" t="s">
        <v>29</v>
      </c>
      <c r="G29" s="6" t="s">
        <v>74</v>
      </c>
      <c r="H29" s="6" t="s">
        <v>78</v>
      </c>
      <c r="I29" s="6" t="s">
        <v>87</v>
      </c>
      <c r="J29" s="5" t="s">
        <v>33</v>
      </c>
      <c r="K29" s="7">
        <v>-131.91999999999999</v>
      </c>
      <c r="L29" s="7">
        <v>-131.91999999999999</v>
      </c>
      <c r="M29" s="7">
        <v>-131.91999999999999</v>
      </c>
      <c r="N29" s="7">
        <v>-131.91999999999999</v>
      </c>
      <c r="O29" s="7">
        <v>-131.91999999999999</v>
      </c>
      <c r="P29" s="7">
        <v>-131.91999999999999</v>
      </c>
      <c r="Q29" s="7">
        <v>-131.91999999999999</v>
      </c>
      <c r="R29" s="7">
        <v>-131.91999999999999</v>
      </c>
      <c r="S29" s="7">
        <v>-131.91999999999999</v>
      </c>
      <c r="T29" s="7">
        <v>-131.91999999999999</v>
      </c>
      <c r="U29" s="7">
        <v>-131.91999999999999</v>
      </c>
      <c r="V29" s="7">
        <v>-131.91999999999999</v>
      </c>
      <c r="W29" s="8">
        <f t="shared" si="1"/>
        <v>-1583.0400000000002</v>
      </c>
      <c r="X29" s="9" t="s">
        <v>88</v>
      </c>
    </row>
    <row r="30" spans="2:24" ht="18" customHeight="1" x14ac:dyDescent="0.35">
      <c r="B30" s="5">
        <v>2027</v>
      </c>
      <c r="C30" s="5" t="s">
        <v>26</v>
      </c>
      <c r="D30" s="6" t="s">
        <v>27</v>
      </c>
      <c r="E30" s="6" t="s">
        <v>28</v>
      </c>
      <c r="F30" s="6" t="s">
        <v>29</v>
      </c>
      <c r="G30" s="6" t="s">
        <v>74</v>
      </c>
      <c r="H30" s="6" t="s">
        <v>78</v>
      </c>
      <c r="I30" s="6" t="s">
        <v>89</v>
      </c>
      <c r="J30" s="5" t="s">
        <v>33</v>
      </c>
      <c r="K30" s="7">
        <v>-204.02</v>
      </c>
      <c r="L30" s="7">
        <v>-204.02</v>
      </c>
      <c r="M30" s="7">
        <v>-204.02</v>
      </c>
      <c r="N30" s="7">
        <v>-204.02</v>
      </c>
      <c r="O30" s="7">
        <v>-204.02</v>
      </c>
      <c r="P30" s="7">
        <v>-204.02</v>
      </c>
      <c r="Q30" s="7">
        <v>-204.02</v>
      </c>
      <c r="R30" s="7">
        <v>-204.02</v>
      </c>
      <c r="S30" s="7">
        <v>-204.02</v>
      </c>
      <c r="T30" s="7">
        <v>-204.02</v>
      </c>
      <c r="U30" s="7">
        <v>-204.02</v>
      </c>
      <c r="V30" s="7">
        <v>-204.02</v>
      </c>
      <c r="W30" s="8">
        <f t="shared" si="1"/>
        <v>-2448.2400000000002</v>
      </c>
      <c r="X30" s="9" t="s">
        <v>88</v>
      </c>
    </row>
    <row r="31" spans="2:24" ht="18" customHeight="1" x14ac:dyDescent="0.35">
      <c r="B31" s="5">
        <v>2027</v>
      </c>
      <c r="C31" s="5" t="s">
        <v>26</v>
      </c>
      <c r="D31" s="6" t="s">
        <v>27</v>
      </c>
      <c r="E31" s="6" t="s">
        <v>28</v>
      </c>
      <c r="F31" s="6" t="s">
        <v>29</v>
      </c>
      <c r="G31" s="6" t="s">
        <v>74</v>
      </c>
      <c r="H31" s="6" t="s">
        <v>78</v>
      </c>
      <c r="I31" s="6" t="s">
        <v>90</v>
      </c>
      <c r="J31" s="5" t="s">
        <v>33</v>
      </c>
      <c r="K31" s="7">
        <v>-4063.94</v>
      </c>
      <c r="L31" s="7">
        <v>-7880.08</v>
      </c>
      <c r="M31" s="7">
        <v>-8297.89</v>
      </c>
      <c r="N31" s="7">
        <v>-6423.87</v>
      </c>
      <c r="O31" s="7">
        <v>-10501.17</v>
      </c>
      <c r="P31" s="7">
        <v>-10840.81</v>
      </c>
      <c r="Q31" s="7">
        <v>-6987.09</v>
      </c>
      <c r="R31" s="7">
        <v>-4190.91</v>
      </c>
      <c r="S31" s="7">
        <v>-2536.6999999999998</v>
      </c>
      <c r="T31" s="7">
        <v>-4224.43</v>
      </c>
      <c r="U31" s="7">
        <v>-6740.88</v>
      </c>
      <c r="V31" s="7">
        <v>-6927.29</v>
      </c>
      <c r="W31" s="8">
        <f t="shared" si="1"/>
        <v>-79615.059999999983</v>
      </c>
      <c r="X31" s="9" t="s">
        <v>91</v>
      </c>
    </row>
    <row r="32" spans="2:24" ht="18" customHeight="1" x14ac:dyDescent="0.35">
      <c r="B32" s="5">
        <v>2027</v>
      </c>
      <c r="C32" s="5" t="s">
        <v>26</v>
      </c>
      <c r="D32" s="6" t="s">
        <v>27</v>
      </c>
      <c r="E32" s="6" t="s">
        <v>28</v>
      </c>
      <c r="F32" s="6" t="s">
        <v>29</v>
      </c>
      <c r="G32" s="6" t="s">
        <v>74</v>
      </c>
      <c r="H32" s="6" t="s">
        <v>78</v>
      </c>
      <c r="I32" s="6" t="s">
        <v>92</v>
      </c>
      <c r="J32" s="5" t="s">
        <v>33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8">
        <f t="shared" si="1"/>
        <v>0</v>
      </c>
      <c r="X32" s="9" t="s">
        <v>71</v>
      </c>
    </row>
    <row r="33" spans="2:24" ht="18" customHeight="1" x14ac:dyDescent="0.35">
      <c r="B33" s="5">
        <v>2027</v>
      </c>
      <c r="C33" s="5" t="s">
        <v>26</v>
      </c>
      <c r="D33" s="6" t="s">
        <v>27</v>
      </c>
      <c r="E33" s="6" t="s">
        <v>28</v>
      </c>
      <c r="F33" s="6" t="s">
        <v>29</v>
      </c>
      <c r="G33" s="6" t="s">
        <v>74</v>
      </c>
      <c r="H33" s="6" t="s">
        <v>78</v>
      </c>
      <c r="I33" s="6" t="s">
        <v>93</v>
      </c>
      <c r="J33" s="5" t="s">
        <v>33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8">
        <f t="shared" si="1"/>
        <v>0</v>
      </c>
      <c r="X33" s="9" t="s">
        <v>71</v>
      </c>
    </row>
    <row r="34" spans="2:24" ht="18" customHeight="1" x14ac:dyDescent="0.35">
      <c r="B34" s="5">
        <v>2027</v>
      </c>
      <c r="C34" s="5" t="s">
        <v>26</v>
      </c>
      <c r="D34" s="6" t="s">
        <v>27</v>
      </c>
      <c r="E34" s="6" t="s">
        <v>28</v>
      </c>
      <c r="F34" s="6" t="s">
        <v>29</v>
      </c>
      <c r="G34" s="6" t="s">
        <v>74</v>
      </c>
      <c r="H34" s="6" t="s">
        <v>78</v>
      </c>
      <c r="I34" s="6" t="s">
        <v>94</v>
      </c>
      <c r="J34" s="5" t="s">
        <v>33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8">
        <f t="shared" si="1"/>
        <v>0</v>
      </c>
      <c r="X34" s="9" t="s">
        <v>71</v>
      </c>
    </row>
    <row r="35" spans="2:24" ht="18" customHeight="1" x14ac:dyDescent="0.35">
      <c r="B35" s="5">
        <v>2027</v>
      </c>
      <c r="C35" s="5" t="s">
        <v>26</v>
      </c>
      <c r="D35" s="6" t="s">
        <v>27</v>
      </c>
      <c r="E35" s="6" t="s">
        <v>28</v>
      </c>
      <c r="F35" s="6" t="s">
        <v>29</v>
      </c>
      <c r="G35" s="6" t="s">
        <v>74</v>
      </c>
      <c r="H35" s="6" t="s">
        <v>78</v>
      </c>
      <c r="I35" s="6" t="s">
        <v>95</v>
      </c>
      <c r="J35" s="5" t="s">
        <v>33</v>
      </c>
      <c r="K35" s="7">
        <v>-964.39</v>
      </c>
      <c r="L35" s="7">
        <v>-964.39</v>
      </c>
      <c r="M35" s="7">
        <v>-964.39</v>
      </c>
      <c r="N35" s="7">
        <v>-964.39</v>
      </c>
      <c r="O35" s="7">
        <v>-964.39</v>
      </c>
      <c r="P35" s="7">
        <v>-964.39</v>
      </c>
      <c r="Q35" s="7">
        <v>-964.39</v>
      </c>
      <c r="R35" s="7">
        <v>-964.39</v>
      </c>
      <c r="S35" s="7">
        <v>-964.39</v>
      </c>
      <c r="T35" s="7">
        <v>-964.39</v>
      </c>
      <c r="U35" s="7">
        <v>-964.39</v>
      </c>
      <c r="V35" s="7">
        <v>-964.39</v>
      </c>
      <c r="W35" s="8">
        <f t="shared" si="1"/>
        <v>-11572.679999999998</v>
      </c>
      <c r="X35" s="9" t="s">
        <v>88</v>
      </c>
    </row>
    <row r="36" spans="2:24" ht="18" customHeight="1" x14ac:dyDescent="0.35">
      <c r="B36" s="5">
        <v>2027</v>
      </c>
      <c r="C36" s="5" t="s">
        <v>26</v>
      </c>
      <c r="D36" s="6" t="s">
        <v>27</v>
      </c>
      <c r="E36" s="6" t="s">
        <v>28</v>
      </c>
      <c r="F36" s="6" t="s">
        <v>29</v>
      </c>
      <c r="G36" s="6" t="s">
        <v>74</v>
      </c>
      <c r="H36" s="6" t="s">
        <v>78</v>
      </c>
      <c r="I36" s="6" t="s">
        <v>96</v>
      </c>
      <c r="J36" s="5" t="s">
        <v>33</v>
      </c>
      <c r="K36" s="7">
        <v>-1559.63</v>
      </c>
      <c r="L36" s="7">
        <v>-1559.63</v>
      </c>
      <c r="M36" s="7">
        <v>-1559.63</v>
      </c>
      <c r="N36" s="7">
        <v>-1559.63</v>
      </c>
      <c r="O36" s="7">
        <v>-1559.63</v>
      </c>
      <c r="P36" s="7">
        <v>-1559.63</v>
      </c>
      <c r="Q36" s="7">
        <v>-1559.63</v>
      </c>
      <c r="R36" s="7">
        <v>-1559.63</v>
      </c>
      <c r="S36" s="7">
        <v>-1559.63</v>
      </c>
      <c r="T36" s="7">
        <v>-1559.63</v>
      </c>
      <c r="U36" s="7">
        <v>-1559.63</v>
      </c>
      <c r="V36" s="7">
        <v>-1559.63</v>
      </c>
      <c r="W36" s="8">
        <f t="shared" si="1"/>
        <v>-18715.560000000005</v>
      </c>
      <c r="X36" s="9" t="s">
        <v>88</v>
      </c>
    </row>
    <row r="37" spans="2:24" ht="18" customHeight="1" x14ac:dyDescent="0.35">
      <c r="B37" s="5">
        <v>2027</v>
      </c>
      <c r="C37" s="5" t="s">
        <v>26</v>
      </c>
      <c r="D37" s="6" t="s">
        <v>27</v>
      </c>
      <c r="E37" s="6" t="s">
        <v>28</v>
      </c>
      <c r="F37" s="6" t="s">
        <v>29</v>
      </c>
      <c r="G37" s="6" t="s">
        <v>74</v>
      </c>
      <c r="H37" s="6" t="s">
        <v>78</v>
      </c>
      <c r="I37" s="6" t="s">
        <v>97</v>
      </c>
      <c r="J37" s="5" t="s">
        <v>33</v>
      </c>
      <c r="K37" s="7">
        <v>-2200</v>
      </c>
      <c r="L37" s="7">
        <v>-2600</v>
      </c>
      <c r="M37" s="7">
        <v>-2600</v>
      </c>
      <c r="N37" s="7">
        <v>-2600</v>
      </c>
      <c r="O37" s="7">
        <v>-2600</v>
      </c>
      <c r="P37" s="7">
        <v>-2600</v>
      </c>
      <c r="Q37" s="7">
        <v>-2600</v>
      </c>
      <c r="R37" s="7">
        <v>-2200</v>
      </c>
      <c r="S37" s="7">
        <v>-2200</v>
      </c>
      <c r="T37" s="7">
        <v>-2200</v>
      </c>
      <c r="U37" s="7">
        <v>-2600</v>
      </c>
      <c r="V37" s="7">
        <v>-2600</v>
      </c>
      <c r="W37" s="8">
        <f t="shared" ref="W37:W68" si="2">SUM(K37:V37)</f>
        <v>-29600</v>
      </c>
      <c r="X37" s="9" t="s">
        <v>98</v>
      </c>
    </row>
    <row r="38" spans="2:24" ht="18" customHeight="1" x14ac:dyDescent="0.35">
      <c r="B38" s="5">
        <v>2027</v>
      </c>
      <c r="C38" s="5" t="s">
        <v>26</v>
      </c>
      <c r="D38" s="6" t="s">
        <v>27</v>
      </c>
      <c r="E38" s="6" t="s">
        <v>28</v>
      </c>
      <c r="F38" s="6" t="s">
        <v>29</v>
      </c>
      <c r="G38" s="6" t="s">
        <v>74</v>
      </c>
      <c r="H38" s="6" t="s">
        <v>78</v>
      </c>
      <c r="I38" s="6" t="s">
        <v>99</v>
      </c>
      <c r="J38" s="5" t="s">
        <v>33</v>
      </c>
      <c r="K38" s="7">
        <v>-183.2</v>
      </c>
      <c r="L38" s="7">
        <v>-183.2</v>
      </c>
      <c r="M38" s="7">
        <v>-183.2</v>
      </c>
      <c r="N38" s="7">
        <v>-183.2</v>
      </c>
      <c r="O38" s="7">
        <v>-183.2</v>
      </c>
      <c r="P38" s="7">
        <v>-183.2</v>
      </c>
      <c r="Q38" s="7">
        <v>-183.2</v>
      </c>
      <c r="R38" s="7">
        <v>-183.2</v>
      </c>
      <c r="S38" s="7">
        <v>-183.2</v>
      </c>
      <c r="T38" s="7">
        <v>-183.2</v>
      </c>
      <c r="U38" s="7">
        <v>-183.2</v>
      </c>
      <c r="V38" s="7">
        <v>-183.2</v>
      </c>
      <c r="W38" s="8">
        <f t="shared" si="2"/>
        <v>-2198.4</v>
      </c>
      <c r="X38" s="9" t="s">
        <v>88</v>
      </c>
    </row>
    <row r="39" spans="2:24" ht="18" customHeight="1" x14ac:dyDescent="0.35">
      <c r="B39" s="5">
        <v>2027</v>
      </c>
      <c r="C39" s="5" t="s">
        <v>26</v>
      </c>
      <c r="D39" s="6" t="s">
        <v>27</v>
      </c>
      <c r="E39" s="6" t="s">
        <v>28</v>
      </c>
      <c r="F39" s="6" t="s">
        <v>29</v>
      </c>
      <c r="G39" s="6" t="s">
        <v>74</v>
      </c>
      <c r="H39" s="6" t="s">
        <v>100</v>
      </c>
      <c r="I39" s="6" t="s">
        <v>101</v>
      </c>
      <c r="J39" s="5" t="s">
        <v>33</v>
      </c>
      <c r="K39" s="7">
        <v>-5500</v>
      </c>
      <c r="L39" s="7">
        <v>-7500</v>
      </c>
      <c r="M39" s="7">
        <v>-7500</v>
      </c>
      <c r="N39" s="7">
        <v>-7500</v>
      </c>
      <c r="O39" s="7">
        <v>-7500</v>
      </c>
      <c r="P39" s="7">
        <v>-7500</v>
      </c>
      <c r="Q39" s="7">
        <v>-7500</v>
      </c>
      <c r="R39" s="7">
        <v>-5500</v>
      </c>
      <c r="S39" s="7">
        <v>-5500</v>
      </c>
      <c r="T39" s="7">
        <v>-5500</v>
      </c>
      <c r="U39" s="7">
        <v>-7500</v>
      </c>
      <c r="V39" s="7">
        <v>-7500</v>
      </c>
      <c r="W39" s="8">
        <f t="shared" si="2"/>
        <v>-82000</v>
      </c>
      <c r="X39" s="9" t="s">
        <v>102</v>
      </c>
    </row>
    <row r="40" spans="2:24" ht="18" customHeight="1" x14ac:dyDescent="0.35">
      <c r="B40" s="5">
        <v>2027</v>
      </c>
      <c r="C40" s="5" t="s">
        <v>26</v>
      </c>
      <c r="D40" s="6" t="s">
        <v>27</v>
      </c>
      <c r="E40" s="6" t="s">
        <v>28</v>
      </c>
      <c r="F40" s="6" t="s">
        <v>29</v>
      </c>
      <c r="G40" s="6" t="s">
        <v>74</v>
      </c>
      <c r="H40" s="6" t="s">
        <v>103</v>
      </c>
      <c r="I40" s="6" t="s">
        <v>104</v>
      </c>
      <c r="J40" s="5" t="s">
        <v>33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-15000</v>
      </c>
      <c r="W40" s="8">
        <f t="shared" si="2"/>
        <v>-15000</v>
      </c>
      <c r="X40" s="9" t="s">
        <v>105</v>
      </c>
    </row>
    <row r="41" spans="2:24" ht="18" customHeight="1" x14ac:dyDescent="0.35">
      <c r="B41" s="5">
        <v>2027</v>
      </c>
      <c r="C41" s="5" t="s">
        <v>26</v>
      </c>
      <c r="D41" s="6" t="s">
        <v>27</v>
      </c>
      <c r="E41" s="6" t="s">
        <v>28</v>
      </c>
      <c r="F41" s="6" t="s">
        <v>29</v>
      </c>
      <c r="G41" s="6" t="s">
        <v>74</v>
      </c>
      <c r="H41" s="6" t="s">
        <v>106</v>
      </c>
      <c r="I41" s="6" t="s">
        <v>107</v>
      </c>
      <c r="J41" s="5" t="s">
        <v>33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10000</v>
      </c>
      <c r="W41" s="8">
        <f t="shared" si="2"/>
        <v>10000</v>
      </c>
      <c r="X41" s="9" t="s">
        <v>108</v>
      </c>
    </row>
    <row r="42" spans="2:24" ht="18" customHeight="1" x14ac:dyDescent="0.35">
      <c r="B42" s="5">
        <v>2027</v>
      </c>
      <c r="C42" s="5" t="s">
        <v>26</v>
      </c>
      <c r="D42" s="6" t="s">
        <v>27</v>
      </c>
      <c r="E42" s="6" t="s">
        <v>28</v>
      </c>
      <c r="F42" s="6" t="s">
        <v>29</v>
      </c>
      <c r="G42" s="6" t="s">
        <v>38</v>
      </c>
      <c r="H42" s="6" t="s">
        <v>109</v>
      </c>
      <c r="I42" s="6" t="s">
        <v>110</v>
      </c>
      <c r="J42" s="5" t="s">
        <v>33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8">
        <f t="shared" si="2"/>
        <v>0</v>
      </c>
      <c r="X42" s="9" t="s">
        <v>71</v>
      </c>
    </row>
    <row r="43" spans="2:24" ht="18" customHeight="1" x14ac:dyDescent="0.35">
      <c r="B43" s="5">
        <v>2027</v>
      </c>
      <c r="C43" s="5" t="s">
        <v>26</v>
      </c>
      <c r="D43" s="6" t="s">
        <v>27</v>
      </c>
      <c r="E43" s="6" t="s">
        <v>28</v>
      </c>
      <c r="F43" s="6" t="s">
        <v>29</v>
      </c>
      <c r="G43" s="6" t="s">
        <v>111</v>
      </c>
      <c r="H43" s="6" t="s">
        <v>112</v>
      </c>
      <c r="I43" s="6" t="s">
        <v>113</v>
      </c>
      <c r="J43" s="5" t="s">
        <v>33</v>
      </c>
      <c r="K43" s="7">
        <v>-127379.94</v>
      </c>
      <c r="L43" s="7">
        <v>-127379.94</v>
      </c>
      <c r="M43" s="7">
        <v>-127379.94</v>
      </c>
      <c r="N43" s="7">
        <v>-127379.94</v>
      </c>
      <c r="O43" s="7">
        <v>-127379.94</v>
      </c>
      <c r="P43" s="7">
        <v>-127379.94</v>
      </c>
      <c r="Q43" s="7">
        <v>-127379.94</v>
      </c>
      <c r="R43" s="7">
        <v>-127379.94</v>
      </c>
      <c r="S43" s="7">
        <v>-127379.94</v>
      </c>
      <c r="T43" s="7">
        <v>-127379.94</v>
      </c>
      <c r="U43" s="7">
        <v>-127379.94</v>
      </c>
      <c r="V43" s="7">
        <v>-404896.66</v>
      </c>
      <c r="W43" s="8">
        <f t="shared" si="2"/>
        <v>-1806075.9999999995</v>
      </c>
      <c r="X43" s="9" t="s">
        <v>114</v>
      </c>
    </row>
    <row r="44" spans="2:24" ht="18" customHeight="1" x14ac:dyDescent="0.35">
      <c r="B44" s="5">
        <v>2027</v>
      </c>
      <c r="C44" s="5" t="s">
        <v>26</v>
      </c>
      <c r="D44" s="6" t="s">
        <v>27</v>
      </c>
      <c r="E44" s="6" t="s">
        <v>28</v>
      </c>
      <c r="F44" s="6" t="s">
        <v>29</v>
      </c>
      <c r="G44" s="6" t="s">
        <v>111</v>
      </c>
      <c r="H44" s="6" t="s">
        <v>115</v>
      </c>
      <c r="I44" s="6" t="s">
        <v>116</v>
      </c>
      <c r="J44" s="5" t="s">
        <v>33</v>
      </c>
      <c r="K44" s="7">
        <v>-35002.800000000003</v>
      </c>
      <c r="L44" s="7">
        <v>-35002.800000000003</v>
      </c>
      <c r="M44" s="7">
        <v>-35002.800000000003</v>
      </c>
      <c r="N44" s="7">
        <v>-35002.800000000003</v>
      </c>
      <c r="O44" s="7">
        <v>-35002.800000000003</v>
      </c>
      <c r="P44" s="7">
        <v>-35002.800000000003</v>
      </c>
      <c r="Q44" s="7">
        <v>-35002.800000000003</v>
      </c>
      <c r="R44" s="7">
        <v>-35002.800000000003</v>
      </c>
      <c r="S44" s="7">
        <v>-35002.800000000003</v>
      </c>
      <c r="T44" s="7">
        <v>-35002.800000000003</v>
      </c>
      <c r="U44" s="7">
        <v>-35002.800000000003</v>
      </c>
      <c r="V44" s="7">
        <v>-35002.800000000003</v>
      </c>
      <c r="W44" s="8">
        <f t="shared" si="2"/>
        <v>-420033.59999999992</v>
      </c>
      <c r="X44" s="9" t="s">
        <v>117</v>
      </c>
    </row>
    <row r="45" spans="2:24" ht="18" customHeight="1" x14ac:dyDescent="0.35">
      <c r="B45" s="5">
        <v>2027</v>
      </c>
      <c r="C45" s="5" t="s">
        <v>26</v>
      </c>
      <c r="D45" s="6" t="s">
        <v>27</v>
      </c>
      <c r="E45" s="6" t="s">
        <v>28</v>
      </c>
      <c r="F45" s="6" t="s">
        <v>29</v>
      </c>
      <c r="G45" s="6" t="s">
        <v>111</v>
      </c>
      <c r="H45" s="6" t="s">
        <v>118</v>
      </c>
      <c r="I45" s="6" t="s">
        <v>119</v>
      </c>
      <c r="J45" s="5" t="s">
        <v>33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8">
        <f t="shared" si="2"/>
        <v>0</v>
      </c>
      <c r="X45" s="9" t="s">
        <v>71</v>
      </c>
    </row>
    <row r="46" spans="2:24" ht="18" customHeight="1" x14ac:dyDescent="0.35">
      <c r="B46" s="5">
        <v>2027</v>
      </c>
      <c r="C46" s="5" t="s">
        <v>26</v>
      </c>
      <c r="D46" s="6" t="s">
        <v>27</v>
      </c>
      <c r="E46" s="6" t="s">
        <v>28</v>
      </c>
      <c r="F46" s="6" t="s">
        <v>29</v>
      </c>
      <c r="G46" s="6" t="s">
        <v>111</v>
      </c>
      <c r="H46" s="6" t="s">
        <v>118</v>
      </c>
      <c r="I46" s="6" t="s">
        <v>120</v>
      </c>
      <c r="J46" s="5" t="s">
        <v>33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8">
        <f t="shared" si="2"/>
        <v>0</v>
      </c>
      <c r="X46" s="9" t="s">
        <v>71</v>
      </c>
    </row>
    <row r="47" spans="2:24" ht="18" customHeight="1" x14ac:dyDescent="0.35">
      <c r="B47" s="5">
        <v>2027</v>
      </c>
      <c r="C47" s="5" t="s">
        <v>26</v>
      </c>
      <c r="D47" s="6" t="s">
        <v>27</v>
      </c>
      <c r="E47" s="6" t="s">
        <v>28</v>
      </c>
      <c r="F47" s="6" t="s">
        <v>29</v>
      </c>
      <c r="G47" s="6" t="s">
        <v>111</v>
      </c>
      <c r="H47" s="6" t="s">
        <v>118</v>
      </c>
      <c r="I47" s="6" t="s">
        <v>121</v>
      </c>
      <c r="J47" s="5" t="s">
        <v>33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8">
        <f t="shared" si="2"/>
        <v>0</v>
      </c>
      <c r="X47" s="9" t="s">
        <v>71</v>
      </c>
    </row>
    <row r="48" spans="2:24" ht="18" customHeight="1" x14ac:dyDescent="0.35">
      <c r="B48" s="5">
        <v>2027</v>
      </c>
      <c r="C48" s="5" t="s">
        <v>26</v>
      </c>
      <c r="D48" s="6" t="s">
        <v>27</v>
      </c>
      <c r="E48" s="6" t="s">
        <v>28</v>
      </c>
      <c r="F48" s="6" t="s">
        <v>29</v>
      </c>
      <c r="G48" s="6" t="s">
        <v>111</v>
      </c>
      <c r="H48" s="6" t="s">
        <v>118</v>
      </c>
      <c r="I48" s="6" t="s">
        <v>122</v>
      </c>
      <c r="J48" s="5" t="s">
        <v>33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8">
        <f t="shared" si="2"/>
        <v>0</v>
      </c>
      <c r="X48" s="9" t="s">
        <v>71</v>
      </c>
    </row>
    <row r="49" spans="2:24" ht="18" customHeight="1" x14ac:dyDescent="0.35">
      <c r="B49" s="5">
        <v>2027</v>
      </c>
      <c r="C49" s="5" t="s">
        <v>26</v>
      </c>
      <c r="D49" s="6" t="s">
        <v>27</v>
      </c>
      <c r="E49" s="6" t="s">
        <v>28</v>
      </c>
      <c r="F49" s="6" t="s">
        <v>29</v>
      </c>
      <c r="G49" s="6" t="s">
        <v>111</v>
      </c>
      <c r="H49" s="6" t="s">
        <v>118</v>
      </c>
      <c r="I49" s="6" t="s">
        <v>123</v>
      </c>
      <c r="J49" s="5" t="s">
        <v>33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8">
        <f t="shared" si="2"/>
        <v>0</v>
      </c>
      <c r="X49" s="9" t="s">
        <v>71</v>
      </c>
    </row>
    <row r="50" spans="2:24" ht="18" customHeight="1" x14ac:dyDescent="0.35">
      <c r="B50" s="5">
        <v>2027</v>
      </c>
      <c r="C50" s="5" t="s">
        <v>26</v>
      </c>
      <c r="D50" s="6" t="s">
        <v>27</v>
      </c>
      <c r="E50" s="6" t="s">
        <v>28</v>
      </c>
      <c r="F50" s="6" t="s">
        <v>29</v>
      </c>
      <c r="G50" s="6" t="s">
        <v>111</v>
      </c>
      <c r="H50" s="6" t="s">
        <v>118</v>
      </c>
      <c r="I50" s="6" t="s">
        <v>124</v>
      </c>
      <c r="J50" s="5" t="s">
        <v>33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8">
        <f t="shared" si="2"/>
        <v>0</v>
      </c>
      <c r="X50" s="9" t="s">
        <v>71</v>
      </c>
    </row>
    <row r="51" spans="2:24" ht="18" customHeight="1" x14ac:dyDescent="0.35">
      <c r="B51" s="5">
        <v>2027</v>
      </c>
      <c r="C51" s="5" t="s">
        <v>26</v>
      </c>
      <c r="D51" s="6" t="s">
        <v>27</v>
      </c>
      <c r="E51" s="6" t="s">
        <v>28</v>
      </c>
      <c r="F51" s="6" t="s">
        <v>29</v>
      </c>
      <c r="G51" s="6" t="s">
        <v>111</v>
      </c>
      <c r="H51" s="6" t="s">
        <v>118</v>
      </c>
      <c r="I51" s="6" t="s">
        <v>125</v>
      </c>
      <c r="J51" s="5" t="s">
        <v>33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8">
        <f t="shared" si="2"/>
        <v>0</v>
      </c>
      <c r="X51" s="9" t="s">
        <v>71</v>
      </c>
    </row>
    <row r="52" spans="2:24" ht="18" customHeight="1" x14ac:dyDescent="0.35">
      <c r="B52" s="5">
        <v>2027</v>
      </c>
      <c r="C52" s="5" t="s">
        <v>26</v>
      </c>
      <c r="D52" s="6" t="s">
        <v>27</v>
      </c>
      <c r="E52" s="6" t="s">
        <v>28</v>
      </c>
      <c r="F52" s="6" t="s">
        <v>29</v>
      </c>
      <c r="G52" s="6" t="s">
        <v>111</v>
      </c>
      <c r="H52" s="6" t="s">
        <v>118</v>
      </c>
      <c r="I52" s="6" t="s">
        <v>126</v>
      </c>
      <c r="J52" s="5" t="s">
        <v>33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8">
        <f t="shared" si="2"/>
        <v>0</v>
      </c>
      <c r="X52" s="9" t="s">
        <v>71</v>
      </c>
    </row>
    <row r="53" spans="2:24" ht="18" customHeight="1" x14ac:dyDescent="0.35">
      <c r="B53" s="5">
        <v>2027</v>
      </c>
      <c r="C53" s="5" t="s">
        <v>26</v>
      </c>
      <c r="D53" s="6" t="s">
        <v>27</v>
      </c>
      <c r="E53" s="6" t="s">
        <v>28</v>
      </c>
      <c r="F53" s="6" t="s">
        <v>29</v>
      </c>
      <c r="G53" s="6" t="s">
        <v>111</v>
      </c>
      <c r="H53" s="6" t="s">
        <v>118</v>
      </c>
      <c r="I53" s="6" t="s">
        <v>127</v>
      </c>
      <c r="J53" s="5" t="s">
        <v>33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-1000</v>
      </c>
      <c r="V53" s="7">
        <v>-1500</v>
      </c>
      <c r="W53" s="8">
        <f t="shared" si="2"/>
        <v>-2500</v>
      </c>
      <c r="X53" s="9" t="s">
        <v>128</v>
      </c>
    </row>
    <row r="54" spans="2:24" ht="18" customHeight="1" x14ac:dyDescent="0.35">
      <c r="B54" s="5">
        <v>2027</v>
      </c>
      <c r="C54" s="5" t="s">
        <v>26</v>
      </c>
      <c r="D54" s="6" t="s">
        <v>27</v>
      </c>
      <c r="E54" s="6" t="s">
        <v>28</v>
      </c>
      <c r="F54" s="6" t="s">
        <v>29</v>
      </c>
      <c r="G54" s="6" t="s">
        <v>111</v>
      </c>
      <c r="H54" s="6" t="s">
        <v>118</v>
      </c>
      <c r="I54" s="6" t="s">
        <v>129</v>
      </c>
      <c r="J54" s="5" t="s">
        <v>33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8">
        <f t="shared" si="2"/>
        <v>0</v>
      </c>
      <c r="X54" s="9" t="s">
        <v>71</v>
      </c>
    </row>
    <row r="55" spans="2:24" ht="18" customHeight="1" x14ac:dyDescent="0.35">
      <c r="B55" s="5">
        <v>2027</v>
      </c>
      <c r="C55" s="5" t="s">
        <v>26</v>
      </c>
      <c r="D55" s="6" t="s">
        <v>27</v>
      </c>
      <c r="E55" s="6" t="s">
        <v>28</v>
      </c>
      <c r="F55" s="6" t="s">
        <v>29</v>
      </c>
      <c r="G55" s="6" t="s">
        <v>111</v>
      </c>
      <c r="H55" s="6" t="s">
        <v>118</v>
      </c>
      <c r="I55" s="6" t="s">
        <v>130</v>
      </c>
      <c r="J55" s="5" t="s">
        <v>33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8">
        <f t="shared" si="2"/>
        <v>0</v>
      </c>
      <c r="X55" s="9" t="s">
        <v>71</v>
      </c>
    </row>
    <row r="56" spans="2:24" ht="18" customHeight="1" x14ac:dyDescent="0.35">
      <c r="B56" s="5">
        <v>2027</v>
      </c>
      <c r="C56" s="5" t="s">
        <v>26</v>
      </c>
      <c r="D56" s="6" t="s">
        <v>27</v>
      </c>
      <c r="E56" s="6" t="s">
        <v>28</v>
      </c>
      <c r="F56" s="6" t="s">
        <v>29</v>
      </c>
      <c r="G56" s="6" t="s">
        <v>111</v>
      </c>
      <c r="H56" s="6" t="s">
        <v>118</v>
      </c>
      <c r="I56" s="6" t="s">
        <v>131</v>
      </c>
      <c r="J56" s="5" t="s">
        <v>33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8">
        <f t="shared" si="2"/>
        <v>0</v>
      </c>
      <c r="X56" s="9" t="s">
        <v>71</v>
      </c>
    </row>
    <row r="57" spans="2:24" ht="18" customHeight="1" x14ac:dyDescent="0.35">
      <c r="B57" s="5">
        <v>2027</v>
      </c>
      <c r="C57" s="5" t="s">
        <v>26</v>
      </c>
      <c r="D57" s="6" t="s">
        <v>27</v>
      </c>
      <c r="E57" s="6" t="s">
        <v>28</v>
      </c>
      <c r="F57" s="6" t="s">
        <v>29</v>
      </c>
      <c r="G57" s="6" t="s">
        <v>111</v>
      </c>
      <c r="H57" s="6" t="s">
        <v>118</v>
      </c>
      <c r="I57" s="6" t="s">
        <v>132</v>
      </c>
      <c r="J57" s="5" t="s">
        <v>33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8">
        <f t="shared" si="2"/>
        <v>0</v>
      </c>
      <c r="X57" s="9" t="s">
        <v>71</v>
      </c>
    </row>
    <row r="58" spans="2:24" ht="18" customHeight="1" x14ac:dyDescent="0.35">
      <c r="B58" s="5">
        <v>2027</v>
      </c>
      <c r="C58" s="5" t="s">
        <v>26</v>
      </c>
      <c r="D58" s="6" t="s">
        <v>27</v>
      </c>
      <c r="E58" s="6" t="s">
        <v>28</v>
      </c>
      <c r="F58" s="6" t="s">
        <v>29</v>
      </c>
      <c r="G58" s="6" t="s">
        <v>111</v>
      </c>
      <c r="H58" s="6" t="s">
        <v>118</v>
      </c>
      <c r="I58" s="6" t="s">
        <v>133</v>
      </c>
      <c r="J58" s="5" t="s">
        <v>33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8">
        <f t="shared" si="2"/>
        <v>0</v>
      </c>
      <c r="X58" s="9" t="s">
        <v>71</v>
      </c>
    </row>
    <row r="59" spans="2:24" ht="18" customHeight="1" x14ac:dyDescent="0.35">
      <c r="B59" s="5">
        <v>2027</v>
      </c>
      <c r="C59" s="5" t="s">
        <v>26</v>
      </c>
      <c r="D59" s="6" t="s">
        <v>27</v>
      </c>
      <c r="E59" s="6" t="s">
        <v>28</v>
      </c>
      <c r="F59" s="6" t="s">
        <v>29</v>
      </c>
      <c r="G59" s="6" t="s">
        <v>134</v>
      </c>
      <c r="H59" s="6" t="s">
        <v>135</v>
      </c>
      <c r="I59" s="6" t="s">
        <v>136</v>
      </c>
      <c r="J59" s="5" t="s">
        <v>33</v>
      </c>
      <c r="K59" s="7">
        <v>-322.5</v>
      </c>
      <c r="L59" s="7">
        <v>-322.5</v>
      </c>
      <c r="M59" s="7">
        <v>-322.5</v>
      </c>
      <c r="N59" s="7">
        <v>-322.5</v>
      </c>
      <c r="O59" s="7">
        <v>-322.5</v>
      </c>
      <c r="P59" s="7">
        <v>-322.5</v>
      </c>
      <c r="Q59" s="7">
        <v>-322.5</v>
      </c>
      <c r="R59" s="7">
        <v>-322.5</v>
      </c>
      <c r="S59" s="7">
        <v>-322.5</v>
      </c>
      <c r="T59" s="7">
        <v>-322.5</v>
      </c>
      <c r="U59" s="7">
        <v>-322.5</v>
      </c>
      <c r="V59" s="7">
        <v>-322.5</v>
      </c>
      <c r="W59" s="8">
        <f t="shared" si="2"/>
        <v>-3870</v>
      </c>
      <c r="X59" s="9" t="s">
        <v>137</v>
      </c>
    </row>
    <row r="60" spans="2:24" ht="18" customHeight="1" x14ac:dyDescent="0.35">
      <c r="B60" s="5">
        <v>2027</v>
      </c>
      <c r="C60" s="5" t="s">
        <v>26</v>
      </c>
      <c r="D60" s="6" t="s">
        <v>27</v>
      </c>
      <c r="E60" s="6" t="s">
        <v>28</v>
      </c>
      <c r="F60" s="6" t="s">
        <v>29</v>
      </c>
      <c r="G60" s="6" t="s">
        <v>134</v>
      </c>
      <c r="H60" s="6" t="s">
        <v>135</v>
      </c>
      <c r="I60" s="6" t="s">
        <v>138</v>
      </c>
      <c r="J60" s="5" t="s">
        <v>33</v>
      </c>
      <c r="K60" s="7">
        <v>-812.59</v>
      </c>
      <c r="L60" s="7">
        <v>-812.59</v>
      </c>
      <c r="M60" s="7">
        <v>-812.59</v>
      </c>
      <c r="N60" s="7">
        <v>-812.59</v>
      </c>
      <c r="O60" s="7">
        <v>-812.59</v>
      </c>
      <c r="P60" s="7">
        <v>-812.59</v>
      </c>
      <c r="Q60" s="7">
        <v>-812.59</v>
      </c>
      <c r="R60" s="7">
        <v>-812.59</v>
      </c>
      <c r="S60" s="7">
        <v>-812.59</v>
      </c>
      <c r="T60" s="7">
        <v>-812.59</v>
      </c>
      <c r="U60" s="7">
        <v>-812.59</v>
      </c>
      <c r="V60" s="7">
        <v>-812.59</v>
      </c>
      <c r="W60" s="8">
        <f t="shared" si="2"/>
        <v>-9751.08</v>
      </c>
      <c r="X60" s="9" t="s">
        <v>137</v>
      </c>
    </row>
    <row r="61" spans="2:24" ht="18" customHeight="1" x14ac:dyDescent="0.35">
      <c r="B61" s="5">
        <v>2027</v>
      </c>
      <c r="C61" s="5" t="s">
        <v>26</v>
      </c>
      <c r="D61" s="6" t="s">
        <v>27</v>
      </c>
      <c r="E61" s="6" t="s">
        <v>28</v>
      </c>
      <c r="F61" s="6" t="s">
        <v>29</v>
      </c>
      <c r="G61" s="6" t="s">
        <v>134</v>
      </c>
      <c r="H61" s="6" t="s">
        <v>135</v>
      </c>
      <c r="I61" s="6" t="s">
        <v>139</v>
      </c>
      <c r="J61" s="5" t="s">
        <v>33</v>
      </c>
      <c r="K61" s="7">
        <v>-1229.19</v>
      </c>
      <c r="L61" s="7">
        <v>-1229.19</v>
      </c>
      <c r="M61" s="7">
        <v>-1229.19</v>
      </c>
      <c r="N61" s="7">
        <v>-1229.19</v>
      </c>
      <c r="O61" s="7">
        <v>-1229.19</v>
      </c>
      <c r="P61" s="7">
        <v>-1229.19</v>
      </c>
      <c r="Q61" s="7">
        <v>-1229.19</v>
      </c>
      <c r="R61" s="7">
        <v>-1229.19</v>
      </c>
      <c r="S61" s="7">
        <v>-1229.19</v>
      </c>
      <c r="T61" s="7">
        <v>-1229.19</v>
      </c>
      <c r="U61" s="7">
        <v>-1229.19</v>
      </c>
      <c r="V61" s="7">
        <v>-1229.19</v>
      </c>
      <c r="W61" s="8">
        <f t="shared" si="2"/>
        <v>-14750.280000000004</v>
      </c>
      <c r="X61" s="9" t="s">
        <v>137</v>
      </c>
    </row>
    <row r="62" spans="2:24" ht="18" customHeight="1" x14ac:dyDescent="0.35">
      <c r="B62" s="5">
        <v>2027</v>
      </c>
      <c r="C62" s="5" t="s">
        <v>26</v>
      </c>
      <c r="D62" s="6" t="s">
        <v>27</v>
      </c>
      <c r="E62" s="6" t="s">
        <v>28</v>
      </c>
      <c r="F62" s="6" t="s">
        <v>29</v>
      </c>
      <c r="G62" s="6" t="s">
        <v>134</v>
      </c>
      <c r="H62" s="6" t="s">
        <v>140</v>
      </c>
      <c r="I62" s="6" t="s">
        <v>141</v>
      </c>
      <c r="J62" s="5" t="s">
        <v>33</v>
      </c>
      <c r="K62" s="7">
        <v>-192</v>
      </c>
      <c r="L62" s="7">
        <v>-192</v>
      </c>
      <c r="M62" s="7">
        <v>-192</v>
      </c>
      <c r="N62" s="7">
        <v>-192</v>
      </c>
      <c r="O62" s="7">
        <v>-192</v>
      </c>
      <c r="P62" s="7">
        <v>-192</v>
      </c>
      <c r="Q62" s="7">
        <v>-192</v>
      </c>
      <c r="R62" s="7">
        <v>-192</v>
      </c>
      <c r="S62" s="7">
        <v>-192</v>
      </c>
      <c r="T62" s="7">
        <v>-192</v>
      </c>
      <c r="U62" s="7">
        <v>-192</v>
      </c>
      <c r="V62" s="7">
        <v>-192</v>
      </c>
      <c r="W62" s="8">
        <f t="shared" si="2"/>
        <v>-2304</v>
      </c>
      <c r="X62" s="9" t="s">
        <v>142</v>
      </c>
    </row>
    <row r="63" spans="2:24" ht="18" customHeight="1" x14ac:dyDescent="0.35">
      <c r="B63" s="5">
        <v>2027</v>
      </c>
      <c r="C63" s="5" t="s">
        <v>26</v>
      </c>
      <c r="D63" s="6" t="s">
        <v>27</v>
      </c>
      <c r="E63" s="6" t="s">
        <v>28</v>
      </c>
      <c r="F63" s="6" t="s">
        <v>29</v>
      </c>
      <c r="G63" s="6" t="s">
        <v>134</v>
      </c>
      <c r="H63" s="6" t="s">
        <v>140</v>
      </c>
      <c r="I63" s="6" t="s">
        <v>143</v>
      </c>
      <c r="J63" s="5" t="s">
        <v>33</v>
      </c>
      <c r="K63" s="7">
        <v>-1877.6</v>
      </c>
      <c r="L63" s="7">
        <v>-1877.6</v>
      </c>
      <c r="M63" s="7">
        <v>-1877.6</v>
      </c>
      <c r="N63" s="7">
        <v>-1877.6</v>
      </c>
      <c r="O63" s="7">
        <v>-1877.6</v>
      </c>
      <c r="P63" s="7">
        <v>-1877.6</v>
      </c>
      <c r="Q63" s="7">
        <v>-1877.6</v>
      </c>
      <c r="R63" s="7">
        <v>-1877.6</v>
      </c>
      <c r="S63" s="7">
        <v>-1877.6</v>
      </c>
      <c r="T63" s="7">
        <v>-1877.6</v>
      </c>
      <c r="U63" s="7">
        <v>-1877.6</v>
      </c>
      <c r="V63" s="7">
        <v>-1877.6</v>
      </c>
      <c r="W63" s="8">
        <f t="shared" si="2"/>
        <v>-22531.199999999997</v>
      </c>
      <c r="X63" s="9" t="s">
        <v>144</v>
      </c>
    </row>
    <row r="64" spans="2:24" ht="18" customHeight="1" x14ac:dyDescent="0.35">
      <c r="B64" s="5">
        <v>2027</v>
      </c>
      <c r="C64" s="5" t="s">
        <v>26</v>
      </c>
      <c r="D64" s="6" t="s">
        <v>27</v>
      </c>
      <c r="E64" s="6" t="s">
        <v>28</v>
      </c>
      <c r="F64" s="6" t="s">
        <v>29</v>
      </c>
      <c r="G64" s="6" t="s">
        <v>134</v>
      </c>
      <c r="H64" s="6" t="s">
        <v>140</v>
      </c>
      <c r="I64" s="6" t="s">
        <v>145</v>
      </c>
      <c r="J64" s="5" t="s">
        <v>33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8">
        <f t="shared" si="2"/>
        <v>0</v>
      </c>
      <c r="X64" s="9" t="s">
        <v>146</v>
      </c>
    </row>
    <row r="65" spans="2:24" ht="18" customHeight="1" x14ac:dyDescent="0.35">
      <c r="B65" s="5">
        <v>2027</v>
      </c>
      <c r="C65" s="5" t="s">
        <v>26</v>
      </c>
      <c r="D65" s="6" t="s">
        <v>27</v>
      </c>
      <c r="E65" s="6" t="s">
        <v>28</v>
      </c>
      <c r="F65" s="6" t="s">
        <v>29</v>
      </c>
      <c r="G65" s="6" t="s">
        <v>134</v>
      </c>
      <c r="H65" s="6" t="s">
        <v>140</v>
      </c>
      <c r="I65" s="6" t="s">
        <v>147</v>
      </c>
      <c r="J65" s="5" t="s">
        <v>33</v>
      </c>
      <c r="K65" s="7">
        <v>-361.46</v>
      </c>
      <c r="L65" s="7">
        <v>-361.46</v>
      </c>
      <c r="M65" s="7">
        <v>-361.46</v>
      </c>
      <c r="N65" s="7">
        <v>-361.46</v>
      </c>
      <c r="O65" s="7">
        <v>-361.46</v>
      </c>
      <c r="P65" s="7">
        <v>-361.46</v>
      </c>
      <c r="Q65" s="7">
        <v>-361.46</v>
      </c>
      <c r="R65" s="7">
        <v>-361.46</v>
      </c>
      <c r="S65" s="7">
        <v>-361.46</v>
      </c>
      <c r="T65" s="7">
        <v>-361.46</v>
      </c>
      <c r="U65" s="7">
        <v>-361.46</v>
      </c>
      <c r="V65" s="7">
        <v>-361.46</v>
      </c>
      <c r="W65" s="8">
        <f t="shared" si="2"/>
        <v>-4337.5199999999995</v>
      </c>
      <c r="X65" s="9" t="s">
        <v>142</v>
      </c>
    </row>
    <row r="66" spans="2:24" ht="18" customHeight="1" x14ac:dyDescent="0.35">
      <c r="B66" s="5">
        <v>2027</v>
      </c>
      <c r="C66" s="5" t="s">
        <v>26</v>
      </c>
      <c r="D66" s="6" t="s">
        <v>27</v>
      </c>
      <c r="E66" s="6" t="s">
        <v>28</v>
      </c>
      <c r="F66" s="6" t="s">
        <v>29</v>
      </c>
      <c r="G66" s="6" t="s">
        <v>134</v>
      </c>
      <c r="H66" s="6" t="s">
        <v>140</v>
      </c>
      <c r="I66" s="6" t="s">
        <v>148</v>
      </c>
      <c r="J66" s="5" t="s">
        <v>33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8">
        <f t="shared" si="2"/>
        <v>0</v>
      </c>
      <c r="X66" s="9" t="s">
        <v>146</v>
      </c>
    </row>
    <row r="67" spans="2:24" ht="18" customHeight="1" x14ac:dyDescent="0.35">
      <c r="B67" s="5">
        <v>2027</v>
      </c>
      <c r="C67" s="5" t="s">
        <v>26</v>
      </c>
      <c r="D67" s="6" t="s">
        <v>27</v>
      </c>
      <c r="E67" s="6" t="s">
        <v>28</v>
      </c>
      <c r="F67" s="6" t="s">
        <v>29</v>
      </c>
      <c r="G67" s="6" t="s">
        <v>134</v>
      </c>
      <c r="H67" s="6" t="s">
        <v>140</v>
      </c>
      <c r="I67" s="6" t="s">
        <v>149</v>
      </c>
      <c r="J67" s="5" t="s">
        <v>33</v>
      </c>
      <c r="K67" s="7">
        <v>-369.97</v>
      </c>
      <c r="L67" s="7">
        <v>-369.97</v>
      </c>
      <c r="M67" s="7">
        <v>-369.97</v>
      </c>
      <c r="N67" s="7">
        <v>-369.97</v>
      </c>
      <c r="O67" s="7">
        <v>-369.97</v>
      </c>
      <c r="P67" s="7">
        <v>-369.97</v>
      </c>
      <c r="Q67" s="7">
        <v>-369.97</v>
      </c>
      <c r="R67" s="7">
        <v>-369.97</v>
      </c>
      <c r="S67" s="7">
        <v>-369.97</v>
      </c>
      <c r="T67" s="7">
        <v>-369.97</v>
      </c>
      <c r="U67" s="7">
        <v>-369.97</v>
      </c>
      <c r="V67" s="7">
        <v>-369.97</v>
      </c>
      <c r="W67" s="8">
        <f t="shared" si="2"/>
        <v>-4439.6400000000012</v>
      </c>
      <c r="X67" s="9" t="s">
        <v>142</v>
      </c>
    </row>
    <row r="68" spans="2:24" ht="18" customHeight="1" x14ac:dyDescent="0.35">
      <c r="B68" s="5">
        <v>2027</v>
      </c>
      <c r="C68" s="5" t="s">
        <v>26</v>
      </c>
      <c r="D68" s="6" t="s">
        <v>27</v>
      </c>
      <c r="E68" s="6" t="s">
        <v>28</v>
      </c>
      <c r="F68" s="6" t="s">
        <v>29</v>
      </c>
      <c r="G68" s="6" t="s">
        <v>134</v>
      </c>
      <c r="H68" s="6" t="s">
        <v>140</v>
      </c>
      <c r="I68" s="6" t="s">
        <v>150</v>
      </c>
      <c r="J68" s="5" t="s">
        <v>33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8">
        <f t="shared" si="2"/>
        <v>0</v>
      </c>
      <c r="X68" s="9" t="s">
        <v>146</v>
      </c>
    </row>
    <row r="69" spans="2:24" ht="18" customHeight="1" x14ac:dyDescent="0.35">
      <c r="B69" s="5">
        <v>2027</v>
      </c>
      <c r="C69" s="5" t="s">
        <v>26</v>
      </c>
      <c r="D69" s="6" t="s">
        <v>27</v>
      </c>
      <c r="E69" s="6" t="s">
        <v>28</v>
      </c>
      <c r="F69" s="6" t="s">
        <v>29</v>
      </c>
      <c r="G69" s="6" t="s">
        <v>134</v>
      </c>
      <c r="H69" s="6" t="s">
        <v>140</v>
      </c>
      <c r="I69" s="6" t="s">
        <v>151</v>
      </c>
      <c r="J69" s="5" t="s">
        <v>33</v>
      </c>
      <c r="K69" s="7">
        <v>-338</v>
      </c>
      <c r="L69" s="7">
        <v>-338</v>
      </c>
      <c r="M69" s="7">
        <v>-338</v>
      </c>
      <c r="N69" s="7">
        <v>-338</v>
      </c>
      <c r="O69" s="7">
        <v>-338</v>
      </c>
      <c r="P69" s="7">
        <v>-338</v>
      </c>
      <c r="Q69" s="7">
        <v>-338</v>
      </c>
      <c r="R69" s="7">
        <v>-338</v>
      </c>
      <c r="S69" s="7">
        <v>-338</v>
      </c>
      <c r="T69" s="7">
        <v>-338</v>
      </c>
      <c r="U69" s="7">
        <v>-338</v>
      </c>
      <c r="V69" s="7">
        <v>-338</v>
      </c>
      <c r="W69" s="8">
        <f t="shared" ref="W69:W100" si="3">SUM(K69:V69)</f>
        <v>-4056</v>
      </c>
      <c r="X69" s="9" t="s">
        <v>142</v>
      </c>
    </row>
    <row r="70" spans="2:24" ht="18" customHeight="1" x14ac:dyDescent="0.35">
      <c r="B70" s="5">
        <v>2027</v>
      </c>
      <c r="C70" s="5" t="s">
        <v>26</v>
      </c>
      <c r="D70" s="6" t="s">
        <v>27</v>
      </c>
      <c r="E70" s="6" t="s">
        <v>28</v>
      </c>
      <c r="F70" s="6" t="s">
        <v>29</v>
      </c>
      <c r="G70" s="6" t="s">
        <v>134</v>
      </c>
      <c r="H70" s="6" t="s">
        <v>140</v>
      </c>
      <c r="I70" s="6" t="s">
        <v>152</v>
      </c>
      <c r="J70" s="5" t="s">
        <v>33</v>
      </c>
      <c r="K70" s="7">
        <v>-470.16</v>
      </c>
      <c r="L70" s="7">
        <v>-470.16</v>
      </c>
      <c r="M70" s="7">
        <v>-470.16</v>
      </c>
      <c r="N70" s="7">
        <v>-470.16</v>
      </c>
      <c r="O70" s="7">
        <v>-470.16</v>
      </c>
      <c r="P70" s="7">
        <v>-470.16</v>
      </c>
      <c r="Q70" s="7">
        <v>-470.16</v>
      </c>
      <c r="R70" s="7">
        <v>-470.16</v>
      </c>
      <c r="S70" s="7">
        <v>-470.16</v>
      </c>
      <c r="T70" s="7">
        <v>-470.16</v>
      </c>
      <c r="U70" s="7">
        <v>-470.16</v>
      </c>
      <c r="V70" s="7">
        <v>-470.16</v>
      </c>
      <c r="W70" s="8">
        <f t="shared" si="3"/>
        <v>-5641.9199999999992</v>
      </c>
      <c r="X70" s="9" t="s">
        <v>142</v>
      </c>
    </row>
    <row r="71" spans="2:24" ht="18" customHeight="1" x14ac:dyDescent="0.35">
      <c r="B71" s="5">
        <v>2027</v>
      </c>
      <c r="C71" s="5" t="s">
        <v>26</v>
      </c>
      <c r="D71" s="6" t="s">
        <v>27</v>
      </c>
      <c r="E71" s="6" t="s">
        <v>28</v>
      </c>
      <c r="F71" s="6" t="s">
        <v>29</v>
      </c>
      <c r="G71" s="6" t="s">
        <v>134</v>
      </c>
      <c r="H71" s="6" t="s">
        <v>140</v>
      </c>
      <c r="I71" s="6" t="s">
        <v>153</v>
      </c>
      <c r="J71" s="5" t="s">
        <v>33</v>
      </c>
      <c r="K71" s="7">
        <v>-345.06</v>
      </c>
      <c r="L71" s="7">
        <v>-345.06</v>
      </c>
      <c r="M71" s="7">
        <v>-345.06</v>
      </c>
      <c r="N71" s="7">
        <v>-345.06</v>
      </c>
      <c r="O71" s="7">
        <v>-345.06</v>
      </c>
      <c r="P71" s="7">
        <v>-345.06</v>
      </c>
      <c r="Q71" s="7">
        <v>-345.06</v>
      </c>
      <c r="R71" s="7">
        <v>-345.06</v>
      </c>
      <c r="S71" s="7">
        <v>-345.06</v>
      </c>
      <c r="T71" s="7">
        <v>-345.06</v>
      </c>
      <c r="U71" s="7">
        <v>-345.06</v>
      </c>
      <c r="V71" s="7">
        <v>-345.06</v>
      </c>
      <c r="W71" s="8">
        <f t="shared" si="3"/>
        <v>-4140.72</v>
      </c>
      <c r="X71" s="9" t="s">
        <v>142</v>
      </c>
    </row>
    <row r="72" spans="2:24" ht="18" customHeight="1" x14ac:dyDescent="0.35">
      <c r="B72" s="5">
        <v>2027</v>
      </c>
      <c r="C72" s="5" t="s">
        <v>26</v>
      </c>
      <c r="D72" s="6" t="s">
        <v>27</v>
      </c>
      <c r="E72" s="6" t="s">
        <v>28</v>
      </c>
      <c r="F72" s="6" t="s">
        <v>29</v>
      </c>
      <c r="G72" s="6" t="s">
        <v>134</v>
      </c>
      <c r="H72" s="6" t="s">
        <v>140</v>
      </c>
      <c r="I72" s="6" t="s">
        <v>154</v>
      </c>
      <c r="J72" s="5" t="s">
        <v>33</v>
      </c>
      <c r="K72" s="7">
        <v>-813.69</v>
      </c>
      <c r="L72" s="7">
        <v>-813.69</v>
      </c>
      <c r="M72" s="7">
        <v>-813.69</v>
      </c>
      <c r="N72" s="7">
        <v>-813.69</v>
      </c>
      <c r="O72" s="7">
        <v>-813.69</v>
      </c>
      <c r="P72" s="7">
        <v>-813.69</v>
      </c>
      <c r="Q72" s="7">
        <v>-813.69</v>
      </c>
      <c r="R72" s="7">
        <v>-813.69</v>
      </c>
      <c r="S72" s="7">
        <v>-813.69</v>
      </c>
      <c r="T72" s="7">
        <v>-813.69</v>
      </c>
      <c r="U72" s="7">
        <v>-813.69</v>
      </c>
      <c r="V72" s="7">
        <v>-813.69</v>
      </c>
      <c r="W72" s="8">
        <f t="shared" si="3"/>
        <v>-9764.2800000000025</v>
      </c>
      <c r="X72" s="9" t="s">
        <v>142</v>
      </c>
    </row>
    <row r="73" spans="2:24" ht="18" customHeight="1" x14ac:dyDescent="0.35">
      <c r="B73" s="5">
        <v>2027</v>
      </c>
      <c r="C73" s="5" t="s">
        <v>26</v>
      </c>
      <c r="D73" s="6" t="s">
        <v>27</v>
      </c>
      <c r="E73" s="6" t="s">
        <v>28</v>
      </c>
      <c r="F73" s="6" t="s">
        <v>29</v>
      </c>
      <c r="G73" s="6" t="s">
        <v>134</v>
      </c>
      <c r="H73" s="6" t="s">
        <v>140</v>
      </c>
      <c r="I73" s="6" t="s">
        <v>155</v>
      </c>
      <c r="J73" s="5" t="s">
        <v>33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8">
        <f t="shared" si="3"/>
        <v>0</v>
      </c>
      <c r="X73" s="9" t="s">
        <v>146</v>
      </c>
    </row>
    <row r="74" spans="2:24" ht="18" customHeight="1" x14ac:dyDescent="0.35">
      <c r="B74" s="5">
        <v>2027</v>
      </c>
      <c r="C74" s="5" t="s">
        <v>26</v>
      </c>
      <c r="D74" s="6" t="s">
        <v>27</v>
      </c>
      <c r="E74" s="6" t="s">
        <v>28</v>
      </c>
      <c r="F74" s="6" t="s">
        <v>29</v>
      </c>
      <c r="G74" s="6" t="s">
        <v>134</v>
      </c>
      <c r="H74" s="6" t="s">
        <v>140</v>
      </c>
      <c r="I74" s="6" t="s">
        <v>156</v>
      </c>
      <c r="J74" s="5" t="s">
        <v>33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8">
        <f t="shared" si="3"/>
        <v>0</v>
      </c>
      <c r="X74" s="9" t="s">
        <v>146</v>
      </c>
    </row>
    <row r="75" spans="2:24" ht="18" customHeight="1" x14ac:dyDescent="0.35">
      <c r="B75" s="5">
        <v>2027</v>
      </c>
      <c r="C75" s="5" t="s">
        <v>26</v>
      </c>
      <c r="D75" s="6" t="s">
        <v>27</v>
      </c>
      <c r="E75" s="6" t="s">
        <v>28</v>
      </c>
      <c r="F75" s="6" t="s">
        <v>29</v>
      </c>
      <c r="G75" s="6" t="s">
        <v>134</v>
      </c>
      <c r="H75" s="6" t="s">
        <v>140</v>
      </c>
      <c r="I75" s="6" t="s">
        <v>157</v>
      </c>
      <c r="J75" s="5" t="s">
        <v>33</v>
      </c>
      <c r="K75" s="7">
        <v>-228.57</v>
      </c>
      <c r="L75" s="7">
        <v>-228.57</v>
      </c>
      <c r="M75" s="7">
        <v>-228.57</v>
      </c>
      <c r="N75" s="7">
        <v>-228.57</v>
      </c>
      <c r="O75" s="7">
        <v>-228.57</v>
      </c>
      <c r="P75" s="7">
        <v>-228.57</v>
      </c>
      <c r="Q75" s="7">
        <v>-228.57</v>
      </c>
      <c r="R75" s="7">
        <v>-228.57</v>
      </c>
      <c r="S75" s="7">
        <v>-228.57</v>
      </c>
      <c r="T75" s="7">
        <v>-228.57</v>
      </c>
      <c r="U75" s="7">
        <v>-228.57</v>
      </c>
      <c r="V75" s="7">
        <v>-228.57</v>
      </c>
      <c r="W75" s="8">
        <f t="shared" si="3"/>
        <v>-2742.84</v>
      </c>
      <c r="X75" s="9" t="s">
        <v>142</v>
      </c>
    </row>
    <row r="76" spans="2:24" ht="18" customHeight="1" x14ac:dyDescent="0.35">
      <c r="B76" s="5">
        <v>2027</v>
      </c>
      <c r="C76" s="5" t="s">
        <v>26</v>
      </c>
      <c r="D76" s="6" t="s">
        <v>27</v>
      </c>
      <c r="E76" s="6" t="s">
        <v>28</v>
      </c>
      <c r="F76" s="6" t="s">
        <v>29</v>
      </c>
      <c r="G76" s="6" t="s">
        <v>134</v>
      </c>
      <c r="H76" s="6" t="s">
        <v>140</v>
      </c>
      <c r="I76" s="6" t="s">
        <v>158</v>
      </c>
      <c r="J76" s="5" t="s">
        <v>33</v>
      </c>
      <c r="K76" s="7">
        <v>-228.82</v>
      </c>
      <c r="L76" s="7">
        <v>-228.82</v>
      </c>
      <c r="M76" s="7">
        <v>-228.82</v>
      </c>
      <c r="N76" s="7">
        <v>-228.82</v>
      </c>
      <c r="O76" s="7">
        <v>-228.82</v>
      </c>
      <c r="P76" s="7">
        <v>-228.82</v>
      </c>
      <c r="Q76" s="7">
        <v>-228.82</v>
      </c>
      <c r="R76" s="7">
        <v>-228.82</v>
      </c>
      <c r="S76" s="7">
        <v>-228.82</v>
      </c>
      <c r="T76" s="7">
        <v>-228.82</v>
      </c>
      <c r="U76" s="7">
        <v>-228.82</v>
      </c>
      <c r="V76" s="7">
        <v>-228.82</v>
      </c>
      <c r="W76" s="8">
        <f t="shared" si="3"/>
        <v>-2745.84</v>
      </c>
      <c r="X76" s="9" t="s">
        <v>142</v>
      </c>
    </row>
    <row r="77" spans="2:24" ht="18" customHeight="1" x14ac:dyDescent="0.35">
      <c r="B77" s="5">
        <v>2027</v>
      </c>
      <c r="C77" s="5" t="s">
        <v>26</v>
      </c>
      <c r="D77" s="6" t="s">
        <v>27</v>
      </c>
      <c r="E77" s="6" t="s">
        <v>28</v>
      </c>
      <c r="F77" s="6" t="s">
        <v>29</v>
      </c>
      <c r="G77" s="6" t="s">
        <v>134</v>
      </c>
      <c r="H77" s="6" t="s">
        <v>140</v>
      </c>
      <c r="I77" s="6" t="s">
        <v>159</v>
      </c>
      <c r="J77" s="5" t="s">
        <v>33</v>
      </c>
      <c r="K77" s="7">
        <v>-482.36</v>
      </c>
      <c r="L77" s="7">
        <v>-482.36</v>
      </c>
      <c r="M77" s="7">
        <v>-482.36</v>
      </c>
      <c r="N77" s="7">
        <v>-482.36</v>
      </c>
      <c r="O77" s="7">
        <v>-482.36</v>
      </c>
      <c r="P77" s="7">
        <v>-482.36</v>
      </c>
      <c r="Q77" s="7">
        <v>-482.36</v>
      </c>
      <c r="R77" s="7">
        <v>-482.36</v>
      </c>
      <c r="S77" s="7">
        <v>-482.36</v>
      </c>
      <c r="T77" s="7">
        <v>-482.36</v>
      </c>
      <c r="U77" s="7">
        <v>-482.36</v>
      </c>
      <c r="V77" s="7">
        <v>-482.36</v>
      </c>
      <c r="W77" s="8">
        <f t="shared" si="3"/>
        <v>-5788.32</v>
      </c>
      <c r="X77" s="9" t="s">
        <v>142</v>
      </c>
    </row>
    <row r="78" spans="2:24" ht="18" customHeight="1" x14ac:dyDescent="0.35">
      <c r="B78" s="5">
        <v>2027</v>
      </c>
      <c r="C78" s="5" t="s">
        <v>26</v>
      </c>
      <c r="D78" s="6" t="s">
        <v>27</v>
      </c>
      <c r="E78" s="6" t="s">
        <v>28</v>
      </c>
      <c r="F78" s="6" t="s">
        <v>29</v>
      </c>
      <c r="G78" s="6" t="s">
        <v>134</v>
      </c>
      <c r="H78" s="6" t="s">
        <v>140</v>
      </c>
      <c r="I78" s="6" t="s">
        <v>160</v>
      </c>
      <c r="J78" s="5" t="s">
        <v>33</v>
      </c>
      <c r="K78" s="7">
        <v>-1557.86</v>
      </c>
      <c r="L78" s="7">
        <v>-1557.86</v>
      </c>
      <c r="M78" s="7">
        <v>-1557.86</v>
      </c>
      <c r="N78" s="7">
        <v>-1557.86</v>
      </c>
      <c r="O78" s="7">
        <v>-1557.86</v>
      </c>
      <c r="P78" s="7">
        <v>-1557.86</v>
      </c>
      <c r="Q78" s="7">
        <v>-1557.86</v>
      </c>
      <c r="R78" s="7">
        <v>-1557.86</v>
      </c>
      <c r="S78" s="7">
        <v>-1557.86</v>
      </c>
      <c r="T78" s="7">
        <v>-1557.86</v>
      </c>
      <c r="U78" s="7">
        <v>-1557.86</v>
      </c>
      <c r="V78" s="7">
        <v>-1557.86</v>
      </c>
      <c r="W78" s="8">
        <f t="shared" si="3"/>
        <v>-18694.320000000003</v>
      </c>
      <c r="X78" s="9" t="s">
        <v>142</v>
      </c>
    </row>
    <row r="79" spans="2:24" ht="18" customHeight="1" x14ac:dyDescent="0.35">
      <c r="B79" s="5">
        <v>2027</v>
      </c>
      <c r="C79" s="5" t="s">
        <v>26</v>
      </c>
      <c r="D79" s="6" t="s">
        <v>27</v>
      </c>
      <c r="E79" s="6" t="s">
        <v>28</v>
      </c>
      <c r="F79" s="6" t="s">
        <v>29</v>
      </c>
      <c r="G79" s="6" t="s">
        <v>134</v>
      </c>
      <c r="H79" s="6" t="s">
        <v>140</v>
      </c>
      <c r="I79" s="6" t="s">
        <v>161</v>
      </c>
      <c r="J79" s="5" t="s">
        <v>33</v>
      </c>
      <c r="K79" s="7">
        <v>-1338.15</v>
      </c>
      <c r="L79" s="7">
        <v>-1338.15</v>
      </c>
      <c r="M79" s="7">
        <v>-1338.15</v>
      </c>
      <c r="N79" s="7">
        <v>-1338.15</v>
      </c>
      <c r="O79" s="7">
        <v>-1338.15</v>
      </c>
      <c r="P79" s="7">
        <v>-1338.15</v>
      </c>
      <c r="Q79" s="7">
        <v>-1338.15</v>
      </c>
      <c r="R79" s="7">
        <v>-1338.15</v>
      </c>
      <c r="S79" s="7">
        <v>-1338.15</v>
      </c>
      <c r="T79" s="7">
        <v>-1338.15</v>
      </c>
      <c r="U79" s="7">
        <v>-1338.15</v>
      </c>
      <c r="V79" s="7">
        <v>-1338.15</v>
      </c>
      <c r="W79" s="8">
        <f t="shared" si="3"/>
        <v>-16057.799999999997</v>
      </c>
      <c r="X79" s="9" t="s">
        <v>142</v>
      </c>
    </row>
    <row r="80" spans="2:24" ht="18" customHeight="1" x14ac:dyDescent="0.35">
      <c r="B80" s="5">
        <v>2027</v>
      </c>
      <c r="C80" s="5" t="s">
        <v>26</v>
      </c>
      <c r="D80" s="6" t="s">
        <v>27</v>
      </c>
      <c r="E80" s="6" t="s">
        <v>28</v>
      </c>
      <c r="F80" s="6" t="s">
        <v>29</v>
      </c>
      <c r="G80" s="6" t="s">
        <v>134</v>
      </c>
      <c r="H80" s="6" t="s">
        <v>140</v>
      </c>
      <c r="I80" s="6" t="s">
        <v>162</v>
      </c>
      <c r="J80" s="5" t="s">
        <v>33</v>
      </c>
      <c r="K80" s="7">
        <v>-645.34</v>
      </c>
      <c r="L80" s="7">
        <v>-645.34</v>
      </c>
      <c r="M80" s="7">
        <v>-645.34</v>
      </c>
      <c r="N80" s="7">
        <v>-645.34</v>
      </c>
      <c r="O80" s="7">
        <v>-645.34</v>
      </c>
      <c r="P80" s="7">
        <v>-645.34</v>
      </c>
      <c r="Q80" s="7">
        <v>-645.34</v>
      </c>
      <c r="R80" s="7">
        <v>-645.34</v>
      </c>
      <c r="S80" s="7">
        <v>-645.34</v>
      </c>
      <c r="T80" s="7">
        <v>-645.34</v>
      </c>
      <c r="U80" s="7">
        <v>-645.34</v>
      </c>
      <c r="V80" s="7">
        <v>-645.34</v>
      </c>
      <c r="W80" s="8">
        <f t="shared" si="3"/>
        <v>-7744.0800000000008</v>
      </c>
      <c r="X80" s="9" t="s">
        <v>142</v>
      </c>
    </row>
    <row r="81" spans="2:24" ht="18" customHeight="1" x14ac:dyDescent="0.35">
      <c r="B81" s="5">
        <v>2027</v>
      </c>
      <c r="C81" s="5" t="s">
        <v>26</v>
      </c>
      <c r="D81" s="6" t="s">
        <v>27</v>
      </c>
      <c r="E81" s="6" t="s">
        <v>28</v>
      </c>
      <c r="F81" s="6" t="s">
        <v>29</v>
      </c>
      <c r="G81" s="6" t="s">
        <v>134</v>
      </c>
      <c r="H81" s="6" t="s">
        <v>140</v>
      </c>
      <c r="I81" s="6" t="s">
        <v>163</v>
      </c>
      <c r="J81" s="5" t="s">
        <v>33</v>
      </c>
      <c r="K81" s="7">
        <v>-1600</v>
      </c>
      <c r="L81" s="7">
        <v>-1600</v>
      </c>
      <c r="M81" s="7">
        <v>-1600</v>
      </c>
      <c r="N81" s="7">
        <v>-1600</v>
      </c>
      <c r="O81" s="7">
        <v>-1600</v>
      </c>
      <c r="P81" s="7">
        <v>-1600</v>
      </c>
      <c r="Q81" s="7">
        <v>-1600</v>
      </c>
      <c r="R81" s="7">
        <v>-1600</v>
      </c>
      <c r="S81" s="7">
        <v>-1600</v>
      </c>
      <c r="T81" s="7">
        <v>-1600</v>
      </c>
      <c r="U81" s="7">
        <v>-1600</v>
      </c>
      <c r="V81" s="7">
        <v>-1600</v>
      </c>
      <c r="W81" s="8">
        <f t="shared" si="3"/>
        <v>-19200</v>
      </c>
      <c r="X81" s="9" t="s">
        <v>142</v>
      </c>
    </row>
    <row r="82" spans="2:24" ht="18" customHeight="1" x14ac:dyDescent="0.35">
      <c r="B82" s="5">
        <v>2027</v>
      </c>
      <c r="C82" s="5" t="s">
        <v>26</v>
      </c>
      <c r="D82" s="6" t="s">
        <v>27</v>
      </c>
      <c r="E82" s="6" t="s">
        <v>28</v>
      </c>
      <c r="F82" s="6" t="s">
        <v>29</v>
      </c>
      <c r="G82" s="6" t="s">
        <v>134</v>
      </c>
      <c r="H82" s="6" t="s">
        <v>140</v>
      </c>
      <c r="I82" s="6" t="s">
        <v>164</v>
      </c>
      <c r="J82" s="5" t="s">
        <v>33</v>
      </c>
      <c r="K82" s="7">
        <v>-1093.31</v>
      </c>
      <c r="L82" s="7">
        <v>-1093.31</v>
      </c>
      <c r="M82" s="7">
        <v>-1093.31</v>
      </c>
      <c r="N82" s="7">
        <v>-1093.31</v>
      </c>
      <c r="O82" s="7">
        <v>-1093.31</v>
      </c>
      <c r="P82" s="7">
        <v>-1093.31</v>
      </c>
      <c r="Q82" s="7">
        <v>-1093.31</v>
      </c>
      <c r="R82" s="7">
        <v>-1093.31</v>
      </c>
      <c r="S82" s="7">
        <v>-1093.31</v>
      </c>
      <c r="T82" s="7">
        <v>-1093.31</v>
      </c>
      <c r="U82" s="7">
        <v>-1093.31</v>
      </c>
      <c r="V82" s="7">
        <v>-1093.31</v>
      </c>
      <c r="W82" s="8">
        <f t="shared" si="3"/>
        <v>-13119.719999999996</v>
      </c>
      <c r="X82" s="9" t="s">
        <v>142</v>
      </c>
    </row>
    <row r="83" spans="2:24" ht="18" customHeight="1" x14ac:dyDescent="0.35">
      <c r="B83" s="5">
        <v>2027</v>
      </c>
      <c r="C83" s="5" t="s">
        <v>26</v>
      </c>
      <c r="D83" s="6" t="s">
        <v>27</v>
      </c>
      <c r="E83" s="6" t="s">
        <v>28</v>
      </c>
      <c r="F83" s="6" t="s">
        <v>29</v>
      </c>
      <c r="G83" s="6" t="s">
        <v>134</v>
      </c>
      <c r="H83" s="6" t="s">
        <v>140</v>
      </c>
      <c r="I83" s="6" t="s">
        <v>165</v>
      </c>
      <c r="J83" s="5" t="s">
        <v>33</v>
      </c>
      <c r="K83" s="7">
        <v>-677.75</v>
      </c>
      <c r="L83" s="7">
        <v>-677.75</v>
      </c>
      <c r="M83" s="7">
        <v>-677.75</v>
      </c>
      <c r="N83" s="7">
        <v>-677.75</v>
      </c>
      <c r="O83" s="7">
        <v>-677.75</v>
      </c>
      <c r="P83" s="7">
        <v>-677.75</v>
      </c>
      <c r="Q83" s="7">
        <v>-677.75</v>
      </c>
      <c r="R83" s="7">
        <v>-677.75</v>
      </c>
      <c r="S83" s="7">
        <v>-677.75</v>
      </c>
      <c r="T83" s="7">
        <v>-677.75</v>
      </c>
      <c r="U83" s="7">
        <v>-677.75</v>
      </c>
      <c r="V83" s="7">
        <v>-677.75</v>
      </c>
      <c r="W83" s="8">
        <f t="shared" si="3"/>
        <v>-8133</v>
      </c>
      <c r="X83" s="9" t="s">
        <v>142</v>
      </c>
    </row>
    <row r="84" spans="2:24" ht="18" customHeight="1" x14ac:dyDescent="0.35">
      <c r="B84" s="5">
        <v>2027</v>
      </c>
      <c r="C84" s="5" t="s">
        <v>26</v>
      </c>
      <c r="D84" s="6" t="s">
        <v>27</v>
      </c>
      <c r="E84" s="6" t="s">
        <v>28</v>
      </c>
      <c r="F84" s="6" t="s">
        <v>29</v>
      </c>
      <c r="G84" s="6" t="s">
        <v>134</v>
      </c>
      <c r="H84" s="6" t="s">
        <v>166</v>
      </c>
      <c r="I84" s="6" t="s">
        <v>167</v>
      </c>
      <c r="J84" s="5" t="s">
        <v>33</v>
      </c>
      <c r="K84" s="7">
        <v>-748.65</v>
      </c>
      <c r="L84" s="7">
        <v>-748.65</v>
      </c>
      <c r="M84" s="7">
        <v>-748.65</v>
      </c>
      <c r="N84" s="7">
        <v>-748.65</v>
      </c>
      <c r="O84" s="7">
        <v>-748.65</v>
      </c>
      <c r="P84" s="7">
        <v>-748.65</v>
      </c>
      <c r="Q84" s="7">
        <v>-748.65</v>
      </c>
      <c r="R84" s="7">
        <v>-748.65</v>
      </c>
      <c r="S84" s="7">
        <v>-748.65</v>
      </c>
      <c r="T84" s="7">
        <v>-748.65</v>
      </c>
      <c r="U84" s="7">
        <v>-748.65</v>
      </c>
      <c r="V84" s="7">
        <v>-748.65</v>
      </c>
      <c r="W84" s="8">
        <f t="shared" si="3"/>
        <v>-8983.7999999999975</v>
      </c>
      <c r="X84" s="9" t="s">
        <v>168</v>
      </c>
    </row>
    <row r="85" spans="2:24" ht="18" customHeight="1" x14ac:dyDescent="0.35">
      <c r="B85" s="5">
        <v>2027</v>
      </c>
      <c r="C85" s="5" t="s">
        <v>26</v>
      </c>
      <c r="D85" s="6" t="s">
        <v>27</v>
      </c>
      <c r="E85" s="6" t="s">
        <v>28</v>
      </c>
      <c r="F85" s="6" t="s">
        <v>29</v>
      </c>
      <c r="G85" s="6" t="s">
        <v>134</v>
      </c>
      <c r="H85" s="6" t="s">
        <v>166</v>
      </c>
      <c r="I85" s="6" t="s">
        <v>169</v>
      </c>
      <c r="J85" s="5" t="s">
        <v>33</v>
      </c>
      <c r="K85" s="7">
        <v>-731.87</v>
      </c>
      <c r="L85" s="7">
        <v>-731.87</v>
      </c>
      <c r="M85" s="7">
        <v>-731.87</v>
      </c>
      <c r="N85" s="7">
        <v>-731.87</v>
      </c>
      <c r="O85" s="7">
        <v>-731.87</v>
      </c>
      <c r="P85" s="7">
        <v>-731.87</v>
      </c>
      <c r="Q85" s="7">
        <v>-731.87</v>
      </c>
      <c r="R85" s="7">
        <v>-731.87</v>
      </c>
      <c r="S85" s="7">
        <v>-731.87</v>
      </c>
      <c r="T85" s="7">
        <v>-731.87</v>
      </c>
      <c r="U85" s="7">
        <v>-731.87</v>
      </c>
      <c r="V85" s="7">
        <v>-731.87</v>
      </c>
      <c r="W85" s="8">
        <f t="shared" si="3"/>
        <v>-8782.44</v>
      </c>
      <c r="X85" s="9" t="s">
        <v>168</v>
      </c>
    </row>
    <row r="86" spans="2:24" ht="18" customHeight="1" x14ac:dyDescent="0.35">
      <c r="B86" s="5">
        <v>2027</v>
      </c>
      <c r="C86" s="5" t="s">
        <v>26</v>
      </c>
      <c r="D86" s="6" t="s">
        <v>27</v>
      </c>
      <c r="E86" s="6" t="s">
        <v>28</v>
      </c>
      <c r="F86" s="6" t="s">
        <v>29</v>
      </c>
      <c r="G86" s="6" t="s">
        <v>134</v>
      </c>
      <c r="H86" s="6" t="s">
        <v>166</v>
      </c>
      <c r="I86" s="6" t="s">
        <v>170</v>
      </c>
      <c r="J86" s="5" t="s">
        <v>33</v>
      </c>
      <c r="K86" s="7">
        <v>-122.19</v>
      </c>
      <c r="L86" s="7">
        <v>-122.19</v>
      </c>
      <c r="M86" s="7">
        <v>-122.19</v>
      </c>
      <c r="N86" s="7">
        <v>-122.19</v>
      </c>
      <c r="O86" s="7">
        <v>-122.19</v>
      </c>
      <c r="P86" s="7">
        <v>-122.19</v>
      </c>
      <c r="Q86" s="7">
        <v>-122.19</v>
      </c>
      <c r="R86" s="7">
        <v>-122.19</v>
      </c>
      <c r="S86" s="7">
        <v>-122.19</v>
      </c>
      <c r="T86" s="7">
        <v>-122.19</v>
      </c>
      <c r="U86" s="7">
        <v>-122.19</v>
      </c>
      <c r="V86" s="7">
        <v>-122.19</v>
      </c>
      <c r="W86" s="8">
        <f t="shared" si="3"/>
        <v>-1466.2800000000004</v>
      </c>
      <c r="X86" s="9" t="s">
        <v>168</v>
      </c>
    </row>
    <row r="87" spans="2:24" ht="18" customHeight="1" x14ac:dyDescent="0.35">
      <c r="B87" s="5">
        <v>2027</v>
      </c>
      <c r="C87" s="5" t="s">
        <v>26</v>
      </c>
      <c r="D87" s="6" t="s">
        <v>27</v>
      </c>
      <c r="E87" s="6" t="s">
        <v>28</v>
      </c>
      <c r="F87" s="6" t="s">
        <v>29</v>
      </c>
      <c r="G87" s="6" t="s">
        <v>134</v>
      </c>
      <c r="H87" s="6" t="s">
        <v>166</v>
      </c>
      <c r="I87" s="6" t="s">
        <v>171</v>
      </c>
      <c r="J87" s="5" t="s">
        <v>33</v>
      </c>
      <c r="K87" s="7">
        <v>-3015.5</v>
      </c>
      <c r="L87" s="7">
        <v>-800</v>
      </c>
      <c r="M87" s="7">
        <v>-800</v>
      </c>
      <c r="N87" s="7">
        <v>-800</v>
      </c>
      <c r="O87" s="7">
        <v>-800</v>
      </c>
      <c r="P87" s="7">
        <v>-800</v>
      </c>
      <c r="Q87" s="7">
        <v>-800</v>
      </c>
      <c r="R87" s="7">
        <v>-3174.84</v>
      </c>
      <c r="S87" s="7">
        <v>-3128.9</v>
      </c>
      <c r="T87" s="7">
        <v>-2577.65</v>
      </c>
      <c r="U87" s="7">
        <v>-800</v>
      </c>
      <c r="V87" s="7">
        <v>-1351.25</v>
      </c>
      <c r="W87" s="8">
        <f t="shared" si="3"/>
        <v>-18848.14</v>
      </c>
      <c r="X87" s="9" t="s">
        <v>172</v>
      </c>
    </row>
    <row r="88" spans="2:24" ht="18" customHeight="1" x14ac:dyDescent="0.35">
      <c r="B88" s="5">
        <v>2027</v>
      </c>
      <c r="C88" s="5" t="s">
        <v>26</v>
      </c>
      <c r="D88" s="6" t="s">
        <v>27</v>
      </c>
      <c r="E88" s="6" t="s">
        <v>28</v>
      </c>
      <c r="F88" s="6" t="s">
        <v>29</v>
      </c>
      <c r="G88" s="6" t="s">
        <v>134</v>
      </c>
      <c r="H88" s="6" t="s">
        <v>166</v>
      </c>
      <c r="I88" s="6" t="s">
        <v>173</v>
      </c>
      <c r="J88" s="5" t="s">
        <v>33</v>
      </c>
      <c r="K88" s="7">
        <v>-249.63</v>
      </c>
      <c r="L88" s="7">
        <v>-249.63</v>
      </c>
      <c r="M88" s="7">
        <v>-249.63</v>
      </c>
      <c r="N88" s="7">
        <v>-249.63</v>
      </c>
      <c r="O88" s="7">
        <v>-249.63</v>
      </c>
      <c r="P88" s="7">
        <v>-249.63</v>
      </c>
      <c r="Q88" s="7">
        <v>-249.63</v>
      </c>
      <c r="R88" s="7">
        <v>-249.63</v>
      </c>
      <c r="S88" s="7">
        <v>-249.63</v>
      </c>
      <c r="T88" s="7">
        <v>-249.63</v>
      </c>
      <c r="U88" s="7">
        <v>-249.63</v>
      </c>
      <c r="V88" s="7">
        <v>-249.63</v>
      </c>
      <c r="W88" s="8">
        <f t="shared" si="3"/>
        <v>-2995.5600000000009</v>
      </c>
      <c r="X88" s="9" t="s">
        <v>168</v>
      </c>
    </row>
    <row r="89" spans="2:24" ht="18" customHeight="1" x14ac:dyDescent="0.35">
      <c r="B89" s="5">
        <v>2027</v>
      </c>
      <c r="C89" s="5" t="s">
        <v>26</v>
      </c>
      <c r="D89" s="6" t="s">
        <v>27</v>
      </c>
      <c r="E89" s="6" t="s">
        <v>28</v>
      </c>
      <c r="F89" s="6" t="s">
        <v>29</v>
      </c>
      <c r="G89" s="6" t="s">
        <v>134</v>
      </c>
      <c r="H89" s="6" t="s">
        <v>166</v>
      </c>
      <c r="I89" s="6" t="s">
        <v>174</v>
      </c>
      <c r="J89" s="5" t="s">
        <v>33</v>
      </c>
      <c r="K89" s="7">
        <v>-515.01</v>
      </c>
      <c r="L89" s="7">
        <v>-515.01</v>
      </c>
      <c r="M89" s="7">
        <v>-515.01</v>
      </c>
      <c r="N89" s="7">
        <v>-515.01</v>
      </c>
      <c r="O89" s="7">
        <v>-515.01</v>
      </c>
      <c r="P89" s="7">
        <v>-515.01</v>
      </c>
      <c r="Q89" s="7">
        <v>-515.01</v>
      </c>
      <c r="R89" s="7">
        <v>-515.01</v>
      </c>
      <c r="S89" s="7">
        <v>-515.01</v>
      </c>
      <c r="T89" s="7">
        <v>-515.01</v>
      </c>
      <c r="U89" s="7">
        <v>-515.01</v>
      </c>
      <c r="V89" s="7">
        <v>-515.01</v>
      </c>
      <c r="W89" s="8">
        <f t="shared" si="3"/>
        <v>-6180.1200000000017</v>
      </c>
      <c r="X89" s="9" t="s">
        <v>168</v>
      </c>
    </row>
    <row r="90" spans="2:24" ht="18" customHeight="1" x14ac:dyDescent="0.35">
      <c r="B90" s="5">
        <v>2027</v>
      </c>
      <c r="C90" s="5" t="s">
        <v>26</v>
      </c>
      <c r="D90" s="6" t="s">
        <v>27</v>
      </c>
      <c r="E90" s="6" t="s">
        <v>28</v>
      </c>
      <c r="F90" s="6" t="s">
        <v>29</v>
      </c>
      <c r="G90" s="6" t="s">
        <v>134</v>
      </c>
      <c r="H90" s="6" t="s">
        <v>166</v>
      </c>
      <c r="I90" s="6" t="s">
        <v>175</v>
      </c>
      <c r="J90" s="5" t="s">
        <v>33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8">
        <f t="shared" si="3"/>
        <v>0</v>
      </c>
      <c r="X90" s="9" t="s">
        <v>146</v>
      </c>
    </row>
    <row r="91" spans="2:24" ht="18" customHeight="1" x14ac:dyDescent="0.35">
      <c r="B91" s="5">
        <v>2027</v>
      </c>
      <c r="C91" s="5" t="s">
        <v>26</v>
      </c>
      <c r="D91" s="6" t="s">
        <v>27</v>
      </c>
      <c r="E91" s="6" t="s">
        <v>28</v>
      </c>
      <c r="F91" s="6" t="s">
        <v>29</v>
      </c>
      <c r="G91" s="6" t="s">
        <v>134</v>
      </c>
      <c r="H91" s="6" t="s">
        <v>166</v>
      </c>
      <c r="I91" s="6" t="s">
        <v>176</v>
      </c>
      <c r="J91" s="5" t="s">
        <v>33</v>
      </c>
      <c r="K91" s="7">
        <v>-935.11</v>
      </c>
      <c r="L91" s="7">
        <v>-935.11</v>
      </c>
      <c r="M91" s="7">
        <v>-935.11</v>
      </c>
      <c r="N91" s="7">
        <v>-935.11</v>
      </c>
      <c r="O91" s="7">
        <v>-935.11</v>
      </c>
      <c r="P91" s="7">
        <v>-935.11</v>
      </c>
      <c r="Q91" s="7">
        <v>-935.11</v>
      </c>
      <c r="R91" s="7">
        <v>-935.11</v>
      </c>
      <c r="S91" s="7">
        <v>-935.11</v>
      </c>
      <c r="T91" s="7">
        <v>-935.11</v>
      </c>
      <c r="U91" s="7">
        <v>-935.11</v>
      </c>
      <c r="V91" s="7">
        <v>-935.11</v>
      </c>
      <c r="W91" s="8">
        <f t="shared" si="3"/>
        <v>-11221.320000000002</v>
      </c>
      <c r="X91" s="9" t="s">
        <v>168</v>
      </c>
    </row>
    <row r="92" spans="2:24" ht="18" customHeight="1" x14ac:dyDescent="0.35">
      <c r="B92" s="5">
        <v>2027</v>
      </c>
      <c r="C92" s="5" t="s">
        <v>26</v>
      </c>
      <c r="D92" s="6" t="s">
        <v>27</v>
      </c>
      <c r="E92" s="6" t="s">
        <v>28</v>
      </c>
      <c r="F92" s="6" t="s">
        <v>29</v>
      </c>
      <c r="G92" s="6" t="s">
        <v>134</v>
      </c>
      <c r="H92" s="6" t="s">
        <v>166</v>
      </c>
      <c r="I92" s="6" t="s">
        <v>177</v>
      </c>
      <c r="J92" s="5" t="s">
        <v>33</v>
      </c>
      <c r="K92" s="7">
        <v>-1472.45</v>
      </c>
      <c r="L92" s="7">
        <v>-1472.45</v>
      </c>
      <c r="M92" s="7">
        <v>-1472.45</v>
      </c>
      <c r="N92" s="7">
        <v>-1472.45</v>
      </c>
      <c r="O92" s="7">
        <v>-1472.45</v>
      </c>
      <c r="P92" s="7">
        <v>-1472.45</v>
      </c>
      <c r="Q92" s="7">
        <v>-1472.45</v>
      </c>
      <c r="R92" s="7">
        <v>-1472.45</v>
      </c>
      <c r="S92" s="7">
        <v>-1472.45</v>
      </c>
      <c r="T92" s="7">
        <v>-1472.45</v>
      </c>
      <c r="U92" s="7">
        <v>-1472.45</v>
      </c>
      <c r="V92" s="7">
        <v>-1472.45</v>
      </c>
      <c r="W92" s="8">
        <f t="shared" si="3"/>
        <v>-17669.400000000005</v>
      </c>
      <c r="X92" s="9" t="s">
        <v>168</v>
      </c>
    </row>
    <row r="93" spans="2:24" ht="18" customHeight="1" x14ac:dyDescent="0.35">
      <c r="B93" s="5">
        <v>2027</v>
      </c>
      <c r="C93" s="5" t="s">
        <v>26</v>
      </c>
      <c r="D93" s="6" t="s">
        <v>27</v>
      </c>
      <c r="E93" s="6" t="s">
        <v>28</v>
      </c>
      <c r="F93" s="6" t="s">
        <v>29</v>
      </c>
      <c r="G93" s="6" t="s">
        <v>134</v>
      </c>
      <c r="H93" s="6" t="s">
        <v>166</v>
      </c>
      <c r="I93" s="6" t="s">
        <v>178</v>
      </c>
      <c r="J93" s="5" t="s">
        <v>33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8">
        <f t="shared" si="3"/>
        <v>0</v>
      </c>
      <c r="X93" s="9" t="s">
        <v>146</v>
      </c>
    </row>
    <row r="94" spans="2:24" ht="18" customHeight="1" x14ac:dyDescent="0.35">
      <c r="B94" s="5">
        <v>2027</v>
      </c>
      <c r="C94" s="5" t="s">
        <v>26</v>
      </c>
      <c r="D94" s="6" t="s">
        <v>27</v>
      </c>
      <c r="E94" s="6" t="s">
        <v>28</v>
      </c>
      <c r="F94" s="6" t="s">
        <v>29</v>
      </c>
      <c r="G94" s="6" t="s">
        <v>134</v>
      </c>
      <c r="H94" s="6" t="s">
        <v>166</v>
      </c>
      <c r="I94" s="6" t="s">
        <v>179</v>
      </c>
      <c r="J94" s="5" t="s">
        <v>33</v>
      </c>
      <c r="K94" s="7">
        <v>0</v>
      </c>
      <c r="L94" s="7">
        <v>0</v>
      </c>
      <c r="M94" s="7">
        <v>0</v>
      </c>
      <c r="N94" s="7">
        <v>-554.4</v>
      </c>
      <c r="O94" s="7">
        <v>0</v>
      </c>
      <c r="P94" s="7">
        <v>0</v>
      </c>
      <c r="Q94" s="7">
        <v>0</v>
      </c>
      <c r="R94" s="7">
        <v>-1050</v>
      </c>
      <c r="S94" s="7">
        <v>-840</v>
      </c>
      <c r="T94" s="7">
        <v>-3150</v>
      </c>
      <c r="U94" s="7">
        <v>0</v>
      </c>
      <c r="V94" s="7">
        <v>0</v>
      </c>
      <c r="W94" s="8">
        <f t="shared" si="3"/>
        <v>-5594.4</v>
      </c>
      <c r="X94" s="9" t="s">
        <v>180</v>
      </c>
    </row>
    <row r="95" spans="2:24" ht="18" customHeight="1" x14ac:dyDescent="0.35">
      <c r="B95" s="5">
        <v>2027</v>
      </c>
      <c r="C95" s="5" t="s">
        <v>26</v>
      </c>
      <c r="D95" s="6" t="s">
        <v>27</v>
      </c>
      <c r="E95" s="6" t="s">
        <v>28</v>
      </c>
      <c r="F95" s="6" t="s">
        <v>29</v>
      </c>
      <c r="G95" s="6" t="s">
        <v>134</v>
      </c>
      <c r="H95" s="6" t="s">
        <v>166</v>
      </c>
      <c r="I95" s="6" t="s">
        <v>181</v>
      </c>
      <c r="J95" s="5" t="s">
        <v>33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8">
        <f t="shared" si="3"/>
        <v>0</v>
      </c>
      <c r="X95" s="9" t="s">
        <v>182</v>
      </c>
    </row>
    <row r="96" spans="2:24" ht="18" customHeight="1" x14ac:dyDescent="0.35">
      <c r="B96" s="5">
        <v>2027</v>
      </c>
      <c r="C96" s="5" t="s">
        <v>26</v>
      </c>
      <c r="D96" s="6" t="s">
        <v>27</v>
      </c>
      <c r="E96" s="6" t="s">
        <v>28</v>
      </c>
      <c r="F96" s="6" t="s">
        <v>29</v>
      </c>
      <c r="G96" s="6" t="s">
        <v>134</v>
      </c>
      <c r="H96" s="6" t="s">
        <v>166</v>
      </c>
      <c r="I96" s="6" t="s">
        <v>183</v>
      </c>
      <c r="J96" s="5" t="s">
        <v>33</v>
      </c>
      <c r="K96" s="7">
        <v>-367.5</v>
      </c>
      <c r="L96" s="7">
        <v>-367.5</v>
      </c>
      <c r="M96" s="7">
        <v>-367.5</v>
      </c>
      <c r="N96" s="7">
        <v>-367.5</v>
      </c>
      <c r="O96" s="7">
        <v>-367.5</v>
      </c>
      <c r="P96" s="7">
        <v>-367.5</v>
      </c>
      <c r="Q96" s="7">
        <v>-367.5</v>
      </c>
      <c r="R96" s="7">
        <v>-367.5</v>
      </c>
      <c r="S96" s="7">
        <v>-367.5</v>
      </c>
      <c r="T96" s="7">
        <v>-367.5</v>
      </c>
      <c r="U96" s="7">
        <v>-2992.5</v>
      </c>
      <c r="V96" s="7">
        <v>-367.5</v>
      </c>
      <c r="W96" s="8">
        <f t="shared" si="3"/>
        <v>-7035</v>
      </c>
      <c r="X96" s="9" t="s">
        <v>184</v>
      </c>
    </row>
    <row r="97" spans="2:24" ht="18" customHeight="1" x14ac:dyDescent="0.35">
      <c r="B97" s="5">
        <v>2027</v>
      </c>
      <c r="C97" s="5" t="s">
        <v>26</v>
      </c>
      <c r="D97" s="6" t="s">
        <v>27</v>
      </c>
      <c r="E97" s="6" t="s">
        <v>28</v>
      </c>
      <c r="F97" s="6" t="s">
        <v>29</v>
      </c>
      <c r="G97" s="6" t="s">
        <v>134</v>
      </c>
      <c r="H97" s="6" t="s">
        <v>166</v>
      </c>
      <c r="I97" s="6" t="s">
        <v>185</v>
      </c>
      <c r="J97" s="5" t="s">
        <v>33</v>
      </c>
      <c r="K97" s="7">
        <v>-420</v>
      </c>
      <c r="L97" s="7">
        <v>0</v>
      </c>
      <c r="M97" s="7">
        <v>0</v>
      </c>
      <c r="N97" s="7">
        <v>-630</v>
      </c>
      <c r="O97" s="7">
        <v>0</v>
      </c>
      <c r="P97" s="7">
        <v>0</v>
      </c>
      <c r="Q97" s="7">
        <v>0</v>
      </c>
      <c r="R97" s="7">
        <v>0</v>
      </c>
      <c r="S97" s="7">
        <v>-3885</v>
      </c>
      <c r="T97" s="7">
        <v>-1155</v>
      </c>
      <c r="U97" s="7">
        <v>0</v>
      </c>
      <c r="V97" s="7">
        <v>0</v>
      </c>
      <c r="W97" s="8">
        <f t="shared" si="3"/>
        <v>-6090</v>
      </c>
      <c r="X97" s="9" t="s">
        <v>186</v>
      </c>
    </row>
    <row r="98" spans="2:24" ht="18" customHeight="1" x14ac:dyDescent="0.35">
      <c r="B98" s="5">
        <v>2027</v>
      </c>
      <c r="C98" s="5" t="s">
        <v>26</v>
      </c>
      <c r="D98" s="6" t="s">
        <v>27</v>
      </c>
      <c r="E98" s="6" t="s">
        <v>28</v>
      </c>
      <c r="F98" s="6" t="s">
        <v>29</v>
      </c>
      <c r="G98" s="6" t="s">
        <v>134</v>
      </c>
      <c r="H98" s="6" t="s">
        <v>166</v>
      </c>
      <c r="I98" s="6" t="s">
        <v>187</v>
      </c>
      <c r="J98" s="5" t="s">
        <v>33</v>
      </c>
      <c r="K98" s="7">
        <v>-262.5</v>
      </c>
      <c r="L98" s="7">
        <v>-262.5</v>
      </c>
      <c r="M98" s="7">
        <v>-262.5</v>
      </c>
      <c r="N98" s="7">
        <v>-262.5</v>
      </c>
      <c r="O98" s="7">
        <v>-262.5</v>
      </c>
      <c r="P98" s="7">
        <v>-262.5</v>
      </c>
      <c r="Q98" s="7">
        <v>-262.5</v>
      </c>
      <c r="R98" s="7">
        <v>-262.5</v>
      </c>
      <c r="S98" s="7">
        <v>-367.5</v>
      </c>
      <c r="T98" s="7">
        <v>-262.5</v>
      </c>
      <c r="U98" s="7">
        <v>-262.5</v>
      </c>
      <c r="V98" s="7">
        <v>-262.5</v>
      </c>
      <c r="W98" s="8">
        <f t="shared" si="3"/>
        <v>-3255</v>
      </c>
      <c r="X98" s="9" t="s">
        <v>188</v>
      </c>
    </row>
    <row r="99" spans="2:24" ht="18" customHeight="1" x14ac:dyDescent="0.35">
      <c r="B99" s="5">
        <v>2027</v>
      </c>
      <c r="C99" s="5" t="s">
        <v>26</v>
      </c>
      <c r="D99" s="6" t="s">
        <v>27</v>
      </c>
      <c r="E99" s="6" t="s">
        <v>28</v>
      </c>
      <c r="F99" s="6" t="s">
        <v>29</v>
      </c>
      <c r="G99" s="6" t="s">
        <v>134</v>
      </c>
      <c r="H99" s="6" t="s">
        <v>166</v>
      </c>
      <c r="I99" s="6" t="s">
        <v>189</v>
      </c>
      <c r="J99" s="5" t="s">
        <v>33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8">
        <f t="shared" si="3"/>
        <v>0</v>
      </c>
      <c r="X99" s="9" t="s">
        <v>190</v>
      </c>
    </row>
    <row r="100" spans="2:24" ht="18" customHeight="1" x14ac:dyDescent="0.35">
      <c r="B100" s="5">
        <v>2027</v>
      </c>
      <c r="C100" s="5" t="s">
        <v>26</v>
      </c>
      <c r="D100" s="6" t="s">
        <v>27</v>
      </c>
      <c r="E100" s="6" t="s">
        <v>28</v>
      </c>
      <c r="F100" s="6" t="s">
        <v>29</v>
      </c>
      <c r="G100" s="6" t="s">
        <v>134</v>
      </c>
      <c r="H100" s="6" t="s">
        <v>191</v>
      </c>
      <c r="I100" s="6" t="s">
        <v>192</v>
      </c>
      <c r="J100" s="5" t="s">
        <v>33</v>
      </c>
      <c r="K100" s="7">
        <v>-6000</v>
      </c>
      <c r="L100" s="7">
        <v>-6000</v>
      </c>
      <c r="M100" s="7">
        <v>-6000</v>
      </c>
      <c r="N100" s="7">
        <v>-6000</v>
      </c>
      <c r="O100" s="7">
        <v>-6000</v>
      </c>
      <c r="P100" s="7">
        <v>-6000</v>
      </c>
      <c r="Q100" s="7">
        <v>-6000</v>
      </c>
      <c r="R100" s="7">
        <v>-6000</v>
      </c>
      <c r="S100" s="7">
        <v>-6000</v>
      </c>
      <c r="T100" s="7">
        <v>-6000</v>
      </c>
      <c r="U100" s="7">
        <v>-6000</v>
      </c>
      <c r="V100" s="7">
        <v>-8000</v>
      </c>
      <c r="W100" s="8">
        <f t="shared" si="3"/>
        <v>-74000</v>
      </c>
      <c r="X100" s="9" t="s">
        <v>193</v>
      </c>
    </row>
    <row r="101" spans="2:24" ht="18" customHeight="1" x14ac:dyDescent="0.35">
      <c r="B101" s="5">
        <v>2027</v>
      </c>
      <c r="C101" s="5" t="s">
        <v>26</v>
      </c>
      <c r="D101" s="6" t="s">
        <v>27</v>
      </c>
      <c r="E101" s="6" t="s">
        <v>28</v>
      </c>
      <c r="F101" s="6" t="s">
        <v>29</v>
      </c>
      <c r="G101" s="6" t="s">
        <v>134</v>
      </c>
      <c r="H101" s="6" t="s">
        <v>191</v>
      </c>
      <c r="I101" s="6" t="s">
        <v>194</v>
      </c>
      <c r="J101" s="5" t="s">
        <v>33</v>
      </c>
      <c r="K101" s="7">
        <v>-1400</v>
      </c>
      <c r="L101" s="7">
        <v>-1400</v>
      </c>
      <c r="M101" s="7">
        <v>-1400</v>
      </c>
      <c r="N101" s="7">
        <v>-1400</v>
      </c>
      <c r="O101" s="7">
        <v>-1400</v>
      </c>
      <c r="P101" s="7">
        <v>-1400</v>
      </c>
      <c r="Q101" s="7">
        <v>-1400</v>
      </c>
      <c r="R101" s="7">
        <v>-1400</v>
      </c>
      <c r="S101" s="7">
        <v>-1400</v>
      </c>
      <c r="T101" s="7">
        <v>-1400</v>
      </c>
      <c r="U101" s="7">
        <v>-1400</v>
      </c>
      <c r="V101" s="7">
        <v>-1400</v>
      </c>
      <c r="W101" s="8">
        <f t="shared" ref="W101:W132" si="4">SUM(K101:V101)</f>
        <v>-16800</v>
      </c>
      <c r="X101" s="9" t="s">
        <v>195</v>
      </c>
    </row>
    <row r="102" spans="2:24" ht="18" customHeight="1" x14ac:dyDescent="0.35">
      <c r="B102" s="5">
        <v>2027</v>
      </c>
      <c r="C102" s="5" t="s">
        <v>26</v>
      </c>
      <c r="D102" s="6" t="s">
        <v>27</v>
      </c>
      <c r="E102" s="6" t="s">
        <v>28</v>
      </c>
      <c r="F102" s="6" t="s">
        <v>29</v>
      </c>
      <c r="G102" s="6" t="s">
        <v>134</v>
      </c>
      <c r="H102" s="6" t="s">
        <v>191</v>
      </c>
      <c r="I102" s="6" t="s">
        <v>196</v>
      </c>
      <c r="J102" s="5" t="s">
        <v>33</v>
      </c>
      <c r="K102" s="7">
        <v>-550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8">
        <f t="shared" si="4"/>
        <v>-550</v>
      </c>
      <c r="X102" s="9" t="s">
        <v>197</v>
      </c>
    </row>
    <row r="103" spans="2:24" ht="18" customHeight="1" x14ac:dyDescent="0.35">
      <c r="B103" s="5">
        <v>2027</v>
      </c>
      <c r="C103" s="5" t="s">
        <v>26</v>
      </c>
      <c r="D103" s="6" t="s">
        <v>27</v>
      </c>
      <c r="E103" s="6" t="s">
        <v>28</v>
      </c>
      <c r="F103" s="6" t="s">
        <v>29</v>
      </c>
      <c r="G103" s="6" t="s">
        <v>134</v>
      </c>
      <c r="H103" s="6" t="s">
        <v>191</v>
      </c>
      <c r="I103" s="6" t="s">
        <v>198</v>
      </c>
      <c r="J103" s="5" t="s">
        <v>33</v>
      </c>
      <c r="K103" s="7">
        <v>-980</v>
      </c>
      <c r="L103" s="7">
        <v>-970</v>
      </c>
      <c r="M103" s="7">
        <v>-2700</v>
      </c>
      <c r="N103" s="7">
        <v>0</v>
      </c>
      <c r="O103" s="7">
        <v>-1610</v>
      </c>
      <c r="P103" s="7">
        <v>-1268</v>
      </c>
      <c r="Q103" s="7">
        <v>0</v>
      </c>
      <c r="R103" s="7">
        <v>0</v>
      </c>
      <c r="S103" s="7">
        <v>0</v>
      </c>
      <c r="T103" s="7">
        <v>-180</v>
      </c>
      <c r="U103" s="7">
        <v>-1100</v>
      </c>
      <c r="V103" s="7">
        <v>-1385</v>
      </c>
      <c r="W103" s="8">
        <f t="shared" si="4"/>
        <v>-10193</v>
      </c>
      <c r="X103" s="9" t="s">
        <v>199</v>
      </c>
    </row>
    <row r="104" spans="2:24" ht="18" customHeight="1" x14ac:dyDescent="0.35">
      <c r="B104" s="5">
        <v>2027</v>
      </c>
      <c r="C104" s="5" t="s">
        <v>26</v>
      </c>
      <c r="D104" s="6" t="s">
        <v>27</v>
      </c>
      <c r="E104" s="6" t="s">
        <v>28</v>
      </c>
      <c r="F104" s="6" t="s">
        <v>29</v>
      </c>
      <c r="G104" s="6" t="s">
        <v>134</v>
      </c>
      <c r="H104" s="6" t="s">
        <v>191</v>
      </c>
      <c r="I104" s="6" t="s">
        <v>200</v>
      </c>
      <c r="J104" s="5" t="s">
        <v>33</v>
      </c>
      <c r="K104" s="7">
        <v>-610.55999999999995</v>
      </c>
      <c r="L104" s="7">
        <v>-610.55999999999995</v>
      </c>
      <c r="M104" s="7">
        <v>-610.55999999999995</v>
      </c>
      <c r="N104" s="7">
        <v>-610.55999999999995</v>
      </c>
      <c r="O104" s="7">
        <v>-610.55999999999995</v>
      </c>
      <c r="P104" s="7">
        <v>-610.55999999999995</v>
      </c>
      <c r="Q104" s="7">
        <v>-610.55999999999995</v>
      </c>
      <c r="R104" s="7">
        <v>-610.55999999999995</v>
      </c>
      <c r="S104" s="7">
        <v>-610.55999999999995</v>
      </c>
      <c r="T104" s="7">
        <v>-610.55999999999995</v>
      </c>
      <c r="U104" s="7">
        <v>-610.55999999999995</v>
      </c>
      <c r="V104" s="7">
        <v>-610.55999999999995</v>
      </c>
      <c r="W104" s="8">
        <f t="shared" si="4"/>
        <v>-7326.7199999999975</v>
      </c>
      <c r="X104" s="9" t="s">
        <v>201</v>
      </c>
    </row>
    <row r="105" spans="2:24" ht="18" customHeight="1" x14ac:dyDescent="0.35">
      <c r="B105" s="5">
        <v>2027</v>
      </c>
      <c r="C105" s="5" t="s">
        <v>26</v>
      </c>
      <c r="D105" s="6" t="s">
        <v>27</v>
      </c>
      <c r="E105" s="6" t="s">
        <v>28</v>
      </c>
      <c r="F105" s="6" t="s">
        <v>29</v>
      </c>
      <c r="G105" s="6" t="s">
        <v>134</v>
      </c>
      <c r="H105" s="6" t="s">
        <v>191</v>
      </c>
      <c r="I105" s="6" t="s">
        <v>202</v>
      </c>
      <c r="J105" s="5" t="s">
        <v>33</v>
      </c>
      <c r="K105" s="7">
        <v>-4000</v>
      </c>
      <c r="L105" s="7">
        <v>-4000</v>
      </c>
      <c r="M105" s="7">
        <v>-4000</v>
      </c>
      <c r="N105" s="7">
        <v>-4000</v>
      </c>
      <c r="O105" s="7">
        <v>-4000</v>
      </c>
      <c r="P105" s="7">
        <v>-4000</v>
      </c>
      <c r="Q105" s="7">
        <v>-4000</v>
      </c>
      <c r="R105" s="7">
        <v>-4000</v>
      </c>
      <c r="S105" s="7">
        <v>-4000</v>
      </c>
      <c r="T105" s="7">
        <v>-4000</v>
      </c>
      <c r="U105" s="7">
        <v>-4000</v>
      </c>
      <c r="V105" s="7">
        <v>-9000</v>
      </c>
      <c r="W105" s="8">
        <f t="shared" si="4"/>
        <v>-53000</v>
      </c>
      <c r="X105" s="9" t="s">
        <v>203</v>
      </c>
    </row>
    <row r="106" spans="2:24" ht="18" customHeight="1" x14ac:dyDescent="0.35">
      <c r="B106" s="5">
        <v>2027</v>
      </c>
      <c r="C106" s="5" t="s">
        <v>26</v>
      </c>
      <c r="D106" s="6" t="s">
        <v>27</v>
      </c>
      <c r="E106" s="6" t="s">
        <v>28</v>
      </c>
      <c r="F106" s="6" t="s">
        <v>29</v>
      </c>
      <c r="G106" s="6" t="s">
        <v>134</v>
      </c>
      <c r="H106" s="6" t="s">
        <v>191</v>
      </c>
      <c r="I106" s="6" t="s">
        <v>204</v>
      </c>
      <c r="J106" s="5" t="s">
        <v>33</v>
      </c>
      <c r="K106" s="7">
        <v>-500</v>
      </c>
      <c r="L106" s="7">
        <v>-500</v>
      </c>
      <c r="M106" s="7">
        <v>-500</v>
      </c>
      <c r="N106" s="7">
        <v>-500</v>
      </c>
      <c r="O106" s="7">
        <v>-500</v>
      </c>
      <c r="P106" s="7">
        <v>-500</v>
      </c>
      <c r="Q106" s="7">
        <v>-500</v>
      </c>
      <c r="R106" s="7">
        <v>-500</v>
      </c>
      <c r="S106" s="7">
        <v>-500</v>
      </c>
      <c r="T106" s="7">
        <v>-500</v>
      </c>
      <c r="U106" s="7">
        <v>-500</v>
      </c>
      <c r="V106" s="7">
        <v>-30500</v>
      </c>
      <c r="W106" s="8">
        <f t="shared" si="4"/>
        <v>-36000</v>
      </c>
      <c r="X106" s="9" t="s">
        <v>205</v>
      </c>
    </row>
    <row r="107" spans="2:24" ht="18" customHeight="1" x14ac:dyDescent="0.35">
      <c r="B107" s="5">
        <v>2027</v>
      </c>
      <c r="C107" s="5" t="s">
        <v>26</v>
      </c>
      <c r="D107" s="6" t="s">
        <v>27</v>
      </c>
      <c r="E107" s="6" t="s">
        <v>28</v>
      </c>
      <c r="F107" s="6" t="s">
        <v>29</v>
      </c>
      <c r="G107" s="6" t="s">
        <v>134</v>
      </c>
      <c r="H107" s="6" t="s">
        <v>191</v>
      </c>
      <c r="I107" s="6" t="s">
        <v>206</v>
      </c>
      <c r="J107" s="5" t="s">
        <v>33</v>
      </c>
      <c r="K107" s="7">
        <v>-6000</v>
      </c>
      <c r="L107" s="7">
        <v>-6000</v>
      </c>
      <c r="M107" s="7">
        <v>-6000</v>
      </c>
      <c r="N107" s="7">
        <v>-6000</v>
      </c>
      <c r="O107" s="7">
        <v>-6000</v>
      </c>
      <c r="P107" s="7">
        <v>-6000</v>
      </c>
      <c r="Q107" s="7">
        <v>-6000</v>
      </c>
      <c r="R107" s="7">
        <v>-6000</v>
      </c>
      <c r="S107" s="7">
        <v>-6000</v>
      </c>
      <c r="T107" s="7">
        <v>-6000</v>
      </c>
      <c r="U107" s="7">
        <v>-6000</v>
      </c>
      <c r="V107" s="7">
        <v>-106000</v>
      </c>
      <c r="W107" s="8">
        <f t="shared" si="4"/>
        <v>-172000</v>
      </c>
      <c r="X107" s="9" t="s">
        <v>207</v>
      </c>
    </row>
    <row r="108" spans="2:24" ht="18" customHeight="1" x14ac:dyDescent="0.35">
      <c r="B108" s="5">
        <v>2027</v>
      </c>
      <c r="C108" s="5" t="s">
        <v>26</v>
      </c>
      <c r="D108" s="6" t="s">
        <v>27</v>
      </c>
      <c r="E108" s="6" t="s">
        <v>28</v>
      </c>
      <c r="F108" s="6" t="s">
        <v>29</v>
      </c>
      <c r="G108" s="6" t="s">
        <v>134</v>
      </c>
      <c r="H108" s="6" t="s">
        <v>191</v>
      </c>
      <c r="I108" s="6" t="s">
        <v>208</v>
      </c>
      <c r="J108" s="5" t="s">
        <v>33</v>
      </c>
      <c r="K108" s="7">
        <v>-283.20999999999998</v>
      </c>
      <c r="L108" s="7">
        <v>-283.20999999999998</v>
      </c>
      <c r="M108" s="7">
        <v>-283.20999999999998</v>
      </c>
      <c r="N108" s="7">
        <v>-283.20999999999998</v>
      </c>
      <c r="O108" s="7">
        <v>-283.20999999999998</v>
      </c>
      <c r="P108" s="7">
        <v>-283.20999999999998</v>
      </c>
      <c r="Q108" s="7">
        <v>-283.20999999999998</v>
      </c>
      <c r="R108" s="7">
        <v>-283.20999999999998</v>
      </c>
      <c r="S108" s="7">
        <v>-283.20999999999998</v>
      </c>
      <c r="T108" s="7">
        <v>-283.20999999999998</v>
      </c>
      <c r="U108" s="7">
        <v>-283.20999999999998</v>
      </c>
      <c r="V108" s="7">
        <v>-283.20999999999998</v>
      </c>
      <c r="W108" s="8">
        <f t="shared" si="4"/>
        <v>-3398.52</v>
      </c>
      <c r="X108" s="9" t="s">
        <v>209</v>
      </c>
    </row>
    <row r="109" spans="2:24" ht="18" customHeight="1" x14ac:dyDescent="0.35">
      <c r="B109" s="5">
        <v>2027</v>
      </c>
      <c r="C109" s="5" t="s">
        <v>26</v>
      </c>
      <c r="D109" s="6" t="s">
        <v>27</v>
      </c>
      <c r="E109" s="6" t="s">
        <v>28</v>
      </c>
      <c r="F109" s="6" t="s">
        <v>29</v>
      </c>
      <c r="G109" s="6" t="s">
        <v>134</v>
      </c>
      <c r="H109" s="6" t="s">
        <v>191</v>
      </c>
      <c r="I109" s="6" t="s">
        <v>210</v>
      </c>
      <c r="J109" s="5" t="s">
        <v>33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8">
        <f t="shared" si="4"/>
        <v>0</v>
      </c>
      <c r="X109" s="9" t="s">
        <v>146</v>
      </c>
    </row>
    <row r="110" spans="2:24" ht="18" customHeight="1" x14ac:dyDescent="0.35">
      <c r="B110" s="5">
        <v>2027</v>
      </c>
      <c r="C110" s="5" t="s">
        <v>26</v>
      </c>
      <c r="D110" s="6" t="s">
        <v>27</v>
      </c>
      <c r="E110" s="6" t="s">
        <v>28</v>
      </c>
      <c r="F110" s="6" t="s">
        <v>29</v>
      </c>
      <c r="G110" s="6" t="s">
        <v>134</v>
      </c>
      <c r="H110" s="6" t="s">
        <v>191</v>
      </c>
      <c r="I110" s="6" t="s">
        <v>211</v>
      </c>
      <c r="J110" s="5" t="s">
        <v>33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8">
        <f t="shared" si="4"/>
        <v>0</v>
      </c>
      <c r="X110" s="9" t="s">
        <v>212</v>
      </c>
    </row>
    <row r="111" spans="2:24" ht="18" customHeight="1" x14ac:dyDescent="0.35">
      <c r="B111" s="5">
        <v>2027</v>
      </c>
      <c r="C111" s="5" t="s">
        <v>26</v>
      </c>
      <c r="D111" s="6" t="s">
        <v>27</v>
      </c>
      <c r="E111" s="6" t="s">
        <v>28</v>
      </c>
      <c r="F111" s="6" t="s">
        <v>29</v>
      </c>
      <c r="G111" s="6" t="s">
        <v>134</v>
      </c>
      <c r="H111" s="6" t="s">
        <v>191</v>
      </c>
      <c r="I111" s="6" t="s">
        <v>213</v>
      </c>
      <c r="J111" s="5" t="s">
        <v>33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8">
        <f t="shared" si="4"/>
        <v>0</v>
      </c>
      <c r="X111" s="9" t="s">
        <v>212</v>
      </c>
    </row>
    <row r="112" spans="2:24" ht="18" customHeight="1" x14ac:dyDescent="0.35">
      <c r="B112" s="5">
        <v>2027</v>
      </c>
      <c r="C112" s="5" t="s">
        <v>26</v>
      </c>
      <c r="D112" s="6" t="s">
        <v>27</v>
      </c>
      <c r="E112" s="6" t="s">
        <v>28</v>
      </c>
      <c r="F112" s="6" t="s">
        <v>29</v>
      </c>
      <c r="G112" s="6" t="s">
        <v>134</v>
      </c>
      <c r="H112" s="6" t="s">
        <v>191</v>
      </c>
      <c r="I112" s="6" t="s">
        <v>214</v>
      </c>
      <c r="J112" s="5" t="s">
        <v>33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8">
        <f t="shared" si="4"/>
        <v>0</v>
      </c>
      <c r="X112" s="9" t="s">
        <v>212</v>
      </c>
    </row>
    <row r="113" spans="2:24" ht="18" customHeight="1" x14ac:dyDescent="0.35">
      <c r="B113" s="5">
        <v>2027</v>
      </c>
      <c r="C113" s="5" t="s">
        <v>26</v>
      </c>
      <c r="D113" s="6" t="s">
        <v>27</v>
      </c>
      <c r="E113" s="6" t="s">
        <v>28</v>
      </c>
      <c r="F113" s="6" t="s">
        <v>29</v>
      </c>
      <c r="G113" s="6" t="s">
        <v>134</v>
      </c>
      <c r="H113" s="6" t="s">
        <v>191</v>
      </c>
      <c r="I113" s="6" t="s">
        <v>215</v>
      </c>
      <c r="J113" s="5" t="s">
        <v>33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8">
        <f t="shared" si="4"/>
        <v>0</v>
      </c>
      <c r="X113" s="9" t="s">
        <v>212</v>
      </c>
    </row>
    <row r="114" spans="2:24" ht="18" customHeight="1" x14ac:dyDescent="0.35">
      <c r="B114" s="5">
        <v>2027</v>
      </c>
      <c r="C114" s="5" t="s">
        <v>26</v>
      </c>
      <c r="D114" s="6" t="s">
        <v>27</v>
      </c>
      <c r="E114" s="6" t="s">
        <v>28</v>
      </c>
      <c r="F114" s="6" t="s">
        <v>29</v>
      </c>
      <c r="G114" s="6" t="s">
        <v>134</v>
      </c>
      <c r="H114" s="6" t="s">
        <v>191</v>
      </c>
      <c r="I114" s="6" t="s">
        <v>216</v>
      </c>
      <c r="J114" s="5" t="s">
        <v>33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8">
        <f t="shared" si="4"/>
        <v>0</v>
      </c>
      <c r="X114" s="9" t="s">
        <v>212</v>
      </c>
    </row>
    <row r="115" spans="2:24" ht="18" customHeight="1" x14ac:dyDescent="0.35">
      <c r="B115" s="5">
        <v>2027</v>
      </c>
      <c r="C115" s="5" t="s">
        <v>26</v>
      </c>
      <c r="D115" s="6" t="s">
        <v>27</v>
      </c>
      <c r="E115" s="6" t="s">
        <v>28</v>
      </c>
      <c r="F115" s="6" t="s">
        <v>29</v>
      </c>
      <c r="G115" s="6" t="s">
        <v>134</v>
      </c>
      <c r="H115" s="6" t="s">
        <v>191</v>
      </c>
      <c r="I115" s="6" t="s">
        <v>217</v>
      </c>
      <c r="J115" s="5" t="s">
        <v>33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8">
        <f t="shared" si="4"/>
        <v>0</v>
      </c>
      <c r="X115" s="9" t="s">
        <v>212</v>
      </c>
    </row>
    <row r="116" spans="2:24" ht="18" customHeight="1" x14ac:dyDescent="0.35">
      <c r="B116" s="5">
        <v>2027</v>
      </c>
      <c r="C116" s="5" t="s">
        <v>26</v>
      </c>
      <c r="D116" s="6" t="s">
        <v>27</v>
      </c>
      <c r="E116" s="6" t="s">
        <v>28</v>
      </c>
      <c r="F116" s="6" t="s">
        <v>29</v>
      </c>
      <c r="G116" s="6" t="s">
        <v>134</v>
      </c>
      <c r="H116" s="6" t="s">
        <v>191</v>
      </c>
      <c r="I116" s="6" t="s">
        <v>218</v>
      </c>
      <c r="J116" s="5" t="s">
        <v>33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8">
        <f t="shared" si="4"/>
        <v>0</v>
      </c>
      <c r="X116" s="9" t="s">
        <v>212</v>
      </c>
    </row>
    <row r="117" spans="2:24" ht="18" customHeight="1" x14ac:dyDescent="0.35">
      <c r="B117" s="5">
        <v>2027</v>
      </c>
      <c r="C117" s="5" t="s">
        <v>26</v>
      </c>
      <c r="D117" s="6" t="s">
        <v>27</v>
      </c>
      <c r="E117" s="6" t="s">
        <v>28</v>
      </c>
      <c r="F117" s="6" t="s">
        <v>29</v>
      </c>
      <c r="G117" s="6" t="s">
        <v>134</v>
      </c>
      <c r="H117" s="6" t="s">
        <v>191</v>
      </c>
      <c r="I117" s="6" t="s">
        <v>219</v>
      </c>
      <c r="J117" s="5" t="s">
        <v>33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8">
        <f t="shared" si="4"/>
        <v>0</v>
      </c>
      <c r="X117" s="9" t="s">
        <v>212</v>
      </c>
    </row>
    <row r="118" spans="2:24" ht="18" customHeight="1" x14ac:dyDescent="0.35">
      <c r="B118" s="5">
        <v>2027</v>
      </c>
      <c r="C118" s="5" t="s">
        <v>26</v>
      </c>
      <c r="D118" s="6" t="s">
        <v>27</v>
      </c>
      <c r="E118" s="6" t="s">
        <v>28</v>
      </c>
      <c r="F118" s="6" t="s">
        <v>29</v>
      </c>
      <c r="G118" s="6" t="s">
        <v>134</v>
      </c>
      <c r="H118" s="6" t="s">
        <v>191</v>
      </c>
      <c r="I118" s="6" t="s">
        <v>220</v>
      </c>
      <c r="J118" s="5" t="s">
        <v>33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8">
        <f t="shared" si="4"/>
        <v>0</v>
      </c>
      <c r="X118" s="9" t="s">
        <v>212</v>
      </c>
    </row>
    <row r="119" spans="2:24" ht="18" customHeight="1" x14ac:dyDescent="0.35">
      <c r="B119" s="5">
        <v>2027</v>
      </c>
      <c r="C119" s="5" t="s">
        <v>26</v>
      </c>
      <c r="D119" s="6" t="s">
        <v>27</v>
      </c>
      <c r="E119" s="6" t="s">
        <v>28</v>
      </c>
      <c r="F119" s="6" t="s">
        <v>29</v>
      </c>
      <c r="G119" s="6" t="s">
        <v>134</v>
      </c>
      <c r="H119" s="6" t="s">
        <v>191</v>
      </c>
      <c r="I119" s="6" t="s">
        <v>221</v>
      </c>
      <c r="J119" s="5" t="s">
        <v>33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8">
        <f t="shared" si="4"/>
        <v>0</v>
      </c>
      <c r="X119" s="9" t="s">
        <v>212</v>
      </c>
    </row>
    <row r="120" spans="2:24" ht="18" customHeight="1" x14ac:dyDescent="0.35">
      <c r="B120" s="5">
        <v>2027</v>
      </c>
      <c r="C120" s="5" t="s">
        <v>26</v>
      </c>
      <c r="D120" s="6" t="s">
        <v>27</v>
      </c>
      <c r="E120" s="6" t="s">
        <v>28</v>
      </c>
      <c r="F120" s="6" t="s">
        <v>29</v>
      </c>
      <c r="G120" s="6" t="s">
        <v>134</v>
      </c>
      <c r="H120" s="6" t="s">
        <v>191</v>
      </c>
      <c r="I120" s="6" t="s">
        <v>222</v>
      </c>
      <c r="J120" s="5" t="s">
        <v>33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8">
        <f t="shared" si="4"/>
        <v>0</v>
      </c>
      <c r="X120" s="9" t="s">
        <v>212</v>
      </c>
    </row>
    <row r="121" spans="2:24" ht="18" customHeight="1" x14ac:dyDescent="0.35">
      <c r="B121" s="5">
        <v>2027</v>
      </c>
      <c r="C121" s="5" t="s">
        <v>26</v>
      </c>
      <c r="D121" s="6" t="s">
        <v>27</v>
      </c>
      <c r="E121" s="6" t="s">
        <v>28</v>
      </c>
      <c r="F121" s="6" t="s">
        <v>29</v>
      </c>
      <c r="G121" s="6" t="s">
        <v>134</v>
      </c>
      <c r="H121" s="6" t="s">
        <v>191</v>
      </c>
      <c r="I121" s="6" t="s">
        <v>223</v>
      </c>
      <c r="J121" s="5" t="s">
        <v>33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8">
        <f t="shared" si="4"/>
        <v>0</v>
      </c>
      <c r="X121" s="9" t="s">
        <v>212</v>
      </c>
    </row>
    <row r="122" spans="2:24" ht="18" customHeight="1" x14ac:dyDescent="0.35">
      <c r="B122" s="5">
        <v>2027</v>
      </c>
      <c r="C122" s="5" t="s">
        <v>26</v>
      </c>
      <c r="D122" s="6" t="s">
        <v>27</v>
      </c>
      <c r="E122" s="6" t="s">
        <v>28</v>
      </c>
      <c r="F122" s="6" t="s">
        <v>29</v>
      </c>
      <c r="G122" s="6" t="s">
        <v>134</v>
      </c>
      <c r="H122" s="6" t="s">
        <v>191</v>
      </c>
      <c r="I122" s="6" t="s">
        <v>224</v>
      </c>
      <c r="J122" s="5" t="s">
        <v>33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8">
        <f t="shared" si="4"/>
        <v>0</v>
      </c>
      <c r="X122" s="9" t="s">
        <v>212</v>
      </c>
    </row>
    <row r="123" spans="2:24" ht="18" customHeight="1" x14ac:dyDescent="0.35">
      <c r="B123" s="5">
        <v>2027</v>
      </c>
      <c r="C123" s="5" t="s">
        <v>26</v>
      </c>
      <c r="D123" s="6" t="s">
        <v>27</v>
      </c>
      <c r="E123" s="6" t="s">
        <v>28</v>
      </c>
      <c r="F123" s="6" t="s">
        <v>29</v>
      </c>
      <c r="G123" s="6" t="s">
        <v>134</v>
      </c>
      <c r="H123" s="6" t="s">
        <v>191</v>
      </c>
      <c r="I123" s="6" t="s">
        <v>225</v>
      </c>
      <c r="J123" s="5" t="s">
        <v>33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8">
        <f t="shared" si="4"/>
        <v>0</v>
      </c>
      <c r="X123" s="9" t="s">
        <v>212</v>
      </c>
    </row>
    <row r="124" spans="2:24" ht="18" customHeight="1" x14ac:dyDescent="0.35">
      <c r="B124" s="5">
        <v>2027</v>
      </c>
      <c r="C124" s="5" t="s">
        <v>26</v>
      </c>
      <c r="D124" s="6" t="s">
        <v>27</v>
      </c>
      <c r="E124" s="6" t="s">
        <v>28</v>
      </c>
      <c r="F124" s="6" t="s">
        <v>29</v>
      </c>
      <c r="G124" s="6" t="s">
        <v>134</v>
      </c>
      <c r="H124" s="6" t="s">
        <v>191</v>
      </c>
      <c r="I124" s="6" t="s">
        <v>226</v>
      </c>
      <c r="J124" s="5" t="s">
        <v>33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8">
        <f t="shared" si="4"/>
        <v>0</v>
      </c>
      <c r="X124" s="9" t="s">
        <v>212</v>
      </c>
    </row>
    <row r="125" spans="2:24" ht="18" customHeight="1" x14ac:dyDescent="0.35">
      <c r="B125" s="5">
        <v>2027</v>
      </c>
      <c r="C125" s="5" t="s">
        <v>26</v>
      </c>
      <c r="D125" s="6" t="s">
        <v>27</v>
      </c>
      <c r="E125" s="6" t="s">
        <v>28</v>
      </c>
      <c r="F125" s="6" t="s">
        <v>29</v>
      </c>
      <c r="G125" s="6" t="s">
        <v>134</v>
      </c>
      <c r="H125" s="6" t="s">
        <v>191</v>
      </c>
      <c r="I125" s="6" t="s">
        <v>227</v>
      </c>
      <c r="J125" s="5" t="s">
        <v>33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8">
        <f t="shared" si="4"/>
        <v>0</v>
      </c>
      <c r="X125" s="9" t="s">
        <v>212</v>
      </c>
    </row>
    <row r="126" spans="2:24" ht="18" customHeight="1" x14ac:dyDescent="0.35">
      <c r="B126" s="5">
        <v>2027</v>
      </c>
      <c r="C126" s="5" t="s">
        <v>26</v>
      </c>
      <c r="D126" s="6" t="s">
        <v>27</v>
      </c>
      <c r="E126" s="6" t="s">
        <v>28</v>
      </c>
      <c r="F126" s="6" t="s">
        <v>29</v>
      </c>
      <c r="G126" s="6" t="s">
        <v>134</v>
      </c>
      <c r="H126" s="6" t="s">
        <v>191</v>
      </c>
      <c r="I126" s="6" t="s">
        <v>228</v>
      </c>
      <c r="J126" s="5" t="s">
        <v>33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8">
        <f t="shared" si="4"/>
        <v>0</v>
      </c>
      <c r="X126" s="9" t="s">
        <v>212</v>
      </c>
    </row>
    <row r="127" spans="2:24" ht="18" customHeight="1" x14ac:dyDescent="0.35">
      <c r="B127" s="5">
        <v>2027</v>
      </c>
      <c r="C127" s="5" t="s">
        <v>26</v>
      </c>
      <c r="D127" s="6" t="s">
        <v>27</v>
      </c>
      <c r="E127" s="6" t="s">
        <v>28</v>
      </c>
      <c r="F127" s="6" t="s">
        <v>29</v>
      </c>
      <c r="G127" s="6" t="s">
        <v>134</v>
      </c>
      <c r="H127" s="6" t="s">
        <v>191</v>
      </c>
      <c r="I127" s="6" t="s">
        <v>229</v>
      </c>
      <c r="J127" s="5" t="s">
        <v>33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8">
        <f t="shared" si="4"/>
        <v>0</v>
      </c>
      <c r="X127" s="9" t="s">
        <v>212</v>
      </c>
    </row>
    <row r="128" spans="2:24" ht="18" customHeight="1" x14ac:dyDescent="0.35">
      <c r="B128" s="5">
        <v>2027</v>
      </c>
      <c r="C128" s="5" t="s">
        <v>26</v>
      </c>
      <c r="D128" s="6" t="s">
        <v>27</v>
      </c>
      <c r="E128" s="6" t="s">
        <v>28</v>
      </c>
      <c r="F128" s="6" t="s">
        <v>29</v>
      </c>
      <c r="G128" s="6" t="s">
        <v>134</v>
      </c>
      <c r="H128" s="6" t="s">
        <v>191</v>
      </c>
      <c r="I128" s="6" t="s">
        <v>230</v>
      </c>
      <c r="J128" s="5" t="s">
        <v>33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8">
        <f t="shared" si="4"/>
        <v>0</v>
      </c>
      <c r="X128" s="9" t="s">
        <v>212</v>
      </c>
    </row>
    <row r="129" spans="2:24" ht="18" customHeight="1" x14ac:dyDescent="0.35">
      <c r="B129" s="5">
        <v>2027</v>
      </c>
      <c r="C129" s="5" t="s">
        <v>26</v>
      </c>
      <c r="D129" s="6" t="s">
        <v>27</v>
      </c>
      <c r="E129" s="6" t="s">
        <v>28</v>
      </c>
      <c r="F129" s="6" t="s">
        <v>29</v>
      </c>
      <c r="G129" s="6" t="s">
        <v>134</v>
      </c>
      <c r="H129" s="6" t="s">
        <v>231</v>
      </c>
      <c r="I129" s="6" t="s">
        <v>232</v>
      </c>
      <c r="J129" s="5" t="s">
        <v>33</v>
      </c>
      <c r="K129" s="7">
        <v>-7016.85</v>
      </c>
      <c r="L129" s="7">
        <v>-13619.9</v>
      </c>
      <c r="M129" s="7">
        <v>-18607.54</v>
      </c>
      <c r="N129" s="7">
        <v>-22055.439999999999</v>
      </c>
      <c r="O129" s="7">
        <v>-18645.63</v>
      </c>
      <c r="P129" s="7">
        <v>-20396.41</v>
      </c>
      <c r="Q129" s="7">
        <v>-14747.91</v>
      </c>
      <c r="R129" s="7">
        <v>-13338.45</v>
      </c>
      <c r="S129" s="7">
        <v>-7825.86</v>
      </c>
      <c r="T129" s="7">
        <v>-12700.12</v>
      </c>
      <c r="U129" s="7">
        <v>-12528.19</v>
      </c>
      <c r="V129" s="7">
        <v>-4989.8500000000004</v>
      </c>
      <c r="W129" s="8">
        <f t="shared" si="4"/>
        <v>-166472.15</v>
      </c>
      <c r="X129" s="9" t="s">
        <v>233</v>
      </c>
    </row>
    <row r="130" spans="2:24" ht="18" customHeight="1" x14ac:dyDescent="0.35">
      <c r="B130" s="5">
        <v>2027</v>
      </c>
      <c r="C130" s="5" t="s">
        <v>26</v>
      </c>
      <c r="D130" s="6" t="s">
        <v>27</v>
      </c>
      <c r="E130" s="6" t="s">
        <v>28</v>
      </c>
      <c r="F130" s="6" t="s">
        <v>29</v>
      </c>
      <c r="G130" s="6" t="s">
        <v>134</v>
      </c>
      <c r="H130" s="6" t="s">
        <v>231</v>
      </c>
      <c r="I130" s="6" t="s">
        <v>234</v>
      </c>
      <c r="J130" s="5" t="s">
        <v>33</v>
      </c>
      <c r="K130" s="7">
        <v>-29809.200000000001</v>
      </c>
      <c r="L130" s="7">
        <v>-21246.7</v>
      </c>
      <c r="M130" s="7">
        <v>-19638.3</v>
      </c>
      <c r="N130" s="7">
        <v>-8004.2</v>
      </c>
      <c r="O130" s="7">
        <v>-38718.800000000003</v>
      </c>
      <c r="P130" s="7">
        <v>-33492</v>
      </c>
      <c r="Q130" s="7">
        <v>-13212.8</v>
      </c>
      <c r="R130" s="7">
        <v>-18509.599999999999</v>
      </c>
      <c r="S130" s="7">
        <v>-24148.9</v>
      </c>
      <c r="T130" s="7">
        <v>-23411.3</v>
      </c>
      <c r="U130" s="7">
        <v>-40650.699999999997</v>
      </c>
      <c r="V130" s="7">
        <v>-34380.800000000003</v>
      </c>
      <c r="W130" s="8">
        <f t="shared" si="4"/>
        <v>-305223.3</v>
      </c>
      <c r="X130" s="9" t="s">
        <v>235</v>
      </c>
    </row>
    <row r="131" spans="2:24" ht="18" customHeight="1" x14ac:dyDescent="0.35">
      <c r="B131" s="5">
        <v>2027</v>
      </c>
      <c r="C131" s="5" t="s">
        <v>26</v>
      </c>
      <c r="D131" s="6" t="s">
        <v>27</v>
      </c>
      <c r="E131" s="6" t="s">
        <v>28</v>
      </c>
      <c r="F131" s="6" t="s">
        <v>29</v>
      </c>
      <c r="G131" s="6" t="s">
        <v>134</v>
      </c>
      <c r="H131" s="6" t="s">
        <v>231</v>
      </c>
      <c r="I131" s="6" t="s">
        <v>236</v>
      </c>
      <c r="J131" s="5" t="s">
        <v>33</v>
      </c>
      <c r="K131" s="7">
        <v>-6088.18</v>
      </c>
      <c r="L131" s="7">
        <v>-5367.26</v>
      </c>
      <c r="M131" s="7">
        <v>-7224.72</v>
      </c>
      <c r="N131" s="7">
        <v>-3712.04</v>
      </c>
      <c r="O131" s="7">
        <v>-14028.95</v>
      </c>
      <c r="P131" s="7">
        <v>-2584.44</v>
      </c>
      <c r="Q131" s="7">
        <v>-4588.3</v>
      </c>
      <c r="R131" s="7">
        <v>-8667.69</v>
      </c>
      <c r="S131" s="7">
        <v>-2950.85</v>
      </c>
      <c r="T131" s="7">
        <v>-9635.0400000000009</v>
      </c>
      <c r="U131" s="7">
        <v>-13725.16</v>
      </c>
      <c r="V131" s="7">
        <v>-625.65</v>
      </c>
      <c r="W131" s="8">
        <f t="shared" si="4"/>
        <v>-79198.28</v>
      </c>
      <c r="X131" s="9" t="s">
        <v>237</v>
      </c>
    </row>
    <row r="132" spans="2:24" ht="18" customHeight="1" x14ac:dyDescent="0.35">
      <c r="B132" s="5">
        <v>2027</v>
      </c>
      <c r="C132" s="5" t="s">
        <v>26</v>
      </c>
      <c r="D132" s="6" t="s">
        <v>27</v>
      </c>
      <c r="E132" s="6" t="s">
        <v>28</v>
      </c>
      <c r="F132" s="6" t="s">
        <v>29</v>
      </c>
      <c r="G132" s="6" t="s">
        <v>134</v>
      </c>
      <c r="H132" s="6" t="s">
        <v>231</v>
      </c>
      <c r="I132" s="6" t="s">
        <v>238</v>
      </c>
      <c r="J132" s="5" t="s">
        <v>33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8">
        <f t="shared" si="4"/>
        <v>0</v>
      </c>
      <c r="X132" s="9" t="s">
        <v>239</v>
      </c>
    </row>
    <row r="133" spans="2:24" ht="18" customHeight="1" x14ac:dyDescent="0.35">
      <c r="B133" s="5">
        <v>2027</v>
      </c>
      <c r="C133" s="5" t="s">
        <v>26</v>
      </c>
      <c r="D133" s="6" t="s">
        <v>27</v>
      </c>
      <c r="E133" s="6" t="s">
        <v>28</v>
      </c>
      <c r="F133" s="6" t="s">
        <v>29</v>
      </c>
      <c r="G133" s="6" t="s">
        <v>134</v>
      </c>
      <c r="H133" s="6" t="s">
        <v>231</v>
      </c>
      <c r="I133" s="6" t="s">
        <v>240</v>
      </c>
      <c r="J133" s="5" t="s">
        <v>33</v>
      </c>
      <c r="K133" s="7">
        <v>-591.46</v>
      </c>
      <c r="L133" s="7">
        <v>-591.46</v>
      </c>
      <c r="M133" s="7">
        <v>-591.46</v>
      </c>
      <c r="N133" s="7">
        <v>-591.46</v>
      </c>
      <c r="O133" s="7">
        <v>-591.46</v>
      </c>
      <c r="P133" s="7">
        <v>-591.46</v>
      </c>
      <c r="Q133" s="7">
        <v>-591.46</v>
      </c>
      <c r="R133" s="7">
        <v>-591.46</v>
      </c>
      <c r="S133" s="7">
        <v>-591.46</v>
      </c>
      <c r="T133" s="7">
        <v>-591.46</v>
      </c>
      <c r="U133" s="7">
        <v>-591.46</v>
      </c>
      <c r="V133" s="7">
        <v>-591.46</v>
      </c>
      <c r="W133" s="8">
        <f t="shared" ref="W133:W164" si="5">SUM(K133:V133)</f>
        <v>-7097.52</v>
      </c>
      <c r="X133" s="9" t="s">
        <v>201</v>
      </c>
    </row>
    <row r="134" spans="2:24" ht="18" customHeight="1" x14ac:dyDescent="0.35">
      <c r="B134" s="5">
        <v>2027</v>
      </c>
      <c r="C134" s="5" t="s">
        <v>26</v>
      </c>
      <c r="D134" s="6" t="s">
        <v>27</v>
      </c>
      <c r="E134" s="6" t="s">
        <v>28</v>
      </c>
      <c r="F134" s="6" t="s">
        <v>29</v>
      </c>
      <c r="G134" s="6" t="s">
        <v>134</v>
      </c>
      <c r="H134" s="6" t="s">
        <v>231</v>
      </c>
      <c r="I134" s="6" t="s">
        <v>241</v>
      </c>
      <c r="J134" s="5" t="s">
        <v>33</v>
      </c>
      <c r="K134" s="7">
        <v>-1389.04</v>
      </c>
      <c r="L134" s="7">
        <v>-1389.04</v>
      </c>
      <c r="M134" s="7">
        <v>-1389.04</v>
      </c>
      <c r="N134" s="7">
        <v>-1389.04</v>
      </c>
      <c r="O134" s="7">
        <v>-1389.04</v>
      </c>
      <c r="P134" s="7">
        <v>-1389.04</v>
      </c>
      <c r="Q134" s="7">
        <v>-1389.04</v>
      </c>
      <c r="R134" s="7">
        <v>-1389.04</v>
      </c>
      <c r="S134" s="7">
        <v>-1389.04</v>
      </c>
      <c r="T134" s="7">
        <v>-1389.04</v>
      </c>
      <c r="U134" s="7">
        <v>-1389.04</v>
      </c>
      <c r="V134" s="7">
        <v>-1389.04</v>
      </c>
      <c r="W134" s="8">
        <f t="shared" si="5"/>
        <v>-16668.480000000003</v>
      </c>
      <c r="X134" s="9" t="s">
        <v>201</v>
      </c>
    </row>
    <row r="135" spans="2:24" ht="18" customHeight="1" x14ac:dyDescent="0.35">
      <c r="B135" s="5">
        <v>2027</v>
      </c>
      <c r="C135" s="5" t="s">
        <v>26</v>
      </c>
      <c r="D135" s="6" t="s">
        <v>27</v>
      </c>
      <c r="E135" s="6" t="s">
        <v>28</v>
      </c>
      <c r="F135" s="6" t="s">
        <v>29</v>
      </c>
      <c r="G135" s="6" t="s">
        <v>134</v>
      </c>
      <c r="H135" s="6" t="s">
        <v>231</v>
      </c>
      <c r="I135" s="6" t="s">
        <v>242</v>
      </c>
      <c r="J135" s="5" t="s">
        <v>33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8">
        <f t="shared" si="5"/>
        <v>0</v>
      </c>
      <c r="X135" s="9" t="s">
        <v>146</v>
      </c>
    </row>
    <row r="136" spans="2:24" ht="18" customHeight="1" x14ac:dyDescent="0.35">
      <c r="B136" s="5">
        <v>2027</v>
      </c>
      <c r="C136" s="5" t="s">
        <v>26</v>
      </c>
      <c r="D136" s="6" t="s">
        <v>27</v>
      </c>
      <c r="E136" s="6" t="s">
        <v>28</v>
      </c>
      <c r="F136" s="6" t="s">
        <v>29</v>
      </c>
      <c r="G136" s="6" t="s">
        <v>134</v>
      </c>
      <c r="H136" s="6" t="s">
        <v>243</v>
      </c>
      <c r="I136" s="6" t="s">
        <v>244</v>
      </c>
      <c r="J136" s="5" t="s">
        <v>33</v>
      </c>
      <c r="K136" s="7">
        <v>-188.17</v>
      </c>
      <c r="L136" s="7">
        <v>-188.17</v>
      </c>
      <c r="M136" s="7">
        <v>-188.17</v>
      </c>
      <c r="N136" s="7">
        <v>-188.17</v>
      </c>
      <c r="O136" s="7">
        <v>-188.17</v>
      </c>
      <c r="P136" s="7">
        <v>-188.17</v>
      </c>
      <c r="Q136" s="7">
        <v>-188.17</v>
      </c>
      <c r="R136" s="7">
        <v>-188.17</v>
      </c>
      <c r="S136" s="7">
        <v>-188.17</v>
      </c>
      <c r="T136" s="7">
        <v>-188.17</v>
      </c>
      <c r="U136" s="7">
        <v>-188.17</v>
      </c>
      <c r="V136" s="7">
        <v>-188.17</v>
      </c>
      <c r="W136" s="8">
        <f t="shared" si="5"/>
        <v>-2258.0400000000004</v>
      </c>
      <c r="X136" s="9" t="s">
        <v>245</v>
      </c>
    </row>
    <row r="137" spans="2:24" ht="18" customHeight="1" x14ac:dyDescent="0.35">
      <c r="B137" s="5">
        <v>2027</v>
      </c>
      <c r="C137" s="5" t="s">
        <v>26</v>
      </c>
      <c r="D137" s="6" t="s">
        <v>27</v>
      </c>
      <c r="E137" s="6" t="s">
        <v>28</v>
      </c>
      <c r="F137" s="6" t="s">
        <v>29</v>
      </c>
      <c r="G137" s="6" t="s">
        <v>134</v>
      </c>
      <c r="H137" s="6" t="s">
        <v>243</v>
      </c>
      <c r="I137" s="6" t="s">
        <v>246</v>
      </c>
      <c r="J137" s="5" t="s">
        <v>33</v>
      </c>
      <c r="K137" s="7">
        <v>-194.64</v>
      </c>
      <c r="L137" s="7">
        <v>-194.64</v>
      </c>
      <c r="M137" s="7">
        <v>-194.64</v>
      </c>
      <c r="N137" s="7">
        <v>-194.64</v>
      </c>
      <c r="O137" s="7">
        <v>-194.64</v>
      </c>
      <c r="P137" s="7">
        <v>-194.64</v>
      </c>
      <c r="Q137" s="7">
        <v>-194.64</v>
      </c>
      <c r="R137" s="7">
        <v>-194.64</v>
      </c>
      <c r="S137" s="7">
        <v>-194.64</v>
      </c>
      <c r="T137" s="7">
        <v>-194.64</v>
      </c>
      <c r="U137" s="7">
        <v>-194.64</v>
      </c>
      <c r="V137" s="7">
        <v>-194.64</v>
      </c>
      <c r="W137" s="8">
        <f t="shared" si="5"/>
        <v>-2335.6799999999994</v>
      </c>
      <c r="X137" s="9" t="s">
        <v>245</v>
      </c>
    </row>
    <row r="138" spans="2:24" ht="18" customHeight="1" x14ac:dyDescent="0.35">
      <c r="B138" s="5">
        <v>2027</v>
      </c>
      <c r="C138" s="5" t="s">
        <v>26</v>
      </c>
      <c r="D138" s="6" t="s">
        <v>27</v>
      </c>
      <c r="E138" s="6" t="s">
        <v>28</v>
      </c>
      <c r="F138" s="6" t="s">
        <v>29</v>
      </c>
      <c r="G138" s="6" t="s">
        <v>134</v>
      </c>
      <c r="H138" s="6" t="s">
        <v>243</v>
      </c>
      <c r="I138" s="6" t="s">
        <v>247</v>
      </c>
      <c r="J138" s="5" t="s">
        <v>33</v>
      </c>
      <c r="K138" s="7">
        <v>-3281.59</v>
      </c>
      <c r="L138" s="7">
        <v>-3281.59</v>
      </c>
      <c r="M138" s="7">
        <v>-3281.59</v>
      </c>
      <c r="N138" s="7">
        <v>-3281.59</v>
      </c>
      <c r="O138" s="7">
        <v>-3281.59</v>
      </c>
      <c r="P138" s="7">
        <v>-3281.59</v>
      </c>
      <c r="Q138" s="7">
        <v>-3281.59</v>
      </c>
      <c r="R138" s="7">
        <v>-3281.59</v>
      </c>
      <c r="S138" s="7">
        <v>-3281.59</v>
      </c>
      <c r="T138" s="7">
        <v>-3281.59</v>
      </c>
      <c r="U138" s="7">
        <v>-3281.59</v>
      </c>
      <c r="V138" s="7">
        <v>-3281.59</v>
      </c>
      <c r="W138" s="8">
        <f t="shared" si="5"/>
        <v>-39379.08</v>
      </c>
      <c r="X138" s="9" t="s">
        <v>245</v>
      </c>
    </row>
    <row r="139" spans="2:24" ht="18" customHeight="1" x14ac:dyDescent="0.35">
      <c r="B139" s="5">
        <v>2027</v>
      </c>
      <c r="C139" s="5" t="s">
        <v>26</v>
      </c>
      <c r="D139" s="6" t="s">
        <v>27</v>
      </c>
      <c r="E139" s="6" t="s">
        <v>28</v>
      </c>
      <c r="F139" s="6" t="s">
        <v>29</v>
      </c>
      <c r="G139" s="6" t="s">
        <v>134</v>
      </c>
      <c r="H139" s="6" t="s">
        <v>243</v>
      </c>
      <c r="I139" s="6" t="s">
        <v>248</v>
      </c>
      <c r="J139" s="5" t="s">
        <v>33</v>
      </c>
      <c r="K139" s="7">
        <v>-2975.68</v>
      </c>
      <c r="L139" s="7">
        <v>-2975.68</v>
      </c>
      <c r="M139" s="7">
        <v>-2975.68</v>
      </c>
      <c r="N139" s="7">
        <v>-2975.68</v>
      </c>
      <c r="O139" s="7">
        <v>-2975.68</v>
      </c>
      <c r="P139" s="7">
        <v>-2975.68</v>
      </c>
      <c r="Q139" s="7">
        <v>-2975.68</v>
      </c>
      <c r="R139" s="7">
        <v>-2975.68</v>
      </c>
      <c r="S139" s="7">
        <v>-2975.68</v>
      </c>
      <c r="T139" s="7">
        <v>-2975.68</v>
      </c>
      <c r="U139" s="7">
        <v>-2975.68</v>
      </c>
      <c r="V139" s="7">
        <v>-2975.68</v>
      </c>
      <c r="W139" s="8">
        <f t="shared" si="5"/>
        <v>-35708.159999999996</v>
      </c>
      <c r="X139" s="9" t="s">
        <v>245</v>
      </c>
    </row>
    <row r="140" spans="2:24" ht="18" customHeight="1" x14ac:dyDescent="0.35">
      <c r="B140" s="5">
        <v>2027</v>
      </c>
      <c r="C140" s="5" t="s">
        <v>26</v>
      </c>
      <c r="D140" s="6" t="s">
        <v>27</v>
      </c>
      <c r="E140" s="6" t="s">
        <v>28</v>
      </c>
      <c r="F140" s="6" t="s">
        <v>29</v>
      </c>
      <c r="G140" s="6" t="s">
        <v>134</v>
      </c>
      <c r="H140" s="6" t="s">
        <v>249</v>
      </c>
      <c r="I140" s="6" t="s">
        <v>250</v>
      </c>
      <c r="J140" s="5" t="s">
        <v>33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8">
        <f t="shared" si="5"/>
        <v>0</v>
      </c>
      <c r="X140" s="9" t="s">
        <v>146</v>
      </c>
    </row>
    <row r="141" spans="2:24" ht="18" customHeight="1" x14ac:dyDescent="0.35">
      <c r="B141" s="5">
        <v>2027</v>
      </c>
      <c r="C141" s="5" t="s">
        <v>26</v>
      </c>
      <c r="D141" s="6" t="s">
        <v>27</v>
      </c>
      <c r="E141" s="6" t="s">
        <v>28</v>
      </c>
      <c r="F141" s="6" t="s">
        <v>29</v>
      </c>
      <c r="G141" s="6" t="s">
        <v>134</v>
      </c>
      <c r="H141" s="6" t="s">
        <v>249</v>
      </c>
      <c r="I141" s="6" t="s">
        <v>251</v>
      </c>
      <c r="J141" s="5" t="s">
        <v>33</v>
      </c>
      <c r="K141" s="7">
        <v>-49.02</v>
      </c>
      <c r="L141" s="7">
        <v>-49.02</v>
      </c>
      <c r="M141" s="7">
        <v>-49.02</v>
      </c>
      <c r="N141" s="7">
        <v>-49.02</v>
      </c>
      <c r="O141" s="7">
        <v>-49.02</v>
      </c>
      <c r="P141" s="7">
        <v>-49.02</v>
      </c>
      <c r="Q141" s="7">
        <v>-49.02</v>
      </c>
      <c r="R141" s="7">
        <v>-49.02</v>
      </c>
      <c r="S141" s="7">
        <v>-49.02</v>
      </c>
      <c r="T141" s="7">
        <v>-49.02</v>
      </c>
      <c r="U141" s="7">
        <v>-49.02</v>
      </c>
      <c r="V141" s="7">
        <v>-49.02</v>
      </c>
      <c r="W141" s="8">
        <f t="shared" si="5"/>
        <v>-588.2399999999999</v>
      </c>
      <c r="X141" s="9" t="s">
        <v>252</v>
      </c>
    </row>
    <row r="142" spans="2:24" ht="18" customHeight="1" x14ac:dyDescent="0.35">
      <c r="B142" s="5">
        <v>2027</v>
      </c>
      <c r="C142" s="5" t="s">
        <v>26</v>
      </c>
      <c r="D142" s="6" t="s">
        <v>27</v>
      </c>
      <c r="E142" s="6" t="s">
        <v>28</v>
      </c>
      <c r="F142" s="6" t="s">
        <v>29</v>
      </c>
      <c r="G142" s="6" t="s">
        <v>134</v>
      </c>
      <c r="H142" s="6" t="s">
        <v>249</v>
      </c>
      <c r="I142" s="6" t="s">
        <v>253</v>
      </c>
      <c r="J142" s="5" t="s">
        <v>33</v>
      </c>
      <c r="K142" s="7">
        <v>-171.17</v>
      </c>
      <c r="L142" s="7">
        <v>-171.17</v>
      </c>
      <c r="M142" s="7">
        <v>-171.17</v>
      </c>
      <c r="N142" s="7">
        <v>-171.17</v>
      </c>
      <c r="O142" s="7">
        <v>-171.17</v>
      </c>
      <c r="P142" s="7">
        <v>-171.17</v>
      </c>
      <c r="Q142" s="7">
        <v>-171.17</v>
      </c>
      <c r="R142" s="7">
        <v>-171.17</v>
      </c>
      <c r="S142" s="7">
        <v>-171.17</v>
      </c>
      <c r="T142" s="7">
        <v>-171.17</v>
      </c>
      <c r="U142" s="7">
        <v>-171.17</v>
      </c>
      <c r="V142" s="7">
        <v>-171.17</v>
      </c>
      <c r="W142" s="8">
        <f t="shared" si="5"/>
        <v>-2054.0400000000004</v>
      </c>
      <c r="X142" s="9" t="s">
        <v>252</v>
      </c>
    </row>
    <row r="143" spans="2:24" ht="18" customHeight="1" x14ac:dyDescent="0.35">
      <c r="B143" s="5">
        <v>2027</v>
      </c>
      <c r="C143" s="5" t="s">
        <v>26</v>
      </c>
      <c r="D143" s="6" t="s">
        <v>27</v>
      </c>
      <c r="E143" s="6" t="s">
        <v>28</v>
      </c>
      <c r="F143" s="6" t="s">
        <v>29</v>
      </c>
      <c r="G143" s="6" t="s">
        <v>134</v>
      </c>
      <c r="H143" s="6" t="s">
        <v>249</v>
      </c>
      <c r="I143" s="6" t="s">
        <v>254</v>
      </c>
      <c r="J143" s="5" t="s">
        <v>33</v>
      </c>
      <c r="K143" s="7">
        <v>-811.09</v>
      </c>
      <c r="L143" s="7">
        <v>-811.09</v>
      </c>
      <c r="M143" s="7">
        <v>-811.09</v>
      </c>
      <c r="N143" s="7">
        <v>-811.09</v>
      </c>
      <c r="O143" s="7">
        <v>-811.09</v>
      </c>
      <c r="P143" s="7">
        <v>-811.09</v>
      </c>
      <c r="Q143" s="7">
        <v>-811.09</v>
      </c>
      <c r="R143" s="7">
        <v>-811.09</v>
      </c>
      <c r="S143" s="7">
        <v>-811.09</v>
      </c>
      <c r="T143" s="7">
        <v>-811.09</v>
      </c>
      <c r="U143" s="7">
        <v>-811.09</v>
      </c>
      <c r="V143" s="7">
        <v>-811.09</v>
      </c>
      <c r="W143" s="8">
        <f t="shared" si="5"/>
        <v>-9733.08</v>
      </c>
      <c r="X143" s="9" t="s">
        <v>252</v>
      </c>
    </row>
    <row r="144" spans="2:24" ht="18" customHeight="1" x14ac:dyDescent="0.35">
      <c r="B144" s="5">
        <v>2027</v>
      </c>
      <c r="C144" s="5" t="s">
        <v>26</v>
      </c>
      <c r="D144" s="6" t="s">
        <v>27</v>
      </c>
      <c r="E144" s="6" t="s">
        <v>28</v>
      </c>
      <c r="F144" s="6" t="s">
        <v>29</v>
      </c>
      <c r="G144" s="6" t="s">
        <v>134</v>
      </c>
      <c r="H144" s="6" t="s">
        <v>255</v>
      </c>
      <c r="I144" s="6" t="s">
        <v>256</v>
      </c>
      <c r="J144" s="5" t="s">
        <v>33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8">
        <f t="shared" si="5"/>
        <v>0</v>
      </c>
      <c r="X144" s="9" t="s">
        <v>146</v>
      </c>
    </row>
    <row r="145" spans="2:24" ht="18" customHeight="1" x14ac:dyDescent="0.35">
      <c r="B145" s="5">
        <v>2027</v>
      </c>
      <c r="C145" s="5" t="s">
        <v>26</v>
      </c>
      <c r="D145" s="6" t="s">
        <v>27</v>
      </c>
      <c r="E145" s="6" t="s">
        <v>28</v>
      </c>
      <c r="F145" s="6" t="s">
        <v>29</v>
      </c>
      <c r="G145" s="6" t="s">
        <v>134</v>
      </c>
      <c r="H145" s="6" t="s">
        <v>255</v>
      </c>
      <c r="I145" s="6" t="s">
        <v>257</v>
      </c>
      <c r="J145" s="5" t="s">
        <v>33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8">
        <f t="shared" si="5"/>
        <v>0</v>
      </c>
      <c r="X145" s="9" t="s">
        <v>258</v>
      </c>
    </row>
    <row r="146" spans="2:24" ht="18" customHeight="1" x14ac:dyDescent="0.35">
      <c r="B146" s="5">
        <v>2027</v>
      </c>
      <c r="C146" s="5" t="s">
        <v>26</v>
      </c>
      <c r="D146" s="6" t="s">
        <v>27</v>
      </c>
      <c r="E146" s="6" t="s">
        <v>28</v>
      </c>
      <c r="F146" s="6" t="s">
        <v>29</v>
      </c>
      <c r="G146" s="6" t="s">
        <v>134</v>
      </c>
      <c r="H146" s="6" t="s">
        <v>255</v>
      </c>
      <c r="I146" s="6" t="s">
        <v>259</v>
      </c>
      <c r="J146" s="5" t="s">
        <v>33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8">
        <f t="shared" si="5"/>
        <v>0</v>
      </c>
      <c r="X146" s="9" t="s">
        <v>258</v>
      </c>
    </row>
    <row r="147" spans="2:24" ht="18" customHeight="1" x14ac:dyDescent="0.35">
      <c r="B147" s="5">
        <v>2027</v>
      </c>
      <c r="C147" s="5" t="s">
        <v>26</v>
      </c>
      <c r="D147" s="6" t="s">
        <v>27</v>
      </c>
      <c r="E147" s="6" t="s">
        <v>28</v>
      </c>
      <c r="F147" s="6" t="s">
        <v>29</v>
      </c>
      <c r="G147" s="6" t="s">
        <v>134</v>
      </c>
      <c r="H147" s="6" t="s">
        <v>255</v>
      </c>
      <c r="I147" s="6" t="s">
        <v>260</v>
      </c>
      <c r="J147" s="5" t="s">
        <v>33</v>
      </c>
      <c r="K147" s="7">
        <v>-2469.92</v>
      </c>
      <c r="L147" s="7">
        <v>-3006.08</v>
      </c>
      <c r="M147" s="7">
        <v>-2874.69</v>
      </c>
      <c r="N147" s="7">
        <v>-3233.22</v>
      </c>
      <c r="O147" s="7">
        <v>-2543.62</v>
      </c>
      <c r="P147" s="7">
        <v>-1816.83</v>
      </c>
      <c r="Q147" s="7">
        <v>-1556.94</v>
      </c>
      <c r="R147" s="7">
        <v>-658.01</v>
      </c>
      <c r="S147" s="7">
        <v>-1867.78</v>
      </c>
      <c r="T147" s="7">
        <v>-1290.69</v>
      </c>
      <c r="U147" s="7">
        <v>-2792.91</v>
      </c>
      <c r="V147" s="7">
        <v>-1519.31</v>
      </c>
      <c r="W147" s="8">
        <f t="shared" si="5"/>
        <v>-25629.999999999996</v>
      </c>
      <c r="X147" s="9" t="s">
        <v>261</v>
      </c>
    </row>
    <row r="148" spans="2:24" ht="18" customHeight="1" x14ac:dyDescent="0.35">
      <c r="B148" s="5">
        <v>2027</v>
      </c>
      <c r="C148" s="5" t="s">
        <v>26</v>
      </c>
      <c r="D148" s="6" t="s">
        <v>27</v>
      </c>
      <c r="E148" s="6" t="s">
        <v>28</v>
      </c>
      <c r="F148" s="6" t="s">
        <v>29</v>
      </c>
      <c r="G148" s="6" t="s">
        <v>134</v>
      </c>
      <c r="H148" s="6" t="s">
        <v>255</v>
      </c>
      <c r="I148" s="6" t="s">
        <v>262</v>
      </c>
      <c r="J148" s="5" t="s">
        <v>33</v>
      </c>
      <c r="K148" s="7">
        <v>-3254.36</v>
      </c>
      <c r="L148" s="7">
        <v>-3960.8</v>
      </c>
      <c r="M148" s="7">
        <v>-3787.68</v>
      </c>
      <c r="N148" s="7">
        <v>-4260.08</v>
      </c>
      <c r="O148" s="7">
        <v>-3351.46</v>
      </c>
      <c r="P148" s="7">
        <v>-2393.84</v>
      </c>
      <c r="Q148" s="7">
        <v>-2051.41</v>
      </c>
      <c r="R148" s="7">
        <v>-866.99</v>
      </c>
      <c r="S148" s="7">
        <v>-2460.9899999999998</v>
      </c>
      <c r="T148" s="7">
        <v>-1700.61</v>
      </c>
      <c r="U148" s="7">
        <v>-3679.93</v>
      </c>
      <c r="V148" s="7">
        <v>-2001.84</v>
      </c>
      <c r="W148" s="8">
        <f t="shared" si="5"/>
        <v>-33769.99</v>
      </c>
      <c r="X148" s="9" t="s">
        <v>263</v>
      </c>
    </row>
    <row r="149" spans="2:24" ht="18" customHeight="1" x14ac:dyDescent="0.35">
      <c r="B149" s="5">
        <v>2027</v>
      </c>
      <c r="C149" s="5" t="s">
        <v>26</v>
      </c>
      <c r="D149" s="6" t="s">
        <v>27</v>
      </c>
      <c r="E149" s="6" t="s">
        <v>28</v>
      </c>
      <c r="F149" s="6" t="s">
        <v>29</v>
      </c>
      <c r="G149" s="6" t="s">
        <v>134</v>
      </c>
      <c r="H149" s="6" t="s">
        <v>255</v>
      </c>
      <c r="I149" s="6" t="s">
        <v>264</v>
      </c>
      <c r="J149" s="5" t="s">
        <v>33</v>
      </c>
      <c r="K149" s="7">
        <v>-18917.14</v>
      </c>
      <c r="L149" s="7">
        <v>-23023.56</v>
      </c>
      <c r="M149" s="7">
        <v>-22017.24</v>
      </c>
      <c r="N149" s="7">
        <v>-24763.22</v>
      </c>
      <c r="O149" s="7">
        <v>-19481.53</v>
      </c>
      <c r="P149" s="7">
        <v>-13915.06</v>
      </c>
      <c r="Q149" s="7">
        <v>-11924.56</v>
      </c>
      <c r="R149" s="7">
        <v>-5039.7</v>
      </c>
      <c r="S149" s="7">
        <v>-14305.34</v>
      </c>
      <c r="T149" s="7">
        <v>-9885.3700000000008</v>
      </c>
      <c r="U149" s="7">
        <v>-21390.880000000001</v>
      </c>
      <c r="V149" s="7">
        <v>-11636.39</v>
      </c>
      <c r="W149" s="8">
        <f t="shared" si="5"/>
        <v>-196299.99</v>
      </c>
      <c r="X149" s="9" t="s">
        <v>265</v>
      </c>
    </row>
    <row r="150" spans="2:24" ht="18" customHeight="1" x14ac:dyDescent="0.35">
      <c r="B150" s="5">
        <v>2027</v>
      </c>
      <c r="C150" s="5" t="s">
        <v>26</v>
      </c>
      <c r="D150" s="6" t="s">
        <v>27</v>
      </c>
      <c r="E150" s="6" t="s">
        <v>28</v>
      </c>
      <c r="F150" s="6" t="s">
        <v>29</v>
      </c>
      <c r="G150" s="6" t="s">
        <v>134</v>
      </c>
      <c r="H150" s="6" t="s">
        <v>255</v>
      </c>
      <c r="I150" s="6" t="s">
        <v>266</v>
      </c>
      <c r="J150" s="5" t="s">
        <v>33</v>
      </c>
      <c r="K150" s="7">
        <v>-999.57</v>
      </c>
      <c r="L150" s="7">
        <v>-1216.55</v>
      </c>
      <c r="M150" s="7">
        <v>-1163.3800000000001</v>
      </c>
      <c r="N150" s="7">
        <v>-1308.48</v>
      </c>
      <c r="O150" s="7">
        <v>-1029.3900000000001</v>
      </c>
      <c r="P150" s="7">
        <v>-735.27</v>
      </c>
      <c r="Q150" s="7">
        <v>-630.09</v>
      </c>
      <c r="R150" s="7">
        <v>-266.3</v>
      </c>
      <c r="S150" s="7">
        <v>-755.89</v>
      </c>
      <c r="T150" s="7">
        <v>-522.34</v>
      </c>
      <c r="U150" s="7">
        <v>-1130.28</v>
      </c>
      <c r="V150" s="7">
        <v>-614.86</v>
      </c>
      <c r="W150" s="8">
        <f t="shared" si="5"/>
        <v>-10372.400000000001</v>
      </c>
      <c r="X150" s="9" t="s">
        <v>267</v>
      </c>
    </row>
    <row r="151" spans="2:24" ht="18" customHeight="1" x14ac:dyDescent="0.35">
      <c r="B151" s="5">
        <v>2027</v>
      </c>
      <c r="C151" s="5" t="s">
        <v>26</v>
      </c>
      <c r="D151" s="6" t="s">
        <v>27</v>
      </c>
      <c r="E151" s="6" t="s">
        <v>28</v>
      </c>
      <c r="F151" s="6" t="s">
        <v>29</v>
      </c>
      <c r="G151" s="6" t="s">
        <v>134</v>
      </c>
      <c r="H151" s="6" t="s">
        <v>255</v>
      </c>
      <c r="I151" s="6" t="s">
        <v>268</v>
      </c>
      <c r="J151" s="5" t="s">
        <v>33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8">
        <f t="shared" si="5"/>
        <v>0</v>
      </c>
      <c r="X151" s="9" t="s">
        <v>258</v>
      </c>
    </row>
    <row r="152" spans="2:24" ht="18" customHeight="1" x14ac:dyDescent="0.35">
      <c r="B152" s="5">
        <v>2027</v>
      </c>
      <c r="C152" s="5" t="s">
        <v>26</v>
      </c>
      <c r="D152" s="6" t="s">
        <v>27</v>
      </c>
      <c r="E152" s="6" t="s">
        <v>28</v>
      </c>
      <c r="F152" s="6" t="s">
        <v>29</v>
      </c>
      <c r="G152" s="6" t="s">
        <v>134</v>
      </c>
      <c r="H152" s="6" t="s">
        <v>269</v>
      </c>
      <c r="I152" s="6" t="s">
        <v>270</v>
      </c>
      <c r="J152" s="5" t="s">
        <v>33</v>
      </c>
      <c r="K152" s="7">
        <v>-489</v>
      </c>
      <c r="L152" s="7">
        <v>-489</v>
      </c>
      <c r="M152" s="7">
        <v>-489</v>
      </c>
      <c r="N152" s="7">
        <v>-489</v>
      </c>
      <c r="O152" s="7">
        <v>-489</v>
      </c>
      <c r="P152" s="7">
        <v>-489</v>
      </c>
      <c r="Q152" s="7">
        <v>-489</v>
      </c>
      <c r="R152" s="7">
        <v>-489</v>
      </c>
      <c r="S152" s="7">
        <v>-489</v>
      </c>
      <c r="T152" s="7">
        <v>-489</v>
      </c>
      <c r="U152" s="7">
        <v>-489</v>
      </c>
      <c r="V152" s="7">
        <v>-489</v>
      </c>
      <c r="W152" s="8">
        <f t="shared" si="5"/>
        <v>-5868</v>
      </c>
      <c r="X152" s="9" t="s">
        <v>201</v>
      </c>
    </row>
    <row r="153" spans="2:24" ht="18" customHeight="1" x14ac:dyDescent="0.35">
      <c r="B153" s="5">
        <v>2027</v>
      </c>
      <c r="C153" s="5" t="s">
        <v>26</v>
      </c>
      <c r="D153" s="6" t="s">
        <v>27</v>
      </c>
      <c r="E153" s="6" t="s">
        <v>28</v>
      </c>
      <c r="F153" s="6" t="s">
        <v>29</v>
      </c>
      <c r="G153" s="6" t="s">
        <v>134</v>
      </c>
      <c r="H153" s="6" t="s">
        <v>269</v>
      </c>
      <c r="I153" s="6" t="s">
        <v>271</v>
      </c>
      <c r="J153" s="5" t="s">
        <v>33</v>
      </c>
      <c r="K153" s="7">
        <v>-3500</v>
      </c>
      <c r="L153" s="7">
        <v>-4200</v>
      </c>
      <c r="M153" s="7">
        <v>-4200</v>
      </c>
      <c r="N153" s="7">
        <v>-4200</v>
      </c>
      <c r="O153" s="7">
        <v>-4200</v>
      </c>
      <c r="P153" s="7">
        <v>-4200</v>
      </c>
      <c r="Q153" s="7">
        <v>-4200</v>
      </c>
      <c r="R153" s="7">
        <v>-3500</v>
      </c>
      <c r="S153" s="7">
        <v>-3500</v>
      </c>
      <c r="T153" s="7">
        <v>-3500</v>
      </c>
      <c r="U153" s="7">
        <v>-4200</v>
      </c>
      <c r="V153" s="7">
        <v>-4200</v>
      </c>
      <c r="W153" s="8">
        <f t="shared" si="5"/>
        <v>-47600</v>
      </c>
      <c r="X153" s="9" t="s">
        <v>272</v>
      </c>
    </row>
    <row r="154" spans="2:24" ht="18" customHeight="1" x14ac:dyDescent="0.35">
      <c r="B154" s="5">
        <v>2027</v>
      </c>
      <c r="C154" s="5" t="s">
        <v>26</v>
      </c>
      <c r="D154" s="6" t="s">
        <v>27</v>
      </c>
      <c r="E154" s="6" t="s">
        <v>28</v>
      </c>
      <c r="F154" s="6" t="s">
        <v>29</v>
      </c>
      <c r="G154" s="6" t="s">
        <v>134</v>
      </c>
      <c r="H154" s="6" t="s">
        <v>269</v>
      </c>
      <c r="I154" s="6" t="s">
        <v>273</v>
      </c>
      <c r="J154" s="5" t="s">
        <v>33</v>
      </c>
      <c r="K154" s="7">
        <v>-1435.94</v>
      </c>
      <c r="L154" s="7">
        <v>-1435.94</v>
      </c>
      <c r="M154" s="7">
        <v>-1435.94</v>
      </c>
      <c r="N154" s="7">
        <v>-1435.94</v>
      </c>
      <c r="O154" s="7">
        <v>-1435.94</v>
      </c>
      <c r="P154" s="7">
        <v>-1435.94</v>
      </c>
      <c r="Q154" s="7">
        <v>-1435.94</v>
      </c>
      <c r="R154" s="7">
        <v>-1435.94</v>
      </c>
      <c r="S154" s="7">
        <v>-1435.94</v>
      </c>
      <c r="T154" s="7">
        <v>-1435.94</v>
      </c>
      <c r="U154" s="7">
        <v>-1435.94</v>
      </c>
      <c r="V154" s="7">
        <v>-1435.94</v>
      </c>
      <c r="W154" s="8">
        <f t="shared" si="5"/>
        <v>-17231.280000000002</v>
      </c>
      <c r="X154" s="9" t="s">
        <v>201</v>
      </c>
    </row>
    <row r="155" spans="2:24" ht="18" customHeight="1" x14ac:dyDescent="0.35">
      <c r="B155" s="5">
        <v>2027</v>
      </c>
      <c r="C155" s="5" t="s">
        <v>26</v>
      </c>
      <c r="D155" s="6" t="s">
        <v>27</v>
      </c>
      <c r="E155" s="6" t="s">
        <v>28</v>
      </c>
      <c r="F155" s="6" t="s">
        <v>29</v>
      </c>
      <c r="G155" s="6" t="s">
        <v>134</v>
      </c>
      <c r="H155" s="6" t="s">
        <v>269</v>
      </c>
      <c r="I155" s="6" t="s">
        <v>274</v>
      </c>
      <c r="J155" s="5" t="s">
        <v>33</v>
      </c>
      <c r="K155" s="7">
        <v>-800</v>
      </c>
      <c r="L155" s="7">
        <v>-800</v>
      </c>
      <c r="M155" s="7">
        <v>-250</v>
      </c>
      <c r="N155" s="7">
        <v>-250</v>
      </c>
      <c r="O155" s="7">
        <v>-250</v>
      </c>
      <c r="P155" s="7">
        <v>-250</v>
      </c>
      <c r="Q155" s="7">
        <v>-250</v>
      </c>
      <c r="R155" s="7">
        <v>-250</v>
      </c>
      <c r="S155" s="7">
        <v>-250</v>
      </c>
      <c r="T155" s="7">
        <v>-250</v>
      </c>
      <c r="U155" s="7">
        <v>-800</v>
      </c>
      <c r="V155" s="7">
        <v>-800</v>
      </c>
      <c r="W155" s="8">
        <f t="shared" si="5"/>
        <v>-5200</v>
      </c>
      <c r="X155" s="9" t="s">
        <v>275</v>
      </c>
    </row>
    <row r="156" spans="2:24" ht="18" customHeight="1" x14ac:dyDescent="0.35">
      <c r="B156" s="5">
        <v>2027</v>
      </c>
      <c r="C156" s="5" t="s">
        <v>26</v>
      </c>
      <c r="D156" s="6" t="s">
        <v>27</v>
      </c>
      <c r="E156" s="6" t="s">
        <v>28</v>
      </c>
      <c r="F156" s="6" t="s">
        <v>29</v>
      </c>
      <c r="G156" s="6" t="s">
        <v>134</v>
      </c>
      <c r="H156" s="6" t="s">
        <v>269</v>
      </c>
      <c r="I156" s="6" t="s">
        <v>276</v>
      </c>
      <c r="J156" s="5" t="s">
        <v>33</v>
      </c>
      <c r="K156" s="7">
        <v>-1693.78</v>
      </c>
      <c r="L156" s="7">
        <v>-1693.78</v>
      </c>
      <c r="M156" s="7">
        <v>-1693.78</v>
      </c>
      <c r="N156" s="7">
        <v>-1693.78</v>
      </c>
      <c r="O156" s="7">
        <v>-1693.78</v>
      </c>
      <c r="P156" s="7">
        <v>-1693.78</v>
      </c>
      <c r="Q156" s="7">
        <v>-1693.78</v>
      </c>
      <c r="R156" s="7">
        <v>-1693.78</v>
      </c>
      <c r="S156" s="7">
        <v>-1693.78</v>
      </c>
      <c r="T156" s="7">
        <v>-1693.78</v>
      </c>
      <c r="U156" s="7">
        <v>-1693.78</v>
      </c>
      <c r="V156" s="7">
        <v>-1693.78</v>
      </c>
      <c r="W156" s="8">
        <f t="shared" si="5"/>
        <v>-20325.36</v>
      </c>
      <c r="X156" s="9" t="s">
        <v>201</v>
      </c>
    </row>
    <row r="157" spans="2:24" ht="18" customHeight="1" x14ac:dyDescent="0.35">
      <c r="B157" s="5">
        <v>2027</v>
      </c>
      <c r="C157" s="5" t="s">
        <v>26</v>
      </c>
      <c r="D157" s="6" t="s">
        <v>27</v>
      </c>
      <c r="E157" s="6" t="s">
        <v>28</v>
      </c>
      <c r="F157" s="6" t="s">
        <v>29</v>
      </c>
      <c r="G157" s="6" t="s">
        <v>134</v>
      </c>
      <c r="H157" s="6" t="s">
        <v>277</v>
      </c>
      <c r="I157" s="6" t="s">
        <v>278</v>
      </c>
      <c r="J157" s="5" t="s">
        <v>33</v>
      </c>
      <c r="K157" s="7">
        <v>-213</v>
      </c>
      <c r="L157" s="7">
        <v>-213</v>
      </c>
      <c r="M157" s="7">
        <v>-213</v>
      </c>
      <c r="N157" s="7">
        <v>-213</v>
      </c>
      <c r="O157" s="7">
        <v>-213</v>
      </c>
      <c r="P157" s="7">
        <v>-213</v>
      </c>
      <c r="Q157" s="7">
        <v>-213</v>
      </c>
      <c r="R157" s="7">
        <v>-213</v>
      </c>
      <c r="S157" s="7">
        <v>-213</v>
      </c>
      <c r="T157" s="7">
        <v>-213</v>
      </c>
      <c r="U157" s="7">
        <v>-213</v>
      </c>
      <c r="V157" s="7">
        <v>-213</v>
      </c>
      <c r="W157" s="8">
        <f t="shared" si="5"/>
        <v>-2556</v>
      </c>
      <c r="X157" s="9" t="s">
        <v>279</v>
      </c>
    </row>
    <row r="158" spans="2:24" ht="18" customHeight="1" x14ac:dyDescent="0.35">
      <c r="B158" s="5">
        <v>2027</v>
      </c>
      <c r="C158" s="5" t="s">
        <v>26</v>
      </c>
      <c r="D158" s="6" t="s">
        <v>27</v>
      </c>
      <c r="E158" s="6" t="s">
        <v>28</v>
      </c>
      <c r="F158" s="6" t="s">
        <v>29</v>
      </c>
      <c r="G158" s="6" t="s">
        <v>134</v>
      </c>
      <c r="H158" s="6" t="s">
        <v>277</v>
      </c>
      <c r="I158" s="6" t="s">
        <v>280</v>
      </c>
      <c r="J158" s="5" t="s">
        <v>33</v>
      </c>
      <c r="K158" s="7">
        <v>-7550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-515</v>
      </c>
      <c r="R158" s="7">
        <v>0</v>
      </c>
      <c r="S158" s="7">
        <v>-8625</v>
      </c>
      <c r="T158" s="7">
        <v>0</v>
      </c>
      <c r="U158" s="7">
        <v>0</v>
      </c>
      <c r="V158" s="7">
        <v>-8625</v>
      </c>
      <c r="W158" s="8">
        <f t="shared" si="5"/>
        <v>-25315</v>
      </c>
      <c r="X158" s="9" t="s">
        <v>281</v>
      </c>
    </row>
    <row r="159" spans="2:24" ht="18" customHeight="1" x14ac:dyDescent="0.35">
      <c r="B159" s="5">
        <v>2027</v>
      </c>
      <c r="C159" s="5" t="s">
        <v>26</v>
      </c>
      <c r="D159" s="6" t="s">
        <v>27</v>
      </c>
      <c r="E159" s="6" t="s">
        <v>28</v>
      </c>
      <c r="F159" s="6" t="s">
        <v>29</v>
      </c>
      <c r="G159" s="6" t="s">
        <v>134</v>
      </c>
      <c r="H159" s="6" t="s">
        <v>277</v>
      </c>
      <c r="I159" s="6" t="s">
        <v>282</v>
      </c>
      <c r="J159" s="5" t="s">
        <v>33</v>
      </c>
      <c r="K159" s="7">
        <v>-460.58</v>
      </c>
      <c r="L159" s="7">
        <v>-460.58</v>
      </c>
      <c r="M159" s="7">
        <v>-460.58</v>
      </c>
      <c r="N159" s="7">
        <v>-460.58</v>
      </c>
      <c r="O159" s="7">
        <v>-460.58</v>
      </c>
      <c r="P159" s="7">
        <v>-460.58</v>
      </c>
      <c r="Q159" s="7">
        <v>-460.58</v>
      </c>
      <c r="R159" s="7">
        <v>-460.58</v>
      </c>
      <c r="S159" s="7">
        <v>-460.58</v>
      </c>
      <c r="T159" s="7">
        <v>-460.58</v>
      </c>
      <c r="U159" s="7">
        <v>-460.58</v>
      </c>
      <c r="V159" s="7">
        <v>-460.58</v>
      </c>
      <c r="W159" s="8">
        <f t="shared" si="5"/>
        <v>-5526.96</v>
      </c>
      <c r="X159" s="9" t="s">
        <v>279</v>
      </c>
    </row>
    <row r="160" spans="2:24" ht="18" customHeight="1" x14ac:dyDescent="0.35">
      <c r="B160" s="5">
        <v>2027</v>
      </c>
      <c r="C160" s="5" t="s">
        <v>26</v>
      </c>
      <c r="D160" s="6" t="s">
        <v>27</v>
      </c>
      <c r="E160" s="6" t="s">
        <v>28</v>
      </c>
      <c r="F160" s="6" t="s">
        <v>29</v>
      </c>
      <c r="G160" s="6" t="s">
        <v>134</v>
      </c>
      <c r="H160" s="6" t="s">
        <v>277</v>
      </c>
      <c r="I160" s="6" t="s">
        <v>283</v>
      </c>
      <c r="J160" s="5" t="s">
        <v>33</v>
      </c>
      <c r="K160" s="7">
        <v>-74.989999999999995</v>
      </c>
      <c r="L160" s="7">
        <v>-74.989999999999995</v>
      </c>
      <c r="M160" s="7">
        <v>-74.989999999999995</v>
      </c>
      <c r="N160" s="7">
        <v>-74.989999999999995</v>
      </c>
      <c r="O160" s="7">
        <v>-74.989999999999995</v>
      </c>
      <c r="P160" s="7">
        <v>-74.989999999999995</v>
      </c>
      <c r="Q160" s="7">
        <v>-74.989999999999995</v>
      </c>
      <c r="R160" s="7">
        <v>-74.989999999999995</v>
      </c>
      <c r="S160" s="7">
        <v>-74.989999999999995</v>
      </c>
      <c r="T160" s="7">
        <v>-74.989999999999995</v>
      </c>
      <c r="U160" s="7">
        <v>-74.989999999999995</v>
      </c>
      <c r="V160" s="7">
        <v>-74.989999999999995</v>
      </c>
      <c r="W160" s="8">
        <f t="shared" si="5"/>
        <v>-899.88</v>
      </c>
      <c r="X160" s="9" t="s">
        <v>279</v>
      </c>
    </row>
    <row r="161" spans="2:24" ht="18" customHeight="1" x14ac:dyDescent="0.35">
      <c r="B161" s="5">
        <v>2027</v>
      </c>
      <c r="C161" s="5" t="s">
        <v>26</v>
      </c>
      <c r="D161" s="6" t="s">
        <v>27</v>
      </c>
      <c r="E161" s="6" t="s">
        <v>28</v>
      </c>
      <c r="F161" s="6" t="s">
        <v>29</v>
      </c>
      <c r="G161" s="6" t="s">
        <v>134</v>
      </c>
      <c r="H161" s="6" t="s">
        <v>277</v>
      </c>
      <c r="I161" s="6" t="s">
        <v>284</v>
      </c>
      <c r="J161" s="5" t="s">
        <v>33</v>
      </c>
      <c r="K161" s="7">
        <v>-550</v>
      </c>
      <c r="L161" s="7">
        <v>-550</v>
      </c>
      <c r="M161" s="7">
        <v>-550</v>
      </c>
      <c r="N161" s="7">
        <v>-550</v>
      </c>
      <c r="O161" s="7">
        <v>-550</v>
      </c>
      <c r="P161" s="7">
        <v>-550</v>
      </c>
      <c r="Q161" s="7">
        <v>-550</v>
      </c>
      <c r="R161" s="7">
        <v>-550</v>
      </c>
      <c r="S161" s="7">
        <v>-550</v>
      </c>
      <c r="T161" s="7">
        <v>-550</v>
      </c>
      <c r="U161" s="7">
        <v>-550</v>
      </c>
      <c r="V161" s="7">
        <v>-550</v>
      </c>
      <c r="W161" s="8">
        <f t="shared" si="5"/>
        <v>-6600</v>
      </c>
      <c r="X161" s="9" t="s">
        <v>285</v>
      </c>
    </row>
    <row r="162" spans="2:24" ht="18" customHeight="1" x14ac:dyDescent="0.35">
      <c r="B162" s="5">
        <v>2027</v>
      </c>
      <c r="C162" s="5" t="s">
        <v>26</v>
      </c>
      <c r="D162" s="6" t="s">
        <v>27</v>
      </c>
      <c r="E162" s="6" t="s">
        <v>28</v>
      </c>
      <c r="F162" s="6" t="s">
        <v>29</v>
      </c>
      <c r="G162" s="6" t="s">
        <v>134</v>
      </c>
      <c r="H162" s="6" t="s">
        <v>277</v>
      </c>
      <c r="I162" s="6" t="s">
        <v>286</v>
      </c>
      <c r="J162" s="5" t="s">
        <v>33</v>
      </c>
      <c r="K162" s="7">
        <v>-96</v>
      </c>
      <c r="L162" s="7">
        <v>-96</v>
      </c>
      <c r="M162" s="7">
        <v>-96</v>
      </c>
      <c r="N162" s="7">
        <v>-96</v>
      </c>
      <c r="O162" s="7">
        <v>-96</v>
      </c>
      <c r="P162" s="7">
        <v>-96</v>
      </c>
      <c r="Q162" s="7">
        <v>-96</v>
      </c>
      <c r="R162" s="7">
        <v>-96</v>
      </c>
      <c r="S162" s="7">
        <v>-96</v>
      </c>
      <c r="T162" s="7">
        <v>-96</v>
      </c>
      <c r="U162" s="7">
        <v>-96</v>
      </c>
      <c r="V162" s="7">
        <v>-96</v>
      </c>
      <c r="W162" s="8">
        <f t="shared" si="5"/>
        <v>-1152</v>
      </c>
      <c r="X162" s="9" t="s">
        <v>279</v>
      </c>
    </row>
    <row r="163" spans="2:24" ht="18" customHeight="1" x14ac:dyDescent="0.35">
      <c r="B163" s="5">
        <v>2027</v>
      </c>
      <c r="C163" s="5" t="s">
        <v>26</v>
      </c>
      <c r="D163" s="6" t="s">
        <v>27</v>
      </c>
      <c r="E163" s="6" t="s">
        <v>28</v>
      </c>
      <c r="F163" s="6" t="s">
        <v>29</v>
      </c>
      <c r="G163" s="6" t="s">
        <v>134</v>
      </c>
      <c r="H163" s="6" t="s">
        <v>277</v>
      </c>
      <c r="I163" s="6" t="s">
        <v>287</v>
      </c>
      <c r="J163" s="5" t="s">
        <v>33</v>
      </c>
      <c r="K163" s="7">
        <v>-6200</v>
      </c>
      <c r="L163" s="7">
        <v>-6200</v>
      </c>
      <c r="M163" s="7">
        <v>-6200</v>
      </c>
      <c r="N163" s="7">
        <v>-6200</v>
      </c>
      <c r="O163" s="7">
        <v>-6200</v>
      </c>
      <c r="P163" s="7">
        <v>-6200</v>
      </c>
      <c r="Q163" s="7">
        <v>-6200</v>
      </c>
      <c r="R163" s="7">
        <v>-6200</v>
      </c>
      <c r="S163" s="7">
        <v>-6200</v>
      </c>
      <c r="T163" s="7">
        <v>-6200</v>
      </c>
      <c r="U163" s="7">
        <v>-6200</v>
      </c>
      <c r="V163" s="7">
        <v>-6200</v>
      </c>
      <c r="W163" s="8">
        <f t="shared" si="5"/>
        <v>-74400</v>
      </c>
      <c r="X163" s="9" t="s">
        <v>288</v>
      </c>
    </row>
    <row r="164" spans="2:24" ht="18" customHeight="1" x14ac:dyDescent="0.35">
      <c r="B164" s="5">
        <v>2027</v>
      </c>
      <c r="C164" s="5" t="s">
        <v>26</v>
      </c>
      <c r="D164" s="6" t="s">
        <v>27</v>
      </c>
      <c r="E164" s="6" t="s">
        <v>28</v>
      </c>
      <c r="F164" s="6" t="s">
        <v>29</v>
      </c>
      <c r="G164" s="6" t="s">
        <v>134</v>
      </c>
      <c r="H164" s="6" t="s">
        <v>277</v>
      </c>
      <c r="I164" s="6" t="s">
        <v>289</v>
      </c>
      <c r="J164" s="5" t="s">
        <v>33</v>
      </c>
      <c r="K164" s="7">
        <v>-600</v>
      </c>
      <c r="L164" s="7">
        <v>0</v>
      </c>
      <c r="M164" s="7">
        <v>0</v>
      </c>
      <c r="N164" s="7">
        <v>-600</v>
      </c>
      <c r="O164" s="7">
        <v>0</v>
      </c>
      <c r="P164" s="7">
        <v>0</v>
      </c>
      <c r="Q164" s="7">
        <v>-600</v>
      </c>
      <c r="R164" s="7">
        <v>0</v>
      </c>
      <c r="S164" s="7">
        <v>0</v>
      </c>
      <c r="T164" s="7">
        <v>0</v>
      </c>
      <c r="U164" s="7">
        <v>-600</v>
      </c>
      <c r="V164" s="7">
        <v>0</v>
      </c>
      <c r="W164" s="8">
        <f t="shared" si="5"/>
        <v>-2400</v>
      </c>
      <c r="X164" s="9" t="s">
        <v>290</v>
      </c>
    </row>
    <row r="165" spans="2:24" ht="18" customHeight="1" x14ac:dyDescent="0.35">
      <c r="B165" s="5">
        <v>2027</v>
      </c>
      <c r="C165" s="5" t="s">
        <v>26</v>
      </c>
      <c r="D165" s="6" t="s">
        <v>27</v>
      </c>
      <c r="E165" s="6" t="s">
        <v>28</v>
      </c>
      <c r="F165" s="6" t="s">
        <v>29</v>
      </c>
      <c r="G165" s="6" t="s">
        <v>134</v>
      </c>
      <c r="H165" s="6" t="s">
        <v>277</v>
      </c>
      <c r="I165" s="6" t="s">
        <v>291</v>
      </c>
      <c r="J165" s="5" t="s">
        <v>33</v>
      </c>
      <c r="K165" s="7">
        <v>-90</v>
      </c>
      <c r="L165" s="7">
        <v>-90</v>
      </c>
      <c r="M165" s="7">
        <v>-90</v>
      </c>
      <c r="N165" s="7">
        <v>-90</v>
      </c>
      <c r="O165" s="7">
        <v>-90</v>
      </c>
      <c r="P165" s="7">
        <v>-90</v>
      </c>
      <c r="Q165" s="7">
        <v>-90</v>
      </c>
      <c r="R165" s="7">
        <v>-90</v>
      </c>
      <c r="S165" s="7">
        <v>-90</v>
      </c>
      <c r="T165" s="7">
        <v>-90</v>
      </c>
      <c r="U165" s="7">
        <v>-90</v>
      </c>
      <c r="V165" s="7">
        <v>-90</v>
      </c>
      <c r="W165" s="8">
        <f t="shared" ref="W165:W196" si="6">SUM(K165:V165)</f>
        <v>-1080</v>
      </c>
      <c r="X165" s="9" t="s">
        <v>279</v>
      </c>
    </row>
    <row r="166" spans="2:24" ht="18" customHeight="1" x14ac:dyDescent="0.35">
      <c r="B166" s="5">
        <v>2027</v>
      </c>
      <c r="C166" s="5" t="s">
        <v>26</v>
      </c>
      <c r="D166" s="6" t="s">
        <v>27</v>
      </c>
      <c r="E166" s="6" t="s">
        <v>28</v>
      </c>
      <c r="F166" s="6" t="s">
        <v>29</v>
      </c>
      <c r="G166" s="6" t="s">
        <v>134</v>
      </c>
      <c r="H166" s="6" t="s">
        <v>277</v>
      </c>
      <c r="I166" s="6" t="s">
        <v>292</v>
      </c>
      <c r="J166" s="5" t="s">
        <v>33</v>
      </c>
      <c r="K166" s="7">
        <v>-819.53</v>
      </c>
      <c r="L166" s="7">
        <v>-819.53</v>
      </c>
      <c r="M166" s="7">
        <v>-819.53</v>
      </c>
      <c r="N166" s="7">
        <v>-819.53</v>
      </c>
      <c r="O166" s="7">
        <v>-819.53</v>
      </c>
      <c r="P166" s="7">
        <v>-819.53</v>
      </c>
      <c r="Q166" s="7">
        <v>-819.53</v>
      </c>
      <c r="R166" s="7">
        <v>-819.53</v>
      </c>
      <c r="S166" s="7">
        <v>-819.53</v>
      </c>
      <c r="T166" s="7">
        <v>-819.53</v>
      </c>
      <c r="U166" s="7">
        <v>-819.53</v>
      </c>
      <c r="V166" s="7">
        <v>-819.53</v>
      </c>
      <c r="W166" s="8">
        <f t="shared" si="6"/>
        <v>-9834.36</v>
      </c>
      <c r="X166" s="9" t="s">
        <v>279</v>
      </c>
    </row>
    <row r="167" spans="2:24" ht="18" customHeight="1" x14ac:dyDescent="0.35">
      <c r="B167" s="5">
        <v>2027</v>
      </c>
      <c r="C167" s="5" t="s">
        <v>26</v>
      </c>
      <c r="D167" s="6" t="s">
        <v>27</v>
      </c>
      <c r="E167" s="6" t="s">
        <v>28</v>
      </c>
      <c r="F167" s="6" t="s">
        <v>29</v>
      </c>
      <c r="G167" s="6" t="s">
        <v>134</v>
      </c>
      <c r="H167" s="6" t="s">
        <v>277</v>
      </c>
      <c r="I167" s="6" t="s">
        <v>293</v>
      </c>
      <c r="J167" s="5" t="s">
        <v>33</v>
      </c>
      <c r="K167" s="7">
        <v>-295.08</v>
      </c>
      <c r="L167" s="7">
        <v>-295.08</v>
      </c>
      <c r="M167" s="7">
        <v>-295.08</v>
      </c>
      <c r="N167" s="7">
        <v>-295.08</v>
      </c>
      <c r="O167" s="7">
        <v>-295.08</v>
      </c>
      <c r="P167" s="7">
        <v>-295.08</v>
      </c>
      <c r="Q167" s="7">
        <v>-295.08</v>
      </c>
      <c r="R167" s="7">
        <v>-295.08</v>
      </c>
      <c r="S167" s="7">
        <v>-295.08</v>
      </c>
      <c r="T167" s="7">
        <v>-295.08</v>
      </c>
      <c r="U167" s="7">
        <v>-295.08</v>
      </c>
      <c r="V167" s="7">
        <v>-295.08</v>
      </c>
      <c r="W167" s="8">
        <f t="shared" si="6"/>
        <v>-3540.9599999999996</v>
      </c>
      <c r="X167" s="9" t="s">
        <v>279</v>
      </c>
    </row>
    <row r="168" spans="2:24" ht="18" customHeight="1" x14ac:dyDescent="0.35">
      <c r="B168" s="5">
        <v>2027</v>
      </c>
      <c r="C168" s="5" t="s">
        <v>26</v>
      </c>
      <c r="D168" s="6" t="s">
        <v>27</v>
      </c>
      <c r="E168" s="6" t="s">
        <v>28</v>
      </c>
      <c r="F168" s="6" t="s">
        <v>29</v>
      </c>
      <c r="G168" s="6" t="s">
        <v>134</v>
      </c>
      <c r="H168" s="6" t="s">
        <v>277</v>
      </c>
      <c r="I168" s="6" t="s">
        <v>294</v>
      </c>
      <c r="J168" s="5" t="s">
        <v>33</v>
      </c>
      <c r="K168" s="7">
        <v>-1326.15</v>
      </c>
      <c r="L168" s="7">
        <v>-1326.15</v>
      </c>
      <c r="M168" s="7">
        <v>-1326.15</v>
      </c>
      <c r="N168" s="7">
        <v>-1326.15</v>
      </c>
      <c r="O168" s="7">
        <v>-1326.15</v>
      </c>
      <c r="P168" s="7">
        <v>-1326.15</v>
      </c>
      <c r="Q168" s="7">
        <v>-1326.15</v>
      </c>
      <c r="R168" s="7">
        <v>-1326.15</v>
      </c>
      <c r="S168" s="7">
        <v>-1326.15</v>
      </c>
      <c r="T168" s="7">
        <v>-1326.15</v>
      </c>
      <c r="U168" s="7">
        <v>-1326.15</v>
      </c>
      <c r="V168" s="7">
        <v>-1326.15</v>
      </c>
      <c r="W168" s="8">
        <f t="shared" si="6"/>
        <v>-15913.799999999997</v>
      </c>
      <c r="X168" s="9" t="s">
        <v>279</v>
      </c>
    </row>
    <row r="169" spans="2:24" ht="18" customHeight="1" x14ac:dyDescent="0.35">
      <c r="B169" s="5">
        <v>2027</v>
      </c>
      <c r="C169" s="5" t="s">
        <v>26</v>
      </c>
      <c r="D169" s="6" t="s">
        <v>27</v>
      </c>
      <c r="E169" s="6" t="s">
        <v>28</v>
      </c>
      <c r="F169" s="6" t="s">
        <v>29</v>
      </c>
      <c r="G169" s="6" t="s">
        <v>134</v>
      </c>
      <c r="H169" s="6" t="s">
        <v>277</v>
      </c>
      <c r="I169" s="6" t="s">
        <v>295</v>
      </c>
      <c r="J169" s="5" t="s">
        <v>33</v>
      </c>
      <c r="K169" s="7">
        <v>-4434.58</v>
      </c>
      <c r="L169" s="7">
        <v>-4434.58</v>
      </c>
      <c r="M169" s="7">
        <v>-4434.58</v>
      </c>
      <c r="N169" s="7">
        <v>-4434.58</v>
      </c>
      <c r="O169" s="7">
        <v>-4434.58</v>
      </c>
      <c r="P169" s="7">
        <v>-4434.58</v>
      </c>
      <c r="Q169" s="7">
        <v>-4434.58</v>
      </c>
      <c r="R169" s="7">
        <v>-4434.58</v>
      </c>
      <c r="S169" s="7">
        <v>-4434.58</v>
      </c>
      <c r="T169" s="7">
        <v>-4434.58</v>
      </c>
      <c r="U169" s="7">
        <v>-4434.58</v>
      </c>
      <c r="V169" s="7">
        <v>-4434.62</v>
      </c>
      <c r="W169" s="8">
        <v>-53215</v>
      </c>
      <c r="X169" s="9" t="s">
        <v>296</v>
      </c>
    </row>
    <row r="170" spans="2:24" ht="18" customHeight="1" x14ac:dyDescent="0.35">
      <c r="B170" s="5">
        <v>2027</v>
      </c>
      <c r="C170" s="5" t="s">
        <v>26</v>
      </c>
      <c r="D170" s="6" t="s">
        <v>27</v>
      </c>
      <c r="E170" s="6" t="s">
        <v>28</v>
      </c>
      <c r="F170" s="6" t="s">
        <v>29</v>
      </c>
      <c r="G170" s="6" t="s">
        <v>134</v>
      </c>
      <c r="H170" s="6" t="s">
        <v>277</v>
      </c>
      <c r="I170" s="6" t="s">
        <v>297</v>
      </c>
      <c r="J170" s="5" t="s">
        <v>33</v>
      </c>
      <c r="K170" s="7">
        <v>-263.39999999999998</v>
      </c>
      <c r="L170" s="7">
        <v>-263.39999999999998</v>
      </c>
      <c r="M170" s="7">
        <v>-263.39999999999998</v>
      </c>
      <c r="N170" s="7">
        <v>-263.39999999999998</v>
      </c>
      <c r="O170" s="7">
        <v>-263.39999999999998</v>
      </c>
      <c r="P170" s="7">
        <v>-263.39999999999998</v>
      </c>
      <c r="Q170" s="7">
        <v>-263.39999999999998</v>
      </c>
      <c r="R170" s="7">
        <v>-263.39999999999998</v>
      </c>
      <c r="S170" s="7">
        <v>-263.39999999999998</v>
      </c>
      <c r="T170" s="7">
        <v>-263.39999999999998</v>
      </c>
      <c r="U170" s="7">
        <v>-263.39999999999998</v>
      </c>
      <c r="V170" s="7">
        <v>-263.39999999999998</v>
      </c>
      <c r="W170" s="8">
        <f>SUM(K170:V170)</f>
        <v>-3160.8000000000006</v>
      </c>
      <c r="X170" s="9" t="s">
        <v>279</v>
      </c>
    </row>
    <row r="171" spans="2:24" ht="18" customHeight="1" x14ac:dyDescent="0.35">
      <c r="B171" s="5">
        <v>2027</v>
      </c>
      <c r="C171" s="5" t="s">
        <v>26</v>
      </c>
      <c r="D171" s="6" t="s">
        <v>27</v>
      </c>
      <c r="E171" s="6" t="s">
        <v>28</v>
      </c>
      <c r="F171" s="6" t="s">
        <v>29</v>
      </c>
      <c r="G171" s="6" t="s">
        <v>134</v>
      </c>
      <c r="H171" s="6" t="s">
        <v>277</v>
      </c>
      <c r="I171" s="6" t="s">
        <v>298</v>
      </c>
      <c r="J171" s="5" t="s">
        <v>33</v>
      </c>
      <c r="K171" s="7">
        <v>-156.84</v>
      </c>
      <c r="L171" s="7">
        <v>-156.84</v>
      </c>
      <c r="M171" s="7">
        <v>-156.84</v>
      </c>
      <c r="N171" s="7">
        <v>-156.84</v>
      </c>
      <c r="O171" s="7">
        <v>-156.84</v>
      </c>
      <c r="P171" s="7">
        <v>-156.84</v>
      </c>
      <c r="Q171" s="7">
        <v>-156.84</v>
      </c>
      <c r="R171" s="7">
        <v>-156.84</v>
      </c>
      <c r="S171" s="7">
        <v>-156.84</v>
      </c>
      <c r="T171" s="7">
        <v>-156.84</v>
      </c>
      <c r="U171" s="7">
        <v>-156.84</v>
      </c>
      <c r="V171" s="7">
        <v>-156.84</v>
      </c>
      <c r="W171" s="8">
        <f>SUM(K171:V171)</f>
        <v>-1882.0799999999997</v>
      </c>
      <c r="X171" s="9" t="s">
        <v>279</v>
      </c>
    </row>
    <row r="172" spans="2:24" ht="18" customHeight="1" x14ac:dyDescent="0.35">
      <c r="B172" s="5">
        <v>2027</v>
      </c>
      <c r="C172" s="5" t="s">
        <v>26</v>
      </c>
      <c r="D172" s="6" t="s">
        <v>27</v>
      </c>
      <c r="E172" s="6" t="s">
        <v>28</v>
      </c>
      <c r="F172" s="6" t="s">
        <v>29</v>
      </c>
      <c r="G172" s="6" t="s">
        <v>134</v>
      </c>
      <c r="H172" s="6" t="s">
        <v>277</v>
      </c>
      <c r="I172" s="6" t="s">
        <v>299</v>
      </c>
      <c r="J172" s="5" t="s">
        <v>33</v>
      </c>
      <c r="K172" s="7">
        <v>-500.03</v>
      </c>
      <c r="L172" s="7">
        <v>-500.03</v>
      </c>
      <c r="M172" s="7">
        <v>-500.03</v>
      </c>
      <c r="N172" s="7">
        <v>-500.03</v>
      </c>
      <c r="O172" s="7">
        <v>-500.03</v>
      </c>
      <c r="P172" s="7">
        <v>-500.03</v>
      </c>
      <c r="Q172" s="7">
        <v>-500.03</v>
      </c>
      <c r="R172" s="7">
        <v>-500.03</v>
      </c>
      <c r="S172" s="7">
        <v>-500.03</v>
      </c>
      <c r="T172" s="7">
        <v>-500.03</v>
      </c>
      <c r="U172" s="7">
        <v>-500.03</v>
      </c>
      <c r="V172" s="7">
        <v>-500.03</v>
      </c>
      <c r="W172" s="8">
        <f>SUM(K172:V172)</f>
        <v>-6000.3599999999979</v>
      </c>
      <c r="X172" s="9" t="s">
        <v>279</v>
      </c>
    </row>
    <row r="173" spans="2:24" ht="18" customHeight="1" x14ac:dyDescent="0.35">
      <c r="B173" s="5">
        <v>2027</v>
      </c>
      <c r="C173" s="5" t="s">
        <v>26</v>
      </c>
      <c r="D173" s="6" t="s">
        <v>27</v>
      </c>
      <c r="E173" s="6" t="s">
        <v>28</v>
      </c>
      <c r="F173" s="6" t="s">
        <v>29</v>
      </c>
      <c r="G173" s="6" t="s">
        <v>134</v>
      </c>
      <c r="H173" s="6" t="s">
        <v>277</v>
      </c>
      <c r="I173" s="6" t="s">
        <v>300</v>
      </c>
      <c r="J173" s="5" t="s">
        <v>33</v>
      </c>
      <c r="K173" s="7">
        <v>-1500</v>
      </c>
      <c r="L173" s="7">
        <v>-2000</v>
      </c>
      <c r="M173" s="7">
        <v>-2000</v>
      </c>
      <c r="N173" s="7">
        <v>-2000</v>
      </c>
      <c r="O173" s="7">
        <v>-2000</v>
      </c>
      <c r="P173" s="7">
        <v>-2000</v>
      </c>
      <c r="Q173" s="7">
        <v>-2000</v>
      </c>
      <c r="R173" s="7">
        <v>-1000</v>
      </c>
      <c r="S173" s="7">
        <v>-2000</v>
      </c>
      <c r="T173" s="7">
        <v>-2000</v>
      </c>
      <c r="U173" s="7">
        <v>-2000</v>
      </c>
      <c r="V173" s="7">
        <v>-1500</v>
      </c>
      <c r="W173" s="8">
        <f>SUM(K173:V173)</f>
        <v>-22000</v>
      </c>
      <c r="X173" s="9" t="s">
        <v>301</v>
      </c>
    </row>
    <row r="174" spans="2:24" ht="18" customHeight="1" x14ac:dyDescent="0.35">
      <c r="B174" s="5">
        <v>2027</v>
      </c>
      <c r="C174" s="5" t="s">
        <v>26</v>
      </c>
      <c r="D174" s="6" t="s">
        <v>27</v>
      </c>
      <c r="E174" s="6" t="s">
        <v>28</v>
      </c>
      <c r="F174" s="6" t="s">
        <v>29</v>
      </c>
      <c r="G174" s="6" t="s">
        <v>134</v>
      </c>
      <c r="H174" s="6" t="s">
        <v>277</v>
      </c>
      <c r="I174" s="6" t="s">
        <v>302</v>
      </c>
      <c r="J174" s="5" t="s">
        <v>33</v>
      </c>
      <c r="K174" s="7">
        <v>-1500</v>
      </c>
      <c r="L174" s="7">
        <v>-2000</v>
      </c>
      <c r="M174" s="7">
        <v>-2000</v>
      </c>
      <c r="N174" s="7">
        <v>-2000</v>
      </c>
      <c r="O174" s="7">
        <v>-2000</v>
      </c>
      <c r="P174" s="7">
        <v>-2000</v>
      </c>
      <c r="Q174" s="7">
        <v>-2000</v>
      </c>
      <c r="R174" s="7">
        <v>-1000</v>
      </c>
      <c r="S174" s="7">
        <v>-2000</v>
      </c>
      <c r="T174" s="7">
        <v>-2000</v>
      </c>
      <c r="U174" s="7">
        <v>-2000</v>
      </c>
      <c r="V174" s="7">
        <v>-1500</v>
      </c>
      <c r="W174" s="8">
        <f t="shared" ref="W174:W179" si="7">SUM(K174:V174)</f>
        <v>-22000</v>
      </c>
      <c r="X174" s="9" t="s">
        <v>303</v>
      </c>
    </row>
    <row r="175" spans="2:24" ht="18" customHeight="1" x14ac:dyDescent="0.35">
      <c r="B175" s="5">
        <v>2027</v>
      </c>
      <c r="C175" s="5" t="s">
        <v>26</v>
      </c>
      <c r="D175" s="6" t="s">
        <v>27</v>
      </c>
      <c r="E175" s="6" t="s">
        <v>28</v>
      </c>
      <c r="F175" s="6" t="s">
        <v>29</v>
      </c>
      <c r="G175" s="6" t="s">
        <v>134</v>
      </c>
      <c r="H175" s="6" t="s">
        <v>277</v>
      </c>
      <c r="I175" s="6" t="s">
        <v>304</v>
      </c>
      <c r="J175" s="5" t="s">
        <v>33</v>
      </c>
      <c r="K175" s="7">
        <v>-900</v>
      </c>
      <c r="L175" s="7">
        <v>-1200</v>
      </c>
      <c r="M175" s="7">
        <v>-1200</v>
      </c>
      <c r="N175" s="7">
        <v>-1200</v>
      </c>
      <c r="O175" s="7">
        <v>-1200</v>
      </c>
      <c r="P175" s="7">
        <v>-1200</v>
      </c>
      <c r="Q175" s="7">
        <v>-1200</v>
      </c>
      <c r="R175" s="7">
        <v>-600</v>
      </c>
      <c r="S175" s="7">
        <v>-1200</v>
      </c>
      <c r="T175" s="7">
        <v>-1200</v>
      </c>
      <c r="U175" s="7">
        <v>-1200</v>
      </c>
      <c r="V175" s="7">
        <v>-900</v>
      </c>
      <c r="W175" s="8">
        <f t="shared" si="7"/>
        <v>-13200</v>
      </c>
      <c r="X175" s="9" t="s">
        <v>305</v>
      </c>
    </row>
    <row r="176" spans="2:24" ht="18" customHeight="1" x14ac:dyDescent="0.35">
      <c r="B176" s="5">
        <v>2027</v>
      </c>
      <c r="C176" s="5" t="s">
        <v>26</v>
      </c>
      <c r="D176" s="6" t="s">
        <v>27</v>
      </c>
      <c r="E176" s="6" t="s">
        <v>28</v>
      </c>
      <c r="F176" s="6" t="s">
        <v>29</v>
      </c>
      <c r="G176" s="6" t="s">
        <v>134</v>
      </c>
      <c r="H176" s="6" t="s">
        <v>277</v>
      </c>
      <c r="I176" s="6" t="s">
        <v>306</v>
      </c>
      <c r="J176" s="5" t="s">
        <v>33</v>
      </c>
      <c r="K176" s="7">
        <v>-1500</v>
      </c>
      <c r="L176" s="7">
        <v>-2000</v>
      </c>
      <c r="M176" s="7">
        <v>-2000</v>
      </c>
      <c r="N176" s="7">
        <v>-2000</v>
      </c>
      <c r="O176" s="7">
        <v>-2000</v>
      </c>
      <c r="P176" s="7">
        <v>-2000</v>
      </c>
      <c r="Q176" s="7">
        <v>-2000</v>
      </c>
      <c r="R176" s="7">
        <v>-1000</v>
      </c>
      <c r="S176" s="7">
        <v>-2000</v>
      </c>
      <c r="T176" s="7">
        <v>-2000</v>
      </c>
      <c r="U176" s="7">
        <v>-2000</v>
      </c>
      <c r="V176" s="7">
        <v>-1500</v>
      </c>
      <c r="W176" s="8">
        <f t="shared" si="7"/>
        <v>-22000</v>
      </c>
      <c r="X176" s="9" t="s">
        <v>307</v>
      </c>
    </row>
    <row r="177" spans="2:24" ht="18" customHeight="1" x14ac:dyDescent="0.35">
      <c r="B177" s="5">
        <v>2027</v>
      </c>
      <c r="C177" s="5" t="s">
        <v>26</v>
      </c>
      <c r="D177" s="6" t="s">
        <v>27</v>
      </c>
      <c r="E177" s="6" t="s">
        <v>28</v>
      </c>
      <c r="F177" s="6" t="s">
        <v>29</v>
      </c>
      <c r="G177" s="6" t="s">
        <v>134</v>
      </c>
      <c r="H177" s="6" t="s">
        <v>277</v>
      </c>
      <c r="I177" s="6" t="s">
        <v>308</v>
      </c>
      <c r="J177" s="5" t="s">
        <v>33</v>
      </c>
      <c r="K177" s="7">
        <v>-450</v>
      </c>
      <c r="L177" s="7">
        <v>-600</v>
      </c>
      <c r="M177" s="7">
        <v>-600</v>
      </c>
      <c r="N177" s="7">
        <v>-600</v>
      </c>
      <c r="O177" s="7">
        <v>-600</v>
      </c>
      <c r="P177" s="7">
        <v>-600</v>
      </c>
      <c r="Q177" s="7">
        <v>-600</v>
      </c>
      <c r="R177" s="7">
        <v>-300</v>
      </c>
      <c r="S177" s="7">
        <v>-600</v>
      </c>
      <c r="T177" s="7">
        <v>-600</v>
      </c>
      <c r="U177" s="7">
        <v>-600</v>
      </c>
      <c r="V177" s="7">
        <v>-450</v>
      </c>
      <c r="W177" s="8">
        <f t="shared" si="7"/>
        <v>-6600</v>
      </c>
      <c r="X177" s="9" t="s">
        <v>309</v>
      </c>
    </row>
    <row r="178" spans="2:24" ht="18" customHeight="1" x14ac:dyDescent="0.35">
      <c r="B178" s="5">
        <v>2027</v>
      </c>
      <c r="C178" s="5" t="s">
        <v>26</v>
      </c>
      <c r="D178" s="6" t="s">
        <v>27</v>
      </c>
      <c r="E178" s="6" t="s">
        <v>28</v>
      </c>
      <c r="F178" s="6" t="s">
        <v>29</v>
      </c>
      <c r="G178" s="6" t="s">
        <v>134</v>
      </c>
      <c r="H178" s="6" t="s">
        <v>277</v>
      </c>
      <c r="I178" s="6" t="s">
        <v>310</v>
      </c>
      <c r="J178" s="5" t="s">
        <v>33</v>
      </c>
      <c r="K178" s="7">
        <v>-202.44</v>
      </c>
      <c r="L178" s="7">
        <v>-202.44</v>
      </c>
      <c r="M178" s="7">
        <v>-202.44</v>
      </c>
      <c r="N178" s="7">
        <v>-202.44</v>
      </c>
      <c r="O178" s="7">
        <v>-202.44</v>
      </c>
      <c r="P178" s="7">
        <v>-202.44</v>
      </c>
      <c r="Q178" s="7">
        <v>-202.44</v>
      </c>
      <c r="R178" s="7">
        <v>-202.44</v>
      </c>
      <c r="S178" s="7">
        <v>-202.44</v>
      </c>
      <c r="T178" s="7">
        <v>-202.44</v>
      </c>
      <c r="U178" s="7">
        <v>-202.44</v>
      </c>
      <c r="V178" s="7">
        <v>-202.44</v>
      </c>
      <c r="W178" s="8">
        <f t="shared" si="7"/>
        <v>-2429.2800000000002</v>
      </c>
      <c r="X178" s="9" t="s">
        <v>279</v>
      </c>
    </row>
    <row r="179" spans="2:24" ht="18" customHeight="1" x14ac:dyDescent="0.35">
      <c r="B179" s="5">
        <v>2027</v>
      </c>
      <c r="C179" s="5" t="s">
        <v>26</v>
      </c>
      <c r="D179" s="6" t="s">
        <v>27</v>
      </c>
      <c r="E179" s="6" t="s">
        <v>28</v>
      </c>
      <c r="F179" s="6" t="s">
        <v>29</v>
      </c>
      <c r="G179" s="6" t="s">
        <v>134</v>
      </c>
      <c r="H179" s="6" t="s">
        <v>277</v>
      </c>
      <c r="I179" s="6" t="s">
        <v>311</v>
      </c>
      <c r="J179" s="5" t="s">
        <v>33</v>
      </c>
      <c r="K179" s="7">
        <v>-91.05</v>
      </c>
      <c r="L179" s="7">
        <v>-91.05</v>
      </c>
      <c r="M179" s="7">
        <v>-91.05</v>
      </c>
      <c r="N179" s="7">
        <v>-91.05</v>
      </c>
      <c r="O179" s="7">
        <v>-91.05</v>
      </c>
      <c r="P179" s="7">
        <v>-91.05</v>
      </c>
      <c r="Q179" s="7">
        <v>-91.05</v>
      </c>
      <c r="R179" s="7">
        <v>-91.05</v>
      </c>
      <c r="S179" s="7">
        <v>-91.05</v>
      </c>
      <c r="T179" s="7">
        <v>-91.05</v>
      </c>
      <c r="U179" s="7">
        <v>-91.05</v>
      </c>
      <c r="V179" s="7">
        <v>-91.05</v>
      </c>
      <c r="W179" s="8">
        <f t="shared" si="7"/>
        <v>-1092.5999999999997</v>
      </c>
      <c r="X179" s="9" t="s">
        <v>279</v>
      </c>
    </row>
    <row r="180" spans="2:24" ht="18" customHeight="1" x14ac:dyDescent="0.35">
      <c r="B180" s="5">
        <v>2027</v>
      </c>
      <c r="C180" s="5" t="s">
        <v>26</v>
      </c>
      <c r="D180" s="6" t="s">
        <v>27</v>
      </c>
      <c r="E180" s="6" t="s">
        <v>28</v>
      </c>
      <c r="F180" s="6" t="s">
        <v>29</v>
      </c>
      <c r="G180" s="6" t="s">
        <v>134</v>
      </c>
      <c r="H180" s="6" t="s">
        <v>277</v>
      </c>
      <c r="I180" s="6" t="s">
        <v>312</v>
      </c>
      <c r="J180" s="5" t="s">
        <v>33</v>
      </c>
      <c r="K180" s="7">
        <v>-450</v>
      </c>
      <c r="L180" s="7">
        <v>-600</v>
      </c>
      <c r="M180" s="7">
        <v>-600</v>
      </c>
      <c r="N180" s="7">
        <v>-600</v>
      </c>
      <c r="O180" s="7">
        <v>-600</v>
      </c>
      <c r="P180" s="7">
        <v>-600</v>
      </c>
      <c r="Q180" s="7">
        <v>-600</v>
      </c>
      <c r="R180" s="7">
        <v>-300</v>
      </c>
      <c r="S180" s="7">
        <v>-600</v>
      </c>
      <c r="T180" s="7">
        <v>-600</v>
      </c>
      <c r="U180" s="7">
        <v>-600</v>
      </c>
      <c r="V180" s="7">
        <v>-450</v>
      </c>
      <c r="W180" s="8">
        <f>SUM(K180:V180)</f>
        <v>-6600</v>
      </c>
      <c r="X180" s="9" t="s">
        <v>313</v>
      </c>
    </row>
    <row r="181" spans="2:24" ht="18" customHeight="1" x14ac:dyDescent="0.35">
      <c r="B181" s="5">
        <v>2027</v>
      </c>
      <c r="C181" s="5" t="s">
        <v>26</v>
      </c>
      <c r="D181" s="6" t="s">
        <v>27</v>
      </c>
      <c r="E181" s="6" t="s">
        <v>28</v>
      </c>
      <c r="F181" s="6" t="s">
        <v>29</v>
      </c>
      <c r="G181" s="6" t="s">
        <v>134</v>
      </c>
      <c r="H181" s="6" t="s">
        <v>314</v>
      </c>
      <c r="I181" s="6" t="s">
        <v>315</v>
      </c>
      <c r="J181" s="5" t="s">
        <v>33</v>
      </c>
      <c r="K181" s="7">
        <v>-156.06</v>
      </c>
      <c r="L181" s="7">
        <v>-156.06</v>
      </c>
      <c r="M181" s="7">
        <v>-156.06</v>
      </c>
      <c r="N181" s="7">
        <v>-156.06</v>
      </c>
      <c r="O181" s="7">
        <v>-156.06</v>
      </c>
      <c r="P181" s="7">
        <v>-156.06</v>
      </c>
      <c r="Q181" s="7">
        <v>-156.06</v>
      </c>
      <c r="R181" s="7">
        <v>-156.06</v>
      </c>
      <c r="S181" s="7">
        <v>-156.06</v>
      </c>
      <c r="T181" s="7">
        <v>-156.06</v>
      </c>
      <c r="U181" s="7">
        <v>-156.06</v>
      </c>
      <c r="V181" s="7">
        <v>-156.06</v>
      </c>
      <c r="W181" s="8">
        <f t="shared" ref="W181:W206" si="8">SUM(K181:V181)</f>
        <v>-1872.7199999999996</v>
      </c>
      <c r="X181" s="9" t="s">
        <v>316</v>
      </c>
    </row>
    <row r="182" spans="2:24" ht="18" customHeight="1" x14ac:dyDescent="0.35">
      <c r="B182" s="5">
        <v>2027</v>
      </c>
      <c r="C182" s="5" t="s">
        <v>26</v>
      </c>
      <c r="D182" s="6" t="s">
        <v>27</v>
      </c>
      <c r="E182" s="6" t="s">
        <v>28</v>
      </c>
      <c r="F182" s="6" t="s">
        <v>29</v>
      </c>
      <c r="G182" s="6" t="s">
        <v>134</v>
      </c>
      <c r="H182" s="6" t="s">
        <v>314</v>
      </c>
      <c r="I182" s="6" t="s">
        <v>317</v>
      </c>
      <c r="J182" s="5" t="s">
        <v>33</v>
      </c>
      <c r="K182" s="7">
        <v>0</v>
      </c>
      <c r="L182" s="7">
        <v>0</v>
      </c>
      <c r="M182" s="7">
        <v>0</v>
      </c>
      <c r="N182" s="7">
        <v>0</v>
      </c>
      <c r="O182" s="7">
        <v>-581.49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8">
        <f t="shared" si="8"/>
        <v>-581.49</v>
      </c>
      <c r="X182" s="9" t="s">
        <v>318</v>
      </c>
    </row>
    <row r="183" spans="2:24" ht="18" customHeight="1" x14ac:dyDescent="0.35">
      <c r="B183" s="5">
        <v>2027</v>
      </c>
      <c r="C183" s="5" t="s">
        <v>26</v>
      </c>
      <c r="D183" s="6" t="s">
        <v>27</v>
      </c>
      <c r="E183" s="6" t="s">
        <v>28</v>
      </c>
      <c r="F183" s="6" t="s">
        <v>29</v>
      </c>
      <c r="G183" s="6" t="s">
        <v>134</v>
      </c>
      <c r="H183" s="6" t="s">
        <v>314</v>
      </c>
      <c r="I183" s="6" t="s">
        <v>319</v>
      </c>
      <c r="J183" s="5" t="s">
        <v>33</v>
      </c>
      <c r="K183" s="7">
        <v>-616.38</v>
      </c>
      <c r="L183" s="7">
        <v>-616.38</v>
      </c>
      <c r="M183" s="7">
        <v>-616.38</v>
      </c>
      <c r="N183" s="7">
        <v>-616.38</v>
      </c>
      <c r="O183" s="7">
        <v>-616.38</v>
      </c>
      <c r="P183" s="7">
        <v>-616.38</v>
      </c>
      <c r="Q183" s="7">
        <v>-616.38</v>
      </c>
      <c r="R183" s="7">
        <v>-616.38</v>
      </c>
      <c r="S183" s="7">
        <v>-616.38</v>
      </c>
      <c r="T183" s="7">
        <v>-616.38</v>
      </c>
      <c r="U183" s="7">
        <v>-616.38</v>
      </c>
      <c r="V183" s="7">
        <v>-616.38</v>
      </c>
      <c r="W183" s="8">
        <f t="shared" si="8"/>
        <v>-7396.56</v>
      </c>
      <c r="X183" s="9" t="s">
        <v>320</v>
      </c>
    </row>
    <row r="184" spans="2:24" ht="18" customHeight="1" x14ac:dyDescent="0.35">
      <c r="B184" s="5">
        <v>2027</v>
      </c>
      <c r="C184" s="5" t="s">
        <v>26</v>
      </c>
      <c r="D184" s="6" t="s">
        <v>27</v>
      </c>
      <c r="E184" s="6" t="s">
        <v>28</v>
      </c>
      <c r="F184" s="6" t="s">
        <v>29</v>
      </c>
      <c r="G184" s="6" t="s">
        <v>134</v>
      </c>
      <c r="H184" s="6" t="s">
        <v>314</v>
      </c>
      <c r="I184" s="6" t="s">
        <v>321</v>
      </c>
      <c r="J184" s="5" t="s">
        <v>33</v>
      </c>
      <c r="K184" s="7">
        <v>-2516.21</v>
      </c>
      <c r="L184" s="7">
        <v>-4075.81</v>
      </c>
      <c r="M184" s="7">
        <v>-3909.7</v>
      </c>
      <c r="N184" s="7">
        <v>-3147.65</v>
      </c>
      <c r="O184" s="7">
        <v>-5167.87</v>
      </c>
      <c r="P184" s="7">
        <v>-5124.8599999999997</v>
      </c>
      <c r="Q184" s="7">
        <v>-3251.56</v>
      </c>
      <c r="R184" s="7">
        <v>-2075.09</v>
      </c>
      <c r="S184" s="7">
        <v>-1205.3699999999999</v>
      </c>
      <c r="T184" s="7">
        <v>-2015.85</v>
      </c>
      <c r="U184" s="7">
        <v>-3116.01</v>
      </c>
      <c r="V184" s="7">
        <v>-3417.97</v>
      </c>
      <c r="W184" s="8">
        <f t="shared" si="8"/>
        <v>-39023.950000000004</v>
      </c>
      <c r="X184" s="9" t="s">
        <v>322</v>
      </c>
    </row>
    <row r="185" spans="2:24" ht="18" customHeight="1" x14ac:dyDescent="0.35">
      <c r="B185" s="5">
        <v>2027</v>
      </c>
      <c r="C185" s="5" t="s">
        <v>26</v>
      </c>
      <c r="D185" s="6" t="s">
        <v>27</v>
      </c>
      <c r="E185" s="6" t="s">
        <v>28</v>
      </c>
      <c r="F185" s="6" t="s">
        <v>29</v>
      </c>
      <c r="G185" s="6" t="s">
        <v>134</v>
      </c>
      <c r="H185" s="6" t="s">
        <v>323</v>
      </c>
      <c r="I185" s="6" t="s">
        <v>324</v>
      </c>
      <c r="J185" s="5" t="s">
        <v>33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8">
        <f t="shared" si="8"/>
        <v>0</v>
      </c>
      <c r="X185" s="9" t="s">
        <v>325</v>
      </c>
    </row>
    <row r="186" spans="2:24" ht="18" customHeight="1" x14ac:dyDescent="0.35">
      <c r="B186" s="5">
        <v>2027</v>
      </c>
      <c r="C186" s="5" t="s">
        <v>26</v>
      </c>
      <c r="D186" s="6" t="s">
        <v>27</v>
      </c>
      <c r="E186" s="6" t="s">
        <v>28</v>
      </c>
      <c r="F186" s="6" t="s">
        <v>29</v>
      </c>
      <c r="G186" s="6" t="s">
        <v>134</v>
      </c>
      <c r="H186" s="6" t="s">
        <v>326</v>
      </c>
      <c r="I186" s="6" t="s">
        <v>327</v>
      </c>
      <c r="J186" s="5" t="s">
        <v>33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8">
        <f t="shared" si="8"/>
        <v>0</v>
      </c>
      <c r="X186" s="9" t="s">
        <v>328</v>
      </c>
    </row>
    <row r="187" spans="2:24" ht="18" customHeight="1" x14ac:dyDescent="0.35">
      <c r="B187" s="5">
        <v>2027</v>
      </c>
      <c r="C187" s="5" t="s">
        <v>26</v>
      </c>
      <c r="D187" s="6" t="s">
        <v>27</v>
      </c>
      <c r="E187" s="6" t="s">
        <v>28</v>
      </c>
      <c r="F187" s="6" t="s">
        <v>29</v>
      </c>
      <c r="G187" s="6" t="s">
        <v>329</v>
      </c>
      <c r="H187" s="6" t="s">
        <v>330</v>
      </c>
      <c r="I187" s="6" t="s">
        <v>331</v>
      </c>
      <c r="J187" s="5" t="s">
        <v>33</v>
      </c>
      <c r="K187" s="7">
        <v>-3154.35</v>
      </c>
      <c r="L187" s="7">
        <v>-3154.35</v>
      </c>
      <c r="M187" s="7">
        <v>-3154.35</v>
      </c>
      <c r="N187" s="7">
        <v>-3154.35</v>
      </c>
      <c r="O187" s="7">
        <v>-3154.35</v>
      </c>
      <c r="P187" s="7">
        <v>-3154.35</v>
      </c>
      <c r="Q187" s="7">
        <v>-3154.35</v>
      </c>
      <c r="R187" s="7">
        <v>-3154.35</v>
      </c>
      <c r="S187" s="7">
        <v>-3154.35</v>
      </c>
      <c r="T187" s="7">
        <v>-3154.35</v>
      </c>
      <c r="U187" s="7">
        <v>-3154.35</v>
      </c>
      <c r="V187" s="7">
        <v>-3154.35</v>
      </c>
      <c r="W187" s="8">
        <f t="shared" si="8"/>
        <v>-37852.19999999999</v>
      </c>
      <c r="X187" s="9" t="s">
        <v>332</v>
      </c>
    </row>
    <row r="188" spans="2:24" ht="18" customHeight="1" x14ac:dyDescent="0.35">
      <c r="B188" s="5">
        <v>2027</v>
      </c>
      <c r="C188" s="5" t="s">
        <v>26</v>
      </c>
      <c r="D188" s="6" t="s">
        <v>27</v>
      </c>
      <c r="E188" s="6" t="s">
        <v>28</v>
      </c>
      <c r="F188" s="6" t="s">
        <v>29</v>
      </c>
      <c r="G188" s="6" t="s">
        <v>329</v>
      </c>
      <c r="H188" s="6" t="s">
        <v>330</v>
      </c>
      <c r="I188" s="6" t="s">
        <v>333</v>
      </c>
      <c r="J188" s="5" t="s">
        <v>33</v>
      </c>
      <c r="K188" s="7">
        <v>-5772</v>
      </c>
      <c r="L188" s="7">
        <v>-5772</v>
      </c>
      <c r="M188" s="7">
        <v>-5772</v>
      </c>
      <c r="N188" s="7">
        <v>-5772</v>
      </c>
      <c r="O188" s="7">
        <v>-5772</v>
      </c>
      <c r="P188" s="7">
        <v>-5772</v>
      </c>
      <c r="Q188" s="7">
        <v>-5772</v>
      </c>
      <c r="R188" s="7">
        <v>-5772</v>
      </c>
      <c r="S188" s="7">
        <v>-5772</v>
      </c>
      <c r="T188" s="7">
        <v>-5772</v>
      </c>
      <c r="U188" s="7">
        <v>-5772</v>
      </c>
      <c r="V188" s="7">
        <v>-5772</v>
      </c>
      <c r="W188" s="8">
        <f t="shared" si="8"/>
        <v>-69264</v>
      </c>
      <c r="X188" s="9" t="s">
        <v>332</v>
      </c>
    </row>
    <row r="189" spans="2:24" ht="18" customHeight="1" x14ac:dyDescent="0.35">
      <c r="B189" s="5">
        <v>2027</v>
      </c>
      <c r="C189" s="5" t="s">
        <v>26</v>
      </c>
      <c r="D189" s="6" t="s">
        <v>27</v>
      </c>
      <c r="E189" s="6" t="s">
        <v>28</v>
      </c>
      <c r="F189" s="6" t="s">
        <v>29</v>
      </c>
      <c r="G189" s="6" t="s">
        <v>329</v>
      </c>
      <c r="H189" s="6" t="s">
        <v>330</v>
      </c>
      <c r="I189" s="6" t="s">
        <v>334</v>
      </c>
      <c r="J189" s="5" t="s">
        <v>33</v>
      </c>
      <c r="K189" s="7">
        <v>-6419</v>
      </c>
      <c r="L189" s="7">
        <v>-6419</v>
      </c>
      <c r="M189" s="7">
        <v>-6419</v>
      </c>
      <c r="N189" s="7">
        <v>-6419</v>
      </c>
      <c r="O189" s="7">
        <v>-6419</v>
      </c>
      <c r="P189" s="7">
        <v>-6419</v>
      </c>
      <c r="Q189" s="7">
        <v>-6419</v>
      </c>
      <c r="R189" s="7">
        <v>-6419</v>
      </c>
      <c r="S189" s="7">
        <v>-6419</v>
      </c>
      <c r="T189" s="7">
        <v>-6419</v>
      </c>
      <c r="U189" s="7">
        <v>-6419</v>
      </c>
      <c r="V189" s="7">
        <v>-6419</v>
      </c>
      <c r="W189" s="8">
        <f t="shared" si="8"/>
        <v>-77028</v>
      </c>
      <c r="X189" s="9" t="s">
        <v>332</v>
      </c>
    </row>
    <row r="190" spans="2:24" ht="18" customHeight="1" x14ac:dyDescent="0.35">
      <c r="B190" s="5">
        <v>2027</v>
      </c>
      <c r="C190" s="5" t="s">
        <v>26</v>
      </c>
      <c r="D190" s="6" t="s">
        <v>27</v>
      </c>
      <c r="E190" s="6" t="s">
        <v>28</v>
      </c>
      <c r="F190" s="6" t="s">
        <v>29</v>
      </c>
      <c r="G190" s="6" t="s">
        <v>329</v>
      </c>
      <c r="H190" s="6" t="s">
        <v>330</v>
      </c>
      <c r="I190" s="6" t="s">
        <v>335</v>
      </c>
      <c r="J190" s="5" t="s">
        <v>33</v>
      </c>
      <c r="K190" s="7">
        <v>-1642</v>
      </c>
      <c r="L190" s="7">
        <v>-1642</v>
      </c>
      <c r="M190" s="7">
        <v>-1642</v>
      </c>
      <c r="N190" s="7">
        <v>-1642</v>
      </c>
      <c r="O190" s="7">
        <v>-1642</v>
      </c>
      <c r="P190" s="7">
        <v>-1642</v>
      </c>
      <c r="Q190" s="7">
        <v>-1642</v>
      </c>
      <c r="R190" s="7">
        <v>-1642</v>
      </c>
      <c r="S190" s="7">
        <v>-1642</v>
      </c>
      <c r="T190" s="7">
        <v>-1642</v>
      </c>
      <c r="U190" s="7">
        <v>-1642</v>
      </c>
      <c r="V190" s="7">
        <v>-1642</v>
      </c>
      <c r="W190" s="8">
        <f t="shared" si="8"/>
        <v>-19704</v>
      </c>
      <c r="X190" s="9" t="s">
        <v>332</v>
      </c>
    </row>
    <row r="191" spans="2:24" ht="18" customHeight="1" x14ac:dyDescent="0.35">
      <c r="B191" s="5">
        <v>2027</v>
      </c>
      <c r="C191" s="5" t="s">
        <v>26</v>
      </c>
      <c r="D191" s="6" t="s">
        <v>27</v>
      </c>
      <c r="E191" s="6" t="s">
        <v>28</v>
      </c>
      <c r="F191" s="6" t="s">
        <v>29</v>
      </c>
      <c r="G191" s="6" t="s">
        <v>329</v>
      </c>
      <c r="H191" s="6" t="s">
        <v>330</v>
      </c>
      <c r="I191" s="6" t="s">
        <v>336</v>
      </c>
      <c r="J191" s="5" t="s">
        <v>33</v>
      </c>
      <c r="K191" s="7">
        <v>-1337</v>
      </c>
      <c r="L191" s="7">
        <v>-1337</v>
      </c>
      <c r="M191" s="7">
        <v>-1337</v>
      </c>
      <c r="N191" s="7">
        <v>-1337</v>
      </c>
      <c r="O191" s="7">
        <v>-1337</v>
      </c>
      <c r="P191" s="7">
        <v>-1337</v>
      </c>
      <c r="Q191" s="7">
        <v>-1337</v>
      </c>
      <c r="R191" s="7">
        <v>-1337</v>
      </c>
      <c r="S191" s="7">
        <v>-1337</v>
      </c>
      <c r="T191" s="7">
        <v>-1337</v>
      </c>
      <c r="U191" s="7">
        <v>-1337</v>
      </c>
      <c r="V191" s="7">
        <v>-1337</v>
      </c>
      <c r="W191" s="8">
        <f t="shared" si="8"/>
        <v>-16044</v>
      </c>
      <c r="X191" s="9" t="s">
        <v>332</v>
      </c>
    </row>
    <row r="192" spans="2:24" ht="18" customHeight="1" x14ac:dyDescent="0.35">
      <c r="B192" s="5">
        <v>2027</v>
      </c>
      <c r="C192" s="5" t="s">
        <v>26</v>
      </c>
      <c r="D192" s="6" t="s">
        <v>27</v>
      </c>
      <c r="E192" s="6" t="s">
        <v>28</v>
      </c>
      <c r="F192" s="6" t="s">
        <v>29</v>
      </c>
      <c r="G192" s="6" t="s">
        <v>329</v>
      </c>
      <c r="H192" s="6" t="s">
        <v>330</v>
      </c>
      <c r="I192" s="6" t="s">
        <v>337</v>
      </c>
      <c r="J192" s="5" t="s">
        <v>33</v>
      </c>
      <c r="K192" s="7">
        <v>-856</v>
      </c>
      <c r="L192" s="7">
        <v>-856</v>
      </c>
      <c r="M192" s="7">
        <v>-856</v>
      </c>
      <c r="N192" s="7">
        <v>-856</v>
      </c>
      <c r="O192" s="7">
        <v>-856</v>
      </c>
      <c r="P192" s="7">
        <v>-856</v>
      </c>
      <c r="Q192" s="7">
        <v>-856</v>
      </c>
      <c r="R192" s="7">
        <v>-856</v>
      </c>
      <c r="S192" s="7">
        <v>-856</v>
      </c>
      <c r="T192" s="7">
        <v>-856</v>
      </c>
      <c r="U192" s="7">
        <v>-856</v>
      </c>
      <c r="V192" s="7">
        <v>-856</v>
      </c>
      <c r="W192" s="8">
        <f t="shared" si="8"/>
        <v>-10272</v>
      </c>
      <c r="X192" s="9" t="s">
        <v>332</v>
      </c>
    </row>
    <row r="193" spans="2:24" ht="18" customHeight="1" x14ac:dyDescent="0.35">
      <c r="B193" s="5">
        <v>2027</v>
      </c>
      <c r="C193" s="5" t="s">
        <v>26</v>
      </c>
      <c r="D193" s="6" t="s">
        <v>27</v>
      </c>
      <c r="E193" s="6" t="s">
        <v>28</v>
      </c>
      <c r="F193" s="6" t="s">
        <v>29</v>
      </c>
      <c r="G193" s="6" t="s">
        <v>329</v>
      </c>
      <c r="H193" s="6" t="s">
        <v>330</v>
      </c>
      <c r="I193" s="6" t="s">
        <v>338</v>
      </c>
      <c r="J193" s="5" t="s">
        <v>33</v>
      </c>
      <c r="K193" s="7">
        <v>-45</v>
      </c>
      <c r="L193" s="7">
        <v>-45</v>
      </c>
      <c r="M193" s="7">
        <v>-45</v>
      </c>
      <c r="N193" s="7">
        <v>-45</v>
      </c>
      <c r="O193" s="7">
        <v>-45</v>
      </c>
      <c r="P193" s="7">
        <v>-45</v>
      </c>
      <c r="Q193" s="7">
        <v>-45</v>
      </c>
      <c r="R193" s="7">
        <v>-45</v>
      </c>
      <c r="S193" s="7">
        <v>-45</v>
      </c>
      <c r="T193" s="7">
        <v>-45</v>
      </c>
      <c r="U193" s="7">
        <v>-45</v>
      </c>
      <c r="V193" s="7">
        <v>-45</v>
      </c>
      <c r="W193" s="8">
        <f t="shared" si="8"/>
        <v>-540</v>
      </c>
      <c r="X193" s="9" t="s">
        <v>332</v>
      </c>
    </row>
    <row r="194" spans="2:24" ht="18" customHeight="1" x14ac:dyDescent="0.35">
      <c r="B194" s="5">
        <v>2027</v>
      </c>
      <c r="C194" s="5" t="s">
        <v>26</v>
      </c>
      <c r="D194" s="6" t="s">
        <v>27</v>
      </c>
      <c r="E194" s="6" t="s">
        <v>28</v>
      </c>
      <c r="F194" s="6" t="s">
        <v>42</v>
      </c>
      <c r="G194" s="6" t="s">
        <v>339</v>
      </c>
      <c r="H194" s="6" t="s">
        <v>54</v>
      </c>
      <c r="I194" s="6" t="s">
        <v>340</v>
      </c>
      <c r="J194" s="5" t="s">
        <v>33</v>
      </c>
      <c r="K194" s="7">
        <v>-30880.78</v>
      </c>
      <c r="L194" s="7">
        <v>-50021.31</v>
      </c>
      <c r="M194" s="7">
        <v>-47982.62</v>
      </c>
      <c r="N194" s="7">
        <v>-38630.300000000003</v>
      </c>
      <c r="O194" s="7">
        <v>-63423.85</v>
      </c>
      <c r="P194" s="7">
        <v>-62896.06</v>
      </c>
      <c r="Q194" s="7">
        <v>-39905.519999999997</v>
      </c>
      <c r="R194" s="7">
        <v>-25466.97</v>
      </c>
      <c r="S194" s="7">
        <v>-14793.2</v>
      </c>
      <c r="T194" s="7">
        <v>-24740.02</v>
      </c>
      <c r="U194" s="7">
        <v>-38241.9</v>
      </c>
      <c r="V194" s="7">
        <v>-41947.79</v>
      </c>
      <c r="W194" s="8">
        <f t="shared" si="8"/>
        <v>-478930.32000000007</v>
      </c>
      <c r="X194" s="9" t="s">
        <v>341</v>
      </c>
    </row>
    <row r="195" spans="2:24" ht="18" customHeight="1" x14ac:dyDescent="0.35">
      <c r="B195" s="5">
        <v>2027</v>
      </c>
      <c r="C195" s="5" t="s">
        <v>26</v>
      </c>
      <c r="D195" s="6" t="s">
        <v>27</v>
      </c>
      <c r="E195" s="6" t="s">
        <v>28</v>
      </c>
      <c r="F195" s="6" t="s">
        <v>42</v>
      </c>
      <c r="G195" s="6" t="s">
        <v>339</v>
      </c>
      <c r="H195" s="6" t="s">
        <v>342</v>
      </c>
      <c r="I195" s="6" t="s">
        <v>343</v>
      </c>
      <c r="J195" s="5" t="s">
        <v>33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8">
        <f t="shared" si="8"/>
        <v>0</v>
      </c>
      <c r="X195" s="9" t="s">
        <v>344</v>
      </c>
    </row>
    <row r="196" spans="2:24" ht="18" customHeight="1" x14ac:dyDescent="0.35">
      <c r="B196" s="5">
        <v>2027</v>
      </c>
      <c r="C196" s="5" t="s">
        <v>26</v>
      </c>
      <c r="D196" s="6" t="s">
        <v>27</v>
      </c>
      <c r="E196" s="6" t="s">
        <v>28</v>
      </c>
      <c r="F196" s="6" t="s">
        <v>42</v>
      </c>
      <c r="G196" s="6" t="s">
        <v>339</v>
      </c>
      <c r="H196" s="6" t="s">
        <v>345</v>
      </c>
      <c r="I196" s="6" t="s">
        <v>346</v>
      </c>
      <c r="J196" s="5" t="s">
        <v>33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8">
        <f t="shared" si="8"/>
        <v>0</v>
      </c>
      <c r="X196" s="9" t="s">
        <v>347</v>
      </c>
    </row>
    <row r="197" spans="2:24" ht="18" customHeight="1" x14ac:dyDescent="0.35">
      <c r="B197" s="5">
        <v>2027</v>
      </c>
      <c r="C197" s="5" t="s">
        <v>26</v>
      </c>
      <c r="D197" s="6" t="s">
        <v>27</v>
      </c>
      <c r="E197" s="6" t="s">
        <v>28</v>
      </c>
      <c r="F197" s="6" t="s">
        <v>42</v>
      </c>
      <c r="G197" s="6" t="s">
        <v>339</v>
      </c>
      <c r="H197" s="6" t="s">
        <v>348</v>
      </c>
      <c r="I197" s="6" t="s">
        <v>349</v>
      </c>
      <c r="J197" s="5" t="s">
        <v>33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8">
        <f t="shared" si="8"/>
        <v>0</v>
      </c>
      <c r="X197" s="9" t="s">
        <v>71</v>
      </c>
    </row>
    <row r="198" spans="2:24" ht="18" customHeight="1" x14ac:dyDescent="0.35">
      <c r="B198" s="5">
        <v>2027</v>
      </c>
      <c r="C198" s="5" t="s">
        <v>26</v>
      </c>
      <c r="D198" s="6" t="s">
        <v>27</v>
      </c>
      <c r="E198" s="6" t="s">
        <v>28</v>
      </c>
      <c r="F198" s="6" t="s">
        <v>42</v>
      </c>
      <c r="G198" s="6" t="s">
        <v>339</v>
      </c>
      <c r="H198" s="6" t="s">
        <v>348</v>
      </c>
      <c r="I198" s="6" t="s">
        <v>350</v>
      </c>
      <c r="J198" s="5" t="s">
        <v>33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8">
        <f t="shared" si="8"/>
        <v>0</v>
      </c>
      <c r="X198" s="9" t="s">
        <v>71</v>
      </c>
    </row>
    <row r="199" spans="2:24" ht="18" customHeight="1" x14ac:dyDescent="0.35">
      <c r="B199" s="5">
        <v>2027</v>
      </c>
      <c r="C199" s="5" t="s">
        <v>26</v>
      </c>
      <c r="D199" s="6" t="s">
        <v>27</v>
      </c>
      <c r="E199" s="6" t="s">
        <v>28</v>
      </c>
      <c r="F199" s="6" t="s">
        <v>42</v>
      </c>
      <c r="G199" s="6" t="s">
        <v>339</v>
      </c>
      <c r="H199" s="6" t="s">
        <v>348</v>
      </c>
      <c r="I199" s="6" t="s">
        <v>351</v>
      </c>
      <c r="J199" s="5" t="s">
        <v>33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8">
        <f t="shared" si="8"/>
        <v>0</v>
      </c>
      <c r="X199" s="9" t="s">
        <v>71</v>
      </c>
    </row>
    <row r="200" spans="2:24" ht="18" customHeight="1" x14ac:dyDescent="0.35">
      <c r="B200" s="5">
        <v>2027</v>
      </c>
      <c r="C200" s="5" t="s">
        <v>26</v>
      </c>
      <c r="D200" s="6" t="s">
        <v>27</v>
      </c>
      <c r="E200" s="6" t="s">
        <v>28</v>
      </c>
      <c r="F200" s="6" t="s">
        <v>42</v>
      </c>
      <c r="G200" s="6" t="s">
        <v>339</v>
      </c>
      <c r="H200" s="6" t="s">
        <v>348</v>
      </c>
      <c r="I200" s="6" t="s">
        <v>352</v>
      </c>
      <c r="J200" s="5" t="s">
        <v>33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8">
        <f t="shared" si="8"/>
        <v>0</v>
      </c>
      <c r="X200" s="9" t="s">
        <v>71</v>
      </c>
    </row>
    <row r="201" spans="2:24" ht="18" customHeight="1" x14ac:dyDescent="0.35">
      <c r="B201" s="5">
        <v>2027</v>
      </c>
      <c r="C201" s="5" t="s">
        <v>26</v>
      </c>
      <c r="D201" s="6" t="s">
        <v>27</v>
      </c>
      <c r="E201" s="6" t="s">
        <v>28</v>
      </c>
      <c r="F201" s="6" t="s">
        <v>42</v>
      </c>
      <c r="G201" s="6" t="s">
        <v>339</v>
      </c>
      <c r="H201" s="6" t="s">
        <v>348</v>
      </c>
      <c r="I201" s="6" t="s">
        <v>353</v>
      </c>
      <c r="J201" s="5" t="s">
        <v>33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8">
        <f t="shared" si="8"/>
        <v>0</v>
      </c>
      <c r="X201" s="9" t="s">
        <v>71</v>
      </c>
    </row>
    <row r="202" spans="2:24" ht="18" customHeight="1" x14ac:dyDescent="0.35">
      <c r="B202" s="5">
        <v>2027</v>
      </c>
      <c r="C202" s="5" t="s">
        <v>26</v>
      </c>
      <c r="D202" s="6" t="s">
        <v>27</v>
      </c>
      <c r="E202" s="6" t="s">
        <v>28</v>
      </c>
      <c r="F202" s="6" t="s">
        <v>42</v>
      </c>
      <c r="G202" s="6" t="s">
        <v>339</v>
      </c>
      <c r="H202" s="6" t="s">
        <v>348</v>
      </c>
      <c r="I202" s="6" t="s">
        <v>354</v>
      </c>
      <c r="J202" s="5" t="s">
        <v>33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8">
        <f t="shared" si="8"/>
        <v>0</v>
      </c>
      <c r="X202" s="9" t="s">
        <v>71</v>
      </c>
    </row>
    <row r="203" spans="2:24" ht="18" customHeight="1" x14ac:dyDescent="0.35">
      <c r="B203" s="5">
        <v>2027</v>
      </c>
      <c r="C203" s="5" t="s">
        <v>26</v>
      </c>
      <c r="D203" s="6" t="s">
        <v>27</v>
      </c>
      <c r="E203" s="6" t="s">
        <v>28</v>
      </c>
      <c r="F203" s="6" t="s">
        <v>42</v>
      </c>
      <c r="G203" s="6" t="s">
        <v>339</v>
      </c>
      <c r="H203" s="6" t="s">
        <v>348</v>
      </c>
      <c r="I203" s="6" t="s">
        <v>355</v>
      </c>
      <c r="J203" s="5" t="s">
        <v>33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8">
        <f t="shared" si="8"/>
        <v>0</v>
      </c>
      <c r="X203" s="9" t="s">
        <v>71</v>
      </c>
    </row>
    <row r="204" spans="2:24" ht="18" customHeight="1" x14ac:dyDescent="0.35">
      <c r="B204" s="5">
        <v>2027</v>
      </c>
      <c r="C204" s="5" t="s">
        <v>26</v>
      </c>
      <c r="D204" s="6" t="s">
        <v>27</v>
      </c>
      <c r="E204" s="6" t="s">
        <v>28</v>
      </c>
      <c r="F204" s="6" t="s">
        <v>42</v>
      </c>
      <c r="G204" s="6" t="s">
        <v>356</v>
      </c>
      <c r="H204" s="6" t="s">
        <v>357</v>
      </c>
      <c r="I204" s="6" t="s">
        <v>358</v>
      </c>
      <c r="J204" s="5" t="s">
        <v>33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8">
        <f t="shared" si="8"/>
        <v>0</v>
      </c>
      <c r="X204" s="9" t="s">
        <v>359</v>
      </c>
    </row>
    <row r="205" spans="2:24" ht="18" customHeight="1" x14ac:dyDescent="0.35">
      <c r="B205" s="5">
        <v>2027</v>
      </c>
      <c r="C205" s="5" t="s">
        <v>26</v>
      </c>
      <c r="D205" s="6" t="s">
        <v>27</v>
      </c>
      <c r="E205" s="6" t="s">
        <v>28</v>
      </c>
      <c r="F205" s="6" t="s">
        <v>29</v>
      </c>
      <c r="G205" s="6" t="s">
        <v>134</v>
      </c>
      <c r="H205" s="6" t="s">
        <v>360</v>
      </c>
      <c r="I205" s="6" t="s">
        <v>361</v>
      </c>
      <c r="J205" s="5" t="s">
        <v>33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8">
        <f t="shared" si="8"/>
        <v>0</v>
      </c>
      <c r="X205" s="9" t="s">
        <v>36</v>
      </c>
    </row>
    <row r="206" spans="2:24" ht="18" customHeight="1" x14ac:dyDescent="0.35">
      <c r="B206" s="5">
        <v>2027</v>
      </c>
      <c r="C206" s="5" t="s">
        <v>26</v>
      </c>
      <c r="D206" s="6" t="s">
        <v>27</v>
      </c>
      <c r="E206" s="6" t="s">
        <v>28</v>
      </c>
      <c r="F206" s="6" t="s">
        <v>42</v>
      </c>
      <c r="G206" s="6" t="s">
        <v>43</v>
      </c>
      <c r="H206" s="6" t="s">
        <v>362</v>
      </c>
      <c r="I206" s="6" t="s">
        <v>363</v>
      </c>
      <c r="J206" s="5" t="s">
        <v>33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8">
        <f t="shared" si="8"/>
        <v>0</v>
      </c>
      <c r="X206" s="9" t="s">
        <v>364</v>
      </c>
    </row>
  </sheetData>
  <mergeCells count="1">
    <mergeCell ref="B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31"/>
  <sheetViews>
    <sheetView workbookViewId="0"/>
  </sheetViews>
  <sheetFormatPr baseColWidth="10" defaultColWidth="8.7265625" defaultRowHeight="14.5" x14ac:dyDescent="0.35"/>
  <cols>
    <col min="2" max="2" width="46" customWidth="1"/>
    <col min="3" max="4" width="20" customWidth="1"/>
    <col min="5" max="5" width="16" customWidth="1"/>
    <col min="6" max="6" width="12" customWidth="1"/>
    <col min="7" max="7" width="65" customWidth="1"/>
  </cols>
  <sheetData>
    <row r="1" spans="2:9" ht="28" customHeight="1" x14ac:dyDescent="0.35">
      <c r="B1" s="35" t="s">
        <v>365</v>
      </c>
      <c r="C1" s="36"/>
      <c r="D1" s="36"/>
      <c r="E1" s="36"/>
      <c r="F1" s="36"/>
      <c r="G1" s="36"/>
      <c r="H1" s="36"/>
      <c r="I1" s="36"/>
    </row>
    <row r="2" spans="2:9" ht="20" customHeight="1" x14ac:dyDescent="0.35">
      <c r="B2" s="1" t="s">
        <v>366</v>
      </c>
    </row>
    <row r="4" spans="2:9" ht="24" customHeight="1" x14ac:dyDescent="0.35">
      <c r="B4" s="10" t="s">
        <v>367</v>
      </c>
      <c r="C4" s="10" t="s">
        <v>368</v>
      </c>
      <c r="D4" s="10" t="s">
        <v>369</v>
      </c>
      <c r="E4" s="10" t="s">
        <v>370</v>
      </c>
      <c r="F4" s="10" t="s">
        <v>371</v>
      </c>
      <c r="G4" s="10" t="s">
        <v>372</v>
      </c>
    </row>
    <row r="5" spans="2:9" ht="20" customHeight="1" x14ac:dyDescent="0.35">
      <c r="B5" s="6" t="s">
        <v>373</v>
      </c>
      <c r="C5" s="11">
        <v>17738160.289999999</v>
      </c>
      <c r="D5" s="11">
        <v>17530091.829999998</v>
      </c>
      <c r="E5" s="11">
        <v>-208068.4599999972</v>
      </c>
      <c r="F5" s="12">
        <v>-1.1729990968527729E-2</v>
      </c>
      <c r="G5" s="9" t="s">
        <v>374</v>
      </c>
    </row>
    <row r="6" spans="2:9" ht="20" customHeight="1" x14ac:dyDescent="0.35">
      <c r="B6" s="6" t="s">
        <v>375</v>
      </c>
      <c r="C6" s="11">
        <v>-389116</v>
      </c>
      <c r="D6" s="11">
        <v>-384551.4</v>
      </c>
      <c r="E6" s="11">
        <v>4564.5999999999767</v>
      </c>
      <c r="F6" s="12">
        <v>1.173069213293716E-2</v>
      </c>
      <c r="G6" s="9" t="s">
        <v>376</v>
      </c>
    </row>
    <row r="7" spans="2:9" ht="20" customHeight="1" x14ac:dyDescent="0.35">
      <c r="B7" s="6" t="s">
        <v>377</v>
      </c>
      <c r="C7" s="11">
        <v>34459.57</v>
      </c>
      <c r="D7" s="11">
        <v>34459.57</v>
      </c>
      <c r="E7" s="11">
        <v>0</v>
      </c>
      <c r="F7" s="12">
        <v>0</v>
      </c>
      <c r="G7" s="9" t="s">
        <v>378</v>
      </c>
    </row>
    <row r="8" spans="2:9" ht="20" customHeight="1" x14ac:dyDescent="0.35">
      <c r="B8" s="13" t="s">
        <v>379</v>
      </c>
      <c r="C8" s="14">
        <v>17383503.859999999</v>
      </c>
      <c r="D8" s="14">
        <v>17180000</v>
      </c>
      <c r="E8" s="14">
        <v>-203503.85999999571</v>
      </c>
      <c r="F8" s="15">
        <v>-1.1706722743523801E-2</v>
      </c>
      <c r="G8" s="16" t="s">
        <v>380</v>
      </c>
    </row>
    <row r="9" spans="2:9" ht="20" customHeight="1" x14ac:dyDescent="0.35">
      <c r="B9" s="6" t="s">
        <v>381</v>
      </c>
      <c r="C9" s="11">
        <v>195119.77</v>
      </c>
      <c r="D9" s="11">
        <v>305223.3</v>
      </c>
      <c r="E9" s="11">
        <v>110103.53</v>
      </c>
      <c r="F9" s="12">
        <v>0.56428689927217524</v>
      </c>
      <c r="G9" s="9" t="s">
        <v>382</v>
      </c>
    </row>
    <row r="10" spans="2:9" ht="20" customHeight="1" x14ac:dyDescent="0.35">
      <c r="B10" s="6" t="s">
        <v>383</v>
      </c>
      <c r="C10" s="11">
        <v>-6190113.71</v>
      </c>
      <c r="D10" s="11">
        <v>-5919282.9500000002</v>
      </c>
      <c r="E10" s="11">
        <v>270830.75999999978</v>
      </c>
      <c r="F10" s="12">
        <v>4.3752146194419389E-2</v>
      </c>
      <c r="G10" s="9" t="s">
        <v>384</v>
      </c>
    </row>
    <row r="11" spans="2:9" ht="20" customHeight="1" x14ac:dyDescent="0.35">
      <c r="B11" s="13" t="s">
        <v>385</v>
      </c>
      <c r="C11" s="14">
        <v>11388509.92</v>
      </c>
      <c r="D11" s="14">
        <v>11565940.350000011</v>
      </c>
      <c r="E11" s="14">
        <v>177430.43000000529</v>
      </c>
      <c r="F11" s="15">
        <v>1.5579775690269171E-2</v>
      </c>
      <c r="G11" s="16" t="s">
        <v>386</v>
      </c>
    </row>
    <row r="12" spans="2:9" ht="20" customHeight="1" x14ac:dyDescent="0.35">
      <c r="B12" s="6" t="s">
        <v>387</v>
      </c>
      <c r="C12" s="11">
        <v>-2113093.48</v>
      </c>
      <c r="D12" s="11">
        <v>-2228609.6</v>
      </c>
      <c r="E12" s="11">
        <v>-115516.1200000001</v>
      </c>
      <c r="F12" s="12">
        <v>-5.4666829032097582E-2</v>
      </c>
      <c r="G12" s="9" t="s">
        <v>388</v>
      </c>
    </row>
    <row r="13" spans="2:9" ht="20" customHeight="1" x14ac:dyDescent="0.35">
      <c r="B13" s="6" t="s">
        <v>389</v>
      </c>
      <c r="C13" s="11">
        <v>-1969955.79</v>
      </c>
      <c r="D13" s="11">
        <v>-2010507.73</v>
      </c>
      <c r="E13" s="11">
        <v>-40551.939999999937</v>
      </c>
      <c r="F13" s="12">
        <v>-2.05852030821463E-2</v>
      </c>
      <c r="G13" s="9" t="s">
        <v>390</v>
      </c>
    </row>
    <row r="14" spans="2:9" ht="20" customHeight="1" x14ac:dyDescent="0.35">
      <c r="B14" s="17" t="s">
        <v>391</v>
      </c>
      <c r="C14" s="18">
        <v>7305460.6499999976</v>
      </c>
      <c r="D14" s="18">
        <v>7298841.6200000057</v>
      </c>
      <c r="E14" s="18">
        <v>-6619.0299999918789</v>
      </c>
      <c r="F14" s="19">
        <v>-9.0603869038592124E-4</v>
      </c>
      <c r="G14" s="20" t="s">
        <v>392</v>
      </c>
    </row>
    <row r="15" spans="2:9" ht="20" customHeight="1" x14ac:dyDescent="0.35">
      <c r="B15" s="6" t="s">
        <v>393</v>
      </c>
      <c r="C15" s="11">
        <v>-230704.2</v>
      </c>
      <c r="D15" s="11">
        <v>-230704.2</v>
      </c>
      <c r="E15" s="11">
        <v>0</v>
      </c>
      <c r="F15" s="12">
        <v>0</v>
      </c>
      <c r="G15" s="9" t="s">
        <v>394</v>
      </c>
    </row>
    <row r="16" spans="2:9" ht="20" customHeight="1" x14ac:dyDescent="0.35">
      <c r="B16" s="13" t="s">
        <v>395</v>
      </c>
      <c r="C16" s="14">
        <v>7074756.4499999974</v>
      </c>
      <c r="D16" s="14">
        <v>7068137.4200000064</v>
      </c>
      <c r="E16" s="14">
        <v>-6619.0299999918789</v>
      </c>
      <c r="F16" s="15">
        <v>-9.3558415003697844E-4</v>
      </c>
      <c r="G16" s="16" t="s">
        <v>396</v>
      </c>
    </row>
    <row r="17" spans="2:7" ht="20" customHeight="1" x14ac:dyDescent="0.35">
      <c r="B17" s="6" t="s">
        <v>397</v>
      </c>
      <c r="C17" s="11">
        <v>-478930.32</v>
      </c>
      <c r="D17" s="11">
        <v>-478930.32</v>
      </c>
      <c r="E17" s="11">
        <v>0</v>
      </c>
      <c r="F17" s="12">
        <v>0</v>
      </c>
      <c r="G17" s="9" t="s">
        <v>398</v>
      </c>
    </row>
    <row r="18" spans="2:7" ht="20" customHeight="1" x14ac:dyDescent="0.35">
      <c r="B18" s="13" t="s">
        <v>399</v>
      </c>
      <c r="C18" s="14">
        <v>6595826.1299999971</v>
      </c>
      <c r="D18" s="14">
        <v>6589207.1000000052</v>
      </c>
      <c r="E18" s="14">
        <v>-6619.0299999918789</v>
      </c>
      <c r="F18" s="15">
        <v>-1.0035179626531299E-3</v>
      </c>
      <c r="G18" s="16" t="s">
        <v>400</v>
      </c>
    </row>
    <row r="21" spans="2:7" x14ac:dyDescent="0.35">
      <c r="B21" s="21" t="s">
        <v>401</v>
      </c>
    </row>
    <row r="22" spans="2:7" x14ac:dyDescent="0.35">
      <c r="B22" s="10" t="s">
        <v>402</v>
      </c>
      <c r="C22" s="10" t="s">
        <v>403</v>
      </c>
      <c r="D22" s="10" t="s">
        <v>404</v>
      </c>
      <c r="E22" s="10" t="s">
        <v>405</v>
      </c>
      <c r="F22" s="10" t="s">
        <v>404</v>
      </c>
      <c r="G22" s="10" t="s">
        <v>406</v>
      </c>
    </row>
    <row r="23" spans="2:7" ht="22" customHeight="1" x14ac:dyDescent="0.35">
      <c r="B23" s="22" t="s">
        <v>407</v>
      </c>
      <c r="C23" s="23">
        <v>7397019.7599999998</v>
      </c>
      <c r="D23" s="24">
        <v>0.41701166519338068</v>
      </c>
      <c r="E23" s="23">
        <v>7166315.5599999996</v>
      </c>
      <c r="F23" s="24">
        <v>0.40400557007256582</v>
      </c>
      <c r="G23" s="20" t="s">
        <v>408</v>
      </c>
    </row>
    <row r="24" spans="2:7" ht="22" customHeight="1" x14ac:dyDescent="0.35">
      <c r="B24" s="25" t="s">
        <v>409</v>
      </c>
      <c r="C24" s="26">
        <v>7335809.7599999998</v>
      </c>
      <c r="D24" s="27">
        <v>0.41356091274784618</v>
      </c>
      <c r="E24" s="26">
        <v>7105105.5599999996</v>
      </c>
      <c r="F24" s="27">
        <v>0.40055481762703138</v>
      </c>
      <c r="G24" s="9" t="s">
        <v>410</v>
      </c>
    </row>
    <row r="25" spans="2:7" ht="22" customHeight="1" x14ac:dyDescent="0.35">
      <c r="B25" s="25" t="s">
        <v>411</v>
      </c>
      <c r="C25" s="26">
        <v>7579178.8399999999</v>
      </c>
      <c r="D25" s="27">
        <v>0.42728099848510281</v>
      </c>
      <c r="E25" s="26">
        <v>7348474.6399999997</v>
      </c>
      <c r="F25" s="27">
        <v>0.41427490336428802</v>
      </c>
      <c r="G25" s="9" t="s">
        <v>412</v>
      </c>
    </row>
    <row r="27" spans="2:7" x14ac:dyDescent="0.35">
      <c r="B27" s="37" t="s">
        <v>413</v>
      </c>
      <c r="C27" s="38"/>
      <c r="D27" s="38"/>
      <c r="E27" s="38"/>
      <c r="F27" s="38"/>
      <c r="G27" s="39"/>
    </row>
    <row r="28" spans="2:7" x14ac:dyDescent="0.35">
      <c r="B28" s="40"/>
      <c r="C28" s="36"/>
      <c r="D28" s="36"/>
      <c r="E28" s="36"/>
      <c r="F28" s="36"/>
      <c r="G28" s="41"/>
    </row>
    <row r="29" spans="2:7" x14ac:dyDescent="0.35">
      <c r="B29" s="42"/>
      <c r="C29" s="43"/>
      <c r="D29" s="43"/>
      <c r="E29" s="43"/>
      <c r="F29" s="43"/>
      <c r="G29" s="44"/>
    </row>
    <row r="31" spans="2:7" x14ac:dyDescent="0.35">
      <c r="B31" t="s">
        <v>414</v>
      </c>
    </row>
  </sheetData>
  <mergeCells count="2">
    <mergeCell ref="B1:I1"/>
    <mergeCell ref="B27:G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38"/>
  <sheetViews>
    <sheetView workbookViewId="0"/>
  </sheetViews>
  <sheetFormatPr baseColWidth="10" defaultColWidth="8.7265625" defaultRowHeight="14.5" x14ac:dyDescent="0.35"/>
  <cols>
    <col min="2" max="2" width="16" customWidth="1"/>
    <col min="3" max="3" width="38" customWidth="1"/>
    <col min="4" max="4" width="16" customWidth="1"/>
    <col min="5" max="7" width="18" customWidth="1"/>
    <col min="8" max="8" width="55" customWidth="1"/>
  </cols>
  <sheetData>
    <row r="1" spans="2:8" ht="28" customHeight="1" x14ac:dyDescent="0.35">
      <c r="B1" s="35" t="s">
        <v>415</v>
      </c>
      <c r="C1" s="36"/>
      <c r="D1" s="36"/>
      <c r="E1" s="36"/>
      <c r="F1" s="36"/>
      <c r="G1" s="36"/>
      <c r="H1" s="36"/>
    </row>
    <row r="2" spans="2:8" ht="20" customHeight="1" x14ac:dyDescent="0.35">
      <c r="B2" s="1" t="s">
        <v>416</v>
      </c>
    </row>
    <row r="4" spans="2:8" ht="24" customHeight="1" x14ac:dyDescent="0.35">
      <c r="B4" s="10" t="s">
        <v>417</v>
      </c>
      <c r="C4" s="10" t="s">
        <v>418</v>
      </c>
      <c r="D4" s="10" t="s">
        <v>419</v>
      </c>
      <c r="E4" s="10" t="s">
        <v>368</v>
      </c>
      <c r="F4" s="10" t="s">
        <v>369</v>
      </c>
      <c r="G4" s="10" t="s">
        <v>420</v>
      </c>
      <c r="H4" s="10" t="s">
        <v>421</v>
      </c>
    </row>
    <row r="5" spans="2:8" ht="19" customHeight="1" x14ac:dyDescent="0.35">
      <c r="B5" s="29" t="s">
        <v>422</v>
      </c>
      <c r="C5" s="28" t="s">
        <v>423</v>
      </c>
      <c r="D5" s="29" t="s">
        <v>424</v>
      </c>
      <c r="E5" s="26">
        <v>195119.77</v>
      </c>
      <c r="F5" s="26">
        <v>305223.3</v>
      </c>
      <c r="G5" s="26">
        <v>110103.53</v>
      </c>
      <c r="H5" s="9" t="s">
        <v>425</v>
      </c>
    </row>
    <row r="6" spans="2:8" ht="19" customHeight="1" x14ac:dyDescent="0.35">
      <c r="B6" s="29" t="s">
        <v>426</v>
      </c>
      <c r="C6" s="28" t="s">
        <v>427</v>
      </c>
      <c r="D6" s="29" t="s">
        <v>428</v>
      </c>
      <c r="E6" s="26">
        <v>0</v>
      </c>
      <c r="F6" s="26">
        <v>-397070.47</v>
      </c>
      <c r="G6" s="26">
        <v>-397070.47</v>
      </c>
      <c r="H6" s="9" t="s">
        <v>429</v>
      </c>
    </row>
    <row r="7" spans="2:8" ht="19" customHeight="1" x14ac:dyDescent="0.35">
      <c r="B7" s="29" t="s">
        <v>430</v>
      </c>
      <c r="C7" s="28" t="s">
        <v>431</v>
      </c>
      <c r="D7" s="29" t="s">
        <v>432</v>
      </c>
      <c r="E7" s="26">
        <v>-4791963.9999999991</v>
      </c>
      <c r="F7" s="26">
        <v>-4850076.71</v>
      </c>
      <c r="G7" s="26">
        <v>-58112.710000000887</v>
      </c>
      <c r="H7" s="9" t="s">
        <v>433</v>
      </c>
    </row>
    <row r="8" spans="2:8" ht="19" customHeight="1" x14ac:dyDescent="0.35">
      <c r="B8" s="29" t="s">
        <v>434</v>
      </c>
      <c r="C8" s="28" t="s">
        <v>435</v>
      </c>
      <c r="D8" s="29" t="s">
        <v>432</v>
      </c>
      <c r="E8" s="26">
        <v>-998826.14</v>
      </c>
      <c r="F8" s="26">
        <v>-1001286</v>
      </c>
      <c r="G8" s="26">
        <v>-2459.859999999986</v>
      </c>
      <c r="H8" s="9" t="s">
        <v>436</v>
      </c>
    </row>
    <row r="9" spans="2:8" ht="19" customHeight="1" x14ac:dyDescent="0.35">
      <c r="B9" s="29" t="s">
        <v>437</v>
      </c>
      <c r="C9" s="28" t="s">
        <v>438</v>
      </c>
      <c r="D9" s="29" t="s">
        <v>432</v>
      </c>
      <c r="E9" s="26">
        <v>-101284.89</v>
      </c>
      <c r="F9" s="26">
        <v>-156353.22</v>
      </c>
      <c r="G9" s="26">
        <v>-55068.329999999987</v>
      </c>
      <c r="H9" s="9" t="s">
        <v>439</v>
      </c>
    </row>
    <row r="10" spans="2:8" ht="19" customHeight="1" x14ac:dyDescent="0.35">
      <c r="B10" s="29" t="s">
        <v>440</v>
      </c>
      <c r="C10" s="28" t="s">
        <v>441</v>
      </c>
      <c r="D10" s="29" t="s">
        <v>432</v>
      </c>
      <c r="E10" s="26">
        <v>-105364.66</v>
      </c>
      <c r="F10" s="26">
        <v>-162607.34</v>
      </c>
      <c r="G10" s="26">
        <v>-57242.680000000008</v>
      </c>
      <c r="H10" s="9" t="s">
        <v>442</v>
      </c>
    </row>
    <row r="11" spans="2:8" ht="19" customHeight="1" x14ac:dyDescent="0.35">
      <c r="B11" s="29" t="s">
        <v>443</v>
      </c>
      <c r="C11" s="28" t="s">
        <v>444</v>
      </c>
      <c r="D11" s="29" t="s">
        <v>432</v>
      </c>
      <c r="E11" s="26">
        <v>-39556.100000000013</v>
      </c>
      <c r="F11" s="26">
        <v>-83805.31</v>
      </c>
      <c r="G11" s="26">
        <v>-44249.209999999992</v>
      </c>
      <c r="H11" s="9" t="s">
        <v>445</v>
      </c>
    </row>
    <row r="12" spans="2:8" ht="19" customHeight="1" x14ac:dyDescent="0.35">
      <c r="B12" s="29" t="s">
        <v>446</v>
      </c>
      <c r="C12" s="28" t="s">
        <v>447</v>
      </c>
      <c r="D12" s="29" t="s">
        <v>448</v>
      </c>
      <c r="E12" s="26">
        <v>-1815728.88</v>
      </c>
      <c r="F12" s="26">
        <v>-1806076</v>
      </c>
      <c r="G12" s="26">
        <v>9652.8800000001211</v>
      </c>
      <c r="H12" s="9" t="s">
        <v>449</v>
      </c>
    </row>
    <row r="13" spans="2:8" ht="19" customHeight="1" x14ac:dyDescent="0.35">
      <c r="B13" s="29" t="s">
        <v>450</v>
      </c>
      <c r="C13" s="28" t="s">
        <v>451</v>
      </c>
      <c r="D13" s="29" t="s">
        <v>448</v>
      </c>
      <c r="E13" s="26">
        <v>-294864.59999999992</v>
      </c>
      <c r="F13" s="26">
        <v>-420033.6</v>
      </c>
      <c r="G13" s="26">
        <v>-125169.0000000001</v>
      </c>
      <c r="H13" s="9" t="s">
        <v>452</v>
      </c>
    </row>
    <row r="14" spans="2:8" ht="19" customHeight="1" x14ac:dyDescent="0.35">
      <c r="B14" s="29" t="s">
        <v>453</v>
      </c>
      <c r="C14" s="28" t="s">
        <v>454</v>
      </c>
      <c r="D14" s="29" t="s">
        <v>455</v>
      </c>
      <c r="E14" s="26">
        <v>-17110.2</v>
      </c>
      <c r="F14" s="26">
        <v>-18848.14</v>
      </c>
      <c r="G14" s="26">
        <v>-1737.9399999999989</v>
      </c>
      <c r="H14" s="9" t="s">
        <v>456</v>
      </c>
    </row>
    <row r="15" spans="2:8" ht="19" customHeight="1" x14ac:dyDescent="0.35">
      <c r="B15" s="29" t="s">
        <v>457</v>
      </c>
      <c r="C15" s="28" t="s">
        <v>458</v>
      </c>
      <c r="D15" s="29" t="s">
        <v>455</v>
      </c>
      <c r="E15" s="26">
        <v>-30331.560000000009</v>
      </c>
      <c r="F15" s="26">
        <v>-5594.4</v>
      </c>
      <c r="G15" s="26">
        <v>24737.160000000011</v>
      </c>
      <c r="H15" s="9" t="s">
        <v>459</v>
      </c>
    </row>
    <row r="16" spans="2:8" ht="19" customHeight="1" x14ac:dyDescent="0.35">
      <c r="B16" s="29" t="s">
        <v>460</v>
      </c>
      <c r="C16" s="28" t="s">
        <v>461</v>
      </c>
      <c r="D16" s="29" t="s">
        <v>455</v>
      </c>
      <c r="E16" s="26">
        <v>-50245.68</v>
      </c>
      <c r="F16" s="26">
        <v>0</v>
      </c>
      <c r="G16" s="26">
        <v>50245.68</v>
      </c>
      <c r="H16" s="9" t="s">
        <v>462</v>
      </c>
    </row>
    <row r="17" spans="2:8" ht="19" customHeight="1" x14ac:dyDescent="0.35">
      <c r="B17" s="29" t="s">
        <v>463</v>
      </c>
      <c r="C17" s="28" t="s">
        <v>464</v>
      </c>
      <c r="D17" s="29" t="s">
        <v>455</v>
      </c>
      <c r="E17" s="26">
        <v>-71268.960000000006</v>
      </c>
      <c r="F17" s="26">
        <v>-7035</v>
      </c>
      <c r="G17" s="26">
        <v>64233.960000000006</v>
      </c>
      <c r="H17" s="9" t="s">
        <v>465</v>
      </c>
    </row>
    <row r="18" spans="2:8" ht="19" customHeight="1" x14ac:dyDescent="0.35">
      <c r="B18" s="29" t="s">
        <v>466</v>
      </c>
      <c r="C18" s="28" t="s">
        <v>467</v>
      </c>
      <c r="D18" s="29" t="s">
        <v>455</v>
      </c>
      <c r="E18" s="26">
        <v>-10990.8</v>
      </c>
      <c r="F18" s="26">
        <v>-6090</v>
      </c>
      <c r="G18" s="26">
        <v>4900.7999999999975</v>
      </c>
      <c r="H18" s="9" t="s">
        <v>468</v>
      </c>
    </row>
    <row r="19" spans="2:8" ht="19" customHeight="1" x14ac:dyDescent="0.35">
      <c r="B19" s="29" t="s">
        <v>469</v>
      </c>
      <c r="C19" s="28" t="s">
        <v>470</v>
      </c>
      <c r="D19" s="29" t="s">
        <v>455</v>
      </c>
      <c r="E19" s="26">
        <v>-9458.4</v>
      </c>
      <c r="F19" s="26">
        <v>-3255</v>
      </c>
      <c r="G19" s="26">
        <v>6203.4</v>
      </c>
      <c r="H19" s="9" t="s">
        <v>471</v>
      </c>
    </row>
    <row r="20" spans="2:8" ht="19" customHeight="1" x14ac:dyDescent="0.35">
      <c r="B20" s="29" t="s">
        <v>472</v>
      </c>
      <c r="C20" s="28" t="s">
        <v>473</v>
      </c>
      <c r="D20" s="29" t="s">
        <v>455</v>
      </c>
      <c r="E20" s="26">
        <v>-1457.28</v>
      </c>
      <c r="F20" s="26">
        <v>0</v>
      </c>
      <c r="G20" s="26">
        <v>1457.28</v>
      </c>
      <c r="H20" s="9" t="s">
        <v>474</v>
      </c>
    </row>
    <row r="21" spans="2:8" ht="19" customHeight="1" x14ac:dyDescent="0.35">
      <c r="B21" s="29" t="s">
        <v>475</v>
      </c>
      <c r="C21" s="28" t="s">
        <v>476</v>
      </c>
      <c r="D21" s="29" t="s">
        <v>477</v>
      </c>
      <c r="E21" s="26">
        <v>-24000</v>
      </c>
      <c r="F21" s="26">
        <v>-550</v>
      </c>
      <c r="G21" s="26">
        <v>23450</v>
      </c>
      <c r="H21" s="9" t="s">
        <v>478</v>
      </c>
    </row>
    <row r="22" spans="2:8" ht="19" customHeight="1" x14ac:dyDescent="0.35">
      <c r="B22" s="29" t="s">
        <v>479</v>
      </c>
      <c r="C22" s="28" t="s">
        <v>480</v>
      </c>
      <c r="D22" s="29" t="s">
        <v>477</v>
      </c>
      <c r="E22" s="26">
        <v>-15253.68</v>
      </c>
      <c r="F22" s="26">
        <v>-10193</v>
      </c>
      <c r="G22" s="26">
        <v>5060.6799999999976</v>
      </c>
      <c r="H22" s="9" t="s">
        <v>481</v>
      </c>
    </row>
    <row r="23" spans="2:8" ht="19" customHeight="1" x14ac:dyDescent="0.35">
      <c r="B23" s="29" t="s">
        <v>482</v>
      </c>
      <c r="C23" s="28" t="s">
        <v>483</v>
      </c>
      <c r="D23" s="29" t="s">
        <v>424</v>
      </c>
      <c r="E23" s="26">
        <v>-212857.93</v>
      </c>
      <c r="F23" s="26">
        <v>-166472.15</v>
      </c>
      <c r="G23" s="26">
        <v>46385.78</v>
      </c>
      <c r="H23" s="9" t="s">
        <v>484</v>
      </c>
    </row>
    <row r="24" spans="2:8" ht="19" customHeight="1" x14ac:dyDescent="0.35">
      <c r="B24" s="29" t="s">
        <v>485</v>
      </c>
      <c r="C24" s="28" t="s">
        <v>486</v>
      </c>
      <c r="D24" s="29" t="s">
        <v>424</v>
      </c>
      <c r="E24" s="26">
        <v>-150774.37</v>
      </c>
      <c r="F24" s="26">
        <v>-305223.3</v>
      </c>
      <c r="G24" s="26">
        <v>-154448.93</v>
      </c>
      <c r="H24" s="9" t="s">
        <v>487</v>
      </c>
    </row>
    <row r="25" spans="2:8" ht="19" customHeight="1" x14ac:dyDescent="0.35">
      <c r="B25" s="29" t="s">
        <v>488</v>
      </c>
      <c r="C25" s="28" t="s">
        <v>489</v>
      </c>
      <c r="D25" s="29" t="s">
        <v>424</v>
      </c>
      <c r="E25" s="26">
        <v>-88690.8</v>
      </c>
      <c r="F25" s="26">
        <v>-79198.28</v>
      </c>
      <c r="G25" s="26">
        <v>9492.5200000000041</v>
      </c>
      <c r="H25" s="9" t="s">
        <v>490</v>
      </c>
    </row>
    <row r="26" spans="2:8" ht="19" customHeight="1" x14ac:dyDescent="0.35">
      <c r="B26" s="29" t="s">
        <v>491</v>
      </c>
      <c r="C26" s="28" t="s">
        <v>492</v>
      </c>
      <c r="D26" s="29" t="s">
        <v>424</v>
      </c>
      <c r="E26" s="26">
        <v>-79821.73</v>
      </c>
      <c r="F26" s="26">
        <v>0</v>
      </c>
      <c r="G26" s="26">
        <v>79821.73</v>
      </c>
      <c r="H26" s="9" t="s">
        <v>493</v>
      </c>
    </row>
    <row r="27" spans="2:8" ht="19" customHeight="1" x14ac:dyDescent="0.35">
      <c r="B27" s="29" t="s">
        <v>494</v>
      </c>
      <c r="C27" s="28" t="s">
        <v>257</v>
      </c>
      <c r="D27" s="29" t="s">
        <v>495</v>
      </c>
      <c r="E27" s="26">
        <v>-2682.5</v>
      </c>
      <c r="F27" s="26">
        <v>0</v>
      </c>
      <c r="G27" s="26">
        <v>2682.5</v>
      </c>
      <c r="H27" s="9" t="s">
        <v>496</v>
      </c>
    </row>
    <row r="28" spans="2:8" ht="19" customHeight="1" x14ac:dyDescent="0.35">
      <c r="B28" s="29" t="s">
        <v>497</v>
      </c>
      <c r="C28" s="28" t="s">
        <v>259</v>
      </c>
      <c r="D28" s="29" t="s">
        <v>495</v>
      </c>
      <c r="E28" s="26">
        <v>-5087.5</v>
      </c>
      <c r="F28" s="26">
        <v>0</v>
      </c>
      <c r="G28" s="26">
        <v>5087.5</v>
      </c>
      <c r="H28" s="9" t="s">
        <v>496</v>
      </c>
    </row>
    <row r="29" spans="2:8" ht="19" customHeight="1" x14ac:dyDescent="0.35">
      <c r="B29" s="29" t="s">
        <v>498</v>
      </c>
      <c r="C29" s="28" t="s">
        <v>499</v>
      </c>
      <c r="D29" s="29" t="s">
        <v>495</v>
      </c>
      <c r="E29" s="26">
        <v>-1236.75</v>
      </c>
      <c r="F29" s="26">
        <v>-25630</v>
      </c>
      <c r="G29" s="26">
        <v>-24393.25</v>
      </c>
      <c r="H29" s="9" t="s">
        <v>500</v>
      </c>
    </row>
    <row r="30" spans="2:8" ht="19" customHeight="1" x14ac:dyDescent="0.35">
      <c r="B30" s="29" t="s">
        <v>501</v>
      </c>
      <c r="C30" s="28" t="s">
        <v>502</v>
      </c>
      <c r="D30" s="29" t="s">
        <v>495</v>
      </c>
      <c r="E30" s="26">
        <v>-3855.75</v>
      </c>
      <c r="F30" s="26">
        <v>-33769.99</v>
      </c>
      <c r="G30" s="26">
        <v>-29914.240000000002</v>
      </c>
      <c r="H30" s="9" t="s">
        <v>503</v>
      </c>
    </row>
    <row r="31" spans="2:8" ht="19" customHeight="1" x14ac:dyDescent="0.35">
      <c r="B31" s="29" t="s">
        <v>504</v>
      </c>
      <c r="C31" s="28" t="s">
        <v>505</v>
      </c>
      <c r="D31" s="29" t="s">
        <v>495</v>
      </c>
      <c r="E31" s="26">
        <v>0</v>
      </c>
      <c r="F31" s="26">
        <v>-196299.99</v>
      </c>
      <c r="G31" s="26">
        <v>-196299.99</v>
      </c>
      <c r="H31" s="9" t="s">
        <v>506</v>
      </c>
    </row>
    <row r="32" spans="2:8" ht="19" customHeight="1" x14ac:dyDescent="0.35">
      <c r="B32" s="29" t="s">
        <v>507</v>
      </c>
      <c r="C32" s="28" t="s">
        <v>508</v>
      </c>
      <c r="D32" s="29" t="s">
        <v>495</v>
      </c>
      <c r="E32" s="26">
        <v>-26500</v>
      </c>
      <c r="F32" s="26">
        <v>-10372.4</v>
      </c>
      <c r="G32" s="26">
        <v>16127.6</v>
      </c>
      <c r="H32" s="9" t="s">
        <v>509</v>
      </c>
    </row>
    <row r="33" spans="2:8" ht="19" customHeight="1" x14ac:dyDescent="0.35">
      <c r="B33" s="29" t="s">
        <v>510</v>
      </c>
      <c r="C33" s="28" t="s">
        <v>268</v>
      </c>
      <c r="D33" s="29" t="s">
        <v>495</v>
      </c>
      <c r="E33" s="26">
        <v>-10334.5</v>
      </c>
      <c r="F33" s="26">
        <v>0</v>
      </c>
      <c r="G33" s="26">
        <v>10334.5</v>
      </c>
      <c r="H33" s="9" t="s">
        <v>496</v>
      </c>
    </row>
    <row r="34" spans="2:8" ht="19" customHeight="1" x14ac:dyDescent="0.35">
      <c r="B34" s="29" t="s">
        <v>511</v>
      </c>
      <c r="C34" s="28" t="s">
        <v>512</v>
      </c>
      <c r="D34" s="29" t="s">
        <v>477</v>
      </c>
      <c r="E34" s="26">
        <v>-11379.84</v>
      </c>
      <c r="F34" s="26">
        <v>-25315</v>
      </c>
      <c r="G34" s="26">
        <v>-13935.16</v>
      </c>
      <c r="H34" s="9" t="s">
        <v>513</v>
      </c>
    </row>
    <row r="35" spans="2:8" ht="19" customHeight="1" x14ac:dyDescent="0.35">
      <c r="B35" s="29" t="s">
        <v>514</v>
      </c>
      <c r="C35" s="28" t="s">
        <v>515</v>
      </c>
      <c r="D35" s="29" t="s">
        <v>477</v>
      </c>
      <c r="E35" s="26">
        <v>-11295.24</v>
      </c>
      <c r="F35" s="26">
        <v>-6600</v>
      </c>
      <c r="G35" s="26">
        <v>4695.2400000000034</v>
      </c>
      <c r="H35" s="9" t="s">
        <v>516</v>
      </c>
    </row>
    <row r="36" spans="2:8" ht="19" customHeight="1" x14ac:dyDescent="0.35">
      <c r="B36" s="29" t="s">
        <v>517</v>
      </c>
      <c r="C36" s="28" t="s">
        <v>518</v>
      </c>
      <c r="D36" s="29" t="s">
        <v>477</v>
      </c>
      <c r="E36" s="26">
        <v>-34000</v>
      </c>
      <c r="F36" s="26">
        <v>-74400</v>
      </c>
      <c r="G36" s="26">
        <v>-40400</v>
      </c>
      <c r="H36" s="9" t="s">
        <v>519</v>
      </c>
    </row>
    <row r="37" spans="2:8" ht="19" customHeight="1" x14ac:dyDescent="0.35">
      <c r="B37" s="29" t="s">
        <v>520</v>
      </c>
      <c r="C37" s="28" t="s">
        <v>521</v>
      </c>
      <c r="D37" s="29" t="s">
        <v>477</v>
      </c>
      <c r="E37" s="26">
        <v>-9621.8399999999983</v>
      </c>
      <c r="F37" s="26">
        <v>-2400</v>
      </c>
      <c r="G37" s="26">
        <v>7221.8399999999983</v>
      </c>
      <c r="H37" s="9" t="s">
        <v>522</v>
      </c>
    </row>
    <row r="38" spans="2:8" x14ac:dyDescent="0.35">
      <c r="B38" s="29" t="s">
        <v>523</v>
      </c>
      <c r="C38" s="28" t="s">
        <v>524</v>
      </c>
      <c r="D38" s="29" t="s">
        <v>428</v>
      </c>
      <c r="E38" s="26">
        <v>17738160.289999999</v>
      </c>
      <c r="F38" s="26">
        <v>18100771.190000001</v>
      </c>
      <c r="G38" s="26">
        <v>362610.90000000218</v>
      </c>
      <c r="H38" s="9" t="s">
        <v>525</v>
      </c>
    </row>
  </sheetData>
  <mergeCells count="1">
    <mergeCell ref="B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76"/>
  <sheetViews>
    <sheetView workbookViewId="0"/>
  </sheetViews>
  <sheetFormatPr baseColWidth="10" defaultColWidth="8.7265625" defaultRowHeight="14.5" x14ac:dyDescent="0.35"/>
  <cols>
    <col min="2" max="2" width="14" customWidth="1"/>
    <col min="3" max="3" width="20" customWidth="1"/>
    <col min="4" max="4" width="38" customWidth="1"/>
    <col min="5" max="5" width="24" customWidth="1"/>
    <col min="6" max="6" width="14" customWidth="1"/>
    <col min="7" max="7" width="30" customWidth="1"/>
    <col min="8" max="8" width="18" customWidth="1"/>
    <col min="9" max="9" width="24" customWidth="1"/>
    <col min="10" max="21" width="13" customWidth="1"/>
    <col min="22" max="22" width="16" customWidth="1"/>
  </cols>
  <sheetData>
    <row r="1" spans="2:22" ht="28" customHeight="1" x14ac:dyDescent="0.35">
      <c r="B1" s="35" t="s">
        <v>526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3" spans="2:22" ht="24" customHeight="1" x14ac:dyDescent="0.35">
      <c r="B3" s="10" t="s">
        <v>527</v>
      </c>
      <c r="C3" s="10" t="s">
        <v>528</v>
      </c>
      <c r="D3" s="10" t="s">
        <v>529</v>
      </c>
      <c r="E3" s="10" t="s">
        <v>530</v>
      </c>
      <c r="F3" s="10" t="s">
        <v>531</v>
      </c>
      <c r="G3" s="10" t="s">
        <v>532</v>
      </c>
      <c r="H3" s="10" t="s">
        <v>533</v>
      </c>
      <c r="I3" s="10" t="s">
        <v>534</v>
      </c>
      <c r="J3" s="10" t="s">
        <v>535</v>
      </c>
      <c r="K3" s="10" t="s">
        <v>536</v>
      </c>
      <c r="L3" s="10" t="s">
        <v>537</v>
      </c>
      <c r="M3" s="10" t="s">
        <v>538</v>
      </c>
      <c r="N3" s="10" t="s">
        <v>539</v>
      </c>
      <c r="O3" s="10" t="s">
        <v>540</v>
      </c>
      <c r="P3" s="10" t="s">
        <v>541</v>
      </c>
      <c r="Q3" s="10" t="s">
        <v>542</v>
      </c>
      <c r="R3" s="10" t="s">
        <v>543</v>
      </c>
      <c r="S3" s="10" t="s">
        <v>544</v>
      </c>
      <c r="T3" s="10" t="s">
        <v>545</v>
      </c>
      <c r="U3" s="10" t="s">
        <v>546</v>
      </c>
      <c r="V3" s="10" t="s">
        <v>547</v>
      </c>
    </row>
    <row r="4" spans="2:22" ht="18" customHeight="1" x14ac:dyDescent="0.35">
      <c r="B4" s="29" t="s">
        <v>432</v>
      </c>
      <c r="C4" s="28" t="s">
        <v>548</v>
      </c>
      <c r="D4" s="28" t="s">
        <v>549</v>
      </c>
      <c r="E4" s="28" t="s">
        <v>550</v>
      </c>
      <c r="F4" s="29" t="s">
        <v>430</v>
      </c>
      <c r="G4" s="28" t="s">
        <v>431</v>
      </c>
      <c r="H4" s="29" t="s">
        <v>551</v>
      </c>
      <c r="I4" s="29" t="s">
        <v>33</v>
      </c>
      <c r="J4" s="30">
        <v>247571.61</v>
      </c>
      <c r="K4" s="30">
        <v>480047.38</v>
      </c>
      <c r="L4" s="30">
        <v>505499.75</v>
      </c>
      <c r="M4" s="30">
        <v>391336.67</v>
      </c>
      <c r="N4" s="30">
        <v>639721.61</v>
      </c>
      <c r="O4" s="30">
        <v>660412.55000000005</v>
      </c>
      <c r="P4" s="30">
        <v>425647.17</v>
      </c>
      <c r="Q4" s="30">
        <v>255306.21</v>
      </c>
      <c r="R4" s="30">
        <v>154533.56</v>
      </c>
      <c r="S4" s="30">
        <v>257348.52</v>
      </c>
      <c r="T4" s="30">
        <v>410647.96</v>
      </c>
      <c r="U4" s="30">
        <v>422003.72</v>
      </c>
      <c r="V4" s="8">
        <f t="shared" ref="V4:V35" si="0">SUM(J4:U4)</f>
        <v>4850076.71</v>
      </c>
    </row>
    <row r="5" spans="2:22" ht="18" customHeight="1" x14ac:dyDescent="0.35">
      <c r="B5" s="29" t="s">
        <v>432</v>
      </c>
      <c r="C5" s="28" t="s">
        <v>552</v>
      </c>
      <c r="D5" s="28" t="s">
        <v>553</v>
      </c>
      <c r="E5" s="28" t="s">
        <v>554</v>
      </c>
      <c r="F5" s="29" t="s">
        <v>434</v>
      </c>
      <c r="G5" s="28" t="s">
        <v>555</v>
      </c>
      <c r="H5" s="29" t="s">
        <v>551</v>
      </c>
      <c r="I5" s="29" t="s">
        <v>33</v>
      </c>
      <c r="J5" s="30">
        <v>51110.53</v>
      </c>
      <c r="K5" s="30">
        <v>99104.56</v>
      </c>
      <c r="L5" s="30">
        <v>104359.14</v>
      </c>
      <c r="M5" s="30">
        <v>80790.460000000006</v>
      </c>
      <c r="N5" s="30">
        <v>132068.9</v>
      </c>
      <c r="O5" s="30">
        <v>136340.49</v>
      </c>
      <c r="P5" s="30">
        <v>87873.77</v>
      </c>
      <c r="Q5" s="30">
        <v>52707.32</v>
      </c>
      <c r="R5" s="30">
        <v>31903.06</v>
      </c>
      <c r="S5" s="30">
        <v>53128.95</v>
      </c>
      <c r="T5" s="30">
        <v>84777.23</v>
      </c>
      <c r="U5" s="30">
        <v>87121.59</v>
      </c>
      <c r="V5" s="8">
        <f t="shared" si="0"/>
        <v>1001285.9999999999</v>
      </c>
    </row>
    <row r="6" spans="2:22" ht="18" customHeight="1" x14ac:dyDescent="0.35">
      <c r="B6" s="29" t="s">
        <v>432</v>
      </c>
      <c r="C6" s="28" t="s">
        <v>556</v>
      </c>
      <c r="D6" s="28" t="s">
        <v>557</v>
      </c>
      <c r="E6" s="28" t="s">
        <v>558</v>
      </c>
      <c r="F6" s="29" t="s">
        <v>437</v>
      </c>
      <c r="G6" s="28" t="s">
        <v>559</v>
      </c>
      <c r="H6" s="29" t="s">
        <v>551</v>
      </c>
      <c r="I6" s="29" t="s">
        <v>33</v>
      </c>
      <c r="J6" s="30">
        <v>7981.03</v>
      </c>
      <c r="K6" s="30">
        <v>15475.42</v>
      </c>
      <c r="L6" s="30">
        <v>16295.93</v>
      </c>
      <c r="M6" s="30">
        <v>12615.62</v>
      </c>
      <c r="N6" s="30">
        <v>20622.88</v>
      </c>
      <c r="O6" s="30">
        <v>21289.9</v>
      </c>
      <c r="P6" s="30">
        <v>13721.7</v>
      </c>
      <c r="Q6" s="30">
        <v>8230.3700000000008</v>
      </c>
      <c r="R6" s="30">
        <v>4981.74</v>
      </c>
      <c r="S6" s="30">
        <v>8296.2099999999991</v>
      </c>
      <c r="T6" s="30">
        <v>13238.17</v>
      </c>
      <c r="U6" s="30">
        <v>13604.25</v>
      </c>
      <c r="V6" s="8">
        <f t="shared" si="0"/>
        <v>156353.22</v>
      </c>
    </row>
    <row r="7" spans="2:22" ht="18" customHeight="1" x14ac:dyDescent="0.35">
      <c r="B7" s="29" t="s">
        <v>432</v>
      </c>
      <c r="C7" s="28" t="s">
        <v>560</v>
      </c>
      <c r="D7" s="28" t="s">
        <v>561</v>
      </c>
      <c r="E7" s="28" t="s">
        <v>562</v>
      </c>
      <c r="F7" s="29" t="s">
        <v>440</v>
      </c>
      <c r="G7" s="28" t="s">
        <v>563</v>
      </c>
      <c r="H7" s="29" t="s">
        <v>551</v>
      </c>
      <c r="I7" s="29" t="s">
        <v>33</v>
      </c>
      <c r="J7" s="30">
        <v>8300.27</v>
      </c>
      <c r="K7" s="30">
        <v>16094.43</v>
      </c>
      <c r="L7" s="30">
        <v>16947.77</v>
      </c>
      <c r="M7" s="30">
        <v>13120.25</v>
      </c>
      <c r="N7" s="30">
        <v>21447.79</v>
      </c>
      <c r="O7" s="30">
        <v>22141.49</v>
      </c>
      <c r="P7" s="30">
        <v>14270.57</v>
      </c>
      <c r="Q7" s="30">
        <v>8559.59</v>
      </c>
      <c r="R7" s="30">
        <v>5181.01</v>
      </c>
      <c r="S7" s="30">
        <v>8628.06</v>
      </c>
      <c r="T7" s="30">
        <v>13767.69</v>
      </c>
      <c r="U7" s="30">
        <v>14148.42</v>
      </c>
      <c r="V7" s="8">
        <f t="shared" si="0"/>
        <v>162607.34000000003</v>
      </c>
    </row>
    <row r="8" spans="2:22" ht="18" customHeight="1" x14ac:dyDescent="0.35">
      <c r="B8" s="29" t="s">
        <v>432</v>
      </c>
      <c r="C8" s="28" t="s">
        <v>564</v>
      </c>
      <c r="D8" s="28" t="s">
        <v>565</v>
      </c>
      <c r="E8" s="28" t="s">
        <v>566</v>
      </c>
      <c r="F8" s="29" t="s">
        <v>443</v>
      </c>
      <c r="G8" s="28" t="s">
        <v>567</v>
      </c>
      <c r="H8" s="29" t="s">
        <v>551</v>
      </c>
      <c r="I8" s="29" t="s">
        <v>33</v>
      </c>
      <c r="J8" s="30">
        <v>4277.83</v>
      </c>
      <c r="K8" s="30">
        <v>8294.82</v>
      </c>
      <c r="L8" s="30">
        <v>8734.6200000000008</v>
      </c>
      <c r="M8" s="30">
        <v>6761.97</v>
      </c>
      <c r="N8" s="30">
        <v>11053.86</v>
      </c>
      <c r="O8" s="30">
        <v>11411.38</v>
      </c>
      <c r="P8" s="30">
        <v>7354.83</v>
      </c>
      <c r="Q8" s="30">
        <v>4411.4799999999996</v>
      </c>
      <c r="R8" s="30">
        <v>2670.21</v>
      </c>
      <c r="S8" s="30">
        <v>4446.7700000000004</v>
      </c>
      <c r="T8" s="30">
        <v>7095.66</v>
      </c>
      <c r="U8" s="30">
        <v>7291.88</v>
      </c>
      <c r="V8" s="8">
        <f t="shared" si="0"/>
        <v>83805.310000000012</v>
      </c>
    </row>
    <row r="9" spans="2:22" ht="18" customHeight="1" x14ac:dyDescent="0.35">
      <c r="B9" s="29" t="s">
        <v>424</v>
      </c>
      <c r="C9" s="28" t="s">
        <v>568</v>
      </c>
      <c r="D9" s="28" t="s">
        <v>569</v>
      </c>
      <c r="E9" s="28" t="s">
        <v>570</v>
      </c>
      <c r="F9" s="29" t="s">
        <v>482</v>
      </c>
      <c r="G9" s="28" t="s">
        <v>571</v>
      </c>
      <c r="H9" s="29" t="s">
        <v>551</v>
      </c>
      <c r="I9" s="29" t="s">
        <v>33</v>
      </c>
      <c r="J9" s="30">
        <v>7016.8541849298881</v>
      </c>
      <c r="K9" s="30">
        <v>13619.901930409331</v>
      </c>
      <c r="L9" s="30">
        <v>18607.540834615931</v>
      </c>
      <c r="M9" s="30">
        <v>22055.438840092542</v>
      </c>
      <c r="N9" s="30">
        <v>18645.63133053208</v>
      </c>
      <c r="O9" s="30">
        <v>20396.407153911521</v>
      </c>
      <c r="P9" s="30">
        <v>14747.911995939759</v>
      </c>
      <c r="Q9" s="30">
        <v>13338.448552334639</v>
      </c>
      <c r="R9" s="30">
        <v>7825.8587856097447</v>
      </c>
      <c r="S9" s="30">
        <v>12700.115747603981</v>
      </c>
      <c r="T9" s="30">
        <v>12528.191565176339</v>
      </c>
      <c r="U9" s="30">
        <v>4989.8491127425523</v>
      </c>
      <c r="V9" s="8">
        <f t="shared" si="0"/>
        <v>166472.1500338983</v>
      </c>
    </row>
    <row r="10" spans="2:22" ht="18" customHeight="1" x14ac:dyDescent="0.35">
      <c r="B10" s="29" t="s">
        <v>424</v>
      </c>
      <c r="C10" s="28" t="s">
        <v>572</v>
      </c>
      <c r="D10" s="28" t="s">
        <v>573</v>
      </c>
      <c r="E10" s="28" t="s">
        <v>574</v>
      </c>
      <c r="F10" s="29" t="s">
        <v>488</v>
      </c>
      <c r="G10" s="28" t="s">
        <v>575</v>
      </c>
      <c r="H10" s="29" t="s">
        <v>551</v>
      </c>
      <c r="I10" s="29" t="s">
        <v>33</v>
      </c>
      <c r="J10" s="30">
        <v>6088.1812852027751</v>
      </c>
      <c r="K10" s="30">
        <v>5367.2581122599677</v>
      </c>
      <c r="L10" s="30">
        <v>7224.7246711996613</v>
      </c>
      <c r="M10" s="30">
        <v>3712.0421097107128</v>
      </c>
      <c r="N10" s="30">
        <v>14028.95367824759</v>
      </c>
      <c r="O10" s="30">
        <v>2584.4400148540499</v>
      </c>
      <c r="P10" s="30">
        <v>4588.2982662707109</v>
      </c>
      <c r="Q10" s="30">
        <v>8667.6855307925234</v>
      </c>
      <c r="R10" s="30">
        <v>2950.8534576492302</v>
      </c>
      <c r="S10" s="30">
        <v>9635.0410958124958</v>
      </c>
      <c r="T10" s="30">
        <v>13725.16168312535</v>
      </c>
      <c r="U10" s="30">
        <v>625.65144205098409</v>
      </c>
      <c r="V10" s="8">
        <f t="shared" si="0"/>
        <v>79198.29134717604</v>
      </c>
    </row>
    <row r="11" spans="2:22" ht="18" customHeight="1" x14ac:dyDescent="0.35">
      <c r="B11" s="29" t="s">
        <v>424</v>
      </c>
      <c r="C11" s="28" t="s">
        <v>576</v>
      </c>
      <c r="D11" s="28" t="s">
        <v>577</v>
      </c>
      <c r="E11" s="28" t="s">
        <v>578</v>
      </c>
      <c r="F11" s="29" t="s">
        <v>579</v>
      </c>
      <c r="G11" s="28" t="s">
        <v>580</v>
      </c>
      <c r="H11" s="29" t="s">
        <v>581</v>
      </c>
      <c r="I11" s="29" t="s">
        <v>33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8">
        <f t="shared" si="0"/>
        <v>0</v>
      </c>
    </row>
    <row r="12" spans="2:22" ht="18" customHeight="1" x14ac:dyDescent="0.35">
      <c r="B12" s="29" t="s">
        <v>455</v>
      </c>
      <c r="C12" s="28" t="s">
        <v>582</v>
      </c>
      <c r="D12" s="28" t="s">
        <v>583</v>
      </c>
      <c r="E12" s="28" t="s">
        <v>584</v>
      </c>
      <c r="F12" s="29" t="s">
        <v>585</v>
      </c>
      <c r="G12" s="28" t="s">
        <v>586</v>
      </c>
      <c r="H12" s="29" t="s">
        <v>551</v>
      </c>
      <c r="I12" s="29" t="s">
        <v>33</v>
      </c>
      <c r="J12" s="30">
        <v>3150</v>
      </c>
      <c r="K12" s="30">
        <v>3150</v>
      </c>
      <c r="L12" s="30">
        <v>3150</v>
      </c>
      <c r="M12" s="30">
        <v>3150</v>
      </c>
      <c r="N12" s="30">
        <v>3150</v>
      </c>
      <c r="O12" s="30">
        <v>3150</v>
      </c>
      <c r="P12" s="30">
        <v>3150</v>
      </c>
      <c r="Q12" s="30">
        <v>3150</v>
      </c>
      <c r="R12" s="30">
        <v>3150</v>
      </c>
      <c r="S12" s="30">
        <v>3150</v>
      </c>
      <c r="T12" s="30">
        <v>3150</v>
      </c>
      <c r="U12" s="30">
        <v>3150</v>
      </c>
      <c r="V12" s="8">
        <f t="shared" si="0"/>
        <v>37800</v>
      </c>
    </row>
    <row r="13" spans="2:22" ht="18" customHeight="1" x14ac:dyDescent="0.35">
      <c r="B13" s="29" t="s">
        <v>455</v>
      </c>
      <c r="C13" s="28" t="s">
        <v>587</v>
      </c>
      <c r="D13" s="28" t="s">
        <v>588</v>
      </c>
      <c r="E13" s="28" t="s">
        <v>589</v>
      </c>
      <c r="F13" s="29" t="s">
        <v>457</v>
      </c>
      <c r="G13" s="28" t="s">
        <v>590</v>
      </c>
      <c r="H13" s="29" t="s">
        <v>591</v>
      </c>
      <c r="I13" s="29" t="s">
        <v>592</v>
      </c>
      <c r="J13" s="30">
        <v>0</v>
      </c>
      <c r="K13" s="30">
        <v>0</v>
      </c>
      <c r="L13" s="30">
        <v>0</v>
      </c>
      <c r="M13" s="30">
        <v>554.4</v>
      </c>
      <c r="N13" s="30">
        <v>0</v>
      </c>
      <c r="O13" s="30">
        <v>0</v>
      </c>
      <c r="P13" s="30">
        <v>0</v>
      </c>
      <c r="Q13" s="30">
        <v>1050</v>
      </c>
      <c r="R13" s="30">
        <v>840</v>
      </c>
      <c r="S13" s="30">
        <v>3150</v>
      </c>
      <c r="T13" s="30">
        <v>0</v>
      </c>
      <c r="U13" s="30">
        <v>0</v>
      </c>
      <c r="V13" s="8">
        <f t="shared" si="0"/>
        <v>5594.4</v>
      </c>
    </row>
    <row r="14" spans="2:22" ht="18" customHeight="1" x14ac:dyDescent="0.35">
      <c r="B14" s="29" t="s">
        <v>455</v>
      </c>
      <c r="C14" s="28" t="s">
        <v>593</v>
      </c>
      <c r="D14" s="28" t="s">
        <v>594</v>
      </c>
      <c r="E14" s="28" t="s">
        <v>595</v>
      </c>
      <c r="F14" s="29" t="s">
        <v>463</v>
      </c>
      <c r="G14" s="28" t="s">
        <v>596</v>
      </c>
      <c r="H14" s="29" t="s">
        <v>551</v>
      </c>
      <c r="I14" s="29" t="s">
        <v>33</v>
      </c>
      <c r="J14" s="30">
        <v>367.5</v>
      </c>
      <c r="K14" s="30">
        <v>367.5</v>
      </c>
      <c r="L14" s="30">
        <v>367.5</v>
      </c>
      <c r="M14" s="30">
        <v>367.5</v>
      </c>
      <c r="N14" s="30">
        <v>367.5</v>
      </c>
      <c r="O14" s="30">
        <v>367.5</v>
      </c>
      <c r="P14" s="30">
        <v>367.5</v>
      </c>
      <c r="Q14" s="30">
        <v>367.5</v>
      </c>
      <c r="R14" s="30">
        <v>367.5</v>
      </c>
      <c r="S14" s="30">
        <v>367.5</v>
      </c>
      <c r="T14" s="30">
        <v>2992.5</v>
      </c>
      <c r="U14" s="30">
        <v>367.5</v>
      </c>
      <c r="V14" s="8">
        <f t="shared" si="0"/>
        <v>7035</v>
      </c>
    </row>
    <row r="15" spans="2:22" ht="18" customHeight="1" x14ac:dyDescent="0.35">
      <c r="B15" s="29" t="s">
        <v>455</v>
      </c>
      <c r="C15" s="28" t="s">
        <v>597</v>
      </c>
      <c r="D15" s="28" t="s">
        <v>598</v>
      </c>
      <c r="E15" s="28" t="s">
        <v>599</v>
      </c>
      <c r="F15" s="29" t="s">
        <v>466</v>
      </c>
      <c r="G15" s="28" t="s">
        <v>600</v>
      </c>
      <c r="H15" s="29" t="s">
        <v>591</v>
      </c>
      <c r="I15" s="29" t="s">
        <v>592</v>
      </c>
      <c r="J15" s="30">
        <v>420</v>
      </c>
      <c r="K15" s="30">
        <v>0</v>
      </c>
      <c r="L15" s="30">
        <v>0</v>
      </c>
      <c r="M15" s="30">
        <v>630</v>
      </c>
      <c r="N15" s="30">
        <v>0</v>
      </c>
      <c r="O15" s="30">
        <v>0</v>
      </c>
      <c r="P15" s="30">
        <v>0</v>
      </c>
      <c r="Q15" s="30">
        <v>0</v>
      </c>
      <c r="R15" s="30">
        <v>3885</v>
      </c>
      <c r="S15" s="30">
        <v>1155</v>
      </c>
      <c r="T15" s="30">
        <v>0</v>
      </c>
      <c r="U15" s="30">
        <v>0</v>
      </c>
      <c r="V15" s="8">
        <f t="shared" si="0"/>
        <v>6090</v>
      </c>
    </row>
    <row r="16" spans="2:22" ht="18" customHeight="1" x14ac:dyDescent="0.35">
      <c r="B16" s="29" t="s">
        <v>455</v>
      </c>
      <c r="C16" s="28" t="s">
        <v>601</v>
      </c>
      <c r="D16" s="28" t="s">
        <v>602</v>
      </c>
      <c r="E16" s="28" t="s">
        <v>603</v>
      </c>
      <c r="F16" s="29" t="s">
        <v>469</v>
      </c>
      <c r="G16" s="28" t="s">
        <v>604</v>
      </c>
      <c r="H16" s="29" t="s">
        <v>551</v>
      </c>
      <c r="I16" s="29" t="s">
        <v>33</v>
      </c>
      <c r="J16" s="30">
        <v>262.5</v>
      </c>
      <c r="K16" s="30">
        <v>262.5</v>
      </c>
      <c r="L16" s="30">
        <v>262.5</v>
      </c>
      <c r="M16" s="30">
        <v>262.5</v>
      </c>
      <c r="N16" s="30">
        <v>262.5</v>
      </c>
      <c r="O16" s="30">
        <v>262.5</v>
      </c>
      <c r="P16" s="30">
        <v>262.5</v>
      </c>
      <c r="Q16" s="30">
        <v>262.5</v>
      </c>
      <c r="R16" s="30">
        <v>367.5</v>
      </c>
      <c r="S16" s="30">
        <v>262.5</v>
      </c>
      <c r="T16" s="30">
        <v>262.5</v>
      </c>
      <c r="U16" s="30">
        <v>262.5</v>
      </c>
      <c r="V16" s="8">
        <f t="shared" si="0"/>
        <v>3255</v>
      </c>
    </row>
    <row r="17" spans="2:22" ht="18" customHeight="1" x14ac:dyDescent="0.35">
      <c r="B17" s="29" t="s">
        <v>455</v>
      </c>
      <c r="C17" s="28" t="s">
        <v>605</v>
      </c>
      <c r="D17" s="28" t="s">
        <v>606</v>
      </c>
      <c r="E17" s="28" t="s">
        <v>607</v>
      </c>
      <c r="F17" s="29" t="s">
        <v>608</v>
      </c>
      <c r="G17" s="28" t="s">
        <v>609</v>
      </c>
      <c r="H17" s="29" t="s">
        <v>591</v>
      </c>
      <c r="I17" s="29" t="s">
        <v>610</v>
      </c>
      <c r="J17" s="30">
        <v>2215.5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2374.8375000000001</v>
      </c>
      <c r="R17" s="30">
        <v>0</v>
      </c>
      <c r="S17" s="30">
        <v>0</v>
      </c>
      <c r="T17" s="30">
        <v>0</v>
      </c>
      <c r="U17" s="30">
        <v>0</v>
      </c>
      <c r="V17" s="8">
        <f t="shared" si="0"/>
        <v>4590.3374999999996</v>
      </c>
    </row>
    <row r="18" spans="2:22" ht="18" customHeight="1" x14ac:dyDescent="0.35">
      <c r="B18" s="29" t="s">
        <v>455</v>
      </c>
      <c r="C18" s="28" t="s">
        <v>611</v>
      </c>
      <c r="D18" s="28" t="s">
        <v>612</v>
      </c>
      <c r="E18" s="28" t="s">
        <v>613</v>
      </c>
      <c r="F18" s="29" t="s">
        <v>614</v>
      </c>
      <c r="G18" s="28" t="s">
        <v>615</v>
      </c>
      <c r="H18" s="29" t="s">
        <v>616</v>
      </c>
      <c r="I18" s="29" t="s">
        <v>617</v>
      </c>
      <c r="J18" s="30">
        <v>0</v>
      </c>
      <c r="K18" s="30">
        <v>0</v>
      </c>
      <c r="L18" s="30">
        <v>0</v>
      </c>
      <c r="M18" s="30">
        <v>2100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8">
        <f t="shared" si="0"/>
        <v>2100</v>
      </c>
    </row>
    <row r="19" spans="2:22" ht="18" customHeight="1" x14ac:dyDescent="0.35">
      <c r="B19" s="29" t="s">
        <v>455</v>
      </c>
      <c r="C19" s="28" t="s">
        <v>618</v>
      </c>
      <c r="D19" s="28" t="s">
        <v>619</v>
      </c>
      <c r="E19" s="28" t="s">
        <v>620</v>
      </c>
      <c r="F19" s="29" t="s">
        <v>608</v>
      </c>
      <c r="G19" s="28" t="s">
        <v>609</v>
      </c>
      <c r="H19" s="29" t="s">
        <v>551</v>
      </c>
      <c r="I19" s="29" t="s">
        <v>33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2328.9</v>
      </c>
      <c r="S19" s="30">
        <v>1777.65</v>
      </c>
      <c r="T19" s="30">
        <v>0</v>
      </c>
      <c r="U19" s="30">
        <v>551.25</v>
      </c>
      <c r="V19" s="8">
        <f t="shared" si="0"/>
        <v>4657.8</v>
      </c>
    </row>
    <row r="20" spans="2:22" ht="18" customHeight="1" x14ac:dyDescent="0.35">
      <c r="B20" s="29" t="s">
        <v>495</v>
      </c>
      <c r="C20" s="28" t="s">
        <v>621</v>
      </c>
      <c r="D20" s="28" t="s">
        <v>622</v>
      </c>
      <c r="E20" s="28" t="s">
        <v>623</v>
      </c>
      <c r="F20" s="29" t="s">
        <v>501</v>
      </c>
      <c r="G20" s="28" t="s">
        <v>624</v>
      </c>
      <c r="H20" s="29" t="s">
        <v>551</v>
      </c>
      <c r="I20" s="29" t="s">
        <v>33</v>
      </c>
      <c r="J20" s="30">
        <v>3254.36</v>
      </c>
      <c r="K20" s="30">
        <v>3960.8</v>
      </c>
      <c r="L20" s="30">
        <v>3787.68</v>
      </c>
      <c r="M20" s="30">
        <v>4260.08</v>
      </c>
      <c r="N20" s="30">
        <v>3351.46</v>
      </c>
      <c r="O20" s="30">
        <v>2393.84</v>
      </c>
      <c r="P20" s="30">
        <v>2051.41</v>
      </c>
      <c r="Q20" s="30">
        <v>866.99</v>
      </c>
      <c r="R20" s="30">
        <v>2460.9899999999998</v>
      </c>
      <c r="S20" s="30">
        <v>1700.61</v>
      </c>
      <c r="T20" s="30">
        <v>3679.93</v>
      </c>
      <c r="U20" s="30">
        <v>2001.84</v>
      </c>
      <c r="V20" s="8">
        <f t="shared" si="0"/>
        <v>33769.99</v>
      </c>
    </row>
    <row r="21" spans="2:22" ht="18" customHeight="1" x14ac:dyDescent="0.35">
      <c r="B21" s="29" t="s">
        <v>495</v>
      </c>
      <c r="C21" s="28" t="s">
        <v>625</v>
      </c>
      <c r="D21" s="28" t="s">
        <v>626</v>
      </c>
      <c r="E21" s="28" t="s">
        <v>627</v>
      </c>
      <c r="F21" s="29" t="s">
        <v>498</v>
      </c>
      <c r="G21" s="28" t="s">
        <v>628</v>
      </c>
      <c r="H21" s="29" t="s">
        <v>551</v>
      </c>
      <c r="I21" s="29" t="s">
        <v>33</v>
      </c>
      <c r="J21" s="30">
        <v>2469.92</v>
      </c>
      <c r="K21" s="30">
        <v>3006.08</v>
      </c>
      <c r="L21" s="30">
        <v>2874.69</v>
      </c>
      <c r="M21" s="30">
        <v>3233.22</v>
      </c>
      <c r="N21" s="30">
        <v>2543.62</v>
      </c>
      <c r="O21" s="30">
        <v>1816.83</v>
      </c>
      <c r="P21" s="30">
        <v>1556.94</v>
      </c>
      <c r="Q21" s="30">
        <v>658.01</v>
      </c>
      <c r="R21" s="30">
        <v>1867.78</v>
      </c>
      <c r="S21" s="30">
        <v>1290.69</v>
      </c>
      <c r="T21" s="30">
        <v>2792.91</v>
      </c>
      <c r="U21" s="30">
        <v>1519.31</v>
      </c>
      <c r="V21" s="8">
        <f t="shared" si="0"/>
        <v>25629.999999999996</v>
      </c>
    </row>
    <row r="22" spans="2:22" ht="18" customHeight="1" x14ac:dyDescent="0.35">
      <c r="B22" s="29" t="s">
        <v>495</v>
      </c>
      <c r="C22" s="28" t="s">
        <v>629</v>
      </c>
      <c r="D22" s="28" t="s">
        <v>630</v>
      </c>
      <c r="E22" s="28" t="s">
        <v>631</v>
      </c>
      <c r="F22" s="29" t="s">
        <v>504</v>
      </c>
      <c r="G22" s="28" t="s">
        <v>632</v>
      </c>
      <c r="H22" s="29" t="s">
        <v>551</v>
      </c>
      <c r="I22" s="29" t="s">
        <v>33</v>
      </c>
      <c r="J22" s="30">
        <v>18917.14</v>
      </c>
      <c r="K22" s="30">
        <v>23023.56</v>
      </c>
      <c r="L22" s="30">
        <v>22017.24</v>
      </c>
      <c r="M22" s="30">
        <v>24763.22</v>
      </c>
      <c r="N22" s="30">
        <v>19481.53</v>
      </c>
      <c r="O22" s="30">
        <v>13915.06</v>
      </c>
      <c r="P22" s="30">
        <v>11924.56</v>
      </c>
      <c r="Q22" s="30">
        <v>5039.7</v>
      </c>
      <c r="R22" s="30">
        <v>14305.34</v>
      </c>
      <c r="S22" s="30">
        <v>9885.3700000000008</v>
      </c>
      <c r="T22" s="30">
        <v>21390.880000000001</v>
      </c>
      <c r="U22" s="30">
        <v>11636.39</v>
      </c>
      <c r="V22" s="8">
        <f t="shared" si="0"/>
        <v>196299.99</v>
      </c>
    </row>
    <row r="23" spans="2:22" ht="18" customHeight="1" x14ac:dyDescent="0.35">
      <c r="B23" s="29" t="s">
        <v>495</v>
      </c>
      <c r="C23" s="28" t="s">
        <v>633</v>
      </c>
      <c r="D23" s="28" t="s">
        <v>634</v>
      </c>
      <c r="E23" s="28" t="s">
        <v>635</v>
      </c>
      <c r="F23" s="29" t="s">
        <v>507</v>
      </c>
      <c r="G23" s="28" t="s">
        <v>636</v>
      </c>
      <c r="H23" s="29" t="s">
        <v>551</v>
      </c>
      <c r="I23" s="29" t="s">
        <v>33</v>
      </c>
      <c r="J23" s="30">
        <v>999.57</v>
      </c>
      <c r="K23" s="30">
        <v>1216.55</v>
      </c>
      <c r="L23" s="30">
        <v>1163.3800000000001</v>
      </c>
      <c r="M23" s="30">
        <v>1308.48</v>
      </c>
      <c r="N23" s="30">
        <v>1029.3900000000001</v>
      </c>
      <c r="O23" s="30">
        <v>735.27</v>
      </c>
      <c r="P23" s="30">
        <v>630.09</v>
      </c>
      <c r="Q23" s="30">
        <v>266.3</v>
      </c>
      <c r="R23" s="30">
        <v>755.89</v>
      </c>
      <c r="S23" s="30">
        <v>522.34</v>
      </c>
      <c r="T23" s="30">
        <v>1130.28</v>
      </c>
      <c r="U23" s="30">
        <v>614.86</v>
      </c>
      <c r="V23" s="8">
        <f t="shared" si="0"/>
        <v>10372.400000000001</v>
      </c>
    </row>
    <row r="24" spans="2:22" ht="18" customHeight="1" x14ac:dyDescent="0.35">
      <c r="B24" s="29" t="s">
        <v>477</v>
      </c>
      <c r="C24" s="28" t="s">
        <v>637</v>
      </c>
      <c r="D24" s="28" t="s">
        <v>638</v>
      </c>
      <c r="E24" s="28" t="s">
        <v>639</v>
      </c>
      <c r="F24" s="29" t="s">
        <v>640</v>
      </c>
      <c r="G24" s="28" t="s">
        <v>641</v>
      </c>
      <c r="H24" s="29" t="s">
        <v>551</v>
      </c>
      <c r="I24" s="29" t="s">
        <v>33</v>
      </c>
      <c r="J24" s="30">
        <v>0</v>
      </c>
      <c r="K24" s="30">
        <v>1500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8">
        <f t="shared" si="0"/>
        <v>1500</v>
      </c>
    </row>
    <row r="25" spans="2:22" ht="18" customHeight="1" x14ac:dyDescent="0.35">
      <c r="B25" s="29" t="s">
        <v>477</v>
      </c>
      <c r="C25" s="28" t="s">
        <v>637</v>
      </c>
      <c r="D25" s="28" t="s">
        <v>642</v>
      </c>
      <c r="E25" s="28" t="s">
        <v>643</v>
      </c>
      <c r="F25" s="29" t="s">
        <v>640</v>
      </c>
      <c r="G25" s="28" t="s">
        <v>641</v>
      </c>
      <c r="H25" s="29" t="s">
        <v>551</v>
      </c>
      <c r="I25" s="29" t="s">
        <v>33</v>
      </c>
      <c r="J25" s="30">
        <v>0</v>
      </c>
      <c r="K25" s="30">
        <v>0</v>
      </c>
      <c r="L25" s="30">
        <v>1400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8">
        <f t="shared" si="0"/>
        <v>1400</v>
      </c>
    </row>
    <row r="26" spans="2:22" ht="18" customHeight="1" x14ac:dyDescent="0.35">
      <c r="B26" s="29" t="s">
        <v>477</v>
      </c>
      <c r="C26" s="28" t="s">
        <v>637</v>
      </c>
      <c r="D26" s="28" t="s">
        <v>644</v>
      </c>
      <c r="E26" s="28" t="s">
        <v>643</v>
      </c>
      <c r="F26" s="29" t="s">
        <v>640</v>
      </c>
      <c r="G26" s="28" t="s">
        <v>641</v>
      </c>
      <c r="H26" s="29" t="s">
        <v>551</v>
      </c>
      <c r="I26" s="29" t="s">
        <v>33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1400</v>
      </c>
      <c r="S26" s="30">
        <v>0</v>
      </c>
      <c r="T26" s="30">
        <v>0</v>
      </c>
      <c r="U26" s="30">
        <v>0</v>
      </c>
      <c r="V26" s="8">
        <f t="shared" si="0"/>
        <v>1400</v>
      </c>
    </row>
    <row r="27" spans="2:22" ht="18" customHeight="1" x14ac:dyDescent="0.35">
      <c r="B27" s="29" t="s">
        <v>477</v>
      </c>
      <c r="C27" s="28" t="s">
        <v>637</v>
      </c>
      <c r="D27" s="28" t="s">
        <v>645</v>
      </c>
      <c r="E27" s="28" t="s">
        <v>646</v>
      </c>
      <c r="F27" s="29" t="s">
        <v>640</v>
      </c>
      <c r="G27" s="28" t="s">
        <v>641</v>
      </c>
      <c r="H27" s="29" t="s">
        <v>551</v>
      </c>
      <c r="I27" s="29" t="s">
        <v>33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4000</v>
      </c>
      <c r="R27" s="30">
        <v>0</v>
      </c>
      <c r="S27" s="30">
        <v>0</v>
      </c>
      <c r="T27" s="30">
        <v>0</v>
      </c>
      <c r="U27" s="30">
        <v>0</v>
      </c>
      <c r="V27" s="8">
        <f t="shared" si="0"/>
        <v>4000</v>
      </c>
    </row>
    <row r="28" spans="2:22" ht="18" customHeight="1" x14ac:dyDescent="0.35">
      <c r="B28" s="29" t="s">
        <v>477</v>
      </c>
      <c r="C28" s="28" t="s">
        <v>637</v>
      </c>
      <c r="D28" s="28" t="s">
        <v>647</v>
      </c>
      <c r="E28" s="28" t="s">
        <v>648</v>
      </c>
      <c r="F28" s="29" t="s">
        <v>640</v>
      </c>
      <c r="G28" s="28" t="s">
        <v>641</v>
      </c>
      <c r="H28" s="29" t="s">
        <v>551</v>
      </c>
      <c r="I28" s="29" t="s">
        <v>33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3000</v>
      </c>
      <c r="S28" s="30">
        <v>0</v>
      </c>
      <c r="T28" s="30">
        <v>0</v>
      </c>
      <c r="U28" s="30">
        <v>0</v>
      </c>
      <c r="V28" s="8">
        <f t="shared" si="0"/>
        <v>3000</v>
      </c>
    </row>
    <row r="29" spans="2:22" ht="18" customHeight="1" x14ac:dyDescent="0.35">
      <c r="B29" s="29" t="s">
        <v>477</v>
      </c>
      <c r="C29" s="28" t="s">
        <v>637</v>
      </c>
      <c r="D29" s="28" t="s">
        <v>649</v>
      </c>
      <c r="E29" s="28" t="s">
        <v>639</v>
      </c>
      <c r="F29" s="29" t="s">
        <v>640</v>
      </c>
      <c r="G29" s="28" t="s">
        <v>641</v>
      </c>
      <c r="H29" s="29" t="s">
        <v>551</v>
      </c>
      <c r="I29" s="29" t="s">
        <v>33</v>
      </c>
      <c r="J29" s="30">
        <v>0</v>
      </c>
      <c r="K29" s="30">
        <v>0</v>
      </c>
      <c r="L29" s="30">
        <v>0</v>
      </c>
      <c r="M29" s="30">
        <v>1500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8">
        <f t="shared" si="0"/>
        <v>1500</v>
      </c>
    </row>
    <row r="30" spans="2:22" ht="18" customHeight="1" x14ac:dyDescent="0.35">
      <c r="B30" s="29" t="s">
        <v>477</v>
      </c>
      <c r="C30" s="28" t="s">
        <v>637</v>
      </c>
      <c r="D30" s="28" t="s">
        <v>650</v>
      </c>
      <c r="E30" s="28" t="s">
        <v>643</v>
      </c>
      <c r="F30" s="29" t="s">
        <v>640</v>
      </c>
      <c r="G30" s="28" t="s">
        <v>641</v>
      </c>
      <c r="H30" s="29" t="s">
        <v>551</v>
      </c>
      <c r="I30" s="29" t="s">
        <v>33</v>
      </c>
      <c r="J30" s="30">
        <v>0</v>
      </c>
      <c r="K30" s="30">
        <v>0</v>
      </c>
      <c r="L30" s="30">
        <v>0</v>
      </c>
      <c r="M30" s="30">
        <v>0</v>
      </c>
      <c r="N30" s="30">
        <v>1400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8">
        <f t="shared" si="0"/>
        <v>1400</v>
      </c>
    </row>
    <row r="31" spans="2:22" ht="18" customHeight="1" x14ac:dyDescent="0.35">
      <c r="B31" s="29" t="s">
        <v>477</v>
      </c>
      <c r="C31" s="28" t="s">
        <v>637</v>
      </c>
      <c r="D31" s="28" t="s">
        <v>651</v>
      </c>
      <c r="E31" s="28" t="s">
        <v>643</v>
      </c>
      <c r="F31" s="29" t="s">
        <v>640</v>
      </c>
      <c r="G31" s="28" t="s">
        <v>641</v>
      </c>
      <c r="H31" s="29" t="s">
        <v>551</v>
      </c>
      <c r="I31" s="29" t="s">
        <v>33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1400</v>
      </c>
      <c r="S31" s="30">
        <v>0</v>
      </c>
      <c r="T31" s="30">
        <v>0</v>
      </c>
      <c r="U31" s="30">
        <v>0</v>
      </c>
      <c r="V31" s="8">
        <f t="shared" si="0"/>
        <v>1400</v>
      </c>
    </row>
    <row r="32" spans="2:22" ht="18" customHeight="1" x14ac:dyDescent="0.35">
      <c r="B32" s="29" t="s">
        <v>477</v>
      </c>
      <c r="C32" s="28" t="s">
        <v>637</v>
      </c>
      <c r="D32" s="28" t="s">
        <v>652</v>
      </c>
      <c r="E32" s="28" t="s">
        <v>648</v>
      </c>
      <c r="F32" s="29" t="s">
        <v>640</v>
      </c>
      <c r="G32" s="28" t="s">
        <v>641</v>
      </c>
      <c r="H32" s="29" t="s">
        <v>551</v>
      </c>
      <c r="I32" s="29" t="s">
        <v>33</v>
      </c>
      <c r="J32" s="30">
        <v>0</v>
      </c>
      <c r="K32" s="30">
        <v>0</v>
      </c>
      <c r="L32" s="30">
        <v>3000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8">
        <f t="shared" si="0"/>
        <v>3000</v>
      </c>
    </row>
    <row r="33" spans="2:22" ht="18" customHeight="1" x14ac:dyDescent="0.35">
      <c r="B33" s="29" t="s">
        <v>477</v>
      </c>
      <c r="C33" s="28" t="s">
        <v>637</v>
      </c>
      <c r="D33" s="28" t="s">
        <v>653</v>
      </c>
      <c r="E33" s="28" t="s">
        <v>646</v>
      </c>
      <c r="F33" s="29" t="s">
        <v>640</v>
      </c>
      <c r="G33" s="28" t="s">
        <v>641</v>
      </c>
      <c r="H33" s="29" t="s">
        <v>551</v>
      </c>
      <c r="I33" s="29" t="s">
        <v>33</v>
      </c>
      <c r="J33" s="30">
        <v>0</v>
      </c>
      <c r="K33" s="30">
        <v>4000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8">
        <f t="shared" si="0"/>
        <v>4000</v>
      </c>
    </row>
    <row r="34" spans="2:22" ht="18" customHeight="1" x14ac:dyDescent="0.35">
      <c r="B34" s="29" t="s">
        <v>477</v>
      </c>
      <c r="C34" s="28" t="s">
        <v>637</v>
      </c>
      <c r="D34" s="28" t="s">
        <v>654</v>
      </c>
      <c r="E34" s="28" t="s">
        <v>648</v>
      </c>
      <c r="F34" s="29" t="s">
        <v>640</v>
      </c>
      <c r="G34" s="28" t="s">
        <v>641</v>
      </c>
      <c r="H34" s="29" t="s">
        <v>551</v>
      </c>
      <c r="I34" s="29" t="s">
        <v>33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3000</v>
      </c>
      <c r="S34" s="30">
        <v>0</v>
      </c>
      <c r="T34" s="30">
        <v>0</v>
      </c>
      <c r="U34" s="30">
        <v>0</v>
      </c>
      <c r="V34" s="8">
        <f t="shared" si="0"/>
        <v>3000</v>
      </c>
    </row>
    <row r="35" spans="2:22" ht="18" customHeight="1" x14ac:dyDescent="0.35">
      <c r="B35" s="29" t="s">
        <v>477</v>
      </c>
      <c r="C35" s="28" t="s">
        <v>637</v>
      </c>
      <c r="D35" s="28" t="s">
        <v>655</v>
      </c>
      <c r="E35" s="28" t="s">
        <v>646</v>
      </c>
      <c r="F35" s="29" t="s">
        <v>640</v>
      </c>
      <c r="G35" s="28" t="s">
        <v>641</v>
      </c>
      <c r="H35" s="29" t="s">
        <v>551</v>
      </c>
      <c r="I35" s="29" t="s">
        <v>33</v>
      </c>
      <c r="J35" s="30">
        <v>0</v>
      </c>
      <c r="K35" s="30">
        <v>4000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8">
        <f t="shared" si="0"/>
        <v>4000</v>
      </c>
    </row>
    <row r="36" spans="2:22" ht="18" customHeight="1" x14ac:dyDescent="0.35">
      <c r="B36" s="29" t="s">
        <v>477</v>
      </c>
      <c r="C36" s="28" t="s">
        <v>637</v>
      </c>
      <c r="D36" s="28" t="s">
        <v>656</v>
      </c>
      <c r="E36" s="28" t="s">
        <v>643</v>
      </c>
      <c r="F36" s="29" t="s">
        <v>640</v>
      </c>
      <c r="G36" s="28" t="s">
        <v>641</v>
      </c>
      <c r="H36" s="29" t="s">
        <v>551</v>
      </c>
      <c r="I36" s="29" t="s">
        <v>33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1400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8">
        <f t="shared" ref="V36:V67" si="1">SUM(J36:U36)</f>
        <v>1400</v>
      </c>
    </row>
    <row r="37" spans="2:22" ht="18" customHeight="1" x14ac:dyDescent="0.35">
      <c r="B37" s="29" t="s">
        <v>477</v>
      </c>
      <c r="C37" s="28" t="s">
        <v>637</v>
      </c>
      <c r="D37" s="28" t="s">
        <v>657</v>
      </c>
      <c r="E37" s="28" t="s">
        <v>643</v>
      </c>
      <c r="F37" s="29" t="s">
        <v>640</v>
      </c>
      <c r="G37" s="28" t="s">
        <v>641</v>
      </c>
      <c r="H37" s="29" t="s">
        <v>551</v>
      </c>
      <c r="I37" s="29" t="s">
        <v>33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1400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8">
        <f t="shared" si="1"/>
        <v>1400</v>
      </c>
    </row>
    <row r="38" spans="2:22" ht="18" customHeight="1" x14ac:dyDescent="0.35">
      <c r="B38" s="29" t="s">
        <v>477</v>
      </c>
      <c r="C38" s="28" t="s">
        <v>637</v>
      </c>
      <c r="D38" s="28" t="s">
        <v>658</v>
      </c>
      <c r="E38" s="28" t="s">
        <v>659</v>
      </c>
      <c r="F38" s="29" t="s">
        <v>640</v>
      </c>
      <c r="G38" s="28" t="s">
        <v>641</v>
      </c>
      <c r="H38" s="29" t="s">
        <v>551</v>
      </c>
      <c r="I38" s="29" t="s">
        <v>33</v>
      </c>
      <c r="J38" s="30">
        <v>400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8">
        <f t="shared" si="1"/>
        <v>400</v>
      </c>
    </row>
    <row r="39" spans="2:22" ht="18" customHeight="1" x14ac:dyDescent="0.35">
      <c r="B39" s="29" t="s">
        <v>477</v>
      </c>
      <c r="C39" s="28" t="s">
        <v>637</v>
      </c>
      <c r="D39" s="28" t="s">
        <v>660</v>
      </c>
      <c r="E39" s="28" t="s">
        <v>659</v>
      </c>
      <c r="F39" s="29" t="s">
        <v>640</v>
      </c>
      <c r="G39" s="28" t="s">
        <v>641</v>
      </c>
      <c r="H39" s="29" t="s">
        <v>551</v>
      </c>
      <c r="I39" s="29" t="s">
        <v>33</v>
      </c>
      <c r="J39" s="30">
        <v>400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8">
        <f t="shared" si="1"/>
        <v>400</v>
      </c>
    </row>
    <row r="40" spans="2:22" ht="18" customHeight="1" x14ac:dyDescent="0.35">
      <c r="B40" s="29" t="s">
        <v>477</v>
      </c>
      <c r="C40" s="28" t="s">
        <v>637</v>
      </c>
      <c r="D40" s="28" t="s">
        <v>661</v>
      </c>
      <c r="E40" s="28" t="s">
        <v>643</v>
      </c>
      <c r="F40" s="29" t="s">
        <v>640</v>
      </c>
      <c r="G40" s="28" t="s">
        <v>641</v>
      </c>
      <c r="H40" s="29" t="s">
        <v>551</v>
      </c>
      <c r="I40" s="29" t="s">
        <v>33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1400</v>
      </c>
      <c r="S40" s="30">
        <v>0</v>
      </c>
      <c r="T40" s="30">
        <v>0</v>
      </c>
      <c r="U40" s="30">
        <v>0</v>
      </c>
      <c r="V40" s="8">
        <f t="shared" si="1"/>
        <v>1400</v>
      </c>
    </row>
    <row r="41" spans="2:22" ht="18" customHeight="1" x14ac:dyDescent="0.35">
      <c r="B41" s="29" t="s">
        <v>477</v>
      </c>
      <c r="C41" s="28" t="s">
        <v>637</v>
      </c>
      <c r="D41" s="28" t="s">
        <v>662</v>
      </c>
      <c r="E41" s="28" t="s">
        <v>663</v>
      </c>
      <c r="F41" s="29" t="s">
        <v>640</v>
      </c>
      <c r="G41" s="28" t="s">
        <v>641</v>
      </c>
      <c r="H41" s="29" t="s">
        <v>551</v>
      </c>
      <c r="I41" s="29" t="s">
        <v>33</v>
      </c>
      <c r="J41" s="30">
        <v>0</v>
      </c>
      <c r="K41" s="30">
        <v>0</v>
      </c>
      <c r="L41" s="30">
        <v>0</v>
      </c>
      <c r="M41" s="30">
        <v>0</v>
      </c>
      <c r="N41" s="30">
        <v>2300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8">
        <f t="shared" si="1"/>
        <v>2300</v>
      </c>
    </row>
    <row r="42" spans="2:22" ht="18" customHeight="1" x14ac:dyDescent="0.35">
      <c r="B42" s="29" t="s">
        <v>477</v>
      </c>
      <c r="C42" s="28" t="s">
        <v>637</v>
      </c>
      <c r="D42" s="28" t="s">
        <v>664</v>
      </c>
      <c r="E42" s="28" t="s">
        <v>665</v>
      </c>
      <c r="F42" s="29" t="s">
        <v>666</v>
      </c>
      <c r="G42" s="28" t="s">
        <v>667</v>
      </c>
      <c r="H42" s="29" t="s">
        <v>551</v>
      </c>
      <c r="I42" s="29" t="s">
        <v>33</v>
      </c>
      <c r="J42" s="30">
        <v>0</v>
      </c>
      <c r="K42" s="30">
        <v>2550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8">
        <f t="shared" si="1"/>
        <v>2550</v>
      </c>
    </row>
    <row r="43" spans="2:22" ht="18" customHeight="1" x14ac:dyDescent="0.35">
      <c r="B43" s="29" t="s">
        <v>477</v>
      </c>
      <c r="C43" s="28" t="s">
        <v>637</v>
      </c>
      <c r="D43" s="28" t="s">
        <v>668</v>
      </c>
      <c r="E43" s="28" t="s">
        <v>669</v>
      </c>
      <c r="F43" s="29" t="s">
        <v>640</v>
      </c>
      <c r="G43" s="28" t="s">
        <v>641</v>
      </c>
      <c r="H43" s="29" t="s">
        <v>616</v>
      </c>
      <c r="I43" s="29" t="s">
        <v>670</v>
      </c>
      <c r="J43" s="30">
        <v>900</v>
      </c>
      <c r="K43" s="30">
        <v>0</v>
      </c>
      <c r="L43" s="30">
        <v>400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8">
        <f t="shared" si="1"/>
        <v>1300</v>
      </c>
    </row>
    <row r="44" spans="2:22" ht="18" customHeight="1" x14ac:dyDescent="0.35">
      <c r="B44" s="29" t="s">
        <v>477</v>
      </c>
      <c r="C44" s="28" t="s">
        <v>637</v>
      </c>
      <c r="D44" s="28" t="s">
        <v>671</v>
      </c>
      <c r="E44" s="28" t="s">
        <v>669</v>
      </c>
      <c r="F44" s="29" t="s">
        <v>640</v>
      </c>
      <c r="G44" s="28" t="s">
        <v>641</v>
      </c>
      <c r="H44" s="29" t="s">
        <v>616</v>
      </c>
      <c r="I44" s="29" t="s">
        <v>670</v>
      </c>
      <c r="J44" s="30">
        <v>900</v>
      </c>
      <c r="K44" s="30">
        <v>0</v>
      </c>
      <c r="L44" s="30">
        <v>400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8">
        <f t="shared" si="1"/>
        <v>1300</v>
      </c>
    </row>
    <row r="45" spans="2:22" ht="18" customHeight="1" x14ac:dyDescent="0.35">
      <c r="B45" s="29" t="s">
        <v>477</v>
      </c>
      <c r="C45" s="28" t="s">
        <v>637</v>
      </c>
      <c r="D45" s="28" t="s">
        <v>672</v>
      </c>
      <c r="E45" s="28" t="s">
        <v>673</v>
      </c>
      <c r="F45" s="29" t="s">
        <v>640</v>
      </c>
      <c r="G45" s="28" t="s">
        <v>641</v>
      </c>
      <c r="H45" s="29" t="s">
        <v>616</v>
      </c>
      <c r="I45" s="29" t="s">
        <v>670</v>
      </c>
      <c r="J45" s="30">
        <v>0</v>
      </c>
      <c r="K45" s="30">
        <v>1700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8">
        <f t="shared" si="1"/>
        <v>1700</v>
      </c>
    </row>
    <row r="46" spans="2:22" ht="18" customHeight="1" x14ac:dyDescent="0.35">
      <c r="B46" s="29" t="s">
        <v>477</v>
      </c>
      <c r="C46" s="28" t="s">
        <v>637</v>
      </c>
      <c r="D46" s="28" t="s">
        <v>674</v>
      </c>
      <c r="E46" s="28" t="s">
        <v>675</v>
      </c>
      <c r="F46" s="29" t="s">
        <v>640</v>
      </c>
      <c r="G46" s="28" t="s">
        <v>641</v>
      </c>
      <c r="H46" s="29" t="s">
        <v>616</v>
      </c>
      <c r="I46" s="29" t="s">
        <v>670</v>
      </c>
      <c r="J46" s="30">
        <v>0</v>
      </c>
      <c r="K46" s="30">
        <v>1750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8">
        <f t="shared" si="1"/>
        <v>1750</v>
      </c>
    </row>
    <row r="47" spans="2:22" ht="18" customHeight="1" x14ac:dyDescent="0.35">
      <c r="B47" s="29" t="s">
        <v>477</v>
      </c>
      <c r="C47" s="28" t="s">
        <v>637</v>
      </c>
      <c r="D47" s="28" t="s">
        <v>676</v>
      </c>
      <c r="E47" s="28" t="s">
        <v>639</v>
      </c>
      <c r="F47" s="29" t="s">
        <v>640</v>
      </c>
      <c r="G47" s="28" t="s">
        <v>641</v>
      </c>
      <c r="H47" s="29" t="s">
        <v>616</v>
      </c>
      <c r="I47" s="29" t="s">
        <v>670</v>
      </c>
      <c r="J47" s="30">
        <v>1500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8">
        <f t="shared" si="1"/>
        <v>1500</v>
      </c>
    </row>
    <row r="48" spans="2:22" ht="18" customHeight="1" x14ac:dyDescent="0.35">
      <c r="B48" s="29" t="s">
        <v>477</v>
      </c>
      <c r="C48" s="28" t="s">
        <v>637</v>
      </c>
      <c r="D48" s="28" t="s">
        <v>677</v>
      </c>
      <c r="E48" s="28" t="s">
        <v>675</v>
      </c>
      <c r="F48" s="29" t="s">
        <v>640</v>
      </c>
      <c r="G48" s="28" t="s">
        <v>641</v>
      </c>
      <c r="H48" s="29" t="s">
        <v>616</v>
      </c>
      <c r="I48" s="29" t="s">
        <v>670</v>
      </c>
      <c r="J48" s="30">
        <v>0</v>
      </c>
      <c r="K48" s="30">
        <v>0</v>
      </c>
      <c r="L48" s="30">
        <v>1750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8">
        <f t="shared" si="1"/>
        <v>1750</v>
      </c>
    </row>
    <row r="49" spans="2:22" ht="18" customHeight="1" x14ac:dyDescent="0.35">
      <c r="B49" s="29" t="s">
        <v>477</v>
      </c>
      <c r="C49" s="28" t="s">
        <v>637</v>
      </c>
      <c r="D49" s="28" t="s">
        <v>678</v>
      </c>
      <c r="E49" s="28" t="s">
        <v>679</v>
      </c>
      <c r="F49" s="29" t="s">
        <v>640</v>
      </c>
      <c r="G49" s="28" t="s">
        <v>641</v>
      </c>
      <c r="H49" s="29" t="s">
        <v>616</v>
      </c>
      <c r="I49" s="29" t="s">
        <v>670</v>
      </c>
      <c r="J49" s="30">
        <v>500</v>
      </c>
      <c r="K49" s="30">
        <v>500</v>
      </c>
      <c r="L49" s="30">
        <v>500</v>
      </c>
      <c r="M49" s="30">
        <v>500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8">
        <f t="shared" si="1"/>
        <v>2000</v>
      </c>
    </row>
    <row r="50" spans="2:22" ht="18" customHeight="1" x14ac:dyDescent="0.35">
      <c r="B50" s="29" t="s">
        <v>477</v>
      </c>
      <c r="C50" s="28" t="s">
        <v>637</v>
      </c>
      <c r="D50" s="28" t="s">
        <v>680</v>
      </c>
      <c r="E50" s="28" t="s">
        <v>679</v>
      </c>
      <c r="F50" s="29" t="s">
        <v>640</v>
      </c>
      <c r="G50" s="28" t="s">
        <v>641</v>
      </c>
      <c r="H50" s="29" t="s">
        <v>616</v>
      </c>
      <c r="I50" s="29" t="s">
        <v>670</v>
      </c>
      <c r="J50" s="30">
        <v>0</v>
      </c>
      <c r="K50" s="30">
        <v>500</v>
      </c>
      <c r="L50" s="30">
        <v>500</v>
      </c>
      <c r="M50" s="30">
        <v>500</v>
      </c>
      <c r="N50" s="30">
        <v>500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8">
        <f t="shared" si="1"/>
        <v>2000</v>
      </c>
    </row>
    <row r="51" spans="2:22" ht="18" customHeight="1" x14ac:dyDescent="0.35">
      <c r="B51" s="29" t="s">
        <v>477</v>
      </c>
      <c r="C51" s="28" t="s">
        <v>637</v>
      </c>
      <c r="D51" s="28" t="s">
        <v>681</v>
      </c>
      <c r="E51" s="28" t="s">
        <v>679</v>
      </c>
      <c r="F51" s="29" t="s">
        <v>640</v>
      </c>
      <c r="G51" s="28" t="s">
        <v>641</v>
      </c>
      <c r="H51" s="29" t="s">
        <v>616</v>
      </c>
      <c r="I51" s="29" t="s">
        <v>670</v>
      </c>
      <c r="J51" s="30">
        <v>0</v>
      </c>
      <c r="K51" s="30">
        <v>0</v>
      </c>
      <c r="L51" s="30">
        <v>500</v>
      </c>
      <c r="M51" s="30">
        <v>500</v>
      </c>
      <c r="N51" s="30">
        <v>500</v>
      </c>
      <c r="O51" s="30">
        <v>500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8">
        <f t="shared" si="1"/>
        <v>2000</v>
      </c>
    </row>
    <row r="52" spans="2:22" ht="18" customHeight="1" x14ac:dyDescent="0.35">
      <c r="B52" s="29" t="s">
        <v>477</v>
      </c>
      <c r="C52" s="28" t="s">
        <v>637</v>
      </c>
      <c r="D52" s="28" t="s">
        <v>682</v>
      </c>
      <c r="E52" s="28" t="s">
        <v>683</v>
      </c>
      <c r="F52" s="29" t="s">
        <v>640</v>
      </c>
      <c r="G52" s="28" t="s">
        <v>641</v>
      </c>
      <c r="H52" s="29" t="s">
        <v>551</v>
      </c>
      <c r="I52" s="29" t="s">
        <v>33</v>
      </c>
      <c r="J52" s="30">
        <v>570</v>
      </c>
      <c r="K52" s="30">
        <v>570</v>
      </c>
      <c r="L52" s="30">
        <v>570</v>
      </c>
      <c r="M52" s="30">
        <v>570</v>
      </c>
      <c r="N52" s="30">
        <v>570</v>
      </c>
      <c r="O52" s="30">
        <v>570</v>
      </c>
      <c r="P52" s="30">
        <v>570</v>
      </c>
      <c r="Q52" s="30">
        <v>570</v>
      </c>
      <c r="R52" s="30">
        <v>570</v>
      </c>
      <c r="S52" s="30">
        <v>570</v>
      </c>
      <c r="T52" s="30">
        <v>570</v>
      </c>
      <c r="U52" s="30">
        <v>570</v>
      </c>
      <c r="V52" s="8">
        <f t="shared" si="1"/>
        <v>6840</v>
      </c>
    </row>
    <row r="53" spans="2:22" ht="18" customHeight="1" x14ac:dyDescent="0.35">
      <c r="B53" s="29" t="s">
        <v>477</v>
      </c>
      <c r="C53" s="28" t="s">
        <v>637</v>
      </c>
      <c r="D53" s="28" t="s">
        <v>684</v>
      </c>
      <c r="E53" s="28" t="s">
        <v>685</v>
      </c>
      <c r="F53" s="29" t="s">
        <v>640</v>
      </c>
      <c r="G53" s="28" t="s">
        <v>641</v>
      </c>
      <c r="H53" s="29" t="s">
        <v>551</v>
      </c>
      <c r="I53" s="29" t="s">
        <v>33</v>
      </c>
      <c r="J53" s="30">
        <v>400</v>
      </c>
      <c r="K53" s="30">
        <v>400</v>
      </c>
      <c r="L53" s="30">
        <v>400</v>
      </c>
      <c r="M53" s="30">
        <v>400</v>
      </c>
      <c r="N53" s="30">
        <v>400</v>
      </c>
      <c r="O53" s="30">
        <v>400</v>
      </c>
      <c r="P53" s="30">
        <v>400</v>
      </c>
      <c r="Q53" s="30">
        <v>400</v>
      </c>
      <c r="R53" s="30">
        <v>400</v>
      </c>
      <c r="S53" s="30">
        <v>400</v>
      </c>
      <c r="T53" s="30">
        <v>400</v>
      </c>
      <c r="U53" s="30">
        <v>400</v>
      </c>
      <c r="V53" s="8">
        <f t="shared" si="1"/>
        <v>4800</v>
      </c>
    </row>
    <row r="54" spans="2:22" ht="18" customHeight="1" x14ac:dyDescent="0.35">
      <c r="B54" s="29" t="s">
        <v>477</v>
      </c>
      <c r="C54" s="28" t="s">
        <v>637</v>
      </c>
      <c r="D54" s="28" t="s">
        <v>686</v>
      </c>
      <c r="E54" s="28" t="s">
        <v>687</v>
      </c>
      <c r="F54" s="29" t="s">
        <v>640</v>
      </c>
      <c r="G54" s="28" t="s">
        <v>641</v>
      </c>
      <c r="H54" s="29" t="s">
        <v>551</v>
      </c>
      <c r="I54" s="29" t="s">
        <v>33</v>
      </c>
      <c r="J54" s="30">
        <v>200</v>
      </c>
      <c r="K54" s="30">
        <v>200</v>
      </c>
      <c r="L54" s="30">
        <v>200</v>
      </c>
      <c r="M54" s="30">
        <v>200</v>
      </c>
      <c r="N54" s="30">
        <v>200</v>
      </c>
      <c r="O54" s="30">
        <v>200</v>
      </c>
      <c r="P54" s="30">
        <v>200</v>
      </c>
      <c r="Q54" s="30">
        <v>200</v>
      </c>
      <c r="R54" s="30">
        <v>200</v>
      </c>
      <c r="S54" s="30">
        <v>200</v>
      </c>
      <c r="T54" s="30">
        <v>200</v>
      </c>
      <c r="U54" s="30">
        <v>200</v>
      </c>
      <c r="V54" s="8">
        <f t="shared" si="1"/>
        <v>2400</v>
      </c>
    </row>
    <row r="55" spans="2:22" ht="18" customHeight="1" x14ac:dyDescent="0.35">
      <c r="B55" s="29" t="s">
        <v>477</v>
      </c>
      <c r="C55" s="28" t="s">
        <v>637</v>
      </c>
      <c r="D55" s="28" t="s">
        <v>688</v>
      </c>
      <c r="E55" s="28" t="s">
        <v>689</v>
      </c>
      <c r="F55" s="29" t="s">
        <v>640</v>
      </c>
      <c r="G55" s="28" t="s">
        <v>641</v>
      </c>
      <c r="H55" s="29" t="s">
        <v>551</v>
      </c>
      <c r="I55" s="29" t="s">
        <v>33</v>
      </c>
      <c r="J55" s="30">
        <v>350</v>
      </c>
      <c r="K55" s="30">
        <v>350</v>
      </c>
      <c r="L55" s="30">
        <v>350</v>
      </c>
      <c r="M55" s="30">
        <v>350</v>
      </c>
      <c r="N55" s="30">
        <v>350</v>
      </c>
      <c r="O55" s="30">
        <v>350</v>
      </c>
      <c r="P55" s="30">
        <v>350</v>
      </c>
      <c r="Q55" s="30">
        <v>350</v>
      </c>
      <c r="R55" s="30">
        <v>350</v>
      </c>
      <c r="S55" s="30">
        <v>350</v>
      </c>
      <c r="T55" s="30">
        <v>350</v>
      </c>
      <c r="U55" s="30">
        <v>350</v>
      </c>
      <c r="V55" s="8">
        <f t="shared" si="1"/>
        <v>4200</v>
      </c>
    </row>
    <row r="56" spans="2:22" ht="18" customHeight="1" x14ac:dyDescent="0.35">
      <c r="B56" s="29" t="s">
        <v>477</v>
      </c>
      <c r="C56" s="28" t="s">
        <v>637</v>
      </c>
      <c r="D56" s="28" t="s">
        <v>690</v>
      </c>
      <c r="E56" s="28" t="s">
        <v>687</v>
      </c>
      <c r="F56" s="29" t="s">
        <v>640</v>
      </c>
      <c r="G56" s="28" t="s">
        <v>641</v>
      </c>
      <c r="H56" s="29" t="s">
        <v>551</v>
      </c>
      <c r="I56" s="29" t="s">
        <v>33</v>
      </c>
      <c r="J56" s="30">
        <v>200</v>
      </c>
      <c r="K56" s="30">
        <v>200</v>
      </c>
      <c r="L56" s="30">
        <v>200</v>
      </c>
      <c r="M56" s="30">
        <v>200</v>
      </c>
      <c r="N56" s="30">
        <v>200</v>
      </c>
      <c r="O56" s="30">
        <v>200</v>
      </c>
      <c r="P56" s="30">
        <v>200</v>
      </c>
      <c r="Q56" s="30">
        <v>200</v>
      </c>
      <c r="R56" s="30">
        <v>200</v>
      </c>
      <c r="S56" s="30">
        <v>200</v>
      </c>
      <c r="T56" s="30">
        <v>200</v>
      </c>
      <c r="U56" s="30">
        <v>200</v>
      </c>
      <c r="V56" s="8">
        <f t="shared" si="1"/>
        <v>2400</v>
      </c>
    </row>
    <row r="57" spans="2:22" ht="18" customHeight="1" x14ac:dyDescent="0.35">
      <c r="B57" s="29" t="s">
        <v>477</v>
      </c>
      <c r="C57" s="28" t="s">
        <v>691</v>
      </c>
      <c r="D57" s="28" t="s">
        <v>692</v>
      </c>
      <c r="E57" s="28" t="s">
        <v>693</v>
      </c>
      <c r="F57" s="29" t="s">
        <v>694</v>
      </c>
      <c r="G57" s="28" t="s">
        <v>695</v>
      </c>
      <c r="H57" s="29" t="s">
        <v>551</v>
      </c>
      <c r="I57" s="29" t="s">
        <v>33</v>
      </c>
      <c r="J57" s="30">
        <v>0</v>
      </c>
      <c r="K57" s="30">
        <v>0</v>
      </c>
      <c r="L57" s="30">
        <v>650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8">
        <f t="shared" si="1"/>
        <v>650</v>
      </c>
    </row>
    <row r="58" spans="2:22" ht="18" customHeight="1" x14ac:dyDescent="0.35">
      <c r="B58" s="29" t="s">
        <v>477</v>
      </c>
      <c r="C58" s="28" t="s">
        <v>696</v>
      </c>
      <c r="D58" s="28" t="s">
        <v>697</v>
      </c>
      <c r="E58" s="28" t="s">
        <v>698</v>
      </c>
      <c r="F58" s="29" t="s">
        <v>694</v>
      </c>
      <c r="G58" s="28" t="s">
        <v>695</v>
      </c>
      <c r="H58" s="29" t="s">
        <v>551</v>
      </c>
      <c r="I58" s="29" t="s">
        <v>33</v>
      </c>
      <c r="J58" s="30">
        <v>1220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8">
        <f t="shared" si="1"/>
        <v>1220</v>
      </c>
    </row>
    <row r="59" spans="2:22" ht="18" customHeight="1" x14ac:dyDescent="0.35">
      <c r="B59" s="29" t="s">
        <v>477</v>
      </c>
      <c r="C59" s="28" t="s">
        <v>699</v>
      </c>
      <c r="D59" s="28" t="s">
        <v>700</v>
      </c>
      <c r="E59" s="28" t="s">
        <v>701</v>
      </c>
      <c r="F59" s="29" t="s">
        <v>694</v>
      </c>
      <c r="G59" s="28" t="s">
        <v>695</v>
      </c>
      <c r="H59" s="29" t="s">
        <v>551</v>
      </c>
      <c r="I59" s="29" t="s">
        <v>33</v>
      </c>
      <c r="J59" s="30">
        <v>0</v>
      </c>
      <c r="K59" s="30">
        <v>0</v>
      </c>
      <c r="L59" s="30">
        <v>0</v>
      </c>
      <c r="M59" s="30">
        <v>1000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8">
        <f t="shared" si="1"/>
        <v>1000</v>
      </c>
    </row>
    <row r="60" spans="2:22" ht="18" customHeight="1" x14ac:dyDescent="0.35">
      <c r="B60" s="29" t="s">
        <v>477</v>
      </c>
      <c r="C60" s="28" t="s">
        <v>702</v>
      </c>
      <c r="D60" s="28" t="s">
        <v>703</v>
      </c>
      <c r="E60" s="28" t="s">
        <v>687</v>
      </c>
      <c r="F60" s="29" t="s">
        <v>520</v>
      </c>
      <c r="G60" s="28" t="s">
        <v>704</v>
      </c>
      <c r="H60" s="29" t="s">
        <v>551</v>
      </c>
      <c r="I60" s="29" t="s">
        <v>33</v>
      </c>
      <c r="J60" s="30">
        <v>600</v>
      </c>
      <c r="K60" s="30">
        <v>0</v>
      </c>
      <c r="L60" s="30">
        <v>0</v>
      </c>
      <c r="M60" s="30">
        <v>600</v>
      </c>
      <c r="N60" s="30">
        <v>0</v>
      </c>
      <c r="O60" s="30">
        <v>0</v>
      </c>
      <c r="P60" s="30">
        <v>600</v>
      </c>
      <c r="Q60" s="30">
        <v>0</v>
      </c>
      <c r="R60" s="30">
        <v>0</v>
      </c>
      <c r="S60" s="30">
        <v>0</v>
      </c>
      <c r="T60" s="30">
        <v>600</v>
      </c>
      <c r="U60" s="30">
        <v>0</v>
      </c>
      <c r="V60" s="8">
        <f t="shared" si="1"/>
        <v>2400</v>
      </c>
    </row>
    <row r="61" spans="2:22" ht="18" customHeight="1" x14ac:dyDescent="0.35">
      <c r="B61" s="29" t="s">
        <v>477</v>
      </c>
      <c r="C61" s="28" t="s">
        <v>705</v>
      </c>
      <c r="D61" s="28" t="s">
        <v>706</v>
      </c>
      <c r="E61" s="28" t="s">
        <v>707</v>
      </c>
      <c r="F61" s="29" t="s">
        <v>694</v>
      </c>
      <c r="G61" s="28" t="s">
        <v>695</v>
      </c>
      <c r="H61" s="29" t="s">
        <v>551</v>
      </c>
      <c r="I61" s="29" t="s">
        <v>33</v>
      </c>
      <c r="J61" s="30">
        <v>0</v>
      </c>
      <c r="K61" s="30">
        <v>0</v>
      </c>
      <c r="L61" s="30">
        <v>0</v>
      </c>
      <c r="M61" s="30">
        <v>700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8">
        <f t="shared" si="1"/>
        <v>700</v>
      </c>
    </row>
    <row r="62" spans="2:22" ht="18" customHeight="1" x14ac:dyDescent="0.35">
      <c r="B62" s="29" t="s">
        <v>477</v>
      </c>
      <c r="C62" s="28" t="s">
        <v>708</v>
      </c>
      <c r="D62" s="28" t="s">
        <v>709</v>
      </c>
      <c r="E62" s="28" t="s">
        <v>710</v>
      </c>
      <c r="F62" s="29" t="s">
        <v>479</v>
      </c>
      <c r="G62" s="28" t="s">
        <v>711</v>
      </c>
      <c r="H62" s="29" t="s">
        <v>551</v>
      </c>
      <c r="I62" s="29" t="s">
        <v>33</v>
      </c>
      <c r="J62" s="30">
        <v>0</v>
      </c>
      <c r="K62" s="30">
        <v>970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8">
        <f t="shared" si="1"/>
        <v>970</v>
      </c>
    </row>
    <row r="63" spans="2:22" ht="18" customHeight="1" x14ac:dyDescent="0.35">
      <c r="B63" s="29" t="s">
        <v>477</v>
      </c>
      <c r="C63" s="28" t="s">
        <v>708</v>
      </c>
      <c r="D63" s="28" t="s">
        <v>712</v>
      </c>
      <c r="E63" s="28" t="s">
        <v>713</v>
      </c>
      <c r="F63" s="29" t="s">
        <v>479</v>
      </c>
      <c r="G63" s="28" t="s">
        <v>711</v>
      </c>
      <c r="H63" s="29" t="s">
        <v>551</v>
      </c>
      <c r="I63" s="29" t="s">
        <v>33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1100</v>
      </c>
      <c r="U63" s="30">
        <v>0</v>
      </c>
      <c r="V63" s="8">
        <f t="shared" si="1"/>
        <v>1100</v>
      </c>
    </row>
    <row r="64" spans="2:22" ht="18" customHeight="1" x14ac:dyDescent="0.35">
      <c r="B64" s="29" t="s">
        <v>477</v>
      </c>
      <c r="C64" s="28" t="s">
        <v>708</v>
      </c>
      <c r="D64" s="28" t="s">
        <v>714</v>
      </c>
      <c r="E64" s="28" t="s">
        <v>715</v>
      </c>
      <c r="F64" s="29" t="s">
        <v>479</v>
      </c>
      <c r="G64" s="28" t="s">
        <v>711</v>
      </c>
      <c r="H64" s="29" t="s">
        <v>551</v>
      </c>
      <c r="I64" s="29" t="s">
        <v>33</v>
      </c>
      <c r="J64" s="30">
        <v>980</v>
      </c>
      <c r="K64" s="30">
        <v>0</v>
      </c>
      <c r="L64" s="30">
        <v>0</v>
      </c>
      <c r="M64" s="30">
        <v>0</v>
      </c>
      <c r="N64" s="30">
        <v>1610</v>
      </c>
      <c r="O64" s="30">
        <v>1268</v>
      </c>
      <c r="P64" s="30">
        <v>0</v>
      </c>
      <c r="Q64" s="30">
        <v>0</v>
      </c>
      <c r="R64" s="30">
        <v>0</v>
      </c>
      <c r="S64" s="30">
        <v>180</v>
      </c>
      <c r="T64" s="30">
        <v>0</v>
      </c>
      <c r="U64" s="30">
        <v>1385</v>
      </c>
      <c r="V64" s="8">
        <f t="shared" si="1"/>
        <v>5423</v>
      </c>
    </row>
    <row r="65" spans="2:22" ht="18" customHeight="1" x14ac:dyDescent="0.35">
      <c r="B65" s="29" t="s">
        <v>477</v>
      </c>
      <c r="C65" s="28" t="s">
        <v>708</v>
      </c>
      <c r="D65" s="28" t="s">
        <v>716</v>
      </c>
      <c r="E65" s="28" t="s">
        <v>717</v>
      </c>
      <c r="F65" s="29" t="s">
        <v>479</v>
      </c>
      <c r="G65" s="28" t="s">
        <v>711</v>
      </c>
      <c r="H65" s="29" t="s">
        <v>551</v>
      </c>
      <c r="I65" s="29" t="s">
        <v>33</v>
      </c>
      <c r="J65" s="30">
        <v>0</v>
      </c>
      <c r="K65" s="30">
        <v>0</v>
      </c>
      <c r="L65" s="30">
        <v>2700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8">
        <f t="shared" si="1"/>
        <v>2700</v>
      </c>
    </row>
    <row r="66" spans="2:22" ht="18" customHeight="1" x14ac:dyDescent="0.35">
      <c r="B66" s="29" t="s">
        <v>477</v>
      </c>
      <c r="C66" s="28" t="s">
        <v>718</v>
      </c>
      <c r="D66" s="28" t="s">
        <v>719</v>
      </c>
      <c r="E66" s="28" t="s">
        <v>720</v>
      </c>
      <c r="F66" s="29" t="s">
        <v>511</v>
      </c>
      <c r="G66" s="28" t="s">
        <v>721</v>
      </c>
      <c r="H66" s="29" t="s">
        <v>551</v>
      </c>
      <c r="I66" s="29" t="s">
        <v>33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515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8">
        <f t="shared" si="1"/>
        <v>515</v>
      </c>
    </row>
    <row r="67" spans="2:22" ht="18" customHeight="1" x14ac:dyDescent="0.35">
      <c r="B67" s="29" t="s">
        <v>477</v>
      </c>
      <c r="C67" s="28" t="s">
        <v>718</v>
      </c>
      <c r="D67" s="28" t="s">
        <v>722</v>
      </c>
      <c r="E67" s="28" t="s">
        <v>723</v>
      </c>
      <c r="F67" s="29" t="s">
        <v>511</v>
      </c>
      <c r="G67" s="28" t="s">
        <v>721</v>
      </c>
      <c r="H67" s="29" t="s">
        <v>551</v>
      </c>
      <c r="I67" s="29" t="s">
        <v>33</v>
      </c>
      <c r="J67" s="30">
        <v>7350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7350</v>
      </c>
      <c r="S67" s="30">
        <v>0</v>
      </c>
      <c r="T67" s="30">
        <v>0</v>
      </c>
      <c r="U67" s="30">
        <v>7350</v>
      </c>
      <c r="V67" s="8">
        <f t="shared" si="1"/>
        <v>22050</v>
      </c>
    </row>
    <row r="68" spans="2:22" ht="18" customHeight="1" x14ac:dyDescent="0.35">
      <c r="B68" s="29" t="s">
        <v>477</v>
      </c>
      <c r="C68" s="28" t="s">
        <v>718</v>
      </c>
      <c r="D68" s="28" t="s">
        <v>724</v>
      </c>
      <c r="E68" s="28" t="s">
        <v>665</v>
      </c>
      <c r="F68" s="29" t="s">
        <v>511</v>
      </c>
      <c r="G68" s="28" t="s">
        <v>721</v>
      </c>
      <c r="H68" s="29" t="s">
        <v>551</v>
      </c>
      <c r="I68" s="29" t="s">
        <v>33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1275</v>
      </c>
      <c r="S68" s="30">
        <v>0</v>
      </c>
      <c r="T68" s="30">
        <v>0</v>
      </c>
      <c r="U68" s="30">
        <v>1275</v>
      </c>
      <c r="V68" s="8">
        <f t="shared" ref="V68:V99" si="2">SUM(J68:U68)</f>
        <v>2550</v>
      </c>
    </row>
    <row r="69" spans="2:22" ht="18" customHeight="1" x14ac:dyDescent="0.35">
      <c r="B69" s="29" t="s">
        <v>477</v>
      </c>
      <c r="C69" s="28" t="s">
        <v>725</v>
      </c>
      <c r="D69" s="28" t="s">
        <v>726</v>
      </c>
      <c r="E69" s="28" t="s">
        <v>727</v>
      </c>
      <c r="F69" s="29" t="s">
        <v>517</v>
      </c>
      <c r="G69" s="28" t="s">
        <v>728</v>
      </c>
      <c r="H69" s="29" t="s">
        <v>551</v>
      </c>
      <c r="I69" s="29" t="s">
        <v>33</v>
      </c>
      <c r="J69" s="30">
        <v>6200</v>
      </c>
      <c r="K69" s="30">
        <v>6200</v>
      </c>
      <c r="L69" s="30">
        <v>6200</v>
      </c>
      <c r="M69" s="30">
        <v>6200</v>
      </c>
      <c r="N69" s="30">
        <v>6200</v>
      </c>
      <c r="O69" s="30">
        <v>6200</v>
      </c>
      <c r="P69" s="30">
        <v>6200</v>
      </c>
      <c r="Q69" s="30">
        <v>6200</v>
      </c>
      <c r="R69" s="30">
        <v>6200</v>
      </c>
      <c r="S69" s="30">
        <v>6200</v>
      </c>
      <c r="T69" s="30">
        <v>6200</v>
      </c>
      <c r="U69" s="30">
        <v>6200</v>
      </c>
      <c r="V69" s="8">
        <f t="shared" si="2"/>
        <v>74400</v>
      </c>
    </row>
    <row r="70" spans="2:22" ht="18" customHeight="1" x14ac:dyDescent="0.35">
      <c r="B70" s="29" t="s">
        <v>477</v>
      </c>
      <c r="C70" s="28" t="s">
        <v>725</v>
      </c>
      <c r="D70" s="28" t="s">
        <v>729</v>
      </c>
      <c r="E70" s="28" t="s">
        <v>730</v>
      </c>
      <c r="F70" s="29" t="s">
        <v>608</v>
      </c>
      <c r="G70" s="28" t="s">
        <v>609</v>
      </c>
      <c r="H70" s="29" t="s">
        <v>616</v>
      </c>
      <c r="I70" s="29" t="s">
        <v>610</v>
      </c>
      <c r="J70" s="30">
        <v>800</v>
      </c>
      <c r="K70" s="30">
        <v>800</v>
      </c>
      <c r="L70" s="30">
        <v>800</v>
      </c>
      <c r="M70" s="30">
        <v>800</v>
      </c>
      <c r="N70" s="30">
        <v>800</v>
      </c>
      <c r="O70" s="30">
        <v>800</v>
      </c>
      <c r="P70" s="30">
        <v>800</v>
      </c>
      <c r="Q70" s="30">
        <v>800</v>
      </c>
      <c r="R70" s="30">
        <v>800</v>
      </c>
      <c r="S70" s="30">
        <v>800</v>
      </c>
      <c r="T70" s="30">
        <v>800</v>
      </c>
      <c r="U70" s="30">
        <v>800</v>
      </c>
      <c r="V70" s="8">
        <f t="shared" si="2"/>
        <v>9600</v>
      </c>
    </row>
    <row r="71" spans="2:22" ht="18" customHeight="1" x14ac:dyDescent="0.35">
      <c r="B71" s="29" t="s">
        <v>477</v>
      </c>
      <c r="C71" s="28" t="s">
        <v>731</v>
      </c>
      <c r="D71" s="28" t="s">
        <v>732</v>
      </c>
      <c r="E71" s="28" t="s">
        <v>733</v>
      </c>
      <c r="F71" s="29" t="s">
        <v>475</v>
      </c>
      <c r="G71" s="28" t="s">
        <v>734</v>
      </c>
      <c r="H71" s="29" t="s">
        <v>616</v>
      </c>
      <c r="I71" s="29" t="s">
        <v>735</v>
      </c>
      <c r="J71" s="30">
        <v>3300</v>
      </c>
      <c r="K71" s="30">
        <v>3300</v>
      </c>
      <c r="L71" s="30">
        <v>3300</v>
      </c>
      <c r="M71" s="30">
        <v>3300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8">
        <f t="shared" si="2"/>
        <v>13200</v>
      </c>
    </row>
    <row r="72" spans="2:22" ht="18" customHeight="1" x14ac:dyDescent="0.35">
      <c r="B72" s="29" t="s">
        <v>477</v>
      </c>
      <c r="C72" s="28" t="s">
        <v>731</v>
      </c>
      <c r="D72" s="28" t="s">
        <v>736</v>
      </c>
      <c r="E72" s="28" t="s">
        <v>737</v>
      </c>
      <c r="F72" s="29" t="s">
        <v>514</v>
      </c>
      <c r="G72" s="28" t="s">
        <v>738</v>
      </c>
      <c r="H72" s="29" t="s">
        <v>551</v>
      </c>
      <c r="I72" s="29" t="s">
        <v>33</v>
      </c>
      <c r="J72" s="30">
        <v>550</v>
      </c>
      <c r="K72" s="30">
        <v>550</v>
      </c>
      <c r="L72" s="30">
        <v>550</v>
      </c>
      <c r="M72" s="30">
        <v>550</v>
      </c>
      <c r="N72" s="30">
        <v>550</v>
      </c>
      <c r="O72" s="30">
        <v>550</v>
      </c>
      <c r="P72" s="30">
        <v>550</v>
      </c>
      <c r="Q72" s="30">
        <v>550</v>
      </c>
      <c r="R72" s="30">
        <v>550</v>
      </c>
      <c r="S72" s="30">
        <v>550</v>
      </c>
      <c r="T72" s="30">
        <v>550</v>
      </c>
      <c r="U72" s="30">
        <v>550</v>
      </c>
      <c r="V72" s="8">
        <f t="shared" si="2"/>
        <v>6600</v>
      </c>
    </row>
    <row r="73" spans="2:22" ht="18" customHeight="1" x14ac:dyDescent="0.35">
      <c r="B73" s="29" t="s">
        <v>477</v>
      </c>
      <c r="C73" s="28" t="s">
        <v>731</v>
      </c>
      <c r="D73" s="28" t="s">
        <v>739</v>
      </c>
      <c r="E73" s="28" t="s">
        <v>740</v>
      </c>
      <c r="F73" s="29" t="s">
        <v>475</v>
      </c>
      <c r="G73" s="28" t="s">
        <v>734</v>
      </c>
      <c r="H73" s="29" t="s">
        <v>616</v>
      </c>
      <c r="I73" s="29" t="s">
        <v>735</v>
      </c>
      <c r="J73" s="30">
        <v>1360</v>
      </c>
      <c r="K73" s="30">
        <v>600</v>
      </c>
      <c r="L73" s="30">
        <v>600</v>
      </c>
      <c r="M73" s="30">
        <v>1460</v>
      </c>
      <c r="N73" s="30">
        <v>0</v>
      </c>
      <c r="O73" s="30">
        <v>0</v>
      </c>
      <c r="P73" s="30">
        <v>0</v>
      </c>
      <c r="Q73" s="30">
        <v>860</v>
      </c>
      <c r="R73" s="30">
        <v>0</v>
      </c>
      <c r="S73" s="30">
        <v>0</v>
      </c>
      <c r="T73" s="30">
        <v>0</v>
      </c>
      <c r="U73" s="30">
        <v>860</v>
      </c>
      <c r="V73" s="8">
        <f t="shared" si="2"/>
        <v>5740</v>
      </c>
    </row>
    <row r="74" spans="2:22" ht="18" customHeight="1" x14ac:dyDescent="0.35">
      <c r="B74" s="29" t="s">
        <v>477</v>
      </c>
      <c r="C74" s="28" t="s">
        <v>731</v>
      </c>
      <c r="D74" s="28" t="s">
        <v>741</v>
      </c>
      <c r="E74" s="28" t="s">
        <v>742</v>
      </c>
      <c r="F74" s="29" t="s">
        <v>475</v>
      </c>
      <c r="G74" s="28" t="s">
        <v>734</v>
      </c>
      <c r="H74" s="29" t="s">
        <v>616</v>
      </c>
      <c r="I74" s="29" t="s">
        <v>735</v>
      </c>
      <c r="J74" s="30">
        <v>580</v>
      </c>
      <c r="K74" s="30">
        <v>580</v>
      </c>
      <c r="L74" s="30">
        <v>580</v>
      </c>
      <c r="M74" s="30">
        <v>580</v>
      </c>
      <c r="N74" s="30">
        <v>580</v>
      </c>
      <c r="O74" s="30">
        <v>580</v>
      </c>
      <c r="P74" s="30">
        <v>580</v>
      </c>
      <c r="Q74" s="30">
        <v>580</v>
      </c>
      <c r="R74" s="30">
        <v>580</v>
      </c>
      <c r="S74" s="30">
        <v>580</v>
      </c>
      <c r="T74" s="30">
        <v>580</v>
      </c>
      <c r="U74" s="30">
        <v>580</v>
      </c>
      <c r="V74" s="8">
        <f t="shared" si="2"/>
        <v>6960</v>
      </c>
    </row>
    <row r="75" spans="2:22" ht="18" customHeight="1" x14ac:dyDescent="0.35">
      <c r="B75" s="29" t="s">
        <v>477</v>
      </c>
      <c r="C75" s="28" t="s">
        <v>731</v>
      </c>
      <c r="D75" s="28" t="s">
        <v>743</v>
      </c>
      <c r="E75" s="28" t="s">
        <v>744</v>
      </c>
      <c r="F75" s="29" t="s">
        <v>475</v>
      </c>
      <c r="G75" s="28" t="s">
        <v>734</v>
      </c>
      <c r="H75" s="29" t="s">
        <v>551</v>
      </c>
      <c r="I75" s="29" t="s">
        <v>33</v>
      </c>
      <c r="J75" s="30">
        <v>550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8">
        <f t="shared" si="2"/>
        <v>550</v>
      </c>
    </row>
    <row r="76" spans="2:22" ht="18" customHeight="1" x14ac:dyDescent="0.35">
      <c r="B76" s="29" t="s">
        <v>477</v>
      </c>
      <c r="C76" s="28" t="s">
        <v>745</v>
      </c>
      <c r="D76" s="28" t="s">
        <v>746</v>
      </c>
      <c r="E76" s="28" t="s">
        <v>747</v>
      </c>
      <c r="F76" s="29" t="s">
        <v>511</v>
      </c>
      <c r="G76" s="28" t="s">
        <v>748</v>
      </c>
      <c r="H76" s="29" t="s">
        <v>551</v>
      </c>
      <c r="I76" s="29" t="s">
        <v>33</v>
      </c>
      <c r="J76" s="30">
        <v>200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8">
        <f t="shared" si="2"/>
        <v>200</v>
      </c>
    </row>
  </sheetData>
  <mergeCells count="1">
    <mergeCell ref="B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9"/>
  <sheetViews>
    <sheetView workbookViewId="0"/>
  </sheetViews>
  <sheetFormatPr baseColWidth="10" defaultColWidth="8.7265625" defaultRowHeight="14.5" x14ac:dyDescent="0.35"/>
  <cols>
    <col min="2" max="2" width="22" customWidth="1"/>
    <col min="3" max="3" width="38" customWidth="1"/>
    <col min="4" max="4" width="18" customWidth="1"/>
    <col min="5" max="5" width="16" customWidth="1"/>
    <col min="6" max="6" width="32" customWidth="1"/>
    <col min="7" max="7" width="18" customWidth="1"/>
    <col min="8" max="8" width="65" customWidth="1"/>
  </cols>
  <sheetData>
    <row r="1" spans="2:8" ht="28" customHeight="1" x14ac:dyDescent="0.35">
      <c r="B1" s="35" t="s">
        <v>749</v>
      </c>
      <c r="C1" s="36"/>
      <c r="D1" s="36"/>
      <c r="E1" s="36"/>
      <c r="F1" s="36"/>
      <c r="G1" s="36"/>
      <c r="H1" s="36"/>
    </row>
    <row r="2" spans="2:8" ht="20" customHeight="1" x14ac:dyDescent="0.35">
      <c r="B2" s="1" t="s">
        <v>750</v>
      </c>
    </row>
    <row r="4" spans="2:8" ht="24" customHeight="1" x14ac:dyDescent="0.35">
      <c r="B4" s="10" t="s">
        <v>751</v>
      </c>
      <c r="C4" s="10" t="s">
        <v>752</v>
      </c>
      <c r="D4" s="10" t="s">
        <v>753</v>
      </c>
      <c r="E4" s="10" t="s">
        <v>754</v>
      </c>
      <c r="F4" s="10" t="s">
        <v>755</v>
      </c>
      <c r="G4" s="10" t="s">
        <v>756</v>
      </c>
      <c r="H4" s="10" t="s">
        <v>757</v>
      </c>
    </row>
    <row r="5" spans="2:8" ht="24" customHeight="1" x14ac:dyDescent="0.35">
      <c r="B5" s="25" t="s">
        <v>758</v>
      </c>
      <c r="C5" s="6" t="s">
        <v>759</v>
      </c>
      <c r="D5" s="31">
        <v>16300</v>
      </c>
      <c r="E5" s="29" t="s">
        <v>640</v>
      </c>
      <c r="F5" s="28" t="s">
        <v>670</v>
      </c>
      <c r="G5" s="29" t="s">
        <v>760</v>
      </c>
      <c r="H5" s="9" t="s">
        <v>761</v>
      </c>
    </row>
    <row r="6" spans="2:8" ht="24" customHeight="1" x14ac:dyDescent="0.35">
      <c r="B6" s="25" t="s">
        <v>762</v>
      </c>
      <c r="C6" s="6" t="s">
        <v>763</v>
      </c>
      <c r="D6" s="31">
        <v>25900</v>
      </c>
      <c r="E6" s="29" t="s">
        <v>475</v>
      </c>
      <c r="F6" s="28" t="s">
        <v>764</v>
      </c>
      <c r="G6" s="29" t="s">
        <v>765</v>
      </c>
      <c r="H6" s="9" t="s">
        <v>766</v>
      </c>
    </row>
    <row r="7" spans="2:8" ht="24" customHeight="1" x14ac:dyDescent="0.35">
      <c r="B7" s="25" t="s">
        <v>767</v>
      </c>
      <c r="C7" s="6" t="s">
        <v>768</v>
      </c>
      <c r="D7" s="31">
        <v>9600</v>
      </c>
      <c r="E7" s="29" t="s">
        <v>453</v>
      </c>
      <c r="F7" s="28" t="s">
        <v>610</v>
      </c>
      <c r="G7" s="29" t="s">
        <v>769</v>
      </c>
      <c r="H7" s="9" t="s">
        <v>770</v>
      </c>
    </row>
    <row r="8" spans="2:8" ht="24" customHeight="1" x14ac:dyDescent="0.35">
      <c r="B8" s="25" t="s">
        <v>771</v>
      </c>
      <c r="C8" s="6" t="s">
        <v>772</v>
      </c>
      <c r="D8" s="31">
        <v>9410</v>
      </c>
      <c r="E8" s="29" t="s">
        <v>457</v>
      </c>
      <c r="F8" s="28" t="s">
        <v>592</v>
      </c>
      <c r="G8" s="29" t="s">
        <v>773</v>
      </c>
      <c r="H8" s="9" t="s">
        <v>774</v>
      </c>
    </row>
    <row r="9" spans="2:8" ht="24" customHeight="1" x14ac:dyDescent="0.35">
      <c r="B9" s="32" t="s">
        <v>775</v>
      </c>
      <c r="C9" s="33"/>
      <c r="D9" s="34">
        <f>SUM(D5:D8)</f>
        <v>61210</v>
      </c>
      <c r="E9" s="33"/>
      <c r="F9" s="33"/>
      <c r="G9" s="33"/>
      <c r="H9" s="33"/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PL 2027 Desglose V5</vt:lpstr>
      <vt:lpstr>Resumen Ejecutivo y KPIs</vt:lpstr>
      <vt:lpstr>Comparativa Cuentas PGC</vt:lpstr>
      <vt:lpstr>Detalle Departamentos 2027</vt:lpstr>
      <vt:lpstr>Inmovilizaciones y 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Ocampo</cp:lastModifiedBy>
  <dcterms:created xsi:type="dcterms:W3CDTF">2026-09-29T12:45:55Z</dcterms:created>
  <dcterms:modified xsi:type="dcterms:W3CDTF">2026-10-22T08:32:20Z</dcterms:modified>
</cp:coreProperties>
</file>