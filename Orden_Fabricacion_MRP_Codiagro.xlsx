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en de Fabricación" sheetId="1" state="visible" r:id="rId1"/>
    <sheet xmlns:r="http://schemas.openxmlformats.org/officeDocument/2006/relationships" name="Plan Graneles por Mes" sheetId="2" state="visible" r:id="rId2"/>
    <sheet xmlns:r="http://schemas.openxmlformats.org/officeDocument/2006/relationships" name="Resumen por Envase" sheetId="3" state="visible" r:id="rId3"/>
    <sheet xmlns:r="http://schemas.openxmlformats.org/officeDocument/2006/relationships" name="SlowMovers &amp; NoMovers" sheetId="4" state="visible" r:id="rId4"/>
  </sheets>
  <definedNames>
    <definedName name="_xlnm._FilterDatabase" localSheetId="0" hidden="1">'Orden de Fabricación'!$A$8:$Q$313</definedName>
    <definedName name="_xlnm._FilterDatabase" localSheetId="1" hidden="1">'Plan Graneles por Mes'!$A$5:$M$95</definedName>
    <definedName name="_xlnm._FilterDatabase" localSheetId="3" hidden="1">'SlowMovers &amp; NoMovers'!$A$8:$O$124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i val="1"/>
      <color rgb="0094A3B8"/>
      <sz val="9"/>
    </font>
    <font>
      <name val="Calibri"/>
      <b val="1"/>
      <color rgb="0064748B"/>
      <sz val="8"/>
    </font>
    <font>
      <name val="Calibri"/>
      <b val="1"/>
      <color rgb="00DC2626"/>
      <sz val="12"/>
    </font>
    <font>
      <name val="Calibri"/>
      <b val="1"/>
      <color rgb="00D97706"/>
      <sz val="12"/>
    </font>
    <font>
      <name val="Calibri"/>
      <b val="1"/>
      <color rgb="000F172A"/>
      <sz val="12"/>
    </font>
    <font>
      <name val="Calibri"/>
      <b val="1"/>
      <color rgb="00059669"/>
      <sz val="12"/>
    </font>
    <font>
      <name val="Calibri"/>
      <b val="1"/>
      <color rgb="00FFFFFF"/>
      <sz val="9.5"/>
    </font>
    <font>
      <name val="Calibri"/>
      <b val="1"/>
      <color rgb="00FFFFFF"/>
      <sz val="9"/>
    </font>
    <font>
      <name val="Calibri"/>
      <b val="1"/>
      <color rgb="000F172A"/>
      <sz val="9"/>
    </font>
    <font>
      <name val="Calibri"/>
      <b val="1"/>
      <color rgb="006B21A8"/>
      <sz val="9"/>
    </font>
    <font>
      <name val="Calibri"/>
      <color rgb="001E293B"/>
      <sz val="9"/>
    </font>
    <font>
      <name val="Calibri"/>
      <b val="1"/>
      <color rgb="000369A1"/>
      <sz val="8.5"/>
    </font>
    <font>
      <name val="Calibri"/>
      <b val="1"/>
      <color rgb="00991B1B"/>
      <sz val="8.5"/>
    </font>
    <font>
      <name val="Calibri"/>
      <b val="1"/>
      <color rgb="0092400E"/>
      <sz val="8.5"/>
    </font>
    <font>
      <name val="Calibri"/>
      <b val="1"/>
      <color rgb="00065F46"/>
      <sz val="8.5"/>
    </font>
    <font>
      <name val="Calibri"/>
      <b val="1"/>
      <color rgb="000F172A"/>
      <sz val="9.5"/>
    </font>
    <font>
      <name val="Calibri"/>
      <b val="1"/>
      <color rgb="000284C7"/>
      <sz val="12"/>
    </font>
    <font>
      <name val="Consolas"/>
      <b val="1"/>
      <color rgb="000F172A"/>
      <sz val="9"/>
    </font>
  </fonts>
  <fills count="13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8FAFC"/>
        <bgColor rgb="00F8FAFC"/>
      </patternFill>
    </fill>
    <fill>
      <patternFill patternType="solid">
        <fgColor rgb="001E3A8A"/>
        <bgColor rgb="001E3A8A"/>
      </patternFill>
    </fill>
    <fill>
      <patternFill patternType="solid">
        <fgColor rgb="00334155"/>
        <bgColor rgb="00334155"/>
      </patternFill>
    </fill>
    <fill>
      <patternFill patternType="solid">
        <fgColor rgb="00065F46"/>
        <bgColor rgb="00065F46"/>
      </patternFill>
    </fill>
    <fill>
      <patternFill patternType="solid">
        <fgColor rgb="00FEE2E2"/>
        <bgColor rgb="00FEE2E2"/>
      </patternFill>
    </fill>
    <fill>
      <patternFill patternType="solid">
        <fgColor rgb="00FFFFFF"/>
        <bgColor rgb="00FFFFFF"/>
      </patternFill>
    </fill>
    <fill>
      <patternFill patternType="solid">
        <fgColor rgb="00FEF3C7"/>
        <bgColor rgb="00FEF3C7"/>
      </patternFill>
    </fill>
    <fill>
      <patternFill patternType="solid">
        <fgColor rgb="00D1FAE5"/>
        <bgColor rgb="00D1FAE5"/>
      </patternFill>
    </fill>
    <fill>
      <patternFill patternType="solid">
        <fgColor rgb="00F1F5F9"/>
        <bgColor rgb="00F1F5F9"/>
      </patternFill>
    </fill>
    <fill>
      <patternFill patternType="solid">
        <fgColor rgb="007C2D12"/>
        <bgColor rgb="007C2D12"/>
      </patternFill>
    </fill>
  </fills>
  <borders count="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9" fillId="4" borderId="2" applyAlignment="1" pivotButton="0" quotePrefix="0" xfId="0">
      <alignment horizontal="center"/>
    </xf>
    <xf numFmtId="0" fontId="9" fillId="4" borderId="2" applyAlignment="1" pivotButton="0" quotePrefix="0" xfId="0">
      <alignment horizontal="left"/>
    </xf>
    <xf numFmtId="0" fontId="9" fillId="4" borderId="2" applyAlignment="1" pivotButton="0" quotePrefix="0" xfId="0">
      <alignment horizontal="right"/>
    </xf>
    <xf numFmtId="0" fontId="9" fillId="5" borderId="2" applyAlignment="1" pivotButton="0" quotePrefix="0" xfId="0">
      <alignment horizontal="right"/>
    </xf>
    <xf numFmtId="0" fontId="9" fillId="6" borderId="2" applyAlignment="1" pivotButton="0" quotePrefix="0" xfId="0">
      <alignment horizontal="right"/>
    </xf>
    <xf numFmtId="0" fontId="9" fillId="6" borderId="2" applyAlignment="1" pivotButton="0" quotePrefix="0" xfId="0">
      <alignment horizontal="center"/>
    </xf>
    <xf numFmtId="0" fontId="10" fillId="8" borderId="2" applyAlignment="1" pivotButton="0" quotePrefix="0" xfId="0">
      <alignment horizontal="center"/>
    </xf>
    <xf numFmtId="0" fontId="11" fillId="8" borderId="2" applyAlignment="1" pivotButton="0" quotePrefix="0" xfId="0">
      <alignment horizontal="center"/>
    </xf>
    <xf numFmtId="0" fontId="12" fillId="8" borderId="2" applyAlignment="1" pivotButton="0" quotePrefix="0" xfId="0">
      <alignment horizontal="left"/>
    </xf>
    <xf numFmtId="2" fontId="12" fillId="8" borderId="2" applyAlignment="1" pivotButton="0" quotePrefix="0" xfId="0">
      <alignment horizontal="right"/>
    </xf>
    <xf numFmtId="0" fontId="12" fillId="8" borderId="2" applyAlignment="1" pivotButton="0" quotePrefix="0" xfId="0">
      <alignment horizontal="center"/>
    </xf>
    <xf numFmtId="0" fontId="13" fillId="8" borderId="2" applyAlignment="1" pivotButton="0" quotePrefix="0" xfId="0">
      <alignment horizontal="center"/>
    </xf>
    <xf numFmtId="3" fontId="12" fillId="8" borderId="2" applyAlignment="1" pivotButton="0" quotePrefix="0" xfId="0">
      <alignment horizontal="right"/>
    </xf>
    <xf numFmtId="3" fontId="10" fillId="8" borderId="2" applyAlignment="1" pivotButton="0" quotePrefix="0" xfId="0">
      <alignment horizontal="right"/>
    </xf>
    <xf numFmtId="0" fontId="14" fillId="7" borderId="2" applyAlignment="1" pivotButton="0" quotePrefix="0" xfId="0">
      <alignment horizontal="center"/>
    </xf>
    <xf numFmtId="0" fontId="10" fillId="3" borderId="2" applyAlignment="1" pivotButton="0" quotePrefix="0" xfId="0">
      <alignment horizontal="center"/>
    </xf>
    <xf numFmtId="0" fontId="11" fillId="3" borderId="2" applyAlignment="1" pivotButton="0" quotePrefix="0" xfId="0">
      <alignment horizontal="center"/>
    </xf>
    <xf numFmtId="0" fontId="12" fillId="3" borderId="2" applyAlignment="1" pivotButton="0" quotePrefix="0" xfId="0">
      <alignment horizontal="left"/>
    </xf>
    <xf numFmtId="2" fontId="12" fillId="3" borderId="2" applyAlignment="1" pivotButton="0" quotePrefix="0" xfId="0">
      <alignment horizontal="right"/>
    </xf>
    <xf numFmtId="0" fontId="12" fillId="3" borderId="2" applyAlignment="1" pivotButton="0" quotePrefix="0" xfId="0">
      <alignment horizontal="center"/>
    </xf>
    <xf numFmtId="0" fontId="13" fillId="3" borderId="2" applyAlignment="1" pivotButton="0" quotePrefix="0" xfId="0">
      <alignment horizontal="center"/>
    </xf>
    <xf numFmtId="3" fontId="12" fillId="3" borderId="2" applyAlignment="1" pivotButton="0" quotePrefix="0" xfId="0">
      <alignment horizontal="right"/>
    </xf>
    <xf numFmtId="3" fontId="10" fillId="3" borderId="2" applyAlignment="1" pivotButton="0" quotePrefix="0" xfId="0">
      <alignment horizontal="right"/>
    </xf>
    <xf numFmtId="0" fontId="15" fillId="9" borderId="2" applyAlignment="1" pivotButton="0" quotePrefix="0" xfId="0">
      <alignment horizontal="center"/>
    </xf>
    <xf numFmtId="0" fontId="16" fillId="10" borderId="2" applyAlignment="1" pivotButton="0" quotePrefix="0" xfId="0">
      <alignment horizontal="center"/>
    </xf>
    <xf numFmtId="0" fontId="17" fillId="11" borderId="3" applyAlignment="1" pivotButton="0" quotePrefix="0" xfId="0">
      <alignment horizontal="right" vertical="center"/>
    </xf>
    <xf numFmtId="0" fontId="0" fillId="11" borderId="3" pivotButton="0" quotePrefix="0" xfId="0"/>
    <xf numFmtId="3" fontId="17" fillId="11" borderId="3" applyAlignment="1" pivotButton="0" quotePrefix="0" xfId="0">
      <alignment horizontal="right" vertical="center"/>
    </xf>
    <xf numFmtId="0" fontId="0" fillId="11" borderId="3" applyAlignment="1" pivotButton="0" quotePrefix="0" xfId="0">
      <alignment horizontal="center"/>
    </xf>
    <xf numFmtId="0" fontId="10" fillId="3" borderId="2" applyAlignment="1" pivotButton="0" quotePrefix="0" xfId="0">
      <alignment horizontal="left"/>
    </xf>
    <xf numFmtId="0" fontId="10" fillId="8" borderId="2" applyAlignment="1" pivotButton="0" quotePrefix="0" xfId="0">
      <alignment horizontal="left"/>
    </xf>
    <xf numFmtId="0" fontId="17" fillId="11" borderId="3" applyAlignment="1" pivotButton="0" quotePrefix="0" xfId="0">
      <alignment horizontal="left"/>
    </xf>
    <xf numFmtId="0" fontId="17" fillId="11" borderId="3" applyAlignment="1" pivotButton="0" quotePrefix="0" xfId="0">
      <alignment horizontal="center"/>
    </xf>
    <xf numFmtId="3" fontId="17" fillId="11" borderId="3" applyAlignment="1" pivotButton="0" quotePrefix="0" xfId="0">
      <alignment horizontal="right"/>
    </xf>
    <xf numFmtId="0" fontId="18" fillId="3" borderId="1" applyAlignment="1" pivotButton="0" quotePrefix="0" xfId="0">
      <alignment horizontal="center" vertical="center"/>
    </xf>
    <xf numFmtId="0" fontId="8" fillId="12" borderId="0" applyAlignment="1" pivotButton="0" quotePrefix="0" xfId="0">
      <alignment horizontal="center" vertical="center"/>
    </xf>
    <xf numFmtId="0" fontId="9" fillId="12" borderId="2" applyAlignment="1" pivotButton="0" quotePrefix="0" xfId="0">
      <alignment horizontal="right"/>
    </xf>
    <xf numFmtId="0" fontId="9" fillId="12" borderId="2" applyAlignment="1" pivotButton="0" quotePrefix="0" xfId="0">
      <alignment horizontal="center"/>
    </xf>
    <xf numFmtId="0" fontId="9" fillId="12" borderId="2" applyAlignment="1" pivotButton="0" quotePrefix="0" xfId="0">
      <alignment horizontal="left"/>
    </xf>
    <xf numFmtId="0" fontId="19" fillId="8" borderId="2" applyAlignment="1" pivotButton="0" quotePrefix="0" xfId="0">
      <alignment horizontal="center"/>
    </xf>
    <xf numFmtId="164" fontId="12" fillId="8" borderId="2" applyAlignment="1" pivotButton="0" quotePrefix="0" xfId="0">
      <alignment horizontal="right"/>
    </xf>
    <xf numFmtId="164" fontId="14" fillId="8" borderId="2" applyAlignment="1" pivotButton="0" quotePrefix="0" xfId="0">
      <alignment horizontal="right"/>
    </xf>
    <xf numFmtId="0" fontId="19" fillId="3" borderId="2" applyAlignment="1" pivotButton="0" quotePrefix="0" xfId="0">
      <alignment horizontal="center"/>
    </xf>
    <xf numFmtId="164" fontId="12" fillId="3" borderId="2" applyAlignment="1" pivotButton="0" quotePrefix="0" xfId="0">
      <alignment horizontal="right"/>
    </xf>
    <xf numFmtId="164" fontId="14" fillId="3" borderId="2" applyAlignment="1" pivotButton="0" quotePrefix="0" xfId="0">
      <alignment horizontal="right"/>
    </xf>
    <xf numFmtId="164" fontId="15" fillId="3" borderId="2" applyAlignment="1" pivotButton="0" quotePrefix="0" xfId="0">
      <alignment horizontal="right"/>
    </xf>
    <xf numFmtId="164" fontId="15" fillId="8" borderId="2" applyAlignment="1" pivotButton="0" quotePrefix="0" xfId="0">
      <alignment horizontal="right"/>
    </xf>
    <xf numFmtId="164" fontId="17" fillId="11" borderId="3" applyAlignment="1" pivotButton="0" quotePrefix="0" xfId="0">
      <alignment horizontal="right" vertical="center"/>
    </xf>
    <xf numFmtId="0" fontId="0" fillId="11" borderId="3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14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36" customWidth="1" min="3" max="3"/>
    <col width="10" customWidth="1" min="4" max="4"/>
    <col width="18" customWidth="1" min="5" max="5"/>
    <col width="18" customWidth="1" min="6" max="6"/>
    <col width="22" customWidth="1" min="7" max="7"/>
    <col width="17" customWidth="1" min="8" max="8"/>
    <col width="17" customWidth="1" min="9" max="9"/>
    <col width="14" customWidth="1" min="10" max="10"/>
    <col width="14" customWidth="1" min="11" max="11"/>
    <col width="14" customWidth="1" min="12" max="12"/>
    <col width="18" customWidth="1" min="13" max="13"/>
    <col width="20" customWidth="1" min="14" max="14"/>
    <col width="17" customWidth="1" min="15" max="15"/>
    <col width="20" customWidth="1" min="16" max="16"/>
    <col width="22" customWidth="1" min="17" max="17"/>
  </cols>
  <sheetData>
    <row r="1" ht="28" customHeight="1">
      <c r="A1" s="1" t="inlineStr">
        <is>
          <t xml:space="preserve">  CODIAGRO S.L.  |  ORDEN DE FABRICACIÓN Y ENVASADO MRP (DESGLOSE POR PAÍS Y FORMATO)</t>
        </is>
      </c>
    </row>
    <row r="2" ht="18" customHeight="1">
      <c r="A2" s="2" t="inlineStr">
        <is>
          <t xml:space="preserve">  Horizonte: Oct 26 (N) + Nov 26 + Dic 26 (3 meses)  |  Ámbito: Global (Nacional + Exportación)  |  Exportación: Siempre Sobre Pedido  |  Fecha Emisión: 29/10/2026 07:32</t>
        </is>
      </c>
    </row>
    <row r="3" ht="8" customHeight="1"/>
    <row r="4" ht="16" customHeight="1">
      <c r="A4" s="3" t="inlineStr">
        <is>
          <t>TOTAL A FABRICAR (L/Kg)</t>
        </is>
      </c>
      <c r="B4" s="4" t="n"/>
      <c r="C4" s="3" t="inlineStr">
        <is>
          <t>TOTAL UNIDADES (u)</t>
        </is>
      </c>
      <c r="D4" s="4" t="n"/>
      <c r="E4" s="3" t="inlineStr">
        <is>
          <t>DÉFICIT QUÍMICO URGENTE</t>
        </is>
      </c>
      <c r="F4" s="4" t="n"/>
      <c r="G4" s="3" t="inlineStr">
        <is>
          <t>SOLO ENVASAR / SOBRE PEDIDO</t>
        </is>
      </c>
      <c r="H4" s="4" t="n"/>
      <c r="I4" s="3" t="inlineStr">
        <is>
          <t>PEDIDOS CARTERA INMEDIATOS</t>
        </is>
      </c>
      <c r="J4" s="4" t="n"/>
      <c r="K4" s="4" t="n"/>
      <c r="L4" s="4" t="n"/>
      <c r="M4" s="3" t="inlineStr">
        <is>
          <t>STOCK ENVASADO ALMACÉN</t>
        </is>
      </c>
      <c r="N4" s="4" t="n"/>
      <c r="O4" s="4" t="n"/>
      <c r="P4" s="4" t="n"/>
      <c r="Q4" s="4" t="n"/>
    </row>
    <row r="5" ht="24" customHeight="1">
      <c r="A5" s="5" t="inlineStr">
        <is>
          <t>1.247.331 L</t>
        </is>
      </c>
      <c r="B5" s="4" t="n"/>
      <c r="C5" s="5" t="inlineStr">
        <is>
          <t>1.247.331 u</t>
        </is>
      </c>
      <c r="D5" s="4" t="n"/>
      <c r="E5" s="5" t="inlineStr">
        <is>
          <t>158 Artículos</t>
        </is>
      </c>
      <c r="F5" s="4" t="n"/>
      <c r="G5" s="6" t="inlineStr">
        <is>
          <t>79 Artículos</t>
        </is>
      </c>
      <c r="H5" s="4" t="n"/>
      <c r="I5" s="7" t="inlineStr">
        <is>
          <t>236.205 u</t>
        </is>
      </c>
      <c r="J5" s="4" t="n"/>
      <c r="K5" s="4" t="n"/>
      <c r="L5" s="4" t="n"/>
      <c r="M5" s="8" t="inlineStr">
        <is>
          <t>230.902 u</t>
        </is>
      </c>
      <c r="N5" s="4" t="n"/>
      <c r="O5" s="4" t="n"/>
      <c r="P5" s="4" t="n"/>
      <c r="Q5" s="4" t="n"/>
    </row>
    <row r="6" ht="10" customHeight="1"/>
    <row r="7" ht="20" customHeight="1">
      <c r="A7" s="9" t="inlineStr">
        <is>
          <t>1. IDENTIFICACIÓN Y ESPECIFICACIÓN ARTÍCULO / DESTINO</t>
        </is>
      </c>
      <c r="H7" s="10" t="inlineStr">
        <is>
          <t>2. DISPONIBILIDAD Y DEMANDA HORIZONTE (UNIDADES FÍSICAS)</t>
        </is>
      </c>
      <c r="N7" s="11" t="inlineStr">
        <is>
          <t>3. PLANIFICACIÓN DE PRODUCCIÓN Y ENVASADO</t>
        </is>
      </c>
    </row>
    <row r="8" ht="24" customHeight="1">
      <c r="A8" s="12" t="inlineStr">
        <is>
          <t>Cód. Base</t>
        </is>
      </c>
      <c r="B8" s="12" t="inlineStr">
        <is>
          <t>Nuevo SKU (País)</t>
        </is>
      </c>
      <c r="C8" s="13" t="inlineStr">
        <is>
          <t>Producto / Descripción</t>
        </is>
      </c>
      <c r="D8" s="14" t="inlineStr">
        <is>
          <t>Env. (L)</t>
        </is>
      </c>
      <c r="E8" s="13" t="inlineStr">
        <is>
          <t>Línea Envasado</t>
        </is>
      </c>
      <c r="F8" s="12" t="inlineStr">
        <is>
          <t>País / Mercado</t>
        </is>
      </c>
      <c r="G8" s="12" t="inlineStr">
        <is>
          <t>Tipo Fabricación</t>
        </is>
      </c>
      <c r="H8" s="15" t="inlineStr">
        <is>
          <t>Stock Asignado (u)</t>
        </is>
      </c>
      <c r="I8" s="15" t="inlineStr">
        <is>
          <t>Cartera Inmediata (u)</t>
        </is>
      </c>
      <c r="J8" s="15" t="inlineStr">
        <is>
          <t>Oct-26 (u)</t>
        </is>
      </c>
      <c r="K8" s="15" t="inlineStr">
        <is>
          <t>Nov-26 (u)</t>
        </is>
      </c>
      <c r="L8" s="15" t="inlineStr">
        <is>
          <t>Dic-26 (u)</t>
        </is>
      </c>
      <c r="M8" s="15" t="inlineStr">
        <is>
          <t>Demanda Total (u)</t>
        </is>
      </c>
      <c r="N8" s="16" t="inlineStr">
        <is>
          <t>Demanda Total (L/Kg)</t>
        </is>
      </c>
      <c r="O8" s="16" t="inlineStr">
        <is>
          <t>A Fabricar (u)</t>
        </is>
      </c>
      <c r="P8" s="16" t="inlineStr">
        <is>
          <t>A Fabricar (L/Kg)</t>
        </is>
      </c>
      <c r="Q8" s="17" t="inlineStr">
        <is>
          <t>Prioridad / Acción</t>
        </is>
      </c>
    </row>
    <row r="9" ht="19" customHeight="1">
      <c r="A9" s="18" t="inlineStr">
        <is>
          <t>W330020</t>
        </is>
      </c>
      <c r="B9" s="19" t="inlineStr">
        <is>
          <t>W330020CL</t>
        </is>
      </c>
      <c r="C9" s="20" t="inlineStr">
        <is>
          <t>BAYFOLAN SUN, 20 KG</t>
        </is>
      </c>
      <c r="D9" s="21" t="n">
        <v>20</v>
      </c>
      <c r="E9" s="20" t="inlineStr">
        <is>
          <t>Bolsas 20 Kg</t>
        </is>
      </c>
      <c r="F9" s="22" t="inlineStr">
        <is>
          <t>CHILE</t>
        </is>
      </c>
      <c r="G9" s="23" t="inlineStr">
        <is>
          <t>Sobre Pedido (Export)</t>
        </is>
      </c>
      <c r="H9" s="24" t="n">
        <v>0</v>
      </c>
      <c r="I9" s="24" t="n">
        <v>0</v>
      </c>
      <c r="J9" s="24" t="n">
        <v>0</v>
      </c>
      <c r="K9" s="24" t="n">
        <v>0</v>
      </c>
      <c r="L9" s="24" t="n">
        <v>190939.7868</v>
      </c>
      <c r="M9" s="25" t="n">
        <v>190939.7868</v>
      </c>
      <c r="N9" s="25" t="n">
        <v>190939.79</v>
      </c>
      <c r="O9" s="25" t="n">
        <v>190939.7868</v>
      </c>
      <c r="P9" s="25" t="n">
        <v>190939.79</v>
      </c>
      <c r="Q9" s="26" t="inlineStr">
        <is>
          <t>SOBRE PEDIDO (EXP)</t>
        </is>
      </c>
    </row>
    <row r="10" ht="19" customHeight="1">
      <c r="A10" s="27" t="inlineStr">
        <is>
          <t>AO0020</t>
        </is>
      </c>
      <c r="B10" s="28" t="inlineStr">
        <is>
          <t>AO0020MX</t>
        </is>
      </c>
      <c r="C10" s="29" t="inlineStr">
        <is>
          <t>ALCAPLANT NEW</t>
        </is>
      </c>
      <c r="D10" s="30" t="n">
        <v>20</v>
      </c>
      <c r="E10" s="29" t="inlineStr">
        <is>
          <t>Bolsas 20 Kg</t>
        </is>
      </c>
      <c r="F10" s="31" t="inlineStr">
        <is>
          <t>NETHERLANS</t>
        </is>
      </c>
      <c r="G10" s="32" t="inlineStr">
        <is>
          <t>Sobre Pedido (Export)</t>
        </is>
      </c>
      <c r="H10" s="33" t="n">
        <v>0</v>
      </c>
      <c r="I10" s="33" t="n">
        <v>0</v>
      </c>
      <c r="J10" s="33" t="n">
        <v>40790</v>
      </c>
      <c r="K10" s="33" t="n">
        <v>69175.95110000001</v>
      </c>
      <c r="L10" s="33" t="n">
        <v>57281.9361</v>
      </c>
      <c r="M10" s="34" t="n">
        <v>167247.8872</v>
      </c>
      <c r="N10" s="34" t="n">
        <v>167247.89</v>
      </c>
      <c r="O10" s="34" t="n">
        <v>167247.8872</v>
      </c>
      <c r="P10" s="34" t="n">
        <v>167247.89</v>
      </c>
      <c r="Q10" s="26" t="inlineStr">
        <is>
          <t>SOBRE PEDIDO (EXP)</t>
        </is>
      </c>
    </row>
    <row r="11" ht="19" customHeight="1">
      <c r="A11" s="18" t="inlineStr">
        <is>
          <t>SSEG0005</t>
        </is>
      </c>
      <c r="B11" s="19" t="inlineStr">
        <is>
          <t>SSEG0005EG</t>
        </is>
      </c>
      <c r="C11" s="20" t="inlineStr">
        <is>
          <t>SALWAX CALCIO EGIPTO, 5 KG</t>
        </is>
      </c>
      <c r="D11" s="21" t="n">
        <v>5</v>
      </c>
      <c r="E11" s="20" t="inlineStr">
        <is>
          <t>Bolsas 5 Kg</t>
        </is>
      </c>
      <c r="F11" s="22" t="inlineStr">
        <is>
          <t>EGIPTO</t>
        </is>
      </c>
      <c r="G11" s="23" t="inlineStr">
        <is>
          <t>Sobre Pedido (Export)</t>
        </is>
      </c>
      <c r="H11" s="24" t="n">
        <v>0</v>
      </c>
      <c r="I11" s="24" t="n">
        <v>29000</v>
      </c>
      <c r="J11" s="24" t="n">
        <v>18455.55</v>
      </c>
      <c r="K11" s="24" t="n">
        <v>22010.5299</v>
      </c>
      <c r="L11" s="24" t="n">
        <v>0</v>
      </c>
      <c r="M11" s="25" t="n">
        <v>69466.0799</v>
      </c>
      <c r="N11" s="25" t="n">
        <v>69466.08</v>
      </c>
      <c r="O11" s="25" t="n">
        <v>69466.0799</v>
      </c>
      <c r="P11" s="25" t="n">
        <v>69466.08</v>
      </c>
      <c r="Q11" s="26" t="inlineStr">
        <is>
          <t>SOBRE PEDIDO (EXP)</t>
        </is>
      </c>
    </row>
    <row r="12" ht="19" customHeight="1">
      <c r="A12" s="27" t="inlineStr">
        <is>
          <t>AN0020</t>
        </is>
      </c>
      <c r="B12" s="28" t="inlineStr">
        <is>
          <t>AN0020CR</t>
        </is>
      </c>
      <c r="C12" s="29" t="inlineStr">
        <is>
          <t>ALCAPLANT NEW, 20 KG</t>
        </is>
      </c>
      <c r="D12" s="30" t="n">
        <v>20</v>
      </c>
      <c r="E12" s="29" t="inlineStr">
        <is>
          <t>Bolsas 20 Kg</t>
        </is>
      </c>
      <c r="F12" s="31" t="inlineStr">
        <is>
          <t>COSTA RICA</t>
        </is>
      </c>
      <c r="G12" s="32" t="inlineStr">
        <is>
          <t>Sobre Pedido (Export)</t>
        </is>
      </c>
      <c r="H12" s="33" t="n">
        <v>0</v>
      </c>
      <c r="I12" s="33" t="n">
        <v>22000</v>
      </c>
      <c r="J12" s="33" t="n">
        <v>10197.5</v>
      </c>
      <c r="K12" s="33" t="n">
        <v>16141.0553</v>
      </c>
      <c r="L12" s="33" t="n">
        <v>0</v>
      </c>
      <c r="M12" s="34" t="n">
        <v>48338.5553</v>
      </c>
      <c r="N12" s="34" t="n">
        <v>48338.56</v>
      </c>
      <c r="O12" s="34" t="n">
        <v>48338.5553</v>
      </c>
      <c r="P12" s="34" t="n">
        <v>48338.56</v>
      </c>
      <c r="Q12" s="26" t="inlineStr">
        <is>
          <t>SOBRE PEDIDO (EXP)</t>
        </is>
      </c>
    </row>
    <row r="13" ht="19" customHeight="1">
      <c r="A13" s="18" t="inlineStr">
        <is>
          <t>AGXK0020</t>
        </is>
      </c>
      <c r="B13" s="22" t="inlineStr">
        <is>
          <t>AGXK0020</t>
        </is>
      </c>
      <c r="C13" s="20" t="inlineStr">
        <is>
          <t>AGROXILATO-K, 20 L</t>
        </is>
      </c>
      <c r="D13" s="21" t="n">
        <v>20</v>
      </c>
      <c r="E13" s="20" t="inlineStr">
        <is>
          <t>Garrafas 20L</t>
        </is>
      </c>
      <c r="F13" s="22" t="inlineStr">
        <is>
          <t>ESPAÑA</t>
        </is>
      </c>
      <c r="G13" s="22" t="inlineStr">
        <is>
          <t>Para Previsión (Nac)</t>
        </is>
      </c>
      <c r="H13" s="24" t="n">
        <v>14300</v>
      </c>
      <c r="I13" s="24" t="n">
        <v>0</v>
      </c>
      <c r="J13" s="24" t="n">
        <v>17096.25</v>
      </c>
      <c r="K13" s="24" t="n">
        <v>18069.5969</v>
      </c>
      <c r="L13" s="24" t="n">
        <v>14563.4983</v>
      </c>
      <c r="M13" s="25" t="n">
        <v>49729.3452</v>
      </c>
      <c r="N13" s="25" t="n">
        <v>49729.35</v>
      </c>
      <c r="O13" s="25" t="n">
        <v>35429.3452</v>
      </c>
      <c r="P13" s="25" t="n">
        <v>35429.35</v>
      </c>
      <c r="Q13" s="26" t="inlineStr">
        <is>
          <t>FABRICACIÓN URGENTE</t>
        </is>
      </c>
    </row>
    <row r="14" ht="19" customHeight="1">
      <c r="A14" s="27" t="inlineStr">
        <is>
          <t>S1000</t>
        </is>
      </c>
      <c r="B14" s="31" t="inlineStr">
        <is>
          <t>S1000</t>
        </is>
      </c>
      <c r="C14" s="29" t="inlineStr">
        <is>
          <t>SAL-WAX STAR, 1000 L</t>
        </is>
      </c>
      <c r="D14" s="30" t="n">
        <v>1000</v>
      </c>
      <c r="E14" s="29" t="inlineStr">
        <is>
          <t>Depósito 1000 L</t>
        </is>
      </c>
      <c r="F14" s="31" t="inlineStr">
        <is>
          <t>ESPAÑA</t>
        </is>
      </c>
      <c r="G14" s="31" t="inlineStr">
        <is>
          <t>Para Previsión (Nac)</t>
        </is>
      </c>
      <c r="H14" s="33" t="n">
        <v>5000</v>
      </c>
      <c r="I14" s="33" t="n">
        <v>0</v>
      </c>
      <c r="J14" s="33" t="n">
        <v>17372.82</v>
      </c>
      <c r="K14" s="33" t="n">
        <v>20962.4094</v>
      </c>
      <c r="L14" s="33" t="n">
        <v>0</v>
      </c>
      <c r="M14" s="34" t="n">
        <v>38335.2294</v>
      </c>
      <c r="N14" s="34" t="n">
        <v>38335.23</v>
      </c>
      <c r="O14" s="34" t="n">
        <v>33335.2294</v>
      </c>
      <c r="P14" s="34" t="n">
        <v>33335.23</v>
      </c>
      <c r="Q14" s="26" t="inlineStr">
        <is>
          <t>FABRICACIÓN URGENTE</t>
        </is>
      </c>
    </row>
    <row r="15" ht="19" customHeight="1">
      <c r="A15" s="18" t="inlineStr">
        <is>
          <t>AGXK0020</t>
        </is>
      </c>
      <c r="B15" s="19" t="inlineStr">
        <is>
          <t>AGXK0020MX</t>
        </is>
      </c>
      <c r="C15" s="20" t="inlineStr">
        <is>
          <t>AGROXILATO-K, 20 L</t>
        </is>
      </c>
      <c r="D15" s="21" t="n">
        <v>20</v>
      </c>
      <c r="E15" s="20" t="inlineStr">
        <is>
          <t>Garrafas 20L</t>
        </is>
      </c>
      <c r="F15" s="22" t="inlineStr">
        <is>
          <t>NETHERLANS</t>
        </is>
      </c>
      <c r="G15" s="23" t="inlineStr">
        <is>
          <t>Sobre Pedido (Export)</t>
        </is>
      </c>
      <c r="H15" s="24" t="n">
        <v>0</v>
      </c>
      <c r="I15" s="24" t="n">
        <v>0</v>
      </c>
      <c r="J15" s="24" t="n">
        <v>8899.639999999999</v>
      </c>
      <c r="K15" s="24" t="n">
        <v>17608.4239</v>
      </c>
      <c r="L15" s="24" t="n">
        <v>0</v>
      </c>
      <c r="M15" s="25" t="n">
        <v>26508.0639</v>
      </c>
      <c r="N15" s="25" t="n">
        <v>26508.06</v>
      </c>
      <c r="O15" s="25" t="n">
        <v>26508.0639</v>
      </c>
      <c r="P15" s="25" t="n">
        <v>26508.06</v>
      </c>
      <c r="Q15" s="26" t="inlineStr">
        <is>
          <t>SOBRE PEDIDO (EXP)</t>
        </is>
      </c>
    </row>
    <row r="16" ht="19" customHeight="1">
      <c r="A16" s="27" t="inlineStr">
        <is>
          <t>BIO0020</t>
        </is>
      </c>
      <c r="B16" s="28" t="inlineStr">
        <is>
          <t>BIO0020GE</t>
        </is>
      </c>
      <c r="C16" s="29" t="inlineStr">
        <is>
          <t>BIORAD-20, 20 L</t>
        </is>
      </c>
      <c r="D16" s="30" t="n">
        <v>20</v>
      </c>
      <c r="E16" s="29" t="inlineStr">
        <is>
          <t>Garrafas 20L</t>
        </is>
      </c>
      <c r="F16" s="31" t="inlineStr">
        <is>
          <t>GEORGIA</t>
        </is>
      </c>
      <c r="G16" s="32" t="inlineStr">
        <is>
          <t>Sobre Pedido (Export)</t>
        </is>
      </c>
      <c r="H16" s="33" t="n">
        <v>0</v>
      </c>
      <c r="I16" s="33" t="n">
        <v>0</v>
      </c>
      <c r="J16" s="33" t="n">
        <v>0</v>
      </c>
      <c r="K16" s="33" t="n">
        <v>0</v>
      </c>
      <c r="L16" s="33" t="n">
        <v>26037.2437</v>
      </c>
      <c r="M16" s="34" t="n">
        <v>26037.2437</v>
      </c>
      <c r="N16" s="34" t="n">
        <v>26037.24</v>
      </c>
      <c r="O16" s="34" t="n">
        <v>26037.2437</v>
      </c>
      <c r="P16" s="34" t="n">
        <v>26037.24</v>
      </c>
      <c r="Q16" s="26" t="inlineStr">
        <is>
          <t>SOBRE PEDIDO (EXP)</t>
        </is>
      </c>
    </row>
    <row r="17" ht="19" customHeight="1">
      <c r="A17" s="18" t="inlineStr">
        <is>
          <t>SPCE2B0001</t>
        </is>
      </c>
      <c r="B17" s="19" t="inlineStr">
        <is>
          <t>SPCE2B0001EG</t>
        </is>
      </c>
      <c r="C17" s="20" t="inlineStr">
        <is>
          <t>SPRINTENE CON BORO, 1 L</t>
        </is>
      </c>
      <c r="D17" s="21" t="n">
        <v>1</v>
      </c>
      <c r="E17" s="20" t="inlineStr">
        <is>
          <t>Botellas 1L</t>
        </is>
      </c>
      <c r="F17" s="22" t="inlineStr">
        <is>
          <t>EGIPTO</t>
        </is>
      </c>
      <c r="G17" s="23" t="inlineStr">
        <is>
          <t>Sobre Pedido (Export)</t>
        </is>
      </c>
      <c r="H17" s="24" t="n">
        <v>162</v>
      </c>
      <c r="I17" s="24" t="n">
        <v>10296</v>
      </c>
      <c r="J17" s="24" t="n">
        <v>4394.18</v>
      </c>
      <c r="K17" s="24" t="n">
        <v>10481.2047</v>
      </c>
      <c r="L17" s="24" t="n">
        <v>0</v>
      </c>
      <c r="M17" s="25" t="n">
        <v>25171.3847</v>
      </c>
      <c r="N17" s="25" t="n">
        <v>25171.38</v>
      </c>
      <c r="O17" s="25" t="n">
        <v>25009.3847</v>
      </c>
      <c r="P17" s="25" t="n">
        <v>25009.38</v>
      </c>
      <c r="Q17" s="26" t="inlineStr">
        <is>
          <t>SOBRE PEDIDO (EXP)</t>
        </is>
      </c>
    </row>
    <row r="18" ht="19" customHeight="1">
      <c r="A18" s="27" t="inlineStr">
        <is>
          <t>SSEG0005</t>
        </is>
      </c>
      <c r="B18" s="31" t="inlineStr">
        <is>
          <t>SSEG0005</t>
        </is>
      </c>
      <c r="C18" s="29" t="inlineStr">
        <is>
          <t>SALWAX CALCIO EGIPTO, 5 KG</t>
        </is>
      </c>
      <c r="D18" s="30" t="n">
        <v>5</v>
      </c>
      <c r="E18" s="29" t="inlineStr">
        <is>
          <t>Bolsas 5 Kg</t>
        </is>
      </c>
      <c r="F18" s="31" t="inlineStr">
        <is>
          <t>ESPAÑA</t>
        </is>
      </c>
      <c r="G18" s="31" t="inlineStr">
        <is>
          <t>Para Previsión (Nac)</t>
        </is>
      </c>
      <c r="H18" s="33" t="n">
        <v>0</v>
      </c>
      <c r="I18" s="33" t="n">
        <v>21000</v>
      </c>
      <c r="J18" s="33" t="n">
        <v>0</v>
      </c>
      <c r="K18" s="33" t="n">
        <v>0</v>
      </c>
      <c r="L18" s="33" t="n">
        <v>0</v>
      </c>
      <c r="M18" s="34" t="n">
        <v>21000</v>
      </c>
      <c r="N18" s="34" t="n">
        <v>21000</v>
      </c>
      <c r="O18" s="34" t="n">
        <v>21000</v>
      </c>
      <c r="P18" s="34" t="n">
        <v>21000</v>
      </c>
      <c r="Q18" s="26" t="inlineStr">
        <is>
          <t>FABRICACIÓN URGENTE</t>
        </is>
      </c>
    </row>
    <row r="19" ht="19" customHeight="1">
      <c r="A19" s="18" t="inlineStr">
        <is>
          <t>AN1000</t>
        </is>
      </c>
      <c r="B19" s="19" t="inlineStr">
        <is>
          <t>AN1000EG</t>
        </is>
      </c>
      <c r="C19" s="20" t="inlineStr">
        <is>
          <t>ALCAPLANT-NEW</t>
        </is>
      </c>
      <c r="D19" s="21" t="n">
        <v>1000</v>
      </c>
      <c r="E19" s="20" t="inlineStr">
        <is>
          <t>Big Bag 1000 Kg</t>
        </is>
      </c>
      <c r="F19" s="22" t="inlineStr">
        <is>
          <t>EGIPTO</t>
        </is>
      </c>
      <c r="G19" s="23" t="inlineStr">
        <is>
          <t>Sobre Pedido (Export)</t>
        </is>
      </c>
      <c r="H19" s="24" t="n">
        <v>0</v>
      </c>
      <c r="I19" s="24" t="n">
        <v>0</v>
      </c>
      <c r="J19" s="24" t="n">
        <v>0</v>
      </c>
      <c r="K19" s="24" t="n">
        <v>20962.4094</v>
      </c>
      <c r="L19" s="24" t="n">
        <v>0</v>
      </c>
      <c r="M19" s="25" t="n">
        <v>20962.4094</v>
      </c>
      <c r="N19" s="25" t="n">
        <v>20962.41</v>
      </c>
      <c r="O19" s="25" t="n">
        <v>20962.4094</v>
      </c>
      <c r="P19" s="25" t="n">
        <v>20962.41</v>
      </c>
      <c r="Q19" s="26" t="inlineStr">
        <is>
          <t>SOBRE PEDIDO (EXP)</t>
        </is>
      </c>
    </row>
    <row r="20" ht="19" customHeight="1">
      <c r="A20" s="27" t="inlineStr">
        <is>
          <t>AGXK0005</t>
        </is>
      </c>
      <c r="B20" s="28" t="inlineStr">
        <is>
          <t>AGXK0005EG</t>
        </is>
      </c>
      <c r="C20" s="29" t="inlineStr">
        <is>
          <t>AGROXILATO-K, 5 L</t>
        </is>
      </c>
      <c r="D20" s="30" t="n">
        <v>5</v>
      </c>
      <c r="E20" s="29" t="inlineStr">
        <is>
          <t>Garrafas 5L</t>
        </is>
      </c>
      <c r="F20" s="31" t="inlineStr">
        <is>
          <t>EGIPTO</t>
        </is>
      </c>
      <c r="G20" s="32" t="inlineStr">
        <is>
          <t>Sobre Pedido (Export)</t>
        </is>
      </c>
      <c r="H20" s="33" t="n">
        <v>0</v>
      </c>
      <c r="I20" s="33" t="n">
        <v>16800</v>
      </c>
      <c r="J20" s="33" t="n">
        <v>0</v>
      </c>
      <c r="K20" s="33" t="n">
        <v>0</v>
      </c>
      <c r="L20" s="33" t="n">
        <v>0</v>
      </c>
      <c r="M20" s="34" t="n">
        <v>16800</v>
      </c>
      <c r="N20" s="34" t="n">
        <v>16800</v>
      </c>
      <c r="O20" s="34" t="n">
        <v>16800</v>
      </c>
      <c r="P20" s="34" t="n">
        <v>16800</v>
      </c>
      <c r="Q20" s="26" t="inlineStr">
        <is>
          <t>SOBRE PEDIDO (EXP)</t>
        </is>
      </c>
    </row>
    <row r="21" ht="19" customHeight="1">
      <c r="A21" s="18" t="inlineStr">
        <is>
          <t>AGXK1000</t>
        </is>
      </c>
      <c r="B21" s="22" t="inlineStr">
        <is>
          <t>AGXK1000</t>
        </is>
      </c>
      <c r="C21" s="20" t="inlineStr">
        <is>
          <t>AGROXILATO-K, 1000 L</t>
        </is>
      </c>
      <c r="D21" s="21" t="n">
        <v>1000</v>
      </c>
      <c r="E21" s="20" t="inlineStr">
        <is>
          <t>Depósito 1000 L</t>
        </is>
      </c>
      <c r="F21" s="22" t="inlineStr">
        <is>
          <t>ESPAÑA</t>
        </is>
      </c>
      <c r="G21" s="22" t="inlineStr">
        <is>
          <t>Para Previsión (Nac)</t>
        </is>
      </c>
      <c r="H21" s="24" t="n">
        <v>0</v>
      </c>
      <c r="I21" s="24" t="n">
        <v>0</v>
      </c>
      <c r="J21" s="24" t="n">
        <v>3708.18</v>
      </c>
      <c r="K21" s="24" t="n">
        <v>8384.9637</v>
      </c>
      <c r="L21" s="24" t="n">
        <v>4339.5406</v>
      </c>
      <c r="M21" s="25" t="n">
        <v>16432.6843</v>
      </c>
      <c r="N21" s="25" t="n">
        <v>16432.68</v>
      </c>
      <c r="O21" s="25" t="n">
        <v>16432.6843</v>
      </c>
      <c r="P21" s="25" t="n">
        <v>16432.68</v>
      </c>
      <c r="Q21" s="26" t="inlineStr">
        <is>
          <t>FABRICACIÓN URGENTE</t>
        </is>
      </c>
    </row>
    <row r="22" ht="19" customHeight="1">
      <c r="A22" s="27" t="inlineStr">
        <is>
          <t>AN0005</t>
        </is>
      </c>
      <c r="B22" s="28" t="inlineStr">
        <is>
          <t>AN0005CR</t>
        </is>
      </c>
      <c r="C22" s="29" t="inlineStr">
        <is>
          <t>ALCAPLANT NEW, 5 KG</t>
        </is>
      </c>
      <c r="D22" s="30" t="n">
        <v>5</v>
      </c>
      <c r="E22" s="29" t="inlineStr">
        <is>
          <t>Bolsas 5 Kg</t>
        </is>
      </c>
      <c r="F22" s="31" t="inlineStr">
        <is>
          <t>COSTA RICA</t>
        </is>
      </c>
      <c r="G22" s="32" t="inlineStr">
        <is>
          <t>Sobre Pedido (Export)</t>
        </is>
      </c>
      <c r="H22" s="33" t="n">
        <v>0</v>
      </c>
      <c r="I22" s="33" t="n">
        <v>0</v>
      </c>
      <c r="J22" s="33" t="n">
        <v>10197.5</v>
      </c>
      <c r="K22" s="33" t="n">
        <v>0</v>
      </c>
      <c r="L22" s="33" t="n">
        <v>6075.3569</v>
      </c>
      <c r="M22" s="34" t="n">
        <v>16272.8569</v>
      </c>
      <c r="N22" s="34" t="n">
        <v>16272.86</v>
      </c>
      <c r="O22" s="34" t="n">
        <v>16272.8569</v>
      </c>
      <c r="P22" s="34" t="n">
        <v>16272.86</v>
      </c>
      <c r="Q22" s="26" t="inlineStr">
        <is>
          <t>SOBRE PEDIDO (EXP)</t>
        </is>
      </c>
    </row>
    <row r="23" ht="19" customHeight="1">
      <c r="A23" s="18" t="inlineStr">
        <is>
          <t>AGXK0020</t>
        </is>
      </c>
      <c r="B23" s="19" t="inlineStr">
        <is>
          <t>AGXK0020MA</t>
        </is>
      </c>
      <c r="C23" s="20" t="inlineStr">
        <is>
          <t>AGROXILATO-K, 20 L</t>
        </is>
      </c>
      <c r="D23" s="21" t="n">
        <v>20</v>
      </c>
      <c r="E23" s="20" t="inlineStr">
        <is>
          <t>Garrafas 20L</t>
        </is>
      </c>
      <c r="F23" s="22" t="inlineStr">
        <is>
          <t>MARRUECOS</t>
        </is>
      </c>
      <c r="G23" s="23" t="inlineStr">
        <is>
          <t>Sobre Pedido (Export)</t>
        </is>
      </c>
      <c r="H23" s="24" t="n">
        <v>0</v>
      </c>
      <c r="I23" s="24" t="n">
        <v>7000</v>
      </c>
      <c r="J23" s="24" t="n">
        <v>4394.18</v>
      </c>
      <c r="K23" s="24" t="n">
        <v>0</v>
      </c>
      <c r="L23" s="24" t="n">
        <v>4339.5406</v>
      </c>
      <c r="M23" s="25" t="n">
        <v>15733.7206</v>
      </c>
      <c r="N23" s="25" t="n">
        <v>15733.72</v>
      </c>
      <c r="O23" s="25" t="n">
        <v>15733.7206</v>
      </c>
      <c r="P23" s="25" t="n">
        <v>15733.72</v>
      </c>
      <c r="Q23" s="26" t="inlineStr">
        <is>
          <t>SOBRE PEDIDO (EXP)</t>
        </is>
      </c>
    </row>
    <row r="24" ht="19" customHeight="1">
      <c r="A24" s="27" t="inlineStr">
        <is>
          <t>AGXCR1000</t>
        </is>
      </c>
      <c r="B24" s="28" t="inlineStr">
        <is>
          <t>AGXCR1000CR</t>
        </is>
      </c>
      <c r="C24" s="29" t="inlineStr">
        <is>
          <t>AGROXILATO-K</t>
        </is>
      </c>
      <c r="D24" s="30" t="n">
        <v>1000</v>
      </c>
      <c r="E24" s="29" t="inlineStr">
        <is>
          <t>Depósito 1000 L</t>
        </is>
      </c>
      <c r="F24" s="31" t="inlineStr">
        <is>
          <t>COSTA RICA</t>
        </is>
      </c>
      <c r="G24" s="32" t="inlineStr">
        <is>
          <t>Sobre Pedido (Export)</t>
        </is>
      </c>
      <c r="H24" s="33" t="n">
        <v>0</v>
      </c>
      <c r="I24" s="33" t="n">
        <v>4000</v>
      </c>
      <c r="J24" s="33" t="n">
        <v>3708.18</v>
      </c>
      <c r="K24" s="33" t="n">
        <v>4192.4819</v>
      </c>
      <c r="L24" s="33" t="n">
        <v>3471.6325</v>
      </c>
      <c r="M24" s="34" t="n">
        <v>15372.2944</v>
      </c>
      <c r="N24" s="34" t="n">
        <v>15372.29</v>
      </c>
      <c r="O24" s="34" t="n">
        <v>15372.2944</v>
      </c>
      <c r="P24" s="34" t="n">
        <v>15372.29</v>
      </c>
      <c r="Q24" s="26" t="inlineStr">
        <is>
          <t>SOBRE PEDIDO (EXP)</t>
        </is>
      </c>
    </row>
    <row r="25" ht="19" customHeight="1">
      <c r="A25" s="18" t="inlineStr">
        <is>
          <t>AN0020</t>
        </is>
      </c>
      <c r="B25" s="19" t="inlineStr">
        <is>
          <t>AN0020EC</t>
        </is>
      </c>
      <c r="C25" s="20" t="inlineStr">
        <is>
          <t>ALCAPLANT NEW, 20 KG</t>
        </is>
      </c>
      <c r="D25" s="21" t="n">
        <v>20</v>
      </c>
      <c r="E25" s="20" t="inlineStr">
        <is>
          <t>Bolsas 20 Kg</t>
        </is>
      </c>
      <c r="F25" s="22" t="inlineStr">
        <is>
          <t>ECUADOR (INCLUIDAS LAS ISLAS GALÁPAGOS)</t>
        </is>
      </c>
      <c r="G25" s="23" t="inlineStr">
        <is>
          <t>Sobre Pedido (Export)</t>
        </is>
      </c>
      <c r="H25" s="24" t="n">
        <v>0</v>
      </c>
      <c r="I25" s="24" t="n">
        <v>4400</v>
      </c>
      <c r="J25" s="24" t="n">
        <v>9270.450000000001</v>
      </c>
      <c r="K25" s="24" t="n">
        <v>0</v>
      </c>
      <c r="L25" s="24" t="n">
        <v>0</v>
      </c>
      <c r="M25" s="25" t="n">
        <v>13670.45</v>
      </c>
      <c r="N25" s="25" t="n">
        <v>13670.45</v>
      </c>
      <c r="O25" s="25" t="n">
        <v>13670.45</v>
      </c>
      <c r="P25" s="25" t="n">
        <v>13670.45</v>
      </c>
      <c r="Q25" s="26" t="inlineStr">
        <is>
          <t>SOBRE PEDIDO (EXP)</t>
        </is>
      </c>
    </row>
    <row r="26" ht="19" customHeight="1">
      <c r="A26" s="27" t="inlineStr">
        <is>
          <t>AN0005</t>
        </is>
      </c>
      <c r="B26" s="28" t="inlineStr">
        <is>
          <t>AN0005TR</t>
        </is>
      </c>
      <c r="C26" s="29" t="inlineStr">
        <is>
          <t>ALCAPLANT NEW, 5 KG</t>
        </is>
      </c>
      <c r="D26" s="30" t="n">
        <v>5</v>
      </c>
      <c r="E26" s="29" t="inlineStr">
        <is>
          <t>Bolsas 5 Kg</t>
        </is>
      </c>
      <c r="F26" s="31" t="inlineStr">
        <is>
          <t>TURQUÍA</t>
        </is>
      </c>
      <c r="G26" s="32" t="inlineStr">
        <is>
          <t>Sobre Pedido (Export)</t>
        </is>
      </c>
      <c r="H26" s="33" t="n">
        <v>0</v>
      </c>
      <c r="I26" s="33" t="n">
        <v>0</v>
      </c>
      <c r="J26" s="33" t="n">
        <v>0</v>
      </c>
      <c r="K26" s="33" t="n">
        <v>0</v>
      </c>
      <c r="L26" s="33" t="n">
        <v>13018.6218</v>
      </c>
      <c r="M26" s="34" t="n">
        <v>13018.6218</v>
      </c>
      <c r="N26" s="34" t="n">
        <v>13018.62</v>
      </c>
      <c r="O26" s="34" t="n">
        <v>13018.6218</v>
      </c>
      <c r="P26" s="34" t="n">
        <v>13018.62</v>
      </c>
      <c r="Q26" s="26" t="inlineStr">
        <is>
          <t>SOBRE PEDIDO (EXP)</t>
        </is>
      </c>
    </row>
    <row r="27" ht="19" customHeight="1">
      <c r="A27" s="18" t="inlineStr">
        <is>
          <t>BIO1000</t>
        </is>
      </c>
      <c r="B27" s="19" t="inlineStr">
        <is>
          <t>BIO1000TR</t>
        </is>
      </c>
      <c r="C27" s="20" t="inlineStr">
        <is>
          <t>BIORAD-20, 1000 L</t>
        </is>
      </c>
      <c r="D27" s="21" t="n">
        <v>1000</v>
      </c>
      <c r="E27" s="20" t="inlineStr">
        <is>
          <t>Depósito 1000 L</t>
        </is>
      </c>
      <c r="F27" s="22" t="inlineStr">
        <is>
          <t>TURQUÍA</t>
        </is>
      </c>
      <c r="G27" s="23" t="inlineStr">
        <is>
          <t>Sobre Pedido (Export)</t>
        </is>
      </c>
      <c r="H27" s="24" t="n">
        <v>0</v>
      </c>
      <c r="I27" s="24" t="n">
        <v>11000</v>
      </c>
      <c r="J27" s="24" t="n">
        <v>0</v>
      </c>
      <c r="K27" s="24" t="n">
        <v>0</v>
      </c>
      <c r="L27" s="24" t="n">
        <v>0</v>
      </c>
      <c r="M27" s="25" t="n">
        <v>11000</v>
      </c>
      <c r="N27" s="25" t="n">
        <v>11000</v>
      </c>
      <c r="O27" s="25" t="n">
        <v>11000</v>
      </c>
      <c r="P27" s="25" t="n">
        <v>11000</v>
      </c>
      <c r="Q27" s="26" t="inlineStr">
        <is>
          <t>SOBRE PEDIDO (EXP)</t>
        </is>
      </c>
    </row>
    <row r="28" ht="19" customHeight="1">
      <c r="A28" s="27" t="inlineStr">
        <is>
          <t>SSEG0020</t>
        </is>
      </c>
      <c r="B28" s="28" t="inlineStr">
        <is>
          <t>SSEG0020EG</t>
        </is>
      </c>
      <c r="C28" s="29" t="inlineStr">
        <is>
          <t>SAL-WAX Ca</t>
        </is>
      </c>
      <c r="D28" s="30" t="n">
        <v>20</v>
      </c>
      <c r="E28" s="29" t="inlineStr">
        <is>
          <t>Bolsas 20 Kg</t>
        </is>
      </c>
      <c r="F28" s="31" t="inlineStr">
        <is>
          <t>EGIPTO</t>
        </is>
      </c>
      <c r="G28" s="32" t="inlineStr">
        <is>
          <t>Sobre Pedido (Export)</t>
        </is>
      </c>
      <c r="H28" s="33" t="n">
        <v>0</v>
      </c>
      <c r="I28" s="33" t="n">
        <v>0</v>
      </c>
      <c r="J28" s="33" t="n">
        <v>0</v>
      </c>
      <c r="K28" s="33" t="n">
        <v>10481.2047</v>
      </c>
      <c r="L28" s="33" t="n">
        <v>0</v>
      </c>
      <c r="M28" s="34" t="n">
        <v>10481.2047</v>
      </c>
      <c r="N28" s="34" t="n">
        <v>10481.2</v>
      </c>
      <c r="O28" s="34" t="n">
        <v>10481.2047</v>
      </c>
      <c r="P28" s="34" t="n">
        <v>10481.2</v>
      </c>
      <c r="Q28" s="26" t="inlineStr">
        <is>
          <t>SOBRE PEDIDO (EXP)</t>
        </is>
      </c>
    </row>
    <row r="29" ht="19" customHeight="1">
      <c r="A29" s="18" t="inlineStr">
        <is>
          <t>BIO0020</t>
        </is>
      </c>
      <c r="B29" s="19" t="inlineStr">
        <is>
          <t>BIO0020TR</t>
        </is>
      </c>
      <c r="C29" s="20" t="inlineStr">
        <is>
          <t>BIORAD-20, 20 L</t>
        </is>
      </c>
      <c r="D29" s="21" t="n">
        <v>20</v>
      </c>
      <c r="E29" s="20" t="inlineStr">
        <is>
          <t>Garrafas 20L</t>
        </is>
      </c>
      <c r="F29" s="22" t="inlineStr">
        <is>
          <t>TURQUÍA</t>
        </is>
      </c>
      <c r="G29" s="23" t="inlineStr">
        <is>
          <t>Sobre Pedido (Export)</t>
        </is>
      </c>
      <c r="H29" s="24" t="n">
        <v>0</v>
      </c>
      <c r="I29" s="24" t="n">
        <v>10060</v>
      </c>
      <c r="J29" s="24" t="n">
        <v>0</v>
      </c>
      <c r="K29" s="24" t="n">
        <v>0</v>
      </c>
      <c r="L29" s="24" t="n">
        <v>0</v>
      </c>
      <c r="M29" s="25" t="n">
        <v>10060</v>
      </c>
      <c r="N29" s="25" t="n">
        <v>10060</v>
      </c>
      <c r="O29" s="25" t="n">
        <v>10060</v>
      </c>
      <c r="P29" s="25" t="n">
        <v>10060</v>
      </c>
      <c r="Q29" s="26" t="inlineStr">
        <is>
          <t>SOBRE PEDIDO (EXP)</t>
        </is>
      </c>
    </row>
    <row r="30" ht="19" customHeight="1">
      <c r="A30" s="27" t="inlineStr">
        <is>
          <t>AN0005</t>
        </is>
      </c>
      <c r="B30" s="28" t="inlineStr">
        <is>
          <t>AN0005CO</t>
        </is>
      </c>
      <c r="C30" s="29" t="inlineStr">
        <is>
          <t>ALCAPLANT NEW, 5 KG</t>
        </is>
      </c>
      <c r="D30" s="30" t="n">
        <v>5</v>
      </c>
      <c r="E30" s="29" t="inlineStr">
        <is>
          <t>Bolsas 5 Kg</t>
        </is>
      </c>
      <c r="F30" s="31" t="inlineStr">
        <is>
          <t>COLOMBIA</t>
        </is>
      </c>
      <c r="G30" s="32" t="inlineStr">
        <is>
          <t>Sobre Pedido (Export)</t>
        </is>
      </c>
      <c r="H30" s="33" t="n">
        <v>0</v>
      </c>
      <c r="I30" s="33" t="n">
        <v>0</v>
      </c>
      <c r="J30" s="33" t="n">
        <v>0</v>
      </c>
      <c r="K30" s="33" t="n">
        <v>0</v>
      </c>
      <c r="L30" s="33" t="n">
        <v>9546.989299999999</v>
      </c>
      <c r="M30" s="34" t="n">
        <v>9546.989299999999</v>
      </c>
      <c r="N30" s="34" t="n">
        <v>9546.99</v>
      </c>
      <c r="O30" s="34" t="n">
        <v>9546.989299999999</v>
      </c>
      <c r="P30" s="34" t="n">
        <v>9546.99</v>
      </c>
      <c r="Q30" s="26" t="inlineStr">
        <is>
          <t>SOBRE PEDIDO (EXP)</t>
        </is>
      </c>
    </row>
    <row r="31" ht="19" customHeight="1">
      <c r="A31" s="18" t="inlineStr">
        <is>
          <t>BIO0020</t>
        </is>
      </c>
      <c r="B31" s="19" t="inlineStr">
        <is>
          <t>BIO0020DO</t>
        </is>
      </c>
      <c r="C31" s="20" t="inlineStr">
        <is>
          <t>BIORAD-20, 20 L</t>
        </is>
      </c>
      <c r="D31" s="21" t="n">
        <v>20</v>
      </c>
      <c r="E31" s="20" t="inlineStr">
        <is>
          <t>Garrafas 20L</t>
        </is>
      </c>
      <c r="F31" s="22" t="inlineStr">
        <is>
          <t>DOMINICANA, REPÚBLICA</t>
        </is>
      </c>
      <c r="G31" s="23" t="inlineStr">
        <is>
          <t>Sobre Pedido (Export)</t>
        </is>
      </c>
      <c r="H31" s="24" t="n">
        <v>0</v>
      </c>
      <c r="I31" s="24" t="n">
        <v>6400</v>
      </c>
      <c r="J31" s="24" t="n">
        <v>0</v>
      </c>
      <c r="K31" s="24" t="n">
        <v>2620.3012</v>
      </c>
      <c r="L31" s="24" t="n">
        <v>0</v>
      </c>
      <c r="M31" s="25" t="n">
        <v>9020.3012</v>
      </c>
      <c r="N31" s="25" t="n">
        <v>9020.299999999999</v>
      </c>
      <c r="O31" s="25" t="n">
        <v>9020.3012</v>
      </c>
      <c r="P31" s="25" t="n">
        <v>9020.299999999999</v>
      </c>
      <c r="Q31" s="26" t="inlineStr">
        <is>
          <t>SOBRE PEDIDO (EXP)</t>
        </is>
      </c>
    </row>
    <row r="32" ht="19" customHeight="1">
      <c r="A32" s="27" t="inlineStr">
        <is>
          <t>BIO0020</t>
        </is>
      </c>
      <c r="B32" s="28" t="inlineStr">
        <is>
          <t>BIO0020MA</t>
        </is>
      </c>
      <c r="C32" s="29" t="inlineStr">
        <is>
          <t>BIORAD-20, 20 L</t>
        </is>
      </c>
      <c r="D32" s="30" t="n">
        <v>20</v>
      </c>
      <c r="E32" s="29" t="inlineStr">
        <is>
          <t>Garrafas 20L</t>
        </is>
      </c>
      <c r="F32" s="31" t="inlineStr">
        <is>
          <t>MARRUECOS</t>
        </is>
      </c>
      <c r="G32" s="32" t="inlineStr">
        <is>
          <t>Sobre Pedido (Export)</t>
        </is>
      </c>
      <c r="H32" s="33" t="n">
        <v>0</v>
      </c>
      <c r="I32" s="33" t="n">
        <v>0</v>
      </c>
      <c r="J32" s="33" t="n">
        <v>4394.18</v>
      </c>
      <c r="K32" s="33" t="n">
        <v>0</v>
      </c>
      <c r="L32" s="33" t="n">
        <v>4339.5406</v>
      </c>
      <c r="M32" s="34" t="n">
        <v>8733.720600000001</v>
      </c>
      <c r="N32" s="34" t="n">
        <v>8733.719999999999</v>
      </c>
      <c r="O32" s="34" t="n">
        <v>8733.720600000001</v>
      </c>
      <c r="P32" s="34" t="n">
        <v>8733.719999999999</v>
      </c>
      <c r="Q32" s="26" t="inlineStr">
        <is>
          <t>SOBRE PEDIDO (EXP)</t>
        </is>
      </c>
    </row>
    <row r="33" ht="19" customHeight="1">
      <c r="A33" s="18" t="inlineStr">
        <is>
          <t>AGXK0200</t>
        </is>
      </c>
      <c r="B33" s="19" t="inlineStr">
        <is>
          <t>AGXK0200MA</t>
        </is>
      </c>
      <c r="C33" s="20" t="inlineStr">
        <is>
          <t>AGROXILATO-K, 200 L</t>
        </is>
      </c>
      <c r="D33" s="21" t="n">
        <v>200</v>
      </c>
      <c r="E33" s="20" t="inlineStr">
        <is>
          <t>Depósito 200 L</t>
        </is>
      </c>
      <c r="F33" s="22" t="inlineStr">
        <is>
          <t>MARRUECOS</t>
        </is>
      </c>
      <c r="G33" s="23" t="inlineStr">
        <is>
          <t>Sobre Pedido (Export)</t>
        </is>
      </c>
      <c r="H33" s="24" t="n">
        <v>0</v>
      </c>
      <c r="I33" s="24" t="n">
        <v>0</v>
      </c>
      <c r="J33" s="24" t="n">
        <v>4394.18</v>
      </c>
      <c r="K33" s="24" t="n">
        <v>0</v>
      </c>
      <c r="L33" s="24" t="n">
        <v>4339.5406</v>
      </c>
      <c r="M33" s="25" t="n">
        <v>8733.720600000001</v>
      </c>
      <c r="N33" s="25" t="n">
        <v>8733.719999999999</v>
      </c>
      <c r="O33" s="25" t="n">
        <v>8733.720600000001</v>
      </c>
      <c r="P33" s="25" t="n">
        <v>8733.719999999999</v>
      </c>
      <c r="Q33" s="26" t="inlineStr">
        <is>
          <t>SOBRE PEDIDO (EXP)</t>
        </is>
      </c>
    </row>
    <row r="34" ht="19" customHeight="1">
      <c r="A34" s="27" t="inlineStr">
        <is>
          <t>FTK0005</t>
        </is>
      </c>
      <c r="B34" s="28" t="inlineStr">
        <is>
          <t>FTK0005TR</t>
        </is>
      </c>
      <c r="C34" s="29" t="inlineStr">
        <is>
          <t>FITOKONTROL CA FLOW, 5 KG</t>
        </is>
      </c>
      <c r="D34" s="30" t="n">
        <v>5</v>
      </c>
      <c r="E34" s="29" t="inlineStr">
        <is>
          <t>Bolsas 5 Kg</t>
        </is>
      </c>
      <c r="F34" s="31" t="inlineStr">
        <is>
          <t>TURQUÍA</t>
        </is>
      </c>
      <c r="G34" s="32" t="inlineStr">
        <is>
          <t>Sobre Pedido (Export)</t>
        </is>
      </c>
      <c r="H34" s="33" t="n">
        <v>0</v>
      </c>
      <c r="I34" s="33" t="n">
        <v>0</v>
      </c>
      <c r="J34" s="33" t="n">
        <v>0</v>
      </c>
      <c r="K34" s="33" t="n">
        <v>0</v>
      </c>
      <c r="L34" s="33" t="n">
        <v>8679.081200000001</v>
      </c>
      <c r="M34" s="34" t="n">
        <v>8679.081200000001</v>
      </c>
      <c r="N34" s="34" t="n">
        <v>8679.08</v>
      </c>
      <c r="O34" s="34" t="n">
        <v>8679.081200000001</v>
      </c>
      <c r="P34" s="34" t="n">
        <v>8679.08</v>
      </c>
      <c r="Q34" s="26" t="inlineStr">
        <is>
          <t>SOBRE PEDIDO (EXP)</t>
        </is>
      </c>
    </row>
    <row r="35" ht="19" customHeight="1">
      <c r="A35" s="18" t="inlineStr">
        <is>
          <t>VITA0001</t>
        </is>
      </c>
      <c r="B35" s="19" t="inlineStr">
        <is>
          <t>VITA0001GR</t>
        </is>
      </c>
      <c r="C35" s="20" t="inlineStr">
        <is>
          <t>VITA-S</t>
        </is>
      </c>
      <c r="D35" s="21" t="n">
        <v>1</v>
      </c>
      <c r="E35" s="20" t="inlineStr">
        <is>
          <t>Botellas 1L</t>
        </is>
      </c>
      <c r="F35" s="22" t="inlineStr">
        <is>
          <t>GRECIA</t>
        </is>
      </c>
      <c r="G35" s="23" t="inlineStr">
        <is>
          <t>Sobre Pedido (Export)</t>
        </is>
      </c>
      <c r="H35" s="24" t="n">
        <v>0</v>
      </c>
      <c r="I35" s="24" t="n">
        <v>0</v>
      </c>
      <c r="J35" s="24" t="n">
        <v>0</v>
      </c>
      <c r="K35" s="24" t="n">
        <v>0</v>
      </c>
      <c r="L35" s="24" t="n">
        <v>8679.081200000001</v>
      </c>
      <c r="M35" s="25" t="n">
        <v>8679.081200000001</v>
      </c>
      <c r="N35" s="25" t="n">
        <v>8679.08</v>
      </c>
      <c r="O35" s="25" t="n">
        <v>8679.081200000001</v>
      </c>
      <c r="P35" s="25" t="n">
        <v>8679.08</v>
      </c>
      <c r="Q35" s="26" t="inlineStr">
        <is>
          <t>SOBRE PEDIDO (EXP)</t>
        </is>
      </c>
    </row>
    <row r="36" ht="19" customHeight="1">
      <c r="A36" s="27" t="inlineStr">
        <is>
          <t>VITA0005</t>
        </is>
      </c>
      <c r="B36" s="28" t="inlineStr">
        <is>
          <t>VITA0005GR</t>
        </is>
      </c>
      <c r="C36" s="29" t="inlineStr">
        <is>
          <t>VITA-S</t>
        </is>
      </c>
      <c r="D36" s="30" t="n">
        <v>5</v>
      </c>
      <c r="E36" s="29" t="inlineStr">
        <is>
          <t>Garrafas 5L</t>
        </is>
      </c>
      <c r="F36" s="31" t="inlineStr">
        <is>
          <t>GRECIA</t>
        </is>
      </c>
      <c r="G36" s="32" t="inlineStr">
        <is>
          <t>Sobre Pedido (Export)</t>
        </is>
      </c>
      <c r="H36" s="33" t="n">
        <v>0</v>
      </c>
      <c r="I36" s="33" t="n">
        <v>0</v>
      </c>
      <c r="J36" s="33" t="n">
        <v>0</v>
      </c>
      <c r="K36" s="33" t="n">
        <v>0</v>
      </c>
      <c r="L36" s="33" t="n">
        <v>8679.081200000001</v>
      </c>
      <c r="M36" s="34" t="n">
        <v>8679.081200000001</v>
      </c>
      <c r="N36" s="34" t="n">
        <v>8679.08</v>
      </c>
      <c r="O36" s="34" t="n">
        <v>8679.081200000001</v>
      </c>
      <c r="P36" s="34" t="n">
        <v>8679.08</v>
      </c>
      <c r="Q36" s="26" t="inlineStr">
        <is>
          <t>SOBRE PEDIDO (EXP)</t>
        </is>
      </c>
    </row>
    <row r="37" ht="19" customHeight="1">
      <c r="A37" s="18" t="inlineStr">
        <is>
          <t>AGXK0200</t>
        </is>
      </c>
      <c r="B37" s="22" t="inlineStr">
        <is>
          <t>AGXK0200</t>
        </is>
      </c>
      <c r="C37" s="20" t="inlineStr">
        <is>
          <t>AGROXILATO-K, 200 L</t>
        </is>
      </c>
      <c r="D37" s="21" t="n">
        <v>200</v>
      </c>
      <c r="E37" s="20" t="inlineStr">
        <is>
          <t>Depósito 200 L</t>
        </is>
      </c>
      <c r="F37" s="22" t="inlineStr">
        <is>
          <t>ESPAÑA</t>
        </is>
      </c>
      <c r="G37" s="22" t="inlineStr">
        <is>
          <t>Para Previsión (Nac)</t>
        </is>
      </c>
      <c r="H37" s="24" t="n">
        <v>0</v>
      </c>
      <c r="I37" s="24" t="n">
        <v>0</v>
      </c>
      <c r="J37" s="24" t="n">
        <v>2927.98</v>
      </c>
      <c r="K37" s="24" t="n">
        <v>2934.7374</v>
      </c>
      <c r="L37" s="24" t="n">
        <v>2603.7243</v>
      </c>
      <c r="M37" s="25" t="n">
        <v>8466.441699999999</v>
      </c>
      <c r="N37" s="25" t="n">
        <v>8466.440000000001</v>
      </c>
      <c r="O37" s="25" t="n">
        <v>8466.441699999999</v>
      </c>
      <c r="P37" s="25" t="n">
        <v>8466.440000000001</v>
      </c>
      <c r="Q37" s="26" t="inlineStr">
        <is>
          <t>FABRICACIÓN URGENTE</t>
        </is>
      </c>
    </row>
    <row r="38" ht="19" customHeight="1">
      <c r="A38" s="27" t="inlineStr">
        <is>
          <t>AN0020</t>
        </is>
      </c>
      <c r="B38" s="28" t="inlineStr">
        <is>
          <t>AN0020CO</t>
        </is>
      </c>
      <c r="C38" s="29" t="inlineStr">
        <is>
          <t>ALCAPLANT NEW, 20 KG</t>
        </is>
      </c>
      <c r="D38" s="30" t="n">
        <v>20</v>
      </c>
      <c r="E38" s="29" t="inlineStr">
        <is>
          <t>Bolsas 20 Kg</t>
        </is>
      </c>
      <c r="F38" s="31" t="inlineStr">
        <is>
          <t>COLOMBIA</t>
        </is>
      </c>
      <c r="G38" s="32" t="inlineStr">
        <is>
          <t>Sobre Pedido (Export)</t>
        </is>
      </c>
      <c r="H38" s="33" t="n">
        <v>0</v>
      </c>
      <c r="I38" s="33" t="n">
        <v>4000</v>
      </c>
      <c r="J38" s="33" t="n">
        <v>0</v>
      </c>
      <c r="K38" s="33" t="n">
        <v>0</v>
      </c>
      <c r="L38" s="33" t="n">
        <v>4339.5406</v>
      </c>
      <c r="M38" s="34" t="n">
        <v>8339.5406</v>
      </c>
      <c r="N38" s="34" t="n">
        <v>8339.540000000001</v>
      </c>
      <c r="O38" s="34" t="n">
        <v>8339.5406</v>
      </c>
      <c r="P38" s="34" t="n">
        <v>8339.540000000001</v>
      </c>
      <c r="Q38" s="26" t="inlineStr">
        <is>
          <t>SOBRE PEDIDO (EXP)</t>
        </is>
      </c>
    </row>
    <row r="39" ht="19" customHeight="1">
      <c r="A39" s="18" t="inlineStr">
        <is>
          <t>BC0005</t>
        </is>
      </c>
      <c r="B39" s="19" t="inlineStr">
        <is>
          <t>BC0005LB</t>
        </is>
      </c>
      <c r="C39" s="20" t="inlineStr">
        <is>
          <t>BITTER-CAL, 5 KG</t>
        </is>
      </c>
      <c r="D39" s="21" t="n">
        <v>5</v>
      </c>
      <c r="E39" s="20" t="inlineStr">
        <is>
          <t>Bolsas 5 Kg</t>
        </is>
      </c>
      <c r="F39" s="22" t="inlineStr">
        <is>
          <t>LÍBANO</t>
        </is>
      </c>
      <c r="G39" s="23" t="inlineStr">
        <is>
          <t>Sobre Pedido (Export)</t>
        </is>
      </c>
      <c r="H39" s="24" t="n">
        <v>370</v>
      </c>
      <c r="I39" s="24" t="n">
        <v>0</v>
      </c>
      <c r="J39" s="24" t="n">
        <v>0</v>
      </c>
      <c r="K39" s="24" t="n">
        <v>0</v>
      </c>
      <c r="L39" s="24" t="n">
        <v>8679.081200000001</v>
      </c>
      <c r="M39" s="25" t="n">
        <v>8679.081200000001</v>
      </c>
      <c r="N39" s="25" t="n">
        <v>8679.08</v>
      </c>
      <c r="O39" s="25" t="n">
        <v>8309.081200000001</v>
      </c>
      <c r="P39" s="25" t="n">
        <v>8309.08</v>
      </c>
      <c r="Q39" s="26" t="inlineStr">
        <is>
          <t>SOBRE PEDIDO (EXP)</t>
        </is>
      </c>
    </row>
    <row r="40" ht="19" customHeight="1">
      <c r="A40" s="27" t="inlineStr">
        <is>
          <t>C-CU20001</t>
        </is>
      </c>
      <c r="B40" s="28" t="inlineStr">
        <is>
          <t>C-CU20001EG</t>
        </is>
      </c>
      <c r="C40" s="29" t="inlineStr">
        <is>
          <t>CODICOBRE</t>
        </is>
      </c>
      <c r="D40" s="30" t="n">
        <v>1</v>
      </c>
      <c r="E40" s="29" t="inlineStr">
        <is>
          <t>Botellas 1L</t>
        </is>
      </c>
      <c r="F40" s="31" t="inlineStr">
        <is>
          <t>EGIPTO</t>
        </is>
      </c>
      <c r="G40" s="32" t="inlineStr">
        <is>
          <t>Sobre Pedido (Export)</t>
        </is>
      </c>
      <c r="H40" s="33" t="n">
        <v>0</v>
      </c>
      <c r="I40" s="33" t="n">
        <v>0</v>
      </c>
      <c r="J40" s="33" t="n">
        <v>0</v>
      </c>
      <c r="K40" s="33" t="n">
        <v>8301.114100000001</v>
      </c>
      <c r="L40" s="33" t="n">
        <v>0</v>
      </c>
      <c r="M40" s="34" t="n">
        <v>8301.114100000001</v>
      </c>
      <c r="N40" s="34" t="n">
        <v>8301.110000000001</v>
      </c>
      <c r="O40" s="34" t="n">
        <v>8301.114100000001</v>
      </c>
      <c r="P40" s="34" t="n">
        <v>8301.110000000001</v>
      </c>
      <c r="Q40" s="26" t="inlineStr">
        <is>
          <t>SOBRE PEDIDO (EXP)</t>
        </is>
      </c>
    </row>
    <row r="41" ht="19" customHeight="1">
      <c r="A41" s="18" t="inlineStr">
        <is>
          <t>FLORCR1000</t>
        </is>
      </c>
      <c r="B41" s="19" t="inlineStr">
        <is>
          <t>FLORCR1000CR</t>
        </is>
      </c>
      <c r="C41" s="20" t="inlineStr">
        <is>
          <t>FLORAMEC</t>
        </is>
      </c>
      <c r="D41" s="21" t="n">
        <v>1000</v>
      </c>
      <c r="E41" s="20" t="inlineStr">
        <is>
          <t>Depósito 1000 L</t>
        </is>
      </c>
      <c r="F41" s="22" t="inlineStr">
        <is>
          <t>COSTA RICA</t>
        </is>
      </c>
      <c r="G41" s="23" t="inlineStr">
        <is>
          <t>Sobre Pedido (Export)</t>
        </is>
      </c>
      <c r="H41" s="24" t="n">
        <v>0</v>
      </c>
      <c r="I41" s="24" t="n">
        <v>2000</v>
      </c>
      <c r="J41" s="24" t="n">
        <v>2781.14</v>
      </c>
      <c r="K41" s="24" t="n">
        <v>3144.3614</v>
      </c>
      <c r="L41" s="24" t="n">
        <v>0</v>
      </c>
      <c r="M41" s="25" t="n">
        <v>7925.501399999999</v>
      </c>
      <c r="N41" s="25" t="n">
        <v>7925.5</v>
      </c>
      <c r="O41" s="25" t="n">
        <v>7925.501399999999</v>
      </c>
      <c r="P41" s="25" t="n">
        <v>7925.5</v>
      </c>
      <c r="Q41" s="26" t="inlineStr">
        <is>
          <t>SOBRE PEDIDO (EXP)</t>
        </is>
      </c>
    </row>
    <row r="42" ht="19" customHeight="1">
      <c r="A42" s="27" t="inlineStr">
        <is>
          <t>BIO0005</t>
        </is>
      </c>
      <c r="B42" s="28" t="inlineStr">
        <is>
          <t>BIO0005DO</t>
        </is>
      </c>
      <c r="C42" s="29" t="inlineStr">
        <is>
          <t>BIORAD-20, 5L</t>
        </is>
      </c>
      <c r="D42" s="30" t="n">
        <v>5</v>
      </c>
      <c r="E42" s="29" t="inlineStr">
        <is>
          <t>Garrafas 5L</t>
        </is>
      </c>
      <c r="F42" s="31" t="inlineStr">
        <is>
          <t>DOMINICANA, REPÚBLICA</t>
        </is>
      </c>
      <c r="G42" s="32" t="inlineStr">
        <is>
          <t>Sobre Pedido (Export)</t>
        </is>
      </c>
      <c r="H42" s="33" t="n">
        <v>0</v>
      </c>
      <c r="I42" s="33" t="n">
        <v>3900</v>
      </c>
      <c r="J42" s="33" t="n">
        <v>0</v>
      </c>
      <c r="K42" s="33" t="n">
        <v>3794.1961</v>
      </c>
      <c r="L42" s="33" t="n">
        <v>0</v>
      </c>
      <c r="M42" s="34" t="n">
        <v>7694.1961</v>
      </c>
      <c r="N42" s="34" t="n">
        <v>7694.2</v>
      </c>
      <c r="O42" s="34" t="n">
        <v>7694.1961</v>
      </c>
      <c r="P42" s="34" t="n">
        <v>7694.2</v>
      </c>
      <c r="Q42" s="26" t="inlineStr">
        <is>
          <t>SOBRE PEDIDO (EXP)</t>
        </is>
      </c>
    </row>
    <row r="43" ht="19" customHeight="1">
      <c r="A43" s="18" t="inlineStr">
        <is>
          <t>GRE10001</t>
        </is>
      </c>
      <c r="B43" s="19" t="inlineStr">
        <is>
          <t>GRE10001GR</t>
        </is>
      </c>
      <c r="C43" s="20" t="inlineStr">
        <is>
          <t>TONAZ</t>
        </is>
      </c>
      <c r="D43" s="21" t="n">
        <v>1</v>
      </c>
      <c r="E43" s="20" t="inlineStr">
        <is>
          <t>Botellas 1L</t>
        </is>
      </c>
      <c r="F43" s="22" t="inlineStr">
        <is>
          <t>GRECIA</t>
        </is>
      </c>
      <c r="G43" s="23" t="inlineStr">
        <is>
          <t>Sobre Pedido (Export)</t>
        </is>
      </c>
      <c r="H43" s="24" t="n">
        <v>0</v>
      </c>
      <c r="I43" s="24" t="n">
        <v>0</v>
      </c>
      <c r="J43" s="24" t="n">
        <v>0</v>
      </c>
      <c r="K43" s="24" t="n">
        <v>0</v>
      </c>
      <c r="L43" s="24" t="n">
        <v>6943.265</v>
      </c>
      <c r="M43" s="25" t="n">
        <v>6943.265</v>
      </c>
      <c r="N43" s="25" t="n">
        <v>6943.27</v>
      </c>
      <c r="O43" s="25" t="n">
        <v>6943.265</v>
      </c>
      <c r="P43" s="25" t="n">
        <v>6943.27</v>
      </c>
      <c r="Q43" s="26" t="inlineStr">
        <is>
          <t>SOBRE PEDIDO (EXP)</t>
        </is>
      </c>
    </row>
    <row r="44" ht="19" customHeight="1">
      <c r="A44" s="27" t="inlineStr">
        <is>
          <t>AN0020</t>
        </is>
      </c>
      <c r="B44" s="28" t="inlineStr">
        <is>
          <t>AN0020LB</t>
        </is>
      </c>
      <c r="C44" s="29" t="inlineStr">
        <is>
          <t>ALCAPLANT NEW, 20 KG</t>
        </is>
      </c>
      <c r="D44" s="30" t="n">
        <v>20</v>
      </c>
      <c r="E44" s="29" t="inlineStr">
        <is>
          <t>Bolsas 20 Kg</t>
        </is>
      </c>
      <c r="F44" s="31" t="inlineStr">
        <is>
          <t>LÍBANO</t>
        </is>
      </c>
      <c r="G44" s="32" t="inlineStr">
        <is>
          <t>Sobre Pedido (Export)</t>
        </is>
      </c>
      <c r="H44" s="33" t="n">
        <v>0</v>
      </c>
      <c r="I44" s="33" t="n">
        <v>0</v>
      </c>
      <c r="J44" s="33" t="n">
        <v>0</v>
      </c>
      <c r="K44" s="33" t="n">
        <v>0</v>
      </c>
      <c r="L44" s="33" t="n">
        <v>6682.8925</v>
      </c>
      <c r="M44" s="34" t="n">
        <v>6682.8925</v>
      </c>
      <c r="N44" s="34" t="n">
        <v>6682.89</v>
      </c>
      <c r="O44" s="34" t="n">
        <v>6682.8925</v>
      </c>
      <c r="P44" s="34" t="n">
        <v>6682.89</v>
      </c>
      <c r="Q44" s="26" t="inlineStr">
        <is>
          <t>SOBRE PEDIDO (EXP)</t>
        </is>
      </c>
    </row>
    <row r="45" ht="19" customHeight="1">
      <c r="A45" s="18" t="inlineStr">
        <is>
          <t>AN0005</t>
        </is>
      </c>
      <c r="B45" s="19" t="inlineStr">
        <is>
          <t>AN0005EC</t>
        </is>
      </c>
      <c r="C45" s="20" t="inlineStr">
        <is>
          <t>ALCAPLANT NEW, 5 KG</t>
        </is>
      </c>
      <c r="D45" s="21" t="n">
        <v>5</v>
      </c>
      <c r="E45" s="20" t="inlineStr">
        <is>
          <t>Bolsas 5 Kg</t>
        </is>
      </c>
      <c r="F45" s="22" t="inlineStr">
        <is>
          <t>ECUADOR (INCLUIDAS LAS ISLAS GALÁPAGOS)</t>
        </is>
      </c>
      <c r="G45" s="23" t="inlineStr">
        <is>
          <t>Sobre Pedido (Export)</t>
        </is>
      </c>
      <c r="H45" s="24" t="n">
        <v>0</v>
      </c>
      <c r="I45" s="24" t="n">
        <v>2200</v>
      </c>
      <c r="J45" s="24" t="n">
        <v>4079</v>
      </c>
      <c r="K45" s="24" t="n">
        <v>0</v>
      </c>
      <c r="L45" s="24" t="n">
        <v>0</v>
      </c>
      <c r="M45" s="25" t="n">
        <v>6279</v>
      </c>
      <c r="N45" s="25" t="n">
        <v>6279</v>
      </c>
      <c r="O45" s="25" t="n">
        <v>6279</v>
      </c>
      <c r="P45" s="25" t="n">
        <v>6279</v>
      </c>
      <c r="Q45" s="26" t="inlineStr">
        <is>
          <t>SOBRE PEDIDO (EXP)</t>
        </is>
      </c>
    </row>
    <row r="46" ht="19" customHeight="1">
      <c r="A46" s="27" t="inlineStr">
        <is>
          <t>BIO1000</t>
        </is>
      </c>
      <c r="B46" s="31" t="inlineStr">
        <is>
          <t>BIO1000</t>
        </is>
      </c>
      <c r="C46" s="29" t="inlineStr">
        <is>
          <t>BIORAD-20, 1000 L</t>
        </is>
      </c>
      <c r="D46" s="30" t="n">
        <v>1000</v>
      </c>
      <c r="E46" s="29" t="inlineStr">
        <is>
          <t>Depósito 1000 L</t>
        </is>
      </c>
      <c r="F46" s="31" t="inlineStr">
        <is>
          <t>ESPAÑA</t>
        </is>
      </c>
      <c r="G46" s="31" t="inlineStr">
        <is>
          <t>Para Previsión (Nac)</t>
        </is>
      </c>
      <c r="H46" s="33" t="n">
        <v>3000</v>
      </c>
      <c r="I46" s="33" t="n">
        <v>0</v>
      </c>
      <c r="J46" s="33" t="n">
        <v>2684.67</v>
      </c>
      <c r="K46" s="33" t="n">
        <v>6288.7228</v>
      </c>
      <c r="L46" s="33" t="n">
        <v>0</v>
      </c>
      <c r="M46" s="34" t="n">
        <v>8973.3928</v>
      </c>
      <c r="N46" s="34" t="n">
        <v>8973.389999999999</v>
      </c>
      <c r="O46" s="34" t="n">
        <v>5973.3928</v>
      </c>
      <c r="P46" s="34" t="n">
        <v>5973.39</v>
      </c>
      <c r="Q46" s="26" t="inlineStr">
        <is>
          <t>FABRICACIÓN URGENTE</t>
        </is>
      </c>
    </row>
    <row r="47" ht="19" customHeight="1">
      <c r="A47" s="18" t="inlineStr">
        <is>
          <t>SS0020</t>
        </is>
      </c>
      <c r="B47" s="19" t="inlineStr">
        <is>
          <t>SS0020MA</t>
        </is>
      </c>
      <c r="C47" s="20" t="inlineStr">
        <is>
          <t>SAL-WAX-Ca sólido, 20 KG</t>
        </is>
      </c>
      <c r="D47" s="21" t="n">
        <v>20</v>
      </c>
      <c r="E47" s="20" t="inlineStr">
        <is>
          <t>Bolsas 20 Kg</t>
        </is>
      </c>
      <c r="F47" s="22" t="inlineStr">
        <is>
          <t>MARRUECOS</t>
        </is>
      </c>
      <c r="G47" s="23" t="inlineStr">
        <is>
          <t>Sobre Pedido (Export)</t>
        </is>
      </c>
      <c r="H47" s="24" t="n">
        <v>0</v>
      </c>
      <c r="I47" s="24" t="n">
        <v>2000</v>
      </c>
      <c r="J47" s="24" t="n">
        <v>1757.67</v>
      </c>
      <c r="K47" s="24" t="n">
        <v>0</v>
      </c>
      <c r="L47" s="24" t="n">
        <v>1735.8162</v>
      </c>
      <c r="M47" s="25" t="n">
        <v>5493.4862</v>
      </c>
      <c r="N47" s="25" t="n">
        <v>5493.49</v>
      </c>
      <c r="O47" s="25" t="n">
        <v>5493.4862</v>
      </c>
      <c r="P47" s="25" t="n">
        <v>5493.49</v>
      </c>
      <c r="Q47" s="26" t="inlineStr">
        <is>
          <t>SOBRE PEDIDO (EXP)</t>
        </is>
      </c>
    </row>
    <row r="48" ht="19" customHeight="1">
      <c r="A48" s="27" t="inlineStr">
        <is>
          <t>B1000CRCO</t>
        </is>
      </c>
      <c r="B48" s="31" t="inlineStr">
        <is>
          <t>B1000CRCO</t>
        </is>
      </c>
      <c r="C48" s="29" t="inlineStr">
        <is>
          <t>BOROCAL, 1000 L</t>
        </is>
      </c>
      <c r="D48" s="30" t="n">
        <v>1000</v>
      </c>
      <c r="E48" s="29" t="inlineStr">
        <is>
          <t>Depósito 1000 L</t>
        </is>
      </c>
      <c r="F48" s="31" t="inlineStr">
        <is>
          <t>COSTA RICA</t>
        </is>
      </c>
      <c r="G48" s="32" t="inlineStr">
        <is>
          <t>Sobre Pedido (Export)</t>
        </is>
      </c>
      <c r="H48" s="33" t="n">
        <v>0</v>
      </c>
      <c r="I48" s="33" t="n">
        <v>0</v>
      </c>
      <c r="J48" s="33" t="n">
        <v>2781.14</v>
      </c>
      <c r="K48" s="33" t="n">
        <v>0</v>
      </c>
      <c r="L48" s="33" t="n">
        <v>2603.7244</v>
      </c>
      <c r="M48" s="34" t="n">
        <v>5384.8644</v>
      </c>
      <c r="N48" s="34" t="n">
        <v>5384.86</v>
      </c>
      <c r="O48" s="34" t="n">
        <v>5384.8644</v>
      </c>
      <c r="P48" s="34" t="n">
        <v>5384.86</v>
      </c>
      <c r="Q48" s="26" t="inlineStr">
        <is>
          <t>SOBRE PEDIDO (EXP)</t>
        </is>
      </c>
    </row>
    <row r="49" ht="19" customHeight="1">
      <c r="A49" s="18" t="inlineStr">
        <is>
          <t>DECA0005</t>
        </is>
      </c>
      <c r="B49" s="19" t="inlineStr">
        <is>
          <t>DECA0005CR</t>
        </is>
      </c>
      <c r="C49" s="20" t="inlineStr">
        <is>
          <t>DEFENS-CA-AE</t>
        </is>
      </c>
      <c r="D49" s="21" t="n">
        <v>5</v>
      </c>
      <c r="E49" s="20" t="inlineStr">
        <is>
          <t>Bolsas 5 Kg</t>
        </is>
      </c>
      <c r="F49" s="22" t="inlineStr">
        <is>
          <t>COSTA RICA</t>
        </is>
      </c>
      <c r="G49" s="23" t="inlineStr">
        <is>
          <t>Sobre Pedido (Export)</t>
        </is>
      </c>
      <c r="H49" s="24" t="n">
        <v>0</v>
      </c>
      <c r="I49" s="24" t="n">
        <v>2200</v>
      </c>
      <c r="J49" s="24" t="n">
        <v>1019.75</v>
      </c>
      <c r="K49" s="24" t="n">
        <v>1152.9325</v>
      </c>
      <c r="L49" s="24" t="n">
        <v>954.6989</v>
      </c>
      <c r="M49" s="25" t="n">
        <v>5327.3814</v>
      </c>
      <c r="N49" s="25" t="n">
        <v>5327.38</v>
      </c>
      <c r="O49" s="25" t="n">
        <v>5327.3814</v>
      </c>
      <c r="P49" s="25" t="n">
        <v>5327.38</v>
      </c>
      <c r="Q49" s="26" t="inlineStr">
        <is>
          <t>SOBRE PEDIDO (EXP)</t>
        </is>
      </c>
    </row>
    <row r="50" ht="19" customHeight="1">
      <c r="A50" s="27" t="inlineStr">
        <is>
          <t>AN0005</t>
        </is>
      </c>
      <c r="B50" s="28" t="inlineStr">
        <is>
          <t>AN0005DO</t>
        </is>
      </c>
      <c r="C50" s="29" t="inlineStr">
        <is>
          <t>ALCAPLANT NEW, 5 KG</t>
        </is>
      </c>
      <c r="D50" s="30" t="n">
        <v>5</v>
      </c>
      <c r="E50" s="29" t="inlineStr">
        <is>
          <t>Bolsas 5 Kg</t>
        </is>
      </c>
      <c r="F50" s="31" t="inlineStr">
        <is>
          <t>DOMINICANA, REPÚBLICA</t>
        </is>
      </c>
      <c r="G50" s="32" t="inlineStr">
        <is>
          <t>Sobre Pedido (Export)</t>
        </is>
      </c>
      <c r="H50" s="33" t="n">
        <v>0</v>
      </c>
      <c r="I50" s="33" t="n">
        <v>1800</v>
      </c>
      <c r="J50" s="33" t="n">
        <v>0</v>
      </c>
      <c r="K50" s="33" t="n">
        <v>3458.7976</v>
      </c>
      <c r="L50" s="33" t="n">
        <v>0</v>
      </c>
      <c r="M50" s="34" t="n">
        <v>5258.7976</v>
      </c>
      <c r="N50" s="34" t="n">
        <v>5258.8</v>
      </c>
      <c r="O50" s="34" t="n">
        <v>5258.7976</v>
      </c>
      <c r="P50" s="34" t="n">
        <v>5258.8</v>
      </c>
      <c r="Q50" s="26" t="inlineStr">
        <is>
          <t>SOBRE PEDIDO (EXP)</t>
        </is>
      </c>
    </row>
    <row r="51" ht="19" customHeight="1">
      <c r="A51" s="18" t="inlineStr">
        <is>
          <t>AGXKC1000</t>
        </is>
      </c>
      <c r="B51" s="22" t="inlineStr">
        <is>
          <t>AGXKC1000</t>
        </is>
      </c>
      <c r="C51" s="20" t="inlineStr">
        <is>
          <t>AGROXILATO-COMPLET, 1000 L</t>
        </is>
      </c>
      <c r="D51" s="21" t="n">
        <v>1000</v>
      </c>
      <c r="E51" s="20" t="inlineStr">
        <is>
          <t>Depósito 1000 L</t>
        </is>
      </c>
      <c r="F51" s="22" t="inlineStr">
        <is>
          <t>ESPAÑA</t>
        </is>
      </c>
      <c r="G51" s="22" t="inlineStr">
        <is>
          <t>Para Previsión (Nac)</t>
        </is>
      </c>
      <c r="H51" s="24" t="n">
        <v>0</v>
      </c>
      <c r="I51" s="24" t="n">
        <v>0</v>
      </c>
      <c r="J51" s="24" t="n">
        <v>0</v>
      </c>
      <c r="K51" s="24" t="n">
        <v>5240.6024</v>
      </c>
      <c r="L51" s="24" t="n">
        <v>0</v>
      </c>
      <c r="M51" s="25" t="n">
        <v>5240.6024</v>
      </c>
      <c r="N51" s="25" t="n">
        <v>5240.6</v>
      </c>
      <c r="O51" s="25" t="n">
        <v>5240.6024</v>
      </c>
      <c r="P51" s="25" t="n">
        <v>5240.6</v>
      </c>
      <c r="Q51" s="26" t="inlineStr">
        <is>
          <t>FABRICACIÓN URGENTE</t>
        </is>
      </c>
    </row>
    <row r="52" ht="19" customHeight="1">
      <c r="A52" s="27" t="inlineStr">
        <is>
          <t>AN0020</t>
        </is>
      </c>
      <c r="B52" s="28" t="inlineStr">
        <is>
          <t>AN0020GE</t>
        </is>
      </c>
      <c r="C52" s="29" t="inlineStr">
        <is>
          <t>ALCAPLANT NEW, 20 KG</t>
        </is>
      </c>
      <c r="D52" s="30" t="n">
        <v>20</v>
      </c>
      <c r="E52" s="29" t="inlineStr">
        <is>
          <t>Bolsas 20 Kg</t>
        </is>
      </c>
      <c r="F52" s="31" t="inlineStr">
        <is>
          <t>GEORGIA</t>
        </is>
      </c>
      <c r="G52" s="32" t="inlineStr">
        <is>
          <t>Sobre Pedido (Export)</t>
        </is>
      </c>
      <c r="H52" s="33" t="n">
        <v>0</v>
      </c>
      <c r="I52" s="33" t="n">
        <v>0</v>
      </c>
      <c r="J52" s="33" t="n">
        <v>0</v>
      </c>
      <c r="K52" s="33" t="n">
        <v>0</v>
      </c>
      <c r="L52" s="33" t="n">
        <v>5207.4487</v>
      </c>
      <c r="M52" s="34" t="n">
        <v>5207.4487</v>
      </c>
      <c r="N52" s="34" t="n">
        <v>5207.45</v>
      </c>
      <c r="O52" s="34" t="n">
        <v>5207.4487</v>
      </c>
      <c r="P52" s="34" t="n">
        <v>5207.45</v>
      </c>
      <c r="Q52" s="26" t="inlineStr">
        <is>
          <t>SOBRE PEDIDO (EXP)</t>
        </is>
      </c>
    </row>
    <row r="53" ht="19" customHeight="1">
      <c r="A53" s="18" t="inlineStr">
        <is>
          <t>AN0005</t>
        </is>
      </c>
      <c r="B53" s="19" t="inlineStr">
        <is>
          <t>AN0005PA</t>
        </is>
      </c>
      <c r="C53" s="20" t="inlineStr">
        <is>
          <t>ALCAPLANT NEW, 5 KG</t>
        </is>
      </c>
      <c r="D53" s="21" t="n">
        <v>5</v>
      </c>
      <c r="E53" s="20" t="inlineStr">
        <is>
          <t>Bolsas 5 Kg</t>
        </is>
      </c>
      <c r="F53" s="22" t="inlineStr">
        <is>
          <t>PANAMÁ</t>
        </is>
      </c>
      <c r="G53" s="23" t="inlineStr">
        <is>
          <t>Sobre Pedido (Export)</t>
        </is>
      </c>
      <c r="H53" s="24" t="n">
        <v>0</v>
      </c>
      <c r="I53" s="24" t="n">
        <v>0</v>
      </c>
      <c r="J53" s="24" t="n">
        <v>0</v>
      </c>
      <c r="K53" s="24" t="n">
        <v>0</v>
      </c>
      <c r="L53" s="24" t="n">
        <v>5207.4487</v>
      </c>
      <c r="M53" s="25" t="n">
        <v>5207.4487</v>
      </c>
      <c r="N53" s="25" t="n">
        <v>5207.45</v>
      </c>
      <c r="O53" s="25" t="n">
        <v>5207.4487</v>
      </c>
      <c r="P53" s="25" t="n">
        <v>5207.45</v>
      </c>
      <c r="Q53" s="26" t="inlineStr">
        <is>
          <t>SOBRE PEDIDO (EXP)</t>
        </is>
      </c>
    </row>
    <row r="54" ht="19" customHeight="1">
      <c r="A54" s="27" t="inlineStr">
        <is>
          <t>AVAN0001</t>
        </is>
      </c>
      <c r="B54" s="28" t="inlineStr">
        <is>
          <t>AVAN0001EG</t>
        </is>
      </c>
      <c r="C54" s="29" t="inlineStr">
        <is>
          <t>CODI-FLOR AVANCE, 1 L</t>
        </is>
      </c>
      <c r="D54" s="30" t="n">
        <v>1</v>
      </c>
      <c r="E54" s="29" t="inlineStr">
        <is>
          <t>Botellas 1L</t>
        </is>
      </c>
      <c r="F54" s="31" t="inlineStr">
        <is>
          <t>EGIPTO</t>
        </is>
      </c>
      <c r="G54" s="32" t="inlineStr">
        <is>
          <t>Sobre Pedido (Export)</t>
        </is>
      </c>
      <c r="H54" s="33" t="n">
        <v>156</v>
      </c>
      <c r="I54" s="33" t="n">
        <v>0</v>
      </c>
      <c r="J54" s="33" t="n">
        <v>2636.51</v>
      </c>
      <c r="K54" s="33" t="n">
        <v>0</v>
      </c>
      <c r="L54" s="33" t="n">
        <v>2603.7244</v>
      </c>
      <c r="M54" s="34" t="n">
        <v>5240.2344</v>
      </c>
      <c r="N54" s="34" t="n">
        <v>5240.23</v>
      </c>
      <c r="O54" s="34" t="n">
        <v>5084.2344</v>
      </c>
      <c r="P54" s="34" t="n">
        <v>5084.23</v>
      </c>
      <c r="Q54" s="26" t="inlineStr">
        <is>
          <t>SOBRE PEDIDO (EXP)</t>
        </is>
      </c>
    </row>
    <row r="55" ht="19" customHeight="1">
      <c r="A55" s="18" t="inlineStr">
        <is>
          <t>START20001</t>
        </is>
      </c>
      <c r="B55" s="19" t="inlineStr">
        <is>
          <t>START20001DO</t>
        </is>
      </c>
      <c r="C55" s="20" t="inlineStr">
        <is>
          <t>RADISOL</t>
        </is>
      </c>
      <c r="D55" s="21" t="n">
        <v>1</v>
      </c>
      <c r="E55" s="20" t="inlineStr">
        <is>
          <t>Botellas 1L</t>
        </is>
      </c>
      <c r="F55" s="22" t="inlineStr">
        <is>
          <t>DOMINICANA, REPÚBLICA</t>
        </is>
      </c>
      <c r="G55" s="23" t="inlineStr">
        <is>
          <t>Sobre Pedido (Export)</t>
        </is>
      </c>
      <c r="H55" s="24" t="n">
        <v>0</v>
      </c>
      <c r="I55" s="24" t="n">
        <v>2904</v>
      </c>
      <c r="J55" s="24" t="n">
        <v>0</v>
      </c>
      <c r="K55" s="24" t="n">
        <v>2096.2409</v>
      </c>
      <c r="L55" s="24" t="n">
        <v>0</v>
      </c>
      <c r="M55" s="25" t="n">
        <v>5000.2409</v>
      </c>
      <c r="N55" s="25" t="n">
        <v>5000.24</v>
      </c>
      <c r="O55" s="25" t="n">
        <v>5000.2409</v>
      </c>
      <c r="P55" s="25" t="n">
        <v>5000.24</v>
      </c>
      <c r="Q55" s="26" t="inlineStr">
        <is>
          <t>SOBRE PEDIDO (EXP)</t>
        </is>
      </c>
    </row>
    <row r="56" ht="19" customHeight="1">
      <c r="A56" s="27" t="inlineStr">
        <is>
          <t>AN0020</t>
        </is>
      </c>
      <c r="B56" s="31" t="inlineStr">
        <is>
          <t>AN0020</t>
        </is>
      </c>
      <c r="C56" s="29" t="inlineStr">
        <is>
          <t>ALCAPLANT NEW, 20 KG</t>
        </is>
      </c>
      <c r="D56" s="30" t="n">
        <v>20</v>
      </c>
      <c r="E56" s="29" t="inlineStr">
        <is>
          <t>Bolsas 20 Kg</t>
        </is>
      </c>
      <c r="F56" s="31" t="inlineStr">
        <is>
          <t>ESPAÑA</t>
        </is>
      </c>
      <c r="G56" s="31" t="inlineStr">
        <is>
          <t>Para Previsión (Nac)</t>
        </is>
      </c>
      <c r="H56" s="33" t="n">
        <v>24800</v>
      </c>
      <c r="I56" s="33" t="n">
        <v>0</v>
      </c>
      <c r="J56" s="33" t="n">
        <v>11018.49</v>
      </c>
      <c r="K56" s="33" t="n">
        <v>17818.0481</v>
      </c>
      <c r="L56" s="33" t="n">
        <v>954.6989</v>
      </c>
      <c r="M56" s="34" t="n">
        <v>29791.237</v>
      </c>
      <c r="N56" s="34" t="n">
        <v>29791.24</v>
      </c>
      <c r="O56" s="34" t="n">
        <v>4991.237000000001</v>
      </c>
      <c r="P56" s="34" t="n">
        <v>4991.24</v>
      </c>
      <c r="Q56" s="26" t="inlineStr">
        <is>
          <t>FABRICACIÓN URGENTE</t>
        </is>
      </c>
    </row>
    <row r="57" ht="19" customHeight="1">
      <c r="A57" s="18" t="inlineStr">
        <is>
          <t>AGXCR0020</t>
        </is>
      </c>
      <c r="B57" s="19" t="inlineStr">
        <is>
          <t>AGXCR0020LB</t>
        </is>
      </c>
      <c r="C57" s="20" t="inlineStr">
        <is>
          <t>AGROXILATO-K, (0-5-20), 20 LtS.</t>
        </is>
      </c>
      <c r="D57" s="21" t="n">
        <v>20</v>
      </c>
      <c r="E57" s="20" t="inlineStr">
        <is>
          <t>Garrafas 20L</t>
        </is>
      </c>
      <c r="F57" s="22" t="inlineStr">
        <is>
          <t>LÍBANO</t>
        </is>
      </c>
      <c r="G57" s="23" t="inlineStr">
        <is>
          <t>Sobre Pedido (Export)</t>
        </is>
      </c>
      <c r="H57" s="24" t="n">
        <v>0</v>
      </c>
      <c r="I57" s="24" t="n">
        <v>0</v>
      </c>
      <c r="J57" s="24" t="n">
        <v>0</v>
      </c>
      <c r="K57" s="24" t="n">
        <v>0</v>
      </c>
      <c r="L57" s="24" t="n">
        <v>4339.5406</v>
      </c>
      <c r="M57" s="25" t="n">
        <v>4339.5406</v>
      </c>
      <c r="N57" s="25" t="n">
        <v>4339.54</v>
      </c>
      <c r="O57" s="25" t="n">
        <v>4339.5406</v>
      </c>
      <c r="P57" s="25" t="n">
        <v>4339.54</v>
      </c>
      <c r="Q57" s="26" t="inlineStr">
        <is>
          <t>SOBRE PEDIDO (EXP)</t>
        </is>
      </c>
    </row>
    <row r="58" ht="19" customHeight="1">
      <c r="A58" s="27" t="inlineStr">
        <is>
          <t>A-50EG0001</t>
        </is>
      </c>
      <c r="B58" s="28" t="inlineStr">
        <is>
          <t>A-50EG0001EG</t>
        </is>
      </c>
      <c r="C58" s="29" t="inlineStr">
        <is>
          <t>CODIORGAN-A50</t>
        </is>
      </c>
      <c r="D58" s="30" t="n">
        <v>1</v>
      </c>
      <c r="E58" s="29" t="inlineStr">
        <is>
          <t>Bolsas 1 Kg</t>
        </is>
      </c>
      <c r="F58" s="31" t="inlineStr">
        <is>
          <t>EGIPTO</t>
        </is>
      </c>
      <c r="G58" s="32" t="inlineStr">
        <is>
          <t>Sobre Pedido (Export)</t>
        </is>
      </c>
      <c r="H58" s="33" t="n">
        <v>0</v>
      </c>
      <c r="I58" s="33" t="n">
        <v>0</v>
      </c>
      <c r="J58" s="33" t="n">
        <v>0</v>
      </c>
      <c r="K58" s="33" t="n">
        <v>0</v>
      </c>
      <c r="L58" s="33" t="n">
        <v>4339.5406</v>
      </c>
      <c r="M58" s="34" t="n">
        <v>4339.5406</v>
      </c>
      <c r="N58" s="34" t="n">
        <v>4339.54</v>
      </c>
      <c r="O58" s="34" t="n">
        <v>4339.5406</v>
      </c>
      <c r="P58" s="34" t="n">
        <v>4339.54</v>
      </c>
      <c r="Q58" s="26" t="inlineStr">
        <is>
          <t>SOBRE PEDIDO (EXP)</t>
        </is>
      </c>
    </row>
    <row r="59" ht="19" customHeight="1">
      <c r="A59" s="18" t="inlineStr">
        <is>
          <t>AGMG0005</t>
        </is>
      </c>
      <c r="B59" s="19" t="inlineStr">
        <is>
          <t>AGMG0005LB</t>
        </is>
      </c>
      <c r="C59" s="20" t="inlineStr">
        <is>
          <t>AGROXILATO-MG, 5 KG (EXPORT)</t>
        </is>
      </c>
      <c r="D59" s="21" t="n">
        <v>5</v>
      </c>
      <c r="E59" s="20" t="inlineStr">
        <is>
          <t>Bolsas 5 Kg</t>
        </is>
      </c>
      <c r="F59" s="22" t="inlineStr">
        <is>
          <t>LÍBANO</t>
        </is>
      </c>
      <c r="G59" s="23" t="inlineStr">
        <is>
          <t>Sobre Pedido (Export)</t>
        </is>
      </c>
      <c r="H59" s="24" t="n">
        <v>0</v>
      </c>
      <c r="I59" s="24" t="n">
        <v>0</v>
      </c>
      <c r="J59" s="24" t="n">
        <v>0</v>
      </c>
      <c r="K59" s="24" t="n">
        <v>0</v>
      </c>
      <c r="L59" s="24" t="n">
        <v>4339.5406</v>
      </c>
      <c r="M59" s="25" t="n">
        <v>4339.5406</v>
      </c>
      <c r="N59" s="25" t="n">
        <v>4339.54</v>
      </c>
      <c r="O59" s="25" t="n">
        <v>4339.5406</v>
      </c>
      <c r="P59" s="25" t="n">
        <v>4339.54</v>
      </c>
      <c r="Q59" s="26" t="inlineStr">
        <is>
          <t>SOBRE PEDIDO (EXP)</t>
        </is>
      </c>
    </row>
    <row r="60" ht="19" customHeight="1">
      <c r="A60" s="27" t="inlineStr">
        <is>
          <t>NAZAZ</t>
        </is>
      </c>
      <c r="B60" s="31" t="inlineStr">
        <is>
          <t>NAZAZ</t>
        </is>
      </c>
      <c r="C60" s="29" t="inlineStr">
        <is>
          <t>AMINOG AL , 1L</t>
        </is>
      </c>
      <c r="D60" s="30" t="n">
        <v>1</v>
      </c>
      <c r="E60" s="29" t="inlineStr">
        <is>
          <t>Botellas 1L</t>
        </is>
      </c>
      <c r="F60" s="31" t="inlineStr">
        <is>
          <t>AZERBAIYÁN</t>
        </is>
      </c>
      <c r="G60" s="32" t="inlineStr">
        <is>
          <t>Sobre Pedido (Export)</t>
        </is>
      </c>
      <c r="H60" s="33" t="n">
        <v>0</v>
      </c>
      <c r="I60" s="33" t="n">
        <v>0</v>
      </c>
      <c r="J60" s="33" t="n">
        <v>0</v>
      </c>
      <c r="K60" s="33" t="n">
        <v>0</v>
      </c>
      <c r="L60" s="33" t="n">
        <v>4270.108</v>
      </c>
      <c r="M60" s="34" t="n">
        <v>4270.108</v>
      </c>
      <c r="N60" s="34" t="n">
        <v>4270.11</v>
      </c>
      <c r="O60" s="34" t="n">
        <v>4270.108</v>
      </c>
      <c r="P60" s="34" t="n">
        <v>4270.11</v>
      </c>
      <c r="Q60" s="26" t="inlineStr">
        <is>
          <t>SOBRE PEDIDO (EXP)</t>
        </is>
      </c>
    </row>
    <row r="61" ht="19" customHeight="1">
      <c r="A61" s="18" t="inlineStr">
        <is>
          <t>SS0005</t>
        </is>
      </c>
      <c r="B61" s="19" t="inlineStr">
        <is>
          <t>SS0005MX</t>
        </is>
      </c>
      <c r="C61" s="20" t="inlineStr">
        <is>
          <t>SALWAX-CA, 5 KG</t>
        </is>
      </c>
      <c r="D61" s="21" t="n">
        <v>5</v>
      </c>
      <c r="E61" s="20" t="inlineStr">
        <is>
          <t>Bolsas 5 Kg</t>
        </is>
      </c>
      <c r="F61" s="22" t="inlineStr">
        <is>
          <t>NETHERLANS</t>
        </is>
      </c>
      <c r="G61" s="23" t="inlineStr">
        <is>
          <t>Sobre Pedido (Export)</t>
        </is>
      </c>
      <c r="H61" s="24" t="n">
        <v>209.7464</v>
      </c>
      <c r="I61" s="24" t="n">
        <v>0</v>
      </c>
      <c r="J61" s="24" t="n">
        <v>0</v>
      </c>
      <c r="K61" s="24" t="n">
        <v>4192.4818</v>
      </c>
      <c r="L61" s="24" t="n">
        <v>0</v>
      </c>
      <c r="M61" s="25" t="n">
        <v>4192.4818</v>
      </c>
      <c r="N61" s="25" t="n">
        <v>4192.48</v>
      </c>
      <c r="O61" s="25" t="n">
        <v>3982.7354</v>
      </c>
      <c r="P61" s="25" t="n">
        <v>3982.74</v>
      </c>
      <c r="Q61" s="26" t="inlineStr">
        <is>
          <t>SOBRE PEDIDO (EXP)</t>
        </is>
      </c>
    </row>
    <row r="62" ht="19" customHeight="1">
      <c r="A62" s="27" t="inlineStr">
        <is>
          <t>SS0020</t>
        </is>
      </c>
      <c r="B62" s="28" t="inlineStr">
        <is>
          <t>SS0020CR</t>
        </is>
      </c>
      <c r="C62" s="29" t="inlineStr">
        <is>
          <t>SAL-WAX-Ca sólido, 20 KG</t>
        </is>
      </c>
      <c r="D62" s="30" t="n">
        <v>20</v>
      </c>
      <c r="E62" s="29" t="inlineStr">
        <is>
          <t>Bolsas 20 Kg</t>
        </is>
      </c>
      <c r="F62" s="31" t="inlineStr">
        <is>
          <t>COSTA RICA</t>
        </is>
      </c>
      <c r="G62" s="32" t="inlineStr">
        <is>
          <t>Sobre Pedido (Export)</t>
        </is>
      </c>
      <c r="H62" s="33" t="n">
        <v>0</v>
      </c>
      <c r="I62" s="33" t="n">
        <v>640</v>
      </c>
      <c r="J62" s="33" t="n">
        <v>2558.65</v>
      </c>
      <c r="K62" s="33" t="n">
        <v>0</v>
      </c>
      <c r="L62" s="33" t="n">
        <v>694.3265</v>
      </c>
      <c r="M62" s="34" t="n">
        <v>3892.9765</v>
      </c>
      <c r="N62" s="34" t="n">
        <v>3892.98</v>
      </c>
      <c r="O62" s="34" t="n">
        <v>3892.9765</v>
      </c>
      <c r="P62" s="34" t="n">
        <v>3892.98</v>
      </c>
      <c r="Q62" s="26" t="inlineStr">
        <is>
          <t>SOBRE PEDIDO (EXP)</t>
        </is>
      </c>
    </row>
    <row r="63" ht="19" customHeight="1">
      <c r="A63" s="18" t="inlineStr">
        <is>
          <t>CODIR1000</t>
        </is>
      </c>
      <c r="B63" s="19" t="inlineStr">
        <is>
          <t>CODIR1000CR</t>
        </is>
      </c>
      <c r="C63" s="20" t="inlineStr">
        <is>
          <t>CODIRESIST</t>
        </is>
      </c>
      <c r="D63" s="21" t="n">
        <v>1000</v>
      </c>
      <c r="E63" s="20" t="inlineStr">
        <is>
          <t>Depósito 1000 L</t>
        </is>
      </c>
      <c r="F63" s="22" t="inlineStr">
        <is>
          <t>COSTA RICA</t>
        </is>
      </c>
      <c r="G63" s="23" t="inlineStr">
        <is>
          <t>Sobre Pedido (Export)</t>
        </is>
      </c>
      <c r="H63" s="24" t="n">
        <v>0</v>
      </c>
      <c r="I63" s="24" t="n">
        <v>1000</v>
      </c>
      <c r="J63" s="24" t="n">
        <v>927</v>
      </c>
      <c r="K63" s="24" t="n">
        <v>1048.1205</v>
      </c>
      <c r="L63" s="24" t="n">
        <v>867.9081</v>
      </c>
      <c r="M63" s="25" t="n">
        <v>3843.0286</v>
      </c>
      <c r="N63" s="25" t="n">
        <v>3843.03</v>
      </c>
      <c r="O63" s="25" t="n">
        <v>3843.0286</v>
      </c>
      <c r="P63" s="25" t="n">
        <v>3843.03</v>
      </c>
      <c r="Q63" s="26" t="inlineStr">
        <is>
          <t>SOBRE PEDIDO (EXP)</t>
        </is>
      </c>
    </row>
    <row r="64" ht="19" customHeight="1">
      <c r="A64" s="27" t="inlineStr">
        <is>
          <t>FTK0005</t>
        </is>
      </c>
      <c r="B64" s="31" t="inlineStr">
        <is>
          <t>FTK0005</t>
        </is>
      </c>
      <c r="C64" s="29" t="inlineStr">
        <is>
          <t>FITOKONTROL CA FLOW, 5 KG</t>
        </is>
      </c>
      <c r="D64" s="30" t="n">
        <v>5</v>
      </c>
      <c r="E64" s="29" t="inlineStr">
        <is>
          <t>Bolsas 5 Kg</t>
        </is>
      </c>
      <c r="F64" s="31" t="inlineStr">
        <is>
          <t>ESPAÑA</t>
        </is>
      </c>
      <c r="G64" s="31" t="inlineStr">
        <is>
          <t>Para Previsión (Nac)</t>
        </is>
      </c>
      <c r="H64" s="33" t="n">
        <v>490</v>
      </c>
      <c r="I64" s="33" t="n">
        <v>2200</v>
      </c>
      <c r="J64" s="33" t="n">
        <v>263.65</v>
      </c>
      <c r="K64" s="33" t="n">
        <v>628.8722</v>
      </c>
      <c r="L64" s="33" t="n">
        <v>1041.4897</v>
      </c>
      <c r="M64" s="34" t="n">
        <v>4134.0119</v>
      </c>
      <c r="N64" s="34" t="n">
        <v>4134.01</v>
      </c>
      <c r="O64" s="34" t="n">
        <v>3644.0119</v>
      </c>
      <c r="P64" s="34" t="n">
        <v>3644.01</v>
      </c>
      <c r="Q64" s="26" t="inlineStr">
        <is>
          <t>FABRICACIÓN URGENTE</t>
        </is>
      </c>
    </row>
    <row r="65" ht="19" customHeight="1">
      <c r="A65" s="18" t="inlineStr">
        <is>
          <t>F-A0005</t>
        </is>
      </c>
      <c r="B65" s="19" t="inlineStr">
        <is>
          <t>F-A0005DO</t>
        </is>
      </c>
      <c r="C65" s="20" t="inlineStr">
        <is>
          <t>FITOLIN-AGRO, 5 L</t>
        </is>
      </c>
      <c r="D65" s="21" t="n">
        <v>5</v>
      </c>
      <c r="E65" s="20" t="inlineStr">
        <is>
          <t>Garrafas 5L</t>
        </is>
      </c>
      <c r="F65" s="22" t="inlineStr">
        <is>
          <t>DOMINICANA, REPÚBLICA</t>
        </is>
      </c>
      <c r="G65" s="23" t="inlineStr">
        <is>
          <t>Sobre Pedido (Export)</t>
        </is>
      </c>
      <c r="H65" s="24" t="n">
        <v>0</v>
      </c>
      <c r="I65" s="24" t="n">
        <v>2040</v>
      </c>
      <c r="J65" s="24" t="n">
        <v>0</v>
      </c>
      <c r="K65" s="24" t="n">
        <v>1572.1807</v>
      </c>
      <c r="L65" s="24" t="n">
        <v>0</v>
      </c>
      <c r="M65" s="25" t="n">
        <v>3612.1807</v>
      </c>
      <c r="N65" s="25" t="n">
        <v>3612.18</v>
      </c>
      <c r="O65" s="25" t="n">
        <v>3612.1807</v>
      </c>
      <c r="P65" s="25" t="n">
        <v>3612.18</v>
      </c>
      <c r="Q65" s="26" t="inlineStr">
        <is>
          <t>SOBRE PEDIDO (EXP)</t>
        </is>
      </c>
    </row>
    <row r="66" ht="19" customHeight="1">
      <c r="A66" s="27" t="inlineStr">
        <is>
          <t>GRE10005</t>
        </is>
      </c>
      <c r="B66" s="28" t="inlineStr">
        <is>
          <t>GRE10005GR</t>
        </is>
      </c>
      <c r="C66" s="29" t="inlineStr">
        <is>
          <t>TONAZ</t>
        </is>
      </c>
      <c r="D66" s="30" t="n">
        <v>5</v>
      </c>
      <c r="E66" s="29" t="inlineStr">
        <is>
          <t>Garrafas 5L</t>
        </is>
      </c>
      <c r="F66" s="31" t="inlineStr">
        <is>
          <t>GRECIA</t>
        </is>
      </c>
      <c r="G66" s="32" t="inlineStr">
        <is>
          <t>Sobre Pedido (Export)</t>
        </is>
      </c>
      <c r="H66" s="33" t="n">
        <v>0</v>
      </c>
      <c r="I66" s="33" t="n">
        <v>0</v>
      </c>
      <c r="J66" s="33" t="n">
        <v>0</v>
      </c>
      <c r="K66" s="33" t="n">
        <v>0</v>
      </c>
      <c r="L66" s="33" t="n">
        <v>3471.6325</v>
      </c>
      <c r="M66" s="34" t="n">
        <v>3471.6325</v>
      </c>
      <c r="N66" s="34" t="n">
        <v>3471.63</v>
      </c>
      <c r="O66" s="34" t="n">
        <v>3471.6325</v>
      </c>
      <c r="P66" s="34" t="n">
        <v>3471.63</v>
      </c>
      <c r="Q66" s="26" t="inlineStr">
        <is>
          <t>SOBRE PEDIDO (EXP)</t>
        </is>
      </c>
    </row>
    <row r="67" ht="19" customHeight="1">
      <c r="A67" s="18" t="inlineStr">
        <is>
          <t>BIO0020</t>
        </is>
      </c>
      <c r="B67" s="22" t="inlineStr">
        <is>
          <t>BIO0020</t>
        </is>
      </c>
      <c r="C67" s="20" t="inlineStr">
        <is>
          <t>BIORAD-20, 20 L</t>
        </is>
      </c>
      <c r="D67" s="21" t="n">
        <v>20</v>
      </c>
      <c r="E67" s="20" t="inlineStr">
        <is>
          <t>Garrafas 20L</t>
        </is>
      </c>
      <c r="F67" s="22" t="inlineStr">
        <is>
          <t>ESPAÑA</t>
        </is>
      </c>
      <c r="G67" s="22" t="inlineStr">
        <is>
          <t>Para Previsión (Nac)</t>
        </is>
      </c>
      <c r="H67" s="24" t="n">
        <v>9800</v>
      </c>
      <c r="I67" s="24" t="n">
        <v>640</v>
      </c>
      <c r="J67" s="24" t="n">
        <v>4285.01</v>
      </c>
      <c r="K67" s="24" t="n">
        <v>5785.625</v>
      </c>
      <c r="L67" s="24" t="n">
        <v>2464.8591</v>
      </c>
      <c r="M67" s="25" t="n">
        <v>13175.4941</v>
      </c>
      <c r="N67" s="25" t="n">
        <v>13175.49</v>
      </c>
      <c r="O67" s="25" t="n">
        <v>3375.4941</v>
      </c>
      <c r="P67" s="25" t="n">
        <v>3375.49</v>
      </c>
      <c r="Q67" s="26" t="inlineStr">
        <is>
          <t>FABRICACIÓN URGENTE</t>
        </is>
      </c>
    </row>
    <row r="68" ht="19" customHeight="1">
      <c r="A68" s="27" t="inlineStr">
        <is>
          <t>A-50(2)0001</t>
        </is>
      </c>
      <c r="B68" s="28" t="inlineStr">
        <is>
          <t>A-50(2)0001DO</t>
        </is>
      </c>
      <c r="C68" s="29" t="inlineStr">
        <is>
          <t>CODIORGAN-A50</t>
        </is>
      </c>
      <c r="D68" s="30" t="n">
        <v>1</v>
      </c>
      <c r="E68" s="29" t="inlineStr">
        <is>
          <t>Bolsas 1 Kg</t>
        </is>
      </c>
      <c r="F68" s="31" t="inlineStr">
        <is>
          <t>DOMINICANA, REPÚBLICA</t>
        </is>
      </c>
      <c r="G68" s="32" t="inlineStr">
        <is>
          <t>Sobre Pedido (Export)</t>
        </is>
      </c>
      <c r="H68" s="33" t="n">
        <v>0</v>
      </c>
      <c r="I68" s="33" t="n">
        <v>2448</v>
      </c>
      <c r="J68" s="33" t="n">
        <v>0</v>
      </c>
      <c r="K68" s="33" t="n">
        <v>838.4964</v>
      </c>
      <c r="L68" s="33" t="n">
        <v>0</v>
      </c>
      <c r="M68" s="34" t="n">
        <v>3286.4964</v>
      </c>
      <c r="N68" s="34" t="n">
        <v>3286.5</v>
      </c>
      <c r="O68" s="34" t="n">
        <v>3286.4964</v>
      </c>
      <c r="P68" s="34" t="n">
        <v>3286.5</v>
      </c>
      <c r="Q68" s="26" t="inlineStr">
        <is>
          <t>SOBRE PEDIDO (EXP)</t>
        </is>
      </c>
    </row>
    <row r="69" ht="19" customHeight="1">
      <c r="A69" s="18" t="inlineStr">
        <is>
          <t>LP0001</t>
        </is>
      </c>
      <c r="B69" s="19" t="inlineStr">
        <is>
          <t>LP0001DO</t>
        </is>
      </c>
      <c r="C69" s="20" t="inlineStr">
        <is>
          <t>LAVAPLANT GRANEL</t>
        </is>
      </c>
      <c r="D69" s="21" t="n">
        <v>1</v>
      </c>
      <c r="E69" s="20" t="inlineStr">
        <is>
          <t>Botellas 1L</t>
        </is>
      </c>
      <c r="F69" s="22" t="inlineStr">
        <is>
          <t>DOMINICANA, REPÚBLICA</t>
        </is>
      </c>
      <c r="G69" s="23" t="inlineStr">
        <is>
          <t>Sobre Pedido (Export)</t>
        </is>
      </c>
      <c r="H69" s="24" t="n">
        <v>0</v>
      </c>
      <c r="I69" s="24" t="n">
        <v>1092</v>
      </c>
      <c r="J69" s="24" t="n">
        <v>0</v>
      </c>
      <c r="K69" s="24" t="n">
        <v>2096.2409</v>
      </c>
      <c r="L69" s="24" t="n">
        <v>0</v>
      </c>
      <c r="M69" s="25" t="n">
        <v>3188.2409</v>
      </c>
      <c r="N69" s="25" t="n">
        <v>3188.24</v>
      </c>
      <c r="O69" s="25" t="n">
        <v>3188.2409</v>
      </c>
      <c r="P69" s="25" t="n">
        <v>3188.24</v>
      </c>
      <c r="Q69" s="26" t="inlineStr">
        <is>
          <t>SOBRE PEDIDO (EXP)</t>
        </is>
      </c>
    </row>
    <row r="70" ht="19" customHeight="1">
      <c r="A70" s="27" t="inlineStr">
        <is>
          <t>CPLUS1000</t>
        </is>
      </c>
      <c r="B70" s="31" t="inlineStr">
        <is>
          <t>CPLUS1000</t>
        </is>
      </c>
      <c r="C70" s="29" t="inlineStr">
        <is>
          <t>CALCIPLUS, 1000 L</t>
        </is>
      </c>
      <c r="D70" s="30" t="n">
        <v>1000</v>
      </c>
      <c r="E70" s="29" t="inlineStr">
        <is>
          <t>Depósito 1000 L</t>
        </is>
      </c>
      <c r="F70" s="31" t="inlineStr">
        <is>
          <t>ESPAÑA</t>
        </is>
      </c>
      <c r="G70" s="31" t="inlineStr">
        <is>
          <t>Para Previsión (Nac)</t>
        </is>
      </c>
      <c r="H70" s="33" t="n">
        <v>1000</v>
      </c>
      <c r="I70" s="33" t="n">
        <v>0</v>
      </c>
      <c r="J70" s="33" t="n">
        <v>1854.09</v>
      </c>
      <c r="K70" s="33" t="n">
        <v>2096.2409</v>
      </c>
      <c r="L70" s="33" t="n">
        <v>0</v>
      </c>
      <c r="M70" s="34" t="n">
        <v>3950.3309</v>
      </c>
      <c r="N70" s="34" t="n">
        <v>3950.33</v>
      </c>
      <c r="O70" s="34" t="n">
        <v>2950.3309</v>
      </c>
      <c r="P70" s="34" t="n">
        <v>2950.33</v>
      </c>
      <c r="Q70" s="26" t="inlineStr">
        <is>
          <t>FABRICACIÓN URGENTE</t>
        </is>
      </c>
    </row>
    <row r="71" ht="19" customHeight="1">
      <c r="A71" s="18" t="inlineStr">
        <is>
          <t>BIO0001</t>
        </is>
      </c>
      <c r="B71" s="19" t="inlineStr">
        <is>
          <t>BIO0001DO</t>
        </is>
      </c>
      <c r="C71" s="20" t="inlineStr">
        <is>
          <t>BIORAD-20</t>
        </is>
      </c>
      <c r="D71" s="21" t="n">
        <v>1</v>
      </c>
      <c r="E71" s="20" t="inlineStr">
        <is>
          <t>Botellas 1L</t>
        </is>
      </c>
      <c r="F71" s="22" t="inlineStr">
        <is>
          <t>DOMINICANA, REPÚBLICA</t>
        </is>
      </c>
      <c r="G71" s="23" t="inlineStr">
        <is>
          <t>Sobre Pedido (Export)</t>
        </is>
      </c>
      <c r="H71" s="24" t="n">
        <v>0</v>
      </c>
      <c r="I71" s="24" t="n">
        <v>1584</v>
      </c>
      <c r="J71" s="24" t="n">
        <v>0</v>
      </c>
      <c r="K71" s="24" t="n">
        <v>1282.8995</v>
      </c>
      <c r="L71" s="24" t="n">
        <v>0</v>
      </c>
      <c r="M71" s="25" t="n">
        <v>2866.8995</v>
      </c>
      <c r="N71" s="25" t="n">
        <v>2866.9</v>
      </c>
      <c r="O71" s="25" t="n">
        <v>2866.8995</v>
      </c>
      <c r="P71" s="25" t="n">
        <v>2866.9</v>
      </c>
      <c r="Q71" s="26" t="inlineStr">
        <is>
          <t>SOBRE PEDIDO (EXP)</t>
        </is>
      </c>
    </row>
    <row r="72" ht="19" customHeight="1">
      <c r="A72" s="27" t="inlineStr">
        <is>
          <t>AGNF0001</t>
        </is>
      </c>
      <c r="B72" s="31" t="inlineStr">
        <is>
          <t>AGNF0001</t>
        </is>
      </c>
      <c r="C72" s="29" t="inlineStr">
        <is>
          <t>CODIGREEN</t>
        </is>
      </c>
      <c r="D72" s="30" t="n">
        <v>1</v>
      </c>
      <c r="E72" s="29" t="inlineStr">
        <is>
          <t>Botellas 1L</t>
        </is>
      </c>
      <c r="F72" s="31" t="inlineStr">
        <is>
          <t>ESPAÑA</t>
        </is>
      </c>
      <c r="G72" s="31" t="inlineStr">
        <is>
          <t>Para Previsión (Nac)</t>
        </is>
      </c>
      <c r="H72" s="33" t="n">
        <v>0</v>
      </c>
      <c r="I72" s="33" t="n">
        <v>2772</v>
      </c>
      <c r="J72" s="33" t="n">
        <v>0</v>
      </c>
      <c r="K72" s="33" t="n">
        <v>0</v>
      </c>
      <c r="L72" s="33" t="n">
        <v>0</v>
      </c>
      <c r="M72" s="34" t="n">
        <v>2772</v>
      </c>
      <c r="N72" s="34" t="n">
        <v>2772</v>
      </c>
      <c r="O72" s="34" t="n">
        <v>2772</v>
      </c>
      <c r="P72" s="34" t="n">
        <v>2772</v>
      </c>
      <c r="Q72" s="26" t="inlineStr">
        <is>
          <t>FABRICACIÓN URGENTE</t>
        </is>
      </c>
    </row>
    <row r="73" ht="19" customHeight="1">
      <c r="A73" s="18" t="inlineStr">
        <is>
          <t>A-50(2)0020</t>
        </is>
      </c>
      <c r="B73" s="19" t="inlineStr">
        <is>
          <t>A-50(2)0020MA</t>
        </is>
      </c>
      <c r="C73" s="20" t="inlineStr">
        <is>
          <t>CODIORGAN A-50, 20 KG</t>
        </is>
      </c>
      <c r="D73" s="21" t="n">
        <v>20</v>
      </c>
      <c r="E73" s="20" t="inlineStr">
        <is>
          <t>Bolsas 20 Kg</t>
        </is>
      </c>
      <c r="F73" s="22" t="inlineStr">
        <is>
          <t>MARRUECOS</t>
        </is>
      </c>
      <c r="G73" s="23" t="inlineStr">
        <is>
          <t>Sobre Pedido (Export)</t>
        </is>
      </c>
      <c r="H73" s="24" t="n">
        <v>0</v>
      </c>
      <c r="I73" s="24" t="n">
        <v>0</v>
      </c>
      <c r="J73" s="24" t="n">
        <v>1757.67</v>
      </c>
      <c r="K73" s="24" t="n">
        <v>0</v>
      </c>
      <c r="L73" s="24" t="n">
        <v>867.9081</v>
      </c>
      <c r="M73" s="25" t="n">
        <v>2625.5781</v>
      </c>
      <c r="N73" s="25" t="n">
        <v>2625.58</v>
      </c>
      <c r="O73" s="25" t="n">
        <v>2625.5781</v>
      </c>
      <c r="P73" s="25" t="n">
        <v>2625.58</v>
      </c>
      <c r="Q73" s="26" t="inlineStr">
        <is>
          <t>SOBRE PEDIDO (EXP)</t>
        </is>
      </c>
    </row>
    <row r="74" ht="19" customHeight="1">
      <c r="A74" s="27" t="inlineStr">
        <is>
          <t>AVAN0005</t>
        </is>
      </c>
      <c r="B74" s="28" t="inlineStr">
        <is>
          <t>AVAN0005AZ</t>
        </is>
      </c>
      <c r="C74" s="29" t="inlineStr">
        <is>
          <t>FLORAMEC AVANCE, 5 L</t>
        </is>
      </c>
      <c r="D74" s="30" t="n">
        <v>5</v>
      </c>
      <c r="E74" s="29" t="inlineStr">
        <is>
          <t>Garrafas 5L</t>
        </is>
      </c>
      <c r="F74" s="31" t="inlineStr">
        <is>
          <t>AZERBAIYÁN</t>
        </is>
      </c>
      <c r="G74" s="32" t="inlineStr">
        <is>
          <t>Sobre Pedido (Export)</t>
        </is>
      </c>
      <c r="H74" s="33" t="n">
        <v>0</v>
      </c>
      <c r="I74" s="33" t="n">
        <v>0</v>
      </c>
      <c r="J74" s="33" t="n">
        <v>0</v>
      </c>
      <c r="K74" s="33" t="n">
        <v>0</v>
      </c>
      <c r="L74" s="33" t="n">
        <v>2603.7244</v>
      </c>
      <c r="M74" s="34" t="n">
        <v>2603.7244</v>
      </c>
      <c r="N74" s="34" t="n">
        <v>2603.72</v>
      </c>
      <c r="O74" s="34" t="n">
        <v>2603.7244</v>
      </c>
      <c r="P74" s="34" t="n">
        <v>2603.72</v>
      </c>
      <c r="Q74" s="26" t="inlineStr">
        <is>
          <t>SOBRE PEDIDO (EXP)</t>
        </is>
      </c>
    </row>
    <row r="75" ht="19" customHeight="1">
      <c r="A75" s="18" t="inlineStr">
        <is>
          <t>FIORI1000</t>
        </is>
      </c>
      <c r="B75" s="19" t="inlineStr">
        <is>
          <t>FIORI1000IT</t>
        </is>
      </c>
      <c r="C75" s="20" t="inlineStr">
        <is>
          <t>RADIFIORI, 1000 L</t>
        </is>
      </c>
      <c r="D75" s="21" t="n">
        <v>1000</v>
      </c>
      <c r="E75" s="20" t="inlineStr">
        <is>
          <t>Depósito 1000 L</t>
        </is>
      </c>
      <c r="F75" s="22" t="inlineStr">
        <is>
          <t>ITALIA</t>
        </is>
      </c>
      <c r="G75" s="23" t="inlineStr">
        <is>
          <t>Sobre Pedido (Export)</t>
        </is>
      </c>
      <c r="H75" s="24" t="n">
        <v>0</v>
      </c>
      <c r="I75" s="24" t="n">
        <v>0</v>
      </c>
      <c r="J75" s="24" t="n">
        <v>0</v>
      </c>
      <c r="K75" s="24" t="n">
        <v>0</v>
      </c>
      <c r="L75" s="24" t="n">
        <v>2603.7244</v>
      </c>
      <c r="M75" s="25" t="n">
        <v>2603.7244</v>
      </c>
      <c r="N75" s="25" t="n">
        <v>2603.72</v>
      </c>
      <c r="O75" s="25" t="n">
        <v>2603.7244</v>
      </c>
      <c r="P75" s="25" t="n">
        <v>2603.72</v>
      </c>
      <c r="Q75" s="26" t="inlineStr">
        <is>
          <t>SOBRE PEDIDO (EXP)</t>
        </is>
      </c>
    </row>
    <row r="76" ht="19" customHeight="1">
      <c r="A76" s="27" t="inlineStr">
        <is>
          <t>ANAE0005</t>
        </is>
      </c>
      <c r="B76" s="31" t="inlineStr">
        <is>
          <t>ANAE0005</t>
        </is>
      </c>
      <c r="C76" s="29" t="inlineStr">
        <is>
          <t>ALCAPLANT NEW AE, 5 KG</t>
        </is>
      </c>
      <c r="D76" s="30" t="n">
        <v>5</v>
      </c>
      <c r="E76" s="29" t="inlineStr">
        <is>
          <t>Bolsas 5 Kg</t>
        </is>
      </c>
      <c r="F76" s="31" t="inlineStr">
        <is>
          <t>ESPAÑA</t>
        </is>
      </c>
      <c r="G76" s="31" t="inlineStr">
        <is>
          <t>Para Previsión (Nac)</t>
        </is>
      </c>
      <c r="H76" s="33" t="n">
        <v>10760</v>
      </c>
      <c r="I76" s="33" t="n">
        <v>2200</v>
      </c>
      <c r="J76" s="33" t="n">
        <v>4079</v>
      </c>
      <c r="K76" s="33" t="n">
        <v>6970.001099999999</v>
      </c>
      <c r="L76" s="33" t="n">
        <v>0</v>
      </c>
      <c r="M76" s="34" t="n">
        <v>13249.0011</v>
      </c>
      <c r="N76" s="34" t="n">
        <v>13249</v>
      </c>
      <c r="O76" s="34" t="n">
        <v>2489.001099999999</v>
      </c>
      <c r="P76" s="34" t="n">
        <v>2489</v>
      </c>
      <c r="Q76" s="26" t="inlineStr">
        <is>
          <t>FABRICACIÓN URGENTE</t>
        </is>
      </c>
    </row>
    <row r="77" ht="19" customHeight="1">
      <c r="A77" s="18" t="inlineStr">
        <is>
          <t>PREZN0005</t>
        </is>
      </c>
      <c r="B77" s="22" t="inlineStr">
        <is>
          <t>PREZN0005</t>
        </is>
      </c>
      <c r="C77" s="20" t="inlineStr">
        <is>
          <t>PREZINC, 5 kg</t>
        </is>
      </c>
      <c r="D77" s="21" t="n">
        <v>5</v>
      </c>
      <c r="E77" s="20" t="inlineStr">
        <is>
          <t>Bolsas 5 Kg</t>
        </is>
      </c>
      <c r="F77" s="22" t="inlineStr">
        <is>
          <t>ESPAÑA</t>
        </is>
      </c>
      <c r="G77" s="22" t="inlineStr">
        <is>
          <t>Para Previsión (Nac)</t>
        </is>
      </c>
      <c r="H77" s="24" t="n">
        <v>140</v>
      </c>
      <c r="I77" s="24" t="n">
        <v>0</v>
      </c>
      <c r="J77" s="24" t="n">
        <v>0</v>
      </c>
      <c r="K77" s="24" t="n">
        <v>0</v>
      </c>
      <c r="L77" s="24" t="n">
        <v>2603.7244</v>
      </c>
      <c r="M77" s="25" t="n">
        <v>2603.7244</v>
      </c>
      <c r="N77" s="25" t="n">
        <v>2603.72</v>
      </c>
      <c r="O77" s="25" t="n">
        <v>2463.7244</v>
      </c>
      <c r="P77" s="25" t="n">
        <v>2463.72</v>
      </c>
      <c r="Q77" s="26" t="inlineStr">
        <is>
          <t>FABRICACIÓN URGENTE</t>
        </is>
      </c>
    </row>
    <row r="78" ht="19" customHeight="1">
      <c r="A78" s="27" t="inlineStr">
        <is>
          <t>A-50(2)0001</t>
        </is>
      </c>
      <c r="B78" s="31" t="inlineStr">
        <is>
          <t>A-50(2)0001</t>
        </is>
      </c>
      <c r="C78" s="29" t="inlineStr">
        <is>
          <t>CODIORGAN-A50</t>
        </is>
      </c>
      <c r="D78" s="30" t="n">
        <v>1</v>
      </c>
      <c r="E78" s="29" t="inlineStr">
        <is>
          <t>Bolsas 1 Kg</t>
        </is>
      </c>
      <c r="F78" s="31" t="inlineStr">
        <is>
          <t>ESPAÑA</t>
        </is>
      </c>
      <c r="G78" s="31" t="inlineStr">
        <is>
          <t>Para Previsión (Nac)</t>
        </is>
      </c>
      <c r="H78" s="33" t="n">
        <v>0</v>
      </c>
      <c r="I78" s="33" t="n">
        <v>2112</v>
      </c>
      <c r="J78" s="33" t="n">
        <v>0</v>
      </c>
      <c r="K78" s="33" t="n">
        <v>0</v>
      </c>
      <c r="L78" s="33" t="n">
        <v>0</v>
      </c>
      <c r="M78" s="34" t="n">
        <v>2112</v>
      </c>
      <c r="N78" s="34" t="n">
        <v>2112</v>
      </c>
      <c r="O78" s="34" t="n">
        <v>2112</v>
      </c>
      <c r="P78" s="34" t="n">
        <v>2112</v>
      </c>
      <c r="Q78" s="26" t="inlineStr">
        <is>
          <t>FABRICACIÓN URGENTE</t>
        </is>
      </c>
    </row>
    <row r="79" ht="19" customHeight="1">
      <c r="A79" s="18" t="inlineStr">
        <is>
          <t>F-A0001</t>
        </is>
      </c>
      <c r="B79" s="19" t="inlineStr">
        <is>
          <t>F-A0001DO</t>
        </is>
      </c>
      <c r="C79" s="20" t="inlineStr">
        <is>
          <t>FITOLIN-AGRO, 1 L</t>
        </is>
      </c>
      <c r="D79" s="21" t="n">
        <v>1</v>
      </c>
      <c r="E79" s="20" t="inlineStr">
        <is>
          <t>Botellas 1L</t>
        </is>
      </c>
      <c r="F79" s="22" t="inlineStr">
        <is>
          <t>DOMINICANA, REPÚBLICA</t>
        </is>
      </c>
      <c r="G79" s="23" t="inlineStr">
        <is>
          <t>Sobre Pedido (Export)</t>
        </is>
      </c>
      <c r="H79" s="24" t="n">
        <v>0</v>
      </c>
      <c r="I79" s="24" t="n">
        <v>984</v>
      </c>
      <c r="J79" s="24" t="n">
        <v>0</v>
      </c>
      <c r="K79" s="24" t="n">
        <v>1048.1205</v>
      </c>
      <c r="L79" s="24" t="n">
        <v>0</v>
      </c>
      <c r="M79" s="25" t="n">
        <v>2032.1205</v>
      </c>
      <c r="N79" s="25" t="n">
        <v>2032.12</v>
      </c>
      <c r="O79" s="25" t="n">
        <v>2032.1205</v>
      </c>
      <c r="P79" s="25" t="n">
        <v>2032.12</v>
      </c>
      <c r="Q79" s="26" t="inlineStr">
        <is>
          <t>SOBRE PEDIDO (EXP)</t>
        </is>
      </c>
    </row>
    <row r="80" ht="19" customHeight="1">
      <c r="A80" s="27" t="inlineStr">
        <is>
          <t>PHD0005</t>
        </is>
      </c>
      <c r="B80" s="28" t="inlineStr">
        <is>
          <t>PHD0005MA</t>
        </is>
      </c>
      <c r="C80" s="29" t="inlineStr">
        <is>
          <t>PH-DOWNER, 5 L</t>
        </is>
      </c>
      <c r="D80" s="30" t="n">
        <v>5</v>
      </c>
      <c r="E80" s="29" t="inlineStr">
        <is>
          <t>Garrafas 5L</t>
        </is>
      </c>
      <c r="F80" s="31" t="inlineStr">
        <is>
          <t>MARRUECOS</t>
        </is>
      </c>
      <c r="G80" s="32" t="inlineStr">
        <is>
          <t>Sobre Pedido (Export)</t>
        </is>
      </c>
      <c r="H80" s="33" t="n">
        <v>0</v>
      </c>
      <c r="I80" s="33" t="n">
        <v>600</v>
      </c>
      <c r="J80" s="33" t="n">
        <v>1406.14</v>
      </c>
      <c r="K80" s="33" t="n">
        <v>0</v>
      </c>
      <c r="L80" s="33" t="n">
        <v>0</v>
      </c>
      <c r="M80" s="34" t="n">
        <v>2006.14</v>
      </c>
      <c r="N80" s="34" t="n">
        <v>2006.14</v>
      </c>
      <c r="O80" s="34" t="n">
        <v>2006.14</v>
      </c>
      <c r="P80" s="34" t="n">
        <v>2006.14</v>
      </c>
      <c r="Q80" s="26" t="inlineStr">
        <is>
          <t>SOBRE PEDIDO (EXP)</t>
        </is>
      </c>
    </row>
    <row r="81" ht="19" customHeight="1">
      <c r="A81" s="18" t="inlineStr">
        <is>
          <t>AVAN0020</t>
        </is>
      </c>
      <c r="B81" s="19" t="inlineStr">
        <is>
          <t>AVAN0020MA</t>
        </is>
      </c>
      <c r="C81" s="20" t="inlineStr">
        <is>
          <t>FLORAMEC AVANCE, 20 L</t>
        </is>
      </c>
      <c r="D81" s="21" t="n">
        <v>20</v>
      </c>
      <c r="E81" s="20" t="inlineStr">
        <is>
          <t>Garrafas 20L</t>
        </is>
      </c>
      <c r="F81" s="22" t="inlineStr">
        <is>
          <t>MARRUECOS</t>
        </is>
      </c>
      <c r="G81" s="23" t="inlineStr">
        <is>
          <t>Sobre Pedido (Export)</t>
        </is>
      </c>
      <c r="H81" s="24" t="n">
        <v>0</v>
      </c>
      <c r="I81" s="24" t="n">
        <v>2000</v>
      </c>
      <c r="J81" s="24" t="n">
        <v>0</v>
      </c>
      <c r="K81" s="24" t="n">
        <v>0</v>
      </c>
      <c r="L81" s="24" t="n">
        <v>0</v>
      </c>
      <c r="M81" s="25" t="n">
        <v>2000</v>
      </c>
      <c r="N81" s="25" t="n">
        <v>2000</v>
      </c>
      <c r="O81" s="25" t="n">
        <v>2000</v>
      </c>
      <c r="P81" s="25" t="n">
        <v>2000</v>
      </c>
      <c r="Q81" s="26" t="inlineStr">
        <is>
          <t>SOBRE PEDIDO (EXP)</t>
        </is>
      </c>
    </row>
    <row r="82" ht="19" customHeight="1">
      <c r="A82" s="27" t="inlineStr">
        <is>
          <t>NB1000</t>
        </is>
      </c>
      <c r="B82" s="28" t="inlineStr">
        <is>
          <t>NB1000CR</t>
        </is>
      </c>
      <c r="C82" s="29" t="inlineStr">
        <is>
          <t>NITROBALANCE</t>
        </is>
      </c>
      <c r="D82" s="30" t="n">
        <v>1000</v>
      </c>
      <c r="E82" s="29" t="inlineStr">
        <is>
          <t>Depósito 1000 L</t>
        </is>
      </c>
      <c r="F82" s="31" t="inlineStr">
        <is>
          <t>COSTA RICA</t>
        </is>
      </c>
      <c r="G82" s="32" t="inlineStr">
        <is>
          <t>Sobre Pedido (Export)</t>
        </is>
      </c>
      <c r="H82" s="33" t="n">
        <v>0</v>
      </c>
      <c r="I82" s="33" t="n">
        <v>2000</v>
      </c>
      <c r="J82" s="33" t="n">
        <v>0</v>
      </c>
      <c r="K82" s="33" t="n">
        <v>0</v>
      </c>
      <c r="L82" s="33" t="n">
        <v>0</v>
      </c>
      <c r="M82" s="34" t="n">
        <v>2000</v>
      </c>
      <c r="N82" s="34" t="n">
        <v>2000</v>
      </c>
      <c r="O82" s="34" t="n">
        <v>2000</v>
      </c>
      <c r="P82" s="34" t="n">
        <v>2000</v>
      </c>
      <c r="Q82" s="26" t="inlineStr">
        <is>
          <t>SOBRE PEDIDO (EXP)</t>
        </is>
      </c>
    </row>
    <row r="83" ht="19" customHeight="1">
      <c r="A83" s="18" t="inlineStr">
        <is>
          <t>CBROT0020</t>
        </is>
      </c>
      <c r="B83" s="19" t="inlineStr">
        <is>
          <t>CBROT0020AZ</t>
        </is>
      </c>
      <c r="C83" s="20" t="inlineStr">
        <is>
          <t>CODIBROT, 20 L</t>
        </is>
      </c>
      <c r="D83" s="21" t="n">
        <v>20</v>
      </c>
      <c r="E83" s="20" t="inlineStr">
        <is>
          <t>Garrafas 20L</t>
        </is>
      </c>
      <c r="F83" s="22" t="inlineStr">
        <is>
          <t>AZERBAIYÁN</t>
        </is>
      </c>
      <c r="G83" s="23" t="inlineStr">
        <is>
          <t>Sobre Pedido (Export)</t>
        </is>
      </c>
      <c r="H83" s="24" t="n">
        <v>620</v>
      </c>
      <c r="I83" s="24" t="n">
        <v>0</v>
      </c>
      <c r="J83" s="24" t="n">
        <v>0</v>
      </c>
      <c r="K83" s="24" t="n">
        <v>0</v>
      </c>
      <c r="L83" s="24" t="n">
        <v>2603.7244</v>
      </c>
      <c r="M83" s="25" t="n">
        <v>2603.7244</v>
      </c>
      <c r="N83" s="25" t="n">
        <v>2603.72</v>
      </c>
      <c r="O83" s="25" t="n">
        <v>1983.7244</v>
      </c>
      <c r="P83" s="25" t="n">
        <v>1983.72</v>
      </c>
      <c r="Q83" s="26" t="inlineStr">
        <is>
          <t>SOBRE PEDIDO (EXP)</t>
        </is>
      </c>
    </row>
    <row r="84" ht="19" customHeight="1">
      <c r="A84" s="27" t="inlineStr">
        <is>
          <t>A-500005</t>
        </is>
      </c>
      <c r="B84" s="28" t="inlineStr">
        <is>
          <t>A-500005CR</t>
        </is>
      </c>
      <c r="C84" s="29" t="inlineStr">
        <is>
          <t>CODIORGAN  A-50</t>
        </is>
      </c>
      <c r="D84" s="30" t="n">
        <v>5</v>
      </c>
      <c r="E84" s="29" t="inlineStr">
        <is>
          <t>Bolsas 5 Kg</t>
        </is>
      </c>
      <c r="F84" s="31" t="inlineStr">
        <is>
          <t>COSTA RICA</t>
        </is>
      </c>
      <c r="G84" s="32" t="inlineStr">
        <is>
          <t>Sobre Pedido (Export)</t>
        </is>
      </c>
      <c r="H84" s="33" t="n">
        <v>0</v>
      </c>
      <c r="I84" s="33" t="n">
        <v>0</v>
      </c>
      <c r="J84" s="33" t="n">
        <v>927</v>
      </c>
      <c r="K84" s="33" t="n">
        <v>1048.1205</v>
      </c>
      <c r="L84" s="33" t="n">
        <v>0</v>
      </c>
      <c r="M84" s="34" t="n">
        <v>1975.1205</v>
      </c>
      <c r="N84" s="34" t="n">
        <v>1975.12</v>
      </c>
      <c r="O84" s="34" t="n">
        <v>1975.1205</v>
      </c>
      <c r="P84" s="34" t="n">
        <v>1975.12</v>
      </c>
      <c r="Q84" s="26" t="inlineStr">
        <is>
          <t>SOBRE PEDIDO (EXP)</t>
        </is>
      </c>
    </row>
    <row r="85" ht="19" customHeight="1">
      <c r="A85" s="18" t="inlineStr">
        <is>
          <t>FTK0020</t>
        </is>
      </c>
      <c r="B85" s="19" t="inlineStr">
        <is>
          <t>FTK0020RS</t>
        </is>
      </c>
      <c r="C85" s="20" t="inlineStr">
        <is>
          <t>FITOKONTROL CA FLOW, 20 KG</t>
        </is>
      </c>
      <c r="D85" s="21" t="n">
        <v>20</v>
      </c>
      <c r="E85" s="20" t="inlineStr">
        <is>
          <t>Bolsas 20 Kg</t>
        </is>
      </c>
      <c r="F85" s="22" t="inlineStr">
        <is>
          <t>SERBIA</t>
        </is>
      </c>
      <c r="G85" s="23" t="inlineStr">
        <is>
          <t>Sobre Pedido (Export)</t>
        </is>
      </c>
      <c r="H85" s="24" t="n">
        <v>0</v>
      </c>
      <c r="I85" s="24" t="n">
        <v>0</v>
      </c>
      <c r="J85" s="24" t="n">
        <v>0</v>
      </c>
      <c r="K85" s="24" t="n">
        <v>0</v>
      </c>
      <c r="L85" s="24" t="n">
        <v>1909.3979</v>
      </c>
      <c r="M85" s="25" t="n">
        <v>1909.3979</v>
      </c>
      <c r="N85" s="25" t="n">
        <v>1909.4</v>
      </c>
      <c r="O85" s="25" t="n">
        <v>1909.3979</v>
      </c>
      <c r="P85" s="25" t="n">
        <v>1909.4</v>
      </c>
      <c r="Q85" s="26" t="inlineStr">
        <is>
          <t>SOBRE PEDIDO (EXP)</t>
        </is>
      </c>
    </row>
    <row r="86" ht="19" customHeight="1">
      <c r="A86" s="27" t="inlineStr">
        <is>
          <t>START0001</t>
        </is>
      </c>
      <c r="B86" s="31" t="inlineStr">
        <is>
          <t>START0001</t>
        </is>
      </c>
      <c r="C86" s="29" t="inlineStr">
        <is>
          <t>RADISOL STARTER, 1 L</t>
        </is>
      </c>
      <c r="D86" s="30" t="n">
        <v>1</v>
      </c>
      <c r="E86" s="29" t="inlineStr">
        <is>
          <t>Botellas 1L</t>
        </is>
      </c>
      <c r="F86" s="31" t="inlineStr">
        <is>
          <t>ESPAÑA</t>
        </is>
      </c>
      <c r="G86" s="31" t="inlineStr">
        <is>
          <t>Para Previsión (Nac)</t>
        </is>
      </c>
      <c r="H86" s="33" t="n">
        <v>0</v>
      </c>
      <c r="I86" s="33" t="n">
        <v>1848</v>
      </c>
      <c r="J86" s="33" t="n">
        <v>0</v>
      </c>
      <c r="K86" s="33" t="n">
        <v>0</v>
      </c>
      <c r="L86" s="33" t="n">
        <v>0</v>
      </c>
      <c r="M86" s="34" t="n">
        <v>1848</v>
      </c>
      <c r="N86" s="34" t="n">
        <v>1848</v>
      </c>
      <c r="O86" s="34" t="n">
        <v>1848</v>
      </c>
      <c r="P86" s="34" t="n">
        <v>1848</v>
      </c>
      <c r="Q86" s="26" t="inlineStr">
        <is>
          <t>FABRICACIÓN URGENTE</t>
        </is>
      </c>
    </row>
    <row r="87" ht="19" customHeight="1">
      <c r="A87" s="18" t="inlineStr">
        <is>
          <t>SS0001</t>
        </is>
      </c>
      <c r="B87" s="19" t="inlineStr">
        <is>
          <t>SS0001DO</t>
        </is>
      </c>
      <c r="C87" s="20" t="inlineStr">
        <is>
          <t>SAL-WAX Ca</t>
        </is>
      </c>
      <c r="D87" s="21" t="n">
        <v>1</v>
      </c>
      <c r="E87" s="20" t="inlineStr">
        <is>
          <t>Bolsas 1 Kg</t>
        </is>
      </c>
      <c r="F87" s="22" t="inlineStr">
        <is>
          <t>DOMINICANA, REPÚBLICA</t>
        </is>
      </c>
      <c r="G87" s="23" t="inlineStr">
        <is>
          <t>Sobre Pedido (Export)</t>
        </is>
      </c>
      <c r="H87" s="24" t="n">
        <v>0</v>
      </c>
      <c r="I87" s="24" t="n">
        <v>1088</v>
      </c>
      <c r="J87" s="24" t="n">
        <v>0</v>
      </c>
      <c r="K87" s="24" t="n">
        <v>670.7971</v>
      </c>
      <c r="L87" s="24" t="n">
        <v>0</v>
      </c>
      <c r="M87" s="25" t="n">
        <v>1758.7971</v>
      </c>
      <c r="N87" s="25" t="n">
        <v>1758.8</v>
      </c>
      <c r="O87" s="25" t="n">
        <v>1758.7971</v>
      </c>
      <c r="P87" s="25" t="n">
        <v>1758.8</v>
      </c>
      <c r="Q87" s="26" t="inlineStr">
        <is>
          <t>SOBRE PEDIDO (EXP)</t>
        </is>
      </c>
    </row>
    <row r="88" ht="19" customHeight="1">
      <c r="A88" s="27" t="inlineStr">
        <is>
          <t>FTK0005</t>
        </is>
      </c>
      <c r="B88" s="28" t="inlineStr">
        <is>
          <t>FTK0005MA</t>
        </is>
      </c>
      <c r="C88" s="29" t="inlineStr">
        <is>
          <t>FITOKONTROL CA FLOW, 5 KG</t>
        </is>
      </c>
      <c r="D88" s="30" t="n">
        <v>5</v>
      </c>
      <c r="E88" s="29" t="inlineStr">
        <is>
          <t>Bolsas 5 Kg</t>
        </is>
      </c>
      <c r="F88" s="31" t="inlineStr">
        <is>
          <t>MARRUECOS</t>
        </is>
      </c>
      <c r="G88" s="32" t="inlineStr">
        <is>
          <t>Sobre Pedido (Export)</t>
        </is>
      </c>
      <c r="H88" s="33" t="n">
        <v>0</v>
      </c>
      <c r="I88" s="33" t="n">
        <v>0</v>
      </c>
      <c r="J88" s="33" t="n">
        <v>0</v>
      </c>
      <c r="K88" s="33" t="n">
        <v>0</v>
      </c>
      <c r="L88" s="33" t="n">
        <v>1735.8162</v>
      </c>
      <c r="M88" s="34" t="n">
        <v>1735.8162</v>
      </c>
      <c r="N88" s="34" t="n">
        <v>1735.82</v>
      </c>
      <c r="O88" s="34" t="n">
        <v>1735.8162</v>
      </c>
      <c r="P88" s="34" t="n">
        <v>1735.82</v>
      </c>
      <c r="Q88" s="26" t="inlineStr">
        <is>
          <t>SOBRE PEDIDO (EXP)</t>
        </is>
      </c>
    </row>
    <row r="89" ht="19" customHeight="1">
      <c r="A89" s="18" t="inlineStr">
        <is>
          <t>GRE20005</t>
        </is>
      </c>
      <c r="B89" s="19" t="inlineStr">
        <is>
          <t>GRE20005GR</t>
        </is>
      </c>
      <c r="C89" s="20" t="inlineStr">
        <is>
          <t>EGERSIS</t>
        </is>
      </c>
      <c r="D89" s="21" t="n">
        <v>5</v>
      </c>
      <c r="E89" s="20" t="inlineStr">
        <is>
          <t>Garrafas 5L</t>
        </is>
      </c>
      <c r="F89" s="22" t="inlineStr">
        <is>
          <t>GRECIA</t>
        </is>
      </c>
      <c r="G89" s="23" t="inlineStr">
        <is>
          <t>Sobre Pedido (Export)</t>
        </is>
      </c>
      <c r="H89" s="24" t="n">
        <v>0</v>
      </c>
      <c r="I89" s="24" t="n">
        <v>0</v>
      </c>
      <c r="J89" s="24" t="n">
        <v>0</v>
      </c>
      <c r="K89" s="24" t="n">
        <v>0</v>
      </c>
      <c r="L89" s="24" t="n">
        <v>1735.8162</v>
      </c>
      <c r="M89" s="25" t="n">
        <v>1735.8162</v>
      </c>
      <c r="N89" s="25" t="n">
        <v>1735.82</v>
      </c>
      <c r="O89" s="25" t="n">
        <v>1735.8162</v>
      </c>
      <c r="P89" s="25" t="n">
        <v>1735.82</v>
      </c>
      <c r="Q89" s="26" t="inlineStr">
        <is>
          <t>SOBRE PEDIDO (EXP)</t>
        </is>
      </c>
    </row>
    <row r="90" ht="19" customHeight="1">
      <c r="A90" s="27" t="inlineStr">
        <is>
          <t>CM3M0001</t>
        </is>
      </c>
      <c r="B90" s="28" t="inlineStr">
        <is>
          <t>CM3M0001AZ</t>
        </is>
      </c>
      <c r="C90" s="29" t="inlineStr">
        <is>
          <t>TENSOLINE-MAX, 1 L</t>
        </is>
      </c>
      <c r="D90" s="30" t="n">
        <v>1</v>
      </c>
      <c r="E90" s="29" t="inlineStr">
        <is>
          <t>Botellas 1L</t>
        </is>
      </c>
      <c r="F90" s="31" t="inlineStr">
        <is>
          <t>AZERBAIYÁN</t>
        </is>
      </c>
      <c r="G90" s="32" t="inlineStr">
        <is>
          <t>Sobre Pedido (Export)</t>
        </is>
      </c>
      <c r="H90" s="33" t="n">
        <v>0</v>
      </c>
      <c r="I90" s="33" t="n">
        <v>0</v>
      </c>
      <c r="J90" s="33" t="n">
        <v>0</v>
      </c>
      <c r="K90" s="33" t="n">
        <v>0</v>
      </c>
      <c r="L90" s="33" t="n">
        <v>1735.8162</v>
      </c>
      <c r="M90" s="34" t="n">
        <v>1735.8162</v>
      </c>
      <c r="N90" s="34" t="n">
        <v>1735.82</v>
      </c>
      <c r="O90" s="34" t="n">
        <v>1735.8162</v>
      </c>
      <c r="P90" s="34" t="n">
        <v>1735.82</v>
      </c>
      <c r="Q90" s="26" t="inlineStr">
        <is>
          <t>SOBRE PEDIDO (EXP)</t>
        </is>
      </c>
    </row>
    <row r="91" ht="19" customHeight="1">
      <c r="A91" s="18" t="inlineStr">
        <is>
          <t>A-50(2)0001</t>
        </is>
      </c>
      <c r="B91" s="19" t="inlineStr">
        <is>
          <t>A-50(2)0001RS</t>
        </is>
      </c>
      <c r="C91" s="20" t="inlineStr">
        <is>
          <t>CODIORGAN-A50</t>
        </is>
      </c>
      <c r="D91" s="21" t="n">
        <v>1</v>
      </c>
      <c r="E91" s="20" t="inlineStr">
        <is>
          <t>Bolsas 1 Kg</t>
        </is>
      </c>
      <c r="F91" s="22" t="inlineStr">
        <is>
          <t>SERBIA</t>
        </is>
      </c>
      <c r="G91" s="23" t="inlineStr">
        <is>
          <t>Sobre Pedido (Export)</t>
        </is>
      </c>
      <c r="H91" s="24" t="n">
        <v>0</v>
      </c>
      <c r="I91" s="24" t="n">
        <v>0</v>
      </c>
      <c r="J91" s="24" t="n">
        <v>0</v>
      </c>
      <c r="K91" s="24" t="n">
        <v>0</v>
      </c>
      <c r="L91" s="24" t="n">
        <v>1735.8162</v>
      </c>
      <c r="M91" s="25" t="n">
        <v>1735.8162</v>
      </c>
      <c r="N91" s="25" t="n">
        <v>1735.82</v>
      </c>
      <c r="O91" s="25" t="n">
        <v>1735.8162</v>
      </c>
      <c r="P91" s="25" t="n">
        <v>1735.82</v>
      </c>
      <c r="Q91" s="26" t="inlineStr">
        <is>
          <t>SOBRE PEDIDO (EXP)</t>
        </is>
      </c>
    </row>
    <row r="92" ht="19" customHeight="1">
      <c r="A92" s="27" t="inlineStr">
        <is>
          <t>CZNMNES1000</t>
        </is>
      </c>
      <c r="B92" s="28" t="inlineStr">
        <is>
          <t>CZNMNES1000TR</t>
        </is>
      </c>
      <c r="C92" s="29" t="inlineStr">
        <is>
          <t>CODIFOL ZN-MN, 1000 KG</t>
        </is>
      </c>
      <c r="D92" s="30" t="n">
        <v>1000</v>
      </c>
      <c r="E92" s="29" t="inlineStr">
        <is>
          <t>Big Bag 1000 Kg</t>
        </is>
      </c>
      <c r="F92" s="31" t="inlineStr">
        <is>
          <t>TURQUÍA</t>
        </is>
      </c>
      <c r="G92" s="32" t="inlineStr">
        <is>
          <t>Sobre Pedido (Export)</t>
        </is>
      </c>
      <c r="H92" s="33" t="n">
        <v>0</v>
      </c>
      <c r="I92" s="33" t="n">
        <v>0</v>
      </c>
      <c r="J92" s="33" t="n">
        <v>0</v>
      </c>
      <c r="K92" s="33" t="n">
        <v>0</v>
      </c>
      <c r="L92" s="33" t="n">
        <v>1735.8162</v>
      </c>
      <c r="M92" s="34" t="n">
        <v>1735.8162</v>
      </c>
      <c r="N92" s="34" t="n">
        <v>1735.82</v>
      </c>
      <c r="O92" s="34" t="n">
        <v>1735.8162</v>
      </c>
      <c r="P92" s="34" t="n">
        <v>1735.82</v>
      </c>
      <c r="Q92" s="26" t="inlineStr">
        <is>
          <t>SOBRE PEDIDO (EXP)</t>
        </is>
      </c>
    </row>
    <row r="93" ht="19" customHeight="1">
      <c r="A93" s="18" t="inlineStr">
        <is>
          <t>A-501000</t>
        </is>
      </c>
      <c r="B93" s="19" t="inlineStr">
        <is>
          <t>A-501000TR</t>
        </is>
      </c>
      <c r="C93" s="20" t="inlineStr">
        <is>
          <t>CODIORGAN-A50, 1000 KG</t>
        </is>
      </c>
      <c r="D93" s="21" t="n">
        <v>1000</v>
      </c>
      <c r="E93" s="20" t="inlineStr">
        <is>
          <t>Big Bag 1000 Kg</t>
        </is>
      </c>
      <c r="F93" s="22" t="inlineStr">
        <is>
          <t>TURQUÍA</t>
        </is>
      </c>
      <c r="G93" s="23" t="inlineStr">
        <is>
          <t>Sobre Pedido (Export)</t>
        </is>
      </c>
      <c r="H93" s="24" t="n">
        <v>0</v>
      </c>
      <c r="I93" s="24" t="n">
        <v>0</v>
      </c>
      <c r="J93" s="24" t="n">
        <v>0</v>
      </c>
      <c r="K93" s="24" t="n">
        <v>0</v>
      </c>
      <c r="L93" s="24" t="n">
        <v>1735.8162</v>
      </c>
      <c r="M93" s="25" t="n">
        <v>1735.8162</v>
      </c>
      <c r="N93" s="25" t="n">
        <v>1735.82</v>
      </c>
      <c r="O93" s="25" t="n">
        <v>1735.8162</v>
      </c>
      <c r="P93" s="25" t="n">
        <v>1735.82</v>
      </c>
      <c r="Q93" s="26" t="inlineStr">
        <is>
          <t>SOBRE PEDIDO (EXP)</t>
        </is>
      </c>
    </row>
    <row r="94" ht="19" customHeight="1">
      <c r="A94" s="27" t="inlineStr">
        <is>
          <t>BC0020</t>
        </is>
      </c>
      <c r="B94" s="31" t="inlineStr">
        <is>
          <t>BC0020</t>
        </is>
      </c>
      <c r="C94" s="29" t="inlineStr">
        <is>
          <t>BITTER-CAL, 20 KG</t>
        </is>
      </c>
      <c r="D94" s="30" t="n">
        <v>20</v>
      </c>
      <c r="E94" s="29" t="inlineStr">
        <is>
          <t>Bolsas 20 Kg</t>
        </is>
      </c>
      <c r="F94" s="31" t="inlineStr">
        <is>
          <t>ESPAÑA</t>
        </is>
      </c>
      <c r="G94" s="31" t="inlineStr">
        <is>
          <t>Para Previsión (Nac)</t>
        </is>
      </c>
      <c r="H94" s="33" t="n">
        <v>200</v>
      </c>
      <c r="I94" s="33" t="n">
        <v>1920</v>
      </c>
      <c r="J94" s="33" t="n">
        <v>0</v>
      </c>
      <c r="K94" s="33" t="n">
        <v>0</v>
      </c>
      <c r="L94" s="33" t="n">
        <v>0</v>
      </c>
      <c r="M94" s="34" t="n">
        <v>1920</v>
      </c>
      <c r="N94" s="34" t="n">
        <v>1920</v>
      </c>
      <c r="O94" s="34" t="n">
        <v>1720</v>
      </c>
      <c r="P94" s="34" t="n">
        <v>1720</v>
      </c>
      <c r="Q94" s="26" t="inlineStr">
        <is>
          <t>FABRICACIÓN URGENTE</t>
        </is>
      </c>
    </row>
    <row r="95" ht="19" customHeight="1">
      <c r="A95" s="18" t="inlineStr">
        <is>
          <t>A-500001</t>
        </is>
      </c>
      <c r="B95" s="19" t="inlineStr">
        <is>
          <t>A-500001GE</t>
        </is>
      </c>
      <c r="C95" s="20" t="inlineStr">
        <is>
          <t>CODIORGAN-A50, 1 KG</t>
        </is>
      </c>
      <c r="D95" s="21" t="n">
        <v>1</v>
      </c>
      <c r="E95" s="20" t="inlineStr">
        <is>
          <t>Bolsas 1 Kg</t>
        </is>
      </c>
      <c r="F95" s="22" t="inlineStr">
        <is>
          <t>GEORGIA</t>
        </is>
      </c>
      <c r="G95" s="23" t="inlineStr">
        <is>
          <t>Sobre Pedido (Export)</t>
        </is>
      </c>
      <c r="H95" s="24" t="n">
        <v>0</v>
      </c>
      <c r="I95" s="24" t="n">
        <v>0</v>
      </c>
      <c r="J95" s="24" t="n">
        <v>0</v>
      </c>
      <c r="K95" s="24" t="n">
        <v>0</v>
      </c>
      <c r="L95" s="24" t="n">
        <v>1666.3836</v>
      </c>
      <c r="M95" s="25" t="n">
        <v>1666.3836</v>
      </c>
      <c r="N95" s="25" t="n">
        <v>1666.38</v>
      </c>
      <c r="O95" s="25" t="n">
        <v>1666.3836</v>
      </c>
      <c r="P95" s="25" t="n">
        <v>1666.38</v>
      </c>
      <c r="Q95" s="26" t="inlineStr">
        <is>
          <t>SOBRE PEDIDO (EXP)</t>
        </is>
      </c>
    </row>
    <row r="96" ht="19" customHeight="1">
      <c r="A96" s="27" t="inlineStr">
        <is>
          <t>SS0020</t>
        </is>
      </c>
      <c r="B96" s="31" t="inlineStr">
        <is>
          <t>SS0020</t>
        </is>
      </c>
      <c r="C96" s="29" t="inlineStr">
        <is>
          <t>SAL-WAX-Ca sólido, 20 KG</t>
        </is>
      </c>
      <c r="D96" s="30" t="n">
        <v>20</v>
      </c>
      <c r="E96" s="29" t="inlineStr">
        <is>
          <t>Bolsas 20 Kg</t>
        </is>
      </c>
      <c r="F96" s="31" t="inlineStr">
        <is>
          <t>ESPAÑA</t>
        </is>
      </c>
      <c r="G96" s="31" t="inlineStr">
        <is>
          <t>Para Previsión (Nac)</t>
        </is>
      </c>
      <c r="H96" s="33" t="n">
        <v>6240</v>
      </c>
      <c r="I96" s="33" t="n">
        <v>0</v>
      </c>
      <c r="J96" s="33" t="n">
        <v>3708.19</v>
      </c>
      <c r="K96" s="33" t="n">
        <v>4192.4819</v>
      </c>
      <c r="L96" s="33" t="n">
        <v>0</v>
      </c>
      <c r="M96" s="34" t="n">
        <v>7900.671899999999</v>
      </c>
      <c r="N96" s="34" t="n">
        <v>7900.67</v>
      </c>
      <c r="O96" s="34" t="n">
        <v>1660.671899999999</v>
      </c>
      <c r="P96" s="34" t="n">
        <v>1660.67</v>
      </c>
      <c r="Q96" s="26" t="inlineStr">
        <is>
          <t>FABRICACIÓN URGENTE</t>
        </is>
      </c>
    </row>
    <row r="97" ht="19" customHeight="1">
      <c r="A97" s="18" t="inlineStr">
        <is>
          <t>AGZNP0001</t>
        </is>
      </c>
      <c r="B97" s="19" t="inlineStr">
        <is>
          <t>AGZNP0001EG</t>
        </is>
      </c>
      <c r="C97" s="20" t="inlineStr">
        <is>
          <t>AGROXILATO-ZN PLUS</t>
        </is>
      </c>
      <c r="D97" s="21" t="n">
        <v>1</v>
      </c>
      <c r="E97" s="20" t="inlineStr">
        <is>
          <t>Bolsas 1 Kg</t>
        </is>
      </c>
      <c r="F97" s="22" t="inlineStr">
        <is>
          <t>EGIPTO</t>
        </is>
      </c>
      <c r="G97" s="23" t="inlineStr">
        <is>
          <t>Sobre Pedido (Export)</t>
        </is>
      </c>
      <c r="H97" s="24" t="n">
        <v>128</v>
      </c>
      <c r="I97" s="24" t="n">
        <v>0</v>
      </c>
      <c r="J97" s="24" t="n">
        <v>1757.67</v>
      </c>
      <c r="K97" s="24" t="n">
        <v>0</v>
      </c>
      <c r="L97" s="24" t="n">
        <v>0</v>
      </c>
      <c r="M97" s="25" t="n">
        <v>1757.67</v>
      </c>
      <c r="N97" s="25" t="n">
        <v>1757.67</v>
      </c>
      <c r="O97" s="25" t="n">
        <v>1629.67</v>
      </c>
      <c r="P97" s="25" t="n">
        <v>1629.67</v>
      </c>
      <c r="Q97" s="26" t="inlineStr">
        <is>
          <t>SOBRE PEDIDO (EXP)</t>
        </is>
      </c>
    </row>
    <row r="98" ht="19" customHeight="1">
      <c r="A98" s="27" t="inlineStr">
        <is>
          <t>AN0005</t>
        </is>
      </c>
      <c r="B98" s="28" t="inlineStr">
        <is>
          <t>AN0005MA</t>
        </is>
      </c>
      <c r="C98" s="29" t="inlineStr">
        <is>
          <t>ALCAPLANT NEW, 5 KG</t>
        </is>
      </c>
      <c r="D98" s="30" t="n">
        <v>5</v>
      </c>
      <c r="E98" s="29" t="inlineStr">
        <is>
          <t>Bolsas 5 Kg</t>
        </is>
      </c>
      <c r="F98" s="31" t="inlineStr">
        <is>
          <t>MARRUECOS</t>
        </is>
      </c>
      <c r="G98" s="32" t="inlineStr">
        <is>
          <t>Sobre Pedido (Export)</t>
        </is>
      </c>
      <c r="H98" s="33" t="n">
        <v>1080</v>
      </c>
      <c r="I98" s="33" t="n">
        <v>0</v>
      </c>
      <c r="J98" s="33" t="n">
        <v>2636.51</v>
      </c>
      <c r="K98" s="33" t="n">
        <v>0</v>
      </c>
      <c r="L98" s="33" t="n">
        <v>0</v>
      </c>
      <c r="M98" s="34" t="n">
        <v>2636.51</v>
      </c>
      <c r="N98" s="34" t="n">
        <v>2636.51</v>
      </c>
      <c r="O98" s="34" t="n">
        <v>1556.51</v>
      </c>
      <c r="P98" s="34" t="n">
        <v>1556.51</v>
      </c>
      <c r="Q98" s="26" t="inlineStr">
        <is>
          <t>SOBRE PEDIDO (EXP)</t>
        </is>
      </c>
    </row>
    <row r="99" ht="19" customHeight="1">
      <c r="A99" s="18" t="inlineStr">
        <is>
          <t>FROST-P0020</t>
        </is>
      </c>
      <c r="B99" s="22" t="inlineStr">
        <is>
          <t>FROST-P0020</t>
        </is>
      </c>
      <c r="C99" s="20" t="inlineStr">
        <is>
          <t>CODIFROST PLUS, 20 L</t>
        </is>
      </c>
      <c r="D99" s="21" t="n">
        <v>20</v>
      </c>
      <c r="E99" s="20" t="inlineStr">
        <is>
          <t>Garrafas 20L</t>
        </is>
      </c>
      <c r="F99" s="22" t="inlineStr">
        <is>
          <t>ESPAÑA</t>
        </is>
      </c>
      <c r="G99" s="22" t="inlineStr">
        <is>
          <t>Para Previsión (Nac)</t>
        </is>
      </c>
      <c r="H99" s="24" t="n">
        <v>280</v>
      </c>
      <c r="I99" s="24" t="n">
        <v>0</v>
      </c>
      <c r="J99" s="24" t="n">
        <v>0</v>
      </c>
      <c r="K99" s="24" t="n">
        <v>1656.0303</v>
      </c>
      <c r="L99" s="24" t="n">
        <v>173.5816</v>
      </c>
      <c r="M99" s="25" t="n">
        <v>1829.6119</v>
      </c>
      <c r="N99" s="25" t="n">
        <v>1829.61</v>
      </c>
      <c r="O99" s="25" t="n">
        <v>1549.6119</v>
      </c>
      <c r="P99" s="25" t="n">
        <v>1549.61</v>
      </c>
      <c r="Q99" s="26" t="inlineStr">
        <is>
          <t>FABRICACIÓN URGENTE</t>
        </is>
      </c>
    </row>
    <row r="100" ht="19" customHeight="1">
      <c r="A100" s="27" t="inlineStr">
        <is>
          <t>A-500020</t>
        </is>
      </c>
      <c r="B100" s="28" t="inlineStr">
        <is>
          <t>A-500020MA</t>
        </is>
      </c>
      <c r="C100" s="29" t="inlineStr">
        <is>
          <t>CODIORGAN  A-50</t>
        </is>
      </c>
      <c r="D100" s="30" t="n">
        <v>20</v>
      </c>
      <c r="E100" s="29" t="inlineStr">
        <is>
          <t>Bolsas 20 Kg</t>
        </is>
      </c>
      <c r="F100" s="31" t="inlineStr">
        <is>
          <t>ESPAÑA</t>
        </is>
      </c>
      <c r="G100" s="31" t="inlineStr">
        <is>
          <t>Para Previsión (Nac)</t>
        </is>
      </c>
      <c r="H100" s="33" t="n">
        <v>0</v>
      </c>
      <c r="I100" s="33" t="n">
        <v>1500</v>
      </c>
      <c r="J100" s="33" t="n">
        <v>0</v>
      </c>
      <c r="K100" s="33" t="n">
        <v>0</v>
      </c>
      <c r="L100" s="33" t="n">
        <v>0</v>
      </c>
      <c r="M100" s="34" t="n">
        <v>1500</v>
      </c>
      <c r="N100" s="34" t="n">
        <v>1500</v>
      </c>
      <c r="O100" s="34" t="n">
        <v>1500</v>
      </c>
      <c r="P100" s="34" t="n">
        <v>1500</v>
      </c>
      <c r="Q100" s="26" t="inlineStr">
        <is>
          <t>FABRICACIÓN URGENTE</t>
        </is>
      </c>
    </row>
    <row r="101" ht="19" customHeight="1">
      <c r="A101" s="18" t="inlineStr">
        <is>
          <t>JF0020</t>
        </is>
      </c>
      <c r="B101" s="22" t="inlineStr">
        <is>
          <t>JF0020</t>
        </is>
      </c>
      <c r="C101" s="20" t="inlineStr">
        <is>
          <t>DRAGO-FOS, 20 L</t>
        </is>
      </c>
      <c r="D101" s="21" t="n">
        <v>20</v>
      </c>
      <c r="E101" s="20" t="inlineStr">
        <is>
          <t>Garrafas 20L</t>
        </is>
      </c>
      <c r="F101" s="22" t="inlineStr">
        <is>
          <t>ESPAÑA</t>
        </is>
      </c>
      <c r="G101" s="22" t="inlineStr">
        <is>
          <t>Para Previsión (Nac)</t>
        </is>
      </c>
      <c r="H101" s="24" t="n">
        <v>1200</v>
      </c>
      <c r="I101" s="24" t="n">
        <v>0</v>
      </c>
      <c r="J101" s="24" t="n">
        <v>0</v>
      </c>
      <c r="K101" s="24" t="n">
        <v>2683.1884</v>
      </c>
      <c r="L101" s="24" t="n">
        <v>0</v>
      </c>
      <c r="M101" s="25" t="n">
        <v>2683.1884</v>
      </c>
      <c r="N101" s="25" t="n">
        <v>2683.19</v>
      </c>
      <c r="O101" s="25" t="n">
        <v>1483.1884</v>
      </c>
      <c r="P101" s="25" t="n">
        <v>1483.19</v>
      </c>
      <c r="Q101" s="26" t="inlineStr">
        <is>
          <t>FABRICACIÓN URGENTE</t>
        </is>
      </c>
    </row>
    <row r="102" ht="19" customHeight="1">
      <c r="A102" s="27" t="inlineStr">
        <is>
          <t>AGZN0005</t>
        </is>
      </c>
      <c r="B102" s="28" t="inlineStr">
        <is>
          <t>AGZN0005CR</t>
        </is>
      </c>
      <c r="C102" s="29" t="inlineStr">
        <is>
          <t>AGROXILATO-ZN 16%,  5 KG (EXPORT)</t>
        </is>
      </c>
      <c r="D102" s="30" t="n">
        <v>5</v>
      </c>
      <c r="E102" s="29" t="inlineStr">
        <is>
          <t>Bolsas 5 Kg</t>
        </is>
      </c>
      <c r="F102" s="31" t="inlineStr">
        <is>
          <t>COSTA RICA</t>
        </is>
      </c>
      <c r="G102" s="32" t="inlineStr">
        <is>
          <t>Sobre Pedido (Export)</t>
        </is>
      </c>
      <c r="H102" s="33" t="n">
        <v>0</v>
      </c>
      <c r="I102" s="33" t="n">
        <v>0</v>
      </c>
      <c r="J102" s="33" t="n">
        <v>927</v>
      </c>
      <c r="K102" s="33" t="n">
        <v>0</v>
      </c>
      <c r="L102" s="33" t="n">
        <v>433.9541</v>
      </c>
      <c r="M102" s="34" t="n">
        <v>1360.9541</v>
      </c>
      <c r="N102" s="34" t="n">
        <v>1360.95</v>
      </c>
      <c r="O102" s="34" t="n">
        <v>1360.9541</v>
      </c>
      <c r="P102" s="34" t="n">
        <v>1360.95</v>
      </c>
      <c r="Q102" s="26" t="inlineStr">
        <is>
          <t>SOBRE PEDIDO (EXP)</t>
        </is>
      </c>
    </row>
    <row r="103" ht="19" customHeight="1">
      <c r="A103" s="18" t="inlineStr">
        <is>
          <t>G1000CRCO</t>
        </is>
      </c>
      <c r="B103" s="22" t="inlineStr">
        <is>
          <t>G1000CRCO</t>
        </is>
      </c>
      <c r="C103" s="20" t="inlineStr">
        <is>
          <t>TRANSLOCADOR</t>
        </is>
      </c>
      <c r="D103" s="21" t="n">
        <v>1000</v>
      </c>
      <c r="E103" s="20" t="inlineStr">
        <is>
          <t>Depósito 1000 L</t>
        </is>
      </c>
      <c r="F103" s="22" t="inlineStr">
        <is>
          <t>COSTA RICA</t>
        </is>
      </c>
      <c r="G103" s="23" t="inlineStr">
        <is>
          <t>Sobre Pedido (Export)</t>
        </is>
      </c>
      <c r="H103" s="24" t="n">
        <v>0</v>
      </c>
      <c r="I103" s="24" t="n">
        <v>0</v>
      </c>
      <c r="J103" s="24" t="n">
        <v>927</v>
      </c>
      <c r="K103" s="24" t="n">
        <v>0</v>
      </c>
      <c r="L103" s="24" t="n">
        <v>433.9541</v>
      </c>
      <c r="M103" s="25" t="n">
        <v>1360.9541</v>
      </c>
      <c r="N103" s="25" t="n">
        <v>1360.95</v>
      </c>
      <c r="O103" s="25" t="n">
        <v>1360.9541</v>
      </c>
      <c r="P103" s="25" t="n">
        <v>1360.95</v>
      </c>
      <c r="Q103" s="26" t="inlineStr">
        <is>
          <t>SOBRE PEDIDO (EXP)</t>
        </is>
      </c>
    </row>
    <row r="104" ht="19" customHeight="1">
      <c r="A104" s="27" t="inlineStr">
        <is>
          <t>CODIR0001</t>
        </is>
      </c>
      <c r="B104" s="28" t="inlineStr">
        <is>
          <t>CODIR0001PA</t>
        </is>
      </c>
      <c r="C104" s="29" t="inlineStr">
        <is>
          <t>CODIRESIST, 1 L</t>
        </is>
      </c>
      <c r="D104" s="30" t="n">
        <v>1</v>
      </c>
      <c r="E104" s="29" t="inlineStr">
        <is>
          <t>Botellas 1L</t>
        </is>
      </c>
      <c r="F104" s="31" t="inlineStr">
        <is>
          <t>PANAMÁ</t>
        </is>
      </c>
      <c r="G104" s="32" t="inlineStr">
        <is>
          <t>Sobre Pedido (Export)</t>
        </is>
      </c>
      <c r="H104" s="33" t="n">
        <v>23</v>
      </c>
      <c r="I104" s="33" t="n">
        <v>0</v>
      </c>
      <c r="J104" s="33" t="n">
        <v>0</v>
      </c>
      <c r="K104" s="33" t="n">
        <v>0</v>
      </c>
      <c r="L104" s="33" t="n">
        <v>1374.7665</v>
      </c>
      <c r="M104" s="34" t="n">
        <v>1374.7665</v>
      </c>
      <c r="N104" s="34" t="n">
        <v>1374.77</v>
      </c>
      <c r="O104" s="34" t="n">
        <v>1351.7665</v>
      </c>
      <c r="P104" s="34" t="n">
        <v>1351.77</v>
      </c>
      <c r="Q104" s="26" t="inlineStr">
        <is>
          <t>SOBRE PEDIDO (EXP)</t>
        </is>
      </c>
    </row>
    <row r="105" ht="19" customHeight="1">
      <c r="A105" s="18" t="inlineStr">
        <is>
          <t>SS0001</t>
        </is>
      </c>
      <c r="B105" s="19" t="inlineStr">
        <is>
          <t>SS0001CR</t>
        </is>
      </c>
      <c r="C105" s="20" t="inlineStr">
        <is>
          <t>SAL-WAX Ca</t>
        </is>
      </c>
      <c r="D105" s="21" t="n">
        <v>1</v>
      </c>
      <c r="E105" s="20" t="inlineStr">
        <is>
          <t>Bolsas 1 Kg</t>
        </is>
      </c>
      <c r="F105" s="22" t="inlineStr">
        <is>
          <t>COSTA RICA</t>
        </is>
      </c>
      <c r="G105" s="23" t="inlineStr">
        <is>
          <t>Sobre Pedido (Export)</t>
        </is>
      </c>
      <c r="H105" s="24" t="n">
        <v>0</v>
      </c>
      <c r="I105" s="24" t="n">
        <v>0</v>
      </c>
      <c r="J105" s="24" t="n">
        <v>979</v>
      </c>
      <c r="K105" s="24" t="n">
        <v>0</v>
      </c>
      <c r="L105" s="24" t="n">
        <v>347.1632</v>
      </c>
      <c r="M105" s="25" t="n">
        <v>1326.1632</v>
      </c>
      <c r="N105" s="25" t="n">
        <v>1326.16</v>
      </c>
      <c r="O105" s="25" t="n">
        <v>1326.1632</v>
      </c>
      <c r="P105" s="25" t="n">
        <v>1326.16</v>
      </c>
      <c r="Q105" s="26" t="inlineStr">
        <is>
          <t>SOBRE PEDIDO (EXP)</t>
        </is>
      </c>
    </row>
    <row r="106" ht="19" customHeight="1">
      <c r="A106" s="27" t="inlineStr">
        <is>
          <t>SSEG0020</t>
        </is>
      </c>
      <c r="B106" s="31" t="inlineStr">
        <is>
          <t>SSEG0020</t>
        </is>
      </c>
      <c r="C106" s="29" t="inlineStr">
        <is>
          <t>SAL-WAX Ca</t>
        </is>
      </c>
      <c r="D106" s="30" t="n">
        <v>20</v>
      </c>
      <c r="E106" s="29" t="inlineStr">
        <is>
          <t>Bolsas 20 Kg</t>
        </is>
      </c>
      <c r="F106" s="31" t="inlineStr">
        <is>
          <t>EXPORT</t>
        </is>
      </c>
      <c r="G106" s="32" t="inlineStr">
        <is>
          <t>Sobre Pedido (Export)</t>
        </is>
      </c>
      <c r="H106" s="33" t="n">
        <v>0</v>
      </c>
      <c r="I106" s="33" t="n">
        <v>1200</v>
      </c>
      <c r="J106" s="33" t="n">
        <v>0</v>
      </c>
      <c r="K106" s="33" t="n">
        <v>0</v>
      </c>
      <c r="L106" s="33" t="n">
        <v>0</v>
      </c>
      <c r="M106" s="34" t="n">
        <v>1200</v>
      </c>
      <c r="N106" s="34" t="n">
        <v>1200</v>
      </c>
      <c r="O106" s="34" t="n">
        <v>1200</v>
      </c>
      <c r="P106" s="34" t="n">
        <v>1200</v>
      </c>
      <c r="Q106" s="26" t="inlineStr">
        <is>
          <t>SOBRE PEDIDO (EXP)</t>
        </is>
      </c>
    </row>
    <row r="107" ht="19" customHeight="1">
      <c r="A107" s="18" t="inlineStr">
        <is>
          <t>BROTA0020</t>
        </is>
      </c>
      <c r="B107" s="22" t="inlineStr">
        <is>
          <t>BROTA0020</t>
        </is>
      </c>
      <c r="C107" s="20" t="inlineStr">
        <is>
          <t>BROTAMEC, 20 L</t>
        </is>
      </c>
      <c r="D107" s="21" t="n">
        <v>20</v>
      </c>
      <c r="E107" s="20" t="inlineStr">
        <is>
          <t>Garrafas 20L</t>
        </is>
      </c>
      <c r="F107" s="22" t="inlineStr">
        <is>
          <t>ESPAÑA</t>
        </is>
      </c>
      <c r="G107" s="22" t="inlineStr">
        <is>
          <t>Para Previsión (Nac)</t>
        </is>
      </c>
      <c r="H107" s="24" t="n">
        <v>820</v>
      </c>
      <c r="I107" s="24" t="n">
        <v>0</v>
      </c>
      <c r="J107" s="24" t="n">
        <v>1186.62</v>
      </c>
      <c r="K107" s="24" t="n">
        <v>0</v>
      </c>
      <c r="L107" s="24" t="n">
        <v>833.1917999999999</v>
      </c>
      <c r="M107" s="25" t="n">
        <v>2019.8118</v>
      </c>
      <c r="N107" s="25" t="n">
        <v>2019.81</v>
      </c>
      <c r="O107" s="25" t="n">
        <v>1199.8118</v>
      </c>
      <c r="P107" s="25" t="n">
        <v>1199.81</v>
      </c>
      <c r="Q107" s="26" t="inlineStr">
        <is>
          <t>FABRICACIÓN URGENTE</t>
        </is>
      </c>
    </row>
    <row r="108" ht="19" customHeight="1">
      <c r="A108" s="27" t="inlineStr">
        <is>
          <t>AN0020</t>
        </is>
      </c>
      <c r="B108" s="28" t="inlineStr">
        <is>
          <t>AN0020RO</t>
        </is>
      </c>
      <c r="C108" s="29" t="inlineStr">
        <is>
          <t>ALCAPLANT NEW, 20 KG</t>
        </is>
      </c>
      <c r="D108" s="30" t="n">
        <v>20</v>
      </c>
      <c r="E108" s="29" t="inlineStr">
        <is>
          <t>Bolsas 20 Kg</t>
        </is>
      </c>
      <c r="F108" s="31" t="inlineStr">
        <is>
          <t>RUMANÍA</t>
        </is>
      </c>
      <c r="G108" s="32" t="inlineStr">
        <is>
          <t>Sobre Pedido (Export)</t>
        </is>
      </c>
      <c r="H108" s="33" t="n">
        <v>0</v>
      </c>
      <c r="I108" s="33" t="n">
        <v>0</v>
      </c>
      <c r="J108" s="33" t="n">
        <v>0</v>
      </c>
      <c r="K108" s="33" t="n">
        <v>1152.9325</v>
      </c>
      <c r="L108" s="33" t="n">
        <v>0</v>
      </c>
      <c r="M108" s="34" t="n">
        <v>1152.9325</v>
      </c>
      <c r="N108" s="34" t="n">
        <v>1152.93</v>
      </c>
      <c r="O108" s="34" t="n">
        <v>1152.9325</v>
      </c>
      <c r="P108" s="34" t="n">
        <v>1152.93</v>
      </c>
      <c r="Q108" s="26" t="inlineStr">
        <is>
          <t>SOBRE PEDIDO (EXP)</t>
        </is>
      </c>
    </row>
    <row r="109" ht="19" customHeight="1">
      <c r="A109" s="18" t="inlineStr">
        <is>
          <t>BROTA0005</t>
        </is>
      </c>
      <c r="B109" s="22" t="inlineStr">
        <is>
          <t>BROTA0005</t>
        </is>
      </c>
      <c r="C109" s="20" t="inlineStr">
        <is>
          <t>BROTAMEC, 5 L</t>
        </is>
      </c>
      <c r="D109" s="21" t="n">
        <v>5</v>
      </c>
      <c r="E109" s="20" t="inlineStr">
        <is>
          <t>Garrafas 5L</t>
        </is>
      </c>
      <c r="F109" s="22" t="inlineStr">
        <is>
          <t>ESPAÑA</t>
        </is>
      </c>
      <c r="G109" s="22" t="inlineStr">
        <is>
          <t>Para Previsión (Nac)</t>
        </is>
      </c>
      <c r="H109" s="24" t="n">
        <v>1060</v>
      </c>
      <c r="I109" s="24" t="n">
        <v>0</v>
      </c>
      <c r="J109" s="24" t="n">
        <v>834.34</v>
      </c>
      <c r="K109" s="24" t="n">
        <v>733.6842</v>
      </c>
      <c r="L109" s="24" t="n">
        <v>607.5356</v>
      </c>
      <c r="M109" s="25" t="n">
        <v>2175.5598</v>
      </c>
      <c r="N109" s="25" t="n">
        <v>2175.56</v>
      </c>
      <c r="O109" s="25" t="n">
        <v>1115.5598</v>
      </c>
      <c r="P109" s="25" t="n">
        <v>1115.56</v>
      </c>
      <c r="Q109" s="26" t="inlineStr">
        <is>
          <t>FABRICACIÓN URGENTE</t>
        </is>
      </c>
    </row>
    <row r="110" ht="19" customHeight="1">
      <c r="A110" s="27" t="inlineStr">
        <is>
          <t>AGZN0001</t>
        </is>
      </c>
      <c r="B110" s="28" t="inlineStr">
        <is>
          <t>AGZN0001CR</t>
        </is>
      </c>
      <c r="C110" s="29" t="inlineStr">
        <is>
          <t>AGROXILATO Zn</t>
        </is>
      </c>
      <c r="D110" s="30" t="n">
        <v>1</v>
      </c>
      <c r="E110" s="29" t="inlineStr">
        <is>
          <t>Bolsas 1 Kg</t>
        </is>
      </c>
      <c r="F110" s="31" t="inlineStr">
        <is>
          <t>COSTA RICA</t>
        </is>
      </c>
      <c r="G110" s="32" t="inlineStr">
        <is>
          <t>Sobre Pedido (Export)</t>
        </is>
      </c>
      <c r="H110" s="33" t="n">
        <v>0</v>
      </c>
      <c r="I110" s="33" t="n">
        <v>0</v>
      </c>
      <c r="J110" s="33" t="n">
        <v>0</v>
      </c>
      <c r="K110" s="33" t="n">
        <v>1106.8152</v>
      </c>
      <c r="L110" s="33" t="n">
        <v>0</v>
      </c>
      <c r="M110" s="34" t="n">
        <v>1106.8152</v>
      </c>
      <c r="N110" s="34" t="n">
        <v>1106.82</v>
      </c>
      <c r="O110" s="34" t="n">
        <v>1106.8152</v>
      </c>
      <c r="P110" s="34" t="n">
        <v>1106.82</v>
      </c>
      <c r="Q110" s="26" t="inlineStr">
        <is>
          <t>SOBRE PEDIDO (EXP)</t>
        </is>
      </c>
    </row>
    <row r="111" ht="19" customHeight="1">
      <c r="A111" s="18" t="inlineStr">
        <is>
          <t>AN0020</t>
        </is>
      </c>
      <c r="B111" s="19" t="inlineStr">
        <is>
          <t>AN0020PE</t>
        </is>
      </c>
      <c r="C111" s="20" t="inlineStr">
        <is>
          <t>ALCAPLANT NEW, 20 KG</t>
        </is>
      </c>
      <c r="D111" s="21" t="n">
        <v>20</v>
      </c>
      <c r="E111" s="20" t="inlineStr">
        <is>
          <t>Bolsas 20 Kg</t>
        </is>
      </c>
      <c r="F111" s="22" t="inlineStr">
        <is>
          <t>PERÚ</t>
        </is>
      </c>
      <c r="G111" s="23" t="inlineStr">
        <is>
          <t>Sobre Pedido (Export)</t>
        </is>
      </c>
      <c r="H111" s="24" t="n">
        <v>0</v>
      </c>
      <c r="I111" s="24" t="n">
        <v>1100</v>
      </c>
      <c r="J111" s="24" t="n">
        <v>0</v>
      </c>
      <c r="K111" s="24" t="n">
        <v>0</v>
      </c>
      <c r="L111" s="24" t="n">
        <v>0</v>
      </c>
      <c r="M111" s="25" t="n">
        <v>1100</v>
      </c>
      <c r="N111" s="25" t="n">
        <v>1100</v>
      </c>
      <c r="O111" s="25" t="n">
        <v>1100</v>
      </c>
      <c r="P111" s="25" t="n">
        <v>1100</v>
      </c>
      <c r="Q111" s="26" t="inlineStr">
        <is>
          <t>SOBRE PEDIDO (EXP)</t>
        </is>
      </c>
    </row>
    <row r="112" ht="19" customHeight="1">
      <c r="A112" s="27" t="inlineStr">
        <is>
          <t>AVAN0005</t>
        </is>
      </c>
      <c r="B112" s="31" t="inlineStr">
        <is>
          <t>AVAN0005</t>
        </is>
      </c>
      <c r="C112" s="29" t="inlineStr">
        <is>
          <t>FLORAMEC AVANCE, 5 L</t>
        </is>
      </c>
      <c r="D112" s="30" t="n">
        <v>5</v>
      </c>
      <c r="E112" s="29" t="inlineStr">
        <is>
          <t>Garrafas 5L</t>
        </is>
      </c>
      <c r="F112" s="31" t="inlineStr">
        <is>
          <t>ESPAÑA</t>
        </is>
      </c>
      <c r="G112" s="31" t="inlineStr">
        <is>
          <t>Para Previsión (Nac)</t>
        </is>
      </c>
      <c r="H112" s="33" t="n">
        <v>2640</v>
      </c>
      <c r="I112" s="33" t="n">
        <v>0</v>
      </c>
      <c r="J112" s="33" t="n">
        <v>2015.38</v>
      </c>
      <c r="K112" s="33" t="n">
        <v>419.2481</v>
      </c>
      <c r="L112" s="33" t="n">
        <v>1301.8621</v>
      </c>
      <c r="M112" s="34" t="n">
        <v>3736.4902</v>
      </c>
      <c r="N112" s="34" t="n">
        <v>3736.49</v>
      </c>
      <c r="O112" s="34" t="n">
        <v>1096.4902</v>
      </c>
      <c r="P112" s="34" t="n">
        <v>1096.49</v>
      </c>
      <c r="Q112" s="26" t="inlineStr">
        <is>
          <t>FABRICACIÓN URGENTE</t>
        </is>
      </c>
    </row>
    <row r="113" ht="19" customHeight="1">
      <c r="A113" s="18" t="inlineStr">
        <is>
          <t>F-MIX0020</t>
        </is>
      </c>
      <c r="B113" s="19" t="inlineStr">
        <is>
          <t>F-MIX0020MA</t>
        </is>
      </c>
      <c r="C113" s="20" t="inlineStr">
        <is>
          <t>FITOLIN-MIX, 20 L</t>
        </is>
      </c>
      <c r="D113" s="21" t="n">
        <v>20</v>
      </c>
      <c r="E113" s="20" t="inlineStr">
        <is>
          <t>Garrafas 20L</t>
        </is>
      </c>
      <c r="F113" s="22" t="inlineStr">
        <is>
          <t>MARRUECOS</t>
        </is>
      </c>
      <c r="G113" s="23" t="inlineStr">
        <is>
          <t>Sobre Pedido (Export)</t>
        </is>
      </c>
      <c r="H113" s="24" t="n">
        <v>0</v>
      </c>
      <c r="I113" s="24" t="n">
        <v>0</v>
      </c>
      <c r="J113" s="24" t="n">
        <v>0</v>
      </c>
      <c r="K113" s="24" t="n">
        <v>1048.1205</v>
      </c>
      <c r="L113" s="24" t="n">
        <v>0</v>
      </c>
      <c r="M113" s="25" t="n">
        <v>1048.1205</v>
      </c>
      <c r="N113" s="25" t="n">
        <v>1048.12</v>
      </c>
      <c r="O113" s="25" t="n">
        <v>1048.1205</v>
      </c>
      <c r="P113" s="25" t="n">
        <v>1048.12</v>
      </c>
      <c r="Q113" s="26" t="inlineStr">
        <is>
          <t>SOBRE PEDIDO (EXP)</t>
        </is>
      </c>
    </row>
    <row r="114" ht="19" customHeight="1">
      <c r="A114" s="27" t="inlineStr">
        <is>
          <t>A-500020</t>
        </is>
      </c>
      <c r="B114" s="28" t="inlineStr">
        <is>
          <t>A-500020CR</t>
        </is>
      </c>
      <c r="C114" s="29" t="inlineStr">
        <is>
          <t>CODIORGAN  A-50</t>
        </is>
      </c>
      <c r="D114" s="30" t="n">
        <v>20</v>
      </c>
      <c r="E114" s="29" t="inlineStr">
        <is>
          <t>Bolsas 20 Kg</t>
        </is>
      </c>
      <c r="F114" s="31" t="inlineStr">
        <is>
          <t>COSTA RICA</t>
        </is>
      </c>
      <c r="G114" s="32" t="inlineStr">
        <is>
          <t>Sobre Pedido (Export)</t>
        </is>
      </c>
      <c r="H114" s="33" t="n">
        <v>0</v>
      </c>
      <c r="I114" s="33" t="n">
        <v>0</v>
      </c>
      <c r="J114" s="33" t="n">
        <v>0</v>
      </c>
      <c r="K114" s="33" t="n">
        <v>1048.1205</v>
      </c>
      <c r="L114" s="33" t="n">
        <v>0</v>
      </c>
      <c r="M114" s="34" t="n">
        <v>1048.1205</v>
      </c>
      <c r="N114" s="34" t="n">
        <v>1048.12</v>
      </c>
      <c r="O114" s="34" t="n">
        <v>1048.1205</v>
      </c>
      <c r="P114" s="34" t="n">
        <v>1048.12</v>
      </c>
      <c r="Q114" s="26" t="inlineStr">
        <is>
          <t>SOBRE PEDIDO (EXP)</t>
        </is>
      </c>
    </row>
    <row r="115" ht="19" customHeight="1">
      <c r="A115" s="18" t="inlineStr">
        <is>
          <t>RUN0001</t>
        </is>
      </c>
      <c r="B115" s="22" t="inlineStr">
        <is>
          <t>RUN0001</t>
        </is>
      </c>
      <c r="C115" s="20" t="inlineStr">
        <is>
          <t>RUN STRESS</t>
        </is>
      </c>
      <c r="D115" s="21" t="n">
        <v>1</v>
      </c>
      <c r="E115" s="20" t="inlineStr">
        <is>
          <t>Botellas 1L</t>
        </is>
      </c>
      <c r="F115" s="22" t="inlineStr">
        <is>
          <t>ESPAÑA</t>
        </is>
      </c>
      <c r="G115" s="22" t="inlineStr">
        <is>
          <t>Para Previsión (Nac)</t>
        </is>
      </c>
      <c r="H115" s="24" t="n">
        <v>0</v>
      </c>
      <c r="I115" s="24" t="n">
        <v>1008</v>
      </c>
      <c r="J115" s="24" t="n">
        <v>0</v>
      </c>
      <c r="K115" s="24" t="n">
        <v>0</v>
      </c>
      <c r="L115" s="24" t="n">
        <v>0</v>
      </c>
      <c r="M115" s="25" t="n">
        <v>1008</v>
      </c>
      <c r="N115" s="25" t="n">
        <v>1008</v>
      </c>
      <c r="O115" s="25" t="n">
        <v>1008</v>
      </c>
      <c r="P115" s="25" t="n">
        <v>1008</v>
      </c>
      <c r="Q115" s="26" t="inlineStr">
        <is>
          <t>FABRICACIÓN URGENTE</t>
        </is>
      </c>
    </row>
    <row r="116" ht="19" customHeight="1">
      <c r="A116" s="27" t="inlineStr">
        <is>
          <t>AN0005</t>
        </is>
      </c>
      <c r="B116" s="28" t="inlineStr">
        <is>
          <t>AN0005RS</t>
        </is>
      </c>
      <c r="C116" s="29" t="inlineStr">
        <is>
          <t>ALCAPLANT NEW, 5 KG</t>
        </is>
      </c>
      <c r="D116" s="30" t="n">
        <v>5</v>
      </c>
      <c r="E116" s="29" t="inlineStr">
        <is>
          <t>Bolsas 5 Kg</t>
        </is>
      </c>
      <c r="F116" s="31" t="inlineStr">
        <is>
          <t>SERBIA</t>
        </is>
      </c>
      <c r="G116" s="32" t="inlineStr">
        <is>
          <t>Sobre Pedido (Export)</t>
        </is>
      </c>
      <c r="H116" s="33" t="n">
        <v>0</v>
      </c>
      <c r="I116" s="33" t="n">
        <v>0</v>
      </c>
      <c r="J116" s="33" t="n">
        <v>0</v>
      </c>
      <c r="K116" s="33" t="n">
        <v>0</v>
      </c>
      <c r="L116" s="33" t="n">
        <v>954.6989</v>
      </c>
      <c r="M116" s="34" t="n">
        <v>954.6989</v>
      </c>
      <c r="N116" s="34" t="n">
        <v>954.7</v>
      </c>
      <c r="O116" s="34" t="n">
        <v>954.6989</v>
      </c>
      <c r="P116" s="34" t="n">
        <v>954.7</v>
      </c>
      <c r="Q116" s="26" t="inlineStr">
        <is>
          <t>SOBRE PEDIDO (EXP)</t>
        </is>
      </c>
    </row>
    <row r="117" ht="19" customHeight="1">
      <c r="A117" s="18" t="inlineStr">
        <is>
          <t>AMIMG0020</t>
        </is>
      </c>
      <c r="B117" s="22" t="inlineStr">
        <is>
          <t>AMIMG0020</t>
        </is>
      </c>
      <c r="C117" s="20" t="inlineStr">
        <is>
          <t>AMINOSOIL MG, 20 L</t>
        </is>
      </c>
      <c r="D117" s="21" t="n">
        <v>20</v>
      </c>
      <c r="E117" s="20" t="inlineStr">
        <is>
          <t>Garrafas 20L</t>
        </is>
      </c>
      <c r="F117" s="22" t="inlineStr">
        <is>
          <t>ESPAÑA</t>
        </is>
      </c>
      <c r="G117" s="22" t="inlineStr">
        <is>
          <t>Para Previsión (Nac)</t>
        </is>
      </c>
      <c r="H117" s="24" t="n">
        <v>0</v>
      </c>
      <c r="I117" s="24" t="n">
        <v>0</v>
      </c>
      <c r="J117" s="24" t="n">
        <v>0</v>
      </c>
      <c r="K117" s="24" t="n">
        <v>670.7971</v>
      </c>
      <c r="L117" s="24" t="n">
        <v>260.3724</v>
      </c>
      <c r="M117" s="25" t="n">
        <v>931.1695</v>
      </c>
      <c r="N117" s="25" t="n">
        <v>931.17</v>
      </c>
      <c r="O117" s="25" t="n">
        <v>931.1695</v>
      </c>
      <c r="P117" s="25" t="n">
        <v>931.17</v>
      </c>
      <c r="Q117" s="26" t="inlineStr">
        <is>
          <t>FABRICACIÓN URGENTE</t>
        </is>
      </c>
    </row>
    <row r="118" ht="19" customHeight="1">
      <c r="A118" s="27" t="inlineStr">
        <is>
          <t>A-500001</t>
        </is>
      </c>
      <c r="B118" s="28" t="inlineStr">
        <is>
          <t>A-500001RO</t>
        </is>
      </c>
      <c r="C118" s="29" t="inlineStr">
        <is>
          <t>CODIORGAN-A50, 1 KG</t>
        </is>
      </c>
      <c r="D118" s="30" t="n">
        <v>1</v>
      </c>
      <c r="E118" s="29" t="inlineStr">
        <is>
          <t>Bolsas 1 Kg</t>
        </is>
      </c>
      <c r="F118" s="31" t="inlineStr">
        <is>
          <t>RUMANÍA</t>
        </is>
      </c>
      <c r="G118" s="32" t="inlineStr">
        <is>
          <t>Sobre Pedido (Export)</t>
        </is>
      </c>
      <c r="H118" s="33" t="n">
        <v>0</v>
      </c>
      <c r="I118" s="33" t="n">
        <v>0</v>
      </c>
      <c r="J118" s="33" t="n">
        <v>928.05</v>
      </c>
      <c r="K118" s="33" t="n">
        <v>0</v>
      </c>
      <c r="L118" s="33" t="n">
        <v>0</v>
      </c>
      <c r="M118" s="34" t="n">
        <v>928.05</v>
      </c>
      <c r="N118" s="34" t="n">
        <v>928.05</v>
      </c>
      <c r="O118" s="34" t="n">
        <v>928.05</v>
      </c>
      <c r="P118" s="34" t="n">
        <v>928.05</v>
      </c>
      <c r="Q118" s="26" t="inlineStr">
        <is>
          <t>SOBRE PEDIDO (EXP)</t>
        </is>
      </c>
    </row>
    <row r="119" ht="19" customHeight="1">
      <c r="A119" s="18" t="inlineStr">
        <is>
          <t>SS0001</t>
        </is>
      </c>
      <c r="B119" s="19" t="inlineStr">
        <is>
          <t>SS0001RO</t>
        </is>
      </c>
      <c r="C119" s="20" t="inlineStr">
        <is>
          <t>SAL-WAX Ca</t>
        </is>
      </c>
      <c r="D119" s="21" t="n">
        <v>1</v>
      </c>
      <c r="E119" s="20" t="inlineStr">
        <is>
          <t>Bolsas 1 Kg</t>
        </is>
      </c>
      <c r="F119" s="22" t="inlineStr">
        <is>
          <t>RUMANÍA</t>
        </is>
      </c>
      <c r="G119" s="23" t="inlineStr">
        <is>
          <t>Sobre Pedido (Export)</t>
        </is>
      </c>
      <c r="H119" s="24" t="n">
        <v>0</v>
      </c>
      <c r="I119" s="24" t="n">
        <v>0</v>
      </c>
      <c r="J119" s="24" t="n">
        <v>928.05</v>
      </c>
      <c r="K119" s="24" t="n">
        <v>0</v>
      </c>
      <c r="L119" s="24" t="n">
        <v>0</v>
      </c>
      <c r="M119" s="25" t="n">
        <v>928.05</v>
      </c>
      <c r="N119" s="25" t="n">
        <v>928.05</v>
      </c>
      <c r="O119" s="25" t="n">
        <v>928.05</v>
      </c>
      <c r="P119" s="25" t="n">
        <v>928.05</v>
      </c>
      <c r="Q119" s="26" t="inlineStr">
        <is>
          <t>SOBRE PEDIDO (EXP)</t>
        </is>
      </c>
    </row>
    <row r="120" ht="19" customHeight="1">
      <c r="A120" s="27" t="inlineStr">
        <is>
          <t>AGMG0005</t>
        </is>
      </c>
      <c r="B120" s="28" t="inlineStr">
        <is>
          <t>AGMG0005CR</t>
        </is>
      </c>
      <c r="C120" s="29" t="inlineStr">
        <is>
          <t>AGROXILATO-MG, 5 KG (EXPORT)</t>
        </is>
      </c>
      <c r="D120" s="30" t="n">
        <v>5</v>
      </c>
      <c r="E120" s="29" t="inlineStr">
        <is>
          <t>Bolsas 5 Kg</t>
        </is>
      </c>
      <c r="F120" s="31" t="inlineStr">
        <is>
          <t>COSTA RICA</t>
        </is>
      </c>
      <c r="G120" s="32" t="inlineStr">
        <is>
          <t>Sobre Pedido (Export)</t>
        </is>
      </c>
      <c r="H120" s="33" t="n">
        <v>0</v>
      </c>
      <c r="I120" s="33" t="n">
        <v>0</v>
      </c>
      <c r="J120" s="33" t="n">
        <v>463.52</v>
      </c>
      <c r="K120" s="33" t="n">
        <v>0</v>
      </c>
      <c r="L120" s="33" t="n">
        <v>433.9541</v>
      </c>
      <c r="M120" s="34" t="n">
        <v>897.4740999999999</v>
      </c>
      <c r="N120" s="34" t="n">
        <v>897.47</v>
      </c>
      <c r="O120" s="34" t="n">
        <v>897.4740999999999</v>
      </c>
      <c r="P120" s="34" t="n">
        <v>897.47</v>
      </c>
      <c r="Q120" s="26" t="inlineStr">
        <is>
          <t>SOBRE PEDIDO (EXP)</t>
        </is>
      </c>
    </row>
    <row r="121" ht="19" customHeight="1">
      <c r="A121" s="18" t="inlineStr">
        <is>
          <t>CZNMNES0005</t>
        </is>
      </c>
      <c r="B121" s="19" t="inlineStr">
        <is>
          <t>CZNMNES0005GE</t>
        </is>
      </c>
      <c r="C121" s="20" t="inlineStr">
        <is>
          <t>CODIFOL ZN-MN, 5 KG</t>
        </is>
      </c>
      <c r="D121" s="21" t="n">
        <v>5</v>
      </c>
      <c r="E121" s="20" t="inlineStr">
        <is>
          <t>Bolsas 5 Kg</t>
        </is>
      </c>
      <c r="F121" s="22" t="inlineStr">
        <is>
          <t>GEORGIA</t>
        </is>
      </c>
      <c r="G121" s="23" t="inlineStr">
        <is>
          <t>Sobre Pedido (Export)</t>
        </is>
      </c>
      <c r="H121" s="24" t="n">
        <v>0</v>
      </c>
      <c r="I121" s="24" t="n">
        <v>0</v>
      </c>
      <c r="J121" s="24" t="n">
        <v>0</v>
      </c>
      <c r="K121" s="24" t="n">
        <v>0</v>
      </c>
      <c r="L121" s="24" t="n">
        <v>867.9081</v>
      </c>
      <c r="M121" s="25" t="n">
        <v>867.9081</v>
      </c>
      <c r="N121" s="25" t="n">
        <v>867.91</v>
      </c>
      <c r="O121" s="25" t="n">
        <v>867.9081</v>
      </c>
      <c r="P121" s="25" t="n">
        <v>867.91</v>
      </c>
      <c r="Q121" s="26" t="inlineStr">
        <is>
          <t>SOBRE PEDIDO (EXP)</t>
        </is>
      </c>
    </row>
    <row r="122" ht="19" customHeight="1">
      <c r="A122" s="27" t="inlineStr">
        <is>
          <t>CALCIO0005</t>
        </is>
      </c>
      <c r="B122" s="28" t="inlineStr">
        <is>
          <t>CALCIO0005MA</t>
        </is>
      </c>
      <c r="C122" s="29" t="inlineStr">
        <is>
          <t>CALCIAMEC, 5 KG</t>
        </is>
      </c>
      <c r="D122" s="30" t="n">
        <v>5</v>
      </c>
      <c r="E122" s="29" t="inlineStr">
        <is>
          <t>Bolsas 5 Kg</t>
        </is>
      </c>
      <c r="F122" s="31" t="inlineStr">
        <is>
          <t>MARRUECOS</t>
        </is>
      </c>
      <c r="G122" s="32" t="inlineStr">
        <is>
          <t>Sobre Pedido (Export)</t>
        </is>
      </c>
      <c r="H122" s="33" t="n">
        <v>0</v>
      </c>
      <c r="I122" s="33" t="n">
        <v>0</v>
      </c>
      <c r="J122" s="33" t="n">
        <v>0</v>
      </c>
      <c r="K122" s="33" t="n">
        <v>0</v>
      </c>
      <c r="L122" s="33" t="n">
        <v>867.9081</v>
      </c>
      <c r="M122" s="34" t="n">
        <v>867.9081</v>
      </c>
      <c r="N122" s="34" t="n">
        <v>867.91</v>
      </c>
      <c r="O122" s="34" t="n">
        <v>867.9081</v>
      </c>
      <c r="P122" s="34" t="n">
        <v>867.91</v>
      </c>
      <c r="Q122" s="26" t="inlineStr">
        <is>
          <t>SOBRE PEDIDO (EXP)</t>
        </is>
      </c>
    </row>
    <row r="123" ht="19" customHeight="1">
      <c r="A123" s="18" t="inlineStr">
        <is>
          <t>BPLUS0005</t>
        </is>
      </c>
      <c r="B123" s="19" t="inlineStr">
        <is>
          <t>BPLUS0005LB</t>
        </is>
      </c>
      <c r="C123" s="20" t="inlineStr">
        <is>
          <t>BOROCAL PLUS, 5 KG</t>
        </is>
      </c>
      <c r="D123" s="21" t="n">
        <v>5</v>
      </c>
      <c r="E123" s="20" t="inlineStr">
        <is>
          <t>Bolsas 5 Kg</t>
        </is>
      </c>
      <c r="F123" s="22" t="inlineStr">
        <is>
          <t>LÍBANO</t>
        </is>
      </c>
      <c r="G123" s="23" t="inlineStr">
        <is>
          <t>Sobre Pedido (Export)</t>
        </is>
      </c>
      <c r="H123" s="24" t="n">
        <v>0</v>
      </c>
      <c r="I123" s="24" t="n">
        <v>0</v>
      </c>
      <c r="J123" s="24" t="n">
        <v>0</v>
      </c>
      <c r="K123" s="24" t="n">
        <v>0</v>
      </c>
      <c r="L123" s="24" t="n">
        <v>867.9081</v>
      </c>
      <c r="M123" s="25" t="n">
        <v>867.9081</v>
      </c>
      <c r="N123" s="25" t="n">
        <v>867.91</v>
      </c>
      <c r="O123" s="25" t="n">
        <v>867.9081</v>
      </c>
      <c r="P123" s="25" t="n">
        <v>867.91</v>
      </c>
      <c r="Q123" s="26" t="inlineStr">
        <is>
          <t>SOBRE PEDIDO (EXP)</t>
        </is>
      </c>
    </row>
    <row r="124" ht="19" customHeight="1">
      <c r="A124" s="27" t="inlineStr">
        <is>
          <t>A-500005</t>
        </is>
      </c>
      <c r="B124" s="28" t="inlineStr">
        <is>
          <t>A-500005GE</t>
        </is>
      </c>
      <c r="C124" s="29" t="inlineStr">
        <is>
          <t>CODIORGAN  A-50</t>
        </is>
      </c>
      <c r="D124" s="30" t="n">
        <v>5</v>
      </c>
      <c r="E124" s="29" t="inlineStr">
        <is>
          <t>Bolsas 5 Kg</t>
        </is>
      </c>
      <c r="F124" s="31" t="inlineStr">
        <is>
          <t>GEORGIA</t>
        </is>
      </c>
      <c r="G124" s="32" t="inlineStr">
        <is>
          <t>Sobre Pedido (Export)</t>
        </is>
      </c>
      <c r="H124" s="33" t="n">
        <v>0</v>
      </c>
      <c r="I124" s="33" t="n">
        <v>0</v>
      </c>
      <c r="J124" s="33" t="n">
        <v>0</v>
      </c>
      <c r="K124" s="33" t="n">
        <v>0</v>
      </c>
      <c r="L124" s="33" t="n">
        <v>867.9081</v>
      </c>
      <c r="M124" s="34" t="n">
        <v>867.9081</v>
      </c>
      <c r="N124" s="34" t="n">
        <v>867.91</v>
      </c>
      <c r="O124" s="34" t="n">
        <v>867.9081</v>
      </c>
      <c r="P124" s="34" t="n">
        <v>867.91</v>
      </c>
      <c r="Q124" s="26" t="inlineStr">
        <is>
          <t>SOBRE PEDIDO (EXP)</t>
        </is>
      </c>
    </row>
    <row r="125" ht="19" customHeight="1">
      <c r="A125" s="18" t="inlineStr">
        <is>
          <t>CZNMNES0001</t>
        </is>
      </c>
      <c r="B125" s="19" t="inlineStr">
        <is>
          <t>CZNMNES0001AZ</t>
        </is>
      </c>
      <c r="C125" s="20" t="inlineStr">
        <is>
          <t>CODIFOL ZN-MN, 1 KG</t>
        </is>
      </c>
      <c r="D125" s="21" t="n">
        <v>1</v>
      </c>
      <c r="E125" s="20" t="inlineStr">
        <is>
          <t>Bolsas 1 Kg</t>
        </is>
      </c>
      <c r="F125" s="22" t="inlineStr">
        <is>
          <t>AZERBAIYÁN</t>
        </is>
      </c>
      <c r="G125" s="23" t="inlineStr">
        <is>
          <t>Sobre Pedido (Export)</t>
        </is>
      </c>
      <c r="H125" s="24" t="n">
        <v>0</v>
      </c>
      <c r="I125" s="24" t="n">
        <v>0</v>
      </c>
      <c r="J125" s="24" t="n">
        <v>0</v>
      </c>
      <c r="K125" s="24" t="n">
        <v>0</v>
      </c>
      <c r="L125" s="24" t="n">
        <v>867.9081</v>
      </c>
      <c r="M125" s="25" t="n">
        <v>867.9081</v>
      </c>
      <c r="N125" s="25" t="n">
        <v>867.91</v>
      </c>
      <c r="O125" s="25" t="n">
        <v>867.9081</v>
      </c>
      <c r="P125" s="25" t="n">
        <v>867.91</v>
      </c>
      <c r="Q125" s="26" t="inlineStr">
        <is>
          <t>SOBRE PEDIDO (EXP)</t>
        </is>
      </c>
    </row>
    <row r="126" ht="19" customHeight="1">
      <c r="A126" s="27" t="inlineStr">
        <is>
          <t>CZNMNES0001</t>
        </is>
      </c>
      <c r="B126" s="28" t="inlineStr">
        <is>
          <t>CZNMNES0001GE</t>
        </is>
      </c>
      <c r="C126" s="29" t="inlineStr">
        <is>
          <t>CODIFOL ZN-MN, 1 KG</t>
        </is>
      </c>
      <c r="D126" s="30" t="n">
        <v>1</v>
      </c>
      <c r="E126" s="29" t="inlineStr">
        <is>
          <t>Bolsas 1 Kg</t>
        </is>
      </c>
      <c r="F126" s="31" t="inlineStr">
        <is>
          <t>GEORGIA</t>
        </is>
      </c>
      <c r="G126" s="32" t="inlineStr">
        <is>
          <t>Sobre Pedido (Export)</t>
        </is>
      </c>
      <c r="H126" s="33" t="n">
        <v>0</v>
      </c>
      <c r="I126" s="33" t="n">
        <v>0</v>
      </c>
      <c r="J126" s="33" t="n">
        <v>0</v>
      </c>
      <c r="K126" s="33" t="n">
        <v>0</v>
      </c>
      <c r="L126" s="33" t="n">
        <v>867.9081</v>
      </c>
      <c r="M126" s="34" t="n">
        <v>867.9081</v>
      </c>
      <c r="N126" s="34" t="n">
        <v>867.91</v>
      </c>
      <c r="O126" s="34" t="n">
        <v>867.9081</v>
      </c>
      <c r="P126" s="34" t="n">
        <v>867.91</v>
      </c>
      <c r="Q126" s="26" t="inlineStr">
        <is>
          <t>SOBRE PEDIDO (EXP)</t>
        </is>
      </c>
    </row>
    <row r="127" ht="19" customHeight="1">
      <c r="A127" s="18" t="inlineStr">
        <is>
          <t>CM30005</t>
        </is>
      </c>
      <c r="B127" s="19" t="inlineStr">
        <is>
          <t>CM30005GE</t>
        </is>
      </c>
      <c r="C127" s="20" t="inlineStr">
        <is>
          <t>TENSOLINE, 5 L</t>
        </is>
      </c>
      <c r="D127" s="21" t="n">
        <v>5</v>
      </c>
      <c r="E127" s="20" t="inlineStr">
        <is>
          <t>Garrafas 5L</t>
        </is>
      </c>
      <c r="F127" s="22" t="inlineStr">
        <is>
          <t>GEORGIA</t>
        </is>
      </c>
      <c r="G127" s="23" t="inlineStr">
        <is>
          <t>Sobre Pedido (Export)</t>
        </is>
      </c>
      <c r="H127" s="24" t="n">
        <v>0</v>
      </c>
      <c r="I127" s="24" t="n">
        <v>0</v>
      </c>
      <c r="J127" s="24" t="n">
        <v>0</v>
      </c>
      <c r="K127" s="24" t="n">
        <v>0</v>
      </c>
      <c r="L127" s="24" t="n">
        <v>867.9081</v>
      </c>
      <c r="M127" s="25" t="n">
        <v>867.9081</v>
      </c>
      <c r="N127" s="25" t="n">
        <v>867.91</v>
      </c>
      <c r="O127" s="25" t="n">
        <v>867.9081</v>
      </c>
      <c r="P127" s="25" t="n">
        <v>867.91</v>
      </c>
      <c r="Q127" s="26" t="inlineStr">
        <is>
          <t>SOBRE PEDIDO (EXP)</t>
        </is>
      </c>
    </row>
    <row r="128" ht="19" customHeight="1">
      <c r="A128" s="27" t="inlineStr">
        <is>
          <t>AGMG0020</t>
        </is>
      </c>
      <c r="B128" s="28" t="inlineStr">
        <is>
          <t>AGMG0020CR</t>
        </is>
      </c>
      <c r="C128" s="29" t="inlineStr">
        <is>
          <t>AGROXILATO MG, 20 KG (EXPORT)</t>
        </is>
      </c>
      <c r="D128" s="30" t="n">
        <v>20</v>
      </c>
      <c r="E128" s="29" t="inlineStr">
        <is>
          <t>Bolsas 20 Kg</t>
        </is>
      </c>
      <c r="F128" s="31" t="inlineStr">
        <is>
          <t>COSTA RICA</t>
        </is>
      </c>
      <c r="G128" s="32" t="inlineStr">
        <is>
          <t>Sobre Pedido (Export)</t>
        </is>
      </c>
      <c r="H128" s="33" t="n">
        <v>0</v>
      </c>
      <c r="I128" s="33" t="n">
        <v>0</v>
      </c>
      <c r="J128" s="33" t="n">
        <v>0</v>
      </c>
      <c r="K128" s="33" t="n">
        <v>838.4964</v>
      </c>
      <c r="L128" s="33" t="n">
        <v>0</v>
      </c>
      <c r="M128" s="34" t="n">
        <v>838.4964</v>
      </c>
      <c r="N128" s="34" t="n">
        <v>838.5</v>
      </c>
      <c r="O128" s="34" t="n">
        <v>838.4964</v>
      </c>
      <c r="P128" s="34" t="n">
        <v>838.5</v>
      </c>
      <c r="Q128" s="26" t="inlineStr">
        <is>
          <t>SOBRE PEDIDO (EXP)</t>
        </is>
      </c>
    </row>
    <row r="129" ht="19" customHeight="1">
      <c r="A129" s="18" t="inlineStr">
        <is>
          <t>RUN0001</t>
        </is>
      </c>
      <c r="B129" s="19" t="inlineStr">
        <is>
          <t>RUN0001GE</t>
        </is>
      </c>
      <c r="C129" s="20" t="inlineStr">
        <is>
          <t>RUN STRESS</t>
        </is>
      </c>
      <c r="D129" s="21" t="n">
        <v>1</v>
      </c>
      <c r="E129" s="20" t="inlineStr">
        <is>
          <t>Botellas 1L</t>
        </is>
      </c>
      <c r="F129" s="22" t="inlineStr">
        <is>
          <t>GEORGIA</t>
        </is>
      </c>
      <c r="G129" s="23" t="inlineStr">
        <is>
          <t>Sobre Pedido (Export)</t>
        </is>
      </c>
      <c r="H129" s="24" t="n">
        <v>0</v>
      </c>
      <c r="I129" s="24" t="n">
        <v>0</v>
      </c>
      <c r="J129" s="24" t="n">
        <v>0</v>
      </c>
      <c r="K129" s="24" t="n">
        <v>0</v>
      </c>
      <c r="L129" s="24" t="n">
        <v>833.1917999999999</v>
      </c>
      <c r="M129" s="25" t="n">
        <v>833.1917999999999</v>
      </c>
      <c r="N129" s="25" t="n">
        <v>833.1900000000001</v>
      </c>
      <c r="O129" s="25" t="n">
        <v>833.1917999999999</v>
      </c>
      <c r="P129" s="25" t="n">
        <v>833.1900000000001</v>
      </c>
      <c r="Q129" s="26" t="inlineStr">
        <is>
          <t>SOBRE PEDIDO (EXP)</t>
        </is>
      </c>
    </row>
    <row r="130" ht="19" customHeight="1">
      <c r="A130" s="27" t="inlineStr">
        <is>
          <t>RUN0001</t>
        </is>
      </c>
      <c r="B130" s="28" t="inlineStr">
        <is>
          <t>RUN0001RS</t>
        </is>
      </c>
      <c r="C130" s="29" t="inlineStr">
        <is>
          <t>RUN STRESS</t>
        </is>
      </c>
      <c r="D130" s="30" t="n">
        <v>1</v>
      </c>
      <c r="E130" s="29" t="inlineStr">
        <is>
          <t>Botellas 1L</t>
        </is>
      </c>
      <c r="F130" s="31" t="inlineStr">
        <is>
          <t>SERBIA</t>
        </is>
      </c>
      <c r="G130" s="32" t="inlineStr">
        <is>
          <t>Sobre Pedido (Export)</t>
        </is>
      </c>
      <c r="H130" s="33" t="n">
        <v>0</v>
      </c>
      <c r="I130" s="33" t="n">
        <v>0</v>
      </c>
      <c r="J130" s="33" t="n">
        <v>0</v>
      </c>
      <c r="K130" s="33" t="n">
        <v>0</v>
      </c>
      <c r="L130" s="33" t="n">
        <v>833.1917999999999</v>
      </c>
      <c r="M130" s="34" t="n">
        <v>833.1917999999999</v>
      </c>
      <c r="N130" s="34" t="n">
        <v>833.1900000000001</v>
      </c>
      <c r="O130" s="34" t="n">
        <v>833.1917999999999</v>
      </c>
      <c r="P130" s="34" t="n">
        <v>833.1900000000001</v>
      </c>
      <c r="Q130" s="26" t="inlineStr">
        <is>
          <t>SOBRE PEDIDO (EXP)</t>
        </is>
      </c>
    </row>
    <row r="131" ht="19" customHeight="1">
      <c r="A131" s="18" t="inlineStr">
        <is>
          <t>CZNMNES0005</t>
        </is>
      </c>
      <c r="B131" s="19" t="inlineStr">
        <is>
          <t>CZNMNES0005AZ</t>
        </is>
      </c>
      <c r="C131" s="20" t="inlineStr">
        <is>
          <t>CODIFOL ZN-MN, 5 KG</t>
        </is>
      </c>
      <c r="D131" s="21" t="n">
        <v>5</v>
      </c>
      <c r="E131" s="20" t="inlineStr">
        <is>
          <t>Bolsas 5 Kg</t>
        </is>
      </c>
      <c r="F131" s="22" t="inlineStr">
        <is>
          <t>AZERBAIYÁN</t>
        </is>
      </c>
      <c r="G131" s="23" t="inlineStr">
        <is>
          <t>Sobre Pedido (Export)</t>
        </is>
      </c>
      <c r="H131" s="24" t="n">
        <v>50</v>
      </c>
      <c r="I131" s="24" t="n">
        <v>0</v>
      </c>
      <c r="J131" s="24" t="n">
        <v>0</v>
      </c>
      <c r="K131" s="24" t="n">
        <v>0</v>
      </c>
      <c r="L131" s="24" t="n">
        <v>867.9081</v>
      </c>
      <c r="M131" s="25" t="n">
        <v>867.9081</v>
      </c>
      <c r="N131" s="25" t="n">
        <v>867.91</v>
      </c>
      <c r="O131" s="25" t="n">
        <v>817.9081</v>
      </c>
      <c r="P131" s="25" t="n">
        <v>817.91</v>
      </c>
      <c r="Q131" s="26" t="inlineStr">
        <is>
          <t>SOBRE PEDIDO (EXP)</t>
        </is>
      </c>
    </row>
    <row r="132" ht="19" customHeight="1">
      <c r="A132" s="27" t="inlineStr">
        <is>
          <t>A-50(2)0005</t>
        </is>
      </c>
      <c r="B132" s="31" t="inlineStr">
        <is>
          <t>A-50(2)0005</t>
        </is>
      </c>
      <c r="C132" s="29" t="inlineStr">
        <is>
          <t>CODIORGAN-A50, 5 KG</t>
        </is>
      </c>
      <c r="D132" s="30" t="n">
        <v>5</v>
      </c>
      <c r="E132" s="29" t="inlineStr">
        <is>
          <t>Bolsas 5 Kg</t>
        </is>
      </c>
      <c r="F132" s="31" t="inlineStr">
        <is>
          <t>ESPAÑA</t>
        </is>
      </c>
      <c r="G132" s="31" t="inlineStr">
        <is>
          <t>Para Previsión (Nac)</t>
        </is>
      </c>
      <c r="H132" s="33" t="n">
        <v>1375</v>
      </c>
      <c r="I132" s="33" t="n">
        <v>250</v>
      </c>
      <c r="J132" s="33" t="n">
        <v>185.4</v>
      </c>
      <c r="K132" s="33" t="n">
        <v>1414.9626</v>
      </c>
      <c r="L132" s="33" t="n">
        <v>282.0701</v>
      </c>
      <c r="M132" s="34" t="n">
        <v>2132.4327</v>
      </c>
      <c r="N132" s="34" t="n">
        <v>2132.43</v>
      </c>
      <c r="O132" s="34" t="n">
        <v>757.4327000000003</v>
      </c>
      <c r="P132" s="34" t="n">
        <v>757.4299999999999</v>
      </c>
      <c r="Q132" s="26" t="inlineStr">
        <is>
          <t>FABRICACIÓN URGENTE</t>
        </is>
      </c>
    </row>
    <row r="133" ht="19" customHeight="1">
      <c r="A133" s="18" t="inlineStr">
        <is>
          <t>SPCE0001</t>
        </is>
      </c>
      <c r="B133" s="19" t="inlineStr">
        <is>
          <t>SPCE0001RO</t>
        </is>
      </c>
      <c r="C133" s="20" t="inlineStr">
        <is>
          <t>SPRINTENE</t>
        </is>
      </c>
      <c r="D133" s="21" t="n">
        <v>1</v>
      </c>
      <c r="E133" s="20" t="inlineStr">
        <is>
          <t>Botellas 1L</t>
        </is>
      </c>
      <c r="F133" s="22" t="inlineStr">
        <is>
          <t>RUMANÍA</t>
        </is>
      </c>
      <c r="G133" s="23" t="inlineStr">
        <is>
          <t>Sobre Pedido (Export)</t>
        </is>
      </c>
      <c r="H133" s="24" t="n">
        <v>0</v>
      </c>
      <c r="I133" s="24" t="n">
        <v>0</v>
      </c>
      <c r="J133" s="24" t="n">
        <v>696.04</v>
      </c>
      <c r="K133" s="24" t="n">
        <v>0</v>
      </c>
      <c r="L133" s="24" t="n">
        <v>0</v>
      </c>
      <c r="M133" s="25" t="n">
        <v>696.04</v>
      </c>
      <c r="N133" s="25" t="n">
        <v>696.04</v>
      </c>
      <c r="O133" s="25" t="n">
        <v>696.04</v>
      </c>
      <c r="P133" s="25" t="n">
        <v>696.04</v>
      </c>
      <c r="Q133" s="26" t="inlineStr">
        <is>
          <t>SOBRE PEDIDO (EXP)</t>
        </is>
      </c>
    </row>
    <row r="134" ht="19" customHeight="1">
      <c r="A134" s="27" t="inlineStr">
        <is>
          <t>CODIR0005</t>
        </is>
      </c>
      <c r="B134" s="28" t="inlineStr">
        <is>
          <t>CODIR0005PA</t>
        </is>
      </c>
      <c r="C134" s="29" t="inlineStr">
        <is>
          <t>CODIRESIST, 5 L</t>
        </is>
      </c>
      <c r="D134" s="30" t="n">
        <v>5</v>
      </c>
      <c r="E134" s="29" t="inlineStr">
        <is>
          <t>Garrafas 5L</t>
        </is>
      </c>
      <c r="F134" s="31" t="inlineStr">
        <is>
          <t>PANAMÁ</t>
        </is>
      </c>
      <c r="G134" s="32" t="inlineStr">
        <is>
          <t>Sobre Pedido (Export)</t>
        </is>
      </c>
      <c r="H134" s="33" t="n">
        <v>0</v>
      </c>
      <c r="I134" s="33" t="n">
        <v>0</v>
      </c>
      <c r="J134" s="33" t="n">
        <v>0</v>
      </c>
      <c r="K134" s="33" t="n">
        <v>0</v>
      </c>
      <c r="L134" s="33" t="n">
        <v>694.3265</v>
      </c>
      <c r="M134" s="34" t="n">
        <v>694.3265</v>
      </c>
      <c r="N134" s="34" t="n">
        <v>694.33</v>
      </c>
      <c r="O134" s="34" t="n">
        <v>694.3265</v>
      </c>
      <c r="P134" s="34" t="n">
        <v>694.33</v>
      </c>
      <c r="Q134" s="26" t="inlineStr">
        <is>
          <t>SOBRE PEDIDO (EXP)</t>
        </is>
      </c>
    </row>
    <row r="135" ht="19" customHeight="1">
      <c r="A135" s="18" t="inlineStr">
        <is>
          <t>G0001RORU</t>
        </is>
      </c>
      <c r="B135" s="22" t="inlineStr">
        <is>
          <t>G0001RORU</t>
        </is>
      </c>
      <c r="C135" s="20" t="inlineStr">
        <is>
          <t>GREEN-UP</t>
        </is>
      </c>
      <c r="D135" s="21" t="n">
        <v>1</v>
      </c>
      <c r="E135" s="20" t="inlineStr">
        <is>
          <t>Botellas 1L</t>
        </is>
      </c>
      <c r="F135" s="22" t="inlineStr">
        <is>
          <t>RUMANÍA</t>
        </is>
      </c>
      <c r="G135" s="23" t="inlineStr">
        <is>
          <t>Sobre Pedido (Export)</t>
        </is>
      </c>
      <c r="H135" s="24" t="n">
        <v>0</v>
      </c>
      <c r="I135" s="24" t="n">
        <v>0</v>
      </c>
      <c r="J135" s="24" t="n">
        <v>0</v>
      </c>
      <c r="K135" s="24" t="n">
        <v>691.7595</v>
      </c>
      <c r="L135" s="24" t="n">
        <v>0</v>
      </c>
      <c r="M135" s="25" t="n">
        <v>691.7595</v>
      </c>
      <c r="N135" s="25" t="n">
        <v>691.76</v>
      </c>
      <c r="O135" s="25" t="n">
        <v>691.7595</v>
      </c>
      <c r="P135" s="25" t="n">
        <v>691.76</v>
      </c>
      <c r="Q135" s="26" t="inlineStr">
        <is>
          <t>SOBRE PEDIDO (EXP)</t>
        </is>
      </c>
    </row>
    <row r="136" ht="19" customHeight="1">
      <c r="A136" s="27" t="inlineStr">
        <is>
          <t>G0001PAPA</t>
        </is>
      </c>
      <c r="B136" s="31" t="inlineStr">
        <is>
          <t>G0001PAPA</t>
        </is>
      </c>
      <c r="C136" s="29" t="inlineStr">
        <is>
          <t>TRANSLOCADOR</t>
        </is>
      </c>
      <c r="D136" s="30" t="n">
        <v>1</v>
      </c>
      <c r="E136" s="29" t="inlineStr">
        <is>
          <t>Botellas 1L</t>
        </is>
      </c>
      <c r="F136" s="31" t="inlineStr">
        <is>
          <t>PANAMÁ</t>
        </is>
      </c>
      <c r="G136" s="32" t="inlineStr">
        <is>
          <t>Sobre Pedido (Export)</t>
        </is>
      </c>
      <c r="H136" s="33" t="n">
        <v>0</v>
      </c>
      <c r="I136" s="33" t="n">
        <v>0</v>
      </c>
      <c r="J136" s="33" t="n">
        <v>0</v>
      </c>
      <c r="K136" s="33" t="n">
        <v>0</v>
      </c>
      <c r="L136" s="33" t="n">
        <v>687.3832</v>
      </c>
      <c r="M136" s="34" t="n">
        <v>687.3832</v>
      </c>
      <c r="N136" s="34" t="n">
        <v>687.38</v>
      </c>
      <c r="O136" s="34" t="n">
        <v>687.3832</v>
      </c>
      <c r="P136" s="34" t="n">
        <v>687.38</v>
      </c>
      <c r="Q136" s="26" t="inlineStr">
        <is>
          <t>SOBRE PEDIDO (EXP)</t>
        </is>
      </c>
    </row>
    <row r="137" ht="19" customHeight="1">
      <c r="A137" s="18" t="inlineStr">
        <is>
          <t>SS0020</t>
        </is>
      </c>
      <c r="B137" s="19" t="inlineStr">
        <is>
          <t>SS0020RO</t>
        </is>
      </c>
      <c r="C137" s="20" t="inlineStr">
        <is>
          <t>SAL-WAX-Ca sólido, 20 KG</t>
        </is>
      </c>
      <c r="D137" s="21" t="n">
        <v>20</v>
      </c>
      <c r="E137" s="20" t="inlineStr">
        <is>
          <t>Bolsas 20 Kg</t>
        </is>
      </c>
      <c r="F137" s="22" t="inlineStr">
        <is>
          <t>RUMANÍA</t>
        </is>
      </c>
      <c r="G137" s="23" t="inlineStr">
        <is>
          <t>Sobre Pedido (Export)</t>
        </is>
      </c>
      <c r="H137" s="24" t="n">
        <v>0</v>
      </c>
      <c r="I137" s="24" t="n">
        <v>0</v>
      </c>
      <c r="J137" s="24" t="n">
        <v>0</v>
      </c>
      <c r="K137" s="24" t="n">
        <v>628.8723</v>
      </c>
      <c r="L137" s="24" t="n">
        <v>0</v>
      </c>
      <c r="M137" s="25" t="n">
        <v>628.8723</v>
      </c>
      <c r="N137" s="25" t="n">
        <v>628.87</v>
      </c>
      <c r="O137" s="25" t="n">
        <v>628.8723</v>
      </c>
      <c r="P137" s="25" t="n">
        <v>628.87</v>
      </c>
      <c r="Q137" s="26" t="inlineStr">
        <is>
          <t>SOBRE PEDIDO (EXP)</t>
        </is>
      </c>
    </row>
    <row r="138" ht="19" customHeight="1">
      <c r="A138" s="27" t="inlineStr">
        <is>
          <t>AVAN0001</t>
        </is>
      </c>
      <c r="B138" s="31" t="inlineStr">
        <is>
          <t>AVAN0001</t>
        </is>
      </c>
      <c r="C138" s="29" t="inlineStr">
        <is>
          <t>CODI-FLOR AVANCE, 1 L</t>
        </is>
      </c>
      <c r="D138" s="30" t="n">
        <v>1</v>
      </c>
      <c r="E138" s="29" t="inlineStr">
        <is>
          <t>Botellas 1L</t>
        </is>
      </c>
      <c r="F138" s="31" t="inlineStr">
        <is>
          <t>ESPAÑA</t>
        </is>
      </c>
      <c r="G138" s="31" t="inlineStr">
        <is>
          <t>Para Previsión (Nac)</t>
        </is>
      </c>
      <c r="H138" s="33" t="n">
        <v>0</v>
      </c>
      <c r="I138" s="33" t="n">
        <v>600</v>
      </c>
      <c r="J138" s="33" t="n">
        <v>0</v>
      </c>
      <c r="K138" s="33" t="n">
        <v>0</v>
      </c>
      <c r="L138" s="33" t="n">
        <v>0</v>
      </c>
      <c r="M138" s="34" t="n">
        <v>600</v>
      </c>
      <c r="N138" s="34" t="n">
        <v>600</v>
      </c>
      <c r="O138" s="34" t="n">
        <v>600</v>
      </c>
      <c r="P138" s="34" t="n">
        <v>600</v>
      </c>
      <c r="Q138" s="26" t="inlineStr">
        <is>
          <t>FABRICACIÓN URGENTE</t>
        </is>
      </c>
    </row>
    <row r="139" ht="19" customHeight="1">
      <c r="A139" s="18" t="inlineStr">
        <is>
          <t>SASM0217</t>
        </is>
      </c>
      <c r="B139" s="22" t="inlineStr">
        <is>
          <t>SASM0217</t>
        </is>
      </c>
      <c r="C139" s="20" t="inlineStr">
        <is>
          <t>SASM0217 AMINOACIDO 80/80 VEGETAL H. ACIDA</t>
        </is>
      </c>
      <c r="D139" s="21" t="n">
        <v>1</v>
      </c>
      <c r="E139" s="20" t="inlineStr">
        <is>
          <t>Botellas 1L</t>
        </is>
      </c>
      <c r="F139" s="22" t="inlineStr">
        <is>
          <t>ESPAÑA</t>
        </is>
      </c>
      <c r="G139" s="22" t="inlineStr">
        <is>
          <t>Para Previsión (Nac)</t>
        </is>
      </c>
      <c r="H139" s="24" t="n">
        <v>0</v>
      </c>
      <c r="I139" s="24" t="n">
        <v>575</v>
      </c>
      <c r="J139" s="24" t="n">
        <v>0</v>
      </c>
      <c r="K139" s="24" t="n">
        <v>0</v>
      </c>
      <c r="L139" s="24" t="n">
        <v>0</v>
      </c>
      <c r="M139" s="25" t="n">
        <v>575</v>
      </c>
      <c r="N139" s="25" t="n">
        <v>575</v>
      </c>
      <c r="O139" s="25" t="n">
        <v>575</v>
      </c>
      <c r="P139" s="25" t="n">
        <v>575</v>
      </c>
      <c r="Q139" s="26" t="inlineStr">
        <is>
          <t>FABRICACIÓN URGENTE</t>
        </is>
      </c>
    </row>
    <row r="140" ht="19" customHeight="1">
      <c r="A140" s="27" t="inlineStr">
        <is>
          <t>CALCIO0005</t>
        </is>
      </c>
      <c r="B140" s="31" t="inlineStr">
        <is>
          <t>CALCIO0005</t>
        </is>
      </c>
      <c r="C140" s="29" t="inlineStr">
        <is>
          <t>CALCIAMEC, 5 KG</t>
        </is>
      </c>
      <c r="D140" s="30" t="n">
        <v>5</v>
      </c>
      <c r="E140" s="29" t="inlineStr">
        <is>
          <t>Bolsas 5 Kg</t>
        </is>
      </c>
      <c r="F140" s="31" t="inlineStr">
        <is>
          <t>ESPAÑA</t>
        </is>
      </c>
      <c r="G140" s="31" t="inlineStr">
        <is>
          <t>Para Previsión (Nac)</t>
        </is>
      </c>
      <c r="H140" s="33" t="n">
        <v>1730</v>
      </c>
      <c r="I140" s="33" t="n">
        <v>0</v>
      </c>
      <c r="J140" s="33" t="n">
        <v>761.1899999999999</v>
      </c>
      <c r="K140" s="33" t="n">
        <v>890.9024000000001</v>
      </c>
      <c r="L140" s="33" t="n">
        <v>650.9311</v>
      </c>
      <c r="M140" s="34" t="n">
        <v>2303.0235</v>
      </c>
      <c r="N140" s="34" t="n">
        <v>2303.02</v>
      </c>
      <c r="O140" s="34" t="n">
        <v>573.0235000000002</v>
      </c>
      <c r="P140" s="34" t="n">
        <v>573.02</v>
      </c>
      <c r="Q140" s="26" t="inlineStr">
        <is>
          <t>FABRICACIÓN URGENTE</t>
        </is>
      </c>
    </row>
    <row r="141" ht="19" customHeight="1">
      <c r="A141" s="18" t="inlineStr">
        <is>
          <t>SPCE0020</t>
        </is>
      </c>
      <c r="B141" s="19" t="inlineStr">
        <is>
          <t>SPCE0020RO</t>
        </is>
      </c>
      <c r="C141" s="20" t="inlineStr">
        <is>
          <t>SPRINTENE</t>
        </is>
      </c>
      <c r="D141" s="21" t="n">
        <v>20</v>
      </c>
      <c r="E141" s="20" t="inlineStr">
        <is>
          <t>Garrafas 20L</t>
        </is>
      </c>
      <c r="F141" s="22" t="inlineStr">
        <is>
          <t>RUMANÍA</t>
        </is>
      </c>
      <c r="G141" s="23" t="inlineStr">
        <is>
          <t>Sobre Pedido (Export)</t>
        </is>
      </c>
      <c r="H141" s="24" t="n">
        <v>0</v>
      </c>
      <c r="I141" s="24" t="n">
        <v>0</v>
      </c>
      <c r="J141" s="24" t="n">
        <v>562.45</v>
      </c>
      <c r="K141" s="24" t="n">
        <v>0</v>
      </c>
      <c r="L141" s="24" t="n">
        <v>0</v>
      </c>
      <c r="M141" s="25" t="n">
        <v>562.45</v>
      </c>
      <c r="N141" s="25" t="n">
        <v>562.45</v>
      </c>
      <c r="O141" s="25" t="n">
        <v>562.45</v>
      </c>
      <c r="P141" s="25" t="n">
        <v>562.45</v>
      </c>
      <c r="Q141" s="26" t="inlineStr">
        <is>
          <t>SOBRE PEDIDO (EXP)</t>
        </is>
      </c>
    </row>
    <row r="142" ht="19" customHeight="1">
      <c r="A142" s="27" t="inlineStr">
        <is>
          <t>PHD0020</t>
        </is>
      </c>
      <c r="B142" s="31" t="inlineStr">
        <is>
          <t>PHD0020</t>
        </is>
      </c>
      <c r="C142" s="29" t="inlineStr">
        <is>
          <t>PH-DOWNER</t>
        </is>
      </c>
      <c r="D142" s="30" t="n">
        <v>20</v>
      </c>
      <c r="E142" s="29" t="inlineStr">
        <is>
          <t>Garrafas 20L</t>
        </is>
      </c>
      <c r="F142" s="31" t="inlineStr">
        <is>
          <t>ESPAÑA</t>
        </is>
      </c>
      <c r="G142" s="31" t="inlineStr">
        <is>
          <t>Para Previsión (Nac)</t>
        </is>
      </c>
      <c r="H142" s="33" t="n">
        <v>0</v>
      </c>
      <c r="I142" s="33" t="n">
        <v>0</v>
      </c>
      <c r="J142" s="33" t="n">
        <v>0</v>
      </c>
      <c r="K142" s="33" t="n">
        <v>0</v>
      </c>
      <c r="L142" s="33" t="n">
        <v>555.4612</v>
      </c>
      <c r="M142" s="34" t="n">
        <v>555.4612</v>
      </c>
      <c r="N142" s="34" t="n">
        <v>555.46</v>
      </c>
      <c r="O142" s="34" t="n">
        <v>555.4612</v>
      </c>
      <c r="P142" s="34" t="n">
        <v>555.46</v>
      </c>
      <c r="Q142" s="26" t="inlineStr">
        <is>
          <t>FABRICACIÓN URGENTE</t>
        </is>
      </c>
    </row>
    <row r="143" ht="19" customHeight="1">
      <c r="A143" s="18" t="inlineStr">
        <is>
          <t>HST0020</t>
        </is>
      </c>
      <c r="B143" s="22" t="inlineStr">
        <is>
          <t>HST0020</t>
        </is>
      </c>
      <c r="C143" s="20" t="inlineStr">
        <is>
          <t>HIDROSTRESS-40, 20 L</t>
        </is>
      </c>
      <c r="D143" s="21" t="n">
        <v>20</v>
      </c>
      <c r="E143" s="20" t="inlineStr">
        <is>
          <t>Garrafas 20L</t>
        </is>
      </c>
      <c r="F143" s="22" t="inlineStr">
        <is>
          <t>ESPAÑA</t>
        </is>
      </c>
      <c r="G143" s="22" t="inlineStr">
        <is>
          <t>Para Previsión (Nac)</t>
        </is>
      </c>
      <c r="H143" s="24" t="n">
        <v>2000</v>
      </c>
      <c r="I143" s="24" t="n">
        <v>0</v>
      </c>
      <c r="J143" s="24" t="n">
        <v>1186.62</v>
      </c>
      <c r="K143" s="24" t="n">
        <v>1341.5942</v>
      </c>
      <c r="L143" s="24" t="n">
        <v>0</v>
      </c>
      <c r="M143" s="25" t="n">
        <v>2528.2142</v>
      </c>
      <c r="N143" s="25" t="n">
        <v>2528.21</v>
      </c>
      <c r="O143" s="25" t="n">
        <v>528.2141999999999</v>
      </c>
      <c r="P143" s="25" t="n">
        <v>528.21</v>
      </c>
      <c r="Q143" s="26" t="inlineStr">
        <is>
          <t>FABRICACIÓN URGENTE</t>
        </is>
      </c>
    </row>
    <row r="144" ht="19" customHeight="1">
      <c r="A144" s="27" t="inlineStr">
        <is>
          <t>PHD0020</t>
        </is>
      </c>
      <c r="B144" s="28" t="inlineStr">
        <is>
          <t>PHD0020MA</t>
        </is>
      </c>
      <c r="C144" s="29" t="inlineStr">
        <is>
          <t>PH-DOWNER</t>
        </is>
      </c>
      <c r="D144" s="30" t="n">
        <v>20</v>
      </c>
      <c r="E144" s="29" t="inlineStr">
        <is>
          <t>Garrafas 20L</t>
        </is>
      </c>
      <c r="F144" s="31" t="inlineStr">
        <is>
          <t>MARRUECOS</t>
        </is>
      </c>
      <c r="G144" s="32" t="inlineStr">
        <is>
          <t>Sobre Pedido (Export)</t>
        </is>
      </c>
      <c r="H144" s="33" t="n">
        <v>600</v>
      </c>
      <c r="I144" s="33" t="n">
        <v>600</v>
      </c>
      <c r="J144" s="33" t="n">
        <v>527.3</v>
      </c>
      <c r="K144" s="33" t="n">
        <v>0</v>
      </c>
      <c r="L144" s="33" t="n">
        <v>0</v>
      </c>
      <c r="M144" s="34" t="n">
        <v>1127.3</v>
      </c>
      <c r="N144" s="34" t="n">
        <v>1127.3</v>
      </c>
      <c r="O144" s="34" t="n">
        <v>527.3</v>
      </c>
      <c r="P144" s="34" t="n">
        <v>527.3</v>
      </c>
      <c r="Q144" s="26" t="inlineStr">
        <is>
          <t>SOBRE PEDIDO (EXP)</t>
        </is>
      </c>
    </row>
    <row r="145" ht="19" customHeight="1">
      <c r="A145" s="18" t="inlineStr">
        <is>
          <t>MPH0001</t>
        </is>
      </c>
      <c r="B145" s="19" t="inlineStr">
        <is>
          <t>MPH0001DO</t>
        </is>
      </c>
      <c r="C145" s="20" t="inlineStr">
        <is>
          <t>MOJALINE</t>
        </is>
      </c>
      <c r="D145" s="21" t="n">
        <v>1</v>
      </c>
      <c r="E145" s="20" t="inlineStr">
        <is>
          <t>Botellas 1L</t>
        </is>
      </c>
      <c r="F145" s="22" t="inlineStr">
        <is>
          <t>DOMINICANA, REPÚBLICA</t>
        </is>
      </c>
      <c r="G145" s="23" t="inlineStr">
        <is>
          <t>Sobre Pedido (Export)</t>
        </is>
      </c>
      <c r="H145" s="24" t="n">
        <v>0</v>
      </c>
      <c r="I145" s="24" t="n">
        <v>0</v>
      </c>
      <c r="J145" s="24" t="n">
        <v>0</v>
      </c>
      <c r="K145" s="24" t="n">
        <v>524.0602</v>
      </c>
      <c r="L145" s="24" t="n">
        <v>0</v>
      </c>
      <c r="M145" s="25" t="n">
        <v>524.0602</v>
      </c>
      <c r="N145" s="25" t="n">
        <v>524.0599999999999</v>
      </c>
      <c r="O145" s="25" t="n">
        <v>524.0602</v>
      </c>
      <c r="P145" s="25" t="n">
        <v>524.0599999999999</v>
      </c>
      <c r="Q145" s="26" t="inlineStr">
        <is>
          <t>SOBRE PEDIDO (EXP)</t>
        </is>
      </c>
    </row>
    <row r="146" ht="19" customHeight="1">
      <c r="A146" s="27" t="inlineStr">
        <is>
          <t>SSEG0005</t>
        </is>
      </c>
      <c r="B146" s="28" t="inlineStr">
        <is>
          <t>SSEG0005CO</t>
        </is>
      </c>
      <c r="C146" s="29" t="inlineStr">
        <is>
          <t>SALWAX CALCIO EGIPTO, 5 KG</t>
        </is>
      </c>
      <c r="D146" s="30" t="n">
        <v>5</v>
      </c>
      <c r="E146" s="29" t="inlineStr">
        <is>
          <t>Bolsas 5 Kg</t>
        </is>
      </c>
      <c r="F146" s="31" t="inlineStr">
        <is>
          <t>COLOMBIA</t>
        </is>
      </c>
      <c r="G146" s="32" t="inlineStr">
        <is>
          <t>Sobre Pedido (Export)</t>
        </is>
      </c>
      <c r="H146" s="33" t="n">
        <v>0</v>
      </c>
      <c r="I146" s="33" t="n">
        <v>480</v>
      </c>
      <c r="J146" s="33" t="n">
        <v>0</v>
      </c>
      <c r="K146" s="33" t="n">
        <v>0</v>
      </c>
      <c r="L146" s="33" t="n">
        <v>0</v>
      </c>
      <c r="M146" s="34" t="n">
        <v>480</v>
      </c>
      <c r="N146" s="34" t="n">
        <v>480</v>
      </c>
      <c r="O146" s="34" t="n">
        <v>480</v>
      </c>
      <c r="P146" s="34" t="n">
        <v>480</v>
      </c>
      <c r="Q146" s="26" t="inlineStr">
        <is>
          <t>SOBRE PEDIDO (EXP)</t>
        </is>
      </c>
    </row>
    <row r="147" ht="19" customHeight="1">
      <c r="A147" s="18" t="inlineStr">
        <is>
          <t>SS0001</t>
        </is>
      </c>
      <c r="B147" s="19" t="inlineStr">
        <is>
          <t>SS0001PA</t>
        </is>
      </c>
      <c r="C147" s="20" t="inlineStr">
        <is>
          <t>SAL-WAX Ca</t>
        </is>
      </c>
      <c r="D147" s="21" t="n">
        <v>1</v>
      </c>
      <c r="E147" s="20" t="inlineStr">
        <is>
          <t>Bolsas 1 Kg</t>
        </is>
      </c>
      <c r="F147" s="22" t="inlineStr">
        <is>
          <t>PANAMÁ</t>
        </is>
      </c>
      <c r="G147" s="23" t="inlineStr">
        <is>
          <t>Sobre Pedido (Export)</t>
        </is>
      </c>
      <c r="H147" s="24" t="n">
        <v>0</v>
      </c>
      <c r="I147" s="24" t="n">
        <v>0</v>
      </c>
      <c r="J147" s="24" t="n">
        <v>0</v>
      </c>
      <c r="K147" s="24" t="n">
        <v>0</v>
      </c>
      <c r="L147" s="24" t="n">
        <v>458.2555</v>
      </c>
      <c r="M147" s="25" t="n">
        <v>458.2555</v>
      </c>
      <c r="N147" s="25" t="n">
        <v>458.26</v>
      </c>
      <c r="O147" s="25" t="n">
        <v>458.2555</v>
      </c>
      <c r="P147" s="25" t="n">
        <v>458.26</v>
      </c>
      <c r="Q147" s="26" t="inlineStr">
        <is>
          <t>SOBRE PEDIDO (EXP)</t>
        </is>
      </c>
    </row>
    <row r="148" ht="19" customHeight="1">
      <c r="A148" s="27" t="inlineStr">
        <is>
          <t>AVAN0200</t>
        </is>
      </c>
      <c r="B148" s="28" t="inlineStr">
        <is>
          <t>AVAN0200RO</t>
        </is>
      </c>
      <c r="C148" s="29" t="inlineStr">
        <is>
          <t>FLORAMEC AVANCE, 200 L</t>
        </is>
      </c>
      <c r="D148" s="30" t="n">
        <v>200</v>
      </c>
      <c r="E148" s="29" t="inlineStr">
        <is>
          <t>Depósito 200 L</t>
        </is>
      </c>
      <c r="F148" s="31" t="inlineStr">
        <is>
          <t>RUMANÍA</t>
        </is>
      </c>
      <c r="G148" s="32" t="inlineStr">
        <is>
          <t>Sobre Pedido (Export)</t>
        </is>
      </c>
      <c r="H148" s="33" t="n">
        <v>0</v>
      </c>
      <c r="I148" s="33" t="n">
        <v>0</v>
      </c>
      <c r="J148" s="33" t="n">
        <v>0</v>
      </c>
      <c r="K148" s="33" t="n">
        <v>419.2482</v>
      </c>
      <c r="L148" s="33" t="n">
        <v>0</v>
      </c>
      <c r="M148" s="34" t="n">
        <v>419.2482</v>
      </c>
      <c r="N148" s="34" t="n">
        <v>419.25</v>
      </c>
      <c r="O148" s="34" t="n">
        <v>419.2482</v>
      </c>
      <c r="P148" s="34" t="n">
        <v>419.25</v>
      </c>
      <c r="Q148" s="26" t="inlineStr">
        <is>
          <t>SOBRE PEDIDO (EXP)</t>
        </is>
      </c>
    </row>
    <row r="149" ht="19" customHeight="1">
      <c r="A149" s="18" t="inlineStr">
        <is>
          <t>G0200RORU</t>
        </is>
      </c>
      <c r="B149" s="22" t="inlineStr">
        <is>
          <t>G0200RORU</t>
        </is>
      </c>
      <c r="C149" s="20" t="inlineStr">
        <is>
          <t>GREEN-UP EXPORTACION, 200 L</t>
        </is>
      </c>
      <c r="D149" s="21" t="n">
        <v>200</v>
      </c>
      <c r="E149" s="20" t="inlineStr">
        <is>
          <t>Depósito 200 L</t>
        </is>
      </c>
      <c r="F149" s="22" t="inlineStr">
        <is>
          <t>RUMANÍA</t>
        </is>
      </c>
      <c r="G149" s="23" t="inlineStr">
        <is>
          <t>Sobre Pedido (Export)</t>
        </is>
      </c>
      <c r="H149" s="24" t="n">
        <v>0</v>
      </c>
      <c r="I149" s="24" t="n">
        <v>0</v>
      </c>
      <c r="J149" s="24" t="n">
        <v>0</v>
      </c>
      <c r="K149" s="24" t="n">
        <v>419.2482</v>
      </c>
      <c r="L149" s="24" t="n">
        <v>0</v>
      </c>
      <c r="M149" s="25" t="n">
        <v>419.2482</v>
      </c>
      <c r="N149" s="25" t="n">
        <v>419.25</v>
      </c>
      <c r="O149" s="25" t="n">
        <v>419.2482</v>
      </c>
      <c r="P149" s="25" t="n">
        <v>419.25</v>
      </c>
      <c r="Q149" s="26" t="inlineStr">
        <is>
          <t>SOBRE PEDIDO (EXP)</t>
        </is>
      </c>
    </row>
    <row r="150" ht="19" customHeight="1">
      <c r="A150" s="27" t="inlineStr">
        <is>
          <t>RUN0005</t>
        </is>
      </c>
      <c r="B150" s="28" t="inlineStr">
        <is>
          <t>RUN0005GE</t>
        </is>
      </c>
      <c r="C150" s="29" t="inlineStr">
        <is>
          <t>RUN STRESS, 5 L</t>
        </is>
      </c>
      <c r="D150" s="30" t="n">
        <v>5</v>
      </c>
      <c r="E150" s="29" t="inlineStr">
        <is>
          <t>Garrafas 5L</t>
        </is>
      </c>
      <c r="F150" s="31" t="inlineStr">
        <is>
          <t>GEORGIA</t>
        </is>
      </c>
      <c r="G150" s="32" t="inlineStr">
        <is>
          <t>Sobre Pedido (Export)</t>
        </is>
      </c>
      <c r="H150" s="33" t="n">
        <v>460</v>
      </c>
      <c r="I150" s="33" t="n">
        <v>0</v>
      </c>
      <c r="J150" s="33" t="n">
        <v>0</v>
      </c>
      <c r="K150" s="33" t="n">
        <v>0</v>
      </c>
      <c r="L150" s="33" t="n">
        <v>867.9081</v>
      </c>
      <c r="M150" s="34" t="n">
        <v>867.9081</v>
      </c>
      <c r="N150" s="34" t="n">
        <v>867.91</v>
      </c>
      <c r="O150" s="34" t="n">
        <v>407.9081</v>
      </c>
      <c r="P150" s="34" t="n">
        <v>407.91</v>
      </c>
      <c r="Q150" s="26" t="inlineStr">
        <is>
          <t>SOBRE PEDIDO (EXP)</t>
        </is>
      </c>
    </row>
    <row r="151" ht="19" customHeight="1">
      <c r="A151" s="18" t="inlineStr">
        <is>
          <t>AVAN0020</t>
        </is>
      </c>
      <c r="B151" s="22" t="inlineStr">
        <is>
          <t>AVAN0020</t>
        </is>
      </c>
      <c r="C151" s="20" t="inlineStr">
        <is>
          <t>FLORAMEC AVANCE, 20 L</t>
        </is>
      </c>
      <c r="D151" s="21" t="n">
        <v>20</v>
      </c>
      <c r="E151" s="20" t="inlineStr">
        <is>
          <t>Garrafas 20L</t>
        </is>
      </c>
      <c r="F151" s="22" t="inlineStr">
        <is>
          <t>ESPAÑA</t>
        </is>
      </c>
      <c r="G151" s="22" t="inlineStr">
        <is>
          <t>Para Previsión (Nac)</t>
        </is>
      </c>
      <c r="H151" s="24" t="n">
        <v>5300</v>
      </c>
      <c r="I151" s="24" t="n">
        <v>0</v>
      </c>
      <c r="J151" s="24" t="n">
        <v>2437.76</v>
      </c>
      <c r="K151" s="24" t="n">
        <v>1215.8197</v>
      </c>
      <c r="L151" s="24" t="n">
        <v>2013.5468</v>
      </c>
      <c r="M151" s="25" t="n">
        <v>5667.126499999999</v>
      </c>
      <c r="N151" s="25" t="n">
        <v>5667.13</v>
      </c>
      <c r="O151" s="25" t="n">
        <v>367.1264999999994</v>
      </c>
      <c r="P151" s="25" t="n">
        <v>367.13</v>
      </c>
      <c r="Q151" s="26" t="inlineStr">
        <is>
          <t>FABRICACIÓN URGENTE</t>
        </is>
      </c>
    </row>
    <row r="152" ht="19" customHeight="1">
      <c r="A152" s="27" t="inlineStr">
        <is>
          <t>G0005PAPA</t>
        </is>
      </c>
      <c r="B152" s="31" t="inlineStr">
        <is>
          <t>G0005PAPA</t>
        </is>
      </c>
      <c r="C152" s="29" t="inlineStr">
        <is>
          <t>TRANSLOCADOR</t>
        </is>
      </c>
      <c r="D152" s="30" t="n">
        <v>5</v>
      </c>
      <c r="E152" s="29" t="inlineStr">
        <is>
          <t>Garrafas 5L</t>
        </is>
      </c>
      <c r="F152" s="31" t="inlineStr">
        <is>
          <t>PANAMÁ</t>
        </is>
      </c>
      <c r="G152" s="32" t="inlineStr">
        <is>
          <t>Sobre Pedido (Export)</t>
        </is>
      </c>
      <c r="H152" s="33" t="n">
        <v>0</v>
      </c>
      <c r="I152" s="33" t="n">
        <v>0</v>
      </c>
      <c r="J152" s="33" t="n">
        <v>0</v>
      </c>
      <c r="K152" s="33" t="n">
        <v>0</v>
      </c>
      <c r="L152" s="33" t="n">
        <v>347.1632</v>
      </c>
      <c r="M152" s="34" t="n">
        <v>347.1632</v>
      </c>
      <c r="N152" s="34" t="n">
        <v>347.16</v>
      </c>
      <c r="O152" s="34" t="n">
        <v>347.1632</v>
      </c>
      <c r="P152" s="34" t="n">
        <v>347.16</v>
      </c>
      <c r="Q152" s="26" t="inlineStr">
        <is>
          <t>SOBRE PEDIDO (EXP)</t>
        </is>
      </c>
    </row>
    <row r="153" ht="19" customHeight="1">
      <c r="A153" s="18" t="inlineStr">
        <is>
          <t>BPLUS0001</t>
        </is>
      </c>
      <c r="B153" s="19" t="inlineStr">
        <is>
          <t>BPLUS0001CO</t>
        </is>
      </c>
      <c r="C153" s="20" t="inlineStr">
        <is>
          <t>BOROCAL PLUS, 1 KG</t>
        </is>
      </c>
      <c r="D153" s="21" t="n">
        <v>1</v>
      </c>
      <c r="E153" s="20" t="inlineStr">
        <is>
          <t>Bolsas 1 Kg</t>
        </is>
      </c>
      <c r="F153" s="22" t="inlineStr">
        <is>
          <t>COLOMBIA</t>
        </is>
      </c>
      <c r="G153" s="23" t="inlineStr">
        <is>
          <t>Sobre Pedido (Export)</t>
        </is>
      </c>
      <c r="H153" s="24" t="n">
        <v>0</v>
      </c>
      <c r="I153" s="24" t="n">
        <v>0</v>
      </c>
      <c r="J153" s="24" t="n">
        <v>0</v>
      </c>
      <c r="K153" s="24" t="n">
        <v>335.3986</v>
      </c>
      <c r="L153" s="24" t="n">
        <v>0</v>
      </c>
      <c r="M153" s="25" t="n">
        <v>335.3986</v>
      </c>
      <c r="N153" s="25" t="n">
        <v>335.4</v>
      </c>
      <c r="O153" s="25" t="n">
        <v>335.3986</v>
      </c>
      <c r="P153" s="25" t="n">
        <v>335.4</v>
      </c>
      <c r="Q153" s="26" t="inlineStr">
        <is>
          <t>SOBRE PEDIDO (EXP)</t>
        </is>
      </c>
    </row>
    <row r="154" ht="19" customHeight="1">
      <c r="A154" s="27" t="inlineStr">
        <is>
          <t>SASM0072</t>
        </is>
      </c>
      <c r="B154" s="31" t="inlineStr">
        <is>
          <t>SASM0072</t>
        </is>
      </c>
      <c r="C154" s="29" t="inlineStr">
        <is>
          <t>SASM0072 NITRATO CALCIO</t>
        </is>
      </c>
      <c r="D154" s="30" t="n">
        <v>1</v>
      </c>
      <c r="E154" s="29" t="inlineStr">
        <is>
          <t>Botellas 1L</t>
        </is>
      </c>
      <c r="F154" s="31" t="inlineStr">
        <is>
          <t>ESPAÑA</t>
        </is>
      </c>
      <c r="G154" s="31" t="inlineStr">
        <is>
          <t>Para Previsión (Nac)</t>
        </is>
      </c>
      <c r="H154" s="33" t="n">
        <v>0</v>
      </c>
      <c r="I154" s="33" t="n">
        <v>325</v>
      </c>
      <c r="J154" s="33" t="n">
        <v>0</v>
      </c>
      <c r="K154" s="33" t="n">
        <v>0</v>
      </c>
      <c r="L154" s="33" t="n">
        <v>0</v>
      </c>
      <c r="M154" s="34" t="n">
        <v>325</v>
      </c>
      <c r="N154" s="34" t="n">
        <v>325</v>
      </c>
      <c r="O154" s="34" t="n">
        <v>325</v>
      </c>
      <c r="P154" s="34" t="n">
        <v>325</v>
      </c>
      <c r="Q154" s="26" t="inlineStr">
        <is>
          <t>FABRICACIÓN URGENTE</t>
        </is>
      </c>
    </row>
    <row r="155" ht="19" customHeight="1">
      <c r="A155" s="18" t="inlineStr">
        <is>
          <t>AVAN0001</t>
        </is>
      </c>
      <c r="B155" s="19" t="inlineStr">
        <is>
          <t>AVAN0001RO</t>
        </is>
      </c>
      <c r="C155" s="20" t="inlineStr">
        <is>
          <t>CODI-FLOR AVANCE, 1 L</t>
        </is>
      </c>
      <c r="D155" s="21" t="n">
        <v>1</v>
      </c>
      <c r="E155" s="20" t="inlineStr">
        <is>
          <t>Botellas 1L</t>
        </is>
      </c>
      <c r="F155" s="22" t="inlineStr">
        <is>
          <t>RUMANÍA</t>
        </is>
      </c>
      <c r="G155" s="23" t="inlineStr">
        <is>
          <t>Sobre Pedido (Export)</t>
        </is>
      </c>
      <c r="H155" s="24" t="n">
        <v>0</v>
      </c>
      <c r="I155" s="24" t="n">
        <v>0</v>
      </c>
      <c r="J155" s="24" t="n">
        <v>0</v>
      </c>
      <c r="K155" s="24" t="n">
        <v>314.4361</v>
      </c>
      <c r="L155" s="24" t="n">
        <v>0</v>
      </c>
      <c r="M155" s="25" t="n">
        <v>314.4361</v>
      </c>
      <c r="N155" s="25" t="n">
        <v>314.44</v>
      </c>
      <c r="O155" s="25" t="n">
        <v>314.4361</v>
      </c>
      <c r="P155" s="25" t="n">
        <v>314.44</v>
      </c>
      <c r="Q155" s="26" t="inlineStr">
        <is>
          <t>SOBRE PEDIDO (EXP)</t>
        </is>
      </c>
    </row>
    <row r="156" ht="19" customHeight="1">
      <c r="A156" s="27" t="inlineStr">
        <is>
          <t>MPH0005</t>
        </is>
      </c>
      <c r="B156" s="28" t="inlineStr">
        <is>
          <t>MPH0005DO</t>
        </is>
      </c>
      <c r="C156" s="29" t="inlineStr">
        <is>
          <t>MOJALINE NL, 5 L</t>
        </is>
      </c>
      <c r="D156" s="30" t="n">
        <v>5</v>
      </c>
      <c r="E156" s="29" t="inlineStr">
        <is>
          <t>Garrafas 5L</t>
        </is>
      </c>
      <c r="F156" s="31" t="inlineStr">
        <is>
          <t>DOMINICANA, REPÚBLICA</t>
        </is>
      </c>
      <c r="G156" s="32" t="inlineStr">
        <is>
          <t>Sobre Pedido (Export)</t>
        </is>
      </c>
      <c r="H156" s="33" t="n">
        <v>0</v>
      </c>
      <c r="I156" s="33" t="n">
        <v>0</v>
      </c>
      <c r="J156" s="33" t="n">
        <v>0</v>
      </c>
      <c r="K156" s="33" t="n">
        <v>314.4361</v>
      </c>
      <c r="L156" s="33" t="n">
        <v>0</v>
      </c>
      <c r="M156" s="34" t="n">
        <v>314.4361</v>
      </c>
      <c r="N156" s="34" t="n">
        <v>314.44</v>
      </c>
      <c r="O156" s="34" t="n">
        <v>314.4361</v>
      </c>
      <c r="P156" s="34" t="n">
        <v>314.44</v>
      </c>
      <c r="Q156" s="26" t="inlineStr">
        <is>
          <t>SOBRE PEDIDO (EXP)</t>
        </is>
      </c>
    </row>
    <row r="157" ht="19" customHeight="1">
      <c r="A157" s="18" t="inlineStr">
        <is>
          <t>AGXKC0020</t>
        </is>
      </c>
      <c r="B157" s="22" t="inlineStr">
        <is>
          <t>AGXKC0020</t>
        </is>
      </c>
      <c r="C157" s="20" t="inlineStr">
        <is>
          <t>AGROXILATO-COMPLET, 20 L</t>
        </is>
      </c>
      <c r="D157" s="21" t="n">
        <v>20</v>
      </c>
      <c r="E157" s="20" t="inlineStr">
        <is>
          <t>Garrafas 20L</t>
        </is>
      </c>
      <c r="F157" s="22" t="inlineStr">
        <is>
          <t>ESPAÑA</t>
        </is>
      </c>
      <c r="G157" s="22" t="inlineStr">
        <is>
          <t>Para Previsión (Nac)</t>
        </is>
      </c>
      <c r="H157" s="24" t="n">
        <v>1040</v>
      </c>
      <c r="I157" s="24" t="n">
        <v>0</v>
      </c>
      <c r="J157" s="24" t="n">
        <v>0</v>
      </c>
      <c r="K157" s="24" t="n">
        <v>1341.5942</v>
      </c>
      <c r="L157" s="24" t="n">
        <v>0</v>
      </c>
      <c r="M157" s="25" t="n">
        <v>1341.5942</v>
      </c>
      <c r="N157" s="25" t="n">
        <v>1341.59</v>
      </c>
      <c r="O157" s="25" t="n">
        <v>301.5942</v>
      </c>
      <c r="P157" s="25" t="n">
        <v>301.59</v>
      </c>
      <c r="Q157" s="26" t="inlineStr">
        <is>
          <t>FABRICACIÓN URGENTE</t>
        </is>
      </c>
    </row>
    <row r="158" ht="19" customHeight="1">
      <c r="A158" s="27" t="inlineStr">
        <is>
          <t>G30001</t>
        </is>
      </c>
      <c r="B158" s="28" t="inlineStr">
        <is>
          <t>G30001CO</t>
        </is>
      </c>
      <c r="C158" s="29" t="inlineStr">
        <is>
          <t>GREEN-UP, 1 L</t>
        </is>
      </c>
      <c r="D158" s="30" t="n">
        <v>1</v>
      </c>
      <c r="E158" s="29" t="inlineStr">
        <is>
          <t>Botellas 1L</t>
        </is>
      </c>
      <c r="F158" s="31" t="inlineStr">
        <is>
          <t>COLOMBIA</t>
        </is>
      </c>
      <c r="G158" s="32" t="inlineStr">
        <is>
          <t>Sobre Pedido (Export)</t>
        </is>
      </c>
      <c r="H158" s="33" t="n">
        <v>0</v>
      </c>
      <c r="I158" s="33" t="n">
        <v>240</v>
      </c>
      <c r="J158" s="33" t="n">
        <v>0</v>
      </c>
      <c r="K158" s="33" t="n">
        <v>0</v>
      </c>
      <c r="L158" s="33" t="n">
        <v>0</v>
      </c>
      <c r="M158" s="34" t="n">
        <v>240</v>
      </c>
      <c r="N158" s="34" t="n">
        <v>240</v>
      </c>
      <c r="O158" s="34" t="n">
        <v>240</v>
      </c>
      <c r="P158" s="34" t="n">
        <v>240</v>
      </c>
      <c r="Q158" s="26" t="inlineStr">
        <is>
          <t>SOBRE PEDIDO (EXP)</t>
        </is>
      </c>
    </row>
    <row r="159" ht="19" customHeight="1">
      <c r="A159" s="18" t="inlineStr">
        <is>
          <t>RUN0001</t>
        </is>
      </c>
      <c r="B159" s="19" t="inlineStr">
        <is>
          <t>RUN0001DO</t>
        </is>
      </c>
      <c r="C159" s="20" t="inlineStr">
        <is>
          <t>RUN STRESS</t>
        </is>
      </c>
      <c r="D159" s="21" t="n">
        <v>1</v>
      </c>
      <c r="E159" s="20" t="inlineStr">
        <is>
          <t>Botellas 1L</t>
        </is>
      </c>
      <c r="F159" s="22" t="inlineStr">
        <is>
          <t>DOMINICANA, REPÚBLICA</t>
        </is>
      </c>
      <c r="G159" s="23" t="inlineStr">
        <is>
          <t>Sobre Pedido (Export)</t>
        </is>
      </c>
      <c r="H159" s="24" t="n">
        <v>0</v>
      </c>
      <c r="I159" s="24" t="n">
        <v>204</v>
      </c>
      <c r="J159" s="24" t="n">
        <v>0</v>
      </c>
      <c r="K159" s="24" t="n">
        <v>0</v>
      </c>
      <c r="L159" s="24" t="n">
        <v>0</v>
      </c>
      <c r="M159" s="25" t="n">
        <v>204</v>
      </c>
      <c r="N159" s="25" t="n">
        <v>204</v>
      </c>
      <c r="O159" s="25" t="n">
        <v>204</v>
      </c>
      <c r="P159" s="25" t="n">
        <v>204</v>
      </c>
      <c r="Q159" s="26" t="inlineStr">
        <is>
          <t>SOBRE PEDIDO (EXP)</t>
        </is>
      </c>
    </row>
    <row r="160" ht="19" customHeight="1">
      <c r="A160" s="27" t="inlineStr">
        <is>
          <t>AN0005</t>
        </is>
      </c>
      <c r="B160" s="28" t="inlineStr">
        <is>
          <t>AN0005IT</t>
        </is>
      </c>
      <c r="C160" s="29" t="inlineStr">
        <is>
          <t>ALCAPLANT NEW, 5 KG</t>
        </is>
      </c>
      <c r="D160" s="30" t="n">
        <v>5</v>
      </c>
      <c r="E160" s="29" t="inlineStr">
        <is>
          <t>Bolsas 5 Kg</t>
        </is>
      </c>
      <c r="F160" s="31" t="inlineStr">
        <is>
          <t>ITALIA</t>
        </is>
      </c>
      <c r="G160" s="32" t="inlineStr">
        <is>
          <t>Sobre Pedido (Export)</t>
        </is>
      </c>
      <c r="H160" s="33" t="n">
        <v>0</v>
      </c>
      <c r="I160" s="33" t="n">
        <v>0</v>
      </c>
      <c r="J160" s="33" t="n">
        <v>185.41</v>
      </c>
      <c r="K160" s="33" t="n">
        <v>0</v>
      </c>
      <c r="L160" s="33" t="n">
        <v>0</v>
      </c>
      <c r="M160" s="34" t="n">
        <v>185.41</v>
      </c>
      <c r="N160" s="34" t="n">
        <v>185.41</v>
      </c>
      <c r="O160" s="34" t="n">
        <v>185.41</v>
      </c>
      <c r="P160" s="34" t="n">
        <v>185.41</v>
      </c>
      <c r="Q160" s="26" t="inlineStr">
        <is>
          <t>SOBRE PEDIDO (EXP)</t>
        </is>
      </c>
    </row>
    <row r="161" ht="19" customHeight="1">
      <c r="A161" s="18" t="inlineStr">
        <is>
          <t>AGZNP0005</t>
        </is>
      </c>
      <c r="B161" s="22" t="inlineStr">
        <is>
          <t>AGZNP0005</t>
        </is>
      </c>
      <c r="C161" s="20" t="inlineStr">
        <is>
          <t>AGROXILATO ZN PLUS, 5 KG</t>
        </is>
      </c>
      <c r="D161" s="21" t="n">
        <v>5</v>
      </c>
      <c r="E161" s="20" t="inlineStr">
        <is>
          <t>Bolsas 5 Kg</t>
        </is>
      </c>
      <c r="F161" s="22" t="inlineStr">
        <is>
          <t>ESPAÑA</t>
        </is>
      </c>
      <c r="G161" s="22" t="inlineStr">
        <is>
          <t>Para Previsión (Nac)</t>
        </is>
      </c>
      <c r="H161" s="24" t="n">
        <v>705</v>
      </c>
      <c r="I161" s="24" t="n">
        <v>0</v>
      </c>
      <c r="J161" s="24" t="n">
        <v>0</v>
      </c>
      <c r="K161" s="24" t="n">
        <v>0</v>
      </c>
      <c r="L161" s="24" t="n">
        <v>824.5127</v>
      </c>
      <c r="M161" s="25" t="n">
        <v>824.5127</v>
      </c>
      <c r="N161" s="25" t="n">
        <v>824.51</v>
      </c>
      <c r="O161" s="25" t="n">
        <v>119.5127</v>
      </c>
      <c r="P161" s="25" t="n">
        <v>119.51</v>
      </c>
      <c r="Q161" s="26" t="inlineStr">
        <is>
          <t>FABRICACIÓN URGENTE</t>
        </is>
      </c>
    </row>
    <row r="162" ht="19" customHeight="1">
      <c r="A162" s="27" t="inlineStr">
        <is>
          <t>AGZ-M0001</t>
        </is>
      </c>
      <c r="B162" s="31" t="inlineStr">
        <is>
          <t>AGZ-M0001</t>
        </is>
      </c>
      <c r="C162" s="29" t="inlineStr">
        <is>
          <t>AGROXILATO-ZN-MN, 1 KG</t>
        </is>
      </c>
      <c r="D162" s="30" t="n">
        <v>1</v>
      </c>
      <c r="E162" s="29" t="inlineStr">
        <is>
          <t>Bolsas 1 Kg</t>
        </is>
      </c>
      <c r="F162" s="31" t="inlineStr">
        <is>
          <t>ESPAÑA</t>
        </is>
      </c>
      <c r="G162" s="31" t="inlineStr">
        <is>
          <t>Para Previsión (Nac)</t>
        </is>
      </c>
      <c r="H162" s="33" t="n">
        <v>75</v>
      </c>
      <c r="I162" s="33" t="n">
        <v>0</v>
      </c>
      <c r="J162" s="33" t="n">
        <v>0</v>
      </c>
      <c r="K162" s="33" t="n">
        <v>117.3895</v>
      </c>
      <c r="L162" s="33" t="n">
        <v>0</v>
      </c>
      <c r="M162" s="34" t="n">
        <v>117.3895</v>
      </c>
      <c r="N162" s="34" t="n">
        <v>117.39</v>
      </c>
      <c r="O162" s="34" t="n">
        <v>42.3895</v>
      </c>
      <c r="P162" s="34" t="n">
        <v>42.39</v>
      </c>
      <c r="Q162" s="26" t="inlineStr">
        <is>
          <t>FABRICACIÓN URGENTE</t>
        </is>
      </c>
    </row>
    <row r="163" ht="19" customHeight="1">
      <c r="A163" s="18" t="inlineStr">
        <is>
          <t>HST0005</t>
        </is>
      </c>
      <c r="B163" s="22" t="inlineStr">
        <is>
          <t>HST0005</t>
        </is>
      </c>
      <c r="C163" s="20" t="inlineStr">
        <is>
          <t>HIDROSTRESS-40, 5 L</t>
        </is>
      </c>
      <c r="D163" s="21" t="n">
        <v>5</v>
      </c>
      <c r="E163" s="20" t="inlineStr">
        <is>
          <t>Garrafas 5L</t>
        </is>
      </c>
      <c r="F163" s="22" t="inlineStr">
        <is>
          <t>ESPAÑA</t>
        </is>
      </c>
      <c r="G163" s="22" t="inlineStr">
        <is>
          <t>Para Previsión (Nac)</t>
        </is>
      </c>
      <c r="H163" s="24" t="n">
        <v>160</v>
      </c>
      <c r="I163" s="24" t="n">
        <v>0</v>
      </c>
      <c r="J163" s="24" t="n">
        <v>37.08</v>
      </c>
      <c r="K163" s="24" t="n">
        <v>41.9248</v>
      </c>
      <c r="L163" s="24" t="n">
        <v>121.5071</v>
      </c>
      <c r="M163" s="25" t="n">
        <v>200.5119</v>
      </c>
      <c r="N163" s="25" t="n">
        <v>200.51</v>
      </c>
      <c r="O163" s="25" t="n">
        <v>40.5119</v>
      </c>
      <c r="P163" s="25" t="n">
        <v>40.51</v>
      </c>
      <c r="Q163" s="26" t="inlineStr">
        <is>
          <t>FABRICACIÓN URGENTE</t>
        </is>
      </c>
    </row>
    <row r="164" ht="19" customHeight="1">
      <c r="A164" s="27" t="inlineStr">
        <is>
          <t>SASE0011</t>
        </is>
      </c>
      <c r="B164" s="31" t="inlineStr">
        <is>
          <t>SASE0011</t>
        </is>
      </c>
      <c r="C164" s="29" t="inlineStr">
        <is>
          <t>CANTONERAS DE CARTON SAS 2MTR</t>
        </is>
      </c>
      <c r="D164" s="30" t="n">
        <v>1</v>
      </c>
      <c r="E164" s="29" t="inlineStr">
        <is>
          <t>Botellas 1L</t>
        </is>
      </c>
      <c r="F164" s="31" t="inlineStr">
        <is>
          <t>ESPAÑA</t>
        </is>
      </c>
      <c r="G164" s="31" t="inlineStr">
        <is>
          <t>Para Previsión (Nac)</t>
        </is>
      </c>
      <c r="H164" s="33" t="n">
        <v>0</v>
      </c>
      <c r="I164" s="33" t="n">
        <v>26</v>
      </c>
      <c r="J164" s="33" t="n">
        <v>0</v>
      </c>
      <c r="K164" s="33" t="n">
        <v>0</v>
      </c>
      <c r="L164" s="33" t="n">
        <v>0</v>
      </c>
      <c r="M164" s="34" t="n">
        <v>26</v>
      </c>
      <c r="N164" s="34" t="n">
        <v>26</v>
      </c>
      <c r="O164" s="34" t="n">
        <v>26</v>
      </c>
      <c r="P164" s="34" t="n">
        <v>26</v>
      </c>
      <c r="Q164" s="26" t="inlineStr">
        <is>
          <t>FABRICACIÓN URGENTE</t>
        </is>
      </c>
    </row>
    <row r="165" ht="19" customHeight="1">
      <c r="A165" s="18" t="inlineStr">
        <is>
          <t>PHD0005</t>
        </is>
      </c>
      <c r="B165" s="22" t="inlineStr">
        <is>
          <t>PHD0005</t>
        </is>
      </c>
      <c r="C165" s="20" t="inlineStr">
        <is>
          <t>PH-DOWNER, 5 L</t>
        </is>
      </c>
      <c r="D165" s="21" t="n">
        <v>5</v>
      </c>
      <c r="E165" s="20" t="inlineStr">
        <is>
          <t>Garrafas 5L</t>
        </is>
      </c>
      <c r="F165" s="22" t="inlineStr">
        <is>
          <t>ESPAÑA</t>
        </is>
      </c>
      <c r="G165" s="22" t="inlineStr">
        <is>
          <t>Para Previsión (Nac)</t>
        </is>
      </c>
      <c r="H165" s="24" t="n">
        <v>80</v>
      </c>
      <c r="I165" s="24" t="n">
        <v>0</v>
      </c>
      <c r="J165" s="24" t="n">
        <v>0</v>
      </c>
      <c r="K165" s="24" t="n">
        <v>104.812</v>
      </c>
      <c r="L165" s="24" t="n">
        <v>0</v>
      </c>
      <c r="M165" s="25" t="n">
        <v>104.812</v>
      </c>
      <c r="N165" s="25" t="n">
        <v>104.81</v>
      </c>
      <c r="O165" s="25" t="n">
        <v>24.812</v>
      </c>
      <c r="P165" s="25" t="n">
        <v>24.81</v>
      </c>
      <c r="Q165" s="26" t="inlineStr">
        <is>
          <t>FABRICACIÓN URGENTE</t>
        </is>
      </c>
    </row>
    <row r="166" ht="19" customHeight="1">
      <c r="A166" s="27" t="inlineStr">
        <is>
          <t>SASE0052</t>
        </is>
      </c>
      <c r="B166" s="31" t="inlineStr">
        <is>
          <t>SASE0052</t>
        </is>
      </c>
      <c r="C166" s="29" t="inlineStr">
        <is>
          <t>PALET 115 X 0,75</t>
        </is>
      </c>
      <c r="D166" s="30" t="n">
        <v>1</v>
      </c>
      <c r="E166" s="29" t="inlineStr">
        <is>
          <t>Botellas 1L</t>
        </is>
      </c>
      <c r="F166" s="31" t="inlineStr">
        <is>
          <t>ESPAÑA</t>
        </is>
      </c>
      <c r="G166" s="31" t="inlineStr">
        <is>
          <t>Para Previsión (Nac)</t>
        </is>
      </c>
      <c r="H166" s="33" t="n">
        <v>0</v>
      </c>
      <c r="I166" s="33" t="n">
        <v>9</v>
      </c>
      <c r="J166" s="33" t="n">
        <v>0</v>
      </c>
      <c r="K166" s="33" t="n">
        <v>0</v>
      </c>
      <c r="L166" s="33" t="n">
        <v>0</v>
      </c>
      <c r="M166" s="34" t="n">
        <v>9</v>
      </c>
      <c r="N166" s="34" t="n">
        <v>9</v>
      </c>
      <c r="O166" s="34" t="n">
        <v>9</v>
      </c>
      <c r="P166" s="34" t="n">
        <v>9</v>
      </c>
      <c r="Q166" s="26" t="inlineStr">
        <is>
          <t>FABRICACIÓN URGENTE</t>
        </is>
      </c>
    </row>
    <row r="167" ht="19" customHeight="1">
      <c r="A167" s="18" t="inlineStr">
        <is>
          <t>PT1000</t>
        </is>
      </c>
      <c r="B167" s="19" t="inlineStr">
        <is>
          <t>PT1000CR</t>
        </is>
      </c>
      <c r="C167" s="20" t="inlineStr">
        <is>
          <t>AGROPOTASION, 1000 L</t>
        </is>
      </c>
      <c r="D167" s="21" t="n">
        <v>1000</v>
      </c>
      <c r="E167" s="20" t="inlineStr">
        <is>
          <t>Depósito 1000 L</t>
        </is>
      </c>
      <c r="F167" s="22" t="inlineStr">
        <is>
          <t>COSTA RICA</t>
        </is>
      </c>
      <c r="G167" s="23" t="inlineStr">
        <is>
          <t>Sobre Pedido (Export)</t>
        </is>
      </c>
      <c r="H167" s="24" t="n">
        <v>0</v>
      </c>
      <c r="I167" s="24" t="n">
        <v>4000</v>
      </c>
      <c r="J167" s="24" t="n">
        <v>3708.18</v>
      </c>
      <c r="K167" s="24" t="n">
        <v>0</v>
      </c>
      <c r="L167" s="24" t="n">
        <v>1735.8162</v>
      </c>
      <c r="M167" s="25" t="n">
        <v>9443.9962</v>
      </c>
      <c r="N167" s="25" t="n">
        <v>9444</v>
      </c>
      <c r="O167" s="25" t="n">
        <v>9443.9962</v>
      </c>
      <c r="P167" s="25" t="n">
        <v>9444</v>
      </c>
      <c r="Q167" s="35" t="inlineStr">
        <is>
          <t>SOBRE PEDIDO (EXP)</t>
        </is>
      </c>
    </row>
    <row r="168" ht="19" customHeight="1">
      <c r="A168" s="27" t="inlineStr">
        <is>
          <t>PT0020</t>
        </is>
      </c>
      <c r="B168" s="28" t="inlineStr">
        <is>
          <t>PT0020MA</t>
        </is>
      </c>
      <c r="C168" s="29" t="inlineStr">
        <is>
          <t>AGROPOTASION, 20 L</t>
        </is>
      </c>
      <c r="D168" s="30" t="n">
        <v>20</v>
      </c>
      <c r="E168" s="29" t="inlineStr">
        <is>
          <t>Garrafas 20L</t>
        </is>
      </c>
      <c r="F168" s="31" t="inlineStr">
        <is>
          <t>MARRUECOS</t>
        </is>
      </c>
      <c r="G168" s="32" t="inlineStr">
        <is>
          <t>Sobre Pedido (Export)</t>
        </is>
      </c>
      <c r="H168" s="33" t="n">
        <v>0</v>
      </c>
      <c r="I168" s="33" t="n">
        <v>3000</v>
      </c>
      <c r="J168" s="33" t="n">
        <v>4394.18</v>
      </c>
      <c r="K168" s="33" t="n">
        <v>0</v>
      </c>
      <c r="L168" s="33" t="n">
        <v>0</v>
      </c>
      <c r="M168" s="34" t="n">
        <v>7394.18</v>
      </c>
      <c r="N168" s="34" t="n">
        <v>7394.18</v>
      </c>
      <c r="O168" s="34" t="n">
        <v>7394.18</v>
      </c>
      <c r="P168" s="34" t="n">
        <v>7394.18</v>
      </c>
      <c r="Q168" s="35" t="inlineStr">
        <is>
          <t>SOBRE PEDIDO (EXP)</t>
        </is>
      </c>
    </row>
    <row r="169" ht="19" customHeight="1">
      <c r="A169" s="18" t="inlineStr">
        <is>
          <t>PIV0020</t>
        </is>
      </c>
      <c r="B169" s="22" t="inlineStr">
        <is>
          <t>PIV0020</t>
        </is>
      </c>
      <c r="C169" s="20" t="inlineStr">
        <is>
          <t>PGR IV, 20 L</t>
        </is>
      </c>
      <c r="D169" s="21" t="n">
        <v>20</v>
      </c>
      <c r="E169" s="20" t="inlineStr">
        <is>
          <t>Garrafas 20L</t>
        </is>
      </c>
      <c r="F169" s="22" t="inlineStr">
        <is>
          <t>ESPAÑA</t>
        </is>
      </c>
      <c r="G169" s="22" t="inlineStr">
        <is>
          <t>Para Previsión (Nac)</t>
        </is>
      </c>
      <c r="H169" s="24" t="n">
        <v>5660</v>
      </c>
      <c r="I169" s="24" t="n">
        <v>200</v>
      </c>
      <c r="J169" s="24" t="n">
        <v>4746.48</v>
      </c>
      <c r="K169" s="24" t="n">
        <v>3353.9855</v>
      </c>
      <c r="L169" s="24" t="n">
        <v>1666.3836</v>
      </c>
      <c r="M169" s="25" t="n">
        <v>9966.849099999999</v>
      </c>
      <c r="N169" s="25" t="n">
        <v>9966.85</v>
      </c>
      <c r="O169" s="25" t="n">
        <v>4306.849099999999</v>
      </c>
      <c r="P169" s="25" t="n">
        <v>4306.85</v>
      </c>
      <c r="Q169" s="35" t="inlineStr">
        <is>
          <t>SOLO ENVASAR</t>
        </is>
      </c>
    </row>
    <row r="170" ht="19" customHeight="1">
      <c r="A170" s="27" t="inlineStr">
        <is>
          <t>PT0001</t>
        </is>
      </c>
      <c r="B170" s="28" t="inlineStr">
        <is>
          <t>PT0001DO</t>
        </is>
      </c>
      <c r="C170" s="29" t="inlineStr">
        <is>
          <t>AGROPOTASION, 1 L</t>
        </is>
      </c>
      <c r="D170" s="30" t="n">
        <v>1</v>
      </c>
      <c r="E170" s="29" t="inlineStr">
        <is>
          <t>Botellas 1L</t>
        </is>
      </c>
      <c r="F170" s="31" t="inlineStr">
        <is>
          <t>DOMINICANA, REPÚBLICA</t>
        </is>
      </c>
      <c r="G170" s="32" t="inlineStr">
        <is>
          <t>Sobre Pedido (Export)</t>
        </is>
      </c>
      <c r="H170" s="33" t="n">
        <v>659.1277</v>
      </c>
      <c r="I170" s="33" t="n">
        <v>2520</v>
      </c>
      <c r="J170" s="33" t="n">
        <v>0</v>
      </c>
      <c r="K170" s="33" t="n">
        <v>2096.2409</v>
      </c>
      <c r="L170" s="33" t="n">
        <v>0</v>
      </c>
      <c r="M170" s="34" t="n">
        <v>4616.2409</v>
      </c>
      <c r="N170" s="34" t="n">
        <v>4616.24</v>
      </c>
      <c r="O170" s="34" t="n">
        <v>3957.1132</v>
      </c>
      <c r="P170" s="34" t="n">
        <v>3957.11</v>
      </c>
      <c r="Q170" s="35" t="inlineStr">
        <is>
          <t>SOBRE PEDIDO (EXP)</t>
        </is>
      </c>
    </row>
    <row r="171" ht="19" customHeight="1">
      <c r="A171" s="18" t="inlineStr">
        <is>
          <t>C-CU1000</t>
        </is>
      </c>
      <c r="B171" s="19" t="inlineStr">
        <is>
          <t>C-CU1000CR</t>
        </is>
      </c>
      <c r="C171" s="20" t="inlineStr">
        <is>
          <t>CODICOBRE, 1000 L</t>
        </is>
      </c>
      <c r="D171" s="21" t="n">
        <v>1000</v>
      </c>
      <c r="E171" s="20" t="inlineStr">
        <is>
          <t>Depósito 1000 L</t>
        </is>
      </c>
      <c r="F171" s="22" t="inlineStr">
        <is>
          <t>COSTA RICA</t>
        </is>
      </c>
      <c r="G171" s="23" t="inlineStr">
        <is>
          <t>Sobre Pedido (Export)</t>
        </is>
      </c>
      <c r="H171" s="24" t="n">
        <v>0</v>
      </c>
      <c r="I171" s="24" t="n">
        <v>1000</v>
      </c>
      <c r="J171" s="24" t="n">
        <v>0</v>
      </c>
      <c r="K171" s="24" t="n">
        <v>2096.2409</v>
      </c>
      <c r="L171" s="24" t="n">
        <v>0</v>
      </c>
      <c r="M171" s="25" t="n">
        <v>3096.2409</v>
      </c>
      <c r="N171" s="25" t="n">
        <v>3096.24</v>
      </c>
      <c r="O171" s="25" t="n">
        <v>3096.2409</v>
      </c>
      <c r="P171" s="25" t="n">
        <v>3096.24</v>
      </c>
      <c r="Q171" s="35" t="inlineStr">
        <is>
          <t>SOBRE PEDIDO (EXP)</t>
        </is>
      </c>
    </row>
    <row r="172" ht="19" customHeight="1">
      <c r="A172" s="27" t="inlineStr">
        <is>
          <t>AGXK0001</t>
        </is>
      </c>
      <c r="B172" s="28" t="inlineStr">
        <is>
          <t>AGXK0001DO</t>
        </is>
      </c>
      <c r="C172" s="29" t="inlineStr">
        <is>
          <t>AGROXILATO-K</t>
        </is>
      </c>
      <c r="D172" s="30" t="n">
        <v>1</v>
      </c>
      <c r="E172" s="29" t="inlineStr">
        <is>
          <t>Botellas 1L</t>
        </is>
      </c>
      <c r="F172" s="31" t="inlineStr">
        <is>
          <t>DOMINICANA, REPÚBLICA</t>
        </is>
      </c>
      <c r="G172" s="32" t="inlineStr">
        <is>
          <t>Sobre Pedido (Export)</t>
        </is>
      </c>
      <c r="H172" s="33" t="n">
        <v>0</v>
      </c>
      <c r="I172" s="33" t="n">
        <v>1788</v>
      </c>
      <c r="J172" s="33" t="n">
        <v>0</v>
      </c>
      <c r="K172" s="33" t="n">
        <v>1048.1205</v>
      </c>
      <c r="L172" s="33" t="n">
        <v>0</v>
      </c>
      <c r="M172" s="34" t="n">
        <v>2836.1205</v>
      </c>
      <c r="N172" s="34" t="n">
        <v>2836.12</v>
      </c>
      <c r="O172" s="34" t="n">
        <v>2836.1205</v>
      </c>
      <c r="P172" s="34" t="n">
        <v>2836.12</v>
      </c>
      <c r="Q172" s="35" t="inlineStr">
        <is>
          <t>SOBRE PEDIDO (EXP)</t>
        </is>
      </c>
    </row>
    <row r="173" ht="19" customHeight="1">
      <c r="A173" s="18" t="inlineStr">
        <is>
          <t>AGXK0001</t>
        </is>
      </c>
      <c r="B173" s="22" t="inlineStr">
        <is>
          <t>AGXK0001</t>
        </is>
      </c>
      <c r="C173" s="20" t="inlineStr">
        <is>
          <t>AGROXILATO-K</t>
        </is>
      </c>
      <c r="D173" s="21" t="n">
        <v>1</v>
      </c>
      <c r="E173" s="20" t="inlineStr">
        <is>
          <t>Botellas 1L</t>
        </is>
      </c>
      <c r="F173" s="22" t="inlineStr">
        <is>
          <t>ESPAÑA</t>
        </is>
      </c>
      <c r="G173" s="22" t="inlineStr">
        <is>
          <t>Para Previsión (Nac)</t>
        </is>
      </c>
      <c r="H173" s="24" t="n">
        <v>0</v>
      </c>
      <c r="I173" s="24" t="n">
        <v>2772</v>
      </c>
      <c r="J173" s="24" t="n">
        <v>0</v>
      </c>
      <c r="K173" s="24" t="n">
        <v>0</v>
      </c>
      <c r="L173" s="24" t="n">
        <v>0</v>
      </c>
      <c r="M173" s="25" t="n">
        <v>2772</v>
      </c>
      <c r="N173" s="25" t="n">
        <v>2772</v>
      </c>
      <c r="O173" s="25" t="n">
        <v>2772</v>
      </c>
      <c r="P173" s="25" t="n">
        <v>2772</v>
      </c>
      <c r="Q173" s="35" t="inlineStr">
        <is>
          <t>SOLO ENVASAR</t>
        </is>
      </c>
    </row>
    <row r="174" ht="19" customHeight="1">
      <c r="A174" s="27" t="inlineStr">
        <is>
          <t>B0001</t>
        </is>
      </c>
      <c r="B174" s="28" t="inlineStr">
        <is>
          <t>B0001DO</t>
        </is>
      </c>
      <c r="C174" s="29" t="inlineStr">
        <is>
          <t>BOROCAL,1 L</t>
        </is>
      </c>
      <c r="D174" s="30" t="n">
        <v>1</v>
      </c>
      <c r="E174" s="29" t="inlineStr">
        <is>
          <t>Botellas 1L</t>
        </is>
      </c>
      <c r="F174" s="31" t="inlineStr">
        <is>
          <t>ESPAÑA</t>
        </is>
      </c>
      <c r="G174" s="31" t="inlineStr">
        <is>
          <t>Para Previsión (Nac)</t>
        </is>
      </c>
      <c r="H174" s="33" t="n">
        <v>0</v>
      </c>
      <c r="I174" s="33" t="n">
        <v>2748</v>
      </c>
      <c r="J174" s="33" t="n">
        <v>0</v>
      </c>
      <c r="K174" s="33" t="n">
        <v>0</v>
      </c>
      <c r="L174" s="33" t="n">
        <v>0</v>
      </c>
      <c r="M174" s="34" t="n">
        <v>2748</v>
      </c>
      <c r="N174" s="34" t="n">
        <v>2748</v>
      </c>
      <c r="O174" s="34" t="n">
        <v>2748</v>
      </c>
      <c r="P174" s="34" t="n">
        <v>2748</v>
      </c>
      <c r="Q174" s="35" t="inlineStr">
        <is>
          <t>SOLO ENVASAR</t>
        </is>
      </c>
    </row>
    <row r="175" ht="19" customHeight="1">
      <c r="A175" s="18" t="inlineStr">
        <is>
          <t>C-L0005</t>
        </is>
      </c>
      <c r="B175" s="19" t="inlineStr">
        <is>
          <t>C-L0005AZ</t>
        </is>
      </c>
      <c r="C175" s="20" t="inlineStr">
        <is>
          <t>CODIBOR-L, 5 L</t>
        </is>
      </c>
      <c r="D175" s="21" t="n">
        <v>5</v>
      </c>
      <c r="E175" s="20" t="inlineStr">
        <is>
          <t>Garrafas 5L</t>
        </is>
      </c>
      <c r="F175" s="22" t="inlineStr">
        <is>
          <t>AZERBAIYÁN</t>
        </is>
      </c>
      <c r="G175" s="23" t="inlineStr">
        <is>
          <t>Sobre Pedido (Export)</t>
        </is>
      </c>
      <c r="H175" s="24" t="n">
        <v>44.96590000000003</v>
      </c>
      <c r="I175" s="24" t="n">
        <v>0</v>
      </c>
      <c r="J175" s="24" t="n">
        <v>0</v>
      </c>
      <c r="K175" s="24" t="n">
        <v>0</v>
      </c>
      <c r="L175" s="24" t="n">
        <v>2603.7244</v>
      </c>
      <c r="M175" s="25" t="n">
        <v>2603.7244</v>
      </c>
      <c r="N175" s="25" t="n">
        <v>2603.72</v>
      </c>
      <c r="O175" s="25" t="n">
        <v>2558.7585</v>
      </c>
      <c r="P175" s="25" t="n">
        <v>2558.76</v>
      </c>
      <c r="Q175" s="35" t="inlineStr">
        <is>
          <t>SOBRE PEDIDO (EXP)</t>
        </is>
      </c>
    </row>
    <row r="176" ht="19" customHeight="1">
      <c r="A176" s="27" t="inlineStr">
        <is>
          <t>C-CU0001</t>
        </is>
      </c>
      <c r="B176" s="28" t="inlineStr">
        <is>
          <t>C-CU0001EC</t>
        </is>
      </c>
      <c r="C176" s="29" t="inlineStr">
        <is>
          <t>CODICOBRE</t>
        </is>
      </c>
      <c r="D176" s="30" t="n">
        <v>1</v>
      </c>
      <c r="E176" s="29" t="inlineStr">
        <is>
          <t>Botellas 1L</t>
        </is>
      </c>
      <c r="F176" s="31" t="inlineStr">
        <is>
          <t>ECUADOR (INCLUIDAS LAS ISLAS GALÁPAGOS)</t>
        </is>
      </c>
      <c r="G176" s="32" t="inlineStr">
        <is>
          <t>Sobre Pedido (Export)</t>
        </is>
      </c>
      <c r="H176" s="33" t="n">
        <v>0</v>
      </c>
      <c r="I176" s="33" t="n">
        <v>0</v>
      </c>
      <c r="J176" s="33" t="n">
        <v>2202.66</v>
      </c>
      <c r="K176" s="33" t="n">
        <v>0</v>
      </c>
      <c r="L176" s="33" t="n">
        <v>0</v>
      </c>
      <c r="M176" s="34" t="n">
        <v>2202.66</v>
      </c>
      <c r="N176" s="34" t="n">
        <v>2202.66</v>
      </c>
      <c r="O176" s="34" t="n">
        <v>2202.66</v>
      </c>
      <c r="P176" s="34" t="n">
        <v>2202.66</v>
      </c>
      <c r="Q176" s="35" t="inlineStr">
        <is>
          <t>SOBRE PEDIDO (EXP)</t>
        </is>
      </c>
    </row>
    <row r="177" ht="19" customHeight="1">
      <c r="A177" s="18" t="inlineStr">
        <is>
          <t>AGXK0005</t>
        </is>
      </c>
      <c r="B177" s="22" t="inlineStr">
        <is>
          <t>AGXK0005</t>
        </is>
      </c>
      <c r="C177" s="20" t="inlineStr">
        <is>
          <t>AGROXILATO-K, 5 L</t>
        </is>
      </c>
      <c r="D177" s="21" t="n">
        <v>5</v>
      </c>
      <c r="E177" s="20" t="inlineStr">
        <is>
          <t>Garrafas 5L</t>
        </is>
      </c>
      <c r="F177" s="22" t="inlineStr">
        <is>
          <t>ESPAÑA</t>
        </is>
      </c>
      <c r="G177" s="22" t="inlineStr">
        <is>
          <t>Para Previsión (Nac)</t>
        </is>
      </c>
      <c r="H177" s="24" t="n">
        <v>155</v>
      </c>
      <c r="I177" s="24" t="n">
        <v>0</v>
      </c>
      <c r="J177" s="24" t="n">
        <v>175.77</v>
      </c>
      <c r="K177" s="24" t="n">
        <v>2096.2409</v>
      </c>
      <c r="L177" s="24" t="n">
        <v>0</v>
      </c>
      <c r="M177" s="25" t="n">
        <v>2272.0109</v>
      </c>
      <c r="N177" s="25" t="n">
        <v>2272.01</v>
      </c>
      <c r="O177" s="25" t="n">
        <v>2117.0109</v>
      </c>
      <c r="P177" s="25" t="n">
        <v>2117.01</v>
      </c>
      <c r="Q177" s="35" t="inlineStr">
        <is>
          <t>SOLO ENVASAR</t>
        </is>
      </c>
    </row>
    <row r="178" ht="19" customHeight="1">
      <c r="A178" s="27" t="inlineStr">
        <is>
          <t>PT0005</t>
        </is>
      </c>
      <c r="B178" s="28" t="inlineStr">
        <is>
          <t>PT0005DO</t>
        </is>
      </c>
      <c r="C178" s="29" t="inlineStr">
        <is>
          <t>AGROPOTASION, 5 L</t>
        </is>
      </c>
      <c r="D178" s="30" t="n">
        <v>5</v>
      </c>
      <c r="E178" s="29" t="inlineStr">
        <is>
          <t>Garrafas 5L</t>
        </is>
      </c>
      <c r="F178" s="31" t="inlineStr">
        <is>
          <t>DOMINICANA, REPÚBLICA</t>
        </is>
      </c>
      <c r="G178" s="32" t="inlineStr">
        <is>
          <t>Sobre Pedido (Export)</t>
        </is>
      </c>
      <c r="H178" s="33" t="n">
        <v>260.646</v>
      </c>
      <c r="I178" s="33" t="n">
        <v>1260</v>
      </c>
      <c r="J178" s="33" t="n">
        <v>0</v>
      </c>
      <c r="K178" s="33" t="n">
        <v>1048.1205</v>
      </c>
      <c r="L178" s="33" t="n">
        <v>0</v>
      </c>
      <c r="M178" s="34" t="n">
        <v>2308.1205</v>
      </c>
      <c r="N178" s="34" t="n">
        <v>2308.12</v>
      </c>
      <c r="O178" s="34" t="n">
        <v>2047.4745</v>
      </c>
      <c r="P178" s="34" t="n">
        <v>2047.47</v>
      </c>
      <c r="Q178" s="35" t="inlineStr">
        <is>
          <t>SOBRE PEDIDO (EXP)</t>
        </is>
      </c>
    </row>
    <row r="179" ht="19" customHeight="1">
      <c r="A179" s="18" t="inlineStr">
        <is>
          <t>AGXCR0020</t>
        </is>
      </c>
      <c r="B179" s="19" t="inlineStr">
        <is>
          <t>AGXCR0020CO</t>
        </is>
      </c>
      <c r="C179" s="20" t="inlineStr">
        <is>
          <t>AGROXILATO-K, (0-5-20), 20 LtS.</t>
        </is>
      </c>
      <c r="D179" s="21" t="n">
        <v>20</v>
      </c>
      <c r="E179" s="20" t="inlineStr">
        <is>
          <t>Garrafas 20L</t>
        </is>
      </c>
      <c r="F179" s="22" t="inlineStr">
        <is>
          <t>COLOMBIA</t>
        </is>
      </c>
      <c r="G179" s="23" t="inlineStr">
        <is>
          <t>Sobre Pedido (Export)</t>
        </is>
      </c>
      <c r="H179" s="24" t="n">
        <v>0</v>
      </c>
      <c r="I179" s="24" t="n">
        <v>2000</v>
      </c>
      <c r="J179" s="24" t="n">
        <v>0</v>
      </c>
      <c r="K179" s="24" t="n">
        <v>0</v>
      </c>
      <c r="L179" s="24" t="n">
        <v>0</v>
      </c>
      <c r="M179" s="25" t="n">
        <v>2000</v>
      </c>
      <c r="N179" s="25" t="n">
        <v>2000</v>
      </c>
      <c r="O179" s="25" t="n">
        <v>2000</v>
      </c>
      <c r="P179" s="25" t="n">
        <v>2000</v>
      </c>
      <c r="Q179" s="35" t="inlineStr">
        <is>
          <t>SOBRE PEDIDO (EXP)</t>
        </is>
      </c>
    </row>
    <row r="180" ht="19" customHeight="1">
      <c r="A180" s="27" t="inlineStr">
        <is>
          <t>B1000</t>
        </is>
      </c>
      <c r="B180" s="28" t="inlineStr">
        <is>
          <t>B1000CR</t>
        </is>
      </c>
      <c r="C180" s="29" t="inlineStr">
        <is>
          <t>BOROCAL, 1000 L</t>
        </is>
      </c>
      <c r="D180" s="30" t="n">
        <v>1000</v>
      </c>
      <c r="E180" s="29" t="inlineStr">
        <is>
          <t>Depósito 1000 L</t>
        </is>
      </c>
      <c r="F180" s="31" t="inlineStr">
        <is>
          <t>ESPAÑA</t>
        </is>
      </c>
      <c r="G180" s="31" t="inlineStr">
        <is>
          <t>Para Previsión (Nac)</t>
        </is>
      </c>
      <c r="H180" s="33" t="n">
        <v>0</v>
      </c>
      <c r="I180" s="33" t="n">
        <v>2000</v>
      </c>
      <c r="J180" s="33" t="n">
        <v>0</v>
      </c>
      <c r="K180" s="33" t="n">
        <v>0</v>
      </c>
      <c r="L180" s="33" t="n">
        <v>0</v>
      </c>
      <c r="M180" s="34" t="n">
        <v>2000</v>
      </c>
      <c r="N180" s="34" t="n">
        <v>2000</v>
      </c>
      <c r="O180" s="34" t="n">
        <v>2000</v>
      </c>
      <c r="P180" s="34" t="n">
        <v>2000</v>
      </c>
      <c r="Q180" s="35" t="inlineStr">
        <is>
          <t>SOLO ENVASAR</t>
        </is>
      </c>
    </row>
    <row r="181" ht="19" customHeight="1">
      <c r="A181" s="18" t="inlineStr">
        <is>
          <t>F-A1000</t>
        </is>
      </c>
      <c r="B181" s="19" t="inlineStr">
        <is>
          <t>F-A1000CR</t>
        </is>
      </c>
      <c r="C181" s="20" t="inlineStr">
        <is>
          <t>FITOLIN AGRO</t>
        </is>
      </c>
      <c r="D181" s="21" t="n">
        <v>1000</v>
      </c>
      <c r="E181" s="20" t="inlineStr">
        <is>
          <t>Depósito 1000 L</t>
        </is>
      </c>
      <c r="F181" s="22" t="inlineStr">
        <is>
          <t>COSTA RICA</t>
        </is>
      </c>
      <c r="G181" s="23" t="inlineStr">
        <is>
          <t>Sobre Pedido (Export)</t>
        </is>
      </c>
      <c r="H181" s="24" t="n">
        <v>0</v>
      </c>
      <c r="I181" s="24" t="n">
        <v>0</v>
      </c>
      <c r="J181" s="24" t="n">
        <v>0</v>
      </c>
      <c r="K181" s="24" t="n">
        <v>1048.1205</v>
      </c>
      <c r="L181" s="24" t="n">
        <v>867.9081</v>
      </c>
      <c r="M181" s="25" t="n">
        <v>1916.0286</v>
      </c>
      <c r="N181" s="25" t="n">
        <v>1916.03</v>
      </c>
      <c r="O181" s="25" t="n">
        <v>1916.0286</v>
      </c>
      <c r="P181" s="25" t="n">
        <v>1916.03</v>
      </c>
      <c r="Q181" s="35" t="inlineStr">
        <is>
          <t>SOBRE PEDIDO (EXP)</t>
        </is>
      </c>
    </row>
    <row r="182" ht="19" customHeight="1">
      <c r="A182" s="27" t="inlineStr">
        <is>
          <t>B0001</t>
        </is>
      </c>
      <c r="B182" s="31" t="inlineStr">
        <is>
          <t>B0001</t>
        </is>
      </c>
      <c r="C182" s="29" t="inlineStr">
        <is>
          <t>BOROCAL,1 L</t>
        </is>
      </c>
      <c r="D182" s="30" t="n">
        <v>1</v>
      </c>
      <c r="E182" s="29" t="inlineStr">
        <is>
          <t>Botellas 1L</t>
        </is>
      </c>
      <c r="F182" s="31" t="inlineStr">
        <is>
          <t>ESPAÑA</t>
        </is>
      </c>
      <c r="G182" s="31" t="inlineStr">
        <is>
          <t>Para Previsión (Nac)</t>
        </is>
      </c>
      <c r="H182" s="33" t="n">
        <v>48</v>
      </c>
      <c r="I182" s="33" t="n">
        <v>1848</v>
      </c>
      <c r="J182" s="33" t="n">
        <v>0</v>
      </c>
      <c r="K182" s="33" t="n">
        <v>12.5774</v>
      </c>
      <c r="L182" s="33" t="n">
        <v>41.6596</v>
      </c>
      <c r="M182" s="34" t="n">
        <v>1902.237</v>
      </c>
      <c r="N182" s="34" t="n">
        <v>1902.24</v>
      </c>
      <c r="O182" s="34" t="n">
        <v>1854.237</v>
      </c>
      <c r="P182" s="34" t="n">
        <v>1854.24</v>
      </c>
      <c r="Q182" s="35" t="inlineStr">
        <is>
          <t>SOLO ENVASAR</t>
        </is>
      </c>
    </row>
    <row r="183" ht="19" customHeight="1">
      <c r="A183" s="18" t="inlineStr">
        <is>
          <t>S0020</t>
        </is>
      </c>
      <c r="B183" s="22" t="inlineStr">
        <is>
          <t>S0020</t>
        </is>
      </c>
      <c r="C183" s="20" t="inlineStr">
        <is>
          <t>SALWAX STAR, 20 L</t>
        </is>
      </c>
      <c r="D183" s="21" t="n">
        <v>20</v>
      </c>
      <c r="E183" s="20" t="inlineStr">
        <is>
          <t>Garrafas 20L</t>
        </is>
      </c>
      <c r="F183" s="22" t="inlineStr">
        <is>
          <t>ESPAÑA</t>
        </is>
      </c>
      <c r="G183" s="22" t="inlineStr">
        <is>
          <t>Para Previsión (Nac)</t>
        </is>
      </c>
      <c r="H183" s="24" t="n">
        <v>4440</v>
      </c>
      <c r="I183" s="24" t="n">
        <v>0</v>
      </c>
      <c r="J183" s="24" t="n">
        <v>2373.24</v>
      </c>
      <c r="K183" s="24" t="n">
        <v>3353.9855</v>
      </c>
      <c r="L183" s="24" t="n">
        <v>555.4612</v>
      </c>
      <c r="M183" s="25" t="n">
        <v>6282.686699999999</v>
      </c>
      <c r="N183" s="25" t="n">
        <v>6282.69</v>
      </c>
      <c r="O183" s="25" t="n">
        <v>1842.686699999999</v>
      </c>
      <c r="P183" s="25" t="n">
        <v>1842.69</v>
      </c>
      <c r="Q183" s="35" t="inlineStr">
        <is>
          <t>SOLO ENVASAR</t>
        </is>
      </c>
    </row>
    <row r="184" ht="19" customHeight="1">
      <c r="A184" s="27" t="inlineStr">
        <is>
          <t>C-CU0020</t>
        </is>
      </c>
      <c r="B184" s="31" t="inlineStr">
        <is>
          <t>C-CU0020</t>
        </is>
      </c>
      <c r="C184" s="29" t="inlineStr">
        <is>
          <t>CODICOBRE, 20 L</t>
        </is>
      </c>
      <c r="D184" s="30" t="n">
        <v>20</v>
      </c>
      <c r="E184" s="29" t="inlineStr">
        <is>
          <t>Garrafas 20L</t>
        </is>
      </c>
      <c r="F184" s="31" t="inlineStr">
        <is>
          <t>ESPAÑA</t>
        </is>
      </c>
      <c r="G184" s="31" t="inlineStr">
        <is>
          <t>Para Previsión (Nac)</t>
        </is>
      </c>
      <c r="H184" s="33" t="n">
        <v>2300</v>
      </c>
      <c r="I184" s="33" t="n">
        <v>320</v>
      </c>
      <c r="J184" s="33" t="n">
        <v>1965.34</v>
      </c>
      <c r="K184" s="33" t="n">
        <v>1760.8424</v>
      </c>
      <c r="L184" s="33" t="n">
        <v>0</v>
      </c>
      <c r="M184" s="34" t="n">
        <v>4046.1824</v>
      </c>
      <c r="N184" s="34" t="n">
        <v>4046.18</v>
      </c>
      <c r="O184" s="34" t="n">
        <v>1746.1824</v>
      </c>
      <c r="P184" s="34" t="n">
        <v>1746.18</v>
      </c>
      <c r="Q184" s="35" t="inlineStr">
        <is>
          <t>SOLO ENVASAR</t>
        </is>
      </c>
    </row>
    <row r="185" ht="19" customHeight="1">
      <c r="A185" s="18" t="inlineStr">
        <is>
          <t>C-L0020</t>
        </is>
      </c>
      <c r="B185" s="19" t="inlineStr">
        <is>
          <t>C-L0020AZ</t>
        </is>
      </c>
      <c r="C185" s="20" t="inlineStr">
        <is>
          <t>CODIBOR-L, 20 L</t>
        </is>
      </c>
      <c r="D185" s="21" t="n">
        <v>20</v>
      </c>
      <c r="E185" s="20" t="inlineStr">
        <is>
          <t>Garrafas 20L</t>
        </is>
      </c>
      <c r="F185" s="22" t="inlineStr">
        <is>
          <t>AZERBAIYÁN</t>
        </is>
      </c>
      <c r="G185" s="23" t="inlineStr">
        <is>
          <t>Sobre Pedido (Export)</t>
        </is>
      </c>
      <c r="H185" s="24" t="n">
        <v>0</v>
      </c>
      <c r="I185" s="24" t="n">
        <v>0</v>
      </c>
      <c r="J185" s="24" t="n">
        <v>0</v>
      </c>
      <c r="K185" s="24" t="n">
        <v>0</v>
      </c>
      <c r="L185" s="24" t="n">
        <v>1735.8162</v>
      </c>
      <c r="M185" s="25" t="n">
        <v>1735.8162</v>
      </c>
      <c r="N185" s="25" t="n">
        <v>1735.82</v>
      </c>
      <c r="O185" s="25" t="n">
        <v>1735.8162</v>
      </c>
      <c r="P185" s="25" t="n">
        <v>1735.82</v>
      </c>
      <c r="Q185" s="35" t="inlineStr">
        <is>
          <t>SOBRE PEDIDO (EXP)</t>
        </is>
      </c>
    </row>
    <row r="186" ht="19" customHeight="1">
      <c r="A186" s="27" t="inlineStr">
        <is>
          <t>CPLUS0020</t>
        </is>
      </c>
      <c r="B186" s="31" t="inlineStr">
        <is>
          <t>CPLUS0020</t>
        </is>
      </c>
      <c r="C186" s="29" t="inlineStr">
        <is>
          <t>CALCIPLUS, 20 L</t>
        </is>
      </c>
      <c r="D186" s="30" t="n">
        <v>20</v>
      </c>
      <c r="E186" s="29" t="inlineStr">
        <is>
          <t>Garrafas 20L</t>
        </is>
      </c>
      <c r="F186" s="31" t="inlineStr">
        <is>
          <t>ESPAÑA</t>
        </is>
      </c>
      <c r="G186" s="31" t="inlineStr">
        <is>
          <t>Para Previsión (Nac)</t>
        </is>
      </c>
      <c r="H186" s="33" t="n">
        <v>9220</v>
      </c>
      <c r="I186" s="33" t="n">
        <v>0</v>
      </c>
      <c r="J186" s="33" t="n">
        <v>4523.99</v>
      </c>
      <c r="K186" s="33" t="n">
        <v>4695.5797</v>
      </c>
      <c r="L186" s="33" t="n">
        <v>1666.3836</v>
      </c>
      <c r="M186" s="34" t="n">
        <v>10885.9533</v>
      </c>
      <c r="N186" s="34" t="n">
        <v>10885.95</v>
      </c>
      <c r="O186" s="34" t="n">
        <v>1665.953299999999</v>
      </c>
      <c r="P186" s="34" t="n">
        <v>1665.95</v>
      </c>
      <c r="Q186" s="35" t="inlineStr">
        <is>
          <t>SOLO ENVASAR</t>
        </is>
      </c>
    </row>
    <row r="187" ht="19" customHeight="1">
      <c r="A187" s="18" t="inlineStr">
        <is>
          <t>PT0020</t>
        </is>
      </c>
      <c r="B187" s="22" t="inlineStr">
        <is>
          <t>PT0020</t>
        </is>
      </c>
      <c r="C187" s="20" t="inlineStr">
        <is>
          <t>AGROPOTASION, 20 L</t>
        </is>
      </c>
      <c r="D187" s="21" t="n">
        <v>20</v>
      </c>
      <c r="E187" s="20" t="inlineStr">
        <is>
          <t>Garrafas 20L</t>
        </is>
      </c>
      <c r="F187" s="22" t="inlineStr">
        <is>
          <t>ESPAÑA</t>
        </is>
      </c>
      <c r="G187" s="22" t="inlineStr">
        <is>
          <t>Para Previsión (Nac)</t>
        </is>
      </c>
      <c r="H187" s="24" t="n">
        <v>13880</v>
      </c>
      <c r="I187" s="24" t="n">
        <v>0</v>
      </c>
      <c r="J187" s="24" t="n">
        <v>7088.86</v>
      </c>
      <c r="K187" s="24" t="n">
        <v>8049.565199999999</v>
      </c>
      <c r="L187" s="24" t="n">
        <v>260.3724</v>
      </c>
      <c r="M187" s="25" t="n">
        <v>15398.7976</v>
      </c>
      <c r="N187" s="25" t="n">
        <v>15398.8</v>
      </c>
      <c r="O187" s="25" t="n">
        <v>1518.797599999998</v>
      </c>
      <c r="P187" s="25" t="n">
        <v>1518.8</v>
      </c>
      <c r="Q187" s="35" t="inlineStr">
        <is>
          <t>SOLO ENVASAR</t>
        </is>
      </c>
    </row>
    <row r="188" ht="19" customHeight="1">
      <c r="A188" s="27" t="inlineStr">
        <is>
          <t>AGXCR0001</t>
        </is>
      </c>
      <c r="B188" s="28" t="inlineStr">
        <is>
          <t>AGXCR0001PA</t>
        </is>
      </c>
      <c r="C188" s="29" t="inlineStr">
        <is>
          <t>AGROXILATO-K</t>
        </is>
      </c>
      <c r="D188" s="30" t="n">
        <v>1</v>
      </c>
      <c r="E188" s="29" t="inlineStr">
        <is>
          <t>Botellas 1L</t>
        </is>
      </c>
      <c r="F188" s="31" t="inlineStr">
        <is>
          <t>PANAMÁ</t>
        </is>
      </c>
      <c r="G188" s="32" t="inlineStr">
        <is>
          <t>Sobre Pedido (Export)</t>
        </is>
      </c>
      <c r="H188" s="33" t="n">
        <v>0</v>
      </c>
      <c r="I188" s="33" t="n">
        <v>0</v>
      </c>
      <c r="J188" s="33" t="n">
        <v>0</v>
      </c>
      <c r="K188" s="33" t="n">
        <v>0</v>
      </c>
      <c r="L188" s="33" t="n">
        <v>1374.7665</v>
      </c>
      <c r="M188" s="34" t="n">
        <v>1374.7665</v>
      </c>
      <c r="N188" s="34" t="n">
        <v>1374.77</v>
      </c>
      <c r="O188" s="34" t="n">
        <v>1374.7665</v>
      </c>
      <c r="P188" s="34" t="n">
        <v>1374.77</v>
      </c>
      <c r="Q188" s="35" t="inlineStr">
        <is>
          <t>SOBRE PEDIDO (EXP)</t>
        </is>
      </c>
    </row>
    <row r="189" ht="19" customHeight="1">
      <c r="A189" s="18" t="inlineStr">
        <is>
          <t>FLORCR0001</t>
        </is>
      </c>
      <c r="B189" s="19" t="inlineStr">
        <is>
          <t>FLORCR0001PA</t>
        </is>
      </c>
      <c r="C189" s="20" t="inlineStr">
        <is>
          <t>FLORAMEC CR, 1 L</t>
        </is>
      </c>
      <c r="D189" s="21" t="n">
        <v>1</v>
      </c>
      <c r="E189" s="20" t="inlineStr">
        <is>
          <t>Botellas 1L</t>
        </is>
      </c>
      <c r="F189" s="22" t="inlineStr">
        <is>
          <t>PANAMÁ</t>
        </is>
      </c>
      <c r="G189" s="23" t="inlineStr">
        <is>
          <t>Sobre Pedido (Export)</t>
        </is>
      </c>
      <c r="H189" s="24" t="n">
        <v>0</v>
      </c>
      <c r="I189" s="24" t="n">
        <v>0</v>
      </c>
      <c r="J189" s="24" t="n">
        <v>0</v>
      </c>
      <c r="K189" s="24" t="n">
        <v>0</v>
      </c>
      <c r="L189" s="24" t="n">
        <v>1374.7665</v>
      </c>
      <c r="M189" s="25" t="n">
        <v>1374.7665</v>
      </c>
      <c r="N189" s="25" t="n">
        <v>1374.77</v>
      </c>
      <c r="O189" s="25" t="n">
        <v>1374.7665</v>
      </c>
      <c r="P189" s="25" t="n">
        <v>1374.77</v>
      </c>
      <c r="Q189" s="35" t="inlineStr">
        <is>
          <t>SOBRE PEDIDO (EXP)</t>
        </is>
      </c>
    </row>
    <row r="190" ht="19" customHeight="1">
      <c r="A190" s="27" t="inlineStr">
        <is>
          <t>AGXCR0001</t>
        </is>
      </c>
      <c r="B190" s="28" t="inlineStr">
        <is>
          <t>AGXCR0001CO</t>
        </is>
      </c>
      <c r="C190" s="29" t="inlineStr">
        <is>
          <t>AGROXILATO-K</t>
        </is>
      </c>
      <c r="D190" s="30" t="n">
        <v>1</v>
      </c>
      <c r="E190" s="29" t="inlineStr">
        <is>
          <t>Botellas 1L</t>
        </is>
      </c>
      <c r="F190" s="31" t="inlineStr">
        <is>
          <t>COLOMBIA</t>
        </is>
      </c>
      <c r="G190" s="32" t="inlineStr">
        <is>
          <t>Sobre Pedido (Export)</t>
        </is>
      </c>
      <c r="H190" s="33" t="n">
        <v>0</v>
      </c>
      <c r="I190" s="33" t="n">
        <v>840</v>
      </c>
      <c r="J190" s="33" t="n">
        <v>0</v>
      </c>
      <c r="K190" s="33" t="n">
        <v>0</v>
      </c>
      <c r="L190" s="33" t="n">
        <v>520.7449</v>
      </c>
      <c r="M190" s="34" t="n">
        <v>1360.7449</v>
      </c>
      <c r="N190" s="34" t="n">
        <v>1360.74</v>
      </c>
      <c r="O190" s="34" t="n">
        <v>1360.7449</v>
      </c>
      <c r="P190" s="34" t="n">
        <v>1360.74</v>
      </c>
      <c r="Q190" s="35" t="inlineStr">
        <is>
          <t>SOBRE PEDIDO (EXP)</t>
        </is>
      </c>
    </row>
    <row r="191" ht="19" customHeight="1">
      <c r="A191" s="18" t="inlineStr">
        <is>
          <t>C-CU0001</t>
        </is>
      </c>
      <c r="B191" s="19" t="inlineStr">
        <is>
          <t>C-CU0001DO</t>
        </is>
      </c>
      <c r="C191" s="20" t="inlineStr">
        <is>
          <t>CODICOBRE</t>
        </is>
      </c>
      <c r="D191" s="21" t="n">
        <v>1</v>
      </c>
      <c r="E191" s="20" t="inlineStr">
        <is>
          <t>Botellas 1L</t>
        </is>
      </c>
      <c r="F191" s="22" t="inlineStr">
        <is>
          <t>DOMINICANA, REPÚBLICA</t>
        </is>
      </c>
      <c r="G191" s="23" t="inlineStr">
        <is>
          <t>Sobre Pedido (Export)</t>
        </is>
      </c>
      <c r="H191" s="24" t="n">
        <v>0</v>
      </c>
      <c r="I191" s="24" t="n">
        <v>1200</v>
      </c>
      <c r="J191" s="24" t="n">
        <v>0</v>
      </c>
      <c r="K191" s="24" t="n">
        <v>0</v>
      </c>
      <c r="L191" s="24" t="n">
        <v>0</v>
      </c>
      <c r="M191" s="25" t="n">
        <v>1200</v>
      </c>
      <c r="N191" s="25" t="n">
        <v>1200</v>
      </c>
      <c r="O191" s="25" t="n">
        <v>1200</v>
      </c>
      <c r="P191" s="25" t="n">
        <v>1200</v>
      </c>
      <c r="Q191" s="35" t="inlineStr">
        <is>
          <t>SOBRE PEDIDO (EXP)</t>
        </is>
      </c>
    </row>
    <row r="192" ht="19" customHeight="1">
      <c r="A192" s="27" t="inlineStr">
        <is>
          <t>TRI0005</t>
        </is>
      </c>
      <c r="B192" s="31" t="inlineStr">
        <is>
          <t>TRI0005</t>
        </is>
      </c>
      <c r="C192" s="29" t="inlineStr">
        <is>
          <t>TRIFENO-94, 5L</t>
        </is>
      </c>
      <c r="D192" s="30" t="n">
        <v>5</v>
      </c>
      <c r="E192" s="29" t="inlineStr">
        <is>
          <t>Garrafas 5L</t>
        </is>
      </c>
      <c r="F192" s="31" t="inlineStr">
        <is>
          <t>ESPAÑA</t>
        </is>
      </c>
      <c r="G192" s="31" t="inlineStr">
        <is>
          <t>Para Previsión (Nac)</t>
        </is>
      </c>
      <c r="H192" s="33" t="n">
        <v>55</v>
      </c>
      <c r="I192" s="33" t="n">
        <v>0</v>
      </c>
      <c r="J192" s="33" t="n">
        <v>441.12</v>
      </c>
      <c r="K192" s="33" t="n">
        <v>419.2481</v>
      </c>
      <c r="L192" s="33" t="n">
        <v>381.8795</v>
      </c>
      <c r="M192" s="34" t="n">
        <v>1242.2476</v>
      </c>
      <c r="N192" s="34" t="n">
        <v>1242.25</v>
      </c>
      <c r="O192" s="34" t="n">
        <v>1187.2476</v>
      </c>
      <c r="P192" s="34" t="n">
        <v>1187.25</v>
      </c>
      <c r="Q192" s="35" t="inlineStr">
        <is>
          <t>SOLO ENVASAR</t>
        </is>
      </c>
    </row>
    <row r="193" ht="19" customHeight="1">
      <c r="A193" s="18" t="inlineStr">
        <is>
          <t>FLOR0001</t>
        </is>
      </c>
      <c r="B193" s="19" t="inlineStr">
        <is>
          <t>FLOR0001DO</t>
        </is>
      </c>
      <c r="C193" s="20" t="inlineStr">
        <is>
          <t>FLORAMEC</t>
        </is>
      </c>
      <c r="D193" s="21" t="n">
        <v>1</v>
      </c>
      <c r="E193" s="20" t="inlineStr">
        <is>
          <t>Botellas 1L</t>
        </is>
      </c>
      <c r="F193" s="22" t="inlineStr">
        <is>
          <t>DOMINICANA, REPÚBLICA</t>
        </is>
      </c>
      <c r="G193" s="23" t="inlineStr">
        <is>
          <t>Sobre Pedido (Export)</t>
        </is>
      </c>
      <c r="H193" s="24" t="n">
        <v>396.5639</v>
      </c>
      <c r="I193" s="24" t="n">
        <v>648</v>
      </c>
      <c r="J193" s="24" t="n">
        <v>0</v>
      </c>
      <c r="K193" s="24" t="n">
        <v>838.4964</v>
      </c>
      <c r="L193" s="24" t="n">
        <v>0</v>
      </c>
      <c r="M193" s="25" t="n">
        <v>1486.4964</v>
      </c>
      <c r="N193" s="25" t="n">
        <v>1486.5</v>
      </c>
      <c r="O193" s="25" t="n">
        <v>1089.9325</v>
      </c>
      <c r="P193" s="25" t="n">
        <v>1089.93</v>
      </c>
      <c r="Q193" s="35" t="inlineStr">
        <is>
          <t>SOBRE PEDIDO (EXP)</t>
        </is>
      </c>
    </row>
    <row r="194" ht="19" customHeight="1">
      <c r="A194" s="27" t="inlineStr">
        <is>
          <t>AGXCR1000</t>
        </is>
      </c>
      <c r="B194" s="28" t="inlineStr">
        <is>
          <t>AGXCR1000RO</t>
        </is>
      </c>
      <c r="C194" s="29" t="inlineStr">
        <is>
          <t>AGROXILATO-K</t>
        </is>
      </c>
      <c r="D194" s="30" t="n">
        <v>1000</v>
      </c>
      <c r="E194" s="29" t="inlineStr">
        <is>
          <t>Depósito 1000 L</t>
        </is>
      </c>
      <c r="F194" s="31" t="inlineStr">
        <is>
          <t>RUMANÍA</t>
        </is>
      </c>
      <c r="G194" s="32" t="inlineStr">
        <is>
          <t>Sobre Pedido (Export)</t>
        </is>
      </c>
      <c r="H194" s="33" t="n">
        <v>0</v>
      </c>
      <c r="I194" s="33" t="n">
        <v>0</v>
      </c>
      <c r="J194" s="33" t="n">
        <v>0</v>
      </c>
      <c r="K194" s="33" t="n">
        <v>1048.1205</v>
      </c>
      <c r="L194" s="33" t="n">
        <v>0</v>
      </c>
      <c r="M194" s="34" t="n">
        <v>1048.1205</v>
      </c>
      <c r="N194" s="34" t="n">
        <v>1048.12</v>
      </c>
      <c r="O194" s="34" t="n">
        <v>1048.1205</v>
      </c>
      <c r="P194" s="34" t="n">
        <v>1048.12</v>
      </c>
      <c r="Q194" s="35" t="inlineStr">
        <is>
          <t>SOBRE PEDIDO (EXP)</t>
        </is>
      </c>
    </row>
    <row r="195" ht="19" customHeight="1">
      <c r="A195" s="18" t="inlineStr">
        <is>
          <t>B1000RORU</t>
        </is>
      </c>
      <c r="B195" s="22" t="inlineStr">
        <is>
          <t>B1000RORU</t>
        </is>
      </c>
      <c r="C195" s="20" t="inlineStr">
        <is>
          <t>BOROCAL, 1000 L</t>
        </is>
      </c>
      <c r="D195" s="21" t="n">
        <v>1000</v>
      </c>
      <c r="E195" s="20" t="inlineStr">
        <is>
          <t>Depósito 1000 L</t>
        </is>
      </c>
      <c r="F195" s="22" t="inlineStr">
        <is>
          <t>RUMANÍA</t>
        </is>
      </c>
      <c r="G195" s="23" t="inlineStr">
        <is>
          <t>Sobre Pedido (Export)</t>
        </is>
      </c>
      <c r="H195" s="24" t="n">
        <v>0</v>
      </c>
      <c r="I195" s="24" t="n">
        <v>0</v>
      </c>
      <c r="J195" s="24" t="n">
        <v>0</v>
      </c>
      <c r="K195" s="24" t="n">
        <v>1048.1205</v>
      </c>
      <c r="L195" s="24" t="n">
        <v>0</v>
      </c>
      <c r="M195" s="25" t="n">
        <v>1048.1205</v>
      </c>
      <c r="N195" s="25" t="n">
        <v>1048.12</v>
      </c>
      <c r="O195" s="25" t="n">
        <v>1048.1205</v>
      </c>
      <c r="P195" s="25" t="n">
        <v>1048.12</v>
      </c>
      <c r="Q195" s="35" t="inlineStr">
        <is>
          <t>SOBRE PEDIDO (EXP)</t>
        </is>
      </c>
    </row>
    <row r="196" ht="19" customHeight="1">
      <c r="A196" s="27" t="inlineStr">
        <is>
          <t>B0001DODO</t>
        </is>
      </c>
      <c r="B196" s="31" t="inlineStr">
        <is>
          <t>B0001DODO</t>
        </is>
      </c>
      <c r="C196" s="29" t="inlineStr">
        <is>
          <t>BOROCAL</t>
        </is>
      </c>
      <c r="D196" s="30" t="n">
        <v>1</v>
      </c>
      <c r="E196" s="29" t="inlineStr">
        <is>
          <t>Botellas 1L</t>
        </is>
      </c>
      <c r="F196" s="31" t="inlineStr">
        <is>
          <t>DOMINICANA, REPÚBLICA</t>
        </is>
      </c>
      <c r="G196" s="32" t="inlineStr">
        <is>
          <t>Sobre Pedido (Export)</t>
        </is>
      </c>
      <c r="H196" s="33" t="n">
        <v>0</v>
      </c>
      <c r="I196" s="33" t="n">
        <v>0</v>
      </c>
      <c r="J196" s="33" t="n">
        <v>0</v>
      </c>
      <c r="K196" s="33" t="n">
        <v>1048.1205</v>
      </c>
      <c r="L196" s="33" t="n">
        <v>0</v>
      </c>
      <c r="M196" s="34" t="n">
        <v>1048.1205</v>
      </c>
      <c r="N196" s="34" t="n">
        <v>1048.12</v>
      </c>
      <c r="O196" s="34" t="n">
        <v>1048.1205</v>
      </c>
      <c r="P196" s="34" t="n">
        <v>1048.12</v>
      </c>
      <c r="Q196" s="35" t="inlineStr">
        <is>
          <t>SOBRE PEDIDO (EXP)</t>
        </is>
      </c>
    </row>
    <row r="197" ht="19" customHeight="1">
      <c r="A197" s="18" t="inlineStr">
        <is>
          <t>C-CU0001</t>
        </is>
      </c>
      <c r="B197" s="22" t="inlineStr">
        <is>
          <t>C-CU0001</t>
        </is>
      </c>
      <c r="C197" s="20" t="inlineStr">
        <is>
          <t>CODICOBRE</t>
        </is>
      </c>
      <c r="D197" s="21" t="n">
        <v>1</v>
      </c>
      <c r="E197" s="20" t="inlineStr">
        <is>
          <t>Botellas 1L</t>
        </is>
      </c>
      <c r="F197" s="22" t="inlineStr">
        <is>
          <t>ESPAÑA</t>
        </is>
      </c>
      <c r="G197" s="22" t="inlineStr">
        <is>
          <t>Para Previsión (Nac)</t>
        </is>
      </c>
      <c r="H197" s="24" t="n">
        <v>0</v>
      </c>
      <c r="I197" s="24" t="n">
        <v>1008</v>
      </c>
      <c r="J197" s="24" t="n">
        <v>0</v>
      </c>
      <c r="K197" s="24" t="n">
        <v>0</v>
      </c>
      <c r="L197" s="24" t="n">
        <v>0</v>
      </c>
      <c r="M197" s="25" t="n">
        <v>1008</v>
      </c>
      <c r="N197" s="25" t="n">
        <v>1008</v>
      </c>
      <c r="O197" s="25" t="n">
        <v>1008</v>
      </c>
      <c r="P197" s="25" t="n">
        <v>1008</v>
      </c>
      <c r="Q197" s="35" t="inlineStr">
        <is>
          <t>SOLO ENVASAR</t>
        </is>
      </c>
    </row>
    <row r="198" ht="19" customHeight="1">
      <c r="A198" s="27" t="inlineStr">
        <is>
          <t>AGXK0005</t>
        </is>
      </c>
      <c r="B198" s="28" t="inlineStr">
        <is>
          <t>AGXK0005GE</t>
        </is>
      </c>
      <c r="C198" s="29" t="inlineStr">
        <is>
          <t>AGROXILATO-K, 5 L</t>
        </is>
      </c>
      <c r="D198" s="30" t="n">
        <v>5</v>
      </c>
      <c r="E198" s="29" t="inlineStr">
        <is>
          <t>Garrafas 5L</t>
        </is>
      </c>
      <c r="F198" s="31" t="inlineStr">
        <is>
          <t>GEORGIA</t>
        </is>
      </c>
      <c r="G198" s="32" t="inlineStr">
        <is>
          <t>Sobre Pedido (Export)</t>
        </is>
      </c>
      <c r="H198" s="33" t="n">
        <v>0</v>
      </c>
      <c r="I198" s="33" t="n">
        <v>0</v>
      </c>
      <c r="J198" s="33" t="n">
        <v>0</v>
      </c>
      <c r="K198" s="33" t="n">
        <v>0</v>
      </c>
      <c r="L198" s="33" t="n">
        <v>867.9081</v>
      </c>
      <c r="M198" s="34" t="n">
        <v>867.9081</v>
      </c>
      <c r="N198" s="34" t="n">
        <v>867.91</v>
      </c>
      <c r="O198" s="34" t="n">
        <v>867.9081</v>
      </c>
      <c r="P198" s="34" t="n">
        <v>867.91</v>
      </c>
      <c r="Q198" s="35" t="inlineStr">
        <is>
          <t>SOBRE PEDIDO (EXP)</t>
        </is>
      </c>
    </row>
    <row r="199" ht="19" customHeight="1">
      <c r="A199" s="18" t="inlineStr">
        <is>
          <t>C-CU0005</t>
        </is>
      </c>
      <c r="B199" s="19" t="inlineStr">
        <is>
          <t>C-CU0005GE</t>
        </is>
      </c>
      <c r="C199" s="20" t="inlineStr">
        <is>
          <t>CODICOBRE, 5 L</t>
        </is>
      </c>
      <c r="D199" s="21" t="n">
        <v>5</v>
      </c>
      <c r="E199" s="20" t="inlineStr">
        <is>
          <t>Garrafas 5L</t>
        </is>
      </c>
      <c r="F199" s="22" t="inlineStr">
        <is>
          <t>GEORGIA</t>
        </is>
      </c>
      <c r="G199" s="23" t="inlineStr">
        <is>
          <t>Sobre Pedido (Export)</t>
        </is>
      </c>
      <c r="H199" s="24" t="n">
        <v>0</v>
      </c>
      <c r="I199" s="24" t="n">
        <v>0</v>
      </c>
      <c r="J199" s="24" t="n">
        <v>0</v>
      </c>
      <c r="K199" s="24" t="n">
        <v>0</v>
      </c>
      <c r="L199" s="24" t="n">
        <v>867.9081</v>
      </c>
      <c r="M199" s="25" t="n">
        <v>867.9081</v>
      </c>
      <c r="N199" s="25" t="n">
        <v>867.91</v>
      </c>
      <c r="O199" s="25" t="n">
        <v>867.9081</v>
      </c>
      <c r="P199" s="25" t="n">
        <v>867.91</v>
      </c>
      <c r="Q199" s="35" t="inlineStr">
        <is>
          <t>SOBRE PEDIDO (EXP)</t>
        </is>
      </c>
    </row>
    <row r="200" ht="19" customHeight="1">
      <c r="A200" s="27" t="inlineStr">
        <is>
          <t>AGXCR0005</t>
        </is>
      </c>
      <c r="B200" s="28" t="inlineStr">
        <is>
          <t>AGXCR0005CO</t>
        </is>
      </c>
      <c r="C200" s="29" t="inlineStr">
        <is>
          <t>AGROXILATO-K</t>
        </is>
      </c>
      <c r="D200" s="30" t="n">
        <v>5</v>
      </c>
      <c r="E200" s="29" t="inlineStr">
        <is>
          <t>Garrafas 5L</t>
        </is>
      </c>
      <c r="F200" s="31" t="inlineStr">
        <is>
          <t>COLOMBIA</t>
        </is>
      </c>
      <c r="G200" s="32" t="inlineStr">
        <is>
          <t>Sobre Pedido (Export)</t>
        </is>
      </c>
      <c r="H200" s="33" t="n">
        <v>0</v>
      </c>
      <c r="I200" s="33" t="n">
        <v>0</v>
      </c>
      <c r="J200" s="33" t="n">
        <v>0</v>
      </c>
      <c r="K200" s="33" t="n">
        <v>0</v>
      </c>
      <c r="L200" s="33" t="n">
        <v>867.9081</v>
      </c>
      <c r="M200" s="34" t="n">
        <v>867.9081</v>
      </c>
      <c r="N200" s="34" t="n">
        <v>867.91</v>
      </c>
      <c r="O200" s="34" t="n">
        <v>867.9081</v>
      </c>
      <c r="P200" s="34" t="n">
        <v>867.91</v>
      </c>
      <c r="Q200" s="35" t="inlineStr">
        <is>
          <t>SOBRE PEDIDO (EXP)</t>
        </is>
      </c>
    </row>
    <row r="201" ht="19" customHeight="1">
      <c r="A201" s="18" t="inlineStr">
        <is>
          <t>FU1000</t>
        </is>
      </c>
      <c r="B201" s="19" t="inlineStr">
        <is>
          <t>FU1000TR</t>
        </is>
      </c>
      <c r="C201" s="20" t="inlineStr">
        <is>
          <t>FULVIGIN, 1000 L</t>
        </is>
      </c>
      <c r="D201" s="21" t="n">
        <v>1000</v>
      </c>
      <c r="E201" s="20" t="inlineStr">
        <is>
          <t>Depósito 1000 L</t>
        </is>
      </c>
      <c r="F201" s="22" t="inlineStr">
        <is>
          <t>TURQUÍA</t>
        </is>
      </c>
      <c r="G201" s="23" t="inlineStr">
        <is>
          <t>Sobre Pedido (Export)</t>
        </is>
      </c>
      <c r="H201" s="24" t="n">
        <v>0</v>
      </c>
      <c r="I201" s="24" t="n">
        <v>0</v>
      </c>
      <c r="J201" s="24" t="n">
        <v>0</v>
      </c>
      <c r="K201" s="24" t="n">
        <v>0</v>
      </c>
      <c r="L201" s="24" t="n">
        <v>867.9081</v>
      </c>
      <c r="M201" s="25" t="n">
        <v>867.9081</v>
      </c>
      <c r="N201" s="25" t="n">
        <v>867.91</v>
      </c>
      <c r="O201" s="25" t="n">
        <v>867.9081</v>
      </c>
      <c r="P201" s="25" t="n">
        <v>867.91</v>
      </c>
      <c r="Q201" s="35" t="inlineStr">
        <is>
          <t>SOBRE PEDIDO (EXP)</t>
        </is>
      </c>
    </row>
    <row r="202" ht="19" customHeight="1">
      <c r="A202" s="27" t="inlineStr">
        <is>
          <t>CPLUS0200</t>
        </is>
      </c>
      <c r="B202" s="31" t="inlineStr">
        <is>
          <t>CPLUS0200</t>
        </is>
      </c>
      <c r="C202" s="29" t="inlineStr">
        <is>
          <t>CALCIPLUS, 200 L</t>
        </is>
      </c>
      <c r="D202" s="30" t="n">
        <v>200</v>
      </c>
      <c r="E202" s="29" t="inlineStr">
        <is>
          <t>Depósito 200 L</t>
        </is>
      </c>
      <c r="F202" s="31" t="inlineStr">
        <is>
          <t>ESPAÑA</t>
        </is>
      </c>
      <c r="G202" s="31" t="inlineStr">
        <is>
          <t>Para Previsión (Nac)</t>
        </is>
      </c>
      <c r="H202" s="33" t="n">
        <v>0</v>
      </c>
      <c r="I202" s="33" t="n">
        <v>0</v>
      </c>
      <c r="J202" s="33" t="n">
        <v>0</v>
      </c>
      <c r="K202" s="33" t="n">
        <v>838.4964</v>
      </c>
      <c r="L202" s="33" t="n">
        <v>0</v>
      </c>
      <c r="M202" s="34" t="n">
        <v>838.4964</v>
      </c>
      <c r="N202" s="34" t="n">
        <v>838.5</v>
      </c>
      <c r="O202" s="34" t="n">
        <v>838.4964</v>
      </c>
      <c r="P202" s="34" t="n">
        <v>838.5</v>
      </c>
      <c r="Q202" s="35" t="inlineStr">
        <is>
          <t>SOLO ENVASAR</t>
        </is>
      </c>
    </row>
    <row r="203" ht="19" customHeight="1">
      <c r="A203" s="18" t="inlineStr">
        <is>
          <t>C-CU0001</t>
        </is>
      </c>
      <c r="B203" s="19" t="inlineStr">
        <is>
          <t>C-CU0001GE</t>
        </is>
      </c>
      <c r="C203" s="20" t="inlineStr">
        <is>
          <t>CODICOBRE</t>
        </is>
      </c>
      <c r="D203" s="21" t="n">
        <v>1</v>
      </c>
      <c r="E203" s="20" t="inlineStr">
        <is>
          <t>Botellas 1L</t>
        </is>
      </c>
      <c r="F203" s="22" t="inlineStr">
        <is>
          <t>GEORGIA</t>
        </is>
      </c>
      <c r="G203" s="23" t="inlineStr">
        <is>
          <t>Sobre Pedido (Export)</t>
        </is>
      </c>
      <c r="H203" s="24" t="n">
        <v>0</v>
      </c>
      <c r="I203" s="24" t="n">
        <v>0</v>
      </c>
      <c r="J203" s="24" t="n">
        <v>0</v>
      </c>
      <c r="K203" s="24" t="n">
        <v>0</v>
      </c>
      <c r="L203" s="24" t="n">
        <v>833.1917999999999</v>
      </c>
      <c r="M203" s="25" t="n">
        <v>833.1917999999999</v>
      </c>
      <c r="N203" s="25" t="n">
        <v>833.1900000000001</v>
      </c>
      <c r="O203" s="25" t="n">
        <v>833.1917999999999</v>
      </c>
      <c r="P203" s="25" t="n">
        <v>833.1900000000001</v>
      </c>
      <c r="Q203" s="35" t="inlineStr">
        <is>
          <t>SOBRE PEDIDO (EXP)</t>
        </is>
      </c>
    </row>
    <row r="204" ht="19" customHeight="1">
      <c r="A204" s="27" t="inlineStr">
        <is>
          <t>SPCE20005</t>
        </is>
      </c>
      <c r="B204" s="28" t="inlineStr">
        <is>
          <t>SPCE20005CR</t>
        </is>
      </c>
      <c r="C204" s="29" t="inlineStr">
        <is>
          <t>SPRINTENE ZNMN 5L</t>
        </is>
      </c>
      <c r="D204" s="30" t="n">
        <v>5</v>
      </c>
      <c r="E204" s="29" t="inlineStr">
        <is>
          <t>Garrafas 5L</t>
        </is>
      </c>
      <c r="F204" s="31" t="inlineStr">
        <is>
          <t>COSTA RICA</t>
        </is>
      </c>
      <c r="G204" s="32" t="inlineStr">
        <is>
          <t>Sobre Pedido (Export)</t>
        </is>
      </c>
      <c r="H204" s="33" t="n">
        <v>0</v>
      </c>
      <c r="I204" s="33" t="n">
        <v>0</v>
      </c>
      <c r="J204" s="33" t="n">
        <v>370.82</v>
      </c>
      <c r="K204" s="33" t="n">
        <v>419.2482</v>
      </c>
      <c r="L204" s="33" t="n">
        <v>0</v>
      </c>
      <c r="M204" s="34" t="n">
        <v>790.0681999999999</v>
      </c>
      <c r="N204" s="34" t="n">
        <v>790.0700000000001</v>
      </c>
      <c r="O204" s="34" t="n">
        <v>790.0681999999999</v>
      </c>
      <c r="P204" s="34" t="n">
        <v>790.0700000000001</v>
      </c>
      <c r="Q204" s="35" t="inlineStr">
        <is>
          <t>SOBRE PEDIDO (EXP)</t>
        </is>
      </c>
    </row>
    <row r="205" ht="19" customHeight="1">
      <c r="A205" s="18" t="inlineStr">
        <is>
          <t>BIO0001</t>
        </is>
      </c>
      <c r="B205" s="19" t="inlineStr">
        <is>
          <t>BIO0001RO</t>
        </is>
      </c>
      <c r="C205" s="20" t="inlineStr">
        <is>
          <t>BIORAD-20</t>
        </is>
      </c>
      <c r="D205" s="21" t="n">
        <v>1</v>
      </c>
      <c r="E205" s="20" t="inlineStr">
        <is>
          <t>Botellas 1L</t>
        </is>
      </c>
      <c r="F205" s="22" t="inlineStr">
        <is>
          <t>RUMANÍA</t>
        </is>
      </c>
      <c r="G205" s="23" t="inlineStr">
        <is>
          <t>Sobre Pedido (Export)</t>
        </is>
      </c>
      <c r="H205" s="24" t="n">
        <v>0</v>
      </c>
      <c r="I205" s="24" t="n">
        <v>0</v>
      </c>
      <c r="J205" s="24" t="n">
        <v>696.04</v>
      </c>
      <c r="K205" s="24" t="n">
        <v>0</v>
      </c>
      <c r="L205" s="24" t="n">
        <v>0</v>
      </c>
      <c r="M205" s="25" t="n">
        <v>696.04</v>
      </c>
      <c r="N205" s="25" t="n">
        <v>696.04</v>
      </c>
      <c r="O205" s="25" t="n">
        <v>696.04</v>
      </c>
      <c r="P205" s="25" t="n">
        <v>696.04</v>
      </c>
      <c r="Q205" s="35" t="inlineStr">
        <is>
          <t>SOBRE PEDIDO (EXP)</t>
        </is>
      </c>
    </row>
    <row r="206" ht="19" customHeight="1">
      <c r="A206" s="27" t="inlineStr">
        <is>
          <t>AGXCR0005</t>
        </is>
      </c>
      <c r="B206" s="28" t="inlineStr">
        <is>
          <t>AGXCR0005PA</t>
        </is>
      </c>
      <c r="C206" s="29" t="inlineStr">
        <is>
          <t>AGROXILATO-K</t>
        </is>
      </c>
      <c r="D206" s="30" t="n">
        <v>5</v>
      </c>
      <c r="E206" s="29" t="inlineStr">
        <is>
          <t>Garrafas 5L</t>
        </is>
      </c>
      <c r="F206" s="31" t="inlineStr">
        <is>
          <t>PANAMÁ</t>
        </is>
      </c>
      <c r="G206" s="32" t="inlineStr">
        <is>
          <t>Sobre Pedido (Export)</t>
        </is>
      </c>
      <c r="H206" s="33" t="n">
        <v>0</v>
      </c>
      <c r="I206" s="33" t="n">
        <v>0</v>
      </c>
      <c r="J206" s="33" t="n">
        <v>0</v>
      </c>
      <c r="K206" s="33" t="n">
        <v>0</v>
      </c>
      <c r="L206" s="33" t="n">
        <v>694.3265</v>
      </c>
      <c r="M206" s="34" t="n">
        <v>694.3265</v>
      </c>
      <c r="N206" s="34" t="n">
        <v>694.33</v>
      </c>
      <c r="O206" s="34" t="n">
        <v>694.3265</v>
      </c>
      <c r="P206" s="34" t="n">
        <v>694.33</v>
      </c>
      <c r="Q206" s="35" t="inlineStr">
        <is>
          <t>SOBRE PEDIDO (EXP)</t>
        </is>
      </c>
    </row>
    <row r="207" ht="19" customHeight="1">
      <c r="A207" s="18" t="inlineStr">
        <is>
          <t>B0001RORU</t>
        </is>
      </c>
      <c r="B207" s="22" t="inlineStr">
        <is>
          <t>B0001RORU</t>
        </is>
      </c>
      <c r="C207" s="20" t="inlineStr">
        <is>
          <t>BOROCAL</t>
        </is>
      </c>
      <c r="D207" s="21" t="n">
        <v>1</v>
      </c>
      <c r="E207" s="20" t="inlineStr">
        <is>
          <t>Botellas 1L</t>
        </is>
      </c>
      <c r="F207" s="22" t="inlineStr">
        <is>
          <t>RUMANÍA</t>
        </is>
      </c>
      <c r="G207" s="23" t="inlineStr">
        <is>
          <t>Sobre Pedido (Export)</t>
        </is>
      </c>
      <c r="H207" s="24" t="n">
        <v>0</v>
      </c>
      <c r="I207" s="24" t="n">
        <v>0</v>
      </c>
      <c r="J207" s="24" t="n">
        <v>0</v>
      </c>
      <c r="K207" s="24" t="n">
        <v>691.7595</v>
      </c>
      <c r="L207" s="24" t="n">
        <v>0</v>
      </c>
      <c r="M207" s="25" t="n">
        <v>691.7595</v>
      </c>
      <c r="N207" s="25" t="n">
        <v>691.76</v>
      </c>
      <c r="O207" s="25" t="n">
        <v>691.7595</v>
      </c>
      <c r="P207" s="25" t="n">
        <v>691.76</v>
      </c>
      <c r="Q207" s="35" t="inlineStr">
        <is>
          <t>SOBRE PEDIDO (EXP)</t>
        </is>
      </c>
    </row>
    <row r="208" ht="19" customHeight="1">
      <c r="A208" s="27" t="inlineStr">
        <is>
          <t>C-CU0001</t>
        </is>
      </c>
      <c r="B208" s="28" t="inlineStr">
        <is>
          <t>C-CU0001RO</t>
        </is>
      </c>
      <c r="C208" s="29" t="inlineStr">
        <is>
          <t>CODICOBRE</t>
        </is>
      </c>
      <c r="D208" s="30" t="n">
        <v>1</v>
      </c>
      <c r="E208" s="29" t="inlineStr">
        <is>
          <t>Botellas 1L</t>
        </is>
      </c>
      <c r="F208" s="31" t="inlineStr">
        <is>
          <t>RUMANÍA</t>
        </is>
      </c>
      <c r="G208" s="32" t="inlineStr">
        <is>
          <t>Sobre Pedido (Export)</t>
        </is>
      </c>
      <c r="H208" s="33" t="n">
        <v>0</v>
      </c>
      <c r="I208" s="33" t="n">
        <v>0</v>
      </c>
      <c r="J208" s="33" t="n">
        <v>0</v>
      </c>
      <c r="K208" s="33" t="n">
        <v>691.7595</v>
      </c>
      <c r="L208" s="33" t="n">
        <v>0</v>
      </c>
      <c r="M208" s="34" t="n">
        <v>691.7595</v>
      </c>
      <c r="N208" s="34" t="n">
        <v>691.76</v>
      </c>
      <c r="O208" s="34" t="n">
        <v>691.7595</v>
      </c>
      <c r="P208" s="34" t="n">
        <v>691.76</v>
      </c>
      <c r="Q208" s="35" t="inlineStr">
        <is>
          <t>SOBRE PEDIDO (EXP)</t>
        </is>
      </c>
    </row>
    <row r="209" ht="19" customHeight="1">
      <c r="A209" s="18" t="inlineStr">
        <is>
          <t>PML0001</t>
        </is>
      </c>
      <c r="B209" s="19" t="inlineStr">
        <is>
          <t>PML0001RO</t>
        </is>
      </c>
      <c r="C209" s="20" t="inlineStr">
        <is>
          <t>POLIGREEN MIX L</t>
        </is>
      </c>
      <c r="D209" s="21" t="n">
        <v>1</v>
      </c>
      <c r="E209" s="20" t="inlineStr">
        <is>
          <t>Botellas 1L</t>
        </is>
      </c>
      <c r="F209" s="22" t="inlineStr">
        <is>
          <t>RUMANÍA</t>
        </is>
      </c>
      <c r="G209" s="23" t="inlineStr">
        <is>
          <t>Sobre Pedido (Export)</t>
        </is>
      </c>
      <c r="H209" s="24" t="n">
        <v>0</v>
      </c>
      <c r="I209" s="24" t="n">
        <v>0</v>
      </c>
      <c r="J209" s="24" t="n">
        <v>0</v>
      </c>
      <c r="K209" s="24" t="n">
        <v>691.7595</v>
      </c>
      <c r="L209" s="24" t="n">
        <v>0</v>
      </c>
      <c r="M209" s="25" t="n">
        <v>691.7595</v>
      </c>
      <c r="N209" s="25" t="n">
        <v>691.76</v>
      </c>
      <c r="O209" s="25" t="n">
        <v>691.7595</v>
      </c>
      <c r="P209" s="25" t="n">
        <v>691.76</v>
      </c>
      <c r="Q209" s="35" t="inlineStr">
        <is>
          <t>SOBRE PEDIDO (EXP)</t>
        </is>
      </c>
    </row>
    <row r="210" ht="19" customHeight="1">
      <c r="A210" s="27" t="inlineStr">
        <is>
          <t>SPCE2B0001</t>
        </is>
      </c>
      <c r="B210" s="28" t="inlineStr">
        <is>
          <t>SPCE2B0001DO</t>
        </is>
      </c>
      <c r="C210" s="29" t="inlineStr">
        <is>
          <t>SPRINTENE CON BORO, 1 L</t>
        </is>
      </c>
      <c r="D210" s="30" t="n">
        <v>1</v>
      </c>
      <c r="E210" s="29" t="inlineStr">
        <is>
          <t>Botellas 1L</t>
        </is>
      </c>
      <c r="F210" s="31" t="inlineStr">
        <is>
          <t>DOMINICANA, REPÚBLICA</t>
        </is>
      </c>
      <c r="G210" s="32" t="inlineStr">
        <is>
          <t>Sobre Pedido (Export)</t>
        </is>
      </c>
      <c r="H210" s="33" t="n">
        <v>0</v>
      </c>
      <c r="I210" s="33" t="n">
        <v>300</v>
      </c>
      <c r="J210" s="33" t="n">
        <v>0</v>
      </c>
      <c r="K210" s="33" t="n">
        <v>377.3234</v>
      </c>
      <c r="L210" s="33" t="n">
        <v>0</v>
      </c>
      <c r="M210" s="34" t="n">
        <v>677.3234</v>
      </c>
      <c r="N210" s="34" t="n">
        <v>677.3200000000001</v>
      </c>
      <c r="O210" s="34" t="n">
        <v>677.3234</v>
      </c>
      <c r="P210" s="34" t="n">
        <v>677.3200000000001</v>
      </c>
      <c r="Q210" s="35" t="inlineStr">
        <is>
          <t>SOBRE PEDIDO (EXP)</t>
        </is>
      </c>
    </row>
    <row r="211" ht="19" customHeight="1">
      <c r="A211" s="18" t="inlineStr">
        <is>
          <t>AGXCR0020</t>
        </is>
      </c>
      <c r="B211" s="19" t="inlineStr">
        <is>
          <t>AGXCR0020RO</t>
        </is>
      </c>
      <c r="C211" s="20" t="inlineStr">
        <is>
          <t>AGROXILATO-K, (0-5-20), 20 LtS.</t>
        </is>
      </c>
      <c r="D211" s="21" t="n">
        <v>20</v>
      </c>
      <c r="E211" s="20" t="inlineStr">
        <is>
          <t>Garrafas 20L</t>
        </is>
      </c>
      <c r="F211" s="22" t="inlineStr">
        <is>
          <t>RUMANÍA</t>
        </is>
      </c>
      <c r="G211" s="23" t="inlineStr">
        <is>
          <t>Sobre Pedido (Export)</t>
        </is>
      </c>
      <c r="H211" s="24" t="n">
        <v>0</v>
      </c>
      <c r="I211" s="24" t="n">
        <v>0</v>
      </c>
      <c r="J211" s="24" t="n">
        <v>0</v>
      </c>
      <c r="K211" s="24" t="n">
        <v>670.7971</v>
      </c>
      <c r="L211" s="24" t="n">
        <v>0</v>
      </c>
      <c r="M211" s="25" t="n">
        <v>670.7971</v>
      </c>
      <c r="N211" s="25" t="n">
        <v>670.8</v>
      </c>
      <c r="O211" s="25" t="n">
        <v>670.7971</v>
      </c>
      <c r="P211" s="25" t="n">
        <v>670.8</v>
      </c>
      <c r="Q211" s="35" t="inlineStr">
        <is>
          <t>SOBRE PEDIDO (EXP)</t>
        </is>
      </c>
    </row>
    <row r="212" ht="19" customHeight="1">
      <c r="A212" s="27" t="inlineStr">
        <is>
          <t>B0020RORU</t>
        </is>
      </c>
      <c r="B212" s="31" t="inlineStr">
        <is>
          <t>B0020RORU</t>
        </is>
      </c>
      <c r="C212" s="29" t="inlineStr">
        <is>
          <t>BOROCAL</t>
        </is>
      </c>
      <c r="D212" s="30" t="n">
        <v>20</v>
      </c>
      <c r="E212" s="29" t="inlineStr">
        <is>
          <t>Garrafas 20L</t>
        </is>
      </c>
      <c r="F212" s="31" t="inlineStr">
        <is>
          <t>RUMANÍA</t>
        </is>
      </c>
      <c r="G212" s="32" t="inlineStr">
        <is>
          <t>Sobre Pedido (Export)</t>
        </is>
      </c>
      <c r="H212" s="33" t="n">
        <v>0</v>
      </c>
      <c r="I212" s="33" t="n">
        <v>0</v>
      </c>
      <c r="J212" s="33" t="n">
        <v>0</v>
      </c>
      <c r="K212" s="33" t="n">
        <v>670.7971</v>
      </c>
      <c r="L212" s="33" t="n">
        <v>0</v>
      </c>
      <c r="M212" s="34" t="n">
        <v>670.7971</v>
      </c>
      <c r="N212" s="34" t="n">
        <v>670.8</v>
      </c>
      <c r="O212" s="34" t="n">
        <v>670.7971</v>
      </c>
      <c r="P212" s="34" t="n">
        <v>670.8</v>
      </c>
      <c r="Q212" s="35" t="inlineStr">
        <is>
          <t>SOBRE PEDIDO (EXP)</t>
        </is>
      </c>
    </row>
    <row r="213" ht="19" customHeight="1">
      <c r="A213" s="18" t="inlineStr">
        <is>
          <t>PK500020</t>
        </is>
      </c>
      <c r="B213" s="19" t="inlineStr">
        <is>
          <t>PK500020RO</t>
        </is>
      </c>
      <c r="C213" s="20" t="inlineStr">
        <is>
          <t>POLIFRUIT K50</t>
        </is>
      </c>
      <c r="D213" s="21" t="n">
        <v>20</v>
      </c>
      <c r="E213" s="20" t="inlineStr">
        <is>
          <t>Garrafas 20L</t>
        </is>
      </c>
      <c r="F213" s="22" t="inlineStr">
        <is>
          <t>RUMANÍA</t>
        </is>
      </c>
      <c r="G213" s="23" t="inlineStr">
        <is>
          <t>Sobre Pedido (Export)</t>
        </is>
      </c>
      <c r="H213" s="24" t="n">
        <v>0</v>
      </c>
      <c r="I213" s="24" t="n">
        <v>0</v>
      </c>
      <c r="J213" s="24" t="n">
        <v>0</v>
      </c>
      <c r="K213" s="24" t="n">
        <v>670.7971</v>
      </c>
      <c r="L213" s="24" t="n">
        <v>0</v>
      </c>
      <c r="M213" s="25" t="n">
        <v>670.7971</v>
      </c>
      <c r="N213" s="25" t="n">
        <v>670.8</v>
      </c>
      <c r="O213" s="25" t="n">
        <v>670.7971</v>
      </c>
      <c r="P213" s="25" t="n">
        <v>670.8</v>
      </c>
      <c r="Q213" s="35" t="inlineStr">
        <is>
          <t>SOBRE PEDIDO (EXP)</t>
        </is>
      </c>
    </row>
    <row r="214" ht="19" customHeight="1">
      <c r="A214" s="27" t="inlineStr">
        <is>
          <t>PT0020</t>
        </is>
      </c>
      <c r="B214" s="28" t="inlineStr">
        <is>
          <t>PT0020RO</t>
        </is>
      </c>
      <c r="C214" s="29" t="inlineStr">
        <is>
          <t>AGROPOTASION, 20 L</t>
        </is>
      </c>
      <c r="D214" s="30" t="n">
        <v>20</v>
      </c>
      <c r="E214" s="29" t="inlineStr">
        <is>
          <t>Garrafas 20L</t>
        </is>
      </c>
      <c r="F214" s="31" t="inlineStr">
        <is>
          <t>RUMANÍA</t>
        </is>
      </c>
      <c r="G214" s="32" t="inlineStr">
        <is>
          <t>Sobre Pedido (Export)</t>
        </is>
      </c>
      <c r="H214" s="33" t="n">
        <v>0</v>
      </c>
      <c r="I214" s="33" t="n">
        <v>0</v>
      </c>
      <c r="J214" s="33" t="n">
        <v>0</v>
      </c>
      <c r="K214" s="33" t="n">
        <v>628.8723</v>
      </c>
      <c r="L214" s="33" t="n">
        <v>0</v>
      </c>
      <c r="M214" s="34" t="n">
        <v>628.8723</v>
      </c>
      <c r="N214" s="34" t="n">
        <v>628.87</v>
      </c>
      <c r="O214" s="34" t="n">
        <v>628.8723</v>
      </c>
      <c r="P214" s="34" t="n">
        <v>628.87</v>
      </c>
      <c r="Q214" s="35" t="inlineStr">
        <is>
          <t>SOBRE PEDIDO (EXP)</t>
        </is>
      </c>
    </row>
    <row r="215" ht="19" customHeight="1">
      <c r="A215" s="18" t="inlineStr">
        <is>
          <t>C-L0001</t>
        </is>
      </c>
      <c r="B215" s="19" t="inlineStr">
        <is>
          <t>C-L0001RO</t>
        </is>
      </c>
      <c r="C215" s="20" t="inlineStr">
        <is>
          <t>CODIBOR-L, 1 L</t>
        </is>
      </c>
      <c r="D215" s="21" t="n">
        <v>1</v>
      </c>
      <c r="E215" s="20" t="inlineStr">
        <is>
          <t>Botellas 1L</t>
        </is>
      </c>
      <c r="F215" s="22" t="inlineStr">
        <is>
          <t>RUMANÍA</t>
        </is>
      </c>
      <c r="G215" s="23" t="inlineStr">
        <is>
          <t>Sobre Pedido (Export)</t>
        </is>
      </c>
      <c r="H215" s="24" t="n">
        <v>68</v>
      </c>
      <c r="I215" s="24" t="n">
        <v>0</v>
      </c>
      <c r="J215" s="24" t="n">
        <v>696.04</v>
      </c>
      <c r="K215" s="24" t="n">
        <v>0</v>
      </c>
      <c r="L215" s="24" t="n">
        <v>0</v>
      </c>
      <c r="M215" s="25" t="n">
        <v>696.04</v>
      </c>
      <c r="N215" s="25" t="n">
        <v>696.04</v>
      </c>
      <c r="O215" s="25" t="n">
        <v>628.04</v>
      </c>
      <c r="P215" s="25" t="n">
        <v>628.04</v>
      </c>
      <c r="Q215" s="35" t="inlineStr">
        <is>
          <t>SOBRE PEDIDO (EXP)</t>
        </is>
      </c>
    </row>
    <row r="216" ht="19" customHeight="1">
      <c r="A216" s="27" t="inlineStr">
        <is>
          <t>JF0005</t>
        </is>
      </c>
      <c r="B216" s="28" t="inlineStr">
        <is>
          <t>JF0005MA</t>
        </is>
      </c>
      <c r="C216" s="29" t="inlineStr">
        <is>
          <t>CODIGIN-FOS, 5 L</t>
        </is>
      </c>
      <c r="D216" s="30" t="n">
        <v>5</v>
      </c>
      <c r="E216" s="29" t="inlineStr">
        <is>
          <t>Garrafas 5L</t>
        </is>
      </c>
      <c r="F216" s="31" t="inlineStr">
        <is>
          <t>MARRUECOS</t>
        </is>
      </c>
      <c r="G216" s="32" t="inlineStr">
        <is>
          <t>Sobre Pedido (Export)</t>
        </is>
      </c>
      <c r="H216" s="33" t="n">
        <v>242.12</v>
      </c>
      <c r="I216" s="33" t="n">
        <v>0</v>
      </c>
      <c r="J216" s="33" t="n">
        <v>0</v>
      </c>
      <c r="K216" s="33" t="n">
        <v>0</v>
      </c>
      <c r="L216" s="33" t="n">
        <v>867.9081</v>
      </c>
      <c r="M216" s="34" t="n">
        <v>867.9081</v>
      </c>
      <c r="N216" s="34" t="n">
        <v>867.91</v>
      </c>
      <c r="O216" s="34" t="n">
        <v>625.7881</v>
      </c>
      <c r="P216" s="34" t="n">
        <v>625.79</v>
      </c>
      <c r="Q216" s="35" t="inlineStr">
        <is>
          <t>SOBRE PEDIDO (EXP)</t>
        </is>
      </c>
    </row>
    <row r="217" ht="19" customHeight="1">
      <c r="A217" s="18" t="inlineStr">
        <is>
          <t>BIO0005</t>
        </is>
      </c>
      <c r="B217" s="22" t="inlineStr">
        <is>
          <t>BIO0005</t>
        </is>
      </c>
      <c r="C217" s="20" t="inlineStr">
        <is>
          <t>BIORAD-20, 5L</t>
        </is>
      </c>
      <c r="D217" s="21" t="n">
        <v>5</v>
      </c>
      <c r="E217" s="20" t="inlineStr">
        <is>
          <t>Garrafas 5L</t>
        </is>
      </c>
      <c r="F217" s="22" t="inlineStr">
        <is>
          <t>ESPAÑA</t>
        </is>
      </c>
      <c r="G217" s="22" t="inlineStr">
        <is>
          <t>Para Previsión (Nac)</t>
        </is>
      </c>
      <c r="H217" s="24" t="n">
        <v>1840</v>
      </c>
      <c r="I217" s="24" t="n">
        <v>0</v>
      </c>
      <c r="J217" s="24" t="n">
        <v>856.9599999999999</v>
      </c>
      <c r="K217" s="24" t="n">
        <v>1572.1807</v>
      </c>
      <c r="L217" s="24" t="n">
        <v>0</v>
      </c>
      <c r="M217" s="25" t="n">
        <v>2429.1407</v>
      </c>
      <c r="N217" s="25" t="n">
        <v>2429.14</v>
      </c>
      <c r="O217" s="25" t="n">
        <v>589.1406999999999</v>
      </c>
      <c r="P217" s="25" t="n">
        <v>589.14</v>
      </c>
      <c r="Q217" s="35" t="inlineStr">
        <is>
          <t>SOLO ENVASAR</t>
        </is>
      </c>
    </row>
    <row r="218" ht="19" customHeight="1">
      <c r="A218" s="27" t="inlineStr">
        <is>
          <t>BIO0020</t>
        </is>
      </c>
      <c r="B218" s="28" t="inlineStr">
        <is>
          <t>BIO0020RO</t>
        </is>
      </c>
      <c r="C218" s="29" t="inlineStr">
        <is>
          <t>BIORAD-20, 20 L</t>
        </is>
      </c>
      <c r="D218" s="30" t="n">
        <v>20</v>
      </c>
      <c r="E218" s="29" t="inlineStr">
        <is>
          <t>Garrafas 20L</t>
        </is>
      </c>
      <c r="F218" s="31" t="inlineStr">
        <is>
          <t>RUMANÍA</t>
        </is>
      </c>
      <c r="G218" s="32" t="inlineStr">
        <is>
          <t>Sobre Pedido (Export)</t>
        </is>
      </c>
      <c r="H218" s="33" t="n">
        <v>0</v>
      </c>
      <c r="I218" s="33" t="n">
        <v>0</v>
      </c>
      <c r="J218" s="33" t="n">
        <v>562.45</v>
      </c>
      <c r="K218" s="33" t="n">
        <v>0</v>
      </c>
      <c r="L218" s="33" t="n">
        <v>0</v>
      </c>
      <c r="M218" s="34" t="n">
        <v>562.45</v>
      </c>
      <c r="N218" s="34" t="n">
        <v>562.45</v>
      </c>
      <c r="O218" s="34" t="n">
        <v>562.45</v>
      </c>
      <c r="P218" s="34" t="n">
        <v>562.45</v>
      </c>
      <c r="Q218" s="35" t="inlineStr">
        <is>
          <t>SOBRE PEDIDO (EXP)</t>
        </is>
      </c>
    </row>
    <row r="219" ht="19" customHeight="1">
      <c r="A219" s="18" t="inlineStr">
        <is>
          <t>BIO0005</t>
        </is>
      </c>
      <c r="B219" s="19" t="inlineStr">
        <is>
          <t>BIO0005RO</t>
        </is>
      </c>
      <c r="C219" s="20" t="inlineStr">
        <is>
          <t>BIORAD-20, 5L</t>
        </is>
      </c>
      <c r="D219" s="21" t="n">
        <v>5</v>
      </c>
      <c r="E219" s="20" t="inlineStr">
        <is>
          <t>Garrafas 5L</t>
        </is>
      </c>
      <c r="F219" s="22" t="inlineStr">
        <is>
          <t>RUMANÍA</t>
        </is>
      </c>
      <c r="G219" s="23" t="inlineStr">
        <is>
          <t>Sobre Pedido (Export)</t>
        </is>
      </c>
      <c r="H219" s="24" t="n">
        <v>0</v>
      </c>
      <c r="I219" s="24" t="n">
        <v>0</v>
      </c>
      <c r="J219" s="24" t="n">
        <v>527.3</v>
      </c>
      <c r="K219" s="24" t="n">
        <v>0</v>
      </c>
      <c r="L219" s="24" t="n">
        <v>0</v>
      </c>
      <c r="M219" s="25" t="n">
        <v>527.3</v>
      </c>
      <c r="N219" s="25" t="n">
        <v>527.3</v>
      </c>
      <c r="O219" s="25" t="n">
        <v>527.3</v>
      </c>
      <c r="P219" s="25" t="n">
        <v>527.3</v>
      </c>
      <c r="Q219" s="35" t="inlineStr">
        <is>
          <t>SOBRE PEDIDO (EXP)</t>
        </is>
      </c>
    </row>
    <row r="220" ht="19" customHeight="1">
      <c r="A220" s="27" t="inlineStr">
        <is>
          <t>SPCE20001</t>
        </is>
      </c>
      <c r="B220" s="28" t="inlineStr">
        <is>
          <t>SPCE20001CR</t>
        </is>
      </c>
      <c r="C220" s="29" t="inlineStr">
        <is>
          <t>SPRINTENE ZNMN 1L</t>
        </is>
      </c>
      <c r="D220" s="30" t="n">
        <v>1</v>
      </c>
      <c r="E220" s="29" t="inlineStr">
        <is>
          <t>Botellas 1L</t>
        </is>
      </c>
      <c r="F220" s="31" t="inlineStr">
        <is>
          <t>COSTA RICA</t>
        </is>
      </c>
      <c r="G220" s="32" t="inlineStr">
        <is>
          <t>Sobre Pedido (Export)</t>
        </is>
      </c>
      <c r="H220" s="33" t="n">
        <v>0</v>
      </c>
      <c r="I220" s="33" t="n">
        <v>0</v>
      </c>
      <c r="J220" s="33" t="n">
        <v>0</v>
      </c>
      <c r="K220" s="33" t="n">
        <v>524.0602</v>
      </c>
      <c r="L220" s="33" t="n">
        <v>0</v>
      </c>
      <c r="M220" s="34" t="n">
        <v>524.0602</v>
      </c>
      <c r="N220" s="34" t="n">
        <v>524.0599999999999</v>
      </c>
      <c r="O220" s="34" t="n">
        <v>524.0602</v>
      </c>
      <c r="P220" s="34" t="n">
        <v>524.0599999999999</v>
      </c>
      <c r="Q220" s="35" t="inlineStr">
        <is>
          <t>SOBRE PEDIDO (EXP)</t>
        </is>
      </c>
    </row>
    <row r="221" ht="19" customHeight="1">
      <c r="A221" s="18" t="inlineStr">
        <is>
          <t>LP0005</t>
        </is>
      </c>
      <c r="B221" s="19" t="inlineStr">
        <is>
          <t>LP0005DO</t>
        </is>
      </c>
      <c r="C221" s="20" t="inlineStr">
        <is>
          <t>LAVAPLANT, 5 L</t>
        </is>
      </c>
      <c r="D221" s="21" t="n">
        <v>5</v>
      </c>
      <c r="E221" s="20" t="inlineStr">
        <is>
          <t>Garrafas 5L</t>
        </is>
      </c>
      <c r="F221" s="22" t="inlineStr">
        <is>
          <t>DOMINICANA, REPÚBLICA</t>
        </is>
      </c>
      <c r="G221" s="23" t="inlineStr">
        <is>
          <t>Sobre Pedido (Export)</t>
        </is>
      </c>
      <c r="H221" s="24" t="n">
        <v>1160</v>
      </c>
      <c r="I221" s="24" t="n">
        <v>1160</v>
      </c>
      <c r="J221" s="24" t="n">
        <v>0</v>
      </c>
      <c r="K221" s="24" t="n">
        <v>524.0602</v>
      </c>
      <c r="L221" s="24" t="n">
        <v>0</v>
      </c>
      <c r="M221" s="25" t="n">
        <v>1684.0602</v>
      </c>
      <c r="N221" s="25" t="n">
        <v>1684.06</v>
      </c>
      <c r="O221" s="25" t="n">
        <v>524.0601999999999</v>
      </c>
      <c r="P221" s="25" t="n">
        <v>524.0599999999999</v>
      </c>
      <c r="Q221" s="35" t="inlineStr">
        <is>
          <t>SOBRE PEDIDO (EXP)</t>
        </is>
      </c>
    </row>
    <row r="222" ht="19" customHeight="1">
      <c r="A222" s="27" t="inlineStr">
        <is>
          <t>C-CU0005</t>
        </is>
      </c>
      <c r="B222" s="28" t="inlineStr">
        <is>
          <t>C-CU0005MA</t>
        </is>
      </c>
      <c r="C222" s="29" t="inlineStr">
        <is>
          <t>CODICOBRE, 5 L</t>
        </is>
      </c>
      <c r="D222" s="30" t="n">
        <v>5</v>
      </c>
      <c r="E222" s="29" t="inlineStr">
        <is>
          <t>Garrafas 5L</t>
        </is>
      </c>
      <c r="F222" s="31" t="inlineStr">
        <is>
          <t>MARRUECOS</t>
        </is>
      </c>
      <c r="G222" s="32" t="inlineStr">
        <is>
          <t>Sobre Pedido (Export)</t>
        </is>
      </c>
      <c r="H222" s="33" t="n">
        <v>491.9822999999999</v>
      </c>
      <c r="I222" s="33" t="n">
        <v>1000</v>
      </c>
      <c r="J222" s="33" t="n">
        <v>0</v>
      </c>
      <c r="K222" s="33" t="n">
        <v>0</v>
      </c>
      <c r="L222" s="33" t="n">
        <v>0</v>
      </c>
      <c r="M222" s="34" t="n">
        <v>1000</v>
      </c>
      <c r="N222" s="34" t="n">
        <v>1000</v>
      </c>
      <c r="O222" s="34" t="n">
        <v>508.0177000000001</v>
      </c>
      <c r="P222" s="34" t="n">
        <v>508.02</v>
      </c>
      <c r="Q222" s="35" t="inlineStr">
        <is>
          <t>SOBRE PEDIDO (EXP)</t>
        </is>
      </c>
    </row>
    <row r="223" ht="19" customHeight="1">
      <c r="A223" s="18" t="inlineStr">
        <is>
          <t>C-MB0005</t>
        </is>
      </c>
      <c r="B223" s="22" t="inlineStr">
        <is>
          <t>C-MB0005</t>
        </is>
      </c>
      <c r="C223" s="20" t="inlineStr">
        <is>
          <t>CODIFOL-MB</t>
        </is>
      </c>
      <c r="D223" s="21" t="n">
        <v>5</v>
      </c>
      <c r="E223" s="20" t="inlineStr">
        <is>
          <t>Garrafas 5L</t>
        </is>
      </c>
      <c r="F223" s="22" t="inlineStr">
        <is>
          <t>ESPAÑA</t>
        </is>
      </c>
      <c r="G223" s="22" t="inlineStr">
        <is>
          <t>Para Previsión (Nac)</t>
        </is>
      </c>
      <c r="H223" s="24" t="n">
        <v>940</v>
      </c>
      <c r="I223" s="24" t="n">
        <v>0</v>
      </c>
      <c r="J223" s="24" t="n">
        <v>741.6300000000001</v>
      </c>
      <c r="K223" s="24" t="n">
        <v>0</v>
      </c>
      <c r="L223" s="24" t="n">
        <v>694.3265</v>
      </c>
      <c r="M223" s="25" t="n">
        <v>1435.9565</v>
      </c>
      <c r="N223" s="25" t="n">
        <v>1435.96</v>
      </c>
      <c r="O223" s="25" t="n">
        <v>495.9565000000002</v>
      </c>
      <c r="P223" s="25" t="n">
        <v>495.96</v>
      </c>
      <c r="Q223" s="35" t="inlineStr">
        <is>
          <t>SOLO ENVASAR</t>
        </is>
      </c>
    </row>
    <row r="224" ht="19" customHeight="1">
      <c r="A224" s="27" t="inlineStr">
        <is>
          <t>AGMG0001</t>
        </is>
      </c>
      <c r="B224" s="28" t="inlineStr">
        <is>
          <t>AGMG0001RO</t>
        </is>
      </c>
      <c r="C224" s="29" t="inlineStr">
        <is>
          <t>AGROXILATO Mg</t>
        </is>
      </c>
      <c r="D224" s="30" t="n">
        <v>1</v>
      </c>
      <c r="E224" s="29" t="inlineStr">
        <is>
          <t>Bolsas 1 Kg</t>
        </is>
      </c>
      <c r="F224" s="31" t="inlineStr">
        <is>
          <t>RUMANÍA</t>
        </is>
      </c>
      <c r="G224" s="32" t="inlineStr">
        <is>
          <t>Sobre Pedido (Export)</t>
        </is>
      </c>
      <c r="H224" s="33" t="n">
        <v>0</v>
      </c>
      <c r="I224" s="33" t="n">
        <v>0</v>
      </c>
      <c r="J224" s="33" t="n">
        <v>464.03</v>
      </c>
      <c r="K224" s="33" t="n">
        <v>0</v>
      </c>
      <c r="L224" s="33" t="n">
        <v>0</v>
      </c>
      <c r="M224" s="34" t="n">
        <v>464.03</v>
      </c>
      <c r="N224" s="34" t="n">
        <v>464.03</v>
      </c>
      <c r="O224" s="34" t="n">
        <v>464.03</v>
      </c>
      <c r="P224" s="34" t="n">
        <v>464.03</v>
      </c>
      <c r="Q224" s="35" t="inlineStr">
        <is>
          <t>SOBRE PEDIDO (EXP)</t>
        </is>
      </c>
    </row>
    <row r="225" ht="19" customHeight="1">
      <c r="A225" s="18" t="inlineStr">
        <is>
          <t>PT0001</t>
        </is>
      </c>
      <c r="B225" s="19" t="inlineStr">
        <is>
          <t>PT0001PA</t>
        </is>
      </c>
      <c r="C225" s="20" t="inlineStr">
        <is>
          <t>AGROPOTASION, 1 L</t>
        </is>
      </c>
      <c r="D225" s="21" t="n">
        <v>1</v>
      </c>
      <c r="E225" s="20" t="inlineStr">
        <is>
          <t>Botellas 1L</t>
        </is>
      </c>
      <c r="F225" s="22" t="inlineStr">
        <is>
          <t>PANAMÁ</t>
        </is>
      </c>
      <c r="G225" s="23" t="inlineStr">
        <is>
          <t>Sobre Pedido (Export)</t>
        </is>
      </c>
      <c r="H225" s="24" t="n">
        <v>0</v>
      </c>
      <c r="I225" s="24" t="n">
        <v>0</v>
      </c>
      <c r="J225" s="24" t="n">
        <v>0</v>
      </c>
      <c r="K225" s="24" t="n">
        <v>0</v>
      </c>
      <c r="L225" s="24" t="n">
        <v>458.2555</v>
      </c>
      <c r="M225" s="25" t="n">
        <v>458.2555</v>
      </c>
      <c r="N225" s="25" t="n">
        <v>458.26</v>
      </c>
      <c r="O225" s="25" t="n">
        <v>458.2555</v>
      </c>
      <c r="P225" s="25" t="n">
        <v>458.26</v>
      </c>
      <c r="Q225" s="35" t="inlineStr">
        <is>
          <t>SOBRE PEDIDO (EXP)</t>
        </is>
      </c>
    </row>
    <row r="226" ht="19" customHeight="1">
      <c r="A226" s="27" t="inlineStr">
        <is>
          <t>C-CU0001</t>
        </is>
      </c>
      <c r="B226" s="28" t="inlineStr">
        <is>
          <t>C-CU0001RS</t>
        </is>
      </c>
      <c r="C226" s="29" t="inlineStr">
        <is>
          <t>CODICOBRE</t>
        </is>
      </c>
      <c r="D226" s="30" t="n">
        <v>1</v>
      </c>
      <c r="E226" s="29" t="inlineStr">
        <is>
          <t>Botellas 1L</t>
        </is>
      </c>
      <c r="F226" s="31" t="inlineStr">
        <is>
          <t>SERBIA</t>
        </is>
      </c>
      <c r="G226" s="32" t="inlineStr">
        <is>
          <t>Sobre Pedido (Export)</t>
        </is>
      </c>
      <c r="H226" s="33" t="n">
        <v>0</v>
      </c>
      <c r="I226" s="33" t="n">
        <v>0</v>
      </c>
      <c r="J226" s="33" t="n">
        <v>0</v>
      </c>
      <c r="K226" s="33" t="n">
        <v>0</v>
      </c>
      <c r="L226" s="33" t="n">
        <v>433.9541</v>
      </c>
      <c r="M226" s="34" t="n">
        <v>433.9541</v>
      </c>
      <c r="N226" s="34" t="n">
        <v>433.95</v>
      </c>
      <c r="O226" s="34" t="n">
        <v>433.9541</v>
      </c>
      <c r="P226" s="34" t="n">
        <v>433.95</v>
      </c>
      <c r="Q226" s="35" t="inlineStr">
        <is>
          <t>SOBRE PEDIDO (EXP)</t>
        </is>
      </c>
    </row>
    <row r="227" ht="19" customHeight="1">
      <c r="A227" s="18" t="inlineStr">
        <is>
          <t>C-L0001</t>
        </is>
      </c>
      <c r="B227" s="19" t="inlineStr">
        <is>
          <t>C-L0001DO</t>
        </is>
      </c>
      <c r="C227" s="20" t="inlineStr">
        <is>
          <t>CODIBOR-L, 1 L</t>
        </is>
      </c>
      <c r="D227" s="21" t="n">
        <v>1</v>
      </c>
      <c r="E227" s="20" t="inlineStr">
        <is>
          <t>Botellas 1L</t>
        </is>
      </c>
      <c r="F227" s="22" t="inlineStr">
        <is>
          <t>DOMINICANA, REPÚBLICA</t>
        </is>
      </c>
      <c r="G227" s="23" t="inlineStr">
        <is>
          <t>Sobre Pedido (Export)</t>
        </is>
      </c>
      <c r="H227" s="24" t="n">
        <v>0</v>
      </c>
      <c r="I227" s="24" t="n">
        <v>84</v>
      </c>
      <c r="J227" s="24" t="n">
        <v>0</v>
      </c>
      <c r="K227" s="24" t="n">
        <v>314.4361</v>
      </c>
      <c r="L227" s="24" t="n">
        <v>0</v>
      </c>
      <c r="M227" s="25" t="n">
        <v>398.4361</v>
      </c>
      <c r="N227" s="25" t="n">
        <v>398.44</v>
      </c>
      <c r="O227" s="25" t="n">
        <v>398.4361</v>
      </c>
      <c r="P227" s="25" t="n">
        <v>398.44</v>
      </c>
      <c r="Q227" s="35" t="inlineStr">
        <is>
          <t>SOBRE PEDIDO (EXP)</t>
        </is>
      </c>
    </row>
    <row r="228" ht="19" customHeight="1">
      <c r="A228" s="27" t="inlineStr">
        <is>
          <t>PT0200</t>
        </is>
      </c>
      <c r="B228" s="31" t="inlineStr">
        <is>
          <t>PT0200</t>
        </is>
      </c>
      <c r="C228" s="29" t="inlineStr">
        <is>
          <t>AGROPOTASION, 200 L</t>
        </is>
      </c>
      <c r="D228" s="30" t="n">
        <v>200</v>
      </c>
      <c r="E228" s="29" t="inlineStr">
        <is>
          <t>Depósito 200 L</t>
        </is>
      </c>
      <c r="F228" s="31" t="inlineStr">
        <is>
          <t>ESPAÑA</t>
        </is>
      </c>
      <c r="G228" s="31" t="inlineStr">
        <is>
          <t>Para Previsión (Nac)</t>
        </is>
      </c>
      <c r="H228" s="33" t="n">
        <v>0</v>
      </c>
      <c r="I228" s="33" t="n">
        <v>0</v>
      </c>
      <c r="J228" s="33" t="n">
        <v>185.41</v>
      </c>
      <c r="K228" s="33" t="n">
        <v>209.6241</v>
      </c>
      <c r="L228" s="33" t="n">
        <v>0</v>
      </c>
      <c r="M228" s="34" t="n">
        <v>395.0341</v>
      </c>
      <c r="N228" s="34" t="n">
        <v>395.03</v>
      </c>
      <c r="O228" s="34" t="n">
        <v>395.0341</v>
      </c>
      <c r="P228" s="34" t="n">
        <v>395.03</v>
      </c>
      <c r="Q228" s="35" t="inlineStr">
        <is>
          <t>SOLO ENVASAR</t>
        </is>
      </c>
    </row>
    <row r="229" ht="19" customHeight="1">
      <c r="A229" s="18" t="inlineStr">
        <is>
          <t>AGXKAE0001</t>
        </is>
      </c>
      <c r="B229" s="19" t="inlineStr">
        <is>
          <t>AGXKAE0001RO</t>
        </is>
      </c>
      <c r="C229" s="20" t="inlineStr">
        <is>
          <t>BIOCULTURE POTASIO</t>
        </is>
      </c>
      <c r="D229" s="21" t="n">
        <v>1</v>
      </c>
      <c r="E229" s="20" t="inlineStr">
        <is>
          <t>Botellas 1L</t>
        </is>
      </c>
      <c r="F229" s="22" t="inlineStr">
        <is>
          <t>RUMANÍA</t>
        </is>
      </c>
      <c r="G229" s="23" t="inlineStr">
        <is>
          <t>Sobre Pedido (Export)</t>
        </is>
      </c>
      <c r="H229" s="24" t="n">
        <v>0</v>
      </c>
      <c r="I229" s="24" t="n">
        <v>0</v>
      </c>
      <c r="J229" s="24" t="n">
        <v>348.02</v>
      </c>
      <c r="K229" s="24" t="n">
        <v>0</v>
      </c>
      <c r="L229" s="24" t="n">
        <v>0</v>
      </c>
      <c r="M229" s="25" t="n">
        <v>348.02</v>
      </c>
      <c r="N229" s="25" t="n">
        <v>348.02</v>
      </c>
      <c r="O229" s="25" t="n">
        <v>348.02</v>
      </c>
      <c r="P229" s="25" t="n">
        <v>348.02</v>
      </c>
      <c r="Q229" s="35" t="inlineStr">
        <is>
          <t>SOBRE PEDIDO (EXP)</t>
        </is>
      </c>
    </row>
    <row r="230" ht="19" customHeight="1">
      <c r="A230" s="27" t="inlineStr">
        <is>
          <t>FLORCR0005</t>
        </is>
      </c>
      <c r="B230" s="28" t="inlineStr">
        <is>
          <t>FLORCR0005PA</t>
        </is>
      </c>
      <c r="C230" s="29" t="inlineStr">
        <is>
          <t>FLORAMEC</t>
        </is>
      </c>
      <c r="D230" s="30" t="n">
        <v>5</v>
      </c>
      <c r="E230" s="29" t="inlineStr">
        <is>
          <t>Garrafas 5L</t>
        </is>
      </c>
      <c r="F230" s="31" t="inlineStr">
        <is>
          <t>PANAMÁ</t>
        </is>
      </c>
      <c r="G230" s="32" t="inlineStr">
        <is>
          <t>Sobre Pedido (Export)</t>
        </is>
      </c>
      <c r="H230" s="33" t="n">
        <v>0</v>
      </c>
      <c r="I230" s="33" t="n">
        <v>0</v>
      </c>
      <c r="J230" s="33" t="n">
        <v>0</v>
      </c>
      <c r="K230" s="33" t="n">
        <v>0</v>
      </c>
      <c r="L230" s="33" t="n">
        <v>347.1632</v>
      </c>
      <c r="M230" s="34" t="n">
        <v>347.1632</v>
      </c>
      <c r="N230" s="34" t="n">
        <v>347.16</v>
      </c>
      <c r="O230" s="34" t="n">
        <v>347.1632</v>
      </c>
      <c r="P230" s="34" t="n">
        <v>347.16</v>
      </c>
      <c r="Q230" s="35" t="inlineStr">
        <is>
          <t>SOBRE PEDIDO (EXP)</t>
        </is>
      </c>
    </row>
    <row r="231" ht="19" customHeight="1">
      <c r="A231" s="18" t="inlineStr">
        <is>
          <t>C-CU0020</t>
        </is>
      </c>
      <c r="B231" s="19" t="inlineStr">
        <is>
          <t>C-CU0020RO</t>
        </is>
      </c>
      <c r="C231" s="20" t="inlineStr">
        <is>
          <t>CODICOBRE, 20 L</t>
        </is>
      </c>
      <c r="D231" s="21" t="n">
        <v>20</v>
      </c>
      <c r="E231" s="20" t="inlineStr">
        <is>
          <t>Garrafas 20L</t>
        </is>
      </c>
      <c r="F231" s="22" t="inlineStr">
        <is>
          <t>RUMANÍA</t>
        </is>
      </c>
      <c r="G231" s="23" t="inlineStr">
        <is>
          <t>Sobre Pedido (Export)</t>
        </is>
      </c>
      <c r="H231" s="24" t="n">
        <v>0</v>
      </c>
      <c r="I231" s="24" t="n">
        <v>0</v>
      </c>
      <c r="J231" s="24" t="n">
        <v>0</v>
      </c>
      <c r="K231" s="24" t="n">
        <v>335.3986</v>
      </c>
      <c r="L231" s="24" t="n">
        <v>0</v>
      </c>
      <c r="M231" s="25" t="n">
        <v>335.3986</v>
      </c>
      <c r="N231" s="25" t="n">
        <v>335.4</v>
      </c>
      <c r="O231" s="25" t="n">
        <v>335.3986</v>
      </c>
      <c r="P231" s="25" t="n">
        <v>335.4</v>
      </c>
      <c r="Q231" s="35" t="inlineStr">
        <is>
          <t>SOBRE PEDIDO (EXP)</t>
        </is>
      </c>
    </row>
    <row r="232" ht="19" customHeight="1">
      <c r="A232" s="27" t="inlineStr">
        <is>
          <t>SSEG0001</t>
        </is>
      </c>
      <c r="B232" s="28" t="inlineStr">
        <is>
          <t>SSEG0001CO</t>
        </is>
      </c>
      <c r="C232" s="29" t="inlineStr">
        <is>
          <t>SALWAX CALCIO</t>
        </is>
      </c>
      <c r="D232" s="30" t="n">
        <v>1</v>
      </c>
      <c r="E232" s="29" t="inlineStr">
        <is>
          <t>Bolsas 1 Kg</t>
        </is>
      </c>
      <c r="F232" s="31" t="inlineStr">
        <is>
          <t>COLOMBIA</t>
        </is>
      </c>
      <c r="G232" s="32" t="inlineStr">
        <is>
          <t>Sobre Pedido (Export)</t>
        </is>
      </c>
      <c r="H232" s="33" t="n">
        <v>0</v>
      </c>
      <c r="I232" s="33" t="n">
        <v>324</v>
      </c>
      <c r="J232" s="33" t="n">
        <v>0</v>
      </c>
      <c r="K232" s="33" t="n">
        <v>0</v>
      </c>
      <c r="L232" s="33" t="n">
        <v>0</v>
      </c>
      <c r="M232" s="34" t="n">
        <v>324</v>
      </c>
      <c r="N232" s="34" t="n">
        <v>324</v>
      </c>
      <c r="O232" s="34" t="n">
        <v>324</v>
      </c>
      <c r="P232" s="34" t="n">
        <v>324</v>
      </c>
      <c r="Q232" s="35" t="inlineStr">
        <is>
          <t>SOBRE PEDIDO (EXP)</t>
        </is>
      </c>
    </row>
    <row r="233" ht="19" customHeight="1">
      <c r="A233" s="18" t="inlineStr">
        <is>
          <t>PK500001</t>
        </is>
      </c>
      <c r="B233" s="19" t="inlineStr">
        <is>
          <t>PK500001RO</t>
        </is>
      </c>
      <c r="C233" s="20" t="inlineStr">
        <is>
          <t>POLIFRUIT K50</t>
        </is>
      </c>
      <c r="D233" s="21" t="n">
        <v>1</v>
      </c>
      <c r="E233" s="20" t="inlineStr">
        <is>
          <t>Botellas 1L</t>
        </is>
      </c>
      <c r="F233" s="22" t="inlineStr">
        <is>
          <t>RUMANÍA</t>
        </is>
      </c>
      <c r="G233" s="23" t="inlineStr">
        <is>
          <t>Sobre Pedido (Export)</t>
        </is>
      </c>
      <c r="H233" s="24" t="n">
        <v>0</v>
      </c>
      <c r="I233" s="24" t="n">
        <v>0</v>
      </c>
      <c r="J233" s="24" t="n">
        <v>0</v>
      </c>
      <c r="K233" s="24" t="n">
        <v>314.4361</v>
      </c>
      <c r="L233" s="24" t="n">
        <v>0</v>
      </c>
      <c r="M233" s="25" t="n">
        <v>314.4361</v>
      </c>
      <c r="N233" s="25" t="n">
        <v>314.44</v>
      </c>
      <c r="O233" s="25" t="n">
        <v>314.4361</v>
      </c>
      <c r="P233" s="25" t="n">
        <v>314.44</v>
      </c>
      <c r="Q233" s="35" t="inlineStr">
        <is>
          <t>SOBRE PEDIDO (EXP)</t>
        </is>
      </c>
    </row>
    <row r="234" ht="19" customHeight="1">
      <c r="A234" s="27" t="inlineStr">
        <is>
          <t>F-A0001</t>
        </is>
      </c>
      <c r="B234" s="28" t="inlineStr">
        <is>
          <t>F-A0001CO</t>
        </is>
      </c>
      <c r="C234" s="29" t="inlineStr">
        <is>
          <t>FITOLIN-AGRO, 1 L</t>
        </is>
      </c>
      <c r="D234" s="30" t="n">
        <v>1</v>
      </c>
      <c r="E234" s="29" t="inlineStr">
        <is>
          <t>Botellas 1L</t>
        </is>
      </c>
      <c r="F234" s="31" t="inlineStr">
        <is>
          <t>COLOMBIA</t>
        </is>
      </c>
      <c r="G234" s="32" t="inlineStr">
        <is>
          <t>Sobre Pedido (Export)</t>
        </is>
      </c>
      <c r="H234" s="33" t="n">
        <v>0</v>
      </c>
      <c r="I234" s="33" t="n">
        <v>0</v>
      </c>
      <c r="J234" s="33" t="n">
        <v>0</v>
      </c>
      <c r="K234" s="33" t="n">
        <v>251.5489</v>
      </c>
      <c r="L234" s="33" t="n">
        <v>0</v>
      </c>
      <c r="M234" s="34" t="n">
        <v>251.5489</v>
      </c>
      <c r="N234" s="34" t="n">
        <v>251.55</v>
      </c>
      <c r="O234" s="34" t="n">
        <v>251.5489</v>
      </c>
      <c r="P234" s="34" t="n">
        <v>251.55</v>
      </c>
      <c r="Q234" s="35" t="inlineStr">
        <is>
          <t>SOBRE PEDIDO (EXP)</t>
        </is>
      </c>
    </row>
    <row r="235" ht="19" customHeight="1">
      <c r="A235" s="18" t="inlineStr">
        <is>
          <t>C-CUAE0005</t>
        </is>
      </c>
      <c r="B235" s="22" t="inlineStr">
        <is>
          <t>C-CUAE0005</t>
        </is>
      </c>
      <c r="C235" s="20" t="inlineStr">
        <is>
          <t>CUPRAMEC, 5 L</t>
        </is>
      </c>
      <c r="D235" s="21" t="n">
        <v>5</v>
      </c>
      <c r="E235" s="20" t="inlineStr">
        <is>
          <t>Garrafas 5L</t>
        </is>
      </c>
      <c r="F235" s="22" t="inlineStr">
        <is>
          <t>ESPAÑA</t>
        </is>
      </c>
      <c r="G235" s="22" t="inlineStr">
        <is>
          <t>Para Previsión (Nac)</t>
        </is>
      </c>
      <c r="H235" s="24" t="n">
        <v>1220</v>
      </c>
      <c r="I235" s="24" t="n">
        <v>0</v>
      </c>
      <c r="J235" s="24" t="n">
        <v>0</v>
      </c>
      <c r="K235" s="24" t="n">
        <v>943.3084</v>
      </c>
      <c r="L235" s="24" t="n">
        <v>520.7448000000001</v>
      </c>
      <c r="M235" s="25" t="n">
        <v>1464.0532</v>
      </c>
      <c r="N235" s="25" t="n">
        <v>1464.05</v>
      </c>
      <c r="O235" s="25" t="n">
        <v>244.0532000000001</v>
      </c>
      <c r="P235" s="25" t="n">
        <v>244.05</v>
      </c>
      <c r="Q235" s="35" t="inlineStr">
        <is>
          <t>SOLO ENVASAR</t>
        </is>
      </c>
    </row>
    <row r="236" ht="19" customHeight="1">
      <c r="A236" s="27" t="inlineStr">
        <is>
          <t>F-A0005</t>
        </is>
      </c>
      <c r="B236" s="28" t="inlineStr">
        <is>
          <t>F-A0005CO</t>
        </is>
      </c>
      <c r="C236" s="29" t="inlineStr">
        <is>
          <t>FITOLIN-AGRO, 5 L</t>
        </is>
      </c>
      <c r="D236" s="30" t="n">
        <v>5</v>
      </c>
      <c r="E236" s="29" t="inlineStr">
        <is>
          <t>Garrafas 5L</t>
        </is>
      </c>
      <c r="F236" s="31" t="inlineStr">
        <is>
          <t>COLOMBIA</t>
        </is>
      </c>
      <c r="G236" s="32" t="inlineStr">
        <is>
          <t>Sobre Pedido (Export)</t>
        </is>
      </c>
      <c r="H236" s="33" t="n">
        <v>0</v>
      </c>
      <c r="I236" s="33" t="n">
        <v>0</v>
      </c>
      <c r="J236" s="33" t="n">
        <v>0</v>
      </c>
      <c r="K236" s="33" t="n">
        <v>209.6241</v>
      </c>
      <c r="L236" s="33" t="n">
        <v>0</v>
      </c>
      <c r="M236" s="34" t="n">
        <v>209.6241</v>
      </c>
      <c r="N236" s="34" t="n">
        <v>209.62</v>
      </c>
      <c r="O236" s="34" t="n">
        <v>209.6241</v>
      </c>
      <c r="P236" s="34" t="n">
        <v>209.62</v>
      </c>
      <c r="Q236" s="35" t="inlineStr">
        <is>
          <t>SOBRE PEDIDO (EXP)</t>
        </is>
      </c>
    </row>
    <row r="237" ht="19" customHeight="1">
      <c r="A237" s="18" t="inlineStr">
        <is>
          <t>FLORCR0001</t>
        </is>
      </c>
      <c r="B237" s="19" t="inlineStr">
        <is>
          <t>FLORCR0001CO</t>
        </is>
      </c>
      <c r="C237" s="20" t="inlineStr">
        <is>
          <t>FLORAMEC CR, 1 L</t>
        </is>
      </c>
      <c r="D237" s="21" t="n">
        <v>1</v>
      </c>
      <c r="E237" s="20" t="inlineStr">
        <is>
          <t>Botellas 1L</t>
        </is>
      </c>
      <c r="F237" s="22" t="inlineStr">
        <is>
          <t>COLOMBIA</t>
        </is>
      </c>
      <c r="G237" s="23" t="inlineStr">
        <is>
          <t>Sobre Pedido (Export)</t>
        </is>
      </c>
      <c r="H237" s="24" t="n">
        <v>0</v>
      </c>
      <c r="I237" s="24" t="n">
        <v>0</v>
      </c>
      <c r="J237" s="24" t="n">
        <v>0</v>
      </c>
      <c r="K237" s="24" t="n">
        <v>209.6241</v>
      </c>
      <c r="L237" s="24" t="n">
        <v>0</v>
      </c>
      <c r="M237" s="25" t="n">
        <v>209.6241</v>
      </c>
      <c r="N237" s="25" t="n">
        <v>209.62</v>
      </c>
      <c r="O237" s="25" t="n">
        <v>209.6241</v>
      </c>
      <c r="P237" s="25" t="n">
        <v>209.62</v>
      </c>
      <c r="Q237" s="35" t="inlineStr">
        <is>
          <t>SOBRE PEDIDO (EXP)</t>
        </is>
      </c>
    </row>
    <row r="238" ht="19" customHeight="1">
      <c r="A238" s="27" t="inlineStr">
        <is>
          <t>FLORCR0005</t>
        </is>
      </c>
      <c r="B238" s="28" t="inlineStr">
        <is>
          <t>FLORCR0005CO</t>
        </is>
      </c>
      <c r="C238" s="29" t="inlineStr">
        <is>
          <t>FLORAMEC</t>
        </is>
      </c>
      <c r="D238" s="30" t="n">
        <v>5</v>
      </c>
      <c r="E238" s="29" t="inlineStr">
        <is>
          <t>Garrafas 5L</t>
        </is>
      </c>
      <c r="F238" s="31" t="inlineStr">
        <is>
          <t>COLOMBIA</t>
        </is>
      </c>
      <c r="G238" s="32" t="inlineStr">
        <is>
          <t>Sobre Pedido (Export)</t>
        </is>
      </c>
      <c r="H238" s="33" t="n">
        <v>0</v>
      </c>
      <c r="I238" s="33" t="n">
        <v>0</v>
      </c>
      <c r="J238" s="33" t="n">
        <v>0</v>
      </c>
      <c r="K238" s="33" t="n">
        <v>209.6241</v>
      </c>
      <c r="L238" s="33" t="n">
        <v>0</v>
      </c>
      <c r="M238" s="34" t="n">
        <v>209.6241</v>
      </c>
      <c r="N238" s="34" t="n">
        <v>209.62</v>
      </c>
      <c r="O238" s="34" t="n">
        <v>209.6241</v>
      </c>
      <c r="P238" s="34" t="n">
        <v>209.62</v>
      </c>
      <c r="Q238" s="35" t="inlineStr">
        <is>
          <t>SOBRE PEDIDO (EXP)</t>
        </is>
      </c>
    </row>
    <row r="239" ht="19" customHeight="1">
      <c r="A239" s="18" t="inlineStr">
        <is>
          <t>AQUOM0020</t>
        </is>
      </c>
      <c r="B239" s="22" t="inlineStr">
        <is>
          <t>AQUOM0020</t>
        </is>
      </c>
      <c r="C239" s="20" t="inlineStr">
        <is>
          <t>AQUOM, 20 L</t>
        </is>
      </c>
      <c r="D239" s="21" t="n">
        <v>20</v>
      </c>
      <c r="E239" s="20" t="inlineStr">
        <is>
          <t>Garrafas 20L</t>
        </is>
      </c>
      <c r="F239" s="22" t="inlineStr">
        <is>
          <t>ESPAÑA</t>
        </is>
      </c>
      <c r="G239" s="22" t="inlineStr">
        <is>
          <t>Para Previsión (Nac)</t>
        </is>
      </c>
      <c r="H239" s="24" t="n">
        <v>0</v>
      </c>
      <c r="I239" s="24" t="n">
        <v>0</v>
      </c>
      <c r="J239" s="24" t="n">
        <v>92.7</v>
      </c>
      <c r="K239" s="24" t="n">
        <v>104.812</v>
      </c>
      <c r="L239" s="24" t="n">
        <v>0</v>
      </c>
      <c r="M239" s="25" t="n">
        <v>197.512</v>
      </c>
      <c r="N239" s="25" t="n">
        <v>197.51</v>
      </c>
      <c r="O239" s="25" t="n">
        <v>197.512</v>
      </c>
      <c r="P239" s="25" t="n">
        <v>197.51</v>
      </c>
      <c r="Q239" s="35" t="inlineStr">
        <is>
          <t>SOLO ENVASAR</t>
        </is>
      </c>
    </row>
    <row r="240" ht="19" customHeight="1">
      <c r="A240" s="27" t="inlineStr">
        <is>
          <t>FLOR0200</t>
        </is>
      </c>
      <c r="B240" s="31" t="inlineStr">
        <is>
          <t>FLOR0200</t>
        </is>
      </c>
      <c r="C240" s="29" t="inlineStr">
        <is>
          <t>FLORAMEC, 200 L</t>
        </is>
      </c>
      <c r="D240" s="30" t="n">
        <v>200</v>
      </c>
      <c r="E240" s="29" t="inlineStr">
        <is>
          <t>Depósito 200 L</t>
        </is>
      </c>
      <c r="F240" s="31" t="inlineStr">
        <is>
          <t>ESPAÑA</t>
        </is>
      </c>
      <c r="G240" s="31" t="inlineStr">
        <is>
          <t>Para Previsión (Nac)</t>
        </is>
      </c>
      <c r="H240" s="33" t="n">
        <v>0</v>
      </c>
      <c r="I240" s="33" t="n">
        <v>0</v>
      </c>
      <c r="J240" s="33" t="n">
        <v>185.41</v>
      </c>
      <c r="K240" s="33" t="n">
        <v>0</v>
      </c>
      <c r="L240" s="33" t="n">
        <v>0</v>
      </c>
      <c r="M240" s="34" t="n">
        <v>185.41</v>
      </c>
      <c r="N240" s="34" t="n">
        <v>185.41</v>
      </c>
      <c r="O240" s="34" t="n">
        <v>185.41</v>
      </c>
      <c r="P240" s="34" t="n">
        <v>185.41</v>
      </c>
      <c r="Q240" s="35" t="inlineStr">
        <is>
          <t>SOLO ENVASAR</t>
        </is>
      </c>
    </row>
    <row r="241" ht="19" customHeight="1">
      <c r="A241" s="18" t="inlineStr">
        <is>
          <t>TRI0001</t>
        </is>
      </c>
      <c r="B241" s="22" t="inlineStr">
        <is>
          <t>TRI0001</t>
        </is>
      </c>
      <c r="C241" s="20" t="inlineStr">
        <is>
          <t>TRIFENO-94, 1 L</t>
        </is>
      </c>
      <c r="D241" s="21" t="n">
        <v>1</v>
      </c>
      <c r="E241" s="20" t="inlineStr">
        <is>
          <t>Botellas 1L</t>
        </is>
      </c>
      <c r="F241" s="22" t="inlineStr">
        <is>
          <t>ESPAÑA</t>
        </is>
      </c>
      <c r="G241" s="22" t="inlineStr">
        <is>
          <t>Para Previsión (Nac)</t>
        </is>
      </c>
      <c r="H241" s="24" t="n">
        <v>47</v>
      </c>
      <c r="I241" s="24" t="n">
        <v>0</v>
      </c>
      <c r="J241" s="24" t="n">
        <v>0</v>
      </c>
      <c r="K241" s="24" t="n">
        <v>0</v>
      </c>
      <c r="L241" s="24" t="n">
        <v>187.4682</v>
      </c>
      <c r="M241" s="25" t="n">
        <v>187.4682</v>
      </c>
      <c r="N241" s="25" t="n">
        <v>187.47</v>
      </c>
      <c r="O241" s="25" t="n">
        <v>140.4682</v>
      </c>
      <c r="P241" s="25" t="n">
        <v>140.47</v>
      </c>
      <c r="Q241" s="35" t="inlineStr">
        <is>
          <t>SOLO ENVASAR</t>
        </is>
      </c>
    </row>
    <row r="242" ht="19" customHeight="1">
      <c r="A242" s="27" t="inlineStr">
        <is>
          <t>C-L0020</t>
        </is>
      </c>
      <c r="B242" s="31" t="inlineStr">
        <is>
          <t>C-L0020</t>
        </is>
      </c>
      <c r="C242" s="29" t="inlineStr">
        <is>
          <t>CODIBOR-L, 20 L</t>
        </is>
      </c>
      <c r="D242" s="30" t="n">
        <v>20</v>
      </c>
      <c r="E242" s="29" t="inlineStr">
        <is>
          <t>Garrafas 20L</t>
        </is>
      </c>
      <c r="F242" s="31" t="inlineStr">
        <is>
          <t>ESPAÑA</t>
        </is>
      </c>
      <c r="G242" s="31" t="inlineStr">
        <is>
          <t>Para Previsión (Nac)</t>
        </is>
      </c>
      <c r="H242" s="33" t="n">
        <v>260</v>
      </c>
      <c r="I242" s="33" t="n">
        <v>320</v>
      </c>
      <c r="J242" s="33" t="n">
        <v>0</v>
      </c>
      <c r="K242" s="33" t="n">
        <v>0</v>
      </c>
      <c r="L242" s="33" t="n">
        <v>0</v>
      </c>
      <c r="M242" s="34" t="n">
        <v>320</v>
      </c>
      <c r="N242" s="34" t="n">
        <v>320</v>
      </c>
      <c r="O242" s="34" t="n">
        <v>60</v>
      </c>
      <c r="P242" s="34" t="n">
        <v>60</v>
      </c>
      <c r="Q242" s="35" t="inlineStr">
        <is>
          <t>SOLO ENVASAR</t>
        </is>
      </c>
    </row>
    <row r="243" ht="19" customHeight="1">
      <c r="A243" s="18" t="inlineStr">
        <is>
          <t>BEY0001</t>
        </is>
      </c>
      <c r="B243" s="19" t="inlineStr">
        <is>
          <t>BEY0001DO</t>
        </is>
      </c>
      <c r="C243" s="20" t="inlineStr">
        <is>
          <t>BERRY-FLOR, 1 L</t>
        </is>
      </c>
      <c r="D243" s="21" t="n">
        <v>1</v>
      </c>
      <c r="E243" s="20" t="inlineStr">
        <is>
          <t>Botellas 1L</t>
        </is>
      </c>
      <c r="F243" s="22" t="inlineStr">
        <is>
          <t>DOMINICANA, REPÚBLICA</t>
        </is>
      </c>
      <c r="G243" s="23" t="inlineStr">
        <is>
          <t>Sobre Pedido (Export)</t>
        </is>
      </c>
      <c r="H243" s="24" t="n">
        <v>0</v>
      </c>
      <c r="I243" s="24" t="n">
        <v>36</v>
      </c>
      <c r="J243" s="24" t="n">
        <v>0</v>
      </c>
      <c r="K243" s="24" t="n">
        <v>0</v>
      </c>
      <c r="L243" s="24" t="n">
        <v>0</v>
      </c>
      <c r="M243" s="25" t="n">
        <v>36</v>
      </c>
      <c r="N243" s="25" t="n">
        <v>36</v>
      </c>
      <c r="O243" s="25" t="n">
        <v>36</v>
      </c>
      <c r="P243" s="25" t="n">
        <v>36</v>
      </c>
      <c r="Q243" s="35" t="inlineStr">
        <is>
          <t>SOBRE PEDIDO (EXP)</t>
        </is>
      </c>
    </row>
    <row r="244" ht="19" customHeight="1">
      <c r="A244" s="27" t="inlineStr">
        <is>
          <t>B0005</t>
        </is>
      </c>
      <c r="B244" s="31" t="inlineStr">
        <is>
          <t>B0005</t>
        </is>
      </c>
      <c r="C244" s="29" t="inlineStr">
        <is>
          <t>BOROCAL, 5 L</t>
        </is>
      </c>
      <c r="D244" s="30" t="n">
        <v>5</v>
      </c>
      <c r="E244" s="29" t="inlineStr">
        <is>
          <t>Garrafas 5L</t>
        </is>
      </c>
      <c r="F244" s="31" t="inlineStr">
        <is>
          <t>ESPAÑA</t>
        </is>
      </c>
      <c r="G244" s="31" t="inlineStr">
        <is>
          <t>Para Previsión (Nac)</t>
        </is>
      </c>
      <c r="H244" s="33" t="n">
        <v>475</v>
      </c>
      <c r="I244" s="33" t="n">
        <v>0</v>
      </c>
      <c r="J244" s="33" t="n">
        <v>370.81</v>
      </c>
      <c r="K244" s="33" t="n">
        <v>20.9624</v>
      </c>
      <c r="L244" s="33" t="n">
        <v>86.7908</v>
      </c>
      <c r="M244" s="34" t="n">
        <v>478.5632</v>
      </c>
      <c r="N244" s="34" t="n">
        <v>478.56</v>
      </c>
      <c r="O244" s="34" t="n">
        <v>3.563199999999995</v>
      </c>
      <c r="P244" s="34" t="n">
        <v>3.56</v>
      </c>
      <c r="Q244" s="35" t="inlineStr">
        <is>
          <t>SOLO ENVASAR</t>
        </is>
      </c>
    </row>
    <row r="245" ht="19" customHeight="1">
      <c r="A245" s="18" t="inlineStr">
        <is>
          <t>A-50(2)0020</t>
        </is>
      </c>
      <c r="B245" s="22" t="inlineStr">
        <is>
          <t>A-50(2)0020</t>
        </is>
      </c>
      <c r="C245" s="20" t="inlineStr">
        <is>
          <t>CODIORGAN A-50, 20 KG</t>
        </is>
      </c>
      <c r="D245" s="21" t="n">
        <v>20</v>
      </c>
      <c r="E245" s="20" t="inlineStr">
        <is>
          <t>Bolsas 20 Kg</t>
        </is>
      </c>
      <c r="F245" s="22" t="inlineStr">
        <is>
          <t>ESPAÑA</t>
        </is>
      </c>
      <c r="G245" s="22" t="inlineStr">
        <is>
          <t>Para Previsión (Nac)</t>
        </is>
      </c>
      <c r="H245" s="24" t="n">
        <v>600</v>
      </c>
      <c r="I245" s="24" t="n">
        <v>600</v>
      </c>
      <c r="J245" s="24" t="n">
        <v>0</v>
      </c>
      <c r="K245" s="24" t="n">
        <v>0</v>
      </c>
      <c r="L245" s="24" t="n">
        <v>1.6</v>
      </c>
      <c r="M245" s="25" t="n">
        <v>601.6</v>
      </c>
      <c r="N245" s="25" t="n">
        <v>601.6</v>
      </c>
      <c r="O245" s="25" t="n">
        <v>1.600000000000023</v>
      </c>
      <c r="P245" s="25" t="n">
        <v>1.6</v>
      </c>
      <c r="Q245" s="35" t="inlineStr">
        <is>
          <t>SOLO ENVASAR</t>
        </is>
      </c>
    </row>
    <row r="246" ht="19" customHeight="1">
      <c r="A246" s="27" t="inlineStr">
        <is>
          <t>FU0020</t>
        </is>
      </c>
      <c r="B246" s="31" t="inlineStr">
        <is>
          <t>FU0020</t>
        </is>
      </c>
      <c r="C246" s="29" t="inlineStr">
        <is>
          <t>FULVIGIN, 20 L</t>
        </is>
      </c>
      <c r="D246" s="30" t="n">
        <v>20</v>
      </c>
      <c r="E246" s="29" t="inlineStr">
        <is>
          <t>Garrafas 20L</t>
        </is>
      </c>
      <c r="F246" s="31" t="inlineStr">
        <is>
          <t>ESPAÑA</t>
        </is>
      </c>
      <c r="G246" s="31" t="inlineStr">
        <is>
          <t>Para Previsión (Nac)</t>
        </is>
      </c>
      <c r="H246" s="33" t="n">
        <v>0</v>
      </c>
      <c r="I246" s="33" t="n">
        <v>0</v>
      </c>
      <c r="J246" s="33" t="n">
        <v>0</v>
      </c>
      <c r="K246" s="33" t="n">
        <v>0</v>
      </c>
      <c r="L246" s="33" t="n">
        <v>0</v>
      </c>
      <c r="M246" s="34" t="n">
        <v>0</v>
      </c>
      <c r="N246" s="34" t="n">
        <v>0</v>
      </c>
      <c r="O246" s="34" t="n">
        <v>0</v>
      </c>
      <c r="P246" s="34" t="n">
        <v>0</v>
      </c>
      <c r="Q246" s="36" t="inlineStr">
        <is>
          <t>CUBIERTO</t>
        </is>
      </c>
    </row>
    <row r="247" ht="19" customHeight="1">
      <c r="A247" s="18" t="inlineStr">
        <is>
          <t>BR-590005</t>
        </is>
      </c>
      <c r="B247" s="19" t="inlineStr">
        <is>
          <t>BR-590005MA</t>
        </is>
      </c>
      <c r="C247" s="20" t="inlineStr">
        <is>
          <t>BR-59, 5 KG</t>
        </is>
      </c>
      <c r="D247" s="21" t="n">
        <v>5</v>
      </c>
      <c r="E247" s="20" t="inlineStr">
        <is>
          <t>Bolsas 5 Kg</t>
        </is>
      </c>
      <c r="F247" s="22" t="inlineStr">
        <is>
          <t>MARRUECOS</t>
        </is>
      </c>
      <c r="G247" s="23" t="inlineStr">
        <is>
          <t>Sobre Pedido (Export)</t>
        </is>
      </c>
      <c r="H247" s="24" t="n">
        <v>800</v>
      </c>
      <c r="I247" s="24" t="n">
        <v>800</v>
      </c>
      <c r="J247" s="24" t="n">
        <v>0</v>
      </c>
      <c r="K247" s="24" t="n">
        <v>0</v>
      </c>
      <c r="L247" s="24" t="n">
        <v>0</v>
      </c>
      <c r="M247" s="25" t="n">
        <v>800</v>
      </c>
      <c r="N247" s="25" t="n">
        <v>800</v>
      </c>
      <c r="O247" s="25" t="n">
        <v>0</v>
      </c>
      <c r="P247" s="25" t="n">
        <v>0</v>
      </c>
      <c r="Q247" s="36" t="inlineStr">
        <is>
          <t>CUBIERTO</t>
        </is>
      </c>
    </row>
    <row r="248" ht="19" customHeight="1">
      <c r="A248" s="27" t="inlineStr">
        <is>
          <t>BR-590005</t>
        </is>
      </c>
      <c r="B248" s="28" t="inlineStr">
        <is>
          <t>BR-590005CO</t>
        </is>
      </c>
      <c r="C248" s="29" t="inlineStr">
        <is>
          <t>BR-59, 5 KG</t>
        </is>
      </c>
      <c r="D248" s="30" t="n">
        <v>5</v>
      </c>
      <c r="E248" s="29" t="inlineStr">
        <is>
          <t>Bolsas 5 Kg</t>
        </is>
      </c>
      <c r="F248" s="31" t="inlineStr">
        <is>
          <t>COLOMBIA</t>
        </is>
      </c>
      <c r="G248" s="32" t="inlineStr">
        <is>
          <t>Sobre Pedido (Export)</t>
        </is>
      </c>
      <c r="H248" s="33" t="n">
        <v>314.4361</v>
      </c>
      <c r="I248" s="33" t="n">
        <v>0</v>
      </c>
      <c r="J248" s="33" t="n">
        <v>0</v>
      </c>
      <c r="K248" s="33" t="n">
        <v>314.4361</v>
      </c>
      <c r="L248" s="33" t="n">
        <v>0</v>
      </c>
      <c r="M248" s="34" t="n">
        <v>314.4361</v>
      </c>
      <c r="N248" s="34" t="n">
        <v>314.44</v>
      </c>
      <c r="O248" s="34" t="n">
        <v>0</v>
      </c>
      <c r="P248" s="34" t="n">
        <v>0</v>
      </c>
      <c r="Q248" s="36" t="inlineStr">
        <is>
          <t>CUBIERTO</t>
        </is>
      </c>
    </row>
    <row r="249" ht="19" customHeight="1">
      <c r="A249" s="18" t="inlineStr">
        <is>
          <t>BR-590005</t>
        </is>
      </c>
      <c r="B249" s="19" t="inlineStr">
        <is>
          <t>BR-590005DO</t>
        </is>
      </c>
      <c r="C249" s="20" t="inlineStr">
        <is>
          <t>BR-59, 5 KG</t>
        </is>
      </c>
      <c r="D249" s="21" t="n">
        <v>5</v>
      </c>
      <c r="E249" s="20" t="inlineStr">
        <is>
          <t>Bolsas 5 Kg</t>
        </is>
      </c>
      <c r="F249" s="22" t="inlineStr">
        <is>
          <t>ESPAÑA</t>
        </is>
      </c>
      <c r="G249" s="22" t="inlineStr">
        <is>
          <t>Para Previsión (Nac)</t>
        </is>
      </c>
      <c r="H249" s="24" t="n">
        <v>480</v>
      </c>
      <c r="I249" s="24" t="n">
        <v>480</v>
      </c>
      <c r="J249" s="24" t="n">
        <v>0</v>
      </c>
      <c r="K249" s="24" t="n">
        <v>0</v>
      </c>
      <c r="L249" s="24" t="n">
        <v>0</v>
      </c>
      <c r="M249" s="25" t="n">
        <v>480</v>
      </c>
      <c r="N249" s="25" t="n">
        <v>480</v>
      </c>
      <c r="O249" s="25" t="n">
        <v>0</v>
      </c>
      <c r="P249" s="25" t="n">
        <v>0</v>
      </c>
      <c r="Q249" s="36" t="inlineStr">
        <is>
          <t>CUBIERTO</t>
        </is>
      </c>
    </row>
    <row r="250" ht="19" customHeight="1">
      <c r="A250" s="27" t="inlineStr">
        <is>
          <t>AGFEL0001</t>
        </is>
      </c>
      <c r="B250" s="31" t="inlineStr">
        <is>
          <t>AGFEL0001</t>
        </is>
      </c>
      <c r="C250" s="29" t="inlineStr">
        <is>
          <t>AGROXILATO-FE-L, 1 L</t>
        </is>
      </c>
      <c r="D250" s="30" t="n">
        <v>1</v>
      </c>
      <c r="E250" s="29" t="inlineStr">
        <is>
          <t>Botellas 1L</t>
        </is>
      </c>
      <c r="F250" s="31" t="inlineStr">
        <is>
          <t>ESPAÑA</t>
        </is>
      </c>
      <c r="G250" s="31" t="inlineStr">
        <is>
          <t>Para Previsión (Nac)</t>
        </is>
      </c>
      <c r="H250" s="33" t="n">
        <v>0</v>
      </c>
      <c r="I250" s="33" t="n">
        <v>0</v>
      </c>
      <c r="J250" s="33" t="n">
        <v>0</v>
      </c>
      <c r="K250" s="33" t="n">
        <v>0</v>
      </c>
      <c r="L250" s="33" t="n">
        <v>0</v>
      </c>
      <c r="M250" s="34" t="n">
        <v>0</v>
      </c>
      <c r="N250" s="34" t="n">
        <v>0</v>
      </c>
      <c r="O250" s="34" t="n">
        <v>0</v>
      </c>
      <c r="P250" s="34" t="n">
        <v>0</v>
      </c>
      <c r="Q250" s="36" t="inlineStr">
        <is>
          <t>CUBIERTO</t>
        </is>
      </c>
    </row>
    <row r="251" ht="19" customHeight="1">
      <c r="A251" s="18" t="inlineStr">
        <is>
          <t>AGFEL0005</t>
        </is>
      </c>
      <c r="B251" s="22" t="inlineStr">
        <is>
          <t>AGFEL0005</t>
        </is>
      </c>
      <c r="C251" s="20" t="inlineStr">
        <is>
          <t>AGROXILATO-FE-L, 5 L</t>
        </is>
      </c>
      <c r="D251" s="21" t="n">
        <v>5</v>
      </c>
      <c r="E251" s="20" t="inlineStr">
        <is>
          <t>Garrafas 5L</t>
        </is>
      </c>
      <c r="F251" s="22" t="inlineStr">
        <is>
          <t>ESPAÑA</t>
        </is>
      </c>
      <c r="G251" s="22" t="inlineStr">
        <is>
          <t>Para Previsión (Nac)</t>
        </is>
      </c>
      <c r="H251" s="24" t="n">
        <v>0</v>
      </c>
      <c r="I251" s="24" t="n">
        <v>0</v>
      </c>
      <c r="J251" s="24" t="n">
        <v>0</v>
      </c>
      <c r="K251" s="24" t="n">
        <v>0</v>
      </c>
      <c r="L251" s="24" t="n">
        <v>0</v>
      </c>
      <c r="M251" s="25" t="n">
        <v>0</v>
      </c>
      <c r="N251" s="25" t="n">
        <v>0</v>
      </c>
      <c r="O251" s="25" t="n">
        <v>0</v>
      </c>
      <c r="P251" s="25" t="n">
        <v>0</v>
      </c>
      <c r="Q251" s="36" t="inlineStr">
        <is>
          <t>CUBIERTO</t>
        </is>
      </c>
    </row>
    <row r="252" ht="19" customHeight="1">
      <c r="A252" s="27" t="inlineStr">
        <is>
          <t>AGRMG0005</t>
        </is>
      </c>
      <c r="B252" s="31" t="inlineStr">
        <is>
          <t>AGRMG0005</t>
        </is>
      </c>
      <c r="C252" s="29" t="inlineStr">
        <is>
          <t>AGROXIGREEN-MG, 5 L</t>
        </is>
      </c>
      <c r="D252" s="30" t="n">
        <v>5</v>
      </c>
      <c r="E252" s="29" t="inlineStr">
        <is>
          <t>Garrafas 5L</t>
        </is>
      </c>
      <c r="F252" s="31" t="inlineStr">
        <is>
          <t>ESPAÑA</t>
        </is>
      </c>
      <c r="G252" s="31" t="inlineStr">
        <is>
          <t>Para Previsión (Nac)</t>
        </is>
      </c>
      <c r="H252" s="33" t="n">
        <v>0</v>
      </c>
      <c r="I252" s="33" t="n">
        <v>0</v>
      </c>
      <c r="J252" s="33" t="n">
        <v>0</v>
      </c>
      <c r="K252" s="33" t="n">
        <v>0</v>
      </c>
      <c r="L252" s="33" t="n">
        <v>0</v>
      </c>
      <c r="M252" s="34" t="n">
        <v>0</v>
      </c>
      <c r="N252" s="34" t="n">
        <v>0</v>
      </c>
      <c r="O252" s="34" t="n">
        <v>0</v>
      </c>
      <c r="P252" s="34" t="n">
        <v>0</v>
      </c>
      <c r="Q252" s="36" t="inlineStr">
        <is>
          <t>CUBIERTO</t>
        </is>
      </c>
    </row>
    <row r="253" ht="19" customHeight="1">
      <c r="A253" s="18" t="inlineStr">
        <is>
          <t>AMIMG0005</t>
        </is>
      </c>
      <c r="B253" s="22" t="inlineStr">
        <is>
          <t>AMIMG0005</t>
        </is>
      </c>
      <c r="C253" s="20" t="inlineStr">
        <is>
          <t>AMINOSOIL-MG, 5L</t>
        </is>
      </c>
      <c r="D253" s="21" t="n">
        <v>5</v>
      </c>
      <c r="E253" s="20" t="inlineStr">
        <is>
          <t>Garrafas 5L</t>
        </is>
      </c>
      <c r="F253" s="22" t="inlineStr">
        <is>
          <t>ESPAÑA</t>
        </is>
      </c>
      <c r="G253" s="22" t="inlineStr">
        <is>
          <t>Para Previsión (Nac)</t>
        </is>
      </c>
      <c r="H253" s="24" t="n">
        <v>0</v>
      </c>
      <c r="I253" s="24" t="n">
        <v>0</v>
      </c>
      <c r="J253" s="24" t="n">
        <v>0</v>
      </c>
      <c r="K253" s="24" t="n">
        <v>0</v>
      </c>
      <c r="L253" s="24" t="n">
        <v>0</v>
      </c>
      <c r="M253" s="25" t="n">
        <v>0</v>
      </c>
      <c r="N253" s="25" t="n">
        <v>0</v>
      </c>
      <c r="O253" s="25" t="n">
        <v>0</v>
      </c>
      <c r="P253" s="25" t="n">
        <v>0</v>
      </c>
      <c r="Q253" s="36" t="inlineStr">
        <is>
          <t>CUBIERTO</t>
        </is>
      </c>
    </row>
    <row r="254" ht="19" customHeight="1">
      <c r="A254" s="27" t="inlineStr">
        <is>
          <t>AQUOM0005</t>
        </is>
      </c>
      <c r="B254" s="31" t="inlineStr">
        <is>
          <t>AQUOM0005</t>
        </is>
      </c>
      <c r="C254" s="29" t="inlineStr">
        <is>
          <t>AQUOM, 5 L</t>
        </is>
      </c>
      <c r="D254" s="30" t="n">
        <v>5</v>
      </c>
      <c r="E254" s="29" t="inlineStr">
        <is>
          <t>Garrafas 5L</t>
        </is>
      </c>
      <c r="F254" s="31" t="inlineStr">
        <is>
          <t>ESPAÑA</t>
        </is>
      </c>
      <c r="G254" s="31" t="inlineStr">
        <is>
          <t>Para Previsión (Nac)</t>
        </is>
      </c>
      <c r="H254" s="33" t="n">
        <v>0</v>
      </c>
      <c r="I254" s="33" t="n">
        <v>0</v>
      </c>
      <c r="J254" s="33" t="n">
        <v>0</v>
      </c>
      <c r="K254" s="33" t="n">
        <v>0</v>
      </c>
      <c r="L254" s="33" t="n">
        <v>0</v>
      </c>
      <c r="M254" s="34" t="n">
        <v>0</v>
      </c>
      <c r="N254" s="34" t="n">
        <v>0</v>
      </c>
      <c r="O254" s="34" t="n">
        <v>0</v>
      </c>
      <c r="P254" s="34" t="n">
        <v>0</v>
      </c>
      <c r="Q254" s="36" t="inlineStr">
        <is>
          <t>CUBIERTO</t>
        </is>
      </c>
    </row>
    <row r="255" ht="19" customHeight="1">
      <c r="A255" s="18" t="inlineStr">
        <is>
          <t>BR-59AE0005</t>
        </is>
      </c>
      <c r="B255" s="22" t="inlineStr">
        <is>
          <t>BR-59AE0005</t>
        </is>
      </c>
      <c r="C255" s="20" t="inlineStr">
        <is>
          <t>BR-59 AE, 5 KG</t>
        </is>
      </c>
      <c r="D255" s="21" t="n">
        <v>5</v>
      </c>
      <c r="E255" s="20" t="inlineStr">
        <is>
          <t>Bolsas 5 Kg</t>
        </is>
      </c>
      <c r="F255" s="22" t="inlineStr">
        <is>
          <t>ESPAÑA</t>
        </is>
      </c>
      <c r="G255" s="22" t="inlineStr">
        <is>
          <t>Para Previsión (Nac)</t>
        </is>
      </c>
      <c r="H255" s="24" t="n">
        <v>0</v>
      </c>
      <c r="I255" s="24" t="n">
        <v>0</v>
      </c>
      <c r="J255" s="24" t="n">
        <v>0</v>
      </c>
      <c r="K255" s="24" t="n">
        <v>0</v>
      </c>
      <c r="L255" s="24" t="n">
        <v>0</v>
      </c>
      <c r="M255" s="25" t="n">
        <v>0</v>
      </c>
      <c r="N255" s="25" t="n">
        <v>0</v>
      </c>
      <c r="O255" s="25" t="n">
        <v>0</v>
      </c>
      <c r="P255" s="25" t="n">
        <v>0</v>
      </c>
      <c r="Q255" s="36" t="inlineStr">
        <is>
          <t>CUBIERTO</t>
        </is>
      </c>
    </row>
    <row r="256" ht="19" customHeight="1">
      <c r="A256" s="27" t="inlineStr">
        <is>
          <t>C-CU0005</t>
        </is>
      </c>
      <c r="B256" s="31" t="inlineStr">
        <is>
          <t>C-CU0005</t>
        </is>
      </c>
      <c r="C256" s="29" t="inlineStr">
        <is>
          <t>CODICOBRE, 5 L</t>
        </is>
      </c>
      <c r="D256" s="30" t="n">
        <v>5</v>
      </c>
      <c r="E256" s="29" t="inlineStr">
        <is>
          <t>Garrafas 5L</t>
        </is>
      </c>
      <c r="F256" s="31" t="inlineStr">
        <is>
          <t>ESPAÑA</t>
        </is>
      </c>
      <c r="G256" s="31" t="inlineStr">
        <is>
          <t>Para Previsión (Nac)</t>
        </is>
      </c>
      <c r="H256" s="33" t="n">
        <v>1108.0177</v>
      </c>
      <c r="I256" s="33" t="n">
        <v>0</v>
      </c>
      <c r="J256" s="33" t="n">
        <v>620</v>
      </c>
      <c r="K256" s="33" t="n">
        <v>314.4361</v>
      </c>
      <c r="L256" s="33" t="n">
        <v>173.5816</v>
      </c>
      <c r="M256" s="34" t="n">
        <v>1108.0177</v>
      </c>
      <c r="N256" s="34" t="n">
        <v>1108.02</v>
      </c>
      <c r="O256" s="34" t="n">
        <v>0</v>
      </c>
      <c r="P256" s="34" t="n">
        <v>0</v>
      </c>
      <c r="Q256" s="36" t="inlineStr">
        <is>
          <t>CUBIERTO</t>
        </is>
      </c>
    </row>
    <row r="257" ht="19" customHeight="1">
      <c r="A257" s="18" t="inlineStr">
        <is>
          <t>PT0005</t>
        </is>
      </c>
      <c r="B257" s="22" t="inlineStr">
        <is>
          <t>PT0005</t>
        </is>
      </c>
      <c r="C257" s="20" t="inlineStr">
        <is>
          <t>AGROPOTASION, 5 L</t>
        </is>
      </c>
      <c r="D257" s="21" t="n">
        <v>5</v>
      </c>
      <c r="E257" s="20" t="inlineStr">
        <is>
          <t>Garrafas 5L</t>
        </is>
      </c>
      <c r="F257" s="22" t="inlineStr">
        <is>
          <t>ESPAÑA</t>
        </is>
      </c>
      <c r="G257" s="22" t="inlineStr">
        <is>
          <t>Para Previsión (Nac)</t>
        </is>
      </c>
      <c r="H257" s="24" t="n">
        <v>619.354</v>
      </c>
      <c r="I257" s="24" t="n">
        <v>0</v>
      </c>
      <c r="J257" s="24" t="n">
        <v>185.4</v>
      </c>
      <c r="K257" s="24" t="n">
        <v>0</v>
      </c>
      <c r="L257" s="24" t="n">
        <v>433.9540000000001</v>
      </c>
      <c r="M257" s="25" t="n">
        <v>619.354</v>
      </c>
      <c r="N257" s="25" t="n">
        <v>619.35</v>
      </c>
      <c r="O257" s="25" t="n">
        <v>0</v>
      </c>
      <c r="P257" s="25" t="n">
        <v>0</v>
      </c>
      <c r="Q257" s="36" t="inlineStr">
        <is>
          <t>CUBIERTO</t>
        </is>
      </c>
    </row>
    <row r="258" ht="19" customHeight="1">
      <c r="A258" s="27" t="inlineStr">
        <is>
          <t>WHITE0020</t>
        </is>
      </c>
      <c r="B258" s="31" t="inlineStr">
        <is>
          <t>WHITE0020</t>
        </is>
      </c>
      <c r="C258" s="29" t="inlineStr">
        <is>
          <t>AGROWHITE, 20 KG</t>
        </is>
      </c>
      <c r="D258" s="30" t="n">
        <v>20</v>
      </c>
      <c r="E258" s="29" t="inlineStr">
        <is>
          <t>Bolsas 20 Kg</t>
        </is>
      </c>
      <c r="F258" s="31" t="inlineStr">
        <is>
          <t>ESPAÑA</t>
        </is>
      </c>
      <c r="G258" s="31" t="inlineStr">
        <is>
          <t>Para Previsión (Nac)</t>
        </is>
      </c>
      <c r="H258" s="33" t="n">
        <v>966.72</v>
      </c>
      <c r="I258" s="33" t="n">
        <v>0</v>
      </c>
      <c r="J258" s="33" t="n">
        <v>966.72</v>
      </c>
      <c r="K258" s="33" t="n">
        <v>0</v>
      </c>
      <c r="L258" s="33" t="n">
        <v>0</v>
      </c>
      <c r="M258" s="34" t="n">
        <v>966.72</v>
      </c>
      <c r="N258" s="34" t="n">
        <v>966.72</v>
      </c>
      <c r="O258" s="34" t="n">
        <v>0</v>
      </c>
      <c r="P258" s="34" t="n">
        <v>0</v>
      </c>
      <c r="Q258" s="36" t="inlineStr">
        <is>
          <t>CUBIERTO</t>
        </is>
      </c>
    </row>
    <row r="259" ht="19" customHeight="1">
      <c r="A259" s="18" t="inlineStr">
        <is>
          <t>C-GLB0001</t>
        </is>
      </c>
      <c r="B259" s="22" t="inlineStr">
        <is>
          <t>C-GLB0001</t>
        </is>
      </c>
      <c r="C259" s="20" t="inlineStr">
        <is>
          <t>CODIORGAN GLB, 1 KG</t>
        </is>
      </c>
      <c r="D259" s="21" t="n">
        <v>1</v>
      </c>
      <c r="E259" s="20" t="inlineStr">
        <is>
          <t>Bolsas 1 Kg</t>
        </is>
      </c>
      <c r="F259" s="22" t="inlineStr">
        <is>
          <t>ESPAÑA</t>
        </is>
      </c>
      <c r="G259" s="22" t="inlineStr">
        <is>
          <t>Para Previsión (Nac)</t>
        </is>
      </c>
      <c r="H259" s="24" t="n">
        <v>512.0352</v>
      </c>
      <c r="I259" s="24" t="n">
        <v>0</v>
      </c>
      <c r="J259" s="24" t="n">
        <v>211.37</v>
      </c>
      <c r="K259" s="24" t="n">
        <v>113.197</v>
      </c>
      <c r="L259" s="24" t="n">
        <v>187.4682</v>
      </c>
      <c r="M259" s="25" t="n">
        <v>512.0352</v>
      </c>
      <c r="N259" s="25" t="n">
        <v>512.04</v>
      </c>
      <c r="O259" s="25" t="n">
        <v>0</v>
      </c>
      <c r="P259" s="25" t="n">
        <v>0</v>
      </c>
      <c r="Q259" s="36" t="inlineStr">
        <is>
          <t>CUBIERTO</t>
        </is>
      </c>
    </row>
    <row r="260" ht="19" customHeight="1">
      <c r="A260" s="27" t="inlineStr">
        <is>
          <t>CSIL0020</t>
        </is>
      </c>
      <c r="B260" s="31" t="inlineStr">
        <is>
          <t>CSIL0020</t>
        </is>
      </c>
      <c r="C260" s="29" t="inlineStr">
        <is>
          <t>FITOKONTROL-K, 20 L</t>
        </is>
      </c>
      <c r="D260" s="30" t="n">
        <v>20</v>
      </c>
      <c r="E260" s="29" t="inlineStr">
        <is>
          <t>Garrafas 20L</t>
        </is>
      </c>
      <c r="F260" s="31" t="inlineStr">
        <is>
          <t>ESPAÑA</t>
        </is>
      </c>
      <c r="G260" s="31" t="inlineStr">
        <is>
          <t>Para Previsión (Nac)</t>
        </is>
      </c>
      <c r="H260" s="33" t="n">
        <v>0</v>
      </c>
      <c r="I260" s="33" t="n">
        <v>0</v>
      </c>
      <c r="J260" s="33" t="n">
        <v>0</v>
      </c>
      <c r="K260" s="33" t="n">
        <v>0</v>
      </c>
      <c r="L260" s="33" t="n">
        <v>0</v>
      </c>
      <c r="M260" s="34" t="n">
        <v>0</v>
      </c>
      <c r="N260" s="34" t="n">
        <v>0</v>
      </c>
      <c r="O260" s="34" t="n">
        <v>0</v>
      </c>
      <c r="P260" s="34" t="n">
        <v>0</v>
      </c>
      <c r="Q260" s="36" t="inlineStr">
        <is>
          <t>CUBIERTO</t>
        </is>
      </c>
    </row>
    <row r="261" ht="19" customHeight="1">
      <c r="A261" s="18" t="inlineStr">
        <is>
          <t>FU0005</t>
        </is>
      </c>
      <c r="B261" s="22" t="inlineStr">
        <is>
          <t>FU0005</t>
        </is>
      </c>
      <c r="C261" s="20" t="inlineStr">
        <is>
          <t>FULVIGIN, 5 L</t>
        </is>
      </c>
      <c r="D261" s="21" t="n">
        <v>5</v>
      </c>
      <c r="E261" s="20" t="inlineStr">
        <is>
          <t>Garrafas 5L</t>
        </is>
      </c>
      <c r="F261" s="22" t="inlineStr">
        <is>
          <t>ESPAÑA</t>
        </is>
      </c>
      <c r="G261" s="22" t="inlineStr">
        <is>
          <t>Para Previsión (Nac)</t>
        </is>
      </c>
      <c r="H261" s="24" t="n">
        <v>0</v>
      </c>
      <c r="I261" s="24" t="n">
        <v>0</v>
      </c>
      <c r="J261" s="24" t="n">
        <v>0</v>
      </c>
      <c r="K261" s="24" t="n">
        <v>0</v>
      </c>
      <c r="L261" s="24" t="n">
        <v>0</v>
      </c>
      <c r="M261" s="25" t="n">
        <v>0</v>
      </c>
      <c r="N261" s="25" t="n">
        <v>0</v>
      </c>
      <c r="O261" s="25" t="n">
        <v>0</v>
      </c>
      <c r="P261" s="25" t="n">
        <v>0</v>
      </c>
      <c r="Q261" s="36" t="inlineStr">
        <is>
          <t>CUBIERTO</t>
        </is>
      </c>
    </row>
    <row r="262" ht="19" customHeight="1">
      <c r="A262" s="27" t="inlineStr">
        <is>
          <t>AGRMGN0020</t>
        </is>
      </c>
      <c r="B262" s="31" t="inlineStr">
        <is>
          <t>AGRMGN0020</t>
        </is>
      </c>
      <c r="C262" s="29" t="inlineStr">
        <is>
          <t>AGROXIGREEN-MG, 20 L</t>
        </is>
      </c>
      <c r="D262" s="30" t="n">
        <v>20</v>
      </c>
      <c r="E262" s="29" t="inlineStr">
        <is>
          <t>Garrafas 20L</t>
        </is>
      </c>
      <c r="F262" s="31" t="inlineStr">
        <is>
          <t>ESPAÑA</t>
        </is>
      </c>
      <c r="G262" s="31" t="inlineStr">
        <is>
          <t>Para Previsión (Nac)</t>
        </is>
      </c>
      <c r="H262" s="33" t="n">
        <v>0</v>
      </c>
      <c r="I262" s="33" t="n">
        <v>0</v>
      </c>
      <c r="J262" s="33" t="n">
        <v>0</v>
      </c>
      <c r="K262" s="33" t="n">
        <v>0</v>
      </c>
      <c r="L262" s="33" t="n">
        <v>0</v>
      </c>
      <c r="M262" s="34" t="n">
        <v>0</v>
      </c>
      <c r="N262" s="34" t="n">
        <v>0</v>
      </c>
      <c r="O262" s="34" t="n">
        <v>0</v>
      </c>
      <c r="P262" s="34" t="n">
        <v>0</v>
      </c>
      <c r="Q262" s="36" t="inlineStr">
        <is>
          <t>CUBIERTO</t>
        </is>
      </c>
    </row>
    <row r="263" ht="19" customHeight="1">
      <c r="A263" s="18" t="inlineStr">
        <is>
          <t>C-CUAE0020</t>
        </is>
      </c>
      <c r="B263" s="22" t="inlineStr">
        <is>
          <t>C-CUAE0020</t>
        </is>
      </c>
      <c r="C263" s="20" t="inlineStr">
        <is>
          <t>CUPRAMEC, 20 L</t>
        </is>
      </c>
      <c r="D263" s="21" t="n">
        <v>20</v>
      </c>
      <c r="E263" s="20" t="inlineStr">
        <is>
          <t>Garrafas 20L</t>
        </is>
      </c>
      <c r="F263" s="22" t="inlineStr">
        <is>
          <t>ESPAÑA</t>
        </is>
      </c>
      <c r="G263" s="22" t="inlineStr">
        <is>
          <t>Para Previsión (Nac)</t>
        </is>
      </c>
      <c r="H263" s="24" t="n">
        <v>0</v>
      </c>
      <c r="I263" s="24" t="n">
        <v>0</v>
      </c>
      <c r="J263" s="24" t="n">
        <v>0</v>
      </c>
      <c r="K263" s="24" t="n">
        <v>0</v>
      </c>
      <c r="L263" s="24" t="n">
        <v>0</v>
      </c>
      <c r="M263" s="25" t="n">
        <v>0</v>
      </c>
      <c r="N263" s="25" t="n">
        <v>0</v>
      </c>
      <c r="O263" s="25" t="n">
        <v>0</v>
      </c>
      <c r="P263" s="25" t="n">
        <v>0</v>
      </c>
      <c r="Q263" s="36" t="inlineStr">
        <is>
          <t>CUBIERTO</t>
        </is>
      </c>
    </row>
    <row r="264" ht="19" customHeight="1">
      <c r="A264" s="27" t="inlineStr">
        <is>
          <t>FROST-P0005</t>
        </is>
      </c>
      <c r="B264" s="31" t="inlineStr">
        <is>
          <t>FROST-P0005</t>
        </is>
      </c>
      <c r="C264" s="29" t="inlineStr">
        <is>
          <t>CODIFROST PLUS, 5 L</t>
        </is>
      </c>
      <c r="D264" s="30" t="n">
        <v>5</v>
      </c>
      <c r="E264" s="29" t="inlineStr">
        <is>
          <t>Garrafas 5L</t>
        </is>
      </c>
      <c r="F264" s="31" t="inlineStr">
        <is>
          <t>ESPAÑA</t>
        </is>
      </c>
      <c r="G264" s="31" t="inlineStr">
        <is>
          <t>Para Previsión (Nac)</t>
        </is>
      </c>
      <c r="H264" s="33" t="n">
        <v>0</v>
      </c>
      <c r="I264" s="33" t="n">
        <v>0</v>
      </c>
      <c r="J264" s="33" t="n">
        <v>0</v>
      </c>
      <c r="K264" s="33" t="n">
        <v>0</v>
      </c>
      <c r="L264" s="33" t="n">
        <v>0</v>
      </c>
      <c r="M264" s="34" t="n">
        <v>0</v>
      </c>
      <c r="N264" s="34" t="n">
        <v>0</v>
      </c>
      <c r="O264" s="34" t="n">
        <v>0</v>
      </c>
      <c r="P264" s="34" t="n">
        <v>0</v>
      </c>
      <c r="Q264" s="36" t="inlineStr">
        <is>
          <t>CUBIERTO</t>
        </is>
      </c>
    </row>
    <row r="265" ht="19" customHeight="1">
      <c r="A265" s="18" t="inlineStr">
        <is>
          <t>RUN0020</t>
        </is>
      </c>
      <c r="B265" s="22" t="inlineStr">
        <is>
          <t>RUN0020</t>
        </is>
      </c>
      <c r="C265" s="20" t="inlineStr">
        <is>
          <t>RUN STRESS, 20 L</t>
        </is>
      </c>
      <c r="D265" s="21" t="n">
        <v>20</v>
      </c>
      <c r="E265" s="20" t="inlineStr">
        <is>
          <t>Garrafas 20L</t>
        </is>
      </c>
      <c r="F265" s="22" t="inlineStr">
        <is>
          <t>ESPAÑA</t>
        </is>
      </c>
      <c r="G265" s="22" t="inlineStr">
        <is>
          <t>Para Previsión (Nac)</t>
        </is>
      </c>
      <c r="H265" s="24" t="n">
        <v>0</v>
      </c>
      <c r="I265" s="24" t="n">
        <v>0</v>
      </c>
      <c r="J265" s="24" t="n">
        <v>0</v>
      </c>
      <c r="K265" s="24" t="n">
        <v>0</v>
      </c>
      <c r="L265" s="24" t="n">
        <v>0</v>
      </c>
      <c r="M265" s="25" t="n">
        <v>0</v>
      </c>
      <c r="N265" s="25" t="n">
        <v>0</v>
      </c>
      <c r="O265" s="25" t="n">
        <v>0</v>
      </c>
      <c r="P265" s="25" t="n">
        <v>0</v>
      </c>
      <c r="Q265" s="36" t="inlineStr">
        <is>
          <t>CUBIERTO</t>
        </is>
      </c>
    </row>
    <row r="266" ht="19" customHeight="1">
      <c r="A266" s="27" t="inlineStr">
        <is>
          <t>AQUOM0001</t>
        </is>
      </c>
      <c r="B266" s="31" t="inlineStr">
        <is>
          <t>AQUOM0001</t>
        </is>
      </c>
      <c r="C266" s="29" t="inlineStr">
        <is>
          <t>AQUOM, 1 L</t>
        </is>
      </c>
      <c r="D266" s="30" t="n">
        <v>1</v>
      </c>
      <c r="E266" s="29" t="inlineStr">
        <is>
          <t>Botellas 1L</t>
        </is>
      </c>
      <c r="F266" s="31" t="inlineStr">
        <is>
          <t>ESPAÑA</t>
        </is>
      </c>
      <c r="G266" s="31" t="inlineStr">
        <is>
          <t>Para Previsión (Nac)</t>
        </is>
      </c>
      <c r="H266" s="33" t="n">
        <v>0</v>
      </c>
      <c r="I266" s="33" t="n">
        <v>0</v>
      </c>
      <c r="J266" s="33" t="n">
        <v>0</v>
      </c>
      <c r="K266" s="33" t="n">
        <v>0</v>
      </c>
      <c r="L266" s="33" t="n">
        <v>0</v>
      </c>
      <c r="M266" s="34" t="n">
        <v>0</v>
      </c>
      <c r="N266" s="34" t="n">
        <v>0</v>
      </c>
      <c r="O266" s="34" t="n">
        <v>0</v>
      </c>
      <c r="P266" s="34" t="n">
        <v>0</v>
      </c>
      <c r="Q266" s="36" t="inlineStr">
        <is>
          <t>CUBIERTO</t>
        </is>
      </c>
    </row>
    <row r="267" ht="19" customHeight="1">
      <c r="A267" s="18" t="inlineStr">
        <is>
          <t>C-GLB0005</t>
        </is>
      </c>
      <c r="B267" s="22" t="inlineStr">
        <is>
          <t>C-GLB0005</t>
        </is>
      </c>
      <c r="C267" s="20" t="inlineStr">
        <is>
          <t>CODIORGAN GLB, 5 KG</t>
        </is>
      </c>
      <c r="D267" s="21" t="n">
        <v>5</v>
      </c>
      <c r="E267" s="20" t="inlineStr">
        <is>
          <t>Bolsas 5 Kg</t>
        </is>
      </c>
      <c r="F267" s="22" t="inlineStr">
        <is>
          <t>ESPAÑA</t>
        </is>
      </c>
      <c r="G267" s="22" t="inlineStr">
        <is>
          <t>Para Previsión (Nac)</t>
        </is>
      </c>
      <c r="H267" s="24" t="n">
        <v>0</v>
      </c>
      <c r="I267" s="24" t="n">
        <v>0</v>
      </c>
      <c r="J267" s="24" t="n">
        <v>0</v>
      </c>
      <c r="K267" s="24" t="n">
        <v>0</v>
      </c>
      <c r="L267" s="24" t="n">
        <v>0</v>
      </c>
      <c r="M267" s="25" t="n">
        <v>0</v>
      </c>
      <c r="N267" s="25" t="n">
        <v>0</v>
      </c>
      <c r="O267" s="25" t="n">
        <v>0</v>
      </c>
      <c r="P267" s="25" t="n">
        <v>0</v>
      </c>
      <c r="Q267" s="36" t="inlineStr">
        <is>
          <t>CUBIERTO</t>
        </is>
      </c>
    </row>
    <row r="268" ht="19" customHeight="1">
      <c r="A268" s="27" t="inlineStr">
        <is>
          <t>PIV0005</t>
        </is>
      </c>
      <c r="B268" s="31" t="inlineStr">
        <is>
          <t>PIV0005</t>
        </is>
      </c>
      <c r="C268" s="29" t="inlineStr">
        <is>
          <t>PGR IV, 5 L</t>
        </is>
      </c>
      <c r="D268" s="30" t="n">
        <v>5</v>
      </c>
      <c r="E268" s="29" t="inlineStr">
        <is>
          <t>Garrafas 5L</t>
        </is>
      </c>
      <c r="F268" s="31" t="inlineStr">
        <is>
          <t>ESPAÑA</t>
        </is>
      </c>
      <c r="G268" s="31" t="inlineStr">
        <is>
          <t>Para Previsión (Nac)</t>
        </is>
      </c>
      <c r="H268" s="33" t="n">
        <v>200</v>
      </c>
      <c r="I268" s="33" t="n">
        <v>200</v>
      </c>
      <c r="J268" s="33" t="n">
        <v>0</v>
      </c>
      <c r="K268" s="33" t="n">
        <v>0</v>
      </c>
      <c r="L268" s="33" t="n">
        <v>0</v>
      </c>
      <c r="M268" s="34" t="n">
        <v>200</v>
      </c>
      <c r="N268" s="34" t="n">
        <v>200</v>
      </c>
      <c r="O268" s="34" t="n">
        <v>0</v>
      </c>
      <c r="P268" s="34" t="n">
        <v>0</v>
      </c>
      <c r="Q268" s="36" t="inlineStr">
        <is>
          <t>CUBIERTO</t>
        </is>
      </c>
    </row>
    <row r="269" ht="19" customHeight="1">
      <c r="A269" s="18" t="inlineStr">
        <is>
          <t>S0005</t>
        </is>
      </c>
      <c r="B269" s="22" t="inlineStr">
        <is>
          <t>S0005</t>
        </is>
      </c>
      <c r="C269" s="20" t="inlineStr">
        <is>
          <t>SAL-WAX STAR, 5 L</t>
        </is>
      </c>
      <c r="D269" s="21" t="n">
        <v>5</v>
      </c>
      <c r="E269" s="20" t="inlineStr">
        <is>
          <t>Garrafas 5L</t>
        </is>
      </c>
      <c r="F269" s="22" t="inlineStr">
        <is>
          <t>ESPAÑA</t>
        </is>
      </c>
      <c r="G269" s="22" t="inlineStr">
        <is>
          <t>Para Previsión (Nac)</t>
        </is>
      </c>
      <c r="H269" s="24" t="n">
        <v>0</v>
      </c>
      <c r="I269" s="24" t="n">
        <v>0</v>
      </c>
      <c r="J269" s="24" t="n">
        <v>0</v>
      </c>
      <c r="K269" s="24" t="n">
        <v>0</v>
      </c>
      <c r="L269" s="24" t="n">
        <v>0</v>
      </c>
      <c r="M269" s="25" t="n">
        <v>0</v>
      </c>
      <c r="N269" s="25" t="n">
        <v>0</v>
      </c>
      <c r="O269" s="25" t="n">
        <v>0</v>
      </c>
      <c r="P269" s="25" t="n">
        <v>0</v>
      </c>
      <c r="Q269" s="36" t="inlineStr">
        <is>
          <t>CUBIERTO</t>
        </is>
      </c>
    </row>
    <row r="270" ht="19" customHeight="1">
      <c r="A270" s="27" t="inlineStr">
        <is>
          <t>G30020</t>
        </is>
      </c>
      <c r="B270" s="31" t="inlineStr">
        <is>
          <t>G30020</t>
        </is>
      </c>
      <c r="C270" s="29" t="inlineStr">
        <is>
          <t>GREEN-UP, 20 L</t>
        </is>
      </c>
      <c r="D270" s="30" t="n">
        <v>20</v>
      </c>
      <c r="E270" s="29" t="inlineStr">
        <is>
          <t>Garrafas 20L</t>
        </is>
      </c>
      <c r="F270" s="31" t="inlineStr">
        <is>
          <t>ESPAÑA</t>
        </is>
      </c>
      <c r="G270" s="31" t="inlineStr">
        <is>
          <t>Para Previsión (Nac)</t>
        </is>
      </c>
      <c r="H270" s="33" t="n">
        <v>2528.2142</v>
      </c>
      <c r="I270" s="33" t="n">
        <v>0</v>
      </c>
      <c r="J270" s="33" t="n">
        <v>1186.62</v>
      </c>
      <c r="K270" s="33" t="n">
        <v>1341.5942</v>
      </c>
      <c r="L270" s="33" t="n">
        <v>0</v>
      </c>
      <c r="M270" s="34" t="n">
        <v>2528.2142</v>
      </c>
      <c r="N270" s="34" t="n">
        <v>2528.21</v>
      </c>
      <c r="O270" s="34" t="n">
        <v>0</v>
      </c>
      <c r="P270" s="34" t="n">
        <v>0</v>
      </c>
      <c r="Q270" s="36" t="inlineStr">
        <is>
          <t>CUBIERTO</t>
        </is>
      </c>
    </row>
    <row r="271" ht="19" customHeight="1">
      <c r="A271" s="18" t="inlineStr">
        <is>
          <t>CBROT0005</t>
        </is>
      </c>
      <c r="B271" s="22" t="inlineStr">
        <is>
          <t>CBROT0005</t>
        </is>
      </c>
      <c r="C271" s="20" t="inlineStr">
        <is>
          <t>CODIBROT, 5 L</t>
        </is>
      </c>
      <c r="D271" s="21" t="n">
        <v>5</v>
      </c>
      <c r="E271" s="20" t="inlineStr">
        <is>
          <t>Garrafas 5L</t>
        </is>
      </c>
      <c r="F271" s="22" t="inlineStr">
        <is>
          <t>ESPAÑA</t>
        </is>
      </c>
      <c r="G271" s="22" t="inlineStr">
        <is>
          <t>Para Previsión (Nac)</t>
        </is>
      </c>
      <c r="H271" s="24" t="n">
        <v>0</v>
      </c>
      <c r="I271" s="24" t="n">
        <v>0</v>
      </c>
      <c r="J271" s="24" t="n">
        <v>0</v>
      </c>
      <c r="K271" s="24" t="n">
        <v>0</v>
      </c>
      <c r="L271" s="24" t="n">
        <v>0</v>
      </c>
      <c r="M271" s="25" t="n">
        <v>0</v>
      </c>
      <c r="N271" s="25" t="n">
        <v>0</v>
      </c>
      <c r="O271" s="25" t="n">
        <v>0</v>
      </c>
      <c r="P271" s="25" t="n">
        <v>0</v>
      </c>
      <c r="Q271" s="36" t="inlineStr">
        <is>
          <t>CUBIERTO</t>
        </is>
      </c>
    </row>
    <row r="272" ht="19" customHeight="1">
      <c r="A272" s="27" t="inlineStr">
        <is>
          <t>C-L0005</t>
        </is>
      </c>
      <c r="B272" s="31" t="inlineStr">
        <is>
          <t>C-L0005</t>
        </is>
      </c>
      <c r="C272" s="29" t="inlineStr">
        <is>
          <t>CODIBOR-L, 5 L</t>
        </is>
      </c>
      <c r="D272" s="30" t="n">
        <v>5</v>
      </c>
      <c r="E272" s="29" t="inlineStr">
        <is>
          <t>Garrafas 5L</t>
        </is>
      </c>
      <c r="F272" s="31" t="inlineStr">
        <is>
          <t>ESPAÑA</t>
        </is>
      </c>
      <c r="G272" s="31" t="inlineStr">
        <is>
          <t>Para Previsión (Nac)</t>
        </is>
      </c>
      <c r="H272" s="33" t="n">
        <v>695.0341</v>
      </c>
      <c r="I272" s="33" t="n">
        <v>300</v>
      </c>
      <c r="J272" s="33" t="n">
        <v>185.41</v>
      </c>
      <c r="K272" s="33" t="n">
        <v>209.6241</v>
      </c>
      <c r="L272" s="33" t="n">
        <v>0</v>
      </c>
      <c r="M272" s="34" t="n">
        <v>695.0341</v>
      </c>
      <c r="N272" s="34" t="n">
        <v>695.03</v>
      </c>
      <c r="O272" s="34" t="n">
        <v>0</v>
      </c>
      <c r="P272" s="34" t="n">
        <v>0</v>
      </c>
      <c r="Q272" s="36" t="inlineStr">
        <is>
          <t>CUBIERTO</t>
        </is>
      </c>
    </row>
    <row r="273" ht="19" customHeight="1">
      <c r="A273" s="18" t="inlineStr">
        <is>
          <t>CBASI0005</t>
        </is>
      </c>
      <c r="B273" s="22" t="inlineStr">
        <is>
          <t>CBASI0005</t>
        </is>
      </c>
      <c r="C273" s="20" t="inlineStr">
        <is>
          <t>BIOCULTURE BASI, 5 KG</t>
        </is>
      </c>
      <c r="D273" s="21" t="n">
        <v>5</v>
      </c>
      <c r="E273" s="20" t="inlineStr">
        <is>
          <t>Bolsas 5 Kg</t>
        </is>
      </c>
      <c r="F273" s="22" t="inlineStr">
        <is>
          <t>ESPAÑA</t>
        </is>
      </c>
      <c r="G273" s="22" t="inlineStr">
        <is>
          <t>Para Previsión (Nac)</t>
        </is>
      </c>
      <c r="H273" s="24" t="n">
        <v>463.52</v>
      </c>
      <c r="I273" s="24" t="n">
        <v>0</v>
      </c>
      <c r="J273" s="24" t="n">
        <v>463.52</v>
      </c>
      <c r="K273" s="24" t="n">
        <v>0</v>
      </c>
      <c r="L273" s="24" t="n">
        <v>0</v>
      </c>
      <c r="M273" s="25" t="n">
        <v>463.52</v>
      </c>
      <c r="N273" s="25" t="n">
        <v>463.52</v>
      </c>
      <c r="O273" s="25" t="n">
        <v>0</v>
      </c>
      <c r="P273" s="25" t="n">
        <v>0</v>
      </c>
      <c r="Q273" s="36" t="inlineStr">
        <is>
          <t>CUBIERTO</t>
        </is>
      </c>
    </row>
    <row r="274" ht="19" customHeight="1">
      <c r="A274" s="27" t="inlineStr">
        <is>
          <t>SS0005</t>
        </is>
      </c>
      <c r="B274" s="31" t="inlineStr">
        <is>
          <t>SS0005</t>
        </is>
      </c>
      <c r="C274" s="29" t="inlineStr">
        <is>
          <t>SALWAX-CA, 5 KG</t>
        </is>
      </c>
      <c r="D274" s="30" t="n">
        <v>5</v>
      </c>
      <c r="E274" s="29" t="inlineStr">
        <is>
          <t>Bolsas 5 Kg</t>
        </is>
      </c>
      <c r="F274" s="31" t="inlineStr">
        <is>
          <t>ESPAÑA</t>
        </is>
      </c>
      <c r="G274" s="31" t="inlineStr">
        <is>
          <t>Para Previsión (Nac)</t>
        </is>
      </c>
      <c r="H274" s="33" t="n">
        <v>786.0904</v>
      </c>
      <c r="I274" s="33" t="n">
        <v>0</v>
      </c>
      <c r="J274" s="33" t="n">
        <v>0</v>
      </c>
      <c r="K274" s="33" t="n">
        <v>786.0904</v>
      </c>
      <c r="L274" s="33" t="n">
        <v>0</v>
      </c>
      <c r="M274" s="34" t="n">
        <v>786.0904</v>
      </c>
      <c r="N274" s="34" t="n">
        <v>786.09</v>
      </c>
      <c r="O274" s="34" t="n">
        <v>0</v>
      </c>
      <c r="P274" s="34" t="n">
        <v>0</v>
      </c>
      <c r="Q274" s="36" t="inlineStr">
        <is>
          <t>CUBIERTO</t>
        </is>
      </c>
    </row>
    <row r="275" ht="19" customHeight="1">
      <c r="A275" s="18" t="inlineStr">
        <is>
          <t>SS0005</t>
        </is>
      </c>
      <c r="B275" s="19" t="inlineStr">
        <is>
          <t>SS0005CR</t>
        </is>
      </c>
      <c r="C275" s="20" t="inlineStr">
        <is>
          <t>SALWAX-CA, 5 KG</t>
        </is>
      </c>
      <c r="D275" s="21" t="n">
        <v>5</v>
      </c>
      <c r="E275" s="20" t="inlineStr">
        <is>
          <t>Bolsas 5 Kg</t>
        </is>
      </c>
      <c r="F275" s="22" t="inlineStr">
        <is>
          <t>COSTA RICA</t>
        </is>
      </c>
      <c r="G275" s="23" t="inlineStr">
        <is>
          <t>Sobre Pedido (Export)</t>
        </is>
      </c>
      <c r="H275" s="24" t="n">
        <v>1274.1632</v>
      </c>
      <c r="I275" s="24" t="n">
        <v>0</v>
      </c>
      <c r="J275" s="24" t="n">
        <v>927</v>
      </c>
      <c r="K275" s="24" t="n">
        <v>0</v>
      </c>
      <c r="L275" s="24" t="n">
        <v>347.1632</v>
      </c>
      <c r="M275" s="25" t="n">
        <v>1274.1632</v>
      </c>
      <c r="N275" s="25" t="n">
        <v>1274.16</v>
      </c>
      <c r="O275" s="25" t="n">
        <v>0</v>
      </c>
      <c r="P275" s="25" t="n">
        <v>0</v>
      </c>
      <c r="Q275" s="36" t="inlineStr">
        <is>
          <t>CUBIERTO</t>
        </is>
      </c>
    </row>
    <row r="276" ht="19" customHeight="1">
      <c r="A276" s="27" t="inlineStr">
        <is>
          <t>B0020</t>
        </is>
      </c>
      <c r="B276" s="31" t="inlineStr">
        <is>
          <t>B0020</t>
        </is>
      </c>
      <c r="C276" s="29" t="inlineStr">
        <is>
          <t>BOROCAL, 20 L</t>
        </is>
      </c>
      <c r="D276" s="30" t="n">
        <v>20</v>
      </c>
      <c r="E276" s="29" t="inlineStr">
        <is>
          <t>Garrafas 20L</t>
        </is>
      </c>
      <c r="F276" s="31" t="inlineStr">
        <is>
          <t>ESPAÑA</t>
        </is>
      </c>
      <c r="G276" s="31" t="inlineStr">
        <is>
          <t>Para Previsión (Nac)</t>
        </is>
      </c>
      <c r="H276" s="33" t="n">
        <v>3792.3213</v>
      </c>
      <c r="I276" s="33" t="n">
        <v>0</v>
      </c>
      <c r="J276" s="33" t="n">
        <v>1779.93</v>
      </c>
      <c r="K276" s="33" t="n">
        <v>2012.3913</v>
      </c>
      <c r="L276" s="33" t="n">
        <v>0</v>
      </c>
      <c r="M276" s="34" t="n">
        <v>3792.3213</v>
      </c>
      <c r="N276" s="34" t="n">
        <v>3792.32</v>
      </c>
      <c r="O276" s="34" t="n">
        <v>0</v>
      </c>
      <c r="P276" s="34" t="n">
        <v>0</v>
      </c>
      <c r="Q276" s="36" t="inlineStr">
        <is>
          <t>CUBIERTO</t>
        </is>
      </c>
    </row>
    <row r="277" ht="19" customHeight="1">
      <c r="A277" s="18" t="inlineStr">
        <is>
          <t>G30005</t>
        </is>
      </c>
      <c r="B277" s="19" t="inlineStr">
        <is>
          <t>G30005CO</t>
        </is>
      </c>
      <c r="C277" s="20" t="inlineStr">
        <is>
          <t>GREEN-UP, 5 L</t>
        </is>
      </c>
      <c r="D277" s="21" t="n">
        <v>5</v>
      </c>
      <c r="E277" s="20" t="inlineStr">
        <is>
          <t>Garrafas 5L</t>
        </is>
      </c>
      <c r="F277" s="22" t="inlineStr">
        <is>
          <t>COLOMBIA</t>
        </is>
      </c>
      <c r="G277" s="23" t="inlineStr">
        <is>
          <t>Sobre Pedido (Export)</t>
        </is>
      </c>
      <c r="H277" s="24" t="n">
        <v>208.2979</v>
      </c>
      <c r="I277" s="24" t="n">
        <v>0</v>
      </c>
      <c r="J277" s="24" t="n">
        <v>0</v>
      </c>
      <c r="K277" s="24" t="n">
        <v>0</v>
      </c>
      <c r="L277" s="24" t="n">
        <v>208.2979</v>
      </c>
      <c r="M277" s="25" t="n">
        <v>208.2979</v>
      </c>
      <c r="N277" s="25" t="n">
        <v>208.3</v>
      </c>
      <c r="O277" s="25" t="n">
        <v>0</v>
      </c>
      <c r="P277" s="25" t="n">
        <v>0</v>
      </c>
      <c r="Q277" s="36" t="inlineStr">
        <is>
          <t>CUBIERTO</t>
        </is>
      </c>
    </row>
    <row r="278" ht="19" customHeight="1">
      <c r="A278" s="27" t="inlineStr">
        <is>
          <t>N0020</t>
        </is>
      </c>
      <c r="B278" s="31" t="inlineStr">
        <is>
          <t>N0020</t>
        </is>
      </c>
      <c r="C278" s="29" t="inlineStr">
        <is>
          <t>NUTRICALE, 20 L</t>
        </is>
      </c>
      <c r="D278" s="30" t="n">
        <v>20</v>
      </c>
      <c r="E278" s="29" t="inlineStr">
        <is>
          <t>Garrafas 20L</t>
        </is>
      </c>
      <c r="F278" s="31" t="inlineStr">
        <is>
          <t>ESPAÑA</t>
        </is>
      </c>
      <c r="G278" s="31" t="inlineStr">
        <is>
          <t>Para Previsión (Nac)</t>
        </is>
      </c>
      <c r="H278" s="33" t="n">
        <v>2528.2142</v>
      </c>
      <c r="I278" s="33" t="n">
        <v>0</v>
      </c>
      <c r="J278" s="33" t="n">
        <v>1186.62</v>
      </c>
      <c r="K278" s="33" t="n">
        <v>1341.5942</v>
      </c>
      <c r="L278" s="33" t="n">
        <v>0</v>
      </c>
      <c r="M278" s="34" t="n">
        <v>2528.2142</v>
      </c>
      <c r="N278" s="34" t="n">
        <v>2528.21</v>
      </c>
      <c r="O278" s="34" t="n">
        <v>0</v>
      </c>
      <c r="P278" s="34" t="n">
        <v>0</v>
      </c>
      <c r="Q278" s="36" t="inlineStr">
        <is>
          <t>CUBIERTO</t>
        </is>
      </c>
    </row>
    <row r="279" ht="19" customHeight="1">
      <c r="A279" s="18" t="inlineStr">
        <is>
          <t>S0200</t>
        </is>
      </c>
      <c r="B279" s="22" t="inlineStr">
        <is>
          <t>S0200</t>
        </is>
      </c>
      <c r="C279" s="20" t="inlineStr">
        <is>
          <t>SAL-WAX STAR, 200 L</t>
        </is>
      </c>
      <c r="D279" s="21" t="n">
        <v>200</v>
      </c>
      <c r="E279" s="20" t="inlineStr">
        <is>
          <t>Depósito 200 L</t>
        </is>
      </c>
      <c r="F279" s="22" t="inlineStr">
        <is>
          <t>ESPAÑA</t>
        </is>
      </c>
      <c r="G279" s="22" t="inlineStr">
        <is>
          <t>Para Previsión (Nac)</t>
        </is>
      </c>
      <c r="H279" s="24" t="n">
        <v>5530.4574</v>
      </c>
      <c r="I279" s="24" t="n">
        <v>0</v>
      </c>
      <c r="J279" s="24" t="n">
        <v>2595.72</v>
      </c>
      <c r="K279" s="24" t="n">
        <v>2934.7374</v>
      </c>
      <c r="L279" s="24" t="n">
        <v>0</v>
      </c>
      <c r="M279" s="25" t="n">
        <v>5530.4574</v>
      </c>
      <c r="N279" s="25" t="n">
        <v>5530.46</v>
      </c>
      <c r="O279" s="25" t="n">
        <v>0</v>
      </c>
      <c r="P279" s="25" t="n">
        <v>0</v>
      </c>
      <c r="Q279" s="36" t="inlineStr">
        <is>
          <t>CUBIERTO</t>
        </is>
      </c>
    </row>
    <row r="280" ht="19" customHeight="1">
      <c r="A280" s="27" t="inlineStr">
        <is>
          <t>CSIL0001</t>
        </is>
      </c>
      <c r="B280" s="31" t="inlineStr">
        <is>
          <t>CSIL0001</t>
        </is>
      </c>
      <c r="C280" s="29" t="inlineStr">
        <is>
          <t>FITOKONTROL-K, 1 L</t>
        </is>
      </c>
      <c r="D280" s="30" t="n">
        <v>1</v>
      </c>
      <c r="E280" s="29" t="inlineStr">
        <is>
          <t>Botellas 1L</t>
        </is>
      </c>
      <c r="F280" s="31" t="inlineStr">
        <is>
          <t>ESPAÑA</t>
        </is>
      </c>
      <c r="G280" s="31" t="inlineStr">
        <is>
          <t>Para Previsión (Nac)</t>
        </is>
      </c>
      <c r="H280" s="33" t="n">
        <v>0</v>
      </c>
      <c r="I280" s="33" t="n">
        <v>0</v>
      </c>
      <c r="J280" s="33" t="n">
        <v>0</v>
      </c>
      <c r="K280" s="33" t="n">
        <v>0</v>
      </c>
      <c r="L280" s="33" t="n">
        <v>0</v>
      </c>
      <c r="M280" s="34" t="n">
        <v>0</v>
      </c>
      <c r="N280" s="34" t="n">
        <v>0</v>
      </c>
      <c r="O280" s="34" t="n">
        <v>0</v>
      </c>
      <c r="P280" s="34" t="n">
        <v>0</v>
      </c>
      <c r="Q280" s="36" t="inlineStr">
        <is>
          <t>CUBIERTO</t>
        </is>
      </c>
    </row>
    <row r="281" ht="19" customHeight="1">
      <c r="A281" s="18" t="inlineStr">
        <is>
          <t>CSIL0005</t>
        </is>
      </c>
      <c r="B281" s="22" t="inlineStr">
        <is>
          <t>CSIL0005</t>
        </is>
      </c>
      <c r="C281" s="20" t="inlineStr">
        <is>
          <t>FITOKONTROL-K, 5 L</t>
        </is>
      </c>
      <c r="D281" s="21" t="n">
        <v>5</v>
      </c>
      <c r="E281" s="20" t="inlineStr">
        <is>
          <t>Garrafas 5L</t>
        </is>
      </c>
      <c r="F281" s="22" t="inlineStr">
        <is>
          <t>ESPAÑA</t>
        </is>
      </c>
      <c r="G281" s="22" t="inlineStr">
        <is>
          <t>Para Previsión (Nac)</t>
        </is>
      </c>
      <c r="H281" s="24" t="n">
        <v>0</v>
      </c>
      <c r="I281" s="24" t="n">
        <v>0</v>
      </c>
      <c r="J281" s="24" t="n">
        <v>0</v>
      </c>
      <c r="K281" s="24" t="n">
        <v>0</v>
      </c>
      <c r="L281" s="24" t="n">
        <v>0</v>
      </c>
      <c r="M281" s="25" t="n">
        <v>0</v>
      </c>
      <c r="N281" s="25" t="n">
        <v>0</v>
      </c>
      <c r="O281" s="25" t="n">
        <v>0</v>
      </c>
      <c r="P281" s="25" t="n">
        <v>0</v>
      </c>
      <c r="Q281" s="36" t="inlineStr">
        <is>
          <t>CUBIERTO</t>
        </is>
      </c>
    </row>
    <row r="282" ht="19" customHeight="1">
      <c r="A282" s="27" t="inlineStr">
        <is>
          <t>JF0005</t>
        </is>
      </c>
      <c r="B282" s="31" t="inlineStr">
        <is>
          <t>JF0005</t>
        </is>
      </c>
      <c r="C282" s="29" t="inlineStr">
        <is>
          <t>CODIGIN-FOS, 5 L</t>
        </is>
      </c>
      <c r="D282" s="30" t="n">
        <v>5</v>
      </c>
      <c r="E282" s="29" t="inlineStr">
        <is>
          <t>Garrafas 5L</t>
        </is>
      </c>
      <c r="F282" s="31" t="inlineStr">
        <is>
          <t>ESPAÑA</t>
        </is>
      </c>
      <c r="G282" s="31" t="inlineStr">
        <is>
          <t>Para Previsión (Nac)</t>
        </is>
      </c>
      <c r="H282" s="33" t="n">
        <v>87.88</v>
      </c>
      <c r="I282" s="33" t="n">
        <v>0</v>
      </c>
      <c r="J282" s="33" t="n">
        <v>87.88</v>
      </c>
      <c r="K282" s="33" t="n">
        <v>0</v>
      </c>
      <c r="L282" s="33" t="n">
        <v>0</v>
      </c>
      <c r="M282" s="34" t="n">
        <v>87.88</v>
      </c>
      <c r="N282" s="34" t="n">
        <v>87.88</v>
      </c>
      <c r="O282" s="34" t="n">
        <v>0</v>
      </c>
      <c r="P282" s="34" t="n">
        <v>0</v>
      </c>
      <c r="Q282" s="36" t="inlineStr">
        <is>
          <t>CUBIERTO</t>
        </is>
      </c>
    </row>
    <row r="283" ht="19" customHeight="1">
      <c r="A283" s="18" t="inlineStr">
        <is>
          <t>PT0001</t>
        </is>
      </c>
      <c r="B283" s="19" t="inlineStr">
        <is>
          <t>PT0001RO</t>
        </is>
      </c>
      <c r="C283" s="20" t="inlineStr">
        <is>
          <t>AGROPOTASION, 1 L</t>
        </is>
      </c>
      <c r="D283" s="21" t="n">
        <v>1</v>
      </c>
      <c r="E283" s="20" t="inlineStr">
        <is>
          <t>Botellas 1L</t>
        </is>
      </c>
      <c r="F283" s="22" t="inlineStr">
        <is>
          <t>RUMANÍA</t>
        </is>
      </c>
      <c r="G283" s="23" t="inlineStr">
        <is>
          <t>Sobre Pedido (Export)</t>
        </is>
      </c>
      <c r="H283" s="24" t="n">
        <v>628.8723</v>
      </c>
      <c r="I283" s="24" t="n">
        <v>0</v>
      </c>
      <c r="J283" s="24" t="n">
        <v>0</v>
      </c>
      <c r="K283" s="24" t="n">
        <v>628.8723</v>
      </c>
      <c r="L283" s="24" t="n">
        <v>0</v>
      </c>
      <c r="M283" s="25" t="n">
        <v>628.8723</v>
      </c>
      <c r="N283" s="25" t="n">
        <v>628.87</v>
      </c>
      <c r="O283" s="25" t="n">
        <v>0</v>
      </c>
      <c r="P283" s="25" t="n">
        <v>0</v>
      </c>
      <c r="Q283" s="36" t="inlineStr">
        <is>
          <t>CUBIERTO</t>
        </is>
      </c>
    </row>
    <row r="284" ht="19" customHeight="1">
      <c r="A284" s="27" t="inlineStr">
        <is>
          <t>FLOR0020</t>
        </is>
      </c>
      <c r="B284" s="31" t="inlineStr">
        <is>
          <t>FLOR0020</t>
        </is>
      </c>
      <c r="C284" s="29" t="inlineStr">
        <is>
          <t>FLORAMEC, 20 L</t>
        </is>
      </c>
      <c r="D284" s="30" t="n">
        <v>20</v>
      </c>
      <c r="E284" s="29" t="inlineStr">
        <is>
          <t>Garrafas 20L</t>
        </is>
      </c>
      <c r="F284" s="31" t="inlineStr">
        <is>
          <t>ESPAÑA</t>
        </is>
      </c>
      <c r="G284" s="31" t="inlineStr">
        <is>
          <t>Para Previsión (Nac)</t>
        </is>
      </c>
      <c r="H284" s="33" t="n">
        <v>0</v>
      </c>
      <c r="I284" s="33" t="n">
        <v>0</v>
      </c>
      <c r="J284" s="33" t="n">
        <v>0</v>
      </c>
      <c r="K284" s="33" t="n">
        <v>0</v>
      </c>
      <c r="L284" s="33" t="n">
        <v>0</v>
      </c>
      <c r="M284" s="34" t="n">
        <v>0</v>
      </c>
      <c r="N284" s="34" t="n">
        <v>0</v>
      </c>
      <c r="O284" s="34" t="n">
        <v>0</v>
      </c>
      <c r="P284" s="34" t="n">
        <v>0</v>
      </c>
      <c r="Q284" s="36" t="inlineStr">
        <is>
          <t>CUBIERTO</t>
        </is>
      </c>
    </row>
    <row r="285" ht="19" customHeight="1">
      <c r="A285" s="18" t="inlineStr">
        <is>
          <t>AQUOMAR0005</t>
        </is>
      </c>
      <c r="B285" s="19" t="inlineStr">
        <is>
          <t>AQUOMAR0005SA</t>
        </is>
      </c>
      <c r="C285" s="20" t="inlineStr">
        <is>
          <t>AQUOM ARABIA, 5 L</t>
        </is>
      </c>
      <c r="D285" s="21" t="n">
        <v>5</v>
      </c>
      <c r="E285" s="20" t="inlineStr">
        <is>
          <t>Garrafas 5L</t>
        </is>
      </c>
      <c r="F285" s="22" t="inlineStr">
        <is>
          <t>ARABIA SAUDÍ</t>
        </is>
      </c>
      <c r="G285" s="23" t="inlineStr">
        <is>
          <t>Sobre Pedido (Export)</t>
        </is>
      </c>
      <c r="H285" s="24" t="n">
        <v>0</v>
      </c>
      <c r="I285" s="24" t="n">
        <v>0</v>
      </c>
      <c r="J285" s="24" t="n">
        <v>0</v>
      </c>
      <c r="K285" s="24" t="n">
        <v>0</v>
      </c>
      <c r="L285" s="24" t="n">
        <v>0</v>
      </c>
      <c r="M285" s="25" t="n">
        <v>0</v>
      </c>
      <c r="N285" s="25" t="n">
        <v>0</v>
      </c>
      <c r="O285" s="25" t="n">
        <v>0</v>
      </c>
      <c r="P285" s="25" t="n">
        <v>0</v>
      </c>
      <c r="Q285" s="36" t="inlineStr">
        <is>
          <t>CUBIERTO</t>
        </is>
      </c>
    </row>
    <row r="286" ht="19" customHeight="1">
      <c r="A286" s="27" t="inlineStr">
        <is>
          <t>AGZ-M0005</t>
        </is>
      </c>
      <c r="B286" s="31" t="inlineStr">
        <is>
          <t>AGZ-M0005</t>
        </is>
      </c>
      <c r="C286" s="29" t="inlineStr">
        <is>
          <t>AGROXILATO-ZN-MN, 5 KG</t>
        </is>
      </c>
      <c r="D286" s="30" t="n">
        <v>5</v>
      </c>
      <c r="E286" s="29" t="inlineStr">
        <is>
          <t>Bolsas 5 Kg</t>
        </is>
      </c>
      <c r="F286" s="31" t="inlineStr">
        <is>
          <t>ESPAÑA</t>
        </is>
      </c>
      <c r="G286" s="31" t="inlineStr">
        <is>
          <t>Para Previsión (Nac)</t>
        </is>
      </c>
      <c r="H286" s="33" t="n">
        <v>173.5816</v>
      </c>
      <c r="I286" s="33" t="n">
        <v>0</v>
      </c>
      <c r="J286" s="33" t="n">
        <v>0</v>
      </c>
      <c r="K286" s="33" t="n">
        <v>0</v>
      </c>
      <c r="L286" s="33" t="n">
        <v>173.5816</v>
      </c>
      <c r="M286" s="34" t="n">
        <v>173.5816</v>
      </c>
      <c r="N286" s="34" t="n">
        <v>173.58</v>
      </c>
      <c r="O286" s="34" t="n">
        <v>0</v>
      </c>
      <c r="P286" s="34" t="n">
        <v>0</v>
      </c>
      <c r="Q286" s="36" t="inlineStr">
        <is>
          <t>CUBIERTO</t>
        </is>
      </c>
    </row>
    <row r="287" ht="19" customHeight="1">
      <c r="A287" s="18" t="inlineStr">
        <is>
          <t>ANAE0020</t>
        </is>
      </c>
      <c r="B287" s="22" t="inlineStr">
        <is>
          <t>ANAE0020</t>
        </is>
      </c>
      <c r="C287" s="20" t="inlineStr">
        <is>
          <t>ALCAPLANT NEW AE, 20 KG</t>
        </is>
      </c>
      <c r="D287" s="21" t="n">
        <v>20</v>
      </c>
      <c r="E287" s="20" t="inlineStr">
        <is>
          <t>Bolsas 20 Kg</t>
        </is>
      </c>
      <c r="F287" s="22" t="inlineStr">
        <is>
          <t>ESPAÑA</t>
        </is>
      </c>
      <c r="G287" s="22" t="inlineStr">
        <is>
          <t>Para Previsión (Nac)</t>
        </is>
      </c>
      <c r="H287" s="24" t="n">
        <v>7484.7675</v>
      </c>
      <c r="I287" s="24" t="n">
        <v>0</v>
      </c>
      <c r="J287" s="24" t="n">
        <v>4025.97</v>
      </c>
      <c r="K287" s="24" t="n">
        <v>3458.7975</v>
      </c>
      <c r="L287" s="24" t="n">
        <v>0</v>
      </c>
      <c r="M287" s="25" t="n">
        <v>7484.7675</v>
      </c>
      <c r="N287" s="25" t="n">
        <v>7484.77</v>
      </c>
      <c r="O287" s="25" t="n">
        <v>0</v>
      </c>
      <c r="P287" s="25" t="n">
        <v>0</v>
      </c>
      <c r="Q287" s="36" t="inlineStr">
        <is>
          <t>CUBIERTO</t>
        </is>
      </c>
    </row>
    <row r="288" ht="19" customHeight="1">
      <c r="A288" s="27" t="inlineStr">
        <is>
          <t>C-MB0020</t>
        </is>
      </c>
      <c r="B288" s="31" t="inlineStr">
        <is>
          <t>C-MB0020</t>
        </is>
      </c>
      <c r="C288" s="29" t="inlineStr">
        <is>
          <t>CODIFOL-MB, 20 L</t>
        </is>
      </c>
      <c r="D288" s="30" t="n">
        <v>20</v>
      </c>
      <c r="E288" s="29" t="inlineStr">
        <is>
          <t>Garrafas 20L</t>
        </is>
      </c>
      <c r="F288" s="31" t="inlineStr">
        <is>
          <t>ESPAÑA</t>
        </is>
      </c>
      <c r="G288" s="31" t="inlineStr">
        <is>
          <t>Para Previsión (Nac)</t>
        </is>
      </c>
      <c r="H288" s="33" t="n">
        <v>0</v>
      </c>
      <c r="I288" s="33" t="n">
        <v>0</v>
      </c>
      <c r="J288" s="33" t="n">
        <v>0</v>
      </c>
      <c r="K288" s="33" t="n">
        <v>0</v>
      </c>
      <c r="L288" s="33" t="n">
        <v>0</v>
      </c>
      <c r="M288" s="34" t="n">
        <v>0</v>
      </c>
      <c r="N288" s="34" t="n">
        <v>0</v>
      </c>
      <c r="O288" s="34" t="n">
        <v>0</v>
      </c>
      <c r="P288" s="34" t="n">
        <v>0</v>
      </c>
      <c r="Q288" s="36" t="inlineStr">
        <is>
          <t>CUBIERTO</t>
        </is>
      </c>
    </row>
    <row r="289" ht="19" customHeight="1">
      <c r="A289" s="18" t="inlineStr">
        <is>
          <t>P-5X0005</t>
        </is>
      </c>
      <c r="B289" s="22" t="inlineStr">
        <is>
          <t>P-5X0005</t>
        </is>
      </c>
      <c r="C289" s="20" t="inlineStr">
        <is>
          <t>P.M.S. 5x, 5 L</t>
        </is>
      </c>
      <c r="D289" s="21" t="n">
        <v>5</v>
      </c>
      <c r="E289" s="20" t="inlineStr">
        <is>
          <t>Garrafas 5L</t>
        </is>
      </c>
      <c r="F289" s="22" t="inlineStr">
        <is>
          <t>ESPAÑA</t>
        </is>
      </c>
      <c r="G289" s="22" t="inlineStr">
        <is>
          <t>Para Previsión (Nac)</t>
        </is>
      </c>
      <c r="H289" s="24" t="n">
        <v>86.7908</v>
      </c>
      <c r="I289" s="24" t="n">
        <v>0</v>
      </c>
      <c r="J289" s="24" t="n">
        <v>0</v>
      </c>
      <c r="K289" s="24" t="n">
        <v>0</v>
      </c>
      <c r="L289" s="24" t="n">
        <v>86.7908</v>
      </c>
      <c r="M289" s="25" t="n">
        <v>86.7908</v>
      </c>
      <c r="N289" s="25" t="n">
        <v>86.79000000000001</v>
      </c>
      <c r="O289" s="25" t="n">
        <v>0</v>
      </c>
      <c r="P289" s="25" t="n">
        <v>0</v>
      </c>
      <c r="Q289" s="36" t="inlineStr">
        <is>
          <t>CUBIERTO</t>
        </is>
      </c>
    </row>
    <row r="290" ht="19" customHeight="1">
      <c r="A290" s="27" t="inlineStr">
        <is>
          <t>P-5X0020</t>
        </is>
      </c>
      <c r="B290" s="31" t="inlineStr">
        <is>
          <t>P-5X0020</t>
        </is>
      </c>
      <c r="C290" s="29" t="inlineStr">
        <is>
          <t>P.M.S. 5x, 20 L</t>
        </is>
      </c>
      <c r="D290" s="30" t="n">
        <v>20</v>
      </c>
      <c r="E290" s="29" t="inlineStr">
        <is>
          <t>Garrafas 20L</t>
        </is>
      </c>
      <c r="F290" s="31" t="inlineStr">
        <is>
          <t>ESPAÑA</t>
        </is>
      </c>
      <c r="G290" s="31" t="inlineStr">
        <is>
          <t>Para Previsión (Nac)</t>
        </is>
      </c>
      <c r="H290" s="33" t="n">
        <v>0</v>
      </c>
      <c r="I290" s="33" t="n">
        <v>0</v>
      </c>
      <c r="J290" s="33" t="n">
        <v>0</v>
      </c>
      <c r="K290" s="33" t="n">
        <v>0</v>
      </c>
      <c r="L290" s="33" t="n">
        <v>0</v>
      </c>
      <c r="M290" s="34" t="n">
        <v>0</v>
      </c>
      <c r="N290" s="34" t="n">
        <v>0</v>
      </c>
      <c r="O290" s="34" t="n">
        <v>0</v>
      </c>
      <c r="P290" s="34" t="n">
        <v>0</v>
      </c>
      <c r="Q290" s="36" t="inlineStr">
        <is>
          <t>CUBIERTO</t>
        </is>
      </c>
    </row>
    <row r="291" ht="19" customHeight="1">
      <c r="A291" s="18" t="inlineStr">
        <is>
          <t>AGXKAE0020</t>
        </is>
      </c>
      <c r="B291" s="22" t="inlineStr">
        <is>
          <t>AGXKAE0020</t>
        </is>
      </c>
      <c r="C291" s="20" t="inlineStr">
        <is>
          <t>BIOCULTURE POTASIO, 20 L</t>
        </is>
      </c>
      <c r="D291" s="21" t="n">
        <v>20</v>
      </c>
      <c r="E291" s="20" t="inlineStr">
        <is>
          <t>Garrafas 20L</t>
        </is>
      </c>
      <c r="F291" s="22" t="inlineStr">
        <is>
          <t>ESPAÑA</t>
        </is>
      </c>
      <c r="G291" s="22" t="inlineStr">
        <is>
          <t>Para Previsión (Nac)</t>
        </is>
      </c>
      <c r="H291" s="24" t="n">
        <v>555.4612</v>
      </c>
      <c r="I291" s="24" t="n">
        <v>0</v>
      </c>
      <c r="J291" s="24" t="n">
        <v>0</v>
      </c>
      <c r="K291" s="24" t="n">
        <v>0</v>
      </c>
      <c r="L291" s="24" t="n">
        <v>555.4612</v>
      </c>
      <c r="M291" s="25" t="n">
        <v>555.4612</v>
      </c>
      <c r="N291" s="25" t="n">
        <v>555.46</v>
      </c>
      <c r="O291" s="25" t="n">
        <v>0</v>
      </c>
      <c r="P291" s="25" t="n">
        <v>0</v>
      </c>
      <c r="Q291" s="36" t="inlineStr">
        <is>
          <t>CUBIERTO</t>
        </is>
      </c>
    </row>
    <row r="292" ht="19" customHeight="1">
      <c r="A292" s="27" t="inlineStr">
        <is>
          <t>SSAE0005</t>
        </is>
      </c>
      <c r="B292" s="31" t="inlineStr">
        <is>
          <t>SSAE0005</t>
        </is>
      </c>
      <c r="C292" s="29" t="inlineStr">
        <is>
          <t>MAGNIFIC-VIETS-AE, 5 KG</t>
        </is>
      </c>
      <c r="D292" s="30" t="n">
        <v>5</v>
      </c>
      <c r="E292" s="29" t="inlineStr">
        <is>
          <t>Bolsas 5 Kg</t>
        </is>
      </c>
      <c r="F292" s="31" t="inlineStr">
        <is>
          <t>ESPAÑA</t>
        </is>
      </c>
      <c r="G292" s="31" t="inlineStr">
        <is>
          <t>Para Previsión (Nac)</t>
        </is>
      </c>
      <c r="H292" s="33" t="n">
        <v>175.77</v>
      </c>
      <c r="I292" s="33" t="n">
        <v>0</v>
      </c>
      <c r="J292" s="33" t="n">
        <v>175.77</v>
      </c>
      <c r="K292" s="33" t="n">
        <v>0</v>
      </c>
      <c r="L292" s="33" t="n">
        <v>0</v>
      </c>
      <c r="M292" s="34" t="n">
        <v>175.77</v>
      </c>
      <c r="N292" s="34" t="n">
        <v>175.77</v>
      </c>
      <c r="O292" s="34" t="n">
        <v>0</v>
      </c>
      <c r="P292" s="34" t="n">
        <v>0</v>
      </c>
      <c r="Q292" s="36" t="inlineStr">
        <is>
          <t>CUBIERTO</t>
        </is>
      </c>
    </row>
    <row r="293" ht="19" customHeight="1">
      <c r="A293" s="18" t="inlineStr">
        <is>
          <t>C-M-P0005</t>
        </is>
      </c>
      <c r="B293" s="19" t="inlineStr">
        <is>
          <t>C-M-P0005MA</t>
        </is>
      </c>
      <c r="C293" s="20" t="inlineStr">
        <is>
          <t>CODIFOL-MO-PLUS, 5 L</t>
        </is>
      </c>
      <c r="D293" s="21" t="n">
        <v>5</v>
      </c>
      <c r="E293" s="20" t="inlineStr">
        <is>
          <t>Garrafas 5L</t>
        </is>
      </c>
      <c r="F293" s="22" t="inlineStr">
        <is>
          <t>MARRUECOS</t>
        </is>
      </c>
      <c r="G293" s="23" t="inlineStr">
        <is>
          <t>Sobre Pedido (Export)</t>
        </is>
      </c>
      <c r="H293" s="24" t="n">
        <v>0</v>
      </c>
      <c r="I293" s="24" t="n">
        <v>0</v>
      </c>
      <c r="J293" s="24" t="n">
        <v>0</v>
      </c>
      <c r="K293" s="24" t="n">
        <v>0</v>
      </c>
      <c r="L293" s="24" t="n">
        <v>0</v>
      </c>
      <c r="M293" s="25" t="n">
        <v>0</v>
      </c>
      <c r="N293" s="25" t="n">
        <v>0</v>
      </c>
      <c r="O293" s="25" t="n">
        <v>0</v>
      </c>
      <c r="P293" s="25" t="n">
        <v>0</v>
      </c>
      <c r="Q293" s="36" t="inlineStr">
        <is>
          <t>CUBIERTO</t>
        </is>
      </c>
    </row>
    <row r="294" ht="19" customHeight="1">
      <c r="A294" s="27" t="inlineStr">
        <is>
          <t>SPCE2B0020</t>
        </is>
      </c>
      <c r="B294" s="31" t="inlineStr">
        <is>
          <t>SPCE2B0020</t>
        </is>
      </c>
      <c r="C294" s="29" t="inlineStr">
        <is>
          <t>SPRINTENE CON BORO</t>
        </is>
      </c>
      <c r="D294" s="30" t="n">
        <v>20</v>
      </c>
      <c r="E294" s="29" t="inlineStr">
        <is>
          <t>Garrafas 20L</t>
        </is>
      </c>
      <c r="F294" s="31" t="inlineStr">
        <is>
          <t>ESPAÑA</t>
        </is>
      </c>
      <c r="G294" s="31" t="inlineStr">
        <is>
          <t>Para Previsión (Nac)</t>
        </is>
      </c>
      <c r="H294" s="33" t="n">
        <v>1186.62</v>
      </c>
      <c r="I294" s="33" t="n">
        <v>0</v>
      </c>
      <c r="J294" s="33" t="n">
        <v>1186.62</v>
      </c>
      <c r="K294" s="33" t="n">
        <v>0</v>
      </c>
      <c r="L294" s="33" t="n">
        <v>0</v>
      </c>
      <c r="M294" s="34" t="n">
        <v>1186.62</v>
      </c>
      <c r="N294" s="34" t="n">
        <v>1186.62</v>
      </c>
      <c r="O294" s="34" t="n">
        <v>0</v>
      </c>
      <c r="P294" s="34" t="n">
        <v>0</v>
      </c>
      <c r="Q294" s="36" t="inlineStr">
        <is>
          <t>CUBIERTO</t>
        </is>
      </c>
    </row>
    <row r="295" ht="19" customHeight="1">
      <c r="A295" s="18" t="inlineStr">
        <is>
          <t>AO0005</t>
        </is>
      </c>
      <c r="B295" s="19" t="inlineStr">
        <is>
          <t>AO0005RO</t>
        </is>
      </c>
      <c r="C295" s="20" t="inlineStr">
        <is>
          <t>ALCAPLANT OMRI, 5 KG</t>
        </is>
      </c>
      <c r="D295" s="21" t="n">
        <v>5</v>
      </c>
      <c r="E295" s="20" t="inlineStr">
        <is>
          <t>Bolsas 5 Kg</t>
        </is>
      </c>
      <c r="F295" s="22" t="inlineStr">
        <is>
          <t>RUMANÍA</t>
        </is>
      </c>
      <c r="G295" s="23" t="inlineStr">
        <is>
          <t>Sobre Pedido (Export)</t>
        </is>
      </c>
      <c r="H295" s="24" t="n">
        <v>0</v>
      </c>
      <c r="I295" s="24" t="n">
        <v>0</v>
      </c>
      <c r="J295" s="24" t="n">
        <v>0</v>
      </c>
      <c r="K295" s="24" t="n">
        <v>0</v>
      </c>
      <c r="L295" s="24" t="n">
        <v>0</v>
      </c>
      <c r="M295" s="25" t="n">
        <v>0</v>
      </c>
      <c r="N295" s="25" t="n">
        <v>0</v>
      </c>
      <c r="O295" s="25" t="n">
        <v>0</v>
      </c>
      <c r="P295" s="25" t="n">
        <v>0</v>
      </c>
      <c r="Q295" s="36" t="inlineStr">
        <is>
          <t>CUBIERTO</t>
        </is>
      </c>
    </row>
    <row r="296" ht="19" customHeight="1">
      <c r="A296" s="27" t="inlineStr">
        <is>
          <t>CALCIO0020</t>
        </is>
      </c>
      <c r="B296" s="31" t="inlineStr">
        <is>
          <t>CALCIO0020</t>
        </is>
      </c>
      <c r="C296" s="29" t="inlineStr">
        <is>
          <t>CALCIAMEC</t>
        </is>
      </c>
      <c r="D296" s="30" t="n">
        <v>20</v>
      </c>
      <c r="E296" s="29" t="inlineStr">
        <is>
          <t>Bolsas 20 Kg</t>
        </is>
      </c>
      <c r="F296" s="31" t="inlineStr">
        <is>
          <t>ESPAÑA</t>
        </is>
      </c>
      <c r="G296" s="31" t="inlineStr">
        <is>
          <t>Para Previsión (Nac)</t>
        </is>
      </c>
      <c r="H296" s="33" t="n">
        <v>1048.1205</v>
      </c>
      <c r="I296" s="33" t="n">
        <v>0</v>
      </c>
      <c r="J296" s="33" t="n">
        <v>0</v>
      </c>
      <c r="K296" s="33" t="n">
        <v>1048.1205</v>
      </c>
      <c r="L296" s="33" t="n">
        <v>0</v>
      </c>
      <c r="M296" s="34" t="n">
        <v>1048.1205</v>
      </c>
      <c r="N296" s="34" t="n">
        <v>1048.12</v>
      </c>
      <c r="O296" s="34" t="n">
        <v>0</v>
      </c>
      <c r="P296" s="34" t="n">
        <v>0</v>
      </c>
      <c r="Q296" s="36" t="inlineStr">
        <is>
          <t>CUBIERTO</t>
        </is>
      </c>
    </row>
    <row r="297" ht="19" customHeight="1">
      <c r="A297" s="18" t="inlineStr">
        <is>
          <t>FLOR0001</t>
        </is>
      </c>
      <c r="B297" s="19" t="inlineStr">
        <is>
          <t>FLOR0001RO</t>
        </is>
      </c>
      <c r="C297" s="20" t="inlineStr">
        <is>
          <t>FLORAMEC</t>
        </is>
      </c>
      <c r="D297" s="21" t="n">
        <v>1</v>
      </c>
      <c r="E297" s="20" t="inlineStr">
        <is>
          <t>Botellas 1L</t>
        </is>
      </c>
      <c r="F297" s="22" t="inlineStr">
        <is>
          <t>RUMANÍA</t>
        </is>
      </c>
      <c r="G297" s="23" t="inlineStr">
        <is>
          <t>Sobre Pedido (Export)</t>
        </is>
      </c>
      <c r="H297" s="24" t="n">
        <v>314.4361</v>
      </c>
      <c r="I297" s="24" t="n">
        <v>0</v>
      </c>
      <c r="J297" s="24" t="n">
        <v>0</v>
      </c>
      <c r="K297" s="24" t="n">
        <v>314.4361</v>
      </c>
      <c r="L297" s="24" t="n">
        <v>0</v>
      </c>
      <c r="M297" s="25" t="n">
        <v>314.4361</v>
      </c>
      <c r="N297" s="25" t="n">
        <v>314.44</v>
      </c>
      <c r="O297" s="25" t="n">
        <v>0</v>
      </c>
      <c r="P297" s="25" t="n">
        <v>0</v>
      </c>
      <c r="Q297" s="36" t="inlineStr">
        <is>
          <t>CUBIERTO</t>
        </is>
      </c>
    </row>
    <row r="298" ht="19" customHeight="1">
      <c r="A298" s="27" t="inlineStr">
        <is>
          <t>PHD0001</t>
        </is>
      </c>
      <c r="B298" s="28" t="inlineStr">
        <is>
          <t>PHD0001RO</t>
        </is>
      </c>
      <c r="C298" s="29" t="inlineStr">
        <is>
          <t>PH-DOWNER</t>
        </is>
      </c>
      <c r="D298" s="30" t="n">
        <v>1</v>
      </c>
      <c r="E298" s="29" t="inlineStr">
        <is>
          <t>Botellas 1L</t>
        </is>
      </c>
      <c r="F298" s="31" t="inlineStr">
        <is>
          <t>RUMANÍA</t>
        </is>
      </c>
      <c r="G298" s="32" t="inlineStr">
        <is>
          <t>Sobre Pedido (Export)</t>
        </is>
      </c>
      <c r="H298" s="33" t="n">
        <v>0</v>
      </c>
      <c r="I298" s="33" t="n">
        <v>0</v>
      </c>
      <c r="J298" s="33" t="n">
        <v>0</v>
      </c>
      <c r="K298" s="33" t="n">
        <v>0</v>
      </c>
      <c r="L298" s="33" t="n">
        <v>0</v>
      </c>
      <c r="M298" s="34" t="n">
        <v>0</v>
      </c>
      <c r="N298" s="34" t="n">
        <v>0</v>
      </c>
      <c r="O298" s="34" t="n">
        <v>0</v>
      </c>
      <c r="P298" s="34" t="n">
        <v>0</v>
      </c>
      <c r="Q298" s="36" t="inlineStr">
        <is>
          <t>CUBIERTO</t>
        </is>
      </c>
    </row>
    <row r="299" ht="19" customHeight="1">
      <c r="A299" s="18" t="inlineStr">
        <is>
          <t>C-MB0001</t>
        </is>
      </c>
      <c r="B299" s="22" t="inlineStr">
        <is>
          <t>C-MB0001</t>
        </is>
      </c>
      <c r="C299" s="20" t="inlineStr">
        <is>
          <t>CODIFOL-MB, 1 L</t>
        </is>
      </c>
      <c r="D299" s="21" t="n">
        <v>1</v>
      </c>
      <c r="E299" s="20" t="inlineStr">
        <is>
          <t>Botellas 1L</t>
        </is>
      </c>
      <c r="F299" s="22" t="inlineStr">
        <is>
          <t>ESPAÑA</t>
        </is>
      </c>
      <c r="G299" s="22" t="inlineStr">
        <is>
          <t>Para Previsión (Nac)</t>
        </is>
      </c>
      <c r="H299" s="24" t="n">
        <v>0</v>
      </c>
      <c r="I299" s="24" t="n">
        <v>0</v>
      </c>
      <c r="J299" s="24" t="n">
        <v>0</v>
      </c>
      <c r="K299" s="24" t="n">
        <v>0</v>
      </c>
      <c r="L299" s="24" t="n">
        <v>0</v>
      </c>
      <c r="M299" s="25" t="n">
        <v>0</v>
      </c>
      <c r="N299" s="25" t="n">
        <v>0</v>
      </c>
      <c r="O299" s="25" t="n">
        <v>0</v>
      </c>
      <c r="P299" s="25" t="n">
        <v>0</v>
      </c>
      <c r="Q299" s="36" t="inlineStr">
        <is>
          <t>CUBIERTO</t>
        </is>
      </c>
    </row>
    <row r="300" ht="19" customHeight="1">
      <c r="A300" s="27" t="inlineStr">
        <is>
          <t>HST0001</t>
        </is>
      </c>
      <c r="B300" s="31" t="inlineStr">
        <is>
          <t>HST0001</t>
        </is>
      </c>
      <c r="C300" s="29" t="inlineStr">
        <is>
          <t>HIDROSTRESS, 1 L</t>
        </is>
      </c>
      <c r="D300" s="30" t="n">
        <v>1</v>
      </c>
      <c r="E300" s="29" t="inlineStr">
        <is>
          <t>Botellas 1L</t>
        </is>
      </c>
      <c r="F300" s="31" t="inlineStr">
        <is>
          <t>ESPAÑA</t>
        </is>
      </c>
      <c r="G300" s="31" t="inlineStr">
        <is>
          <t>Para Previsión (Nac)</t>
        </is>
      </c>
      <c r="H300" s="33" t="n">
        <v>0</v>
      </c>
      <c r="I300" s="33" t="n">
        <v>0</v>
      </c>
      <c r="J300" s="33" t="n">
        <v>0</v>
      </c>
      <c r="K300" s="33" t="n">
        <v>0</v>
      </c>
      <c r="L300" s="33" t="n">
        <v>0</v>
      </c>
      <c r="M300" s="34" t="n">
        <v>0</v>
      </c>
      <c r="N300" s="34" t="n">
        <v>0</v>
      </c>
      <c r="O300" s="34" t="n">
        <v>0</v>
      </c>
      <c r="P300" s="34" t="n">
        <v>0</v>
      </c>
      <c r="Q300" s="36" t="inlineStr">
        <is>
          <t>CUBIERTO</t>
        </is>
      </c>
    </row>
    <row r="301" ht="19" customHeight="1">
      <c r="A301" s="18" t="inlineStr">
        <is>
          <t>AGN0020</t>
        </is>
      </c>
      <c r="B301" s="22" t="inlineStr">
        <is>
          <t>AGN0020</t>
        </is>
      </c>
      <c r="C301" s="20" t="inlineStr">
        <is>
          <t>AGROXILATO N, 20 L</t>
        </is>
      </c>
      <c r="D301" s="21" t="n">
        <v>20</v>
      </c>
      <c r="E301" s="20" t="inlineStr">
        <is>
          <t>Garrafas 20L</t>
        </is>
      </c>
      <c r="F301" s="22" t="inlineStr">
        <is>
          <t>ESPAÑA</t>
        </is>
      </c>
      <c r="G301" s="22" t="inlineStr">
        <is>
          <t>Para Previsión (Nac)</t>
        </is>
      </c>
      <c r="H301" s="24" t="n">
        <v>0</v>
      </c>
      <c r="I301" s="24" t="n">
        <v>0</v>
      </c>
      <c r="J301" s="24" t="n">
        <v>0</v>
      </c>
      <c r="K301" s="24" t="n">
        <v>0</v>
      </c>
      <c r="L301" s="24" t="n">
        <v>0</v>
      </c>
      <c r="M301" s="25" t="n">
        <v>0</v>
      </c>
      <c r="N301" s="25" t="n">
        <v>0</v>
      </c>
      <c r="O301" s="25" t="n">
        <v>0</v>
      </c>
      <c r="P301" s="25" t="n">
        <v>0</v>
      </c>
      <c r="Q301" s="36" t="inlineStr">
        <is>
          <t>CUBIERTO</t>
        </is>
      </c>
    </row>
    <row r="302" ht="19" customHeight="1">
      <c r="A302" s="27" t="inlineStr">
        <is>
          <t>BEY0020</t>
        </is>
      </c>
      <c r="B302" s="31" t="inlineStr">
        <is>
          <t>BEY0020</t>
        </is>
      </c>
      <c r="C302" s="29" t="inlineStr">
        <is>
          <t>FLORAMEC PLUS 20 L</t>
        </is>
      </c>
      <c r="D302" s="30" t="n">
        <v>20</v>
      </c>
      <c r="E302" s="29" t="inlineStr">
        <is>
          <t>Garrafas 20L</t>
        </is>
      </c>
      <c r="F302" s="31" t="inlineStr">
        <is>
          <t>ESPAÑA</t>
        </is>
      </c>
      <c r="G302" s="31" t="inlineStr">
        <is>
          <t>Para Previsión (Nac)</t>
        </is>
      </c>
      <c r="H302" s="33" t="n">
        <v>0</v>
      </c>
      <c r="I302" s="33" t="n">
        <v>0</v>
      </c>
      <c r="J302" s="33" t="n">
        <v>0</v>
      </c>
      <c r="K302" s="33" t="n">
        <v>0</v>
      </c>
      <c r="L302" s="33" t="n">
        <v>0</v>
      </c>
      <c r="M302" s="34" t="n">
        <v>0</v>
      </c>
      <c r="N302" s="34" t="n">
        <v>0</v>
      </c>
      <c r="O302" s="34" t="n">
        <v>0</v>
      </c>
      <c r="P302" s="34" t="n">
        <v>0</v>
      </c>
      <c r="Q302" s="36" t="inlineStr">
        <is>
          <t>CUBIERTO</t>
        </is>
      </c>
    </row>
    <row r="303" ht="19" customHeight="1">
      <c r="A303" s="18" t="inlineStr">
        <is>
          <t>BROTA0001</t>
        </is>
      </c>
      <c r="B303" s="22" t="inlineStr">
        <is>
          <t>BROTA0001</t>
        </is>
      </c>
      <c r="C303" s="20" t="inlineStr">
        <is>
          <t>BROTAMEC, 1 L</t>
        </is>
      </c>
      <c r="D303" s="21" t="n">
        <v>1</v>
      </c>
      <c r="E303" s="20" t="inlineStr">
        <is>
          <t>Botellas 1L</t>
        </is>
      </c>
      <c r="F303" s="22" t="inlineStr">
        <is>
          <t>ESPAÑA</t>
        </is>
      </c>
      <c r="G303" s="22" t="inlineStr">
        <is>
          <t>Para Previsión (Nac)</t>
        </is>
      </c>
      <c r="H303" s="24" t="n">
        <v>0</v>
      </c>
      <c r="I303" s="24" t="n">
        <v>0</v>
      </c>
      <c r="J303" s="24" t="n">
        <v>0</v>
      </c>
      <c r="K303" s="24" t="n">
        <v>0</v>
      </c>
      <c r="L303" s="24" t="n">
        <v>0</v>
      </c>
      <c r="M303" s="25" t="n">
        <v>0</v>
      </c>
      <c r="N303" s="25" t="n">
        <v>0</v>
      </c>
      <c r="O303" s="25" t="n">
        <v>0</v>
      </c>
      <c r="P303" s="25" t="n">
        <v>0</v>
      </c>
      <c r="Q303" s="36" t="inlineStr">
        <is>
          <t>CUBIERTO</t>
        </is>
      </c>
    </row>
    <row r="304" ht="19" customHeight="1">
      <c r="A304" s="27" t="inlineStr">
        <is>
          <t>BPLUS20005</t>
        </is>
      </c>
      <c r="B304" s="31" t="inlineStr">
        <is>
          <t>BPLUS20005</t>
        </is>
      </c>
      <c r="C304" s="29" t="inlineStr">
        <is>
          <t>BOROCAL PLUS, 5 KG</t>
        </is>
      </c>
      <c r="D304" s="30" t="n">
        <v>5</v>
      </c>
      <c r="E304" s="29" t="inlineStr">
        <is>
          <t>Bolsas 5 Kg</t>
        </is>
      </c>
      <c r="F304" s="31" t="inlineStr">
        <is>
          <t>ESPAÑA</t>
        </is>
      </c>
      <c r="G304" s="31" t="inlineStr">
        <is>
          <t>Para Previsión (Nac)</t>
        </is>
      </c>
      <c r="H304" s="33" t="n">
        <v>0</v>
      </c>
      <c r="I304" s="33" t="n">
        <v>0</v>
      </c>
      <c r="J304" s="33" t="n">
        <v>0</v>
      </c>
      <c r="K304" s="33" t="n">
        <v>0</v>
      </c>
      <c r="L304" s="33" t="n">
        <v>0</v>
      </c>
      <c r="M304" s="34" t="n">
        <v>0</v>
      </c>
      <c r="N304" s="34" t="n">
        <v>0</v>
      </c>
      <c r="O304" s="34" t="n">
        <v>0</v>
      </c>
      <c r="P304" s="34" t="n">
        <v>0</v>
      </c>
      <c r="Q304" s="36" t="inlineStr">
        <is>
          <t>CUBIERTO</t>
        </is>
      </c>
    </row>
    <row r="305" ht="19" customHeight="1">
      <c r="A305" s="18" t="inlineStr">
        <is>
          <t>AGMNP0005</t>
        </is>
      </c>
      <c r="B305" s="22" t="inlineStr">
        <is>
          <t>AGMNP0005</t>
        </is>
      </c>
      <c r="C305" s="20" t="inlineStr">
        <is>
          <t>AGROXILATO MN PLUS, 5 KG</t>
        </is>
      </c>
      <c r="D305" s="21" t="n">
        <v>5</v>
      </c>
      <c r="E305" s="20" t="inlineStr">
        <is>
          <t>Bolsas 5 Kg</t>
        </is>
      </c>
      <c r="F305" s="22" t="inlineStr">
        <is>
          <t>ESPAÑA</t>
        </is>
      </c>
      <c r="G305" s="22" t="inlineStr">
        <is>
          <t>Para Previsión (Nac)</t>
        </is>
      </c>
      <c r="H305" s="24" t="n">
        <v>0</v>
      </c>
      <c r="I305" s="24" t="n">
        <v>0</v>
      </c>
      <c r="J305" s="24" t="n">
        <v>0</v>
      </c>
      <c r="K305" s="24" t="n">
        <v>0</v>
      </c>
      <c r="L305" s="24" t="n">
        <v>0</v>
      </c>
      <c r="M305" s="25" t="n">
        <v>0</v>
      </c>
      <c r="N305" s="25" t="n">
        <v>0</v>
      </c>
      <c r="O305" s="25" t="n">
        <v>0</v>
      </c>
      <c r="P305" s="25" t="n">
        <v>0</v>
      </c>
      <c r="Q305" s="36" t="inlineStr">
        <is>
          <t>CUBIERTO</t>
        </is>
      </c>
    </row>
    <row r="306" ht="19" customHeight="1">
      <c r="A306" s="27" t="inlineStr">
        <is>
          <t>CBROT0001</t>
        </is>
      </c>
      <c r="B306" s="31" t="inlineStr">
        <is>
          <t>CBROT0001</t>
        </is>
      </c>
      <c r="C306" s="29" t="inlineStr">
        <is>
          <t>CODIBROT, 1 L</t>
        </is>
      </c>
      <c r="D306" s="30" t="n">
        <v>1</v>
      </c>
      <c r="E306" s="29" t="inlineStr">
        <is>
          <t>Botellas 1L</t>
        </is>
      </c>
      <c r="F306" s="31" t="inlineStr">
        <is>
          <t>ESPAÑA</t>
        </is>
      </c>
      <c r="G306" s="31" t="inlineStr">
        <is>
          <t>Para Previsión (Nac)</t>
        </is>
      </c>
      <c r="H306" s="33" t="n">
        <v>0</v>
      </c>
      <c r="I306" s="33" t="n">
        <v>0</v>
      </c>
      <c r="J306" s="33" t="n">
        <v>0</v>
      </c>
      <c r="K306" s="33" t="n">
        <v>0</v>
      </c>
      <c r="L306" s="33" t="n">
        <v>0</v>
      </c>
      <c r="M306" s="34" t="n">
        <v>0</v>
      </c>
      <c r="N306" s="34" t="n">
        <v>0</v>
      </c>
      <c r="O306" s="34" t="n">
        <v>0</v>
      </c>
      <c r="P306" s="34" t="n">
        <v>0</v>
      </c>
      <c r="Q306" s="36" t="inlineStr">
        <is>
          <t>CUBIERTO</t>
        </is>
      </c>
    </row>
    <row r="307" ht="19" customHeight="1">
      <c r="A307" s="18" t="inlineStr">
        <is>
          <t>FU0001</t>
        </is>
      </c>
      <c r="B307" s="22" t="inlineStr">
        <is>
          <t>FU0001</t>
        </is>
      </c>
      <c r="C307" s="20" t="inlineStr">
        <is>
          <t>FULVIGIN, 1 L</t>
        </is>
      </c>
      <c r="D307" s="21" t="n">
        <v>1</v>
      </c>
      <c r="E307" s="20" t="inlineStr">
        <is>
          <t>Botellas 1L</t>
        </is>
      </c>
      <c r="F307" s="22" t="inlineStr">
        <is>
          <t>ESPAÑA</t>
        </is>
      </c>
      <c r="G307" s="22" t="inlineStr">
        <is>
          <t>Para Previsión (Nac)</t>
        </is>
      </c>
      <c r="H307" s="24" t="n">
        <v>204</v>
      </c>
      <c r="I307" s="24" t="n">
        <v>204</v>
      </c>
      <c r="J307" s="24" t="n">
        <v>0</v>
      </c>
      <c r="K307" s="24" t="n">
        <v>0</v>
      </c>
      <c r="L307" s="24" t="n">
        <v>0</v>
      </c>
      <c r="M307" s="25" t="n">
        <v>204</v>
      </c>
      <c r="N307" s="25" t="n">
        <v>204</v>
      </c>
      <c r="O307" s="25" t="n">
        <v>0</v>
      </c>
      <c r="P307" s="25" t="n">
        <v>0</v>
      </c>
      <c r="Q307" s="36" t="inlineStr">
        <is>
          <t>CUBIERTO</t>
        </is>
      </c>
    </row>
    <row r="308" ht="19" customHeight="1">
      <c r="A308" s="27" t="inlineStr">
        <is>
          <t>FU0001</t>
        </is>
      </c>
      <c r="B308" s="28" t="inlineStr">
        <is>
          <t>FU0001DO</t>
        </is>
      </c>
      <c r="C308" s="29" t="inlineStr">
        <is>
          <t>FULVIGIN, 1 L</t>
        </is>
      </c>
      <c r="D308" s="30" t="n">
        <v>1</v>
      </c>
      <c r="E308" s="29" t="inlineStr">
        <is>
          <t>Botellas 1L</t>
        </is>
      </c>
      <c r="F308" s="31" t="inlineStr">
        <is>
          <t>DOMINICANA, REPÚBLICA</t>
        </is>
      </c>
      <c r="G308" s="32" t="inlineStr">
        <is>
          <t>Sobre Pedido (Export)</t>
        </is>
      </c>
      <c r="H308" s="33" t="n">
        <v>524.0602</v>
      </c>
      <c r="I308" s="33" t="n">
        <v>0</v>
      </c>
      <c r="J308" s="33" t="n">
        <v>0</v>
      </c>
      <c r="K308" s="33" t="n">
        <v>524.0602</v>
      </c>
      <c r="L308" s="33" t="n">
        <v>0</v>
      </c>
      <c r="M308" s="34" t="n">
        <v>524.0602</v>
      </c>
      <c r="N308" s="34" t="n">
        <v>524.0599999999999</v>
      </c>
      <c r="O308" s="34" t="n">
        <v>0</v>
      </c>
      <c r="P308" s="34" t="n">
        <v>0</v>
      </c>
      <c r="Q308" s="36" t="inlineStr">
        <is>
          <t>CUBIERTO</t>
        </is>
      </c>
    </row>
    <row r="309" ht="19" customHeight="1">
      <c r="A309" s="18" t="inlineStr">
        <is>
          <t>N0001</t>
        </is>
      </c>
      <c r="B309" s="22" t="inlineStr">
        <is>
          <t>N0001</t>
        </is>
      </c>
      <c r="C309" s="20" t="inlineStr">
        <is>
          <t>NUTRICALE, 1 L</t>
        </is>
      </c>
      <c r="D309" s="21" t="n">
        <v>1</v>
      </c>
      <c r="E309" s="20" t="inlineStr">
        <is>
          <t>Botellas 1L</t>
        </is>
      </c>
      <c r="F309" s="22" t="inlineStr">
        <is>
          <t>ESPAÑA</t>
        </is>
      </c>
      <c r="G309" s="22" t="inlineStr">
        <is>
          <t>Para Previsión (Nac)</t>
        </is>
      </c>
      <c r="H309" s="24" t="n">
        <v>0</v>
      </c>
      <c r="I309" s="24" t="n">
        <v>0</v>
      </c>
      <c r="J309" s="24" t="n">
        <v>0</v>
      </c>
      <c r="K309" s="24" t="n">
        <v>0</v>
      </c>
      <c r="L309" s="24" t="n">
        <v>0</v>
      </c>
      <c r="M309" s="25" t="n">
        <v>0</v>
      </c>
      <c r="N309" s="25" t="n">
        <v>0</v>
      </c>
      <c r="O309" s="25" t="n">
        <v>0</v>
      </c>
      <c r="P309" s="25" t="n">
        <v>0</v>
      </c>
      <c r="Q309" s="36" t="inlineStr">
        <is>
          <t>CUBIERTO</t>
        </is>
      </c>
    </row>
    <row r="310" ht="19" customHeight="1">
      <c r="A310" s="27" t="inlineStr">
        <is>
          <t>P-ZM3.50020</t>
        </is>
      </c>
      <c r="B310" s="31" t="inlineStr">
        <is>
          <t>P-ZM3.50020</t>
        </is>
      </c>
      <c r="C310" s="29" t="inlineStr">
        <is>
          <t>POLIGREEN-ZNMN, 20 L</t>
        </is>
      </c>
      <c r="D310" s="30" t="n">
        <v>20</v>
      </c>
      <c r="E310" s="29" t="inlineStr">
        <is>
          <t>Garrafas 20L</t>
        </is>
      </c>
      <c r="F310" s="31" t="inlineStr">
        <is>
          <t>ESPAÑA</t>
        </is>
      </c>
      <c r="G310" s="31" t="inlineStr">
        <is>
          <t>Para Previsión (Nac)</t>
        </is>
      </c>
      <c r="H310" s="33" t="n">
        <v>0</v>
      </c>
      <c r="I310" s="33" t="n">
        <v>0</v>
      </c>
      <c r="J310" s="33" t="n">
        <v>0</v>
      </c>
      <c r="K310" s="33" t="n">
        <v>0</v>
      </c>
      <c r="L310" s="33" t="n">
        <v>0</v>
      </c>
      <c r="M310" s="34" t="n">
        <v>0</v>
      </c>
      <c r="N310" s="34" t="n">
        <v>0</v>
      </c>
      <c r="O310" s="34" t="n">
        <v>0</v>
      </c>
      <c r="P310" s="34" t="n">
        <v>0</v>
      </c>
      <c r="Q310" s="36" t="inlineStr">
        <is>
          <t>CUBIERTO</t>
        </is>
      </c>
    </row>
    <row r="311" ht="19" customHeight="1">
      <c r="A311" s="18" t="inlineStr">
        <is>
          <t>AGXKAEP0005</t>
        </is>
      </c>
      <c r="B311" s="22" t="inlineStr">
        <is>
          <t>AGXKAEP0005</t>
        </is>
      </c>
      <c r="C311" s="20" t="inlineStr">
        <is>
          <t>BIOCULTURE POTASIO PLUS, 5 L</t>
        </is>
      </c>
      <c r="D311" s="21" t="n">
        <v>5</v>
      </c>
      <c r="E311" s="20" t="inlineStr">
        <is>
          <t>Garrafas 5L</t>
        </is>
      </c>
      <c r="F311" s="22" t="inlineStr">
        <is>
          <t>ESPAÑA</t>
        </is>
      </c>
      <c r="G311" s="22" t="inlineStr">
        <is>
          <t>Para Previsión (Nac)</t>
        </is>
      </c>
      <c r="H311" s="24" t="n">
        <v>0</v>
      </c>
      <c r="I311" s="24" t="n">
        <v>0</v>
      </c>
      <c r="J311" s="24" t="n">
        <v>0</v>
      </c>
      <c r="K311" s="24" t="n">
        <v>0</v>
      </c>
      <c r="L311" s="24" t="n">
        <v>0</v>
      </c>
      <c r="M311" s="25" t="n">
        <v>0</v>
      </c>
      <c r="N311" s="25" t="n">
        <v>0</v>
      </c>
      <c r="O311" s="25" t="n">
        <v>0</v>
      </c>
      <c r="P311" s="25" t="n">
        <v>0</v>
      </c>
      <c r="Q311" s="36" t="inlineStr">
        <is>
          <t>CUBIERTO</t>
        </is>
      </c>
    </row>
    <row r="312" ht="19" customHeight="1">
      <c r="A312" s="27" t="inlineStr">
        <is>
          <t>BAYCAL0020</t>
        </is>
      </c>
      <c r="B312" s="28" t="inlineStr">
        <is>
          <t>BAYCAL0020CL</t>
        </is>
      </c>
      <c r="C312" s="29" t="inlineStr">
        <is>
          <t>BAYFOLAN CALCIO</t>
        </is>
      </c>
      <c r="D312" s="30" t="n">
        <v>20</v>
      </c>
      <c r="E312" s="29" t="inlineStr">
        <is>
          <t>Garrafas 20L</t>
        </is>
      </c>
      <c r="F312" s="31" t="inlineStr">
        <is>
          <t>CHILE</t>
        </is>
      </c>
      <c r="G312" s="32" t="inlineStr">
        <is>
          <t>Sobre Pedido (Export)</t>
        </is>
      </c>
      <c r="H312" s="33" t="n">
        <v>0</v>
      </c>
      <c r="I312" s="33" t="n">
        <v>0</v>
      </c>
      <c r="J312" s="33" t="n">
        <v>0</v>
      </c>
      <c r="K312" s="33" t="n">
        <v>0</v>
      </c>
      <c r="L312" s="33" t="n">
        <v>0</v>
      </c>
      <c r="M312" s="34" t="n">
        <v>0</v>
      </c>
      <c r="N312" s="34" t="n">
        <v>0</v>
      </c>
      <c r="O312" s="34" t="n">
        <v>0</v>
      </c>
      <c r="P312" s="34" t="n">
        <v>0</v>
      </c>
      <c r="Q312" s="36" t="inlineStr">
        <is>
          <t>CUBIERTO</t>
        </is>
      </c>
    </row>
    <row r="313" ht="19" customHeight="1">
      <c r="A313" s="18" t="inlineStr">
        <is>
          <t>G1000</t>
        </is>
      </c>
      <c r="B313" s="19" t="inlineStr">
        <is>
          <t>G1000CR</t>
        </is>
      </c>
      <c r="C313" s="20" t="inlineStr">
        <is>
          <t>GREEN-UP EXPORTACION, 1000 L</t>
        </is>
      </c>
      <c r="D313" s="21" t="n">
        <v>1000</v>
      </c>
      <c r="E313" s="20" t="inlineStr">
        <is>
          <t>Depósito 1000 L</t>
        </is>
      </c>
      <c r="F313" s="22" t="inlineStr">
        <is>
          <t>ESPAÑA</t>
        </is>
      </c>
      <c r="G313" s="22" t="inlineStr">
        <is>
          <t>Para Previsión (Nac)</t>
        </is>
      </c>
      <c r="H313" s="24" t="n">
        <v>1000</v>
      </c>
      <c r="I313" s="24" t="n">
        <v>1000</v>
      </c>
      <c r="J313" s="24" t="n">
        <v>0</v>
      </c>
      <c r="K313" s="24" t="n">
        <v>0</v>
      </c>
      <c r="L313" s="24" t="n">
        <v>0</v>
      </c>
      <c r="M313" s="25" t="n">
        <v>1000</v>
      </c>
      <c r="N313" s="25" t="n">
        <v>1000</v>
      </c>
      <c r="O313" s="25" t="n">
        <v>0</v>
      </c>
      <c r="P313" s="25" t="n">
        <v>0</v>
      </c>
      <c r="Q313" s="36" t="inlineStr">
        <is>
          <t>CUBIERTO</t>
        </is>
      </c>
    </row>
    <row r="314" ht="26" customHeight="1">
      <c r="A314" s="37" t="inlineStr">
        <is>
          <t>TOTAL GENERAL (UNIDADES Y VOLUMEN)</t>
        </is>
      </c>
      <c r="B314" s="38" t="n"/>
      <c r="C314" s="38" t="n"/>
      <c r="D314" s="38" t="n"/>
      <c r="E314" s="38" t="n"/>
      <c r="F314" s="38" t="n"/>
      <c r="G314" s="38" t="n"/>
      <c r="H314" s="39">
        <f>SUM(H9:H313)</f>
        <v/>
      </c>
      <c r="I314" s="39">
        <f>SUM(I9:I313)</f>
        <v/>
      </c>
      <c r="J314" s="39">
        <f>SUM(J9:J313)</f>
        <v/>
      </c>
      <c r="K314" s="39">
        <f>SUM(K9:K313)</f>
        <v/>
      </c>
      <c r="L314" s="39">
        <f>SUM(L9:L313)</f>
        <v/>
      </c>
      <c r="M314" s="39">
        <f>SUM(M9:M313)</f>
        <v/>
      </c>
      <c r="N314" s="39">
        <f>SUM(N9:N313)</f>
        <v/>
      </c>
      <c r="O314" s="39">
        <f>SUM(O9:O313)</f>
        <v/>
      </c>
      <c r="P314" s="39">
        <f>SUM(P9:P313)</f>
        <v/>
      </c>
      <c r="Q314" s="40" t="inlineStr"/>
    </row>
  </sheetData>
  <autoFilter ref="A8:Q313"/>
  <mergeCells count="18">
    <mergeCell ref="A4:B4"/>
    <mergeCell ref="G4:H4"/>
    <mergeCell ref="E4:F4"/>
    <mergeCell ref="H7:M7"/>
    <mergeCell ref="A314:G314"/>
    <mergeCell ref="C5:D5"/>
    <mergeCell ref="A5:B5"/>
    <mergeCell ref="G5:H5"/>
    <mergeCell ref="A2:Q2"/>
    <mergeCell ref="E5:F5"/>
    <mergeCell ref="I4:L4"/>
    <mergeCell ref="A7:G7"/>
    <mergeCell ref="M4:Q4"/>
    <mergeCell ref="M5:Q5"/>
    <mergeCell ref="N7:Q7"/>
    <mergeCell ref="A1:Q1"/>
    <mergeCell ref="I5:L5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96"/>
  <sheetViews>
    <sheetView showGridLines="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20" customWidth="1" min="3" max="3"/>
    <col width="22" customWidth="1" min="4" max="4"/>
    <col width="20" customWidth="1" min="5" max="5"/>
    <col width="22" customWidth="1" min="6" max="6"/>
    <col width="18" customWidth="1" min="7" max="7"/>
    <col width="18" customWidth="1" min="8" max="8"/>
    <col width="18" customWidth="1" min="9" max="9"/>
    <col width="22" customWidth="1" min="10" max="10"/>
    <col width="20" customWidth="1" min="11" max="11"/>
    <col width="24" customWidth="1" min="12" max="12"/>
    <col width="20" customWidth="1" min="13" max="13"/>
  </cols>
  <sheetData>
    <row r="1" ht="28" customHeight="1">
      <c r="A1" s="1" t="inlineStr">
        <is>
          <t xml:space="preserve">  CODIAGRO S.L.  |  PLAN MAESTRO DE PRODUCCIÓN DE GRANELES (NECESIDAD EN LITROS / KG POR MES)</t>
        </is>
      </c>
    </row>
    <row r="2" ht="18" customHeight="1">
      <c r="A2" s="2" t="inlineStr">
        <is>
          <t xml:space="preserve">  Horizonte: Octubre 2026 - Diciembre 2026  |  Total Graneles Químicos a Fabricar en Planta  |  Fecha Emisión: 29/10/2026 07:32</t>
        </is>
      </c>
    </row>
    <row r="4" ht="20" customHeight="1">
      <c r="A4" s="9" t="inlineStr">
        <is>
          <t>1. IDENTIFICACIÓN GRANEL</t>
        </is>
      </c>
      <c r="C4" s="10" t="inlineStr">
        <is>
          <t>2. DISPONIBILIDAD INICIAL (L/KG)</t>
        </is>
      </c>
      <c r="F4" s="10" t="inlineStr">
        <is>
          <t>3. DEMANDA Y PREVISIÓN MENSUAL DE GRANEL (L/KG)</t>
        </is>
      </c>
      <c r="K4" s="11" t="inlineStr">
        <is>
          <t>4. NECESIDAD NETA FABRICACIÓN REACTORES</t>
        </is>
      </c>
    </row>
    <row r="5" ht="24" customHeight="1">
      <c r="A5" s="12" t="inlineStr">
        <is>
          <t>Cód. Granel</t>
        </is>
      </c>
      <c r="B5" s="13" t="inlineStr">
        <is>
          <t>Producto Químico / Granel</t>
        </is>
      </c>
      <c r="C5" s="15" t="inlineStr">
        <is>
          <t>Stock Tanque (L/Kg)</t>
        </is>
      </c>
      <c r="D5" s="15" t="inlineStr">
        <is>
          <t>Stock Envasado (L/Kg)</t>
        </is>
      </c>
      <c r="E5" s="15" t="inlineStr">
        <is>
          <t>Stock Total (L/Kg)</t>
        </is>
      </c>
      <c r="F5" s="15" t="inlineStr">
        <is>
          <t>Cartera Inmediata (L/Kg)</t>
        </is>
      </c>
      <c r="G5" s="15" t="inlineStr">
        <is>
          <t>Oct-26 (L/Kg)</t>
        </is>
      </c>
      <c r="H5" s="15" t="inlineStr">
        <is>
          <t>Nov-26 (L/Kg)</t>
        </is>
      </c>
      <c r="I5" s="15" t="inlineStr">
        <is>
          <t>Dic-26 (L/Kg)</t>
        </is>
      </c>
      <c r="J5" s="15" t="inlineStr">
        <is>
          <t>Demanda Total (L/Kg)</t>
        </is>
      </c>
      <c r="K5" s="16" t="inlineStr">
        <is>
          <t>Balance Neto (L/Kg)</t>
        </is>
      </c>
      <c r="L5" s="16" t="inlineStr">
        <is>
          <t>FALTA FABRICAR (L/Kg)</t>
        </is>
      </c>
      <c r="M5" s="17" t="inlineStr">
        <is>
          <t>Prioridad Reactor</t>
        </is>
      </c>
    </row>
    <row r="6" ht="20" customHeight="1">
      <c r="A6" s="27" t="inlineStr">
        <is>
          <t>A</t>
        </is>
      </c>
      <c r="B6" s="41" t="inlineStr">
        <is>
          <t>ALCAPLANT</t>
        </is>
      </c>
      <c r="C6" s="33" t="n">
        <v>0.01</v>
      </c>
      <c r="D6" s="33" t="n">
        <v>49360</v>
      </c>
      <c r="E6" s="34" t="n">
        <v>49360.01</v>
      </c>
      <c r="F6" s="33" t="n">
        <v>37700</v>
      </c>
      <c r="G6" s="33" t="n">
        <v>55689.83</v>
      </c>
      <c r="H6" s="33" t="n">
        <v>69962.05</v>
      </c>
      <c r="I6" s="33" t="n">
        <v>51987.7</v>
      </c>
      <c r="J6" s="34" t="n">
        <v>215339.58</v>
      </c>
      <c r="K6" s="33" t="n">
        <v>-165979.57</v>
      </c>
      <c r="L6" s="34" t="n">
        <v>165979.57</v>
      </c>
      <c r="M6" s="26" t="inlineStr">
        <is>
          <t>FABRICAR GRANEL</t>
        </is>
      </c>
    </row>
    <row r="7" ht="20" customHeight="1">
      <c r="A7" s="18" t="inlineStr">
        <is>
          <t>AO</t>
        </is>
      </c>
      <c r="B7" s="42" t="inlineStr">
        <is>
          <t>ALCAPLANT OMRI</t>
        </is>
      </c>
      <c r="C7" s="24" t="n">
        <v>2600</v>
      </c>
      <c r="D7" s="24" t="n">
        <v>7160</v>
      </c>
      <c r="E7" s="25" t="n">
        <v>9760</v>
      </c>
      <c r="F7" s="24" t="n">
        <v>0</v>
      </c>
      <c r="G7" s="24" t="n">
        <v>40790</v>
      </c>
      <c r="H7" s="24" t="n">
        <v>69175.95</v>
      </c>
      <c r="I7" s="24" t="n">
        <v>57281.94</v>
      </c>
      <c r="J7" s="25" t="n">
        <v>167247.89</v>
      </c>
      <c r="K7" s="24" t="n">
        <v>-157487.89</v>
      </c>
      <c r="L7" s="25" t="n">
        <v>157487.89</v>
      </c>
      <c r="M7" s="26" t="inlineStr">
        <is>
          <t>FABRICAR GRANEL</t>
        </is>
      </c>
    </row>
    <row r="8" ht="20" customHeight="1">
      <c r="A8" s="27" t="inlineStr">
        <is>
          <t>AGXK</t>
        </is>
      </c>
      <c r="B8" s="41" t="inlineStr">
        <is>
          <t>AGROXILATO-K</t>
        </is>
      </c>
      <c r="C8" s="33" t="n">
        <v>2922</v>
      </c>
      <c r="D8" s="33" t="n">
        <v>15095</v>
      </c>
      <c r="E8" s="34" t="n">
        <v>18017</v>
      </c>
      <c r="F8" s="33" t="n">
        <v>28360</v>
      </c>
      <c r="G8" s="33" t="n">
        <v>41944.2</v>
      </c>
      <c r="H8" s="33" t="n">
        <v>50142.07999999999</v>
      </c>
      <c r="I8" s="33" t="n">
        <v>31609.21</v>
      </c>
      <c r="J8" s="34" t="n">
        <v>152055.49</v>
      </c>
      <c r="K8" s="33" t="n">
        <v>-134038.49</v>
      </c>
      <c r="L8" s="34" t="n">
        <v>134038.49</v>
      </c>
      <c r="M8" s="26" t="inlineStr">
        <is>
          <t>FABRICAR GRANEL</t>
        </is>
      </c>
    </row>
    <row r="9" ht="20" customHeight="1">
      <c r="A9" s="18" t="inlineStr">
        <is>
          <t>SSEG</t>
        </is>
      </c>
      <c r="B9" s="42" t="inlineStr">
        <is>
          <t>SALWAX CALCIO EGIPTO</t>
        </is>
      </c>
      <c r="C9" s="24" t="n">
        <v>403</v>
      </c>
      <c r="D9" s="24" t="n">
        <v>0</v>
      </c>
      <c r="E9" s="25" t="n">
        <v>403</v>
      </c>
      <c r="F9" s="24" t="n">
        <v>52004</v>
      </c>
      <c r="G9" s="24" t="n">
        <v>18455.55</v>
      </c>
      <c r="H9" s="24" t="n">
        <v>32491.73</v>
      </c>
      <c r="I9" s="24" t="n">
        <v>0</v>
      </c>
      <c r="J9" s="25" t="n">
        <v>102951.28</v>
      </c>
      <c r="K9" s="24" t="n">
        <v>-102548.28</v>
      </c>
      <c r="L9" s="25" t="n">
        <v>102548.28</v>
      </c>
      <c r="M9" s="26" t="inlineStr">
        <is>
          <t>FABRICAR GRANEL</t>
        </is>
      </c>
    </row>
    <row r="10" ht="20" customHeight="1">
      <c r="A10" s="27" t="inlineStr">
        <is>
          <t>BIO</t>
        </is>
      </c>
      <c r="B10" s="41" t="inlineStr">
        <is>
          <t>BIORAD-20</t>
        </is>
      </c>
      <c r="C10" s="33" t="n">
        <v>2821</v>
      </c>
      <c r="D10" s="33" t="n">
        <v>14640</v>
      </c>
      <c r="E10" s="34" t="n">
        <v>17461</v>
      </c>
      <c r="F10" s="33" t="n">
        <v>33584</v>
      </c>
      <c r="G10" s="33" t="n">
        <v>14006.61</v>
      </c>
      <c r="H10" s="33" t="n">
        <v>21343.93</v>
      </c>
      <c r="I10" s="33" t="n">
        <v>32841.64</v>
      </c>
      <c r="J10" s="34" t="n">
        <v>101776.18</v>
      </c>
      <c r="K10" s="33" t="n">
        <v>-84315.18000000001</v>
      </c>
      <c r="L10" s="34" t="n">
        <v>84315.18000000001</v>
      </c>
      <c r="M10" s="26" t="inlineStr">
        <is>
          <t>FABRICAR GRANEL</t>
        </is>
      </c>
    </row>
    <row r="11" ht="20" customHeight="1">
      <c r="A11" s="18" t="inlineStr">
        <is>
          <t>AGXCR</t>
        </is>
      </c>
      <c r="B11" s="42" t="inlineStr">
        <is>
          <t>AGROXILATO-K  (0-5-20) EXPORTACIÓN</t>
        </is>
      </c>
      <c r="C11" s="24" t="n">
        <v>4160</v>
      </c>
      <c r="D11" s="24" t="n">
        <v>0</v>
      </c>
      <c r="E11" s="25" t="n">
        <v>4160</v>
      </c>
      <c r="F11" s="24" t="n">
        <v>6840</v>
      </c>
      <c r="G11" s="24" t="n">
        <v>3708.18</v>
      </c>
      <c r="H11" s="24" t="n">
        <v>5911.400000000001</v>
      </c>
      <c r="I11" s="24" t="n">
        <v>11268.91</v>
      </c>
      <c r="J11" s="25" t="n">
        <v>27728.49</v>
      </c>
      <c r="K11" s="24" t="n">
        <v>-23568.49</v>
      </c>
      <c r="L11" s="25" t="n">
        <v>23568.49</v>
      </c>
      <c r="M11" s="26" t="inlineStr">
        <is>
          <t>FABRICAR GRANEL</t>
        </is>
      </c>
    </row>
    <row r="12" ht="20" customHeight="1">
      <c r="A12" s="27" t="inlineStr">
        <is>
          <t>SS</t>
        </is>
      </c>
      <c r="B12" s="41" t="inlineStr">
        <is>
          <t>SALWAX-CA</t>
        </is>
      </c>
      <c r="C12" s="33" t="n">
        <v>0</v>
      </c>
      <c r="D12" s="33" t="n">
        <v>8510</v>
      </c>
      <c r="E12" s="34" t="n">
        <v>8510</v>
      </c>
      <c r="F12" s="33" t="n">
        <v>3728</v>
      </c>
      <c r="G12" s="33" t="n">
        <v>10858.56</v>
      </c>
      <c r="H12" s="33" t="n">
        <v>10470.72</v>
      </c>
      <c r="I12" s="33" t="n">
        <v>3582.72</v>
      </c>
      <c r="J12" s="34" t="n">
        <v>28640</v>
      </c>
      <c r="K12" s="33" t="n">
        <v>-20130</v>
      </c>
      <c r="L12" s="34" t="n">
        <v>20130</v>
      </c>
      <c r="M12" s="26" t="inlineStr">
        <is>
          <t>FABRICAR GRANEL</t>
        </is>
      </c>
    </row>
    <row r="13" ht="20" customHeight="1">
      <c r="A13" s="18" t="inlineStr">
        <is>
          <t>FTK</t>
        </is>
      </c>
      <c r="B13" s="42" t="inlineStr">
        <is>
          <t>FITOKONTROL CA FLOW</t>
        </is>
      </c>
      <c r="C13" s="24" t="n">
        <v>0</v>
      </c>
      <c r="D13" s="24" t="n">
        <v>490</v>
      </c>
      <c r="E13" s="25" t="n">
        <v>490</v>
      </c>
      <c r="F13" s="24" t="n">
        <v>2200</v>
      </c>
      <c r="G13" s="24" t="n">
        <v>263.65</v>
      </c>
      <c r="H13" s="24" t="n">
        <v>628.87</v>
      </c>
      <c r="I13" s="24" t="n">
        <v>13365.79</v>
      </c>
      <c r="J13" s="25" t="n">
        <v>16458.31</v>
      </c>
      <c r="K13" s="24" t="n">
        <v>-15968.31</v>
      </c>
      <c r="L13" s="25" t="n">
        <v>15968.31</v>
      </c>
      <c r="M13" s="26" t="inlineStr">
        <is>
          <t>FABRICAR GRANEL</t>
        </is>
      </c>
    </row>
    <row r="14" ht="20" customHeight="1">
      <c r="A14" s="27" t="inlineStr">
        <is>
          <t>SPCE2B</t>
        </is>
      </c>
      <c r="B14" s="41" t="inlineStr">
        <is>
          <t>SPRINTENE CON BORO</t>
        </is>
      </c>
      <c r="C14" s="33" t="n">
        <v>11417</v>
      </c>
      <c r="D14" s="33" t="n">
        <v>1862</v>
      </c>
      <c r="E14" s="34" t="n">
        <v>13279</v>
      </c>
      <c r="F14" s="33" t="n">
        <v>10596</v>
      </c>
      <c r="G14" s="33" t="n">
        <v>5580.8</v>
      </c>
      <c r="H14" s="33" t="n">
        <v>10858.53</v>
      </c>
      <c r="I14" s="33" t="n">
        <v>0</v>
      </c>
      <c r="J14" s="34" t="n">
        <v>27035.33</v>
      </c>
      <c r="K14" s="33" t="n">
        <v>-13756.33</v>
      </c>
      <c r="L14" s="34" t="n">
        <v>13756.33</v>
      </c>
      <c r="M14" s="26" t="inlineStr">
        <is>
          <t>FABRICAR GRANEL</t>
        </is>
      </c>
    </row>
    <row r="15" ht="20" customHeight="1">
      <c r="A15" s="18" t="inlineStr">
        <is>
          <t>PT</t>
        </is>
      </c>
      <c r="B15" s="42" t="inlineStr">
        <is>
          <t>AGROPOTASION</t>
        </is>
      </c>
      <c r="C15" s="24" t="n">
        <v>13184</v>
      </c>
      <c r="D15" s="24" t="n">
        <v>16048</v>
      </c>
      <c r="E15" s="25" t="n">
        <v>29232</v>
      </c>
      <c r="F15" s="24" t="n">
        <v>10780</v>
      </c>
      <c r="G15" s="24" t="n">
        <v>15562.03</v>
      </c>
      <c r="H15" s="24" t="n">
        <v>12661.29</v>
      </c>
      <c r="I15" s="24" t="n">
        <v>2888.4</v>
      </c>
      <c r="J15" s="25" t="n">
        <v>41891.72</v>
      </c>
      <c r="K15" s="24" t="n">
        <v>-12659.72</v>
      </c>
      <c r="L15" s="25" t="n">
        <v>12659.72</v>
      </c>
      <c r="M15" s="26" t="inlineStr">
        <is>
          <t>FABRICAR GRANEL</t>
        </is>
      </c>
    </row>
    <row r="16" ht="20" customHeight="1">
      <c r="A16" s="27" t="inlineStr">
        <is>
          <t>AVAN</t>
        </is>
      </c>
      <c r="B16" s="41" t="inlineStr">
        <is>
          <t>FLORAMEC AVANCE</t>
        </is>
      </c>
      <c r="C16" s="33" t="n">
        <v>0</v>
      </c>
      <c r="D16" s="33" t="n">
        <v>8096</v>
      </c>
      <c r="E16" s="34" t="n">
        <v>8096</v>
      </c>
      <c r="F16" s="33" t="n">
        <v>2600</v>
      </c>
      <c r="G16" s="33" t="n">
        <v>7089.650000000001</v>
      </c>
      <c r="H16" s="33" t="n">
        <v>2368.76</v>
      </c>
      <c r="I16" s="33" t="n">
        <v>8522.860000000001</v>
      </c>
      <c r="J16" s="34" t="n">
        <v>20581.27</v>
      </c>
      <c r="K16" s="33" t="n">
        <v>-12485.27</v>
      </c>
      <c r="L16" s="34" t="n">
        <v>12485.27</v>
      </c>
      <c r="M16" s="26" t="inlineStr">
        <is>
          <t>FABRICAR GRANEL</t>
        </is>
      </c>
    </row>
    <row r="17" ht="20" customHeight="1">
      <c r="A17" s="18" t="inlineStr">
        <is>
          <t>S</t>
        </is>
      </c>
      <c r="B17" s="42" t="inlineStr">
        <is>
          <t>SALWAX STAR</t>
        </is>
      </c>
      <c r="C17" s="24" t="n">
        <v>19340</v>
      </c>
      <c r="D17" s="24" t="n">
        <v>18780</v>
      </c>
      <c r="E17" s="25" t="n">
        <v>38120</v>
      </c>
      <c r="F17" s="24" t="n">
        <v>0</v>
      </c>
      <c r="G17" s="24" t="n">
        <v>22341.78</v>
      </c>
      <c r="H17" s="24" t="n">
        <v>27251.14</v>
      </c>
      <c r="I17" s="24" t="n">
        <v>555.46</v>
      </c>
      <c r="J17" s="25" t="n">
        <v>50148.38</v>
      </c>
      <c r="K17" s="24" t="n">
        <v>-12028.38</v>
      </c>
      <c r="L17" s="25" t="n">
        <v>12028.38</v>
      </c>
      <c r="M17" s="26" t="inlineStr">
        <is>
          <t>FABRICAR GRANEL</t>
        </is>
      </c>
    </row>
    <row r="18" ht="20" customHeight="1">
      <c r="A18" s="27" t="inlineStr">
        <is>
          <t>B</t>
        </is>
      </c>
      <c r="B18" s="41" t="inlineStr">
        <is>
          <t>BOROCAL</t>
        </is>
      </c>
      <c r="C18" s="33" t="n">
        <v>3030</v>
      </c>
      <c r="D18" s="33" t="n">
        <v>5683</v>
      </c>
      <c r="E18" s="34" t="n">
        <v>8713</v>
      </c>
      <c r="F18" s="33" t="n">
        <v>6596</v>
      </c>
      <c r="G18" s="33" t="n">
        <v>4931.88</v>
      </c>
      <c r="H18" s="33" t="n">
        <v>5504.73</v>
      </c>
      <c r="I18" s="33" t="n">
        <v>2732.17</v>
      </c>
      <c r="J18" s="34" t="n">
        <v>19764.78</v>
      </c>
      <c r="K18" s="33" t="n">
        <v>-11051.78</v>
      </c>
      <c r="L18" s="34" t="n">
        <v>11051.78</v>
      </c>
      <c r="M18" s="26" t="inlineStr">
        <is>
          <t>FABRICAR GRANEL</t>
        </is>
      </c>
    </row>
    <row r="19" ht="20" customHeight="1">
      <c r="A19" s="18" t="inlineStr">
        <is>
          <t>A-50(2)</t>
        </is>
      </c>
      <c r="B19" s="42" t="inlineStr">
        <is>
          <t>CODIORGAN-A50</t>
        </is>
      </c>
      <c r="C19" s="24" t="n">
        <v>47</v>
      </c>
      <c r="D19" s="24" t="n">
        <v>1975</v>
      </c>
      <c r="E19" s="25" t="n">
        <v>2022</v>
      </c>
      <c r="F19" s="24" t="n">
        <v>5410</v>
      </c>
      <c r="G19" s="24" t="n">
        <v>1943.07</v>
      </c>
      <c r="H19" s="24" t="n">
        <v>2253.46</v>
      </c>
      <c r="I19" s="24" t="n">
        <v>2887.4</v>
      </c>
      <c r="J19" s="25" t="n">
        <v>12493.93</v>
      </c>
      <c r="K19" s="24" t="n">
        <v>-10471.93</v>
      </c>
      <c r="L19" s="25" t="n">
        <v>10471.93</v>
      </c>
      <c r="M19" s="26" t="inlineStr">
        <is>
          <t>FABRICAR GRANEL</t>
        </is>
      </c>
    </row>
    <row r="20" ht="20" customHeight="1">
      <c r="A20" s="27" t="inlineStr">
        <is>
          <t>A-50</t>
        </is>
      </c>
      <c r="B20" s="41" t="inlineStr">
        <is>
          <t>CODIORGAN-A50</t>
        </is>
      </c>
      <c r="C20" s="33" t="n">
        <v>156</v>
      </c>
      <c r="D20" s="33" t="n">
        <v>0</v>
      </c>
      <c r="E20" s="34" t="n">
        <v>156</v>
      </c>
      <c r="F20" s="33" t="n">
        <v>1500</v>
      </c>
      <c r="G20" s="33" t="n">
        <v>1855.05</v>
      </c>
      <c r="H20" s="33" t="n">
        <v>2096.24</v>
      </c>
      <c r="I20" s="33" t="n">
        <v>4270.11</v>
      </c>
      <c r="J20" s="34" t="n">
        <v>9721.4</v>
      </c>
      <c r="K20" s="33" t="n">
        <v>-9565.4</v>
      </c>
      <c r="L20" s="34" t="n">
        <v>9565.4</v>
      </c>
      <c r="M20" s="26" t="inlineStr">
        <is>
          <t>FABRICAR GRANEL</t>
        </is>
      </c>
    </row>
    <row r="21" ht="20" customHeight="1">
      <c r="A21" s="18" t="inlineStr">
        <is>
          <t>FLORCR</t>
        </is>
      </c>
      <c r="B21" s="42" t="inlineStr">
        <is>
          <t>FLORAMEC CR</t>
        </is>
      </c>
      <c r="C21" s="24" t="n">
        <v>1800</v>
      </c>
      <c r="D21" s="24" t="n">
        <v>0</v>
      </c>
      <c r="E21" s="25" t="n">
        <v>1800</v>
      </c>
      <c r="F21" s="24" t="n">
        <v>2000</v>
      </c>
      <c r="G21" s="24" t="n">
        <v>2781.14</v>
      </c>
      <c r="H21" s="24" t="n">
        <v>3563.6</v>
      </c>
      <c r="I21" s="24" t="n">
        <v>1721.93</v>
      </c>
      <c r="J21" s="25" t="n">
        <v>10066.67</v>
      </c>
      <c r="K21" s="24" t="n">
        <v>-8266.67</v>
      </c>
      <c r="L21" s="25" t="n">
        <v>8266.67</v>
      </c>
      <c r="M21" s="26" t="inlineStr">
        <is>
          <t>FABRICAR GRANEL</t>
        </is>
      </c>
    </row>
    <row r="22" ht="20" customHeight="1">
      <c r="A22" s="27" t="inlineStr">
        <is>
          <t>C-CU2</t>
        </is>
      </c>
      <c r="B22" s="41" t="inlineStr">
        <is>
          <t>CODICOBRE (EGIPTO)</t>
        </is>
      </c>
      <c r="C22" s="33" t="n">
        <v>620</v>
      </c>
      <c r="D22" s="33" t="n">
        <v>0</v>
      </c>
      <c r="E22" s="34" t="n">
        <v>620</v>
      </c>
      <c r="F22" s="33" t="n">
        <v>0</v>
      </c>
      <c r="G22" s="33" t="n">
        <v>0</v>
      </c>
      <c r="H22" s="33" t="n">
        <v>8301.110000000001</v>
      </c>
      <c r="I22" s="33" t="n">
        <v>0</v>
      </c>
      <c r="J22" s="34" t="n">
        <v>8301.110000000001</v>
      </c>
      <c r="K22" s="33" t="n">
        <v>-7681.110000000001</v>
      </c>
      <c r="L22" s="34" t="n">
        <v>7681.110000000001</v>
      </c>
      <c r="M22" s="26" t="inlineStr">
        <is>
          <t>FABRICAR GRANEL</t>
        </is>
      </c>
    </row>
    <row r="23" ht="20" customHeight="1">
      <c r="A23" s="18" t="inlineStr">
        <is>
          <t>C-CU</t>
        </is>
      </c>
      <c r="B23" s="42" t="inlineStr">
        <is>
          <t>CODICOBRE</t>
        </is>
      </c>
      <c r="C23" s="24" t="n">
        <v>5113</v>
      </c>
      <c r="D23" s="24" t="n">
        <v>5660</v>
      </c>
      <c r="E23" s="25" t="n">
        <v>10773</v>
      </c>
      <c r="F23" s="24" t="n">
        <v>4528</v>
      </c>
      <c r="G23" s="24" t="n">
        <v>4788</v>
      </c>
      <c r="H23" s="24" t="n">
        <v>6141.99</v>
      </c>
      <c r="I23" s="24" t="n">
        <v>2829.38</v>
      </c>
      <c r="J23" s="25" t="n">
        <v>18287.37</v>
      </c>
      <c r="K23" s="24" t="n">
        <v>-7514.369999999999</v>
      </c>
      <c r="L23" s="25" t="n">
        <v>7514.369999999999</v>
      </c>
      <c r="M23" s="26" t="inlineStr">
        <is>
          <t>FABRICAR GRANEL</t>
        </is>
      </c>
    </row>
    <row r="24" ht="20" customHeight="1">
      <c r="A24" s="27" t="inlineStr">
        <is>
          <t>GRE1</t>
        </is>
      </c>
      <c r="B24" s="41" t="inlineStr">
        <is>
          <t>TONAZ</t>
        </is>
      </c>
      <c r="C24" s="33" t="n">
        <v>180</v>
      </c>
      <c r="D24" s="33" t="n">
        <v>0</v>
      </c>
      <c r="E24" s="34" t="n">
        <v>180</v>
      </c>
      <c r="F24" s="33" t="n">
        <v>0</v>
      </c>
      <c r="G24" s="33" t="n">
        <v>0</v>
      </c>
      <c r="H24" s="33" t="n">
        <v>0</v>
      </c>
      <c r="I24" s="33" t="n">
        <v>6943.27</v>
      </c>
      <c r="J24" s="34" t="n">
        <v>6943.27</v>
      </c>
      <c r="K24" s="33" t="n">
        <v>-6763.27</v>
      </c>
      <c r="L24" s="34" t="n">
        <v>6763.27</v>
      </c>
      <c r="M24" s="26" t="inlineStr">
        <is>
          <t>FABRICAR GRANEL</t>
        </is>
      </c>
    </row>
    <row r="25" ht="20" customHeight="1">
      <c r="A25" s="18" t="inlineStr">
        <is>
          <t>F-A</t>
        </is>
      </c>
      <c r="B25" s="42" t="inlineStr">
        <is>
          <t>FITOLIN-AGRO</t>
        </is>
      </c>
      <c r="C25" s="24" t="n">
        <v>1960</v>
      </c>
      <c r="D25" s="24" t="n">
        <v>0</v>
      </c>
      <c r="E25" s="25" t="n">
        <v>1960</v>
      </c>
      <c r="F25" s="24" t="n">
        <v>3024</v>
      </c>
      <c r="G25" s="24" t="n">
        <v>0</v>
      </c>
      <c r="H25" s="24" t="n">
        <v>4129.59</v>
      </c>
      <c r="I25" s="24" t="n">
        <v>867.91</v>
      </c>
      <c r="J25" s="25" t="n">
        <v>8021.5</v>
      </c>
      <c r="K25" s="24" t="n">
        <v>-6061.5</v>
      </c>
      <c r="L25" s="25" t="n">
        <v>6061.5</v>
      </c>
      <c r="M25" s="26" t="inlineStr">
        <is>
          <t>FABRICAR GRANEL</t>
        </is>
      </c>
    </row>
    <row r="26" ht="20" customHeight="1">
      <c r="A26" s="27" t="inlineStr">
        <is>
          <t>AGMG</t>
        </is>
      </c>
      <c r="B26" s="41" t="inlineStr">
        <is>
          <t>AGROXILATO-MG (EXPORT)</t>
        </is>
      </c>
      <c r="C26" s="33" t="n">
        <v>628</v>
      </c>
      <c r="D26" s="33" t="n">
        <v>0</v>
      </c>
      <c r="E26" s="34" t="n">
        <v>628</v>
      </c>
      <c r="F26" s="33" t="n">
        <v>0</v>
      </c>
      <c r="G26" s="33" t="n">
        <v>927.55</v>
      </c>
      <c r="H26" s="33" t="n">
        <v>838.5</v>
      </c>
      <c r="I26" s="33" t="n">
        <v>4773.49</v>
      </c>
      <c r="J26" s="34" t="n">
        <v>6539.54</v>
      </c>
      <c r="K26" s="33" t="n">
        <v>-5911.54</v>
      </c>
      <c r="L26" s="34" t="n">
        <v>5911.54</v>
      </c>
      <c r="M26" s="26" t="inlineStr">
        <is>
          <t>FABRICAR GRANEL</t>
        </is>
      </c>
    </row>
    <row r="27" ht="20" customHeight="1">
      <c r="A27" s="18" t="inlineStr">
        <is>
          <t>CODIR</t>
        </is>
      </c>
      <c r="B27" s="42" t="inlineStr">
        <is>
          <t>CODIRESIST</t>
        </is>
      </c>
      <c r="C27" s="24" t="n">
        <v>200</v>
      </c>
      <c r="D27" s="24" t="n">
        <v>23</v>
      </c>
      <c r="E27" s="25" t="n">
        <v>223</v>
      </c>
      <c r="F27" s="24" t="n">
        <v>1000</v>
      </c>
      <c r="G27" s="24" t="n">
        <v>927</v>
      </c>
      <c r="H27" s="24" t="n">
        <v>1048.12</v>
      </c>
      <c r="I27" s="24" t="n">
        <v>2937.01</v>
      </c>
      <c r="J27" s="25" t="n">
        <v>5912.129999999999</v>
      </c>
      <c r="K27" s="24" t="n">
        <v>-5689.129999999999</v>
      </c>
      <c r="L27" s="25" t="n">
        <v>5689.129999999999</v>
      </c>
      <c r="M27" s="26" t="inlineStr">
        <is>
          <t>FABRICAR GRANEL</t>
        </is>
      </c>
    </row>
    <row r="28" ht="20" customHeight="1">
      <c r="A28" s="27" t="inlineStr">
        <is>
          <t>AGXKC</t>
        </is>
      </c>
      <c r="B28" s="41" t="inlineStr">
        <is>
          <t>AGROXILATO-COMPLET</t>
        </is>
      </c>
      <c r="C28" s="33" t="n">
        <v>0</v>
      </c>
      <c r="D28" s="33" t="n">
        <v>1040</v>
      </c>
      <c r="E28" s="34" t="n">
        <v>1040</v>
      </c>
      <c r="F28" s="33" t="n">
        <v>0</v>
      </c>
      <c r="G28" s="33" t="n">
        <v>0</v>
      </c>
      <c r="H28" s="33" t="n">
        <v>6582.190000000001</v>
      </c>
      <c r="I28" s="33" t="n">
        <v>0</v>
      </c>
      <c r="J28" s="34" t="n">
        <v>6582.190000000001</v>
      </c>
      <c r="K28" s="33" t="n">
        <v>-5542.190000000001</v>
      </c>
      <c r="L28" s="34" t="n">
        <v>5542.190000000001</v>
      </c>
      <c r="M28" s="26" t="inlineStr">
        <is>
          <t>FABRICAR GRANEL</t>
        </is>
      </c>
    </row>
    <row r="29" ht="20" customHeight="1">
      <c r="A29" s="18" t="inlineStr">
        <is>
          <t>CZNMNES</t>
        </is>
      </c>
      <c r="B29" s="42" t="inlineStr">
        <is>
          <t>CODIFOL ZN-MN</t>
        </is>
      </c>
      <c r="C29" s="24" t="n">
        <v>0</v>
      </c>
      <c r="D29" s="24" t="n">
        <v>50</v>
      </c>
      <c r="E29" s="25" t="n">
        <v>50</v>
      </c>
      <c r="F29" s="24" t="n">
        <v>0</v>
      </c>
      <c r="G29" s="24" t="n">
        <v>0</v>
      </c>
      <c r="H29" s="24" t="n">
        <v>0</v>
      </c>
      <c r="I29" s="24" t="n">
        <v>5207.46</v>
      </c>
      <c r="J29" s="25" t="n">
        <v>5207.46</v>
      </c>
      <c r="K29" s="24" t="n">
        <v>-5157.46</v>
      </c>
      <c r="L29" s="25" t="n">
        <v>5157.46</v>
      </c>
      <c r="M29" s="26" t="inlineStr">
        <is>
          <t>FABRICAR GRANEL</t>
        </is>
      </c>
    </row>
    <row r="30" ht="20" customHeight="1">
      <c r="A30" s="27" t="inlineStr">
        <is>
          <t>A-50EG</t>
        </is>
      </c>
      <c r="B30" s="41" t="inlineStr">
        <is>
          <t>CODIORGAN-A50 EGIPTO</t>
        </is>
      </c>
      <c r="C30" s="33" t="n">
        <v>0</v>
      </c>
      <c r="D30" s="33" t="n">
        <v>0</v>
      </c>
      <c r="E30" s="34" t="n">
        <v>0</v>
      </c>
      <c r="F30" s="33" t="n">
        <v>0</v>
      </c>
      <c r="G30" s="33" t="n">
        <v>0</v>
      </c>
      <c r="H30" s="33" t="n">
        <v>0</v>
      </c>
      <c r="I30" s="33" t="n">
        <v>4339.54</v>
      </c>
      <c r="J30" s="34" t="n">
        <v>4339.54</v>
      </c>
      <c r="K30" s="33" t="n">
        <v>-4339.54</v>
      </c>
      <c r="L30" s="34" t="n">
        <v>4339.54</v>
      </c>
      <c r="M30" s="26" t="inlineStr">
        <is>
          <t>FABRICAR GRANEL</t>
        </is>
      </c>
    </row>
    <row r="31" ht="20" customHeight="1">
      <c r="A31" s="18" t="inlineStr">
        <is>
          <t>DECA</t>
        </is>
      </c>
      <c r="B31" s="42" t="inlineStr">
        <is>
          <t>DEFENS-CA-AE</t>
        </is>
      </c>
      <c r="C31" s="24" t="n">
        <v>1380</v>
      </c>
      <c r="D31" s="24" t="n">
        <v>0</v>
      </c>
      <c r="E31" s="25" t="n">
        <v>1380</v>
      </c>
      <c r="F31" s="24" t="n">
        <v>2200</v>
      </c>
      <c r="G31" s="24" t="n">
        <v>1019.75</v>
      </c>
      <c r="H31" s="24" t="n">
        <v>1152.93</v>
      </c>
      <c r="I31" s="24" t="n">
        <v>954.7</v>
      </c>
      <c r="J31" s="25" t="n">
        <v>5327.38</v>
      </c>
      <c r="K31" s="24" t="n">
        <v>-3947.38</v>
      </c>
      <c r="L31" s="25" t="n">
        <v>3947.38</v>
      </c>
      <c r="M31" s="26" t="inlineStr">
        <is>
          <t>FABRICAR GRANEL</t>
        </is>
      </c>
    </row>
    <row r="32" ht="20" customHeight="1">
      <c r="A32" s="27" t="inlineStr">
        <is>
          <t>RUN</t>
        </is>
      </c>
      <c r="B32" s="41" t="inlineStr">
        <is>
          <t>RUN STRESS</t>
        </is>
      </c>
      <c r="C32" s="33" t="n">
        <v>0</v>
      </c>
      <c r="D32" s="33" t="n">
        <v>600</v>
      </c>
      <c r="E32" s="34" t="n">
        <v>600</v>
      </c>
      <c r="F32" s="33" t="n">
        <v>1212</v>
      </c>
      <c r="G32" s="33" t="n">
        <v>0</v>
      </c>
      <c r="H32" s="33" t="n">
        <v>0</v>
      </c>
      <c r="I32" s="33" t="n">
        <v>2534.29</v>
      </c>
      <c r="J32" s="34" t="n">
        <v>3746.29</v>
      </c>
      <c r="K32" s="33" t="n">
        <v>-3146.29</v>
      </c>
      <c r="L32" s="34" t="n">
        <v>3146.29</v>
      </c>
      <c r="M32" s="26" t="inlineStr">
        <is>
          <t>FABRICAR GRANEL</t>
        </is>
      </c>
    </row>
    <row r="33" ht="20" customHeight="1">
      <c r="A33" s="18" t="inlineStr">
        <is>
          <t>CPLUS</t>
        </is>
      </c>
      <c r="B33" s="42" t="inlineStr">
        <is>
          <t>CALCIPLUS</t>
        </is>
      </c>
      <c r="C33" s="24" t="n">
        <v>2406</v>
      </c>
      <c r="D33" s="24" t="n">
        <v>10220</v>
      </c>
      <c r="E33" s="25" t="n">
        <v>12626</v>
      </c>
      <c r="F33" s="24" t="n">
        <v>0</v>
      </c>
      <c r="G33" s="24" t="n">
        <v>6378.08</v>
      </c>
      <c r="H33" s="24" t="n">
        <v>7630.32</v>
      </c>
      <c r="I33" s="24" t="n">
        <v>1666.38</v>
      </c>
      <c r="J33" s="25" t="n">
        <v>15674.78</v>
      </c>
      <c r="K33" s="24" t="n">
        <v>-3048.779999999999</v>
      </c>
      <c r="L33" s="25" t="n">
        <v>3048.779999999999</v>
      </c>
      <c r="M33" s="26" t="inlineStr">
        <is>
          <t>FABRICAR GRANEL</t>
        </is>
      </c>
    </row>
    <row r="34" ht="20" customHeight="1">
      <c r="A34" s="27" t="inlineStr">
        <is>
          <t>PHD00</t>
        </is>
      </c>
      <c r="B34" s="41" t="inlineStr">
        <is>
          <t>PH DOWNER, GRANEL</t>
        </is>
      </c>
      <c r="C34" s="33" t="n">
        <v>0</v>
      </c>
      <c r="D34" s="33" t="n">
        <v>824</v>
      </c>
      <c r="E34" s="34" t="n">
        <v>824</v>
      </c>
      <c r="F34" s="33" t="n">
        <v>1200</v>
      </c>
      <c r="G34" s="33" t="n">
        <v>1933.44</v>
      </c>
      <c r="H34" s="33" t="n">
        <v>104.81</v>
      </c>
      <c r="I34" s="33" t="n">
        <v>555.46</v>
      </c>
      <c r="J34" s="34" t="n">
        <v>3793.71</v>
      </c>
      <c r="K34" s="33" t="n">
        <v>-2969.71</v>
      </c>
      <c r="L34" s="34" t="n">
        <v>2969.71</v>
      </c>
      <c r="M34" s="26" t="inlineStr">
        <is>
          <t>FABRICAR GRANEL</t>
        </is>
      </c>
    </row>
    <row r="35" ht="20" customHeight="1">
      <c r="A35" s="18" t="inlineStr">
        <is>
          <t>FIORI</t>
        </is>
      </c>
      <c r="B35" s="42" t="inlineStr">
        <is>
          <t>RADIFIORI</t>
        </is>
      </c>
      <c r="C35" s="24" t="n">
        <v>0</v>
      </c>
      <c r="D35" s="24" t="n">
        <v>0</v>
      </c>
      <c r="E35" s="25" t="n">
        <v>0</v>
      </c>
      <c r="F35" s="24" t="n">
        <v>0</v>
      </c>
      <c r="G35" s="24" t="n">
        <v>0</v>
      </c>
      <c r="H35" s="24" t="n">
        <v>0</v>
      </c>
      <c r="I35" s="24" t="n">
        <v>2603.72</v>
      </c>
      <c r="J35" s="25" t="n">
        <v>2603.72</v>
      </c>
      <c r="K35" s="24" t="n">
        <v>-2603.72</v>
      </c>
      <c r="L35" s="25" t="n">
        <v>2603.72</v>
      </c>
      <c r="M35" s="26" t="inlineStr">
        <is>
          <t>FABRICAR GRANEL</t>
        </is>
      </c>
    </row>
    <row r="36" ht="20" customHeight="1">
      <c r="A36" s="27" t="inlineStr">
        <is>
          <t>AGNF</t>
        </is>
      </c>
      <c r="B36" s="41" t="inlineStr">
        <is>
          <t>CODIGREEN</t>
        </is>
      </c>
      <c r="C36" s="33" t="n">
        <v>304</v>
      </c>
      <c r="D36" s="33" t="n">
        <v>0</v>
      </c>
      <c r="E36" s="34" t="n">
        <v>304</v>
      </c>
      <c r="F36" s="33" t="n">
        <v>2772</v>
      </c>
      <c r="G36" s="33" t="n">
        <v>0</v>
      </c>
      <c r="H36" s="33" t="n">
        <v>0</v>
      </c>
      <c r="I36" s="33" t="n">
        <v>0</v>
      </c>
      <c r="J36" s="34" t="n">
        <v>2772</v>
      </c>
      <c r="K36" s="33" t="n">
        <v>-2468</v>
      </c>
      <c r="L36" s="34" t="n">
        <v>2468</v>
      </c>
      <c r="M36" s="26" t="inlineStr">
        <is>
          <t>FABRICAR GRANEL</t>
        </is>
      </c>
    </row>
    <row r="37" ht="20" customHeight="1">
      <c r="A37" s="18" t="inlineStr">
        <is>
          <t>PREZN</t>
        </is>
      </c>
      <c r="B37" s="42" t="inlineStr">
        <is>
          <t>PREZINC</t>
        </is>
      </c>
      <c r="C37" s="24" t="n">
        <v>0</v>
      </c>
      <c r="D37" s="24" t="n">
        <v>140</v>
      </c>
      <c r="E37" s="25" t="n">
        <v>140</v>
      </c>
      <c r="F37" s="24" t="n">
        <v>0</v>
      </c>
      <c r="G37" s="24" t="n">
        <v>0</v>
      </c>
      <c r="H37" s="24" t="n">
        <v>0</v>
      </c>
      <c r="I37" s="24" t="n">
        <v>2603.72</v>
      </c>
      <c r="J37" s="25" t="n">
        <v>2603.72</v>
      </c>
      <c r="K37" s="24" t="n">
        <v>-2463.72</v>
      </c>
      <c r="L37" s="25" t="n">
        <v>2463.72</v>
      </c>
      <c r="M37" s="26" t="inlineStr">
        <is>
          <t>FABRICAR GRANEL</t>
        </is>
      </c>
    </row>
    <row r="38" ht="20" customHeight="1">
      <c r="A38" s="27" t="inlineStr">
        <is>
          <t>AGZN</t>
        </is>
      </c>
      <c r="B38" s="41" t="inlineStr">
        <is>
          <t>AGROXILATO-ZN 16% (EXPORT)</t>
        </is>
      </c>
      <c r="C38" s="33" t="n">
        <v>35</v>
      </c>
      <c r="D38" s="33" t="n">
        <v>0</v>
      </c>
      <c r="E38" s="34" t="n">
        <v>35</v>
      </c>
      <c r="F38" s="33" t="n">
        <v>0</v>
      </c>
      <c r="G38" s="33" t="n">
        <v>927</v>
      </c>
      <c r="H38" s="33" t="n">
        <v>1106.82</v>
      </c>
      <c r="I38" s="33" t="n">
        <v>433.95</v>
      </c>
      <c r="J38" s="34" t="n">
        <v>2467.77</v>
      </c>
      <c r="K38" s="33" t="n">
        <v>-2432.77</v>
      </c>
      <c r="L38" s="34" t="n">
        <v>2432.77</v>
      </c>
      <c r="M38" s="26" t="inlineStr">
        <is>
          <t>FABRICAR GRANEL</t>
        </is>
      </c>
    </row>
    <row r="39" ht="20" customHeight="1">
      <c r="A39" s="18" t="inlineStr">
        <is>
          <t>BROTA</t>
        </is>
      </c>
      <c r="B39" s="42" t="inlineStr">
        <is>
          <t>BROTAMEC</t>
        </is>
      </c>
      <c r="C39" s="24" t="n">
        <v>100</v>
      </c>
      <c r="D39" s="24" t="n">
        <v>1928</v>
      </c>
      <c r="E39" s="25" t="n">
        <v>2028</v>
      </c>
      <c r="F39" s="24" t="n">
        <v>0</v>
      </c>
      <c r="G39" s="24" t="n">
        <v>2020.96</v>
      </c>
      <c r="H39" s="24" t="n">
        <v>733.6799999999999</v>
      </c>
      <c r="I39" s="24" t="n">
        <v>1440.73</v>
      </c>
      <c r="J39" s="25" t="n">
        <v>4195.37</v>
      </c>
      <c r="K39" s="24" t="n">
        <v>-2167.37</v>
      </c>
      <c r="L39" s="25" t="n">
        <v>2167.37</v>
      </c>
      <c r="M39" s="26" t="inlineStr">
        <is>
          <t>FABRICAR GRANEL</t>
        </is>
      </c>
    </row>
    <row r="40" ht="20" customHeight="1">
      <c r="A40" s="27" t="inlineStr">
        <is>
          <t>AGZNP</t>
        </is>
      </c>
      <c r="B40" s="41" t="inlineStr">
        <is>
          <t>AGROXILATO-ZN PLUS</t>
        </is>
      </c>
      <c r="C40" s="33" t="n">
        <v>13</v>
      </c>
      <c r="D40" s="33" t="n">
        <v>833</v>
      </c>
      <c r="E40" s="34" t="n">
        <v>846</v>
      </c>
      <c r="F40" s="33" t="n">
        <v>0</v>
      </c>
      <c r="G40" s="33" t="n">
        <v>1757.67</v>
      </c>
      <c r="H40" s="33" t="n">
        <v>0</v>
      </c>
      <c r="I40" s="33" t="n">
        <v>824.51</v>
      </c>
      <c r="J40" s="34" t="n">
        <v>2582.18</v>
      </c>
      <c r="K40" s="33" t="n">
        <v>-1736.18</v>
      </c>
      <c r="L40" s="34" t="n">
        <v>1736.18</v>
      </c>
      <c r="M40" s="26" t="inlineStr">
        <is>
          <t>FABRICAR GRANEL</t>
        </is>
      </c>
    </row>
    <row r="41" ht="20" customHeight="1">
      <c r="A41" s="18" t="inlineStr">
        <is>
          <t>CM3M</t>
        </is>
      </c>
      <c r="B41" s="42" t="inlineStr">
        <is>
          <t>TENSOLINE-MAX</t>
        </is>
      </c>
      <c r="C41" s="24" t="n">
        <v>0</v>
      </c>
      <c r="D41" s="24" t="n">
        <v>0</v>
      </c>
      <c r="E41" s="25" t="n">
        <v>0</v>
      </c>
      <c r="F41" s="24" t="n">
        <v>0</v>
      </c>
      <c r="G41" s="24" t="n">
        <v>0</v>
      </c>
      <c r="H41" s="24" t="n">
        <v>0</v>
      </c>
      <c r="I41" s="24" t="n">
        <v>1735.82</v>
      </c>
      <c r="J41" s="25" t="n">
        <v>1735.82</v>
      </c>
      <c r="K41" s="24" t="n">
        <v>-1735.82</v>
      </c>
      <c r="L41" s="25" t="n">
        <v>1735.82</v>
      </c>
      <c r="M41" s="26" t="inlineStr">
        <is>
          <t>FABRICAR GRANEL</t>
        </is>
      </c>
    </row>
    <row r="42" ht="20" customHeight="1">
      <c r="A42" s="27" t="inlineStr">
        <is>
          <t>GRE2</t>
        </is>
      </c>
      <c r="B42" s="41" t="inlineStr">
        <is>
          <t>EGERSIS</t>
        </is>
      </c>
      <c r="C42" s="33" t="n">
        <v>50</v>
      </c>
      <c r="D42" s="33" t="n">
        <v>0</v>
      </c>
      <c r="E42" s="34" t="n">
        <v>50</v>
      </c>
      <c r="F42" s="33" t="n">
        <v>0</v>
      </c>
      <c r="G42" s="33" t="n">
        <v>0</v>
      </c>
      <c r="H42" s="33" t="n">
        <v>0</v>
      </c>
      <c r="I42" s="33" t="n">
        <v>1735.82</v>
      </c>
      <c r="J42" s="34" t="n">
        <v>1735.82</v>
      </c>
      <c r="K42" s="33" t="n">
        <v>-1685.82</v>
      </c>
      <c r="L42" s="34" t="n">
        <v>1685.82</v>
      </c>
      <c r="M42" s="26" t="inlineStr">
        <is>
          <t>FABRICAR GRANEL</t>
        </is>
      </c>
    </row>
    <row r="43" ht="20" customHeight="1">
      <c r="A43" s="18" t="inlineStr">
        <is>
          <t>START2</t>
        </is>
      </c>
      <c r="B43" s="42" t="inlineStr">
        <is>
          <t>RADISOL STARTER</t>
        </is>
      </c>
      <c r="C43" s="24" t="n">
        <v>3559</v>
      </c>
      <c r="D43" s="24" t="n">
        <v>0</v>
      </c>
      <c r="E43" s="25" t="n">
        <v>3559</v>
      </c>
      <c r="F43" s="24" t="n">
        <v>2904</v>
      </c>
      <c r="G43" s="24" t="n">
        <v>0</v>
      </c>
      <c r="H43" s="24" t="n">
        <v>2096.24</v>
      </c>
      <c r="I43" s="24" t="n">
        <v>0</v>
      </c>
      <c r="J43" s="25" t="n">
        <v>5000.24</v>
      </c>
      <c r="K43" s="24" t="n">
        <v>-1441.24</v>
      </c>
      <c r="L43" s="25" t="n">
        <v>1441.24</v>
      </c>
      <c r="M43" s="26" t="inlineStr">
        <is>
          <t>FABRICAR GRANEL</t>
        </is>
      </c>
    </row>
    <row r="44" ht="20" customHeight="1">
      <c r="A44" s="27" t="inlineStr">
        <is>
          <t>BPLUS</t>
        </is>
      </c>
      <c r="B44" s="41" t="inlineStr">
        <is>
          <t>BOROCAL PLUS</t>
        </is>
      </c>
      <c r="C44" s="33" t="n">
        <v>0</v>
      </c>
      <c r="D44" s="33" t="n">
        <v>0</v>
      </c>
      <c r="E44" s="34" t="n">
        <v>0</v>
      </c>
      <c r="F44" s="33" t="n">
        <v>0</v>
      </c>
      <c r="G44" s="33" t="n">
        <v>0</v>
      </c>
      <c r="H44" s="33" t="n">
        <v>335.4</v>
      </c>
      <c r="I44" s="33" t="n">
        <v>867.91</v>
      </c>
      <c r="J44" s="34" t="n">
        <v>1203.31</v>
      </c>
      <c r="K44" s="33" t="n">
        <v>-1203.31</v>
      </c>
      <c r="L44" s="34" t="n">
        <v>1203.31</v>
      </c>
      <c r="M44" s="26" t="inlineStr">
        <is>
          <t>FABRICAR GRANEL</t>
        </is>
      </c>
    </row>
    <row r="45" ht="20" customHeight="1">
      <c r="A45" s="18" t="inlineStr">
        <is>
          <t>JF</t>
        </is>
      </c>
      <c r="B45" s="42" t="inlineStr">
        <is>
          <t>CODIGIN-FOS</t>
        </is>
      </c>
      <c r="C45" s="24" t="n">
        <v>1055</v>
      </c>
      <c r="D45" s="24" t="n">
        <v>1530</v>
      </c>
      <c r="E45" s="25" t="n">
        <v>2585</v>
      </c>
      <c r="F45" s="24" t="n">
        <v>0</v>
      </c>
      <c r="G45" s="24" t="n">
        <v>87.88</v>
      </c>
      <c r="H45" s="24" t="n">
        <v>2683.19</v>
      </c>
      <c r="I45" s="24" t="n">
        <v>867.91</v>
      </c>
      <c r="J45" s="25" t="n">
        <v>3638.98</v>
      </c>
      <c r="K45" s="24" t="n">
        <v>-1053.98</v>
      </c>
      <c r="L45" s="25" t="n">
        <v>1053.98</v>
      </c>
      <c r="M45" s="26" t="inlineStr">
        <is>
          <t>FABRICAR GRANEL</t>
        </is>
      </c>
    </row>
    <row r="46" ht="20" customHeight="1">
      <c r="A46" s="27" t="inlineStr">
        <is>
          <t>CBROT</t>
        </is>
      </c>
      <c r="B46" s="41" t="inlineStr">
        <is>
          <t>CODIBROT</t>
        </is>
      </c>
      <c r="C46" s="33" t="n">
        <v>400</v>
      </c>
      <c r="D46" s="33" t="n">
        <v>1244</v>
      </c>
      <c r="E46" s="34" t="n">
        <v>1644</v>
      </c>
      <c r="F46" s="33" t="n">
        <v>0</v>
      </c>
      <c r="G46" s="33" t="n">
        <v>0</v>
      </c>
      <c r="H46" s="33" t="n">
        <v>0</v>
      </c>
      <c r="I46" s="33" t="n">
        <v>2603.72</v>
      </c>
      <c r="J46" s="34" t="n">
        <v>2603.72</v>
      </c>
      <c r="K46" s="33" t="n">
        <v>-959.7199999999998</v>
      </c>
      <c r="L46" s="34" t="n">
        <v>959.7199999999998</v>
      </c>
      <c r="M46" s="26" t="inlineStr">
        <is>
          <t>FABRICAR GRANEL</t>
        </is>
      </c>
    </row>
    <row r="47" ht="20" customHeight="1">
      <c r="A47" s="18" t="inlineStr">
        <is>
          <t>LP</t>
        </is>
      </c>
      <c r="B47" s="42" t="inlineStr">
        <is>
          <t>LAVAPLANT GRANEL</t>
        </is>
      </c>
      <c r="C47" s="24" t="n">
        <v>2840</v>
      </c>
      <c r="D47" s="24" t="n">
        <v>1160</v>
      </c>
      <c r="E47" s="25" t="n">
        <v>4000</v>
      </c>
      <c r="F47" s="24" t="n">
        <v>2252</v>
      </c>
      <c r="G47" s="24" t="n">
        <v>0</v>
      </c>
      <c r="H47" s="24" t="n">
        <v>2620.3</v>
      </c>
      <c r="I47" s="24" t="n">
        <v>0</v>
      </c>
      <c r="J47" s="25" t="n">
        <v>4872.299999999999</v>
      </c>
      <c r="K47" s="24" t="n">
        <v>-872.2999999999993</v>
      </c>
      <c r="L47" s="25" t="n">
        <v>872.2999999999993</v>
      </c>
      <c r="M47" s="26" t="inlineStr">
        <is>
          <t>FABRICAR GRANEL</t>
        </is>
      </c>
    </row>
    <row r="48" ht="20" customHeight="1">
      <c r="A48" s="27" t="inlineStr">
        <is>
          <t>CM3</t>
        </is>
      </c>
      <c r="B48" s="41" t="inlineStr">
        <is>
          <t>TENSOLINE</t>
        </is>
      </c>
      <c r="C48" s="33" t="n">
        <v>0</v>
      </c>
      <c r="D48" s="33" t="n">
        <v>0</v>
      </c>
      <c r="E48" s="34" t="n">
        <v>0</v>
      </c>
      <c r="F48" s="33" t="n">
        <v>0</v>
      </c>
      <c r="G48" s="33" t="n">
        <v>0</v>
      </c>
      <c r="H48" s="33" t="n">
        <v>0</v>
      </c>
      <c r="I48" s="33" t="n">
        <v>867.91</v>
      </c>
      <c r="J48" s="34" t="n">
        <v>867.91</v>
      </c>
      <c r="K48" s="33" t="n">
        <v>-867.91</v>
      </c>
      <c r="L48" s="34" t="n">
        <v>867.91</v>
      </c>
      <c r="M48" s="26" t="inlineStr">
        <is>
          <t>FABRICAR GRANEL</t>
        </is>
      </c>
    </row>
    <row r="49" ht="20" customHeight="1">
      <c r="A49" s="18" t="inlineStr">
        <is>
          <t>MPH</t>
        </is>
      </c>
      <c r="B49" s="42" t="inlineStr">
        <is>
          <t>MOJALINE NL</t>
        </is>
      </c>
      <c r="C49" s="24" t="n">
        <v>0</v>
      </c>
      <c r="D49" s="24" t="n">
        <v>0</v>
      </c>
      <c r="E49" s="25" t="n">
        <v>0</v>
      </c>
      <c r="F49" s="24" t="n">
        <v>0</v>
      </c>
      <c r="G49" s="24" t="n">
        <v>0</v>
      </c>
      <c r="H49" s="24" t="n">
        <v>838.5</v>
      </c>
      <c r="I49" s="24" t="n">
        <v>0</v>
      </c>
      <c r="J49" s="25" t="n">
        <v>838.5</v>
      </c>
      <c r="K49" s="24" t="n">
        <v>-838.5</v>
      </c>
      <c r="L49" s="25" t="n">
        <v>838.5</v>
      </c>
      <c r="M49" s="26" t="inlineStr">
        <is>
          <t>FABRICAR GRANEL</t>
        </is>
      </c>
    </row>
    <row r="50" ht="20" customHeight="1">
      <c r="A50" s="27" t="inlineStr">
        <is>
          <t>FROST-P</t>
        </is>
      </c>
      <c r="B50" s="41" t="inlineStr">
        <is>
          <t>CODIFROST PLUS</t>
        </is>
      </c>
      <c r="C50" s="33" t="n">
        <v>300</v>
      </c>
      <c r="D50" s="33" t="n">
        <v>760</v>
      </c>
      <c r="E50" s="34" t="n">
        <v>1060</v>
      </c>
      <c r="F50" s="33" t="n">
        <v>0</v>
      </c>
      <c r="G50" s="33" t="n">
        <v>0</v>
      </c>
      <c r="H50" s="33" t="n">
        <v>1656.03</v>
      </c>
      <c r="I50" s="33" t="n">
        <v>173.58</v>
      </c>
      <c r="J50" s="34" t="n">
        <v>1829.61</v>
      </c>
      <c r="K50" s="33" t="n">
        <v>-769.6099999999999</v>
      </c>
      <c r="L50" s="34" t="n">
        <v>769.6099999999999</v>
      </c>
      <c r="M50" s="26" t="inlineStr">
        <is>
          <t>FABRICAR GRANEL</t>
        </is>
      </c>
    </row>
    <row r="51" ht="20" customHeight="1">
      <c r="A51" s="18" t="inlineStr">
        <is>
          <t>AMIMG</t>
        </is>
      </c>
      <c r="B51" s="42" t="inlineStr">
        <is>
          <t>AMINOSOIL-MG</t>
        </is>
      </c>
      <c r="C51" s="24" t="n">
        <v>300</v>
      </c>
      <c r="D51" s="24" t="n">
        <v>160</v>
      </c>
      <c r="E51" s="25" t="n">
        <v>460</v>
      </c>
      <c r="F51" s="24" t="n">
        <v>0</v>
      </c>
      <c r="G51" s="24" t="n">
        <v>0</v>
      </c>
      <c r="H51" s="24" t="n">
        <v>670.8</v>
      </c>
      <c r="I51" s="24" t="n">
        <v>260.37</v>
      </c>
      <c r="J51" s="25" t="n">
        <v>931.17</v>
      </c>
      <c r="K51" s="24" t="n">
        <v>-471.17</v>
      </c>
      <c r="L51" s="25" t="n">
        <v>471.17</v>
      </c>
      <c r="M51" s="26" t="inlineStr">
        <is>
          <t>FABRICAR GRANEL</t>
        </is>
      </c>
    </row>
    <row r="52" ht="20" customHeight="1">
      <c r="A52" s="27" t="inlineStr">
        <is>
          <t>HST</t>
        </is>
      </c>
      <c r="B52" s="41" t="inlineStr">
        <is>
          <t>HIDROSTRESS-40</t>
        </is>
      </c>
      <c r="C52" s="33" t="n">
        <v>0</v>
      </c>
      <c r="D52" s="33" t="n">
        <v>2316</v>
      </c>
      <c r="E52" s="34" t="n">
        <v>2316</v>
      </c>
      <c r="F52" s="33" t="n">
        <v>0</v>
      </c>
      <c r="G52" s="33" t="n">
        <v>1223.7</v>
      </c>
      <c r="H52" s="33" t="n">
        <v>1383.51</v>
      </c>
      <c r="I52" s="33" t="n">
        <v>121.51</v>
      </c>
      <c r="J52" s="34" t="n">
        <v>2728.72</v>
      </c>
      <c r="K52" s="33" t="n">
        <v>-412.7200000000003</v>
      </c>
      <c r="L52" s="34" t="n">
        <v>412.7200000000003</v>
      </c>
      <c r="M52" s="26" t="inlineStr">
        <is>
          <t>FABRICAR GRANEL</t>
        </is>
      </c>
    </row>
    <row r="53" ht="20" customHeight="1">
      <c r="A53" s="18" t="inlineStr">
        <is>
          <t>NB</t>
        </is>
      </c>
      <c r="B53" s="42" t="inlineStr">
        <is>
          <t>NITROBALANCE</t>
        </is>
      </c>
      <c r="C53" s="24" t="n">
        <v>1590</v>
      </c>
      <c r="D53" s="24" t="n">
        <v>0</v>
      </c>
      <c r="E53" s="25" t="n">
        <v>1590</v>
      </c>
      <c r="F53" s="24" t="n">
        <v>2000</v>
      </c>
      <c r="G53" s="24" t="n">
        <v>0</v>
      </c>
      <c r="H53" s="24" t="n">
        <v>0</v>
      </c>
      <c r="I53" s="24" t="n">
        <v>0</v>
      </c>
      <c r="J53" s="25" t="n">
        <v>2000</v>
      </c>
      <c r="K53" s="24" t="n">
        <v>-410</v>
      </c>
      <c r="L53" s="25" t="n">
        <v>410</v>
      </c>
      <c r="M53" s="26" t="inlineStr">
        <is>
          <t>FABRICAR GRANEL</t>
        </is>
      </c>
    </row>
    <row r="54" ht="20" customHeight="1">
      <c r="A54" s="27" t="inlineStr">
        <is>
          <t>CALCIO</t>
        </is>
      </c>
      <c r="B54" s="41" t="inlineStr">
        <is>
          <t>CALCIAMEC</t>
        </is>
      </c>
      <c r="C54" s="33" t="n">
        <v>0</v>
      </c>
      <c r="D54" s="33" t="n">
        <v>3850</v>
      </c>
      <c r="E54" s="34" t="n">
        <v>3850</v>
      </c>
      <c r="F54" s="33" t="n">
        <v>0</v>
      </c>
      <c r="G54" s="33" t="n">
        <v>761.1900000000001</v>
      </c>
      <c r="H54" s="33" t="n">
        <v>1939.02</v>
      </c>
      <c r="I54" s="33" t="n">
        <v>1518.84</v>
      </c>
      <c r="J54" s="34" t="n">
        <v>4219.05</v>
      </c>
      <c r="K54" s="33" t="n">
        <v>-369.0500000000002</v>
      </c>
      <c r="L54" s="34" t="n">
        <v>369.0500000000002</v>
      </c>
      <c r="M54" s="26" t="inlineStr">
        <is>
          <t>FABRICAR GRANEL</t>
        </is>
      </c>
    </row>
    <row r="55" ht="20" customHeight="1">
      <c r="A55" s="18" t="inlineStr">
        <is>
          <t>G3</t>
        </is>
      </c>
      <c r="B55" s="42" t="inlineStr">
        <is>
          <t>GREEN-UP</t>
        </is>
      </c>
      <c r="C55" s="24" t="n">
        <v>0</v>
      </c>
      <c r="D55" s="24" t="n">
        <v>2900</v>
      </c>
      <c r="E55" s="25" t="n">
        <v>2900</v>
      </c>
      <c r="F55" s="24" t="n">
        <v>240</v>
      </c>
      <c r="G55" s="24" t="n">
        <v>1186.62</v>
      </c>
      <c r="H55" s="24" t="n">
        <v>1341.59</v>
      </c>
      <c r="I55" s="24" t="n">
        <v>208.3</v>
      </c>
      <c r="J55" s="25" t="n">
        <v>2976.51</v>
      </c>
      <c r="K55" s="24" t="n">
        <v>-76.51000000000022</v>
      </c>
      <c r="L55" s="25" t="n">
        <v>76.51000000000022</v>
      </c>
      <c r="M55" s="26" t="inlineStr">
        <is>
          <t>FABRICAR GRANEL</t>
        </is>
      </c>
    </row>
    <row r="56" ht="20" customHeight="1">
      <c r="A56" s="27" t="inlineStr">
        <is>
          <t>PIV</t>
        </is>
      </c>
      <c r="B56" s="41" t="inlineStr">
        <is>
          <t>PGRIV</t>
        </is>
      </c>
      <c r="C56" s="33" t="n">
        <v>5580</v>
      </c>
      <c r="D56" s="33" t="n">
        <v>5860</v>
      </c>
      <c r="E56" s="34" t="n">
        <v>11440</v>
      </c>
      <c r="F56" s="33" t="n">
        <v>400</v>
      </c>
      <c r="G56" s="33" t="n">
        <v>4746.48</v>
      </c>
      <c r="H56" s="33" t="n">
        <v>3353.99</v>
      </c>
      <c r="I56" s="33" t="n">
        <v>1666.38</v>
      </c>
      <c r="J56" s="34" t="n">
        <v>10166.85</v>
      </c>
      <c r="K56" s="33" t="n">
        <v>1273.150000000001</v>
      </c>
      <c r="L56" s="34" t="n">
        <v>0</v>
      </c>
      <c r="M56" s="36" t="inlineStr">
        <is>
          <t>CUBIERTO</t>
        </is>
      </c>
    </row>
    <row r="57" ht="20" customHeight="1">
      <c r="A57" s="18" t="inlineStr">
        <is>
          <t>C-L</t>
        </is>
      </c>
      <c r="B57" s="42" t="inlineStr">
        <is>
          <t>CODIBOR-L</t>
        </is>
      </c>
      <c r="C57" s="24" t="n">
        <v>8000.00095</v>
      </c>
      <c r="D57" s="24" t="n">
        <v>1068</v>
      </c>
      <c r="E57" s="25" t="n">
        <v>9068.00095</v>
      </c>
      <c r="F57" s="24" t="n">
        <v>704</v>
      </c>
      <c r="G57" s="24" t="n">
        <v>881.4499999999999</v>
      </c>
      <c r="H57" s="24" t="n">
        <v>524.0599999999999</v>
      </c>
      <c r="I57" s="24" t="n">
        <v>4339.54</v>
      </c>
      <c r="J57" s="25" t="n">
        <v>6449.049999999999</v>
      </c>
      <c r="K57" s="24" t="n">
        <v>2618.95095</v>
      </c>
      <c r="L57" s="25" t="n">
        <v>0</v>
      </c>
      <c r="M57" s="36" t="inlineStr">
        <is>
          <t>CUBIERTO</t>
        </is>
      </c>
    </row>
    <row r="58" ht="20" customHeight="1">
      <c r="A58" s="27" t="inlineStr">
        <is>
          <t>N</t>
        </is>
      </c>
      <c r="B58" s="41" t="inlineStr">
        <is>
          <t>NUTRICALE</t>
        </is>
      </c>
      <c r="C58" s="33" t="n">
        <v>1050</v>
      </c>
      <c r="D58" s="33" t="n">
        <v>3212</v>
      </c>
      <c r="E58" s="34" t="n">
        <v>4262</v>
      </c>
      <c r="F58" s="33" t="n">
        <v>0</v>
      </c>
      <c r="G58" s="33" t="n">
        <v>1186.62</v>
      </c>
      <c r="H58" s="33" t="n">
        <v>1341.59</v>
      </c>
      <c r="I58" s="33" t="n">
        <v>0</v>
      </c>
      <c r="J58" s="34" t="n">
        <v>2528.21</v>
      </c>
      <c r="K58" s="33" t="n">
        <v>1733.79</v>
      </c>
      <c r="L58" s="34" t="n">
        <v>0</v>
      </c>
      <c r="M58" s="36" t="inlineStr">
        <is>
          <t>CUBIERTO</t>
        </is>
      </c>
    </row>
    <row r="59" ht="20" customHeight="1">
      <c r="A59" s="18" t="inlineStr">
        <is>
          <t>FLOR</t>
        </is>
      </c>
      <c r="B59" s="42" t="inlineStr">
        <is>
          <t>FLORAMEC</t>
        </is>
      </c>
      <c r="C59" s="24" t="n">
        <v>1500</v>
      </c>
      <c r="D59" s="24" t="n">
        <v>851</v>
      </c>
      <c r="E59" s="25" t="n">
        <v>2351</v>
      </c>
      <c r="F59" s="24" t="n">
        <v>648</v>
      </c>
      <c r="G59" s="24" t="n">
        <v>185.41</v>
      </c>
      <c r="H59" s="24" t="n">
        <v>1152.93</v>
      </c>
      <c r="I59" s="24" t="n">
        <v>0</v>
      </c>
      <c r="J59" s="25" t="n">
        <v>1986.34</v>
      </c>
      <c r="K59" s="24" t="n">
        <v>364.6599999999999</v>
      </c>
      <c r="L59" s="25" t="n">
        <v>0</v>
      </c>
      <c r="M59" s="36" t="inlineStr">
        <is>
          <t>CUBIERTO</t>
        </is>
      </c>
    </row>
    <row r="60" ht="20" customHeight="1">
      <c r="A60" s="27" t="inlineStr">
        <is>
          <t>FU</t>
        </is>
      </c>
      <c r="B60" s="41" t="inlineStr">
        <is>
          <t>FULVIGIN</t>
        </is>
      </c>
      <c r="C60" s="33" t="n">
        <v>3000</v>
      </c>
      <c r="D60" s="33" t="n">
        <v>2496</v>
      </c>
      <c r="E60" s="34" t="n">
        <v>5496</v>
      </c>
      <c r="F60" s="33" t="n">
        <v>204</v>
      </c>
      <c r="G60" s="33" t="n">
        <v>0</v>
      </c>
      <c r="H60" s="33" t="n">
        <v>524.0599999999999</v>
      </c>
      <c r="I60" s="33" t="n">
        <v>867.91</v>
      </c>
      <c r="J60" s="34" t="n">
        <v>1595.97</v>
      </c>
      <c r="K60" s="33" t="n">
        <v>3900.03</v>
      </c>
      <c r="L60" s="34" t="n">
        <v>0</v>
      </c>
      <c r="M60" s="36" t="inlineStr">
        <is>
          <t>CUBIERTO</t>
        </is>
      </c>
    </row>
    <row r="61" ht="20" customHeight="1">
      <c r="A61" s="18" t="inlineStr">
        <is>
          <t>BR-59</t>
        </is>
      </c>
      <c r="B61" s="42" t="inlineStr">
        <is>
          <t>BR-59</t>
        </is>
      </c>
      <c r="C61" s="24" t="n">
        <v>0</v>
      </c>
      <c r="D61" s="24" t="n">
        <v>5755</v>
      </c>
      <c r="E61" s="25" t="n">
        <v>5755</v>
      </c>
      <c r="F61" s="24" t="n">
        <v>1280</v>
      </c>
      <c r="G61" s="24" t="n">
        <v>0</v>
      </c>
      <c r="H61" s="24" t="n">
        <v>314.44</v>
      </c>
      <c r="I61" s="24" t="n">
        <v>0</v>
      </c>
      <c r="J61" s="25" t="n">
        <v>1594.44</v>
      </c>
      <c r="K61" s="24" t="n">
        <v>4160.559999999999</v>
      </c>
      <c r="L61" s="25" t="n">
        <v>0</v>
      </c>
      <c r="M61" s="36" t="inlineStr">
        <is>
          <t>CUBIERTO</t>
        </is>
      </c>
    </row>
    <row r="62" ht="20" customHeight="1">
      <c r="A62" s="27" t="inlineStr">
        <is>
          <t>C-MB</t>
        </is>
      </c>
      <c r="B62" s="41" t="inlineStr">
        <is>
          <t>CODIFOL-MB</t>
        </is>
      </c>
      <c r="C62" s="33" t="n">
        <v>1500</v>
      </c>
      <c r="D62" s="33" t="n">
        <v>2344</v>
      </c>
      <c r="E62" s="34" t="n">
        <v>3844</v>
      </c>
      <c r="F62" s="33" t="n">
        <v>0</v>
      </c>
      <c r="G62" s="33" t="n">
        <v>741.63</v>
      </c>
      <c r="H62" s="33" t="n">
        <v>0</v>
      </c>
      <c r="I62" s="33" t="n">
        <v>694.33</v>
      </c>
      <c r="J62" s="34" t="n">
        <v>1435.96</v>
      </c>
      <c r="K62" s="33" t="n">
        <v>2408.04</v>
      </c>
      <c r="L62" s="34" t="n">
        <v>0</v>
      </c>
      <c r="M62" s="36" t="inlineStr">
        <is>
          <t>CUBIERTO</t>
        </is>
      </c>
    </row>
    <row r="63" ht="20" customHeight="1">
      <c r="A63" s="18" t="inlineStr">
        <is>
          <t>TRI</t>
        </is>
      </c>
      <c r="B63" s="42" t="inlineStr">
        <is>
          <t>TRIFENO-94</t>
        </is>
      </c>
      <c r="C63" s="24" t="n">
        <v>1750</v>
      </c>
      <c r="D63" s="24" t="n">
        <v>102</v>
      </c>
      <c r="E63" s="25" t="n">
        <v>1852</v>
      </c>
      <c r="F63" s="24" t="n">
        <v>0</v>
      </c>
      <c r="G63" s="24" t="n">
        <v>441.12</v>
      </c>
      <c r="H63" s="24" t="n">
        <v>419.25</v>
      </c>
      <c r="I63" s="24" t="n">
        <v>569.35</v>
      </c>
      <c r="J63" s="25" t="n">
        <v>1429.72</v>
      </c>
      <c r="K63" s="24" t="n">
        <v>422.28</v>
      </c>
      <c r="L63" s="25" t="n">
        <v>0</v>
      </c>
      <c r="M63" s="36" t="inlineStr">
        <is>
          <t>CUBIERTO</t>
        </is>
      </c>
    </row>
    <row r="64" ht="20" customHeight="1">
      <c r="A64" s="27" t="inlineStr">
        <is>
          <t>SPCE2</t>
        </is>
      </c>
      <c r="B64" s="41" t="inlineStr">
        <is>
          <t>SPRINTENE ABONO CE EXPORTACIÓN</t>
        </is>
      </c>
      <c r="C64" s="33" t="n">
        <v>1900</v>
      </c>
      <c r="D64" s="33" t="n">
        <v>0</v>
      </c>
      <c r="E64" s="34" t="n">
        <v>1900</v>
      </c>
      <c r="F64" s="33" t="n">
        <v>0</v>
      </c>
      <c r="G64" s="33" t="n">
        <v>370.82</v>
      </c>
      <c r="H64" s="33" t="n">
        <v>943.3099999999999</v>
      </c>
      <c r="I64" s="33" t="n">
        <v>0</v>
      </c>
      <c r="J64" s="34" t="n">
        <v>1314.13</v>
      </c>
      <c r="K64" s="33" t="n">
        <v>585.8700000000001</v>
      </c>
      <c r="L64" s="34" t="n">
        <v>0</v>
      </c>
      <c r="M64" s="36" t="inlineStr">
        <is>
          <t>CUBIERTO</t>
        </is>
      </c>
    </row>
    <row r="65" ht="20" customHeight="1">
      <c r="A65" s="18" t="inlineStr">
        <is>
          <t>PK50</t>
        </is>
      </c>
      <c r="B65" s="42" t="inlineStr">
        <is>
          <t>POLIFRUIT K50</t>
        </is>
      </c>
      <c r="C65" s="24" t="n">
        <v>1900</v>
      </c>
      <c r="D65" s="24" t="n">
        <v>0</v>
      </c>
      <c r="E65" s="25" t="n">
        <v>1900</v>
      </c>
      <c r="F65" s="24" t="n">
        <v>0</v>
      </c>
      <c r="G65" s="24" t="n">
        <v>0</v>
      </c>
      <c r="H65" s="24" t="n">
        <v>985.24</v>
      </c>
      <c r="I65" s="24" t="n">
        <v>0</v>
      </c>
      <c r="J65" s="25" t="n">
        <v>985.24</v>
      </c>
      <c r="K65" s="24" t="n">
        <v>914.76</v>
      </c>
      <c r="L65" s="25" t="n">
        <v>0</v>
      </c>
      <c r="M65" s="36" t="inlineStr">
        <is>
          <t>CUBIERTO</t>
        </is>
      </c>
    </row>
    <row r="66" ht="20" customHeight="1">
      <c r="A66" s="27" t="inlineStr">
        <is>
          <t>WHITE</t>
        </is>
      </c>
      <c r="B66" s="41" t="inlineStr">
        <is>
          <t>AGROWHITE</t>
        </is>
      </c>
      <c r="C66" s="33" t="n">
        <v>0</v>
      </c>
      <c r="D66" s="33" t="n">
        <v>10520</v>
      </c>
      <c r="E66" s="34" t="n">
        <v>10520</v>
      </c>
      <c r="F66" s="33" t="n">
        <v>0</v>
      </c>
      <c r="G66" s="33" t="n">
        <v>966.72</v>
      </c>
      <c r="H66" s="33" t="n">
        <v>0</v>
      </c>
      <c r="I66" s="33" t="n">
        <v>0</v>
      </c>
      <c r="J66" s="34" t="n">
        <v>966.72</v>
      </c>
      <c r="K66" s="33" t="n">
        <v>9553.280000000001</v>
      </c>
      <c r="L66" s="34" t="n">
        <v>0</v>
      </c>
      <c r="M66" s="36" t="inlineStr">
        <is>
          <t>CUBIERTO</t>
        </is>
      </c>
    </row>
    <row r="67" ht="20" customHeight="1">
      <c r="A67" s="18" t="inlineStr">
        <is>
          <t>PML</t>
        </is>
      </c>
      <c r="B67" s="42" t="inlineStr">
        <is>
          <t>POLIGREEN MIX L</t>
        </is>
      </c>
      <c r="C67" s="24" t="n">
        <v>750</v>
      </c>
      <c r="D67" s="24" t="n">
        <v>0</v>
      </c>
      <c r="E67" s="25" t="n">
        <v>750</v>
      </c>
      <c r="F67" s="24" t="n">
        <v>0</v>
      </c>
      <c r="G67" s="24" t="n">
        <v>0</v>
      </c>
      <c r="H67" s="24" t="n">
        <v>691.76</v>
      </c>
      <c r="I67" s="24" t="n">
        <v>0</v>
      </c>
      <c r="J67" s="25" t="n">
        <v>691.76</v>
      </c>
      <c r="K67" s="24" t="n">
        <v>58.24000000000001</v>
      </c>
      <c r="L67" s="25" t="n">
        <v>0</v>
      </c>
      <c r="M67" s="36" t="inlineStr">
        <is>
          <t>CUBIERTO</t>
        </is>
      </c>
    </row>
    <row r="68" ht="20" customHeight="1">
      <c r="A68" s="27" t="inlineStr">
        <is>
          <t>C-GLB</t>
        </is>
      </c>
      <c r="B68" s="41" t="inlineStr">
        <is>
          <t>CODIORGAN GLB</t>
        </is>
      </c>
      <c r="C68" s="33" t="n">
        <v>0</v>
      </c>
      <c r="D68" s="33" t="n">
        <v>885</v>
      </c>
      <c r="E68" s="34" t="n">
        <v>885</v>
      </c>
      <c r="F68" s="33" t="n">
        <v>0</v>
      </c>
      <c r="G68" s="33" t="n">
        <v>211.37</v>
      </c>
      <c r="H68" s="33" t="n">
        <v>113.2</v>
      </c>
      <c r="I68" s="33" t="n">
        <v>187.47</v>
      </c>
      <c r="J68" s="34" t="n">
        <v>512.04</v>
      </c>
      <c r="K68" s="33" t="n">
        <v>372.96</v>
      </c>
      <c r="L68" s="34" t="n">
        <v>0</v>
      </c>
      <c r="M68" s="36" t="inlineStr">
        <is>
          <t>CUBIERTO</t>
        </is>
      </c>
    </row>
    <row r="69" ht="20" customHeight="1">
      <c r="A69" s="18" t="inlineStr">
        <is>
          <t>CBASI</t>
        </is>
      </c>
      <c r="B69" s="42" t="inlineStr">
        <is>
          <t>BIOCULTURE BASI</t>
        </is>
      </c>
      <c r="C69" s="24" t="n">
        <v>0</v>
      </c>
      <c r="D69" s="24" t="n">
        <v>770</v>
      </c>
      <c r="E69" s="25" t="n">
        <v>770</v>
      </c>
      <c r="F69" s="24" t="n">
        <v>0</v>
      </c>
      <c r="G69" s="24" t="n">
        <v>463.52</v>
      </c>
      <c r="H69" s="24" t="n">
        <v>0</v>
      </c>
      <c r="I69" s="24" t="n">
        <v>0</v>
      </c>
      <c r="J69" s="25" t="n">
        <v>463.52</v>
      </c>
      <c r="K69" s="24" t="n">
        <v>306.48</v>
      </c>
      <c r="L69" s="25" t="n">
        <v>0</v>
      </c>
      <c r="M69" s="36" t="inlineStr">
        <is>
          <t>CUBIERTO</t>
        </is>
      </c>
    </row>
    <row r="70" ht="20" customHeight="1">
      <c r="A70" s="27" t="inlineStr">
        <is>
          <t>AGZ-M</t>
        </is>
      </c>
      <c r="B70" s="41" t="inlineStr">
        <is>
          <t>AGROXILATO-ZN-MN</t>
        </is>
      </c>
      <c r="C70" s="33" t="n">
        <v>0</v>
      </c>
      <c r="D70" s="33" t="n">
        <v>1200</v>
      </c>
      <c r="E70" s="34" t="n">
        <v>1200</v>
      </c>
      <c r="F70" s="33" t="n">
        <v>0</v>
      </c>
      <c r="G70" s="33" t="n">
        <v>0</v>
      </c>
      <c r="H70" s="33" t="n">
        <v>117.39</v>
      </c>
      <c r="I70" s="33" t="n">
        <v>173.58</v>
      </c>
      <c r="J70" s="34" t="n">
        <v>290.97</v>
      </c>
      <c r="K70" s="33" t="n">
        <v>909.03</v>
      </c>
      <c r="L70" s="34" t="n">
        <v>0</v>
      </c>
      <c r="M70" s="36" t="inlineStr">
        <is>
          <t>CUBIERTO</t>
        </is>
      </c>
    </row>
    <row r="71" ht="20" customHeight="1">
      <c r="A71" s="18" t="inlineStr">
        <is>
          <t>AQUOM</t>
        </is>
      </c>
      <c r="B71" s="42" t="inlineStr">
        <is>
          <t>AQUOM</t>
        </is>
      </c>
      <c r="C71" s="24" t="n">
        <v>2190</v>
      </c>
      <c r="D71" s="24" t="n">
        <v>896</v>
      </c>
      <c r="E71" s="25" t="n">
        <v>3086</v>
      </c>
      <c r="F71" s="24" t="n">
        <v>0</v>
      </c>
      <c r="G71" s="24" t="n">
        <v>92.7</v>
      </c>
      <c r="H71" s="24" t="n">
        <v>104.81</v>
      </c>
      <c r="I71" s="24" t="n">
        <v>0</v>
      </c>
      <c r="J71" s="25" t="n">
        <v>197.51</v>
      </c>
      <c r="K71" s="24" t="n">
        <v>2888.49</v>
      </c>
      <c r="L71" s="25" t="n">
        <v>0</v>
      </c>
      <c r="M71" s="36" t="inlineStr">
        <is>
          <t>CUBIERTO</t>
        </is>
      </c>
    </row>
    <row r="72" ht="20" customHeight="1">
      <c r="A72" s="27" t="inlineStr">
        <is>
          <t>SSAE</t>
        </is>
      </c>
      <c r="B72" s="41" t="inlineStr">
        <is>
          <t>MAGNIFIC-VIETS-AE</t>
        </is>
      </c>
      <c r="C72" s="33" t="n">
        <v>0</v>
      </c>
      <c r="D72" s="33" t="n">
        <v>400</v>
      </c>
      <c r="E72" s="34" t="n">
        <v>400</v>
      </c>
      <c r="F72" s="33" t="n">
        <v>0</v>
      </c>
      <c r="G72" s="33" t="n">
        <v>175.77</v>
      </c>
      <c r="H72" s="33" t="n">
        <v>0</v>
      </c>
      <c r="I72" s="33" t="n">
        <v>0</v>
      </c>
      <c r="J72" s="34" t="n">
        <v>175.77</v>
      </c>
      <c r="K72" s="33" t="n">
        <v>224.23</v>
      </c>
      <c r="L72" s="34" t="n">
        <v>0</v>
      </c>
      <c r="M72" s="36" t="inlineStr">
        <is>
          <t>CUBIERTO</t>
        </is>
      </c>
    </row>
    <row r="73" ht="20" customHeight="1">
      <c r="A73" s="18" t="inlineStr">
        <is>
          <t>P-5X</t>
        </is>
      </c>
      <c r="B73" s="42" t="inlineStr">
        <is>
          <t>P.M.S. 5x</t>
        </is>
      </c>
      <c r="C73" s="24" t="n">
        <v>171</v>
      </c>
      <c r="D73" s="24" t="n">
        <v>1560</v>
      </c>
      <c r="E73" s="25" t="n">
        <v>1731</v>
      </c>
      <c r="F73" s="24" t="n">
        <v>0</v>
      </c>
      <c r="G73" s="24" t="n">
        <v>0</v>
      </c>
      <c r="H73" s="24" t="n">
        <v>0</v>
      </c>
      <c r="I73" s="24" t="n">
        <v>86.79000000000001</v>
      </c>
      <c r="J73" s="25" t="n">
        <v>86.79000000000001</v>
      </c>
      <c r="K73" s="24" t="n">
        <v>1644.21</v>
      </c>
      <c r="L73" s="25" t="n">
        <v>0</v>
      </c>
      <c r="M73" s="36" t="inlineStr">
        <is>
          <t>CUBIERTO</t>
        </is>
      </c>
    </row>
    <row r="74" ht="20" customHeight="1">
      <c r="A74" s="27" t="inlineStr">
        <is>
          <t>BEY</t>
        </is>
      </c>
      <c r="B74" s="41" t="inlineStr">
        <is>
          <t>BERRY-FLOR</t>
        </is>
      </c>
      <c r="C74" s="33" t="n">
        <v>2412</v>
      </c>
      <c r="D74" s="33" t="n">
        <v>320</v>
      </c>
      <c r="E74" s="34" t="n">
        <v>2732</v>
      </c>
      <c r="F74" s="33" t="n">
        <v>36</v>
      </c>
      <c r="G74" s="33" t="n">
        <v>0</v>
      </c>
      <c r="H74" s="33" t="n">
        <v>0</v>
      </c>
      <c r="I74" s="33" t="n">
        <v>0</v>
      </c>
      <c r="J74" s="34" t="n">
        <v>36</v>
      </c>
      <c r="K74" s="33" t="n">
        <v>2696</v>
      </c>
      <c r="L74" s="34" t="n">
        <v>0</v>
      </c>
      <c r="M74" s="36" t="inlineStr">
        <is>
          <t>CUBIERTO</t>
        </is>
      </c>
    </row>
    <row r="75" ht="20" customHeight="1">
      <c r="A75" s="18" t="inlineStr">
        <is>
          <t>AGFEL</t>
        </is>
      </c>
      <c r="B75" s="42" t="inlineStr">
        <is>
          <t>AGROXILATO-FE-L</t>
        </is>
      </c>
      <c r="C75" s="24" t="n">
        <v>0</v>
      </c>
      <c r="D75" s="24" t="n">
        <v>852</v>
      </c>
      <c r="E75" s="25" t="n">
        <v>852</v>
      </c>
      <c r="F75" s="24" t="n">
        <v>0</v>
      </c>
      <c r="G75" s="24" t="n">
        <v>0</v>
      </c>
      <c r="H75" s="24" t="n">
        <v>0</v>
      </c>
      <c r="I75" s="24" t="n">
        <v>0</v>
      </c>
      <c r="J75" s="25" t="n">
        <v>0</v>
      </c>
      <c r="K75" s="24" t="n">
        <v>852</v>
      </c>
      <c r="L75" s="25" t="n">
        <v>0</v>
      </c>
      <c r="M75" s="36" t="inlineStr">
        <is>
          <t>CUBIERTO</t>
        </is>
      </c>
    </row>
    <row r="76" ht="20" customHeight="1">
      <c r="A76" s="27" t="inlineStr">
        <is>
          <t>AGMGL</t>
        </is>
      </c>
      <c r="B76" s="41" t="inlineStr">
        <is>
          <t>AGROXILATO-MG-L</t>
        </is>
      </c>
      <c r="C76" s="33" t="n">
        <v>630</v>
      </c>
      <c r="D76" s="33" t="n">
        <v>0</v>
      </c>
      <c r="E76" s="34" t="n">
        <v>630</v>
      </c>
      <c r="F76" s="33" t="n">
        <v>0</v>
      </c>
      <c r="G76" s="33" t="n">
        <v>0</v>
      </c>
      <c r="H76" s="33" t="n">
        <v>0</v>
      </c>
      <c r="I76" s="33" t="n">
        <v>0</v>
      </c>
      <c r="J76" s="34" t="n">
        <v>0</v>
      </c>
      <c r="K76" s="33" t="n">
        <v>630</v>
      </c>
      <c r="L76" s="34" t="n">
        <v>0</v>
      </c>
      <c r="M76" s="36" t="inlineStr">
        <is>
          <t>CUBIERTO</t>
        </is>
      </c>
    </row>
    <row r="77" ht="20" customHeight="1">
      <c r="A77" s="18" t="inlineStr">
        <is>
          <t>AGMNP</t>
        </is>
      </c>
      <c r="B77" s="42" t="inlineStr">
        <is>
          <t>AGROXILATO-MN PLUS</t>
        </is>
      </c>
      <c r="C77" s="24" t="n">
        <v>0</v>
      </c>
      <c r="D77" s="24" t="n">
        <v>5</v>
      </c>
      <c r="E77" s="25" t="n">
        <v>5</v>
      </c>
      <c r="F77" s="24" t="n">
        <v>0</v>
      </c>
      <c r="G77" s="24" t="n">
        <v>0</v>
      </c>
      <c r="H77" s="24" t="n">
        <v>0</v>
      </c>
      <c r="I77" s="24" t="n">
        <v>0</v>
      </c>
      <c r="J77" s="25" t="n">
        <v>0</v>
      </c>
      <c r="K77" s="24" t="n">
        <v>5</v>
      </c>
      <c r="L77" s="25" t="n">
        <v>0</v>
      </c>
      <c r="M77" s="36" t="inlineStr">
        <is>
          <t>CUBIERTO</t>
        </is>
      </c>
    </row>
    <row r="78" ht="20" customHeight="1">
      <c r="A78" s="27" t="inlineStr">
        <is>
          <t>AGN</t>
        </is>
      </c>
      <c r="B78" s="41" t="inlineStr">
        <is>
          <t>AGROXILATO-N</t>
        </is>
      </c>
      <c r="C78" s="33" t="n">
        <v>550</v>
      </c>
      <c r="D78" s="33" t="n">
        <v>200</v>
      </c>
      <c r="E78" s="34" t="n">
        <v>750</v>
      </c>
      <c r="F78" s="33" t="n">
        <v>0</v>
      </c>
      <c r="G78" s="33" t="n">
        <v>0</v>
      </c>
      <c r="H78" s="33" t="n">
        <v>0</v>
      </c>
      <c r="I78" s="33" t="n">
        <v>0</v>
      </c>
      <c r="J78" s="34" t="n">
        <v>0</v>
      </c>
      <c r="K78" s="33" t="n">
        <v>750</v>
      </c>
      <c r="L78" s="34" t="n">
        <v>0</v>
      </c>
      <c r="M78" s="36" t="inlineStr">
        <is>
          <t>CUBIERTO</t>
        </is>
      </c>
    </row>
    <row r="79" ht="20" customHeight="1">
      <c r="A79" s="18" t="inlineStr">
        <is>
          <t>AGOL</t>
        </is>
      </c>
      <c r="B79" s="42" t="inlineStr">
        <is>
          <t>AGROXIOLIVO</t>
        </is>
      </c>
      <c r="C79" s="24" t="n">
        <v>350</v>
      </c>
      <c r="D79" s="24" t="n">
        <v>0</v>
      </c>
      <c r="E79" s="25" t="n">
        <v>350</v>
      </c>
      <c r="F79" s="24" t="n">
        <v>0</v>
      </c>
      <c r="G79" s="24" t="n">
        <v>0</v>
      </c>
      <c r="H79" s="24" t="n">
        <v>0</v>
      </c>
      <c r="I79" s="24" t="n">
        <v>0</v>
      </c>
      <c r="J79" s="25" t="n">
        <v>0</v>
      </c>
      <c r="K79" s="24" t="n">
        <v>350</v>
      </c>
      <c r="L79" s="25" t="n">
        <v>0</v>
      </c>
      <c r="M79" s="36" t="inlineStr">
        <is>
          <t>CUBIERTO</t>
        </is>
      </c>
    </row>
    <row r="80" ht="20" customHeight="1">
      <c r="A80" s="27" t="inlineStr">
        <is>
          <t>AGRMG</t>
        </is>
      </c>
      <c r="B80" s="41" t="inlineStr">
        <is>
          <t>AGROXIGREEN-MG</t>
        </is>
      </c>
      <c r="C80" s="33" t="n">
        <v>313</v>
      </c>
      <c r="D80" s="33" t="n">
        <v>775</v>
      </c>
      <c r="E80" s="34" t="n">
        <v>1088</v>
      </c>
      <c r="F80" s="33" t="n">
        <v>0</v>
      </c>
      <c r="G80" s="33" t="n">
        <v>0</v>
      </c>
      <c r="H80" s="33" t="n">
        <v>0</v>
      </c>
      <c r="I80" s="33" t="n">
        <v>0</v>
      </c>
      <c r="J80" s="34" t="n">
        <v>0</v>
      </c>
      <c r="K80" s="33" t="n">
        <v>1088</v>
      </c>
      <c r="L80" s="34" t="n">
        <v>0</v>
      </c>
      <c r="M80" s="36" t="inlineStr">
        <is>
          <t>CUBIERTO</t>
        </is>
      </c>
    </row>
    <row r="81" ht="20" customHeight="1">
      <c r="A81" s="18" t="inlineStr">
        <is>
          <t>AMGF</t>
        </is>
      </c>
      <c r="B81" s="42" t="inlineStr">
        <is>
          <t>AMINOGAL</t>
        </is>
      </c>
      <c r="C81" s="24" t="n">
        <v>232</v>
      </c>
      <c r="D81" s="24" t="n">
        <v>0</v>
      </c>
      <c r="E81" s="25" t="n">
        <v>232</v>
      </c>
      <c r="F81" s="24" t="n">
        <v>0</v>
      </c>
      <c r="G81" s="24" t="n">
        <v>0</v>
      </c>
      <c r="H81" s="24" t="n">
        <v>0</v>
      </c>
      <c r="I81" s="24" t="n">
        <v>0</v>
      </c>
      <c r="J81" s="25" t="n">
        <v>0</v>
      </c>
      <c r="K81" s="24" t="n">
        <v>232</v>
      </c>
      <c r="L81" s="25" t="n">
        <v>0</v>
      </c>
      <c r="M81" s="36" t="inlineStr">
        <is>
          <t>CUBIERTO</t>
        </is>
      </c>
    </row>
    <row r="82" ht="20" customHeight="1">
      <c r="A82" s="27" t="inlineStr">
        <is>
          <t>AQUOMAR</t>
        </is>
      </c>
      <c r="B82" s="41" t="inlineStr">
        <is>
          <t>AQUOM ARABIA</t>
        </is>
      </c>
      <c r="C82" s="33" t="n">
        <v>0</v>
      </c>
      <c r="D82" s="33" t="n">
        <v>15</v>
      </c>
      <c r="E82" s="34" t="n">
        <v>15</v>
      </c>
      <c r="F82" s="33" t="n">
        <v>0</v>
      </c>
      <c r="G82" s="33" t="n">
        <v>0</v>
      </c>
      <c r="H82" s="33" t="n">
        <v>0</v>
      </c>
      <c r="I82" s="33" t="n">
        <v>0</v>
      </c>
      <c r="J82" s="34" t="n">
        <v>0</v>
      </c>
      <c r="K82" s="33" t="n">
        <v>15</v>
      </c>
      <c r="L82" s="34" t="n">
        <v>0</v>
      </c>
      <c r="M82" s="36" t="inlineStr">
        <is>
          <t>CUBIERTO</t>
        </is>
      </c>
    </row>
    <row r="83" ht="20" customHeight="1">
      <c r="A83" s="18" t="inlineStr">
        <is>
          <t>AQUOMB</t>
        </is>
      </c>
      <c r="B83" s="42" t="inlineStr">
        <is>
          <t>AQUOM-BORO</t>
        </is>
      </c>
      <c r="C83" s="24" t="n">
        <v>2824</v>
      </c>
      <c r="D83" s="24" t="n">
        <v>0</v>
      </c>
      <c r="E83" s="25" t="n">
        <v>2824</v>
      </c>
      <c r="F83" s="24" t="n">
        <v>0</v>
      </c>
      <c r="G83" s="24" t="n">
        <v>0</v>
      </c>
      <c r="H83" s="24" t="n">
        <v>0</v>
      </c>
      <c r="I83" s="24" t="n">
        <v>0</v>
      </c>
      <c r="J83" s="25" t="n">
        <v>0</v>
      </c>
      <c r="K83" s="24" t="n">
        <v>2824</v>
      </c>
      <c r="L83" s="25" t="n">
        <v>0</v>
      </c>
      <c r="M83" s="36" t="inlineStr">
        <is>
          <t>CUBIERTO</t>
        </is>
      </c>
    </row>
    <row r="84" ht="20" customHeight="1">
      <c r="A84" s="27" t="inlineStr">
        <is>
          <t>BAYCAL</t>
        </is>
      </c>
      <c r="B84" s="41" t="inlineStr">
        <is>
          <t>BAYFOLAN-CALCIO</t>
        </is>
      </c>
      <c r="C84" s="33" t="n">
        <v>0</v>
      </c>
      <c r="D84" s="33" t="n">
        <v>100</v>
      </c>
      <c r="E84" s="34" t="n">
        <v>100</v>
      </c>
      <c r="F84" s="33" t="n">
        <v>0</v>
      </c>
      <c r="G84" s="33" t="n">
        <v>0</v>
      </c>
      <c r="H84" s="33" t="n">
        <v>0</v>
      </c>
      <c r="I84" s="33" t="n">
        <v>0</v>
      </c>
      <c r="J84" s="34" t="n">
        <v>0</v>
      </c>
      <c r="K84" s="33" t="n">
        <v>100</v>
      </c>
      <c r="L84" s="34" t="n">
        <v>0</v>
      </c>
      <c r="M84" s="36" t="inlineStr">
        <is>
          <t>CUBIERTO</t>
        </is>
      </c>
    </row>
    <row r="85" ht="20" customHeight="1">
      <c r="A85" s="18" t="inlineStr">
        <is>
          <t>BPLUS2</t>
        </is>
      </c>
      <c r="B85" s="42" t="inlineStr">
        <is>
          <t>BOROCAL PLUS</t>
        </is>
      </c>
      <c r="C85" s="24" t="n">
        <v>90</v>
      </c>
      <c r="D85" s="24" t="n">
        <v>65</v>
      </c>
      <c r="E85" s="25" t="n">
        <v>155</v>
      </c>
      <c r="F85" s="24" t="n">
        <v>0</v>
      </c>
      <c r="G85" s="24" t="n">
        <v>0</v>
      </c>
      <c r="H85" s="24" t="n">
        <v>0</v>
      </c>
      <c r="I85" s="24" t="n">
        <v>0</v>
      </c>
      <c r="J85" s="25" t="n">
        <v>0</v>
      </c>
      <c r="K85" s="24" t="n">
        <v>155</v>
      </c>
      <c r="L85" s="25" t="n">
        <v>0</v>
      </c>
      <c r="M85" s="36" t="inlineStr">
        <is>
          <t>CUBIERTO</t>
        </is>
      </c>
    </row>
    <row r="86" ht="20" customHeight="1">
      <c r="A86" s="27" t="inlineStr">
        <is>
          <t>BRE</t>
        </is>
      </c>
      <c r="B86" s="41" t="inlineStr">
        <is>
          <t>BREAK 30</t>
        </is>
      </c>
      <c r="C86" s="33" t="n">
        <v>230</v>
      </c>
      <c r="D86" s="33" t="n">
        <v>0</v>
      </c>
      <c r="E86" s="34" t="n">
        <v>230</v>
      </c>
      <c r="F86" s="33" t="n">
        <v>0</v>
      </c>
      <c r="G86" s="33" t="n">
        <v>0</v>
      </c>
      <c r="H86" s="33" t="n">
        <v>0</v>
      </c>
      <c r="I86" s="33" t="n">
        <v>0</v>
      </c>
      <c r="J86" s="34" t="n">
        <v>0</v>
      </c>
      <c r="K86" s="33" t="n">
        <v>230</v>
      </c>
      <c r="L86" s="34" t="n">
        <v>0</v>
      </c>
      <c r="M86" s="36" t="inlineStr">
        <is>
          <t>CUBIERTO</t>
        </is>
      </c>
    </row>
    <row r="87" ht="20" customHeight="1">
      <c r="A87" s="18" t="inlineStr">
        <is>
          <t>C-M-P</t>
        </is>
      </c>
      <c r="B87" s="42" t="inlineStr">
        <is>
          <t>CODIFOL-MO-PLUS</t>
        </is>
      </c>
      <c r="C87" s="24" t="n">
        <v>0</v>
      </c>
      <c r="D87" s="24" t="n">
        <v>760</v>
      </c>
      <c r="E87" s="25" t="n">
        <v>760</v>
      </c>
      <c r="F87" s="24" t="n">
        <v>0</v>
      </c>
      <c r="G87" s="24" t="n">
        <v>0</v>
      </c>
      <c r="H87" s="24" t="n">
        <v>0</v>
      </c>
      <c r="I87" s="24" t="n">
        <v>0</v>
      </c>
      <c r="J87" s="25" t="n">
        <v>0</v>
      </c>
      <c r="K87" s="24" t="n">
        <v>760</v>
      </c>
      <c r="L87" s="25" t="n">
        <v>0</v>
      </c>
      <c r="M87" s="36" t="inlineStr">
        <is>
          <t>CUBIERTO</t>
        </is>
      </c>
    </row>
    <row r="88" ht="20" customHeight="1">
      <c r="A88" s="27" t="inlineStr">
        <is>
          <t>CODIFOR</t>
        </is>
      </c>
      <c r="B88" s="41" t="inlineStr">
        <is>
          <t>CODIFORCE</t>
        </is>
      </c>
      <c r="C88" s="33" t="n">
        <v>550</v>
      </c>
      <c r="D88" s="33" t="n">
        <v>0</v>
      </c>
      <c r="E88" s="34" t="n">
        <v>550</v>
      </c>
      <c r="F88" s="33" t="n">
        <v>0</v>
      </c>
      <c r="G88" s="33" t="n">
        <v>0</v>
      </c>
      <c r="H88" s="33" t="n">
        <v>0</v>
      </c>
      <c r="I88" s="33" t="n">
        <v>0</v>
      </c>
      <c r="J88" s="34" t="n">
        <v>0</v>
      </c>
      <c r="K88" s="33" t="n">
        <v>550</v>
      </c>
      <c r="L88" s="34" t="n">
        <v>0</v>
      </c>
      <c r="M88" s="36" t="inlineStr">
        <is>
          <t>CUBIERTO</t>
        </is>
      </c>
    </row>
    <row r="89" ht="20" customHeight="1">
      <c r="A89" s="18" t="inlineStr">
        <is>
          <t>CSIL</t>
        </is>
      </c>
      <c r="B89" s="42" t="inlineStr">
        <is>
          <t>FITOKONTROL-K</t>
        </is>
      </c>
      <c r="C89" s="24" t="n">
        <v>0</v>
      </c>
      <c r="D89" s="24" t="n">
        <v>304</v>
      </c>
      <c r="E89" s="25" t="n">
        <v>304</v>
      </c>
      <c r="F89" s="24" t="n">
        <v>0</v>
      </c>
      <c r="G89" s="24" t="n">
        <v>0</v>
      </c>
      <c r="H89" s="24" t="n">
        <v>0</v>
      </c>
      <c r="I89" s="24" t="n">
        <v>0</v>
      </c>
      <c r="J89" s="25" t="n">
        <v>0</v>
      </c>
      <c r="K89" s="24" t="n">
        <v>304</v>
      </c>
      <c r="L89" s="25" t="n">
        <v>0</v>
      </c>
      <c r="M89" s="36" t="inlineStr">
        <is>
          <t>CUBIERTO</t>
        </is>
      </c>
    </row>
    <row r="90" ht="20" customHeight="1">
      <c r="A90" s="27" t="inlineStr">
        <is>
          <t>EQUI</t>
        </is>
      </c>
      <c r="B90" s="41" t="inlineStr">
        <is>
          <t>BIOCULTURE EQUISIL</t>
        </is>
      </c>
      <c r="C90" s="33" t="n">
        <v>648</v>
      </c>
      <c r="D90" s="33" t="n">
        <v>0</v>
      </c>
      <c r="E90" s="34" t="n">
        <v>648</v>
      </c>
      <c r="F90" s="33" t="n">
        <v>0</v>
      </c>
      <c r="G90" s="33" t="n">
        <v>0</v>
      </c>
      <c r="H90" s="33" t="n">
        <v>0</v>
      </c>
      <c r="I90" s="33" t="n">
        <v>0</v>
      </c>
      <c r="J90" s="34" t="n">
        <v>0</v>
      </c>
      <c r="K90" s="33" t="n">
        <v>648</v>
      </c>
      <c r="L90" s="34" t="n">
        <v>0</v>
      </c>
      <c r="M90" s="36" t="inlineStr">
        <is>
          <t>CUBIERTO</t>
        </is>
      </c>
    </row>
    <row r="91" ht="20" customHeight="1">
      <c r="A91" s="18" t="inlineStr">
        <is>
          <t>G2</t>
        </is>
      </c>
      <c r="B91" s="42" t="inlineStr">
        <is>
          <t>GREEN-UP2  EXPORTACION</t>
        </is>
      </c>
      <c r="C91" s="24" t="n">
        <v>2090</v>
      </c>
      <c r="D91" s="24" t="n">
        <v>0</v>
      </c>
      <c r="E91" s="25" t="n">
        <v>2090</v>
      </c>
      <c r="F91" s="24" t="n">
        <v>0</v>
      </c>
      <c r="G91" s="24" t="n">
        <v>0</v>
      </c>
      <c r="H91" s="24" t="n">
        <v>0</v>
      </c>
      <c r="I91" s="24" t="n">
        <v>0</v>
      </c>
      <c r="J91" s="25" t="n">
        <v>0</v>
      </c>
      <c r="K91" s="24" t="n">
        <v>2090</v>
      </c>
      <c r="L91" s="25" t="n">
        <v>0</v>
      </c>
      <c r="M91" s="36" t="inlineStr">
        <is>
          <t>CUBIERTO</t>
        </is>
      </c>
    </row>
    <row r="92" ht="20" customHeight="1">
      <c r="A92" s="27" t="inlineStr">
        <is>
          <t>NI</t>
        </is>
      </c>
      <c r="B92" s="41" t="inlineStr">
        <is>
          <t>NUTRICAL ITALIA</t>
        </is>
      </c>
      <c r="C92" s="33" t="n">
        <v>400</v>
      </c>
      <c r="D92" s="33" t="n">
        <v>0</v>
      </c>
      <c r="E92" s="34" t="n">
        <v>400</v>
      </c>
      <c r="F92" s="33" t="n">
        <v>0</v>
      </c>
      <c r="G92" s="33" t="n">
        <v>0</v>
      </c>
      <c r="H92" s="33" t="n">
        <v>0</v>
      </c>
      <c r="I92" s="33" t="n">
        <v>0</v>
      </c>
      <c r="J92" s="34" t="n">
        <v>0</v>
      </c>
      <c r="K92" s="33" t="n">
        <v>400</v>
      </c>
      <c r="L92" s="34" t="n">
        <v>0</v>
      </c>
      <c r="M92" s="36" t="inlineStr">
        <is>
          <t>CUBIERTO</t>
        </is>
      </c>
    </row>
    <row r="93" ht="20" customHeight="1">
      <c r="A93" s="18" t="inlineStr">
        <is>
          <t>P-ZM3.5</t>
        </is>
      </c>
      <c r="B93" s="42" t="inlineStr">
        <is>
          <t>POLIGREEN-ZNMN</t>
        </is>
      </c>
      <c r="C93" s="24" t="n">
        <v>0</v>
      </c>
      <c r="D93" s="24" t="n">
        <v>1280</v>
      </c>
      <c r="E93" s="25" t="n">
        <v>1280</v>
      </c>
      <c r="F93" s="24" t="n">
        <v>0</v>
      </c>
      <c r="G93" s="24" t="n">
        <v>0</v>
      </c>
      <c r="H93" s="24" t="n">
        <v>0</v>
      </c>
      <c r="I93" s="24" t="n">
        <v>0</v>
      </c>
      <c r="J93" s="25" t="n">
        <v>0</v>
      </c>
      <c r="K93" s="24" t="n">
        <v>1280</v>
      </c>
      <c r="L93" s="25" t="n">
        <v>0</v>
      </c>
      <c r="M93" s="36" t="inlineStr">
        <is>
          <t>CUBIERTO</t>
        </is>
      </c>
    </row>
    <row r="94" ht="20" customHeight="1">
      <c r="A94" s="27" t="inlineStr">
        <is>
          <t>PHD2</t>
        </is>
      </c>
      <c r="B94" s="41" t="inlineStr">
        <is>
          <t>PH DOWNER 2</t>
        </is>
      </c>
      <c r="C94" s="33" t="n">
        <v>610</v>
      </c>
      <c r="D94" s="33" t="n">
        <v>0</v>
      </c>
      <c r="E94" s="34" t="n">
        <v>610</v>
      </c>
      <c r="F94" s="33" t="n">
        <v>0</v>
      </c>
      <c r="G94" s="33" t="n">
        <v>0</v>
      </c>
      <c r="H94" s="33" t="n">
        <v>0</v>
      </c>
      <c r="I94" s="33" t="n">
        <v>0</v>
      </c>
      <c r="J94" s="34" t="n">
        <v>0</v>
      </c>
      <c r="K94" s="33" t="n">
        <v>610</v>
      </c>
      <c r="L94" s="34" t="n">
        <v>0</v>
      </c>
      <c r="M94" s="36" t="inlineStr">
        <is>
          <t>CUBIERTO</t>
        </is>
      </c>
    </row>
    <row r="95" ht="20" customHeight="1">
      <c r="A95" s="18" t="inlineStr">
        <is>
          <t>PREV</t>
        </is>
      </c>
      <c r="B95" s="42" t="inlineStr">
        <is>
          <t>PREVIUM</t>
        </is>
      </c>
      <c r="C95" s="24" t="n">
        <v>200</v>
      </c>
      <c r="D95" s="24" t="n">
        <v>0</v>
      </c>
      <c r="E95" s="25" t="n">
        <v>200</v>
      </c>
      <c r="F95" s="24" t="n">
        <v>0</v>
      </c>
      <c r="G95" s="24" t="n">
        <v>0</v>
      </c>
      <c r="H95" s="24" t="n">
        <v>0</v>
      </c>
      <c r="I95" s="24" t="n">
        <v>0</v>
      </c>
      <c r="J95" s="25" t="n">
        <v>0</v>
      </c>
      <c r="K95" s="24" t="n">
        <v>200</v>
      </c>
      <c r="L95" s="25" t="n">
        <v>0</v>
      </c>
      <c r="M95" s="36" t="inlineStr">
        <is>
          <t>CUBIERTO</t>
        </is>
      </c>
    </row>
    <row r="96" ht="26" customHeight="1">
      <c r="A96" s="37" t="inlineStr">
        <is>
          <t>TOTAL PLANTA GRANELES (L/KG)</t>
        </is>
      </c>
      <c r="B96" s="38" t="n"/>
      <c r="C96" s="39">
        <f>SUM(C6:C95)</f>
        <v/>
      </c>
      <c r="D96" s="39">
        <f>SUM(D6:D95)</f>
        <v/>
      </c>
      <c r="E96" s="39">
        <f>SUM(E6:E95)</f>
        <v/>
      </c>
      <c r="F96" s="39">
        <f>SUM(F6:F95)</f>
        <v/>
      </c>
      <c r="G96" s="39">
        <f>SUM(G6:G95)</f>
        <v/>
      </c>
      <c r="H96" s="39">
        <f>SUM(H6:H95)</f>
        <v/>
      </c>
      <c r="I96" s="39">
        <f>SUM(I6:I95)</f>
        <v/>
      </c>
      <c r="J96" s="39">
        <f>SUM(J6:J95)</f>
        <v/>
      </c>
      <c r="K96" s="39">
        <f>SUM(K6:K95)</f>
        <v/>
      </c>
      <c r="L96" s="39">
        <f>SUM(L6:L95)</f>
        <v/>
      </c>
      <c r="M96" s="40" t="inlineStr"/>
    </row>
  </sheetData>
  <autoFilter ref="A5:M95"/>
  <mergeCells count="7">
    <mergeCell ref="A4:B4"/>
    <mergeCell ref="A96:B96"/>
    <mergeCell ref="A1:M1"/>
    <mergeCell ref="K4:M4"/>
    <mergeCell ref="C4:E4"/>
    <mergeCell ref="A2:M2"/>
    <mergeCell ref="F4:J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1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8" customWidth="1" min="3" max="3"/>
    <col width="18" customWidth="1" min="4" max="4"/>
    <col width="16" customWidth="1" min="5" max="5"/>
    <col width="16" customWidth="1" min="6" max="6"/>
    <col width="16" customWidth="1" min="7" max="7"/>
    <col width="18" customWidth="1" min="8" max="8"/>
    <col width="22" customWidth="1" min="9" max="9"/>
  </cols>
  <sheetData>
    <row r="1" ht="28" customHeight="1">
      <c r="A1" s="1" t="inlineStr">
        <is>
          <t xml:space="preserve">  CODIAGRO S.L.  |  RESUMEN DE NECESIDADES POR LÍNEA DE ENVASADO Y FORMATO (UNIDADES FÍSICAS)</t>
        </is>
      </c>
    </row>
    <row r="3" ht="24" customHeight="1">
      <c r="A3" s="13" t="inlineStr">
        <is>
          <t>Línea / Formato de Envasado</t>
        </is>
      </c>
      <c r="B3" s="12" t="inlineStr">
        <is>
          <t>Nº Registros</t>
        </is>
      </c>
      <c r="C3" s="14" t="inlineStr">
        <is>
          <t>Stock Envasado (u)</t>
        </is>
      </c>
      <c r="D3" s="14" t="inlineStr">
        <is>
          <t>Cartera Inmediata (u)</t>
        </is>
      </c>
      <c r="E3" s="14" t="inlineStr">
        <is>
          <t>Oct-26 (u)</t>
        </is>
      </c>
      <c r="F3" s="14" t="inlineStr">
        <is>
          <t>Nov-26 (u)</t>
        </is>
      </c>
      <c r="G3" s="14" t="inlineStr">
        <is>
          <t>Dic-26 (u)</t>
        </is>
      </c>
      <c r="H3" s="14" t="inlineStr">
        <is>
          <t>Demanda Total (u)</t>
        </is>
      </c>
      <c r="I3" s="14" t="inlineStr">
        <is>
          <t>A Fabricar Sugerido (u)</t>
        </is>
      </c>
    </row>
    <row r="4" ht="20" customHeight="1">
      <c r="A4" s="41" t="inlineStr">
        <is>
          <t>Depósito 1000 L</t>
        </is>
      </c>
      <c r="B4" s="31" t="n">
        <v>21</v>
      </c>
      <c r="C4" s="33" t="n">
        <v>10000</v>
      </c>
      <c r="D4" s="33" t="n">
        <v>28000</v>
      </c>
      <c r="E4" s="33" t="n">
        <v>40452.39999999999</v>
      </c>
      <c r="F4" s="33" t="n">
        <v>56598.50539999998</v>
      </c>
      <c r="G4" s="33" t="n">
        <v>17792.1165</v>
      </c>
      <c r="H4" s="34" t="n">
        <v>142843.0219</v>
      </c>
      <c r="I4" s="34" t="n">
        <v>132843.0219</v>
      </c>
    </row>
    <row r="5" ht="20" customHeight="1">
      <c r="A5" s="42" t="inlineStr">
        <is>
          <t>Big Bag 1000 Kg</t>
        </is>
      </c>
      <c r="B5" s="22" t="n">
        <v>3</v>
      </c>
      <c r="C5" s="24" t="n">
        <v>0</v>
      </c>
      <c r="D5" s="24" t="n">
        <v>0</v>
      </c>
      <c r="E5" s="24" t="n">
        <v>0</v>
      </c>
      <c r="F5" s="24" t="n">
        <v>20962.4094</v>
      </c>
      <c r="G5" s="24" t="n">
        <v>3471.6324</v>
      </c>
      <c r="H5" s="25" t="n">
        <v>24434.0418</v>
      </c>
      <c r="I5" s="25" t="n">
        <v>24434.0418</v>
      </c>
    </row>
    <row r="6" ht="20" customHeight="1">
      <c r="A6" s="41" t="inlineStr">
        <is>
          <t>Depósito 200 L</t>
        </is>
      </c>
      <c r="B6" s="31" t="n">
        <v>8</v>
      </c>
      <c r="C6" s="33" t="n">
        <v>5530.4574</v>
      </c>
      <c r="D6" s="33" t="n">
        <v>0</v>
      </c>
      <c r="E6" s="33" t="n">
        <v>10288.7</v>
      </c>
      <c r="F6" s="33" t="n">
        <v>7756.0917</v>
      </c>
      <c r="G6" s="33" t="n">
        <v>6943.2649</v>
      </c>
      <c r="H6" s="34" t="n">
        <v>24988.0566</v>
      </c>
      <c r="I6" s="34" t="n">
        <v>19457.5992</v>
      </c>
    </row>
    <row r="7" ht="20" customHeight="1">
      <c r="A7" s="42" t="inlineStr">
        <is>
          <t>Garrafas 20L</t>
        </is>
      </c>
      <c r="B7" s="22" t="n">
        <v>55</v>
      </c>
      <c r="C7" s="24" t="n">
        <v>82310.8309</v>
      </c>
      <c r="D7" s="24" t="n">
        <v>32540</v>
      </c>
      <c r="E7" s="24" t="n">
        <v>76057.03999999998</v>
      </c>
      <c r="F7" s="24" t="n">
        <v>83032.10360000002</v>
      </c>
      <c r="G7" s="24" t="n">
        <v>68963.97929999999</v>
      </c>
      <c r="H7" s="25" t="n">
        <v>260593.1228999998</v>
      </c>
      <c r="I7" s="25" t="n">
        <v>178282.2919999999</v>
      </c>
    </row>
    <row r="8" ht="20" customHeight="1">
      <c r="A8" s="41" t="inlineStr">
        <is>
          <t>Bolsas 20 Kg</t>
        </is>
      </c>
      <c r="B8" s="31" t="n">
        <v>26</v>
      </c>
      <c r="C8" s="33" t="n">
        <v>41339.608</v>
      </c>
      <c r="D8" s="33" t="n">
        <v>39360</v>
      </c>
      <c r="E8" s="33" t="n">
        <v>86051.31</v>
      </c>
      <c r="F8" s="33" t="n">
        <v>125984.0808</v>
      </c>
      <c r="G8" s="33" t="n">
        <v>270615.3523</v>
      </c>
      <c r="H8" s="34" t="n">
        <v>522010.7431</v>
      </c>
      <c r="I8" s="34" t="n">
        <v>480671.1351</v>
      </c>
    </row>
    <row r="9" ht="20" customHeight="1">
      <c r="A9" s="42" t="inlineStr">
        <is>
          <t>Garrafas 5L</t>
        </is>
      </c>
      <c r="B9" s="22" t="n">
        <v>56</v>
      </c>
      <c r="C9" s="24" t="n">
        <v>14290.0887</v>
      </c>
      <c r="D9" s="24" t="n">
        <v>27260</v>
      </c>
      <c r="E9" s="24" t="n">
        <v>8856.040000000001</v>
      </c>
      <c r="F9" s="24" t="n">
        <v>14967.1598</v>
      </c>
      <c r="G9" s="24" t="n">
        <v>31001.6774</v>
      </c>
      <c r="H9" s="25" t="n">
        <v>82084.87720000002</v>
      </c>
      <c r="I9" s="25" t="n">
        <v>67794.78850000001</v>
      </c>
    </row>
    <row r="10" ht="20" customHeight="1">
      <c r="A10" s="41" t="inlineStr">
        <is>
          <t>Bolsas 5 Kg</t>
        </is>
      </c>
      <c r="B10" s="31" t="n">
        <v>45</v>
      </c>
      <c r="C10" s="33" t="n">
        <v>21377.3077</v>
      </c>
      <c r="D10" s="33" t="n">
        <v>62610</v>
      </c>
      <c r="E10" s="33" t="n">
        <v>45746.77</v>
      </c>
      <c r="F10" s="33" t="n">
        <v>42868.1271</v>
      </c>
      <c r="G10" s="33" t="n">
        <v>70322.25520000001</v>
      </c>
      <c r="H10" s="34" t="n">
        <v>221547.1523</v>
      </c>
      <c r="I10" s="34" t="n">
        <v>200169.8446</v>
      </c>
    </row>
    <row r="11" ht="20" customHeight="1">
      <c r="A11" s="42" t="inlineStr">
        <is>
          <t>Botellas 1L</t>
        </is>
      </c>
      <c r="B11" s="22" t="n">
        <v>72</v>
      </c>
      <c r="C11" s="24" t="n">
        <v>3231.0602</v>
      </c>
      <c r="D11" s="24" t="n">
        <v>40463</v>
      </c>
      <c r="E11" s="24" t="n">
        <v>11669.49</v>
      </c>
      <c r="F11" s="24" t="n">
        <v>37413.70800000001</v>
      </c>
      <c r="G11" s="24" t="n">
        <v>33185.33520000001</v>
      </c>
      <c r="H11" s="25" t="n">
        <v>122731.5332</v>
      </c>
      <c r="I11" s="25" t="n">
        <v>119500.473</v>
      </c>
    </row>
    <row r="12" ht="20" customHeight="1">
      <c r="A12" s="41" t="inlineStr">
        <is>
          <t>Bolsas 1 Kg</t>
        </is>
      </c>
      <c r="B12" s="31" t="n">
        <v>19</v>
      </c>
      <c r="C12" s="33" t="n">
        <v>715.0352</v>
      </c>
      <c r="D12" s="33" t="n">
        <v>5972</v>
      </c>
      <c r="E12" s="33" t="n">
        <v>5268.17</v>
      </c>
      <c r="F12" s="33" t="n">
        <v>3182.0938</v>
      </c>
      <c r="G12" s="33" t="n">
        <v>10470.4435</v>
      </c>
      <c r="H12" s="34" t="n">
        <v>24892.7073</v>
      </c>
      <c r="I12" s="34" t="n">
        <v>24177.6721</v>
      </c>
    </row>
    <row r="13" ht="24" customHeight="1">
      <c r="A13" s="43" t="inlineStr">
        <is>
          <t>TOTAL PLANTA ENVASADO</t>
        </is>
      </c>
      <c r="B13" s="44">
        <f>SUM(B4:B12)</f>
        <v/>
      </c>
      <c r="C13" s="45">
        <f>SUM(C4:C12)</f>
        <v/>
      </c>
      <c r="D13" s="45">
        <f>SUM(D4:D12)</f>
        <v/>
      </c>
      <c r="E13" s="45">
        <f>SUM(E4:E12)</f>
        <v/>
      </c>
      <c r="F13" s="45">
        <f>SUM(F4:F12)</f>
        <v/>
      </c>
      <c r="G13" s="45">
        <f>SUM(G4:G12)</f>
        <v/>
      </c>
      <c r="H13" s="45">
        <f>SUM(H4:H12)</f>
        <v/>
      </c>
      <c r="I13" s="45">
        <f>SUM(I4:I12)</f>
        <v/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25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6" customWidth="1" min="1" max="1"/>
    <col width="36" customWidth="1" min="2" max="2"/>
    <col width="18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8" customWidth="1" min="10" max="10"/>
    <col width="24" customWidth="1" min="11" max="11"/>
    <col width="16" customWidth="1" min="12" max="12"/>
    <col width="22" customWidth="1" min="13" max="13"/>
    <col width="22" customWidth="1" min="14" max="14"/>
    <col width="34" customWidth="1" min="15" max="15"/>
  </cols>
  <sheetData>
    <row r="1" ht="28" customHeight="1">
      <c r="A1" s="1" t="inlineStr">
        <is>
          <t xml:space="preserve">  CODIAGRO S.L.  |  ANÁLISIS DE ROTACIÓN DE STOCK: SLOW MOVERS &amp; NO MOVERS (MERCADO NACIONAL)</t>
        </is>
      </c>
    </row>
    <row r="2" ht="18" customHeight="1">
      <c r="A2" s="2" t="inlineStr">
        <is>
          <t xml:space="preserve">  Premisa de Gestión: Previsiones exclusivamente del Mercado Nacional (España). La exportación se fabricará siempre sobre pedido.  |  Fecha: 29/10/2026 07:32</t>
        </is>
      </c>
    </row>
    <row r="3" ht="8" customHeight="1"/>
    <row r="4" ht="16" customHeight="1">
      <c r="A4" s="3" t="inlineStr">
        <is>
          <t>STOCK TOTAL ALMACÉN (L/Kg)</t>
        </is>
      </c>
      <c r="B4" s="4" t="n"/>
      <c r="C4" s="4" t="n"/>
      <c r="D4" s="4" t="n"/>
      <c r="E4" s="3" t="inlineStr">
        <is>
          <t>🔴 NOMOVERS (&gt;6M NACIONAL) — 16.3%</t>
        </is>
      </c>
      <c r="F4" s="4" t="n"/>
      <c r="G4" s="4" t="n"/>
      <c r="H4" s="4" t="n"/>
      <c r="I4" s="3" t="inlineStr">
        <is>
          <t>🟡 SLOWMOVERS (3-6M NACIONAL) — 12.3%</t>
        </is>
      </c>
      <c r="J4" s="4" t="n"/>
      <c r="K4" s="4" t="n"/>
      <c r="L4" s="4" t="n"/>
      <c r="M4" s="3" t="inlineStr">
        <is>
          <t>🟢 ALTA ROTACIÓN (Q4 NACIONAL) — 71.4%</t>
        </is>
      </c>
      <c r="N4" s="4" t="n"/>
      <c r="O4" s="4" t="n"/>
      <c r="P4" s="4" t="n"/>
    </row>
    <row r="5" ht="24" customHeight="1">
      <c r="A5" s="46" t="inlineStr">
        <is>
          <t>230.902 L/Kg  (220.377 €)</t>
        </is>
      </c>
      <c r="B5" s="4" t="n"/>
      <c r="C5" s="4" t="n"/>
      <c r="D5" s="4" t="n"/>
      <c r="E5" s="5" t="inlineStr">
        <is>
          <t>37.599 L/Kg  |  34.189.85 €</t>
        </is>
      </c>
      <c r="F5" s="4" t="n"/>
      <c r="G5" s="4" t="n"/>
      <c r="H5" s="4" t="n"/>
      <c r="I5" s="6" t="inlineStr">
        <is>
          <t>28.442 L/Kg  |  33.880.80 €</t>
        </is>
      </c>
      <c r="J5" s="4" t="n"/>
      <c r="K5" s="4" t="n"/>
      <c r="L5" s="4" t="n"/>
      <c r="M5" s="8" t="inlineStr">
        <is>
          <t>164.861 L/Kg  (37 SKUs)</t>
        </is>
      </c>
      <c r="N5" s="4" t="n"/>
      <c r="O5" s="4" t="n"/>
      <c r="P5" s="4" t="n"/>
    </row>
    <row r="6" ht="10" customHeight="1"/>
    <row r="7" ht="20" customHeight="1">
      <c r="A7" s="9" t="inlineStr">
        <is>
          <t>1. IDENTIFICACIÓN ARTÍCULO</t>
        </is>
      </c>
      <c r="D7" s="10" t="inlineStr">
        <is>
          <t>2. STOCK FÍSICO ALMACÉN</t>
        </is>
      </c>
      <c r="F7" s="10" t="inlineStr">
        <is>
          <t>3. PREVISIÓN MERCADO NACIONAL (L/KG)</t>
        </is>
      </c>
      <c r="H7" s="47" t="inlineStr">
        <is>
          <t>4. EVALUACIÓN DE ROTACIÓN Y VALORACIÓN ECONÓMICA</t>
        </is>
      </c>
    </row>
    <row r="8" ht="24" customHeight="1">
      <c r="A8" s="12" t="inlineStr">
        <is>
          <t>Cód. Base SKU</t>
        </is>
      </c>
      <c r="B8" s="13" t="inlineStr">
        <is>
          <t>Descripción Producto</t>
        </is>
      </c>
      <c r="C8" s="13" t="inlineStr">
        <is>
          <t>Línea / Formato</t>
        </is>
      </c>
      <c r="D8" s="15" t="inlineStr">
        <is>
          <t>Stock Físico (L/Kg)</t>
        </is>
      </c>
      <c r="E8" s="15" t="inlineStr">
        <is>
          <t>Envases Est. (u)</t>
        </is>
      </c>
      <c r="F8" s="15" t="inlineStr">
        <is>
          <t>(N+2) (L/Kg)</t>
        </is>
      </c>
      <c r="G8" s="15" t="inlineStr">
        <is>
          <t>(N+5) (L/Kg)</t>
        </is>
      </c>
      <c r="H8" s="48" t="inlineStr">
        <is>
          <t>SlowMovers (L/Kg)</t>
        </is>
      </c>
      <c r="I8" s="48" t="inlineStr">
        <is>
          <t>NoMovers (L/Kg)</t>
        </is>
      </c>
      <c r="J8" s="48" t="inlineStr">
        <is>
          <t>Envases NoMover (u)</t>
        </is>
      </c>
      <c r="K8" s="49" t="inlineStr">
        <is>
          <t>Clasificación Rotación</t>
        </is>
      </c>
      <c r="L8" s="48" t="inlineStr">
        <is>
          <t>Precio Ref. (€/(L·Kg))</t>
        </is>
      </c>
      <c r="M8" s="48" t="inlineStr">
        <is>
          <t>Inmovilizado NoMover (€)</t>
        </is>
      </c>
      <c r="N8" s="48" t="inlineStr">
        <is>
          <t>Inmovilizado SlowMover (€)</t>
        </is>
      </c>
      <c r="O8" s="50" t="inlineStr">
        <is>
          <t>Acción Comercial Recomendada</t>
        </is>
      </c>
    </row>
    <row r="9" ht="20" customHeight="1">
      <c r="A9" s="51" t="inlineStr">
        <is>
          <t>AO0005</t>
        </is>
      </c>
      <c r="B9" s="20" t="inlineStr">
        <is>
          <t>ALCAPLANT OMRI, 5 KG</t>
        </is>
      </c>
      <c r="C9" s="20" t="inlineStr">
        <is>
          <t>Bolsas 5 Kg</t>
        </is>
      </c>
      <c r="D9" s="25" t="n">
        <v>7160</v>
      </c>
      <c r="E9" s="24" t="n">
        <v>1432</v>
      </c>
      <c r="F9" s="24" t="n">
        <v>0</v>
      </c>
      <c r="G9" s="24" t="n">
        <v>0</v>
      </c>
      <c r="H9" s="25" t="n">
        <v>0</v>
      </c>
      <c r="I9" s="25" t="n">
        <v>7160</v>
      </c>
      <c r="J9" s="24" t="n">
        <v>1432</v>
      </c>
      <c r="K9" s="26" t="inlineStr">
        <is>
          <t>🔴 NoMover (&gt;6M Nac)</t>
        </is>
      </c>
      <c r="L9" s="52" t="n">
        <v>0.519747475</v>
      </c>
      <c r="M9" s="53" t="n">
        <v>3721.39</v>
      </c>
      <c r="N9" s="52" t="n">
        <v>0</v>
      </c>
      <c r="O9" s="20" t="inlineStr">
        <is>
          <t>Sin Demanda Nacional (Inmovilizado Crítico)</t>
        </is>
      </c>
    </row>
    <row r="10" ht="20" customHeight="1">
      <c r="A10" s="54" t="inlineStr">
        <is>
          <t>C-M-P0005</t>
        </is>
      </c>
      <c r="B10" s="29" t="inlineStr">
        <is>
          <t>CODIFOL-MO-PLUS, 5 L</t>
        </is>
      </c>
      <c r="C10" s="29" t="inlineStr">
        <is>
          <t>Garrafas 5L</t>
        </is>
      </c>
      <c r="D10" s="34" t="n">
        <v>760</v>
      </c>
      <c r="E10" s="33" t="n">
        <v>152</v>
      </c>
      <c r="F10" s="33" t="n">
        <v>0</v>
      </c>
      <c r="G10" s="33" t="n">
        <v>85</v>
      </c>
      <c r="H10" s="34" t="n">
        <v>85</v>
      </c>
      <c r="I10" s="34" t="n">
        <v>675</v>
      </c>
      <c r="J10" s="33" t="n">
        <v>135</v>
      </c>
      <c r="K10" s="26" t="inlineStr">
        <is>
          <t>🔴 NoMover (&gt;6M Nac)</t>
        </is>
      </c>
      <c r="L10" s="55" t="n">
        <v>5.496556791</v>
      </c>
      <c r="M10" s="56" t="n">
        <v>3710.18</v>
      </c>
      <c r="N10" s="57" t="n">
        <v>467.21</v>
      </c>
      <c r="O10" s="29" t="inlineStr">
        <is>
          <t>Plan Choque Comercial Nac / Oferta</t>
        </is>
      </c>
    </row>
    <row r="11" ht="20" customHeight="1">
      <c r="A11" s="51" t="inlineStr">
        <is>
          <t>WHITE0020</t>
        </is>
      </c>
      <c r="B11" s="20" t="inlineStr">
        <is>
          <t>AGROWHITE, 20 KG</t>
        </is>
      </c>
      <c r="C11" s="20" t="inlineStr">
        <is>
          <t>Bolsas 20 Kg</t>
        </is>
      </c>
      <c r="D11" s="25" t="n">
        <v>10520</v>
      </c>
      <c r="E11" s="24" t="n">
        <v>526</v>
      </c>
      <c r="F11" s="24" t="n">
        <v>966.72</v>
      </c>
      <c r="G11" s="24" t="n">
        <v>40</v>
      </c>
      <c r="H11" s="25" t="n">
        <v>40</v>
      </c>
      <c r="I11" s="25" t="n">
        <v>9513.280000000001</v>
      </c>
      <c r="J11" s="24" t="n">
        <v>475.7</v>
      </c>
      <c r="K11" s="26" t="inlineStr">
        <is>
          <t>🔴 NoMover (&gt;6M Nac)</t>
        </is>
      </c>
      <c r="L11" s="52" t="n">
        <v>0.376904316</v>
      </c>
      <c r="M11" s="53" t="n">
        <v>3585.6</v>
      </c>
      <c r="N11" s="58" t="n">
        <v>15.08</v>
      </c>
      <c r="O11" s="20" t="inlineStr">
        <is>
          <t>Plan Choque Comercial Nac / Oferta</t>
        </is>
      </c>
    </row>
    <row r="12" ht="20" customHeight="1">
      <c r="A12" s="54" t="inlineStr">
        <is>
          <t>LP0005</t>
        </is>
      </c>
      <c r="B12" s="29" t="inlineStr">
        <is>
          <t>LAVAPLANT, 5 L</t>
        </is>
      </c>
      <c r="C12" s="29" t="inlineStr">
        <is>
          <t>Garrafas 5L</t>
        </is>
      </c>
      <c r="D12" s="34" t="n">
        <v>1160</v>
      </c>
      <c r="E12" s="33" t="n">
        <v>232</v>
      </c>
      <c r="F12" s="33" t="n">
        <v>0</v>
      </c>
      <c r="G12" s="33" t="n">
        <v>0</v>
      </c>
      <c r="H12" s="34" t="n">
        <v>0</v>
      </c>
      <c r="I12" s="34" t="n">
        <v>1160</v>
      </c>
      <c r="J12" s="33" t="n">
        <v>232</v>
      </c>
      <c r="K12" s="26" t="inlineStr">
        <is>
          <t>🔴 NoMover (&gt;6M Nac)</t>
        </is>
      </c>
      <c r="L12" s="55" t="n">
        <v>1.84956667</v>
      </c>
      <c r="M12" s="56" t="n">
        <v>2145.5</v>
      </c>
      <c r="N12" s="55" t="n">
        <v>0</v>
      </c>
      <c r="O12" s="29" t="inlineStr">
        <is>
          <t>Sin Demanda Nacional (Inmovilizado Crítico)</t>
        </is>
      </c>
    </row>
    <row r="13" ht="20" customHeight="1">
      <c r="A13" s="51" t="inlineStr">
        <is>
          <t>FU0001</t>
        </is>
      </c>
      <c r="B13" s="20" t="inlineStr">
        <is>
          <t>FULVIGIN, 1 L</t>
        </is>
      </c>
      <c r="C13" s="20" t="inlineStr">
        <is>
          <t>Botellas 1L</t>
        </is>
      </c>
      <c r="D13" s="25" t="n">
        <v>996</v>
      </c>
      <c r="E13" s="24" t="n">
        <v>996</v>
      </c>
      <c r="F13" s="24" t="n">
        <v>0</v>
      </c>
      <c r="G13" s="24" t="n">
        <v>25</v>
      </c>
      <c r="H13" s="25" t="n">
        <v>25</v>
      </c>
      <c r="I13" s="25" t="n">
        <v>971</v>
      </c>
      <c r="J13" s="24" t="n">
        <v>971</v>
      </c>
      <c r="K13" s="26" t="inlineStr">
        <is>
          <t>🔴 NoMover (&gt;6M Nac)</t>
        </is>
      </c>
      <c r="L13" s="52" t="n">
        <v>1.808707836</v>
      </c>
      <c r="M13" s="53" t="n">
        <v>1756.26</v>
      </c>
      <c r="N13" s="58" t="n">
        <v>45.22</v>
      </c>
      <c r="O13" s="20" t="inlineStr">
        <is>
          <t>Plan Choque Comercial Nac / Oferta</t>
        </is>
      </c>
    </row>
    <row r="14" ht="20" customHeight="1">
      <c r="A14" s="54" t="inlineStr">
        <is>
          <t>PT0001</t>
        </is>
      </c>
      <c r="B14" s="29" t="inlineStr">
        <is>
          <t>AGROPOTASION, 1 L</t>
        </is>
      </c>
      <c r="C14" s="29" t="inlineStr">
        <is>
          <t>Botellas 1L</t>
        </is>
      </c>
      <c r="D14" s="34" t="n">
        <v>1288</v>
      </c>
      <c r="E14" s="33" t="n">
        <v>1288</v>
      </c>
      <c r="F14" s="33" t="n">
        <v>0</v>
      </c>
      <c r="G14" s="33" t="n">
        <v>221</v>
      </c>
      <c r="H14" s="34" t="n">
        <v>221</v>
      </c>
      <c r="I14" s="34" t="n">
        <v>1067</v>
      </c>
      <c r="J14" s="33" t="n">
        <v>1067</v>
      </c>
      <c r="K14" s="26" t="inlineStr">
        <is>
          <t>🔴 NoMover (&gt;6M Nac)</t>
        </is>
      </c>
      <c r="L14" s="55" t="n">
        <v>1.436969766</v>
      </c>
      <c r="M14" s="56" t="n">
        <v>1533.25</v>
      </c>
      <c r="N14" s="57" t="n">
        <v>317.57</v>
      </c>
      <c r="O14" s="29" t="inlineStr">
        <is>
          <t>Plan Choque Comercial Nac / Oferta</t>
        </is>
      </c>
    </row>
    <row r="15" ht="20" customHeight="1">
      <c r="A15" s="51" t="inlineStr">
        <is>
          <t>G1000</t>
        </is>
      </c>
      <c r="B15" s="20" t="inlineStr">
        <is>
          <t>GREEN-UP EXPORTACION, 1000 L</t>
        </is>
      </c>
      <c r="C15" s="20" t="inlineStr">
        <is>
          <t>Depósito 1000 L</t>
        </is>
      </c>
      <c r="D15" s="25" t="n">
        <v>2000</v>
      </c>
      <c r="E15" s="24" t="n">
        <v>2</v>
      </c>
      <c r="F15" s="24" t="n">
        <v>0</v>
      </c>
      <c r="G15" s="24" t="n">
        <v>0</v>
      </c>
      <c r="H15" s="25" t="n">
        <v>0</v>
      </c>
      <c r="I15" s="25" t="n">
        <v>2000</v>
      </c>
      <c r="J15" s="24" t="n">
        <v>2</v>
      </c>
      <c r="K15" s="26" t="inlineStr">
        <is>
          <t>🔴 NoMover (&gt;6M Nac)</t>
        </is>
      </c>
      <c r="L15" s="52" t="n">
        <v>0.736533195</v>
      </c>
      <c r="M15" s="53" t="n">
        <v>1473.07</v>
      </c>
      <c r="N15" s="52" t="n">
        <v>0</v>
      </c>
      <c r="O15" s="20" t="inlineStr">
        <is>
          <t>Sin Demanda Nacional (Inmovilizado Crítico)</t>
        </is>
      </c>
    </row>
    <row r="16" ht="20" customHeight="1">
      <c r="A16" s="54" t="inlineStr">
        <is>
          <t>BR-59AE0005</t>
        </is>
      </c>
      <c r="B16" s="29" t="inlineStr">
        <is>
          <t>BR-59 AE, 5 KG</t>
        </is>
      </c>
      <c r="C16" s="29" t="inlineStr">
        <is>
          <t>Bolsas 5 Kg</t>
        </is>
      </c>
      <c r="D16" s="34" t="n">
        <v>2715</v>
      </c>
      <c r="E16" s="33" t="n">
        <v>543</v>
      </c>
      <c r="F16" s="33" t="n">
        <v>0</v>
      </c>
      <c r="G16" s="33" t="n">
        <v>0</v>
      </c>
      <c r="H16" s="34" t="n">
        <v>0</v>
      </c>
      <c r="I16" s="34" t="n">
        <v>2715</v>
      </c>
      <c r="J16" s="33" t="n">
        <v>543</v>
      </c>
      <c r="K16" s="26" t="inlineStr">
        <is>
          <t>🔴 NoMover (&gt;6M Nac)</t>
        </is>
      </c>
      <c r="L16" s="55" t="n">
        <v>0.492659548</v>
      </c>
      <c r="M16" s="56" t="n">
        <v>1337.57</v>
      </c>
      <c r="N16" s="55" t="n">
        <v>0</v>
      </c>
      <c r="O16" s="29" t="inlineStr">
        <is>
          <t>Sin Demanda Nacional (Inmovilizado Crítico)</t>
        </is>
      </c>
    </row>
    <row r="17" ht="20" customHeight="1">
      <c r="A17" s="51" t="inlineStr">
        <is>
          <t>AGFEL0001</t>
        </is>
      </c>
      <c r="B17" s="20" t="inlineStr">
        <is>
          <t>AGROXILATO-FE-L, 1 L</t>
        </is>
      </c>
      <c r="C17" s="20" t="inlineStr">
        <is>
          <t>Botellas 1L</t>
        </is>
      </c>
      <c r="D17" s="25" t="n">
        <v>732</v>
      </c>
      <c r="E17" s="24" t="n">
        <v>732</v>
      </c>
      <c r="F17" s="24" t="n">
        <v>0</v>
      </c>
      <c r="G17" s="24" t="n">
        <v>0</v>
      </c>
      <c r="H17" s="25" t="n">
        <v>0</v>
      </c>
      <c r="I17" s="25" t="n">
        <v>732</v>
      </c>
      <c r="J17" s="24" t="n">
        <v>732</v>
      </c>
      <c r="K17" s="26" t="inlineStr">
        <is>
          <t>🔴 NoMover (&gt;6M Nac)</t>
        </is>
      </c>
      <c r="L17" s="52" t="n">
        <v>1.693123212</v>
      </c>
      <c r="M17" s="53" t="n">
        <v>1239.37</v>
      </c>
      <c r="N17" s="52" t="n">
        <v>0</v>
      </c>
      <c r="O17" s="20" t="inlineStr">
        <is>
          <t>Sin Demanda Nacional (Inmovilizado Crítico)</t>
        </is>
      </c>
    </row>
    <row r="18" ht="20" customHeight="1">
      <c r="A18" s="54" t="inlineStr">
        <is>
          <t>FLOR0001</t>
        </is>
      </c>
      <c r="B18" s="29" t="inlineStr">
        <is>
          <t>FLORAMEC</t>
        </is>
      </c>
      <c r="C18" s="29" t="inlineStr">
        <is>
          <t>Botellas 1L</t>
        </is>
      </c>
      <c r="D18" s="34" t="n">
        <v>711</v>
      </c>
      <c r="E18" s="33" t="n">
        <v>711</v>
      </c>
      <c r="F18" s="33" t="n">
        <v>0</v>
      </c>
      <c r="G18" s="33" t="n">
        <v>0</v>
      </c>
      <c r="H18" s="34" t="n">
        <v>0</v>
      </c>
      <c r="I18" s="34" t="n">
        <v>711</v>
      </c>
      <c r="J18" s="33" t="n">
        <v>711</v>
      </c>
      <c r="K18" s="26" t="inlineStr">
        <is>
          <t>🔴 NoMover (&gt;6M Nac)</t>
        </is>
      </c>
      <c r="L18" s="55" t="n">
        <v>1.489240857</v>
      </c>
      <c r="M18" s="56" t="n">
        <v>1058.85</v>
      </c>
      <c r="N18" s="55" t="n">
        <v>0</v>
      </c>
      <c r="O18" s="29" t="inlineStr">
        <is>
          <t>Sin Demanda Nacional (Inmovilizado Crítico)</t>
        </is>
      </c>
    </row>
    <row r="19" ht="20" customHeight="1">
      <c r="A19" s="51" t="inlineStr">
        <is>
          <t>CALCIO0020</t>
        </is>
      </c>
      <c r="B19" s="20" t="inlineStr">
        <is>
          <t>CALCIAMEC</t>
        </is>
      </c>
      <c r="C19" s="20" t="inlineStr">
        <is>
          <t>Bolsas 20 Kg</t>
        </is>
      </c>
      <c r="D19" s="25" t="n">
        <v>2120</v>
      </c>
      <c r="E19" s="24" t="n">
        <v>106</v>
      </c>
      <c r="F19" s="24" t="n">
        <v>1048.12</v>
      </c>
      <c r="G19" s="24" t="n">
        <v>320</v>
      </c>
      <c r="H19" s="25" t="n">
        <v>320</v>
      </c>
      <c r="I19" s="25" t="n">
        <v>751.88</v>
      </c>
      <c r="J19" s="24" t="n">
        <v>37.6</v>
      </c>
      <c r="K19" s="26" t="inlineStr">
        <is>
          <t>🔴 NoMover (&gt;6M Nac)</t>
        </is>
      </c>
      <c r="L19" s="52" t="n">
        <v>1.370831857</v>
      </c>
      <c r="M19" s="53" t="n">
        <v>1030.7</v>
      </c>
      <c r="N19" s="58" t="n">
        <v>438.67</v>
      </c>
      <c r="O19" s="20" t="inlineStr">
        <is>
          <t>Plan Choque Comercial Nac / Oferta</t>
        </is>
      </c>
    </row>
    <row r="20" ht="20" customHeight="1">
      <c r="A20" s="54" t="inlineStr">
        <is>
          <t>FROST-P0005</t>
        </is>
      </c>
      <c r="B20" s="29" t="inlineStr">
        <is>
          <t>CODIFROST PLUS, 5 L</t>
        </is>
      </c>
      <c r="C20" s="29" t="inlineStr">
        <is>
          <t>Garrafas 5L</t>
        </is>
      </c>
      <c r="D20" s="34" t="n">
        <v>480</v>
      </c>
      <c r="E20" s="33" t="n">
        <v>96</v>
      </c>
      <c r="F20" s="33" t="n">
        <v>0</v>
      </c>
      <c r="G20" s="33" t="n">
        <v>0</v>
      </c>
      <c r="H20" s="34" t="n">
        <v>0</v>
      </c>
      <c r="I20" s="34" t="n">
        <v>480</v>
      </c>
      <c r="J20" s="33" t="n">
        <v>96</v>
      </c>
      <c r="K20" s="26" t="inlineStr">
        <is>
          <t>🔴 NoMover (&gt;6M Nac)</t>
        </is>
      </c>
      <c r="L20" s="55" t="n">
        <v>1.958383848</v>
      </c>
      <c r="M20" s="56" t="n">
        <v>940.02</v>
      </c>
      <c r="N20" s="55" t="n">
        <v>0</v>
      </c>
      <c r="O20" s="29" t="inlineStr">
        <is>
          <t>Sin Demanda Nacional (Inmovilizado Crítico)</t>
        </is>
      </c>
    </row>
    <row r="21" ht="20" customHeight="1">
      <c r="A21" s="51" t="inlineStr">
        <is>
          <t>BR-590005</t>
        </is>
      </c>
      <c r="B21" s="20" t="inlineStr">
        <is>
          <t>BR-59, 5 KG</t>
        </is>
      </c>
      <c r="C21" s="20" t="inlineStr">
        <is>
          <t>Bolsas 5 Kg</t>
        </is>
      </c>
      <c r="D21" s="25" t="n">
        <v>3040</v>
      </c>
      <c r="E21" s="24" t="n">
        <v>608</v>
      </c>
      <c r="F21" s="24" t="n">
        <v>0</v>
      </c>
      <c r="G21" s="24" t="n">
        <v>1455</v>
      </c>
      <c r="H21" s="25" t="n">
        <v>1455</v>
      </c>
      <c r="I21" s="25" t="n">
        <v>1585</v>
      </c>
      <c r="J21" s="24" t="n">
        <v>317</v>
      </c>
      <c r="K21" s="26" t="inlineStr">
        <is>
          <t>🔴 NoMover (&gt;6M Nac)</t>
        </is>
      </c>
      <c r="L21" s="52" t="n">
        <v>0.524652074</v>
      </c>
      <c r="M21" s="53" t="n">
        <v>831.5700000000001</v>
      </c>
      <c r="N21" s="58" t="n">
        <v>763.37</v>
      </c>
      <c r="O21" s="20" t="inlineStr">
        <is>
          <t>Plan Choque Comercial Nac / Oferta</t>
        </is>
      </c>
    </row>
    <row r="22" ht="20" customHeight="1">
      <c r="A22" s="54" t="inlineStr">
        <is>
          <t>AQUOM0005</t>
        </is>
      </c>
      <c r="B22" s="29" t="inlineStr">
        <is>
          <t>AQUOM, 5 L</t>
        </is>
      </c>
      <c r="C22" s="29" t="inlineStr">
        <is>
          <t>Garrafas 5L</t>
        </is>
      </c>
      <c r="D22" s="34" t="n">
        <v>860</v>
      </c>
      <c r="E22" s="33" t="n">
        <v>172</v>
      </c>
      <c r="F22" s="33" t="n">
        <v>0</v>
      </c>
      <c r="G22" s="33" t="n">
        <v>530</v>
      </c>
      <c r="H22" s="34" t="n">
        <v>530</v>
      </c>
      <c r="I22" s="34" t="n">
        <v>330</v>
      </c>
      <c r="J22" s="33" t="n">
        <v>66</v>
      </c>
      <c r="K22" s="26" t="inlineStr">
        <is>
          <t>🔴 NoMover (&gt;6M Nac)</t>
        </is>
      </c>
      <c r="L22" s="55" t="n">
        <v>2.370252054</v>
      </c>
      <c r="M22" s="56" t="n">
        <v>782.1799999999999</v>
      </c>
      <c r="N22" s="57" t="n">
        <v>1256.23</v>
      </c>
      <c r="O22" s="29" t="inlineStr">
        <is>
          <t>Plan Choque Comercial Nac / Oferta</t>
        </is>
      </c>
    </row>
    <row r="23" ht="20" customHeight="1">
      <c r="A23" s="51" t="inlineStr">
        <is>
          <t>AGZ-M0005</t>
        </is>
      </c>
      <c r="B23" s="20" t="inlineStr">
        <is>
          <t>AGROXILATO-ZN-MN, 5 KG</t>
        </is>
      </c>
      <c r="C23" s="20" t="inlineStr">
        <is>
          <t>Bolsas 5 Kg</t>
        </is>
      </c>
      <c r="D23" s="25" t="n">
        <v>1125</v>
      </c>
      <c r="E23" s="24" t="n">
        <v>225</v>
      </c>
      <c r="F23" s="24" t="n">
        <v>173.58</v>
      </c>
      <c r="G23" s="24" t="n">
        <v>580</v>
      </c>
      <c r="H23" s="25" t="n">
        <v>580</v>
      </c>
      <c r="I23" s="25" t="n">
        <v>371.42</v>
      </c>
      <c r="J23" s="24" t="n">
        <v>74.3</v>
      </c>
      <c r="K23" s="26" t="inlineStr">
        <is>
          <t>🔴 NoMover (&gt;6M Nac)</t>
        </is>
      </c>
      <c r="L23" s="52" t="n">
        <v>1.990086214</v>
      </c>
      <c r="M23" s="53" t="n">
        <v>739.16</v>
      </c>
      <c r="N23" s="58" t="n">
        <v>1154.25</v>
      </c>
      <c r="O23" s="20" t="inlineStr">
        <is>
          <t>Plan Choque Comercial Nac / Oferta</t>
        </is>
      </c>
    </row>
    <row r="24" ht="20" customHeight="1">
      <c r="A24" s="54" t="inlineStr">
        <is>
          <t>FU0005</t>
        </is>
      </c>
      <c r="B24" s="29" t="inlineStr">
        <is>
          <t>FULVIGIN, 5 L</t>
        </is>
      </c>
      <c r="C24" s="29" t="inlineStr">
        <is>
          <t>Garrafas 5L</t>
        </is>
      </c>
      <c r="D24" s="34" t="n">
        <v>600</v>
      </c>
      <c r="E24" s="33" t="n">
        <v>120</v>
      </c>
      <c r="F24" s="33" t="n">
        <v>0</v>
      </c>
      <c r="G24" s="33" t="n">
        <v>20</v>
      </c>
      <c r="H24" s="34" t="n">
        <v>20</v>
      </c>
      <c r="I24" s="34" t="n">
        <v>580</v>
      </c>
      <c r="J24" s="33" t="n">
        <v>116</v>
      </c>
      <c r="K24" s="26" t="inlineStr">
        <is>
          <t>🔴 NoMover (&gt;6M Nac)</t>
        </is>
      </c>
      <c r="L24" s="55" t="n">
        <v>1.179559864</v>
      </c>
      <c r="M24" s="56" t="n">
        <v>684.14</v>
      </c>
      <c r="N24" s="57" t="n">
        <v>23.59</v>
      </c>
      <c r="O24" s="29" t="inlineStr">
        <is>
          <t>Plan Choque Comercial Nac / Oferta</t>
        </is>
      </c>
    </row>
    <row r="25" ht="20" customHeight="1">
      <c r="A25" s="51" t="inlineStr">
        <is>
          <t>CBROT0020</t>
        </is>
      </c>
      <c r="B25" s="20" t="inlineStr">
        <is>
          <t>CODIBROT, 20 L</t>
        </is>
      </c>
      <c r="C25" s="20" t="inlineStr">
        <is>
          <t>Garrafas 20L</t>
        </is>
      </c>
      <c r="D25" s="25" t="n">
        <v>620</v>
      </c>
      <c r="E25" s="24" t="n">
        <v>31</v>
      </c>
      <c r="F25" s="24" t="n">
        <v>0</v>
      </c>
      <c r="G25" s="24" t="n">
        <v>100</v>
      </c>
      <c r="H25" s="25" t="n">
        <v>100</v>
      </c>
      <c r="I25" s="25" t="n">
        <v>520</v>
      </c>
      <c r="J25" s="24" t="n">
        <v>26</v>
      </c>
      <c r="K25" s="26" t="inlineStr">
        <is>
          <t>🔴 NoMover (&gt;6M Nac)</t>
        </is>
      </c>
      <c r="L25" s="52" t="n">
        <v>1.166121141</v>
      </c>
      <c r="M25" s="53" t="n">
        <v>606.38</v>
      </c>
      <c r="N25" s="58" t="n">
        <v>116.61</v>
      </c>
      <c r="O25" s="20" t="inlineStr">
        <is>
          <t>Plan Choque Comercial Nac / Oferta</t>
        </is>
      </c>
    </row>
    <row r="26" ht="20" customHeight="1">
      <c r="A26" s="54" t="inlineStr">
        <is>
          <t>SS0005</t>
        </is>
      </c>
      <c r="B26" s="29" t="inlineStr">
        <is>
          <t>SALWAX-CA, 5 KG</t>
        </is>
      </c>
      <c r="C26" s="29" t="inlineStr">
        <is>
          <t>Bolsas 5 Kg</t>
        </is>
      </c>
      <c r="D26" s="34" t="n">
        <v>2270</v>
      </c>
      <c r="E26" s="33" t="n">
        <v>454</v>
      </c>
      <c r="F26" s="33" t="n">
        <v>786.09</v>
      </c>
      <c r="G26" s="33" t="n">
        <v>1055</v>
      </c>
      <c r="H26" s="34" t="n">
        <v>1055</v>
      </c>
      <c r="I26" s="34" t="n">
        <v>428.91</v>
      </c>
      <c r="J26" s="33" t="n">
        <v>85.8</v>
      </c>
      <c r="K26" s="26" t="inlineStr">
        <is>
          <t>🔴 NoMover (&gt;6M Nac)</t>
        </is>
      </c>
      <c r="L26" s="55" t="n">
        <v>1.295598783</v>
      </c>
      <c r="M26" s="56" t="n">
        <v>555.7</v>
      </c>
      <c r="N26" s="57" t="n">
        <v>1366.86</v>
      </c>
      <c r="O26" s="29" t="inlineStr">
        <is>
          <t>Plan Choque Comercial Nac / Oferta</t>
        </is>
      </c>
    </row>
    <row r="27" ht="20" customHeight="1">
      <c r="A27" s="51" t="inlineStr">
        <is>
          <t>CBROT0005</t>
        </is>
      </c>
      <c r="B27" s="20" t="inlineStr">
        <is>
          <t>CODIBROT, 5 L</t>
        </is>
      </c>
      <c r="C27" s="20" t="inlineStr">
        <is>
          <t>Garrafas 5L</t>
        </is>
      </c>
      <c r="D27" s="25" t="n">
        <v>600</v>
      </c>
      <c r="E27" s="24" t="n">
        <v>120</v>
      </c>
      <c r="F27" s="24" t="n">
        <v>0</v>
      </c>
      <c r="G27" s="24" t="n">
        <v>215</v>
      </c>
      <c r="H27" s="25" t="n">
        <v>215</v>
      </c>
      <c r="I27" s="25" t="n">
        <v>385</v>
      </c>
      <c r="J27" s="24" t="n">
        <v>77</v>
      </c>
      <c r="K27" s="26" t="inlineStr">
        <is>
          <t>🔴 NoMover (&gt;6M Nac)</t>
        </is>
      </c>
      <c r="L27" s="52" t="n">
        <v>1.293061752</v>
      </c>
      <c r="M27" s="53" t="n">
        <v>497.83</v>
      </c>
      <c r="N27" s="58" t="n">
        <v>278.01</v>
      </c>
      <c r="O27" s="20" t="inlineStr">
        <is>
          <t>Plan Choque Comercial Nac / Oferta</t>
        </is>
      </c>
    </row>
    <row r="28" ht="20" customHeight="1">
      <c r="A28" s="54" t="inlineStr">
        <is>
          <t>SPCE2B0001</t>
        </is>
      </c>
      <c r="B28" s="29" t="inlineStr">
        <is>
          <t>SPRINTENE CON BORO, 1 L</t>
        </is>
      </c>
      <c r="C28" s="29" t="inlineStr">
        <is>
          <t>Botellas 1L</t>
        </is>
      </c>
      <c r="D28" s="34" t="n">
        <v>162</v>
      </c>
      <c r="E28" s="33" t="n">
        <v>162</v>
      </c>
      <c r="F28" s="33" t="n">
        <v>0</v>
      </c>
      <c r="G28" s="33" t="n">
        <v>78</v>
      </c>
      <c r="H28" s="34" t="n">
        <v>78</v>
      </c>
      <c r="I28" s="34" t="n">
        <v>84</v>
      </c>
      <c r="J28" s="33" t="n">
        <v>84</v>
      </c>
      <c r="K28" s="26" t="inlineStr">
        <is>
          <t>🔴 NoMover (&gt;6M Nac)</t>
        </is>
      </c>
      <c r="L28" s="55" t="n">
        <v>5.368841049</v>
      </c>
      <c r="M28" s="56" t="n">
        <v>450.98</v>
      </c>
      <c r="N28" s="57" t="n">
        <v>418.77</v>
      </c>
      <c r="O28" s="29" t="inlineStr">
        <is>
          <t>Plan Choque Comercial Nac / Oferta</t>
        </is>
      </c>
    </row>
    <row r="29" ht="20" customHeight="1">
      <c r="A29" s="51" t="inlineStr">
        <is>
          <t>BC0005</t>
        </is>
      </c>
      <c r="B29" s="20" t="inlineStr">
        <is>
          <t>BITTER-CAL, 5 KG</t>
        </is>
      </c>
      <c r="C29" s="20" t="inlineStr">
        <is>
          <t>Bolsas 5 Kg</t>
        </is>
      </c>
      <c r="D29" s="25" t="n">
        <v>370</v>
      </c>
      <c r="E29" s="24" t="n">
        <v>74</v>
      </c>
      <c r="F29" s="24" t="n">
        <v>0</v>
      </c>
      <c r="G29" s="24" t="n">
        <v>0</v>
      </c>
      <c r="H29" s="25" t="n">
        <v>0</v>
      </c>
      <c r="I29" s="25" t="n">
        <v>370</v>
      </c>
      <c r="J29" s="24" t="n">
        <v>74</v>
      </c>
      <c r="K29" s="26" t="inlineStr">
        <is>
          <t>🔴 NoMover (&gt;6M Nac)</t>
        </is>
      </c>
      <c r="L29" s="52" t="n">
        <v>1.158218336</v>
      </c>
      <c r="M29" s="53" t="n">
        <v>428.54</v>
      </c>
      <c r="N29" s="52" t="n">
        <v>0</v>
      </c>
      <c r="O29" s="20" t="inlineStr">
        <is>
          <t>Sin Demanda Nacional (Inmovilizado Crítico)</t>
        </is>
      </c>
    </row>
    <row r="30" ht="20" customHeight="1">
      <c r="A30" s="54" t="inlineStr">
        <is>
          <t>G30005</t>
        </is>
      </c>
      <c r="B30" s="29" t="inlineStr">
        <is>
          <t>GREEN-UP, 5 L</t>
        </is>
      </c>
      <c r="C30" s="29" t="inlineStr">
        <is>
          <t>Garrafas 5L</t>
        </is>
      </c>
      <c r="D30" s="34" t="n">
        <v>360</v>
      </c>
      <c r="E30" s="33" t="n">
        <v>72</v>
      </c>
      <c r="F30" s="33" t="n">
        <v>0</v>
      </c>
      <c r="G30" s="33" t="n">
        <v>40</v>
      </c>
      <c r="H30" s="34" t="n">
        <v>40</v>
      </c>
      <c r="I30" s="34" t="n">
        <v>320</v>
      </c>
      <c r="J30" s="33" t="n">
        <v>64</v>
      </c>
      <c r="K30" s="26" t="inlineStr">
        <is>
          <t>🔴 NoMover (&gt;6M Nac)</t>
        </is>
      </c>
      <c r="L30" s="55" t="n">
        <v>1.291982944</v>
      </c>
      <c r="M30" s="56" t="n">
        <v>413.43</v>
      </c>
      <c r="N30" s="57" t="n">
        <v>51.68</v>
      </c>
      <c r="O30" s="29" t="inlineStr">
        <is>
          <t>Plan Choque Comercial Nac / Oferta</t>
        </is>
      </c>
    </row>
    <row r="31" ht="20" customHeight="1">
      <c r="A31" s="51" t="inlineStr">
        <is>
          <t>C-GLB0005</t>
        </is>
      </c>
      <c r="B31" s="20" t="inlineStr">
        <is>
          <t>CODIORGAN GLB, 5 KG</t>
        </is>
      </c>
      <c r="C31" s="20" t="inlineStr">
        <is>
          <t>Bolsas 5 Kg</t>
        </is>
      </c>
      <c r="D31" s="25" t="n">
        <v>255</v>
      </c>
      <c r="E31" s="24" t="n">
        <v>51</v>
      </c>
      <c r="F31" s="24" t="n">
        <v>0</v>
      </c>
      <c r="G31" s="24" t="n">
        <v>0</v>
      </c>
      <c r="H31" s="25" t="n">
        <v>0</v>
      </c>
      <c r="I31" s="25" t="n">
        <v>255</v>
      </c>
      <c r="J31" s="24" t="n">
        <v>51</v>
      </c>
      <c r="K31" s="26" t="inlineStr">
        <is>
          <t>🔴 NoMover (&gt;6M Nac)</t>
        </is>
      </c>
      <c r="L31" s="52" t="n">
        <v>1.575231243</v>
      </c>
      <c r="M31" s="53" t="n">
        <v>401.68</v>
      </c>
      <c r="N31" s="52" t="n">
        <v>0</v>
      </c>
      <c r="O31" s="20" t="inlineStr">
        <is>
          <t>Sin Demanda Nacional (Inmovilizado Crítico)</t>
        </is>
      </c>
    </row>
    <row r="32" ht="20" customHeight="1">
      <c r="A32" s="54" t="inlineStr">
        <is>
          <t>AGRMG0005</t>
        </is>
      </c>
      <c r="B32" s="29" t="inlineStr">
        <is>
          <t>AGROXIGREEN-MG, 5 L</t>
        </is>
      </c>
      <c r="C32" s="29" t="inlineStr">
        <is>
          <t>Garrafas 5L</t>
        </is>
      </c>
      <c r="D32" s="34" t="n">
        <v>775</v>
      </c>
      <c r="E32" s="33" t="n">
        <v>155</v>
      </c>
      <c r="F32" s="33" t="n">
        <v>0</v>
      </c>
      <c r="G32" s="33" t="n">
        <v>475</v>
      </c>
      <c r="H32" s="34" t="n">
        <v>475</v>
      </c>
      <c r="I32" s="34" t="n">
        <v>300</v>
      </c>
      <c r="J32" s="33" t="n">
        <v>60</v>
      </c>
      <c r="K32" s="26" t="inlineStr">
        <is>
          <t>🔴 NoMover (&gt;6M Nac)</t>
        </is>
      </c>
      <c r="L32" s="55" t="n">
        <v>1.221615086</v>
      </c>
      <c r="M32" s="56" t="n">
        <v>366.48</v>
      </c>
      <c r="N32" s="57" t="n">
        <v>580.27</v>
      </c>
      <c r="O32" s="29" t="inlineStr">
        <is>
          <t>Plan Choque Comercial Nac / Oferta</t>
        </is>
      </c>
    </row>
    <row r="33" ht="20" customHeight="1">
      <c r="A33" s="51" t="inlineStr">
        <is>
          <t>AGZNP0001</t>
        </is>
      </c>
      <c r="B33" s="20" t="inlineStr">
        <is>
          <t>AGROXILATO-ZN PLUS</t>
        </is>
      </c>
      <c r="C33" s="20" t="inlineStr">
        <is>
          <t>Bolsas 1 Kg</t>
        </is>
      </c>
      <c r="D33" s="25" t="n">
        <v>128</v>
      </c>
      <c r="E33" s="24" t="n">
        <v>128</v>
      </c>
      <c r="F33" s="24" t="n">
        <v>0</v>
      </c>
      <c r="G33" s="24" t="n">
        <v>0</v>
      </c>
      <c r="H33" s="25" t="n">
        <v>0</v>
      </c>
      <c r="I33" s="25" t="n">
        <v>128</v>
      </c>
      <c r="J33" s="24" t="n">
        <v>128</v>
      </c>
      <c r="K33" s="26" t="inlineStr">
        <is>
          <t>🔴 NoMover (&gt;6M Nac)</t>
        </is>
      </c>
      <c r="L33" s="52" t="n">
        <v>2.77492046</v>
      </c>
      <c r="M33" s="53" t="n">
        <v>355.19</v>
      </c>
      <c r="N33" s="52" t="n">
        <v>0</v>
      </c>
      <c r="O33" s="20" t="inlineStr">
        <is>
          <t>Sin Demanda Nacional (Inmovilizado Crítico)</t>
        </is>
      </c>
    </row>
    <row r="34" ht="20" customHeight="1">
      <c r="A34" s="54" t="inlineStr">
        <is>
          <t>S0005</t>
        </is>
      </c>
      <c r="B34" s="29" t="inlineStr">
        <is>
          <t>SAL-WAX STAR, 5 L</t>
        </is>
      </c>
      <c r="C34" s="29" t="inlineStr">
        <is>
          <t>Garrafas 5L</t>
        </is>
      </c>
      <c r="D34" s="34" t="n">
        <v>540</v>
      </c>
      <c r="E34" s="33" t="n">
        <v>108</v>
      </c>
      <c r="F34" s="33" t="n">
        <v>0</v>
      </c>
      <c r="G34" s="33" t="n">
        <v>90</v>
      </c>
      <c r="H34" s="34" t="n">
        <v>90</v>
      </c>
      <c r="I34" s="34" t="n">
        <v>450</v>
      </c>
      <c r="J34" s="33" t="n">
        <v>90</v>
      </c>
      <c r="K34" s="26" t="inlineStr">
        <is>
          <t>🔴 NoMover (&gt;6M Nac)</t>
        </is>
      </c>
      <c r="L34" s="55" t="n">
        <v>0.731536129</v>
      </c>
      <c r="M34" s="56" t="n">
        <v>329.19</v>
      </c>
      <c r="N34" s="57" t="n">
        <v>65.84</v>
      </c>
      <c r="O34" s="29" t="inlineStr">
        <is>
          <t>Plan Choque Comercial Nac / Oferta</t>
        </is>
      </c>
    </row>
    <row r="35" ht="20" customHeight="1">
      <c r="A35" s="51" t="inlineStr">
        <is>
          <t>HST0001</t>
        </is>
      </c>
      <c r="B35" s="20" t="inlineStr">
        <is>
          <t>HIDROSTRESS, 1 L</t>
        </is>
      </c>
      <c r="C35" s="20" t="inlineStr">
        <is>
          <t>Botellas 1L</t>
        </is>
      </c>
      <c r="D35" s="25" t="n">
        <v>156</v>
      </c>
      <c r="E35" s="24" t="n">
        <v>156</v>
      </c>
      <c r="F35" s="24" t="n">
        <v>0</v>
      </c>
      <c r="G35" s="24" t="n">
        <v>75</v>
      </c>
      <c r="H35" s="25" t="n">
        <v>75</v>
      </c>
      <c r="I35" s="25" t="n">
        <v>81</v>
      </c>
      <c r="J35" s="24" t="n">
        <v>81</v>
      </c>
      <c r="K35" s="26" t="inlineStr">
        <is>
          <t>🔴 NoMover (&gt;6M Nac)</t>
        </is>
      </c>
      <c r="L35" s="52" t="n">
        <v>3.519051434</v>
      </c>
      <c r="M35" s="53" t="n">
        <v>285.04</v>
      </c>
      <c r="N35" s="58" t="n">
        <v>263.93</v>
      </c>
      <c r="O35" s="20" t="inlineStr">
        <is>
          <t>Plan Choque Comercial Nac / Oferta</t>
        </is>
      </c>
    </row>
    <row r="36" ht="20" customHeight="1">
      <c r="A36" s="54" t="inlineStr">
        <is>
          <t>AVAN0001</t>
        </is>
      </c>
      <c r="B36" s="29" t="inlineStr">
        <is>
          <t>CODI-FLOR AVANCE, 1 L</t>
        </is>
      </c>
      <c r="C36" s="29" t="inlineStr">
        <is>
          <t>Botellas 1L</t>
        </is>
      </c>
      <c r="D36" s="34" t="n">
        <v>156</v>
      </c>
      <c r="E36" s="33" t="n">
        <v>156</v>
      </c>
      <c r="F36" s="33" t="n">
        <v>0</v>
      </c>
      <c r="G36" s="33" t="n">
        <v>43</v>
      </c>
      <c r="H36" s="34" t="n">
        <v>43</v>
      </c>
      <c r="I36" s="34" t="n">
        <v>113</v>
      </c>
      <c r="J36" s="33" t="n">
        <v>113</v>
      </c>
      <c r="K36" s="26" t="inlineStr">
        <is>
          <t>🔴 NoMover (&gt;6M Nac)</t>
        </is>
      </c>
      <c r="L36" s="55" t="n">
        <v>2.35378569</v>
      </c>
      <c r="M36" s="56" t="n">
        <v>265.98</v>
      </c>
      <c r="N36" s="57" t="n">
        <v>101.21</v>
      </c>
      <c r="O36" s="29" t="inlineStr">
        <is>
          <t>Plan Choque Comercial Nac / Oferta</t>
        </is>
      </c>
    </row>
    <row r="37" ht="20" customHeight="1">
      <c r="A37" s="51" t="inlineStr">
        <is>
          <t>AN0005</t>
        </is>
      </c>
      <c r="B37" s="20" t="inlineStr">
        <is>
          <t>ALCAPLANT NEW, 5 KG</t>
        </is>
      </c>
      <c r="C37" s="20" t="inlineStr">
        <is>
          <t>Bolsas 5 Kg</t>
        </is>
      </c>
      <c r="D37" s="25" t="n">
        <v>1080</v>
      </c>
      <c r="E37" s="24" t="n">
        <v>216</v>
      </c>
      <c r="F37" s="24" t="n">
        <v>0</v>
      </c>
      <c r="G37" s="24" t="n">
        <v>0</v>
      </c>
      <c r="H37" s="25" t="n">
        <v>0</v>
      </c>
      <c r="I37" s="25" t="n">
        <v>1080</v>
      </c>
      <c r="J37" s="24" t="n">
        <v>216</v>
      </c>
      <c r="K37" s="26" t="inlineStr">
        <is>
          <t>🔴 NoMover (&gt;6M Nac)</t>
        </is>
      </c>
      <c r="L37" s="52" t="n">
        <v>0.232699579</v>
      </c>
      <c r="M37" s="53" t="n">
        <v>251.32</v>
      </c>
      <c r="N37" s="52" t="n">
        <v>0</v>
      </c>
      <c r="O37" s="20" t="inlineStr">
        <is>
          <t>Sin Demanda Nacional (Inmovilizado Crítico)</t>
        </is>
      </c>
    </row>
    <row r="38" ht="20" customHeight="1">
      <c r="A38" s="54" t="inlineStr">
        <is>
          <t>N0001</t>
        </is>
      </c>
      <c r="B38" s="29" t="inlineStr">
        <is>
          <t>NUTRICALE, 1 L</t>
        </is>
      </c>
      <c r="C38" s="29" t="inlineStr">
        <is>
          <t>Botellas 1L</t>
        </is>
      </c>
      <c r="D38" s="34" t="n">
        <v>132</v>
      </c>
      <c r="E38" s="33" t="n">
        <v>132</v>
      </c>
      <c r="F38" s="33" t="n">
        <v>0</v>
      </c>
      <c r="G38" s="33" t="n">
        <v>0</v>
      </c>
      <c r="H38" s="34" t="n">
        <v>0</v>
      </c>
      <c r="I38" s="34" t="n">
        <v>132</v>
      </c>
      <c r="J38" s="33" t="n">
        <v>132</v>
      </c>
      <c r="K38" s="26" t="inlineStr">
        <is>
          <t>🔴 NoMover (&gt;6M Nac)</t>
        </is>
      </c>
      <c r="L38" s="55" t="n">
        <v>1.606300393</v>
      </c>
      <c r="M38" s="56" t="n">
        <v>212.03</v>
      </c>
      <c r="N38" s="55" t="n">
        <v>0</v>
      </c>
      <c r="O38" s="29" t="inlineStr">
        <is>
          <t>Sin Demanda Nacional (Inmovilizado Crítico)</t>
        </is>
      </c>
    </row>
    <row r="39" ht="20" customHeight="1">
      <c r="A39" s="51" t="inlineStr">
        <is>
          <t>CBASI0005</t>
        </is>
      </c>
      <c r="B39" s="20" t="inlineStr">
        <is>
          <t>BIOCULTURE BASI, 5 KG</t>
        </is>
      </c>
      <c r="C39" s="20" t="inlineStr">
        <is>
          <t>Bolsas 5 Kg</t>
        </is>
      </c>
      <c r="D39" s="25" t="n">
        <v>770</v>
      </c>
      <c r="E39" s="24" t="n">
        <v>154</v>
      </c>
      <c r="F39" s="24" t="n">
        <v>463.52</v>
      </c>
      <c r="G39" s="24" t="n">
        <v>0</v>
      </c>
      <c r="H39" s="25" t="n">
        <v>0</v>
      </c>
      <c r="I39" s="25" t="n">
        <v>306.48</v>
      </c>
      <c r="J39" s="24" t="n">
        <v>61.3</v>
      </c>
      <c r="K39" s="26" t="inlineStr">
        <is>
          <t>🔴 NoMover (&gt;6M Nac)</t>
        </is>
      </c>
      <c r="L39" s="52" t="n">
        <v>0.638528424</v>
      </c>
      <c r="M39" s="53" t="n">
        <v>195.7</v>
      </c>
      <c r="N39" s="52" t="n">
        <v>0</v>
      </c>
      <c r="O39" s="20" t="inlineStr">
        <is>
          <t>Plan Choque Comercial Nac / Oferta</t>
        </is>
      </c>
    </row>
    <row r="40" ht="20" customHeight="1">
      <c r="A40" s="54" t="inlineStr">
        <is>
          <t>AQUOM0001</t>
        </is>
      </c>
      <c r="B40" s="29" t="inlineStr">
        <is>
          <t>AQUOM, 1 L</t>
        </is>
      </c>
      <c r="C40" s="29" t="inlineStr">
        <is>
          <t>Botellas 1L</t>
        </is>
      </c>
      <c r="D40" s="34" t="n">
        <v>36</v>
      </c>
      <c r="E40" s="33" t="n">
        <v>36</v>
      </c>
      <c r="F40" s="33" t="n">
        <v>0</v>
      </c>
      <c r="G40" s="33" t="n">
        <v>0</v>
      </c>
      <c r="H40" s="34" t="n">
        <v>0</v>
      </c>
      <c r="I40" s="34" t="n">
        <v>36</v>
      </c>
      <c r="J40" s="33" t="n">
        <v>36</v>
      </c>
      <c r="K40" s="26" t="inlineStr">
        <is>
          <t>🔴 NoMover (&gt;6M Nac)</t>
        </is>
      </c>
      <c r="L40" s="55" t="n">
        <v>5.280834965</v>
      </c>
      <c r="M40" s="56" t="n">
        <v>190.11</v>
      </c>
      <c r="N40" s="55" t="n">
        <v>0</v>
      </c>
      <c r="O40" s="29" t="inlineStr">
        <is>
          <t>Sin Demanda Nacional (Inmovilizado Crítico)</t>
        </is>
      </c>
    </row>
    <row r="41" ht="20" customHeight="1">
      <c r="A41" s="51" t="inlineStr">
        <is>
          <t>PIV0005</t>
        </is>
      </c>
      <c r="B41" s="20" t="inlineStr">
        <is>
          <t>PGR IV, 5 L</t>
        </is>
      </c>
      <c r="C41" s="20" t="inlineStr">
        <is>
          <t>Garrafas 5L</t>
        </is>
      </c>
      <c r="D41" s="25" t="n">
        <v>200</v>
      </c>
      <c r="E41" s="24" t="n">
        <v>40</v>
      </c>
      <c r="F41" s="24" t="n">
        <v>0</v>
      </c>
      <c r="G41" s="24" t="n">
        <v>0</v>
      </c>
      <c r="H41" s="25" t="n">
        <v>0</v>
      </c>
      <c r="I41" s="25" t="n">
        <v>200</v>
      </c>
      <c r="J41" s="24" t="n">
        <v>40</v>
      </c>
      <c r="K41" s="26" t="inlineStr">
        <is>
          <t>🔴 NoMover (&gt;6M Nac)</t>
        </is>
      </c>
      <c r="L41" s="52" t="n">
        <v>0.919223317</v>
      </c>
      <c r="M41" s="53" t="n">
        <v>183.84</v>
      </c>
      <c r="N41" s="52" t="n">
        <v>0</v>
      </c>
      <c r="O41" s="20" t="inlineStr">
        <is>
          <t>Sin Demanda Nacional (Inmovilizado Crítico)</t>
        </is>
      </c>
    </row>
    <row r="42" ht="20" customHeight="1">
      <c r="A42" s="54" t="inlineStr">
        <is>
          <t>ANAE0020</t>
        </is>
      </c>
      <c r="B42" s="29" t="inlineStr">
        <is>
          <t>ALCAPLANT NEW AE, 20 KG</t>
        </is>
      </c>
      <c r="C42" s="29" t="inlineStr">
        <is>
          <t>Bolsas 20 Kg</t>
        </is>
      </c>
      <c r="D42" s="34" t="n">
        <v>12720</v>
      </c>
      <c r="E42" s="33" t="n">
        <v>636</v>
      </c>
      <c r="F42" s="33" t="n">
        <v>7484.77</v>
      </c>
      <c r="G42" s="33" t="n">
        <v>4800</v>
      </c>
      <c r="H42" s="34" t="n">
        <v>4800</v>
      </c>
      <c r="I42" s="34" t="n">
        <v>435.23</v>
      </c>
      <c r="J42" s="33" t="n">
        <v>21.8</v>
      </c>
      <c r="K42" s="26" t="inlineStr">
        <is>
          <t>🔴 NoMover (&gt;6M Nac)</t>
        </is>
      </c>
      <c r="L42" s="55" t="n">
        <v>0.409634067</v>
      </c>
      <c r="M42" s="56" t="n">
        <v>178.29</v>
      </c>
      <c r="N42" s="57" t="n">
        <v>1966.24</v>
      </c>
      <c r="O42" s="29" t="inlineStr">
        <is>
          <t>Plan Choque Comercial Nac / Oferta</t>
        </is>
      </c>
    </row>
    <row r="43" ht="20" customHeight="1">
      <c r="A43" s="51" t="inlineStr">
        <is>
          <t>CSIL0005</t>
        </is>
      </c>
      <c r="B43" s="20" t="inlineStr">
        <is>
          <t>FITOKONTROL-K, 5 L</t>
        </is>
      </c>
      <c r="C43" s="20" t="inlineStr">
        <is>
          <t>Garrafas 5L</t>
        </is>
      </c>
      <c r="D43" s="25" t="n">
        <v>200</v>
      </c>
      <c r="E43" s="24" t="n">
        <v>40</v>
      </c>
      <c r="F43" s="24" t="n">
        <v>0</v>
      </c>
      <c r="G43" s="24" t="n">
        <v>65</v>
      </c>
      <c r="H43" s="25" t="n">
        <v>65</v>
      </c>
      <c r="I43" s="25" t="n">
        <v>135</v>
      </c>
      <c r="J43" s="24" t="n">
        <v>27</v>
      </c>
      <c r="K43" s="26" t="inlineStr">
        <is>
          <t>🔴 NoMover (&gt;6M Nac)</t>
        </is>
      </c>
      <c r="L43" s="52" t="n">
        <v>1.319499703</v>
      </c>
      <c r="M43" s="53" t="n">
        <v>178.13</v>
      </c>
      <c r="N43" s="58" t="n">
        <v>85.77</v>
      </c>
      <c r="O43" s="20" t="inlineStr">
        <is>
          <t>Plan Choque Comercial Nac / Oferta</t>
        </is>
      </c>
    </row>
    <row r="44" ht="20" customHeight="1">
      <c r="A44" s="54" t="inlineStr">
        <is>
          <t>BEY0020</t>
        </is>
      </c>
      <c r="B44" s="29" t="inlineStr">
        <is>
          <t>FLORAMEC PLUS 20 L</t>
        </is>
      </c>
      <c r="C44" s="29" t="inlineStr">
        <is>
          <t>Garrafas 20L</t>
        </is>
      </c>
      <c r="D44" s="34" t="n">
        <v>320</v>
      </c>
      <c r="E44" s="33" t="n">
        <v>16</v>
      </c>
      <c r="F44" s="33" t="n">
        <v>0</v>
      </c>
      <c r="G44" s="33" t="n">
        <v>220</v>
      </c>
      <c r="H44" s="34" t="n">
        <v>220</v>
      </c>
      <c r="I44" s="34" t="n">
        <v>100</v>
      </c>
      <c r="J44" s="33" t="n">
        <v>5</v>
      </c>
      <c r="K44" s="26" t="inlineStr">
        <is>
          <t>🔴 NoMover (&gt;6M Nac)</t>
        </is>
      </c>
      <c r="L44" s="55" t="n">
        <v>1.472711782</v>
      </c>
      <c r="M44" s="56" t="n">
        <v>147.27</v>
      </c>
      <c r="N44" s="57" t="n">
        <v>324</v>
      </c>
      <c r="O44" s="29" t="inlineStr">
        <is>
          <t>Plan Choque Comercial Nac / Oferta</t>
        </is>
      </c>
    </row>
    <row r="45" ht="20" customHeight="1">
      <c r="A45" s="51" t="inlineStr">
        <is>
          <t>AGFEL0005</t>
        </is>
      </c>
      <c r="B45" s="20" t="inlineStr">
        <is>
          <t>AGROXILATO-FE-L, 5 L</t>
        </is>
      </c>
      <c r="C45" s="20" t="inlineStr">
        <is>
          <t>Garrafas 5L</t>
        </is>
      </c>
      <c r="D45" s="25" t="n">
        <v>120</v>
      </c>
      <c r="E45" s="24" t="n">
        <v>24</v>
      </c>
      <c r="F45" s="24" t="n">
        <v>0</v>
      </c>
      <c r="G45" s="24" t="n">
        <v>45</v>
      </c>
      <c r="H45" s="25" t="n">
        <v>45</v>
      </c>
      <c r="I45" s="25" t="n">
        <v>75</v>
      </c>
      <c r="J45" s="24" t="n">
        <v>15</v>
      </c>
      <c r="K45" s="26" t="inlineStr">
        <is>
          <t>🔴 NoMover (&gt;6M Nac)</t>
        </is>
      </c>
      <c r="L45" s="52" t="n">
        <v>1.807611829</v>
      </c>
      <c r="M45" s="53" t="n">
        <v>135.57</v>
      </c>
      <c r="N45" s="58" t="n">
        <v>81.34</v>
      </c>
      <c r="O45" s="20" t="inlineStr">
        <is>
          <t>Plan Choque Comercial Nac / Oferta</t>
        </is>
      </c>
    </row>
    <row r="46" ht="20" customHeight="1">
      <c r="A46" s="54" t="inlineStr">
        <is>
          <t>FLOR0020</t>
        </is>
      </c>
      <c r="B46" s="29" t="inlineStr">
        <is>
          <t>FLORAMEC, 20 L</t>
        </is>
      </c>
      <c r="C46" s="29" t="inlineStr">
        <is>
          <t>Garrafas 20L</t>
        </is>
      </c>
      <c r="D46" s="34" t="n">
        <v>140</v>
      </c>
      <c r="E46" s="33" t="n">
        <v>7</v>
      </c>
      <c r="F46" s="33" t="n">
        <v>0</v>
      </c>
      <c r="G46" s="33" t="n">
        <v>0</v>
      </c>
      <c r="H46" s="34" t="n">
        <v>0</v>
      </c>
      <c r="I46" s="34" t="n">
        <v>140</v>
      </c>
      <c r="J46" s="33" t="n">
        <v>7</v>
      </c>
      <c r="K46" s="26" t="inlineStr">
        <is>
          <t>🔴 NoMover (&gt;6M Nac)</t>
        </is>
      </c>
      <c r="L46" s="55" t="n">
        <v>0.842963167</v>
      </c>
      <c r="M46" s="56" t="n">
        <v>118.01</v>
      </c>
      <c r="N46" s="55" t="n">
        <v>0</v>
      </c>
      <c r="O46" s="29" t="inlineStr">
        <is>
          <t>Sin Demanda Nacional (Inmovilizado Crítico)</t>
        </is>
      </c>
    </row>
    <row r="47" ht="20" customHeight="1">
      <c r="A47" s="51" t="inlineStr">
        <is>
          <t>CSIL0020</t>
        </is>
      </c>
      <c r="B47" s="20" t="inlineStr">
        <is>
          <t>FITOKONTROL-K, 20 L</t>
        </is>
      </c>
      <c r="C47" s="20" t="inlineStr">
        <is>
          <t>Garrafas 20L</t>
        </is>
      </c>
      <c r="D47" s="25" t="n">
        <v>80</v>
      </c>
      <c r="E47" s="24" t="n">
        <v>4</v>
      </c>
      <c r="F47" s="24" t="n">
        <v>0</v>
      </c>
      <c r="G47" s="24" t="n">
        <v>0</v>
      </c>
      <c r="H47" s="25" t="n">
        <v>0</v>
      </c>
      <c r="I47" s="25" t="n">
        <v>80</v>
      </c>
      <c r="J47" s="24" t="n">
        <v>4</v>
      </c>
      <c r="K47" s="26" t="inlineStr">
        <is>
          <t>🔴 NoMover (&gt;6M Nac)</t>
        </is>
      </c>
      <c r="L47" s="52" t="n">
        <v>1.378835911</v>
      </c>
      <c r="M47" s="53" t="n">
        <v>110.31</v>
      </c>
      <c r="N47" s="52" t="n">
        <v>0</v>
      </c>
      <c r="O47" s="20" t="inlineStr">
        <is>
          <t>Sin Demanda Nacional (Inmovilizado Crítico)</t>
        </is>
      </c>
    </row>
    <row r="48" ht="20" customHeight="1">
      <c r="A48" s="54" t="inlineStr">
        <is>
          <t>AMIMG0005</t>
        </is>
      </c>
      <c r="B48" s="29" t="inlineStr">
        <is>
          <t>AMINOSOIL-MG, 5L</t>
        </is>
      </c>
      <c r="C48" s="29" t="inlineStr">
        <is>
          <t>Garrafas 5L</t>
        </is>
      </c>
      <c r="D48" s="34" t="n">
        <v>160</v>
      </c>
      <c r="E48" s="33" t="n">
        <v>32</v>
      </c>
      <c r="F48" s="33" t="n">
        <v>0</v>
      </c>
      <c r="G48" s="33" t="n">
        <v>45</v>
      </c>
      <c r="H48" s="34" t="n">
        <v>45</v>
      </c>
      <c r="I48" s="34" t="n">
        <v>115</v>
      </c>
      <c r="J48" s="33" t="n">
        <v>23</v>
      </c>
      <c r="K48" s="26" t="inlineStr">
        <is>
          <t>🔴 NoMover (&gt;6M Nac)</t>
        </is>
      </c>
      <c r="L48" s="55" t="n">
        <v>0.898465215</v>
      </c>
      <c r="M48" s="56" t="n">
        <v>103.32</v>
      </c>
      <c r="N48" s="57" t="n">
        <v>40.43</v>
      </c>
      <c r="O48" s="29" t="inlineStr">
        <is>
          <t>Plan Choque Comercial Nac / Oferta</t>
        </is>
      </c>
    </row>
    <row r="49" ht="20" customHeight="1">
      <c r="A49" s="51" t="inlineStr">
        <is>
          <t>BC0020</t>
        </is>
      </c>
      <c r="B49" s="20" t="inlineStr">
        <is>
          <t>BITTER-CAL, 20 KG</t>
        </is>
      </c>
      <c r="C49" s="20" t="inlineStr">
        <is>
          <t>Bolsas 20 Kg</t>
        </is>
      </c>
      <c r="D49" s="25" t="n">
        <v>200</v>
      </c>
      <c r="E49" s="24" t="n">
        <v>10</v>
      </c>
      <c r="F49" s="24" t="n">
        <v>0</v>
      </c>
      <c r="G49" s="24" t="n">
        <v>100</v>
      </c>
      <c r="H49" s="25" t="n">
        <v>100</v>
      </c>
      <c r="I49" s="25" t="n">
        <v>100</v>
      </c>
      <c r="J49" s="24" t="n">
        <v>5</v>
      </c>
      <c r="K49" s="26" t="inlineStr">
        <is>
          <t>🔴 NoMover (&gt;6M Nac)</t>
        </is>
      </c>
      <c r="L49" s="52" t="n">
        <v>1.016006974</v>
      </c>
      <c r="M49" s="53" t="n">
        <v>101.6</v>
      </c>
      <c r="N49" s="58" t="n">
        <v>101.6</v>
      </c>
      <c r="O49" s="20" t="inlineStr">
        <is>
          <t>Plan Choque Comercial Nac / Oferta</t>
        </is>
      </c>
    </row>
    <row r="50" ht="20" customHeight="1">
      <c r="A50" s="54" t="inlineStr">
        <is>
          <t>AGN0020</t>
        </is>
      </c>
      <c r="B50" s="29" t="inlineStr">
        <is>
          <t>AGROXILATO N, 20 L</t>
        </is>
      </c>
      <c r="C50" s="29" t="inlineStr">
        <is>
          <t>Garrafas 20L</t>
        </is>
      </c>
      <c r="D50" s="34" t="n">
        <v>200</v>
      </c>
      <c r="E50" s="33" t="n">
        <v>10</v>
      </c>
      <c r="F50" s="33" t="n">
        <v>0</v>
      </c>
      <c r="G50" s="33" t="n">
        <v>100</v>
      </c>
      <c r="H50" s="34" t="n">
        <v>100</v>
      </c>
      <c r="I50" s="34" t="n">
        <v>100</v>
      </c>
      <c r="J50" s="33" t="n">
        <v>5</v>
      </c>
      <c r="K50" s="26" t="inlineStr">
        <is>
          <t>🔴 NoMover (&gt;6M Nac)</t>
        </is>
      </c>
      <c r="L50" s="55" t="n">
        <v>0.935092885</v>
      </c>
      <c r="M50" s="56" t="n">
        <v>93.51000000000001</v>
      </c>
      <c r="N50" s="57" t="n">
        <v>93.51000000000001</v>
      </c>
      <c r="O50" s="29" t="inlineStr">
        <is>
          <t>Plan Choque Comercial Nac / Oferta</t>
        </is>
      </c>
    </row>
    <row r="51" ht="20" customHeight="1">
      <c r="A51" s="51" t="inlineStr">
        <is>
          <t>CZNMNES0005</t>
        </is>
      </c>
      <c r="B51" s="20" t="inlineStr">
        <is>
          <t>CODIFOL ZN-MN, 5 KG</t>
        </is>
      </c>
      <c r="C51" s="20" t="inlineStr">
        <is>
          <t>Bolsas 5 Kg</t>
        </is>
      </c>
      <c r="D51" s="25" t="n">
        <v>50</v>
      </c>
      <c r="E51" s="24" t="n">
        <v>10</v>
      </c>
      <c r="F51" s="24" t="n">
        <v>0</v>
      </c>
      <c r="G51" s="24" t="n">
        <v>0</v>
      </c>
      <c r="H51" s="25" t="n">
        <v>0</v>
      </c>
      <c r="I51" s="25" t="n">
        <v>50</v>
      </c>
      <c r="J51" s="24" t="n">
        <v>10</v>
      </c>
      <c r="K51" s="26" t="inlineStr">
        <is>
          <t>🔴 NoMover (&gt;6M Nac)</t>
        </is>
      </c>
      <c r="L51" s="52" t="n">
        <v>1.798703932</v>
      </c>
      <c r="M51" s="53" t="n">
        <v>89.94</v>
      </c>
      <c r="N51" s="52" t="n">
        <v>0</v>
      </c>
      <c r="O51" s="20" t="inlineStr">
        <is>
          <t>Sin Demanda Nacional (Inmovilizado Crítico)</t>
        </is>
      </c>
    </row>
    <row r="52" ht="20" customHeight="1">
      <c r="A52" s="54" t="inlineStr">
        <is>
          <t>PHD0001</t>
        </is>
      </c>
      <c r="B52" s="29" t="inlineStr">
        <is>
          <t>PH-DOWNER</t>
        </is>
      </c>
      <c r="C52" s="29" t="inlineStr">
        <is>
          <t>Botellas 1L</t>
        </is>
      </c>
      <c r="D52" s="34" t="n">
        <v>144</v>
      </c>
      <c r="E52" s="33" t="n">
        <v>144</v>
      </c>
      <c r="F52" s="33" t="n">
        <v>0</v>
      </c>
      <c r="G52" s="33" t="n">
        <v>77</v>
      </c>
      <c r="H52" s="34" t="n">
        <v>77</v>
      </c>
      <c r="I52" s="34" t="n">
        <v>67</v>
      </c>
      <c r="J52" s="33" t="n">
        <v>67</v>
      </c>
      <c r="K52" s="26" t="inlineStr">
        <is>
          <t>🔴 NoMover (&gt;6M Nac)</t>
        </is>
      </c>
      <c r="L52" s="55" t="n">
        <v>1.310016924</v>
      </c>
      <c r="M52" s="56" t="n">
        <v>87.77</v>
      </c>
      <c r="N52" s="57" t="n">
        <v>100.87</v>
      </c>
      <c r="O52" s="29" t="inlineStr">
        <is>
          <t>Plan Choque Comercial Nac / Oferta</t>
        </is>
      </c>
    </row>
    <row r="53" ht="20" customHeight="1">
      <c r="A53" s="51" t="inlineStr">
        <is>
          <t>BROTA0001</t>
        </is>
      </c>
      <c r="B53" s="20" t="inlineStr">
        <is>
          <t>BROTAMEC, 1 L</t>
        </is>
      </c>
      <c r="C53" s="20" t="inlineStr">
        <is>
          <t>Botellas 1L</t>
        </is>
      </c>
      <c r="D53" s="25" t="n">
        <v>48</v>
      </c>
      <c r="E53" s="24" t="n">
        <v>48</v>
      </c>
      <c r="F53" s="24" t="n">
        <v>0</v>
      </c>
      <c r="G53" s="24" t="n">
        <v>0</v>
      </c>
      <c r="H53" s="25" t="n">
        <v>0</v>
      </c>
      <c r="I53" s="25" t="n">
        <v>48</v>
      </c>
      <c r="J53" s="24" t="n">
        <v>48</v>
      </c>
      <c r="K53" s="26" t="inlineStr">
        <is>
          <t>🔴 NoMover (&gt;6M Nac)</t>
        </is>
      </c>
      <c r="L53" s="52" t="n">
        <v>1.697671971</v>
      </c>
      <c r="M53" s="53" t="n">
        <v>81.48999999999999</v>
      </c>
      <c r="N53" s="52" t="n">
        <v>0</v>
      </c>
      <c r="O53" s="20" t="inlineStr">
        <is>
          <t>Sin Demanda Nacional (Inmovilizado Crítico)</t>
        </is>
      </c>
    </row>
    <row r="54" ht="20" customHeight="1">
      <c r="A54" s="54" t="inlineStr">
        <is>
          <t>CODIR0001</t>
        </is>
      </c>
      <c r="B54" s="29" t="inlineStr">
        <is>
          <t>CODIRESIST, 1 L</t>
        </is>
      </c>
      <c r="C54" s="29" t="inlineStr">
        <is>
          <t>Botellas 1L</t>
        </is>
      </c>
      <c r="D54" s="34" t="n">
        <v>23</v>
      </c>
      <c r="E54" s="33" t="n">
        <v>23</v>
      </c>
      <c r="F54" s="33" t="n">
        <v>0</v>
      </c>
      <c r="G54" s="33" t="n">
        <v>0</v>
      </c>
      <c r="H54" s="34" t="n">
        <v>0</v>
      </c>
      <c r="I54" s="34" t="n">
        <v>23</v>
      </c>
      <c r="J54" s="33" t="n">
        <v>23</v>
      </c>
      <c r="K54" s="26" t="inlineStr">
        <is>
          <t>🔴 NoMover (&gt;6M Nac)</t>
        </is>
      </c>
      <c r="L54" s="55" t="n">
        <v>2.595357906</v>
      </c>
      <c r="M54" s="56" t="n">
        <v>59.69</v>
      </c>
      <c r="N54" s="55" t="n">
        <v>0</v>
      </c>
      <c r="O54" s="29" t="inlineStr">
        <is>
          <t>Sin Demanda Nacional (Inmovilizado Crítico)</t>
        </is>
      </c>
    </row>
    <row r="55" ht="20" customHeight="1">
      <c r="A55" s="51" t="inlineStr">
        <is>
          <t>BAYCAL0020</t>
        </is>
      </c>
      <c r="B55" s="20" t="inlineStr">
        <is>
          <t>BAYFOLAN CALCIO</t>
        </is>
      </c>
      <c r="C55" s="20" t="inlineStr">
        <is>
          <t>Garrafas 20L</t>
        </is>
      </c>
      <c r="D55" s="25" t="n">
        <v>100</v>
      </c>
      <c r="E55" s="24" t="n">
        <v>5</v>
      </c>
      <c r="F55" s="24" t="n">
        <v>0</v>
      </c>
      <c r="G55" s="24" t="n">
        <v>0</v>
      </c>
      <c r="H55" s="25" t="n">
        <v>0</v>
      </c>
      <c r="I55" s="25" t="n">
        <v>100</v>
      </c>
      <c r="J55" s="24" t="n">
        <v>5</v>
      </c>
      <c r="K55" s="26" t="inlineStr">
        <is>
          <t>🔴 NoMover (&gt;6M Nac)</t>
        </is>
      </c>
      <c r="L55" s="52" t="n">
        <v>0.507299272</v>
      </c>
      <c r="M55" s="53" t="n">
        <v>50.73</v>
      </c>
      <c r="N55" s="52" t="n">
        <v>0</v>
      </c>
      <c r="O55" s="20" t="inlineStr">
        <is>
          <t>Sin Demanda Nacional (Inmovilizado Crítico)</t>
        </is>
      </c>
    </row>
    <row r="56" ht="20" customHeight="1">
      <c r="A56" s="54" t="inlineStr">
        <is>
          <t>CSIL0001</t>
        </is>
      </c>
      <c r="B56" s="29" t="inlineStr">
        <is>
          <t>FITOKONTROL-K, 1 L</t>
        </is>
      </c>
      <c r="C56" s="29" t="inlineStr">
        <is>
          <t>Botellas 1L</t>
        </is>
      </c>
      <c r="D56" s="34" t="n">
        <v>24</v>
      </c>
      <c r="E56" s="33" t="n">
        <v>24</v>
      </c>
      <c r="F56" s="33" t="n">
        <v>0</v>
      </c>
      <c r="G56" s="33" t="n">
        <v>0</v>
      </c>
      <c r="H56" s="34" t="n">
        <v>0</v>
      </c>
      <c r="I56" s="34" t="n">
        <v>24</v>
      </c>
      <c r="J56" s="33" t="n">
        <v>24</v>
      </c>
      <c r="K56" s="26" t="inlineStr">
        <is>
          <t>🔴 NoMover (&gt;6M Nac)</t>
        </is>
      </c>
      <c r="L56" s="55" t="n">
        <v>2.075429556</v>
      </c>
      <c r="M56" s="56" t="n">
        <v>49.81</v>
      </c>
      <c r="N56" s="55" t="n">
        <v>0</v>
      </c>
      <c r="O56" s="29" t="inlineStr">
        <is>
          <t>Sin Demanda Nacional (Inmovilizado Crítico)</t>
        </is>
      </c>
    </row>
    <row r="57" ht="20" customHeight="1">
      <c r="A57" s="51" t="inlineStr">
        <is>
          <t>AQUOMAR0005</t>
        </is>
      </c>
      <c r="B57" s="20" t="inlineStr">
        <is>
          <t>AQUOM ARABIA, 5 L</t>
        </is>
      </c>
      <c r="C57" s="20" t="inlineStr">
        <is>
          <t>Garrafas 5L</t>
        </is>
      </c>
      <c r="D57" s="25" t="n">
        <v>15</v>
      </c>
      <c r="E57" s="24" t="n">
        <v>3</v>
      </c>
      <c r="F57" s="24" t="n">
        <v>0</v>
      </c>
      <c r="G57" s="24" t="n">
        <v>0</v>
      </c>
      <c r="H57" s="25" t="n">
        <v>0</v>
      </c>
      <c r="I57" s="25" t="n">
        <v>15</v>
      </c>
      <c r="J57" s="24" t="n">
        <v>3</v>
      </c>
      <c r="K57" s="26" t="inlineStr">
        <is>
          <t>🔴 NoMover (&gt;6M Nac)</t>
        </is>
      </c>
      <c r="L57" s="52" t="n">
        <v>3.078849199</v>
      </c>
      <c r="M57" s="53" t="n">
        <v>46.18</v>
      </c>
      <c r="N57" s="52" t="n">
        <v>0</v>
      </c>
      <c r="O57" s="20" t="inlineStr">
        <is>
          <t>Sin Demanda Nacional (Inmovilizado Crítico)</t>
        </is>
      </c>
    </row>
    <row r="58" ht="20" customHeight="1">
      <c r="A58" s="54" t="inlineStr">
        <is>
          <t>S0200</t>
        </is>
      </c>
      <c r="B58" s="29" t="inlineStr">
        <is>
          <t>SAL-WAX STAR, 200 L</t>
        </is>
      </c>
      <c r="C58" s="29" t="inlineStr">
        <is>
          <t>Depósito 200 L</t>
        </is>
      </c>
      <c r="D58" s="34" t="n">
        <v>8800</v>
      </c>
      <c r="E58" s="33" t="n">
        <v>44</v>
      </c>
      <c r="F58" s="33" t="n">
        <v>5530.46</v>
      </c>
      <c r="G58" s="33" t="n">
        <v>4000</v>
      </c>
      <c r="H58" s="34" t="n">
        <v>3269.54</v>
      </c>
      <c r="I58" s="34" t="n">
        <v>0</v>
      </c>
      <c r="J58" s="33" t="n">
        <v>0</v>
      </c>
      <c r="K58" s="35" t="inlineStr">
        <is>
          <t>🟡 SlowMover (3-6M Nac)</t>
        </is>
      </c>
      <c r="L58" s="55" t="n">
        <v>0.534280133</v>
      </c>
      <c r="M58" s="55" t="n">
        <v>0</v>
      </c>
      <c r="N58" s="57" t="n">
        <v>1746.85</v>
      </c>
      <c r="O58" s="29" t="inlineStr">
        <is>
          <t>Consumo previsto en Q1-27 Nacional</t>
        </is>
      </c>
    </row>
    <row r="59" ht="20" customHeight="1">
      <c r="A59" s="51" t="inlineStr">
        <is>
          <t>AGRMGN0020</t>
        </is>
      </c>
      <c r="B59" s="20" t="inlineStr">
        <is>
          <t>AGROXIGREEN-MG, 20 L</t>
        </is>
      </c>
      <c r="C59" s="20" t="inlineStr">
        <is>
          <t>Garrafas 20L</t>
        </is>
      </c>
      <c r="D59" s="25" t="n">
        <v>2700</v>
      </c>
      <c r="E59" s="24" t="n">
        <v>135</v>
      </c>
      <c r="F59" s="24" t="n">
        <v>0</v>
      </c>
      <c r="G59" s="24" t="n">
        <v>5380</v>
      </c>
      <c r="H59" s="25" t="n">
        <v>2700</v>
      </c>
      <c r="I59" s="25" t="n">
        <v>0</v>
      </c>
      <c r="J59" s="24" t="n">
        <v>0</v>
      </c>
      <c r="K59" s="35" t="inlineStr">
        <is>
          <t>🟡 SlowMover (3-6M Nac)</t>
        </is>
      </c>
      <c r="L59" s="52" t="n">
        <v>1.024698561</v>
      </c>
      <c r="M59" s="52" t="n">
        <v>0</v>
      </c>
      <c r="N59" s="58" t="n">
        <v>2766.69</v>
      </c>
      <c r="O59" s="20" t="inlineStr">
        <is>
          <t>Consumo previsto en Q1-27 Nacional</t>
        </is>
      </c>
    </row>
    <row r="60" ht="20" customHeight="1">
      <c r="A60" s="54" t="inlineStr">
        <is>
          <t>P-5X0020</t>
        </is>
      </c>
      <c r="B60" s="29" t="inlineStr">
        <is>
          <t>P.M.S. 5x, 20 L</t>
        </is>
      </c>
      <c r="C60" s="29" t="inlineStr">
        <is>
          <t>Garrafas 20L</t>
        </is>
      </c>
      <c r="D60" s="34" t="n">
        <v>1460</v>
      </c>
      <c r="E60" s="33" t="n">
        <v>73</v>
      </c>
      <c r="F60" s="33" t="n">
        <v>0</v>
      </c>
      <c r="G60" s="33" t="n">
        <v>2540</v>
      </c>
      <c r="H60" s="34" t="n">
        <v>1460</v>
      </c>
      <c r="I60" s="34" t="n">
        <v>0</v>
      </c>
      <c r="J60" s="33" t="n">
        <v>0</v>
      </c>
      <c r="K60" s="35" t="inlineStr">
        <is>
          <t>🟡 SlowMover (3-6M Nac)</t>
        </is>
      </c>
      <c r="L60" s="55" t="n">
        <v>0.7844144240000001</v>
      </c>
      <c r="M60" s="55" t="n">
        <v>0</v>
      </c>
      <c r="N60" s="57" t="n">
        <v>1145.25</v>
      </c>
      <c r="O60" s="29" t="inlineStr">
        <is>
          <t>Consumo previsto en Q1-27 Nacional</t>
        </is>
      </c>
    </row>
    <row r="61" ht="20" customHeight="1">
      <c r="A61" s="51" t="inlineStr">
        <is>
          <t>B0020</t>
        </is>
      </c>
      <c r="B61" s="20" t="inlineStr">
        <is>
          <t>BOROCAL, 20 L</t>
        </is>
      </c>
      <c r="C61" s="20" t="inlineStr">
        <is>
          <t>Garrafas 20L</t>
        </is>
      </c>
      <c r="D61" s="25" t="n">
        <v>5160</v>
      </c>
      <c r="E61" s="24" t="n">
        <v>258</v>
      </c>
      <c r="F61" s="24" t="n">
        <v>3792.32</v>
      </c>
      <c r="G61" s="24" t="n">
        <v>9060</v>
      </c>
      <c r="H61" s="25" t="n">
        <v>1367.68</v>
      </c>
      <c r="I61" s="25" t="n">
        <v>0</v>
      </c>
      <c r="J61" s="24" t="n">
        <v>0</v>
      </c>
      <c r="K61" s="35" t="inlineStr">
        <is>
          <t>🟡 SlowMover (3-6M Nac)</t>
        </is>
      </c>
      <c r="L61" s="52" t="n">
        <v>0.853770569</v>
      </c>
      <c r="M61" s="52" t="n">
        <v>0</v>
      </c>
      <c r="N61" s="58" t="n">
        <v>1167.68</v>
      </c>
      <c r="O61" s="20" t="inlineStr">
        <is>
          <t>Consumo previsto en Q1-27 Nacional</t>
        </is>
      </c>
    </row>
    <row r="62" ht="20" customHeight="1">
      <c r="A62" s="54" t="inlineStr">
        <is>
          <t>C-MB0020</t>
        </is>
      </c>
      <c r="B62" s="29" t="inlineStr">
        <is>
          <t>CODIFOL-MB, 20 L</t>
        </is>
      </c>
      <c r="C62" s="29" t="inlineStr">
        <is>
          <t>Garrafas 20L</t>
        </is>
      </c>
      <c r="D62" s="34" t="n">
        <v>1320</v>
      </c>
      <c r="E62" s="33" t="n">
        <v>66</v>
      </c>
      <c r="F62" s="33" t="n">
        <v>0</v>
      </c>
      <c r="G62" s="33" t="n">
        <v>2140</v>
      </c>
      <c r="H62" s="34" t="n">
        <v>1320</v>
      </c>
      <c r="I62" s="34" t="n">
        <v>0</v>
      </c>
      <c r="J62" s="33" t="n">
        <v>0</v>
      </c>
      <c r="K62" s="35" t="inlineStr">
        <is>
          <t>🟡 SlowMover (3-6M Nac)</t>
        </is>
      </c>
      <c r="L62" s="55" t="n">
        <v>3.649516076</v>
      </c>
      <c r="M62" s="55" t="n">
        <v>0</v>
      </c>
      <c r="N62" s="57" t="n">
        <v>4817.36</v>
      </c>
      <c r="O62" s="29" t="inlineStr">
        <is>
          <t>Consumo previsto en Q1-27 Nacional</t>
        </is>
      </c>
    </row>
    <row r="63" ht="20" customHeight="1">
      <c r="A63" s="51" t="inlineStr">
        <is>
          <t>P-ZM3.50020</t>
        </is>
      </c>
      <c r="B63" s="20" t="inlineStr">
        <is>
          <t>POLIGREEN-ZNMN, 20 L</t>
        </is>
      </c>
      <c r="C63" s="20" t="inlineStr">
        <is>
          <t>Garrafas 20L</t>
        </is>
      </c>
      <c r="D63" s="25" t="n">
        <v>1280</v>
      </c>
      <c r="E63" s="24" t="n">
        <v>64</v>
      </c>
      <c r="F63" s="24" t="n">
        <v>0</v>
      </c>
      <c r="G63" s="24" t="n">
        <v>1360</v>
      </c>
      <c r="H63" s="25" t="n">
        <v>1280</v>
      </c>
      <c r="I63" s="25" t="n">
        <v>0</v>
      </c>
      <c r="J63" s="24" t="n">
        <v>0</v>
      </c>
      <c r="K63" s="35" t="inlineStr">
        <is>
          <t>🟡 SlowMover (3-6M Nac)</t>
        </is>
      </c>
      <c r="L63" s="52" t="n">
        <v>0.677553916</v>
      </c>
      <c r="M63" s="52" t="n">
        <v>0</v>
      </c>
      <c r="N63" s="58" t="n">
        <v>867.27</v>
      </c>
      <c r="O63" s="20" t="inlineStr">
        <is>
          <t>Consumo previsto en Q1-27 Nacional</t>
        </is>
      </c>
    </row>
    <row r="64" ht="20" customHeight="1">
      <c r="A64" s="54" t="inlineStr">
        <is>
          <t>FU0020</t>
        </is>
      </c>
      <c r="B64" s="29" t="inlineStr">
        <is>
          <t>FULVIGIN, 20 L</t>
        </is>
      </c>
      <c r="C64" s="29" t="inlineStr">
        <is>
          <t>Garrafas 20L</t>
        </is>
      </c>
      <c r="D64" s="34" t="n">
        <v>900</v>
      </c>
      <c r="E64" s="33" t="n">
        <v>45</v>
      </c>
      <c r="F64" s="33" t="n">
        <v>0</v>
      </c>
      <c r="G64" s="33" t="n">
        <v>2120</v>
      </c>
      <c r="H64" s="34" t="n">
        <v>900</v>
      </c>
      <c r="I64" s="34" t="n">
        <v>0</v>
      </c>
      <c r="J64" s="33" t="n">
        <v>0</v>
      </c>
      <c r="K64" s="35" t="inlineStr">
        <is>
          <t>🟡 SlowMover (3-6M Nac)</t>
        </is>
      </c>
      <c r="L64" s="55" t="n">
        <v>0.697021385</v>
      </c>
      <c r="M64" s="55" t="n">
        <v>0</v>
      </c>
      <c r="N64" s="57" t="n">
        <v>627.3200000000001</v>
      </c>
      <c r="O64" s="29" t="inlineStr">
        <is>
          <t>Consumo previsto en Q1-27 Nacional</t>
        </is>
      </c>
    </row>
    <row r="65" ht="20" customHeight="1">
      <c r="A65" s="51" t="inlineStr">
        <is>
          <t>A-50(2)0020</t>
        </is>
      </c>
      <c r="B65" s="20" t="inlineStr">
        <is>
          <t>CODIORGAN A-50, 20 KG</t>
        </is>
      </c>
      <c r="C65" s="20" t="inlineStr">
        <is>
          <t>Bolsas 20 Kg</t>
        </is>
      </c>
      <c r="D65" s="25" t="n">
        <v>600</v>
      </c>
      <c r="E65" s="24" t="n">
        <v>30</v>
      </c>
      <c r="F65" s="24" t="n">
        <v>1.6</v>
      </c>
      <c r="G65" s="24" t="n">
        <v>1980</v>
      </c>
      <c r="H65" s="25" t="n">
        <v>598.4</v>
      </c>
      <c r="I65" s="25" t="n">
        <v>0</v>
      </c>
      <c r="J65" s="24" t="n">
        <v>0</v>
      </c>
      <c r="K65" s="35" t="inlineStr">
        <is>
          <t>🟡 SlowMover (3-6M Nac)</t>
        </is>
      </c>
      <c r="L65" s="52" t="n">
        <v>1.70253852</v>
      </c>
      <c r="M65" s="52" t="n">
        <v>0</v>
      </c>
      <c r="N65" s="58" t="n">
        <v>1018.8</v>
      </c>
      <c r="O65" s="20" t="inlineStr">
        <is>
          <t>Consumo previsto en Q1-27 Nacional</t>
        </is>
      </c>
    </row>
    <row r="66" ht="20" customHeight="1">
      <c r="A66" s="54" t="inlineStr">
        <is>
          <t>N0020</t>
        </is>
      </c>
      <c r="B66" s="29" t="inlineStr">
        <is>
          <t>NUTRICALE, 20 L</t>
        </is>
      </c>
      <c r="C66" s="29" t="inlineStr">
        <is>
          <t>Garrafas 20L</t>
        </is>
      </c>
      <c r="D66" s="34" t="n">
        <v>3080</v>
      </c>
      <c r="E66" s="33" t="n">
        <v>154</v>
      </c>
      <c r="F66" s="33" t="n">
        <v>2528.21</v>
      </c>
      <c r="G66" s="33" t="n">
        <v>1440</v>
      </c>
      <c r="H66" s="34" t="n">
        <v>551.79</v>
      </c>
      <c r="I66" s="34" t="n">
        <v>0</v>
      </c>
      <c r="J66" s="33" t="n">
        <v>0</v>
      </c>
      <c r="K66" s="35" t="inlineStr">
        <is>
          <t>🟡 SlowMover (3-6M Nac)</t>
        </is>
      </c>
      <c r="L66" s="55" t="n">
        <v>0.8198929780000001</v>
      </c>
      <c r="M66" s="55" t="n">
        <v>0</v>
      </c>
      <c r="N66" s="57" t="n">
        <v>452.41</v>
      </c>
      <c r="O66" s="29" t="inlineStr">
        <is>
          <t>Consumo previsto en Q1-27 Nacional</t>
        </is>
      </c>
    </row>
    <row r="67" ht="20" customHeight="1">
      <c r="A67" s="51" t="inlineStr">
        <is>
          <t>C-CUAE0020</t>
        </is>
      </c>
      <c r="B67" s="20" t="inlineStr">
        <is>
          <t>CUPRAMEC, 20 L</t>
        </is>
      </c>
      <c r="C67" s="20" t="inlineStr">
        <is>
          <t>Garrafas 20L</t>
        </is>
      </c>
      <c r="D67" s="25" t="n">
        <v>540</v>
      </c>
      <c r="E67" s="24" t="n">
        <v>27</v>
      </c>
      <c r="F67" s="24" t="n">
        <v>0</v>
      </c>
      <c r="G67" s="24" t="n">
        <v>980</v>
      </c>
      <c r="H67" s="25" t="n">
        <v>540</v>
      </c>
      <c r="I67" s="25" t="n">
        <v>0</v>
      </c>
      <c r="J67" s="24" t="n">
        <v>0</v>
      </c>
      <c r="K67" s="35" t="inlineStr">
        <is>
          <t>🟡 SlowMover (3-6M Nac)</t>
        </is>
      </c>
      <c r="L67" s="52" t="n">
        <v>1.173409957</v>
      </c>
      <c r="M67" s="52" t="n">
        <v>0</v>
      </c>
      <c r="N67" s="58" t="n">
        <v>633.64</v>
      </c>
      <c r="O67" s="20" t="inlineStr">
        <is>
          <t>Consumo previsto en Q1-27 Nacional</t>
        </is>
      </c>
    </row>
    <row r="68" ht="20" customHeight="1">
      <c r="A68" s="54" t="inlineStr">
        <is>
          <t>SPCE2B0020</t>
        </is>
      </c>
      <c r="B68" s="29" t="inlineStr">
        <is>
          <t>SPRINTENE CON BORO</t>
        </is>
      </c>
      <c r="C68" s="29" t="inlineStr">
        <is>
          <t>Garrafas 20L</t>
        </is>
      </c>
      <c r="D68" s="34" t="n">
        <v>1700</v>
      </c>
      <c r="E68" s="33" t="n">
        <v>85</v>
      </c>
      <c r="F68" s="33" t="n">
        <v>1186.62</v>
      </c>
      <c r="G68" s="33" t="n">
        <v>2360</v>
      </c>
      <c r="H68" s="34" t="n">
        <v>513.38</v>
      </c>
      <c r="I68" s="34" t="n">
        <v>0</v>
      </c>
      <c r="J68" s="33" t="n">
        <v>0</v>
      </c>
      <c r="K68" s="35" t="inlineStr">
        <is>
          <t>🟡 SlowMover (3-6M Nac)</t>
        </is>
      </c>
      <c r="L68" s="55" t="n">
        <v>3.323017189</v>
      </c>
      <c r="M68" s="55" t="n">
        <v>0</v>
      </c>
      <c r="N68" s="57" t="n">
        <v>1705.97</v>
      </c>
      <c r="O68" s="29" t="inlineStr">
        <is>
          <t>Consumo previsto en Q1-27 Nacional</t>
        </is>
      </c>
    </row>
    <row r="69" ht="20" customHeight="1">
      <c r="A69" s="51" t="inlineStr">
        <is>
          <t>C-CU0005</t>
        </is>
      </c>
      <c r="B69" s="20" t="inlineStr">
        <is>
          <t>CODICOBRE, 5 L</t>
        </is>
      </c>
      <c r="C69" s="20" t="inlineStr">
        <is>
          <t>Garrafas 5L</t>
        </is>
      </c>
      <c r="D69" s="25" t="n">
        <v>1600</v>
      </c>
      <c r="E69" s="24" t="n">
        <v>320</v>
      </c>
      <c r="F69" s="24" t="n">
        <v>1108.02</v>
      </c>
      <c r="G69" s="24" t="n">
        <v>2130</v>
      </c>
      <c r="H69" s="25" t="n">
        <v>491.98</v>
      </c>
      <c r="I69" s="25" t="n">
        <v>0</v>
      </c>
      <c r="J69" s="24" t="n">
        <v>0</v>
      </c>
      <c r="K69" s="35" t="inlineStr">
        <is>
          <t>🟡 SlowMover (3-6M Nac)</t>
        </is>
      </c>
      <c r="L69" s="52" t="n">
        <v>1.736254358</v>
      </c>
      <c r="M69" s="52" t="n">
        <v>0</v>
      </c>
      <c r="N69" s="58" t="n">
        <v>854.2</v>
      </c>
      <c r="O69" s="20" t="inlineStr">
        <is>
          <t>Consumo previsto en Q1-27 Nacional</t>
        </is>
      </c>
    </row>
    <row r="70" ht="20" customHeight="1">
      <c r="A70" s="54" t="inlineStr">
        <is>
          <t>RUN0005</t>
        </is>
      </c>
      <c r="B70" s="29" t="inlineStr">
        <is>
          <t>RUN STRESS, 5 L</t>
        </is>
      </c>
      <c r="C70" s="29" t="inlineStr">
        <is>
          <t>Garrafas 5L</t>
        </is>
      </c>
      <c r="D70" s="34" t="n">
        <v>460</v>
      </c>
      <c r="E70" s="33" t="n">
        <v>92</v>
      </c>
      <c r="F70" s="33" t="n">
        <v>0</v>
      </c>
      <c r="G70" s="33" t="n">
        <v>1450</v>
      </c>
      <c r="H70" s="34" t="n">
        <v>460</v>
      </c>
      <c r="I70" s="34" t="n">
        <v>0</v>
      </c>
      <c r="J70" s="33" t="n">
        <v>0</v>
      </c>
      <c r="K70" s="35" t="inlineStr">
        <is>
          <t>🟡 SlowMover (3-6M Nac)</t>
        </is>
      </c>
      <c r="L70" s="55" t="n">
        <v>4.062569483</v>
      </c>
      <c r="M70" s="55" t="n">
        <v>0</v>
      </c>
      <c r="N70" s="57" t="n">
        <v>1868.78</v>
      </c>
      <c r="O70" s="29" t="inlineStr">
        <is>
          <t>Consumo previsto en Q1-27 Nacional</t>
        </is>
      </c>
    </row>
    <row r="71" ht="20" customHeight="1">
      <c r="A71" s="51" t="inlineStr">
        <is>
          <t>C-L0005</t>
        </is>
      </c>
      <c r="B71" s="20" t="inlineStr">
        <is>
          <t>CODIBOR-L, 5 L</t>
        </is>
      </c>
      <c r="C71" s="20" t="inlineStr">
        <is>
          <t>Garrafas 5L</t>
        </is>
      </c>
      <c r="D71" s="25" t="n">
        <v>740</v>
      </c>
      <c r="E71" s="24" t="n">
        <v>148</v>
      </c>
      <c r="F71" s="24" t="n">
        <v>395.03</v>
      </c>
      <c r="G71" s="24" t="n">
        <v>5555</v>
      </c>
      <c r="H71" s="25" t="n">
        <v>344.97</v>
      </c>
      <c r="I71" s="25" t="n">
        <v>0</v>
      </c>
      <c r="J71" s="24" t="n">
        <v>0</v>
      </c>
      <c r="K71" s="35" t="inlineStr">
        <is>
          <t>🟡 SlowMover (3-6M Nac)</t>
        </is>
      </c>
      <c r="L71" s="52" t="n">
        <v>1.930734655</v>
      </c>
      <c r="M71" s="52" t="n">
        <v>0</v>
      </c>
      <c r="N71" s="58" t="n">
        <v>666.05</v>
      </c>
      <c r="O71" s="20" t="inlineStr">
        <is>
          <t>Consumo previsto en Q1-27 Nacional</t>
        </is>
      </c>
    </row>
    <row r="72" ht="20" customHeight="1">
      <c r="A72" s="54" t="inlineStr">
        <is>
          <t>PT0005</t>
        </is>
      </c>
      <c r="B72" s="29" t="inlineStr">
        <is>
          <t>AGROPOTASION, 5 L</t>
        </is>
      </c>
      <c r="C72" s="29" t="inlineStr">
        <is>
          <t>Garrafas 5L</t>
        </is>
      </c>
      <c r="D72" s="34" t="n">
        <v>880</v>
      </c>
      <c r="E72" s="33" t="n">
        <v>176</v>
      </c>
      <c r="F72" s="33" t="n">
        <v>619.35</v>
      </c>
      <c r="G72" s="33" t="n">
        <v>1420</v>
      </c>
      <c r="H72" s="34" t="n">
        <v>260.65</v>
      </c>
      <c r="I72" s="34" t="n">
        <v>0</v>
      </c>
      <c r="J72" s="33" t="n">
        <v>0</v>
      </c>
      <c r="K72" s="35" t="inlineStr">
        <is>
          <t>🟡 SlowMover (3-6M Nac)</t>
        </is>
      </c>
      <c r="L72" s="55" t="n">
        <v>1.139496735</v>
      </c>
      <c r="M72" s="55" t="n">
        <v>0</v>
      </c>
      <c r="N72" s="57" t="n">
        <v>297.01</v>
      </c>
      <c r="O72" s="29" t="inlineStr">
        <is>
          <t>Consumo previsto en Q1-27 Nacional</t>
        </is>
      </c>
    </row>
    <row r="73" ht="20" customHeight="1">
      <c r="A73" s="51" t="inlineStr">
        <is>
          <t>C-L0020</t>
        </is>
      </c>
      <c r="B73" s="20" t="inlineStr">
        <is>
          <t>CODIBOR-L, 20 L</t>
        </is>
      </c>
      <c r="C73" s="20" t="inlineStr">
        <is>
          <t>Garrafas 20L</t>
        </is>
      </c>
      <c r="D73" s="25" t="n">
        <v>260</v>
      </c>
      <c r="E73" s="24" t="n">
        <v>13</v>
      </c>
      <c r="F73" s="24" t="n">
        <v>0</v>
      </c>
      <c r="G73" s="24" t="n">
        <v>600</v>
      </c>
      <c r="H73" s="25" t="n">
        <v>260</v>
      </c>
      <c r="I73" s="25" t="n">
        <v>0</v>
      </c>
      <c r="J73" s="24" t="n">
        <v>0</v>
      </c>
      <c r="K73" s="35" t="inlineStr">
        <is>
          <t>🟡 SlowMover (3-6M Nac)</t>
        </is>
      </c>
      <c r="L73" s="52" t="n">
        <v>1.207436703</v>
      </c>
      <c r="M73" s="52" t="n">
        <v>0</v>
      </c>
      <c r="N73" s="58" t="n">
        <v>313.93</v>
      </c>
      <c r="O73" s="20" t="inlineStr">
        <is>
          <t>Consumo previsto en Q1-27 Nacional</t>
        </is>
      </c>
    </row>
    <row r="74" ht="20" customHeight="1">
      <c r="A74" s="54" t="inlineStr">
        <is>
          <t>JF0005</t>
        </is>
      </c>
      <c r="B74" s="29" t="inlineStr">
        <is>
          <t>CODIGIN-FOS, 5 L</t>
        </is>
      </c>
      <c r="C74" s="29" t="inlineStr">
        <is>
          <t>Garrafas 5L</t>
        </is>
      </c>
      <c r="D74" s="34" t="n">
        <v>330</v>
      </c>
      <c r="E74" s="33" t="n">
        <v>66</v>
      </c>
      <c r="F74" s="33" t="n">
        <v>87.88</v>
      </c>
      <c r="G74" s="33" t="n">
        <v>760</v>
      </c>
      <c r="H74" s="34" t="n">
        <v>242.12</v>
      </c>
      <c r="I74" s="34" t="n">
        <v>0</v>
      </c>
      <c r="J74" s="33" t="n">
        <v>0</v>
      </c>
      <c r="K74" s="35" t="inlineStr">
        <is>
          <t>🟡 SlowMover (3-6M Nac)</t>
        </is>
      </c>
      <c r="L74" s="55" t="n">
        <v>0.997895668</v>
      </c>
      <c r="M74" s="55" t="n">
        <v>0</v>
      </c>
      <c r="N74" s="57" t="n">
        <v>241.61</v>
      </c>
      <c r="O74" s="29" t="inlineStr">
        <is>
          <t>Consumo previsto en Q1-27 Nacional</t>
        </is>
      </c>
    </row>
    <row r="75" ht="20" customHeight="1">
      <c r="A75" s="51" t="inlineStr">
        <is>
          <t>SSAE0005</t>
        </is>
      </c>
      <c r="B75" s="20" t="inlineStr">
        <is>
          <t>MAGNIFIC-VIETS-AE, 5 KG</t>
        </is>
      </c>
      <c r="C75" s="20" t="inlineStr">
        <is>
          <t>Bolsas 5 Kg</t>
        </is>
      </c>
      <c r="D75" s="25" t="n">
        <v>400</v>
      </c>
      <c r="E75" s="24" t="n">
        <v>80</v>
      </c>
      <c r="F75" s="24" t="n">
        <v>175.77</v>
      </c>
      <c r="G75" s="24" t="n">
        <v>480</v>
      </c>
      <c r="H75" s="25" t="n">
        <v>224.23</v>
      </c>
      <c r="I75" s="25" t="n">
        <v>0</v>
      </c>
      <c r="J75" s="24" t="n">
        <v>0</v>
      </c>
      <c r="K75" s="35" t="inlineStr">
        <is>
          <t>🟡 SlowMover (3-6M Nac)</t>
        </is>
      </c>
      <c r="L75" s="52" t="n">
        <v>1.577293392</v>
      </c>
      <c r="M75" s="52" t="n">
        <v>0</v>
      </c>
      <c r="N75" s="58" t="n">
        <v>353.68</v>
      </c>
      <c r="O75" s="20" t="inlineStr">
        <is>
          <t>Consumo previsto en Q1-27 Nacional</t>
        </is>
      </c>
    </row>
    <row r="76" ht="20" customHeight="1">
      <c r="A76" s="54" t="inlineStr">
        <is>
          <t>RUN0020</t>
        </is>
      </c>
      <c r="B76" s="29" t="inlineStr">
        <is>
          <t>RUN STRESS, 20 L</t>
        </is>
      </c>
      <c r="C76" s="29" t="inlineStr">
        <is>
          <t>Garrafas 20L</t>
        </is>
      </c>
      <c r="D76" s="34" t="n">
        <v>140</v>
      </c>
      <c r="E76" s="33" t="n">
        <v>7</v>
      </c>
      <c r="F76" s="33" t="n">
        <v>0</v>
      </c>
      <c r="G76" s="33" t="n">
        <v>560</v>
      </c>
      <c r="H76" s="34" t="n">
        <v>140</v>
      </c>
      <c r="I76" s="34" t="n">
        <v>0</v>
      </c>
      <c r="J76" s="33" t="n">
        <v>0</v>
      </c>
      <c r="K76" s="35" t="inlineStr">
        <is>
          <t>🟡 SlowMover (3-6M Nac)</t>
        </is>
      </c>
      <c r="L76" s="55" t="n">
        <v>3.84780613</v>
      </c>
      <c r="M76" s="55" t="n">
        <v>0</v>
      </c>
      <c r="N76" s="57" t="n">
        <v>538.6900000000001</v>
      </c>
      <c r="O76" s="29" t="inlineStr">
        <is>
          <t>Consumo previsto en Q1-27 Nacional</t>
        </is>
      </c>
    </row>
    <row r="77" ht="20" customHeight="1">
      <c r="A77" s="51" t="inlineStr">
        <is>
          <t>C-GLB0001</t>
        </is>
      </c>
      <c r="B77" s="20" t="inlineStr">
        <is>
          <t>CODIORGAN GLB, 1 KG</t>
        </is>
      </c>
      <c r="C77" s="20" t="inlineStr">
        <is>
          <t>Bolsas 1 Kg</t>
        </is>
      </c>
      <c r="D77" s="25" t="n">
        <v>630</v>
      </c>
      <c r="E77" s="24" t="n">
        <v>630</v>
      </c>
      <c r="F77" s="24" t="n">
        <v>512.04</v>
      </c>
      <c r="G77" s="24" t="n">
        <v>358</v>
      </c>
      <c r="H77" s="25" t="n">
        <v>117.96</v>
      </c>
      <c r="I77" s="25" t="n">
        <v>0</v>
      </c>
      <c r="J77" s="24" t="n">
        <v>0</v>
      </c>
      <c r="K77" s="35" t="inlineStr">
        <is>
          <t>🟡 SlowMover (3-6M Nac)</t>
        </is>
      </c>
      <c r="L77" s="52" t="n">
        <v>2.629153095</v>
      </c>
      <c r="M77" s="52" t="n">
        <v>0</v>
      </c>
      <c r="N77" s="58" t="n">
        <v>310.13</v>
      </c>
      <c r="O77" s="20" t="inlineStr">
        <is>
          <t>Consumo previsto en Q1-27 Nacional</t>
        </is>
      </c>
    </row>
    <row r="78" ht="20" customHeight="1">
      <c r="A78" s="54" t="inlineStr">
        <is>
          <t>AGXKAEP0005</t>
        </is>
      </c>
      <c r="B78" s="29" t="inlineStr">
        <is>
          <t>BIOCULTURE POTASIO PLUS, 5 L</t>
        </is>
      </c>
      <c r="C78" s="29" t="inlineStr">
        <is>
          <t>Garrafas 5L</t>
        </is>
      </c>
      <c r="D78" s="34" t="n">
        <v>100</v>
      </c>
      <c r="E78" s="33" t="n">
        <v>20</v>
      </c>
      <c r="F78" s="33" t="n">
        <v>0</v>
      </c>
      <c r="G78" s="33" t="n">
        <v>110</v>
      </c>
      <c r="H78" s="34" t="n">
        <v>100</v>
      </c>
      <c r="I78" s="34" t="n">
        <v>0</v>
      </c>
      <c r="J78" s="33" t="n">
        <v>0</v>
      </c>
      <c r="K78" s="35" t="inlineStr">
        <is>
          <t>🟡 SlowMover (3-6M Nac)</t>
        </is>
      </c>
      <c r="L78" s="55" t="n">
        <v>1.053796262</v>
      </c>
      <c r="M78" s="55" t="n">
        <v>0</v>
      </c>
      <c r="N78" s="57" t="n">
        <v>105.38</v>
      </c>
      <c r="O78" s="29" t="inlineStr">
        <is>
          <t>Consumo previsto en Q1-27 Nacional</t>
        </is>
      </c>
    </row>
    <row r="79" ht="20" customHeight="1">
      <c r="A79" s="51" t="inlineStr">
        <is>
          <t>AGXKAE0020</t>
        </is>
      </c>
      <c r="B79" s="20" t="inlineStr">
        <is>
          <t>BIOCULTURE POTASIO, 20 L</t>
        </is>
      </c>
      <c r="C79" s="20" t="inlineStr">
        <is>
          <t>Garrafas 20L</t>
        </is>
      </c>
      <c r="D79" s="25" t="n">
        <v>640</v>
      </c>
      <c r="E79" s="24" t="n">
        <v>32</v>
      </c>
      <c r="F79" s="24" t="n">
        <v>555.46</v>
      </c>
      <c r="G79" s="24" t="n">
        <v>680</v>
      </c>
      <c r="H79" s="25" t="n">
        <v>84.54000000000001</v>
      </c>
      <c r="I79" s="25" t="n">
        <v>0</v>
      </c>
      <c r="J79" s="24" t="n">
        <v>0</v>
      </c>
      <c r="K79" s="35" t="inlineStr">
        <is>
          <t>🟡 SlowMover (3-6M Nac)</t>
        </is>
      </c>
      <c r="L79" s="52" t="n">
        <v>0.9611953559999999</v>
      </c>
      <c r="M79" s="52" t="n">
        <v>0</v>
      </c>
      <c r="N79" s="58" t="n">
        <v>81.26000000000001</v>
      </c>
      <c r="O79" s="20" t="inlineStr">
        <is>
          <t>Consumo previsto en Q1-27 Nacional</t>
        </is>
      </c>
    </row>
    <row r="80" ht="20" customHeight="1">
      <c r="A80" s="54" t="inlineStr">
        <is>
          <t>C-MB0001</t>
        </is>
      </c>
      <c r="B80" s="29" t="inlineStr">
        <is>
          <t>CODIFOL-MB, 1 L</t>
        </is>
      </c>
      <c r="C80" s="29" t="inlineStr">
        <is>
          <t>Botellas 1L</t>
        </is>
      </c>
      <c r="D80" s="34" t="n">
        <v>84</v>
      </c>
      <c r="E80" s="33" t="n">
        <v>84</v>
      </c>
      <c r="F80" s="33" t="n">
        <v>0</v>
      </c>
      <c r="G80" s="33" t="n">
        <v>114</v>
      </c>
      <c r="H80" s="34" t="n">
        <v>84</v>
      </c>
      <c r="I80" s="34" t="n">
        <v>0</v>
      </c>
      <c r="J80" s="33" t="n">
        <v>0</v>
      </c>
      <c r="K80" s="35" t="inlineStr">
        <is>
          <t>🟡 SlowMover (3-6M Nac)</t>
        </is>
      </c>
      <c r="L80" s="55" t="n">
        <v>4.116960542</v>
      </c>
      <c r="M80" s="55" t="n">
        <v>0</v>
      </c>
      <c r="N80" s="57" t="n">
        <v>345.82</v>
      </c>
      <c r="O80" s="29" t="inlineStr">
        <is>
          <t>Consumo previsto en Q1-27 Nacional</t>
        </is>
      </c>
    </row>
    <row r="81" ht="20" customHeight="1">
      <c r="A81" s="51" t="inlineStr">
        <is>
          <t>C-L0001</t>
        </is>
      </c>
      <c r="B81" s="20" t="inlineStr">
        <is>
          <t>CODIBOR-L, 1 L</t>
        </is>
      </c>
      <c r="C81" s="20" t="inlineStr">
        <is>
          <t>Botellas 1L</t>
        </is>
      </c>
      <c r="D81" s="25" t="n">
        <v>68</v>
      </c>
      <c r="E81" s="24" t="n">
        <v>68</v>
      </c>
      <c r="F81" s="24" t="n">
        <v>0</v>
      </c>
      <c r="G81" s="24" t="n">
        <v>204</v>
      </c>
      <c r="H81" s="25" t="n">
        <v>68</v>
      </c>
      <c r="I81" s="25" t="n">
        <v>0</v>
      </c>
      <c r="J81" s="24" t="n">
        <v>0</v>
      </c>
      <c r="K81" s="35" t="inlineStr">
        <is>
          <t>🟡 SlowMover (3-6M Nac)</t>
        </is>
      </c>
      <c r="L81" s="52" t="n">
        <v>2.447821718</v>
      </c>
      <c r="M81" s="52" t="n">
        <v>0</v>
      </c>
      <c r="N81" s="58" t="n">
        <v>166.45</v>
      </c>
      <c r="O81" s="20" t="inlineStr">
        <is>
          <t>Consumo previsto en Q1-27 Nacional</t>
        </is>
      </c>
    </row>
    <row r="82" ht="20" customHeight="1">
      <c r="A82" s="54" t="inlineStr">
        <is>
          <t>BPLUS20005</t>
        </is>
      </c>
      <c r="B82" s="29" t="inlineStr">
        <is>
          <t>BOROCAL PLUS, 5 KG</t>
        </is>
      </c>
      <c r="C82" s="29" t="inlineStr">
        <is>
          <t>Bolsas 5 Kg</t>
        </is>
      </c>
      <c r="D82" s="34" t="n">
        <v>65</v>
      </c>
      <c r="E82" s="33" t="n">
        <v>13</v>
      </c>
      <c r="F82" s="33" t="n">
        <v>0</v>
      </c>
      <c r="G82" s="33" t="n">
        <v>645</v>
      </c>
      <c r="H82" s="34" t="n">
        <v>65</v>
      </c>
      <c r="I82" s="34" t="n">
        <v>0</v>
      </c>
      <c r="J82" s="33" t="n">
        <v>0</v>
      </c>
      <c r="K82" s="35" t="inlineStr">
        <is>
          <t>🟡 SlowMover (3-6M Nac)</t>
        </is>
      </c>
      <c r="L82" s="55" t="n">
        <v>1.830787849</v>
      </c>
      <c r="M82" s="55" t="n">
        <v>0</v>
      </c>
      <c r="N82" s="57" t="n">
        <v>119</v>
      </c>
      <c r="O82" s="29" t="inlineStr">
        <is>
          <t>Consumo previsto en Q1-27 Nacional</t>
        </is>
      </c>
    </row>
    <row r="83" ht="20" customHeight="1">
      <c r="A83" s="51" t="inlineStr">
        <is>
          <t>PHD0020</t>
        </is>
      </c>
      <c r="B83" s="20" t="inlineStr">
        <is>
          <t>PH-DOWNER</t>
        </is>
      </c>
      <c r="C83" s="20" t="inlineStr">
        <is>
          <t>Garrafas 20L</t>
        </is>
      </c>
      <c r="D83" s="25" t="n">
        <v>600</v>
      </c>
      <c r="E83" s="24" t="n">
        <v>30</v>
      </c>
      <c r="F83" s="24" t="n">
        <v>555.46</v>
      </c>
      <c r="G83" s="24" t="n">
        <v>1160</v>
      </c>
      <c r="H83" s="25" t="n">
        <v>44.54</v>
      </c>
      <c r="I83" s="25" t="n">
        <v>0</v>
      </c>
      <c r="J83" s="24" t="n">
        <v>0</v>
      </c>
      <c r="K83" s="35" t="inlineStr">
        <is>
          <t>🟡 SlowMover (3-6M Nac)</t>
        </is>
      </c>
      <c r="L83" s="52" t="n">
        <v>1.299525481</v>
      </c>
      <c r="M83" s="52" t="n">
        <v>0</v>
      </c>
      <c r="N83" s="58" t="n">
        <v>57.88</v>
      </c>
      <c r="O83" s="20" t="inlineStr">
        <is>
          <t>Consumo previsto en Q1-27 Nacional</t>
        </is>
      </c>
    </row>
    <row r="84" ht="20" customHeight="1">
      <c r="A84" s="54" t="inlineStr">
        <is>
          <t>CBROT0001</t>
        </is>
      </c>
      <c r="B84" s="29" t="inlineStr">
        <is>
          <t>CODIBROT, 1 L</t>
        </is>
      </c>
      <c r="C84" s="29" t="inlineStr">
        <is>
          <t>Botellas 1L</t>
        </is>
      </c>
      <c r="D84" s="34" t="n">
        <v>24</v>
      </c>
      <c r="E84" s="33" t="n">
        <v>24</v>
      </c>
      <c r="F84" s="33" t="n">
        <v>0</v>
      </c>
      <c r="G84" s="33" t="n">
        <v>26</v>
      </c>
      <c r="H84" s="34" t="n">
        <v>24</v>
      </c>
      <c r="I84" s="34" t="n">
        <v>0</v>
      </c>
      <c r="J84" s="33" t="n">
        <v>0</v>
      </c>
      <c r="K84" s="35" t="inlineStr">
        <is>
          <t>🟡 SlowMover (3-6M Nac)</t>
        </is>
      </c>
      <c r="L84" s="55" t="n">
        <v>2.102549663</v>
      </c>
      <c r="M84" s="55" t="n">
        <v>0</v>
      </c>
      <c r="N84" s="57" t="n">
        <v>50.46</v>
      </c>
      <c r="O84" s="29" t="inlineStr">
        <is>
          <t>Consumo previsto en Q1-27 Nacional</t>
        </is>
      </c>
    </row>
    <row r="85" ht="20" customHeight="1">
      <c r="A85" s="51" t="inlineStr">
        <is>
          <t>P-5X0005</t>
        </is>
      </c>
      <c r="B85" s="20" t="inlineStr">
        <is>
          <t>P.M.S. 5x, 5 L</t>
        </is>
      </c>
      <c r="C85" s="20" t="inlineStr">
        <is>
          <t>Garrafas 5L</t>
        </is>
      </c>
      <c r="D85" s="25" t="n">
        <v>100</v>
      </c>
      <c r="E85" s="24" t="n">
        <v>20</v>
      </c>
      <c r="F85" s="24" t="n">
        <v>86.79000000000001</v>
      </c>
      <c r="G85" s="24" t="n">
        <v>700</v>
      </c>
      <c r="H85" s="25" t="n">
        <v>13.21</v>
      </c>
      <c r="I85" s="25" t="n">
        <v>0</v>
      </c>
      <c r="J85" s="24" t="n">
        <v>0</v>
      </c>
      <c r="K85" s="35" t="inlineStr">
        <is>
          <t>🟡 SlowMover (3-6M Nac)</t>
        </is>
      </c>
      <c r="L85" s="52" t="n">
        <v>0.9438241550000001</v>
      </c>
      <c r="M85" s="52" t="n">
        <v>0</v>
      </c>
      <c r="N85" s="58" t="n">
        <v>12.47</v>
      </c>
      <c r="O85" s="20" t="inlineStr">
        <is>
          <t>Consumo previsto en Q1-27 Nacional</t>
        </is>
      </c>
    </row>
    <row r="86" ht="20" customHeight="1">
      <c r="A86" s="54" t="inlineStr">
        <is>
          <t>G30020</t>
        </is>
      </c>
      <c r="B86" s="29" t="inlineStr">
        <is>
          <t>GREEN-UP, 20 L</t>
        </is>
      </c>
      <c r="C86" s="29" t="inlineStr">
        <is>
          <t>Garrafas 20L</t>
        </is>
      </c>
      <c r="D86" s="34" t="n">
        <v>2540</v>
      </c>
      <c r="E86" s="33" t="n">
        <v>127</v>
      </c>
      <c r="F86" s="33" t="n">
        <v>2528.21</v>
      </c>
      <c r="G86" s="33" t="n">
        <v>3080</v>
      </c>
      <c r="H86" s="34" t="n">
        <v>11.79</v>
      </c>
      <c r="I86" s="34" t="n">
        <v>0</v>
      </c>
      <c r="J86" s="33" t="n">
        <v>0</v>
      </c>
      <c r="K86" s="35" t="inlineStr">
        <is>
          <t>🟡 SlowMover (3-6M Nac)</t>
        </is>
      </c>
      <c r="L86" s="55" t="n">
        <v>1.797952564</v>
      </c>
      <c r="M86" s="55" t="n">
        <v>0</v>
      </c>
      <c r="N86" s="57" t="n">
        <v>21.2</v>
      </c>
      <c r="O86" s="29" t="inlineStr">
        <is>
          <t>Consumo previsto en Q1-27 Nacional</t>
        </is>
      </c>
    </row>
    <row r="87" ht="20" customHeight="1">
      <c r="A87" s="51" t="inlineStr">
        <is>
          <t>AGMNP0005</t>
        </is>
      </c>
      <c r="B87" s="20" t="inlineStr">
        <is>
          <t>AGROXILATO MN PLUS, 5 KG</t>
        </is>
      </c>
      <c r="C87" s="20" t="inlineStr">
        <is>
          <t>Bolsas 5 Kg</t>
        </is>
      </c>
      <c r="D87" s="25" t="n">
        <v>5</v>
      </c>
      <c r="E87" s="24" t="n">
        <v>1</v>
      </c>
      <c r="F87" s="24" t="n">
        <v>0</v>
      </c>
      <c r="G87" s="24" t="n">
        <v>240</v>
      </c>
      <c r="H87" s="25" t="n">
        <v>5</v>
      </c>
      <c r="I87" s="25" t="n">
        <v>0</v>
      </c>
      <c r="J87" s="24" t="n">
        <v>0</v>
      </c>
      <c r="K87" s="35" t="inlineStr">
        <is>
          <t>🟡 SlowMover (3-6M Nac)</t>
        </is>
      </c>
      <c r="L87" s="52" t="n">
        <v>1.88519534</v>
      </c>
      <c r="M87" s="52" t="n">
        <v>0</v>
      </c>
      <c r="N87" s="58" t="n">
        <v>9.43</v>
      </c>
      <c r="O87" s="20" t="inlineStr">
        <is>
          <t>Consumo previsto en Q1-27 Nacional</t>
        </is>
      </c>
    </row>
    <row r="88" ht="20" customHeight="1">
      <c r="A88" s="54" t="inlineStr">
        <is>
          <t>BIO0020</t>
        </is>
      </c>
      <c r="B88" s="29" t="inlineStr">
        <is>
          <t>BIORAD-20, 20 L</t>
        </is>
      </c>
      <c r="C88" s="29" t="inlineStr">
        <is>
          <t>Garrafas 20L</t>
        </is>
      </c>
      <c r="D88" s="34" t="n">
        <v>9800</v>
      </c>
      <c r="E88" s="33" t="n">
        <v>490</v>
      </c>
      <c r="F88" s="33" t="n">
        <v>12535.49</v>
      </c>
      <c r="G88" s="33" t="n">
        <v>9380</v>
      </c>
      <c r="H88" s="34" t="n">
        <v>0</v>
      </c>
      <c r="I88" s="34" t="n">
        <v>0</v>
      </c>
      <c r="J88" s="33" t="n">
        <v>0</v>
      </c>
      <c r="K88" s="36" t="inlineStr">
        <is>
          <t>🟢 Alta Rotación (0-3M Nac)</t>
        </is>
      </c>
      <c r="L88" s="55" t="n">
        <v>0.831781576</v>
      </c>
      <c r="M88" s="55" t="n">
        <v>0</v>
      </c>
      <c r="N88" s="55" t="n">
        <v>0</v>
      </c>
      <c r="O88" s="29" t="inlineStr">
        <is>
          <t>Rotación Normal en Campaña Q4</t>
        </is>
      </c>
    </row>
    <row r="89" ht="20" customHeight="1">
      <c r="A89" s="51" t="inlineStr">
        <is>
          <t>BROTA0020</t>
        </is>
      </c>
      <c r="B89" s="20" t="inlineStr">
        <is>
          <t>BROTAMEC, 20 L</t>
        </is>
      </c>
      <c r="C89" s="20" t="inlineStr">
        <is>
          <t>Garrafas 20L</t>
        </is>
      </c>
      <c r="D89" s="25" t="n">
        <v>820</v>
      </c>
      <c r="E89" s="24" t="n">
        <v>41</v>
      </c>
      <c r="F89" s="24" t="n">
        <v>2019.81</v>
      </c>
      <c r="G89" s="24" t="n">
        <v>3180</v>
      </c>
      <c r="H89" s="25" t="n">
        <v>0</v>
      </c>
      <c r="I89" s="25" t="n">
        <v>0</v>
      </c>
      <c r="J89" s="24" t="n">
        <v>0</v>
      </c>
      <c r="K89" s="36" t="inlineStr">
        <is>
          <t>🟢 Alta Rotación (0-3M Nac)</t>
        </is>
      </c>
      <c r="L89" s="52" t="n">
        <v>1.125647362</v>
      </c>
      <c r="M89" s="52" t="n">
        <v>0</v>
      </c>
      <c r="N89" s="52" t="n">
        <v>0</v>
      </c>
      <c r="O89" s="20" t="inlineStr">
        <is>
          <t>Rotación Normal en Campaña Q4</t>
        </is>
      </c>
    </row>
    <row r="90" ht="20" customHeight="1">
      <c r="A90" s="54" t="inlineStr">
        <is>
          <t>PIV0020</t>
        </is>
      </c>
      <c r="B90" s="29" t="inlineStr">
        <is>
          <t>PGR IV, 20 L</t>
        </is>
      </c>
      <c r="C90" s="29" t="inlineStr">
        <is>
          <t>Garrafas 20L</t>
        </is>
      </c>
      <c r="D90" s="34" t="n">
        <v>5660</v>
      </c>
      <c r="E90" s="33" t="n">
        <v>283</v>
      </c>
      <c r="F90" s="33" t="n">
        <v>9766.85</v>
      </c>
      <c r="G90" s="33" t="n">
        <v>980</v>
      </c>
      <c r="H90" s="34" t="n">
        <v>0</v>
      </c>
      <c r="I90" s="34" t="n">
        <v>0</v>
      </c>
      <c r="J90" s="33" t="n">
        <v>0</v>
      </c>
      <c r="K90" s="36" t="inlineStr">
        <is>
          <t>🟢 Alta Rotación (0-3M Nac)</t>
        </is>
      </c>
      <c r="L90" s="55" t="n">
        <v>0.731336193</v>
      </c>
      <c r="M90" s="55" t="n">
        <v>0</v>
      </c>
      <c r="N90" s="55" t="n">
        <v>0</v>
      </c>
      <c r="O90" s="29" t="inlineStr">
        <is>
          <t>Rotación Normal en Campaña Q4</t>
        </is>
      </c>
    </row>
    <row r="91" ht="20" customHeight="1">
      <c r="A91" s="51" t="inlineStr">
        <is>
          <t>PT0020</t>
        </is>
      </c>
      <c r="B91" s="20" t="inlineStr">
        <is>
          <t>AGROPOTASION, 20 L</t>
        </is>
      </c>
      <c r="C91" s="20" t="inlineStr">
        <is>
          <t>Garrafas 20L</t>
        </is>
      </c>
      <c r="D91" s="25" t="n">
        <v>13880</v>
      </c>
      <c r="E91" s="24" t="n">
        <v>694</v>
      </c>
      <c r="F91" s="24" t="n">
        <v>15398.8</v>
      </c>
      <c r="G91" s="24" t="n">
        <v>20520</v>
      </c>
      <c r="H91" s="25" t="n">
        <v>0</v>
      </c>
      <c r="I91" s="25" t="n">
        <v>0</v>
      </c>
      <c r="J91" s="24" t="n">
        <v>0</v>
      </c>
      <c r="K91" s="36" t="inlineStr">
        <is>
          <t>🟢 Alta Rotación (0-3M Nac)</t>
        </is>
      </c>
      <c r="L91" s="52" t="n">
        <v>1.035782567</v>
      </c>
      <c r="M91" s="52" t="n">
        <v>0</v>
      </c>
      <c r="N91" s="52" t="n">
        <v>0</v>
      </c>
      <c r="O91" s="20" t="inlineStr">
        <is>
          <t>Rotación Normal en Campaña Q4</t>
        </is>
      </c>
    </row>
    <row r="92" ht="20" customHeight="1">
      <c r="A92" s="54" t="inlineStr">
        <is>
          <t>AGXK0020</t>
        </is>
      </c>
      <c r="B92" s="29" t="inlineStr">
        <is>
          <t>AGROXILATO-K, 20 L</t>
        </is>
      </c>
      <c r="C92" s="29" t="inlineStr">
        <is>
          <t>Garrafas 20L</t>
        </is>
      </c>
      <c r="D92" s="34" t="n">
        <v>14300</v>
      </c>
      <c r="E92" s="33" t="n">
        <v>715</v>
      </c>
      <c r="F92" s="33" t="n">
        <v>49729.35</v>
      </c>
      <c r="G92" s="33" t="n">
        <v>45800</v>
      </c>
      <c r="H92" s="34" t="n">
        <v>0</v>
      </c>
      <c r="I92" s="34" t="n">
        <v>0</v>
      </c>
      <c r="J92" s="33" t="n">
        <v>0</v>
      </c>
      <c r="K92" s="36" t="inlineStr">
        <is>
          <t>🟢 Alta Rotación (0-3M Nac)</t>
        </is>
      </c>
      <c r="L92" s="55" t="n">
        <v>0.885518124</v>
      </c>
      <c r="M92" s="55" t="n">
        <v>0</v>
      </c>
      <c r="N92" s="55" t="n">
        <v>0</v>
      </c>
      <c r="O92" s="29" t="inlineStr">
        <is>
          <t>Rotación Normal en Campaña Q4</t>
        </is>
      </c>
    </row>
    <row r="93" ht="20" customHeight="1">
      <c r="A93" s="51" t="inlineStr">
        <is>
          <t>AN0020</t>
        </is>
      </c>
      <c r="B93" s="20" t="inlineStr">
        <is>
          <t>ALCAPLANT NEW, 20 KG</t>
        </is>
      </c>
      <c r="C93" s="20" t="inlineStr">
        <is>
          <t>Bolsas 20 Kg</t>
        </is>
      </c>
      <c r="D93" s="25" t="n">
        <v>24800</v>
      </c>
      <c r="E93" s="24" t="n">
        <v>1240</v>
      </c>
      <c r="F93" s="24" t="n">
        <v>29791.24</v>
      </c>
      <c r="G93" s="24" t="n">
        <v>51020</v>
      </c>
      <c r="H93" s="25" t="n">
        <v>0</v>
      </c>
      <c r="I93" s="25" t="n">
        <v>0</v>
      </c>
      <c r="J93" s="24" t="n">
        <v>0</v>
      </c>
      <c r="K93" s="36" t="inlineStr">
        <is>
          <t>🟢 Alta Rotación (0-3M Nac)</t>
        </is>
      </c>
      <c r="L93" s="52" t="n">
        <v>0.392857608</v>
      </c>
      <c r="M93" s="52" t="n">
        <v>0</v>
      </c>
      <c r="N93" s="52" t="n">
        <v>0</v>
      </c>
      <c r="O93" s="20" t="inlineStr">
        <is>
          <t>Rotación Normal en Campaña Q4</t>
        </is>
      </c>
    </row>
    <row r="94" ht="20" customHeight="1">
      <c r="A94" s="54" t="inlineStr">
        <is>
          <t>C-CU0020</t>
        </is>
      </c>
      <c r="B94" s="29" t="inlineStr">
        <is>
          <t>CODICOBRE, 20 L</t>
        </is>
      </c>
      <c r="C94" s="29" t="inlineStr">
        <is>
          <t>Garrafas 20L</t>
        </is>
      </c>
      <c r="D94" s="34" t="n">
        <v>2300</v>
      </c>
      <c r="E94" s="33" t="n">
        <v>115</v>
      </c>
      <c r="F94" s="33" t="n">
        <v>3726.18</v>
      </c>
      <c r="G94" s="33" t="n">
        <v>3380</v>
      </c>
      <c r="H94" s="34" t="n">
        <v>0</v>
      </c>
      <c r="I94" s="34" t="n">
        <v>0</v>
      </c>
      <c r="J94" s="33" t="n">
        <v>0</v>
      </c>
      <c r="K94" s="36" t="inlineStr">
        <is>
          <t>🟢 Alta Rotación (0-3M Nac)</t>
        </is>
      </c>
      <c r="L94" s="55" t="n">
        <v>1.421740492</v>
      </c>
      <c r="M94" s="55" t="n">
        <v>0</v>
      </c>
      <c r="N94" s="55" t="n">
        <v>0</v>
      </c>
      <c r="O94" s="29" t="inlineStr">
        <is>
          <t>Rotación Normal en Campaña Q4</t>
        </is>
      </c>
    </row>
    <row r="95" ht="20" customHeight="1">
      <c r="A95" s="51" t="inlineStr">
        <is>
          <t>S0020</t>
        </is>
      </c>
      <c r="B95" s="20" t="inlineStr">
        <is>
          <t>SALWAX STAR, 20 L</t>
        </is>
      </c>
      <c r="C95" s="20" t="inlineStr">
        <is>
          <t>Garrafas 20L</t>
        </is>
      </c>
      <c r="D95" s="25" t="n">
        <v>4440</v>
      </c>
      <c r="E95" s="24" t="n">
        <v>222</v>
      </c>
      <c r="F95" s="24" t="n">
        <v>6282.69</v>
      </c>
      <c r="G95" s="24" t="n">
        <v>19600</v>
      </c>
      <c r="H95" s="25" t="n">
        <v>0</v>
      </c>
      <c r="I95" s="25" t="n">
        <v>0</v>
      </c>
      <c r="J95" s="24" t="n">
        <v>0</v>
      </c>
      <c r="K95" s="36" t="inlineStr">
        <is>
          <t>🟢 Alta Rotación (0-3M Nac)</t>
        </is>
      </c>
      <c r="L95" s="52" t="n">
        <v>0.6060273430000001</v>
      </c>
      <c r="M95" s="52" t="n">
        <v>0</v>
      </c>
      <c r="N95" s="52" t="n">
        <v>0</v>
      </c>
      <c r="O95" s="20" t="inlineStr">
        <is>
          <t>Rotación Normal en Campaña Q4</t>
        </is>
      </c>
    </row>
    <row r="96" ht="20" customHeight="1">
      <c r="A96" s="54" t="inlineStr">
        <is>
          <t>S1000</t>
        </is>
      </c>
      <c r="B96" s="29" t="inlineStr">
        <is>
          <t>SAL-WAX STAR, 1000 L</t>
        </is>
      </c>
      <c r="C96" s="29" t="inlineStr">
        <is>
          <t>Depósito 1000 L</t>
        </is>
      </c>
      <c r="D96" s="34" t="n">
        <v>5000</v>
      </c>
      <c r="E96" s="33" t="n">
        <v>5</v>
      </c>
      <c r="F96" s="33" t="n">
        <v>38335.23</v>
      </c>
      <c r="G96" s="33" t="n">
        <v>61000</v>
      </c>
      <c r="H96" s="34" t="n">
        <v>0</v>
      </c>
      <c r="I96" s="34" t="n">
        <v>0</v>
      </c>
      <c r="J96" s="33" t="n">
        <v>0</v>
      </c>
      <c r="K96" s="36" t="inlineStr">
        <is>
          <t>🟢 Alta Rotación (0-3M Nac)</t>
        </is>
      </c>
      <c r="L96" s="55" t="n">
        <v>0.345951136</v>
      </c>
      <c r="M96" s="55" t="n">
        <v>0</v>
      </c>
      <c r="N96" s="55" t="n">
        <v>0</v>
      </c>
      <c r="O96" s="29" t="inlineStr">
        <is>
          <t>Rotación Normal en Campaña Q4</t>
        </is>
      </c>
    </row>
    <row r="97" ht="20" customHeight="1">
      <c r="A97" s="51" t="inlineStr">
        <is>
          <t>A-50(2)0005</t>
        </is>
      </c>
      <c r="B97" s="20" t="inlineStr">
        <is>
          <t>CODIORGAN-A50, 5 KG</t>
        </is>
      </c>
      <c r="C97" s="20" t="inlineStr">
        <is>
          <t>Bolsas 5 Kg</t>
        </is>
      </c>
      <c r="D97" s="25" t="n">
        <v>1375</v>
      </c>
      <c r="E97" s="24" t="n">
        <v>275</v>
      </c>
      <c r="F97" s="24" t="n">
        <v>1882.43</v>
      </c>
      <c r="G97" s="24" t="n">
        <v>2955</v>
      </c>
      <c r="H97" s="25" t="n">
        <v>0</v>
      </c>
      <c r="I97" s="25" t="n">
        <v>0</v>
      </c>
      <c r="J97" s="24" t="n">
        <v>0</v>
      </c>
      <c r="K97" s="36" t="inlineStr">
        <is>
          <t>🟢 Alta Rotación (0-3M Nac)</t>
        </is>
      </c>
      <c r="L97" s="52" t="n">
        <v>1.645731742</v>
      </c>
      <c r="M97" s="52" t="n">
        <v>0</v>
      </c>
      <c r="N97" s="52" t="n">
        <v>0</v>
      </c>
      <c r="O97" s="20" t="inlineStr">
        <is>
          <t>Rotación Normal en Campaña Q4</t>
        </is>
      </c>
    </row>
    <row r="98" ht="20" customHeight="1">
      <c r="A98" s="54" t="inlineStr">
        <is>
          <t>AGXK0005</t>
        </is>
      </c>
      <c r="B98" s="29" t="inlineStr">
        <is>
          <t>AGROXILATO-K, 5 L</t>
        </is>
      </c>
      <c r="C98" s="29" t="inlineStr">
        <is>
          <t>Garrafas 5L</t>
        </is>
      </c>
      <c r="D98" s="34" t="n">
        <v>155</v>
      </c>
      <c r="E98" s="33" t="n">
        <v>31</v>
      </c>
      <c r="F98" s="33" t="n">
        <v>2272.01</v>
      </c>
      <c r="G98" s="33" t="n">
        <v>830</v>
      </c>
      <c r="H98" s="34" t="n">
        <v>0</v>
      </c>
      <c r="I98" s="34" t="n">
        <v>0</v>
      </c>
      <c r="J98" s="33" t="n">
        <v>0</v>
      </c>
      <c r="K98" s="36" t="inlineStr">
        <is>
          <t>🟢 Alta Rotación (0-3M Nac)</t>
        </is>
      </c>
      <c r="L98" s="55" t="n">
        <v>1.066778429</v>
      </c>
      <c r="M98" s="55" t="n">
        <v>0</v>
      </c>
      <c r="N98" s="55" t="n">
        <v>0</v>
      </c>
      <c r="O98" s="29" t="inlineStr">
        <is>
          <t>Rotación Normal en Campaña Q4</t>
        </is>
      </c>
    </row>
    <row r="99" ht="20" customHeight="1">
      <c r="A99" s="51" t="inlineStr">
        <is>
          <t>C-CUAE0005</t>
        </is>
      </c>
      <c r="B99" s="20" t="inlineStr">
        <is>
          <t>CUPRAMEC, 5 L</t>
        </is>
      </c>
      <c r="C99" s="20" t="inlineStr">
        <is>
          <t>Garrafas 5L</t>
        </is>
      </c>
      <c r="D99" s="25" t="n">
        <v>1220</v>
      </c>
      <c r="E99" s="24" t="n">
        <v>244</v>
      </c>
      <c r="F99" s="24" t="n">
        <v>1464.05</v>
      </c>
      <c r="G99" s="24" t="n">
        <v>3295</v>
      </c>
      <c r="H99" s="25" t="n">
        <v>0</v>
      </c>
      <c r="I99" s="25" t="n">
        <v>0</v>
      </c>
      <c r="J99" s="24" t="n">
        <v>0</v>
      </c>
      <c r="K99" s="36" t="inlineStr">
        <is>
          <t>🟢 Alta Rotación (0-3M Nac)</t>
        </is>
      </c>
      <c r="L99" s="52" t="n">
        <v>1.982082574</v>
      </c>
      <c r="M99" s="52" t="n">
        <v>0</v>
      </c>
      <c r="N99" s="52" t="n">
        <v>0</v>
      </c>
      <c r="O99" s="20" t="inlineStr">
        <is>
          <t>Rotación Normal en Campaña Q4</t>
        </is>
      </c>
    </row>
    <row r="100" ht="20" customHeight="1">
      <c r="A100" s="54" t="inlineStr">
        <is>
          <t>FROST-P0020</t>
        </is>
      </c>
      <c r="B100" s="29" t="inlineStr">
        <is>
          <t>CODIFROST PLUS, 20 L</t>
        </is>
      </c>
      <c r="C100" s="29" t="inlineStr">
        <is>
          <t>Garrafas 20L</t>
        </is>
      </c>
      <c r="D100" s="34" t="n">
        <v>280</v>
      </c>
      <c r="E100" s="33" t="n">
        <v>14</v>
      </c>
      <c r="F100" s="33" t="n">
        <v>1829.61</v>
      </c>
      <c r="G100" s="33" t="n">
        <v>460</v>
      </c>
      <c r="H100" s="34" t="n">
        <v>0</v>
      </c>
      <c r="I100" s="34" t="n">
        <v>0</v>
      </c>
      <c r="J100" s="33" t="n">
        <v>0</v>
      </c>
      <c r="K100" s="36" t="inlineStr">
        <is>
          <t>🟢 Alta Rotación (0-3M Nac)</t>
        </is>
      </c>
      <c r="L100" s="55" t="n">
        <v>2.043268413</v>
      </c>
      <c r="M100" s="55" t="n">
        <v>0</v>
      </c>
      <c r="N100" s="55" t="n">
        <v>0</v>
      </c>
      <c r="O100" s="29" t="inlineStr">
        <is>
          <t>Rotación Normal en Campaña Q4</t>
        </is>
      </c>
    </row>
    <row r="101" ht="20" customHeight="1">
      <c r="A101" s="51" t="inlineStr">
        <is>
          <t>HST0020</t>
        </is>
      </c>
      <c r="B101" s="20" t="inlineStr">
        <is>
          <t>HIDROSTRESS-40, 20 L</t>
        </is>
      </c>
      <c r="C101" s="20" t="inlineStr">
        <is>
          <t>Garrafas 20L</t>
        </is>
      </c>
      <c r="D101" s="25" t="n">
        <v>2000</v>
      </c>
      <c r="E101" s="24" t="n">
        <v>100</v>
      </c>
      <c r="F101" s="24" t="n">
        <v>2528.21</v>
      </c>
      <c r="G101" s="24" t="n">
        <v>2880</v>
      </c>
      <c r="H101" s="25" t="n">
        <v>0</v>
      </c>
      <c r="I101" s="25" t="n">
        <v>0</v>
      </c>
      <c r="J101" s="24" t="n">
        <v>0</v>
      </c>
      <c r="K101" s="36" t="inlineStr">
        <is>
          <t>🟢 Alta Rotación (0-3M Nac)</t>
        </is>
      </c>
      <c r="L101" s="52" t="n">
        <v>2.704237109</v>
      </c>
      <c r="M101" s="52" t="n">
        <v>0</v>
      </c>
      <c r="N101" s="52" t="n">
        <v>0</v>
      </c>
      <c r="O101" s="20" t="inlineStr">
        <is>
          <t>Rotación Normal en Campaña Q4</t>
        </is>
      </c>
    </row>
    <row r="102" ht="20" customHeight="1">
      <c r="A102" s="54" t="inlineStr">
        <is>
          <t>AVAN0020</t>
        </is>
      </c>
      <c r="B102" s="29" t="inlineStr">
        <is>
          <t>FLORAMEC AVANCE, 20 L</t>
        </is>
      </c>
      <c r="C102" s="29" t="inlineStr">
        <is>
          <t>Garrafas 20L</t>
        </is>
      </c>
      <c r="D102" s="34" t="n">
        <v>5300</v>
      </c>
      <c r="E102" s="33" t="n">
        <v>265</v>
      </c>
      <c r="F102" s="33" t="n">
        <v>5667.13</v>
      </c>
      <c r="G102" s="33" t="n">
        <v>9900</v>
      </c>
      <c r="H102" s="34" t="n">
        <v>0</v>
      </c>
      <c r="I102" s="34" t="n">
        <v>0</v>
      </c>
      <c r="J102" s="33" t="n">
        <v>0</v>
      </c>
      <c r="K102" s="36" t="inlineStr">
        <is>
          <t>🟢 Alta Rotación (0-3M Nac)</t>
        </is>
      </c>
      <c r="L102" s="55" t="n">
        <v>2.108509183</v>
      </c>
      <c r="M102" s="55" t="n">
        <v>0</v>
      </c>
      <c r="N102" s="55" t="n">
        <v>0</v>
      </c>
      <c r="O102" s="29" t="inlineStr">
        <is>
          <t>Rotación Normal en Campaña Q4</t>
        </is>
      </c>
    </row>
    <row r="103" ht="20" customHeight="1">
      <c r="A103" s="51" t="inlineStr">
        <is>
          <t>BROTA0005</t>
        </is>
      </c>
      <c r="B103" s="20" t="inlineStr">
        <is>
          <t>BROTAMEC, 5 L</t>
        </is>
      </c>
      <c r="C103" s="20" t="inlineStr">
        <is>
          <t>Garrafas 5L</t>
        </is>
      </c>
      <c r="D103" s="25" t="n">
        <v>1060</v>
      </c>
      <c r="E103" s="24" t="n">
        <v>212</v>
      </c>
      <c r="F103" s="24" t="n">
        <v>2175.56</v>
      </c>
      <c r="G103" s="24" t="n">
        <v>4000</v>
      </c>
      <c r="H103" s="25" t="n">
        <v>0</v>
      </c>
      <c r="I103" s="25" t="n">
        <v>0</v>
      </c>
      <c r="J103" s="24" t="n">
        <v>0</v>
      </c>
      <c r="K103" s="36" t="inlineStr">
        <is>
          <t>🟢 Alta Rotación (0-3M Nac)</t>
        </is>
      </c>
      <c r="L103" s="52" t="n">
        <v>1.266781043</v>
      </c>
      <c r="M103" s="52" t="n">
        <v>0</v>
      </c>
      <c r="N103" s="52" t="n">
        <v>0</v>
      </c>
      <c r="O103" s="20" t="inlineStr">
        <is>
          <t>Rotación Normal en Campaña Q4</t>
        </is>
      </c>
    </row>
    <row r="104" ht="20" customHeight="1">
      <c r="A104" s="54" t="inlineStr">
        <is>
          <t>TRI0005</t>
        </is>
      </c>
      <c r="B104" s="29" t="inlineStr">
        <is>
          <t>TRIFENO-94, 5L</t>
        </is>
      </c>
      <c r="C104" s="29" t="inlineStr">
        <is>
          <t>Garrafas 5L</t>
        </is>
      </c>
      <c r="D104" s="34" t="n">
        <v>55</v>
      </c>
      <c r="E104" s="33" t="n">
        <v>11</v>
      </c>
      <c r="F104" s="33" t="n">
        <v>1242.25</v>
      </c>
      <c r="G104" s="33" t="n">
        <v>2425</v>
      </c>
      <c r="H104" s="34" t="n">
        <v>0</v>
      </c>
      <c r="I104" s="34" t="n">
        <v>0</v>
      </c>
      <c r="J104" s="33" t="n">
        <v>0</v>
      </c>
      <c r="K104" s="36" t="inlineStr">
        <is>
          <t>🟢 Alta Rotación (0-3M Nac)</t>
        </is>
      </c>
      <c r="L104" s="55" t="n">
        <v>1.879828899</v>
      </c>
      <c r="M104" s="55" t="n">
        <v>0</v>
      </c>
      <c r="N104" s="55" t="n">
        <v>0</v>
      </c>
      <c r="O104" s="29" t="inlineStr">
        <is>
          <t>Rotación Normal en Campaña Q4</t>
        </is>
      </c>
    </row>
    <row r="105" ht="20" customHeight="1">
      <c r="A105" s="51" t="inlineStr">
        <is>
          <t>FTK0005</t>
        </is>
      </c>
      <c r="B105" s="20" t="inlineStr">
        <is>
          <t>FITOKONTROL CA FLOW, 5 KG</t>
        </is>
      </c>
      <c r="C105" s="20" t="inlineStr">
        <is>
          <t>Bolsas 5 Kg</t>
        </is>
      </c>
      <c r="D105" s="25" t="n">
        <v>490</v>
      </c>
      <c r="E105" s="24" t="n">
        <v>98</v>
      </c>
      <c r="F105" s="24" t="n">
        <v>1934.01</v>
      </c>
      <c r="G105" s="24" t="n">
        <v>3765</v>
      </c>
      <c r="H105" s="25" t="n">
        <v>0</v>
      </c>
      <c r="I105" s="25" t="n">
        <v>0</v>
      </c>
      <c r="J105" s="24" t="n">
        <v>0</v>
      </c>
      <c r="K105" s="36" t="inlineStr">
        <is>
          <t>🟢 Alta Rotación (0-3M Nac)</t>
        </is>
      </c>
      <c r="L105" s="52" t="n">
        <v>1.029142979</v>
      </c>
      <c r="M105" s="52" t="n">
        <v>0</v>
      </c>
      <c r="N105" s="52" t="n">
        <v>0</v>
      </c>
      <c r="O105" s="20" t="inlineStr">
        <is>
          <t>Rotación Normal en Campaña Q4</t>
        </is>
      </c>
    </row>
    <row r="106" ht="20" customHeight="1">
      <c r="A106" s="54" t="inlineStr">
        <is>
          <t>AVAN0005</t>
        </is>
      </c>
      <c r="B106" s="29" t="inlineStr">
        <is>
          <t>FLORAMEC AVANCE, 5 L</t>
        </is>
      </c>
      <c r="C106" s="29" t="inlineStr">
        <is>
          <t>Garrafas 5L</t>
        </is>
      </c>
      <c r="D106" s="34" t="n">
        <v>2640</v>
      </c>
      <c r="E106" s="33" t="n">
        <v>528</v>
      </c>
      <c r="F106" s="33" t="n">
        <v>3736.49</v>
      </c>
      <c r="G106" s="33" t="n">
        <v>5040</v>
      </c>
      <c r="H106" s="34" t="n">
        <v>0</v>
      </c>
      <c r="I106" s="34" t="n">
        <v>0</v>
      </c>
      <c r="J106" s="33" t="n">
        <v>0</v>
      </c>
      <c r="K106" s="36" t="inlineStr">
        <is>
          <t>🟢 Alta Rotación (0-3M Nac)</t>
        </is>
      </c>
      <c r="L106" s="55" t="n">
        <v>2.233200185</v>
      </c>
      <c r="M106" s="55" t="n">
        <v>0</v>
      </c>
      <c r="N106" s="55" t="n">
        <v>0</v>
      </c>
      <c r="O106" s="29" t="inlineStr">
        <is>
          <t>Rotación Normal en Campaña Q4</t>
        </is>
      </c>
    </row>
    <row r="107" ht="20" customHeight="1">
      <c r="A107" s="51" t="inlineStr">
        <is>
          <t>B0005</t>
        </is>
      </c>
      <c r="B107" s="20" t="inlineStr">
        <is>
          <t>BOROCAL, 5 L</t>
        </is>
      </c>
      <c r="C107" s="20" t="inlineStr">
        <is>
          <t>Garrafas 5L</t>
        </is>
      </c>
      <c r="D107" s="25" t="n">
        <v>475</v>
      </c>
      <c r="E107" s="24" t="n">
        <v>95</v>
      </c>
      <c r="F107" s="24" t="n">
        <v>478.56</v>
      </c>
      <c r="G107" s="24" t="n">
        <v>435</v>
      </c>
      <c r="H107" s="25" t="n">
        <v>0</v>
      </c>
      <c r="I107" s="25" t="n">
        <v>0</v>
      </c>
      <c r="J107" s="24" t="n">
        <v>0</v>
      </c>
      <c r="K107" s="36" t="inlineStr">
        <is>
          <t>🟢 Alta Rotación (0-3M Nac)</t>
        </is>
      </c>
      <c r="L107" s="52" t="n">
        <v>0.992750935</v>
      </c>
      <c r="M107" s="52" t="n">
        <v>0</v>
      </c>
      <c r="N107" s="52" t="n">
        <v>0</v>
      </c>
      <c r="O107" s="20" t="inlineStr">
        <is>
          <t>Rotación Normal en Campaña Q4</t>
        </is>
      </c>
    </row>
    <row r="108" ht="20" customHeight="1">
      <c r="A108" s="54" t="inlineStr">
        <is>
          <t>BIO0005</t>
        </is>
      </c>
      <c r="B108" s="29" t="inlineStr">
        <is>
          <t>BIORAD-20, 5L</t>
        </is>
      </c>
      <c r="C108" s="29" t="inlineStr">
        <is>
          <t>Garrafas 5L</t>
        </is>
      </c>
      <c r="D108" s="34" t="n">
        <v>1840</v>
      </c>
      <c r="E108" s="33" t="n">
        <v>368</v>
      </c>
      <c r="F108" s="33" t="n">
        <v>2429.14</v>
      </c>
      <c r="G108" s="33" t="n">
        <v>945</v>
      </c>
      <c r="H108" s="34" t="n">
        <v>0</v>
      </c>
      <c r="I108" s="34" t="n">
        <v>0</v>
      </c>
      <c r="J108" s="33" t="n">
        <v>0</v>
      </c>
      <c r="K108" s="36" t="inlineStr">
        <is>
          <t>🟢 Alta Rotación (0-3M Nac)</t>
        </is>
      </c>
      <c r="L108" s="55" t="n">
        <v>0.732839327</v>
      </c>
      <c r="M108" s="55" t="n">
        <v>0</v>
      </c>
      <c r="N108" s="55" t="n">
        <v>0</v>
      </c>
      <c r="O108" s="29" t="inlineStr">
        <is>
          <t>Rotación Normal en Campaña Q4</t>
        </is>
      </c>
    </row>
    <row r="109" ht="20" customHeight="1">
      <c r="A109" s="51" t="inlineStr">
        <is>
          <t>HST0005</t>
        </is>
      </c>
      <c r="B109" s="20" t="inlineStr">
        <is>
          <t>HIDROSTRESS-40, 5 L</t>
        </is>
      </c>
      <c r="C109" s="20" t="inlineStr">
        <is>
          <t>Garrafas 5L</t>
        </is>
      </c>
      <c r="D109" s="25" t="n">
        <v>160</v>
      </c>
      <c r="E109" s="24" t="n">
        <v>32</v>
      </c>
      <c r="F109" s="24" t="n">
        <v>200.51</v>
      </c>
      <c r="G109" s="24" t="n">
        <v>675</v>
      </c>
      <c r="H109" s="25" t="n">
        <v>0</v>
      </c>
      <c r="I109" s="25" t="n">
        <v>0</v>
      </c>
      <c r="J109" s="24" t="n">
        <v>0</v>
      </c>
      <c r="K109" s="36" t="inlineStr">
        <is>
          <t>🟢 Alta Rotación (0-3M Nac)</t>
        </is>
      </c>
      <c r="L109" s="52" t="n">
        <v>2.864954856</v>
      </c>
      <c r="M109" s="52" t="n">
        <v>0</v>
      </c>
      <c r="N109" s="52" t="n">
        <v>0</v>
      </c>
      <c r="O109" s="20" t="inlineStr">
        <is>
          <t>Rotación Normal en Campaña Q4</t>
        </is>
      </c>
    </row>
    <row r="110" ht="20" customHeight="1">
      <c r="A110" s="54" t="inlineStr">
        <is>
          <t>PHD0005</t>
        </is>
      </c>
      <c r="B110" s="29" t="inlineStr">
        <is>
          <t>PH-DOWNER, 5 L</t>
        </is>
      </c>
      <c r="C110" s="29" t="inlineStr">
        <is>
          <t>Garrafas 5L</t>
        </is>
      </c>
      <c r="D110" s="34" t="n">
        <v>80</v>
      </c>
      <c r="E110" s="33" t="n">
        <v>16</v>
      </c>
      <c r="F110" s="33" t="n">
        <v>104.81</v>
      </c>
      <c r="G110" s="33" t="n">
        <v>630</v>
      </c>
      <c r="H110" s="34" t="n">
        <v>0</v>
      </c>
      <c r="I110" s="34" t="n">
        <v>0</v>
      </c>
      <c r="J110" s="33" t="n">
        <v>0</v>
      </c>
      <c r="K110" s="36" t="inlineStr">
        <is>
          <t>🟢 Alta Rotación (0-3M Nac)</t>
        </is>
      </c>
      <c r="L110" s="55" t="n">
        <v>1.541953282</v>
      </c>
      <c r="M110" s="55" t="n">
        <v>0</v>
      </c>
      <c r="N110" s="55" t="n">
        <v>0</v>
      </c>
      <c r="O110" s="29" t="inlineStr">
        <is>
          <t>Rotación Normal en Campaña Q4</t>
        </is>
      </c>
    </row>
    <row r="111" ht="20" customHeight="1">
      <c r="A111" s="51" t="inlineStr">
        <is>
          <t>B0001</t>
        </is>
      </c>
      <c r="B111" s="20" t="inlineStr">
        <is>
          <t>BOROCAL,1 L</t>
        </is>
      </c>
      <c r="C111" s="20" t="inlineStr">
        <is>
          <t>Botellas 1L</t>
        </is>
      </c>
      <c r="D111" s="25" t="n">
        <v>48</v>
      </c>
      <c r="E111" s="24" t="n">
        <v>48</v>
      </c>
      <c r="F111" s="24" t="n">
        <v>54.24</v>
      </c>
      <c r="G111" s="24" t="n">
        <v>202</v>
      </c>
      <c r="H111" s="25" t="n">
        <v>0</v>
      </c>
      <c r="I111" s="25" t="n">
        <v>0</v>
      </c>
      <c r="J111" s="24" t="n">
        <v>0</v>
      </c>
      <c r="K111" s="36" t="inlineStr">
        <is>
          <t>🟢 Alta Rotación (0-3M Nac)</t>
        </is>
      </c>
      <c r="L111" s="52" t="n">
        <v>1.497879497</v>
      </c>
      <c r="M111" s="52" t="n">
        <v>0</v>
      </c>
      <c r="N111" s="52" t="n">
        <v>0</v>
      </c>
      <c r="O111" s="20" t="inlineStr">
        <is>
          <t>Rotación Normal en Campaña Q4</t>
        </is>
      </c>
    </row>
    <row r="112" ht="20" customHeight="1">
      <c r="A112" s="54" t="inlineStr">
        <is>
          <t>SS0020</t>
        </is>
      </c>
      <c r="B112" s="29" t="inlineStr">
        <is>
          <t>SAL-WAX-Ca sólido, 20 KG</t>
        </is>
      </c>
      <c r="C112" s="29" t="inlineStr">
        <is>
          <t>Bolsas 20 Kg</t>
        </is>
      </c>
      <c r="D112" s="34" t="n">
        <v>6240</v>
      </c>
      <c r="E112" s="33" t="n">
        <v>312</v>
      </c>
      <c r="F112" s="33" t="n">
        <v>7900.67</v>
      </c>
      <c r="G112" s="33" t="n">
        <v>11600</v>
      </c>
      <c r="H112" s="34" t="n">
        <v>0</v>
      </c>
      <c r="I112" s="34" t="n">
        <v>0</v>
      </c>
      <c r="J112" s="33" t="n">
        <v>0</v>
      </c>
      <c r="K112" s="36" t="inlineStr">
        <is>
          <t>🟢 Alta Rotación (0-3M Nac)</t>
        </is>
      </c>
      <c r="L112" s="55" t="n">
        <v>1.105963041</v>
      </c>
      <c r="M112" s="55" t="n">
        <v>0</v>
      </c>
      <c r="N112" s="55" t="n">
        <v>0</v>
      </c>
      <c r="O112" s="29" t="inlineStr">
        <is>
          <t>Rotación Normal en Campaña Q4</t>
        </is>
      </c>
    </row>
    <row r="113" ht="20" customHeight="1">
      <c r="A113" s="51" t="inlineStr">
        <is>
          <t>BIO1000</t>
        </is>
      </c>
      <c r="B113" s="20" t="inlineStr">
        <is>
          <t>BIORAD-20, 1000 L</t>
        </is>
      </c>
      <c r="C113" s="20" t="inlineStr">
        <is>
          <t>Depósito 1000 L</t>
        </is>
      </c>
      <c r="D113" s="25" t="n">
        <v>3000</v>
      </c>
      <c r="E113" s="24" t="n">
        <v>3</v>
      </c>
      <c r="F113" s="24" t="n">
        <v>8973.389999999999</v>
      </c>
      <c r="G113" s="24" t="n">
        <v>0</v>
      </c>
      <c r="H113" s="25" t="n">
        <v>0</v>
      </c>
      <c r="I113" s="25" t="n">
        <v>0</v>
      </c>
      <c r="J113" s="24" t="n">
        <v>0</v>
      </c>
      <c r="K113" s="36" t="inlineStr">
        <is>
          <t>🟢 Alta Rotación (0-3M Nac)</t>
        </is>
      </c>
      <c r="L113" s="52" t="n">
        <v>0.810403364</v>
      </c>
      <c r="M113" s="52" t="n">
        <v>0</v>
      </c>
      <c r="N113" s="52" t="n">
        <v>0</v>
      </c>
      <c r="O113" s="20" t="inlineStr">
        <is>
          <t>Rotación Normal en Campaña Q4</t>
        </is>
      </c>
    </row>
    <row r="114" ht="20" customHeight="1">
      <c r="A114" s="54" t="inlineStr">
        <is>
          <t>CPLUS0020</t>
        </is>
      </c>
      <c r="B114" s="29" t="inlineStr">
        <is>
          <t>CALCIPLUS, 20 L</t>
        </is>
      </c>
      <c r="C114" s="29" t="inlineStr">
        <is>
          <t>Garrafas 20L</t>
        </is>
      </c>
      <c r="D114" s="34" t="n">
        <v>9220</v>
      </c>
      <c r="E114" s="33" t="n">
        <v>461</v>
      </c>
      <c r="F114" s="33" t="n">
        <v>10885.95</v>
      </c>
      <c r="G114" s="33" t="n">
        <v>10500</v>
      </c>
      <c r="H114" s="34" t="n">
        <v>0</v>
      </c>
      <c r="I114" s="34" t="n">
        <v>0</v>
      </c>
      <c r="J114" s="33" t="n">
        <v>0</v>
      </c>
      <c r="K114" s="36" t="inlineStr">
        <is>
          <t>🟢 Alta Rotación (0-3M Nac)</t>
        </is>
      </c>
      <c r="L114" s="55" t="n">
        <v>0.804715192</v>
      </c>
      <c r="M114" s="55" t="n">
        <v>0</v>
      </c>
      <c r="N114" s="55" t="n">
        <v>0</v>
      </c>
      <c r="O114" s="29" t="inlineStr">
        <is>
          <t>Rotación Normal en Campaña Q4</t>
        </is>
      </c>
    </row>
    <row r="115" ht="20" customHeight="1">
      <c r="A115" s="51" t="inlineStr">
        <is>
          <t>AGZNP0005</t>
        </is>
      </c>
      <c r="B115" s="20" t="inlineStr">
        <is>
          <t>AGROXILATO ZN PLUS, 5 KG</t>
        </is>
      </c>
      <c r="C115" s="20" t="inlineStr">
        <is>
          <t>Bolsas 5 Kg</t>
        </is>
      </c>
      <c r="D115" s="25" t="n">
        <v>705</v>
      </c>
      <c r="E115" s="24" t="n">
        <v>141</v>
      </c>
      <c r="F115" s="24" t="n">
        <v>824.51</v>
      </c>
      <c r="G115" s="24" t="n">
        <v>7695</v>
      </c>
      <c r="H115" s="25" t="n">
        <v>0</v>
      </c>
      <c r="I115" s="25" t="n">
        <v>0</v>
      </c>
      <c r="J115" s="24" t="n">
        <v>0</v>
      </c>
      <c r="K115" s="36" t="inlineStr">
        <is>
          <t>🟢 Alta Rotación (0-3M Nac)</t>
        </is>
      </c>
      <c r="L115" s="52" t="n">
        <v>1.827109111</v>
      </c>
      <c r="M115" s="52" t="n">
        <v>0</v>
      </c>
      <c r="N115" s="52" t="n">
        <v>0</v>
      </c>
      <c r="O115" s="20" t="inlineStr">
        <is>
          <t>Rotación Normal en Campaña Q4</t>
        </is>
      </c>
    </row>
    <row r="116" ht="20" customHeight="1">
      <c r="A116" s="54" t="inlineStr">
        <is>
          <t>CALCIO0005</t>
        </is>
      </c>
      <c r="B116" s="29" t="inlineStr">
        <is>
          <t>CALCIAMEC, 5 KG</t>
        </is>
      </c>
      <c r="C116" s="29" t="inlineStr">
        <is>
          <t>Bolsas 5 Kg</t>
        </is>
      </c>
      <c r="D116" s="34" t="n">
        <v>1730</v>
      </c>
      <c r="E116" s="33" t="n">
        <v>346</v>
      </c>
      <c r="F116" s="33" t="n">
        <v>2303.02</v>
      </c>
      <c r="G116" s="33" t="n">
        <v>890</v>
      </c>
      <c r="H116" s="34" t="n">
        <v>0</v>
      </c>
      <c r="I116" s="34" t="n">
        <v>0</v>
      </c>
      <c r="J116" s="33" t="n">
        <v>0</v>
      </c>
      <c r="K116" s="36" t="inlineStr">
        <is>
          <t>🟢 Alta Rotación (0-3M Nac)</t>
        </is>
      </c>
      <c r="L116" s="55" t="n">
        <v>1.568672415</v>
      </c>
      <c r="M116" s="55" t="n">
        <v>0</v>
      </c>
      <c r="N116" s="55" t="n">
        <v>0</v>
      </c>
      <c r="O116" s="29" t="inlineStr">
        <is>
          <t>Rotación Normal en Campaña Q4</t>
        </is>
      </c>
    </row>
    <row r="117" ht="20" customHeight="1">
      <c r="A117" s="51" t="inlineStr">
        <is>
          <t>ANAE0005</t>
        </is>
      </c>
      <c r="B117" s="20" t="inlineStr">
        <is>
          <t>ALCAPLANT NEW AE, 5 KG</t>
        </is>
      </c>
      <c r="C117" s="20" t="inlineStr">
        <is>
          <t>Bolsas 5 Kg</t>
        </is>
      </c>
      <c r="D117" s="25" t="n">
        <v>10760</v>
      </c>
      <c r="E117" s="24" t="n">
        <v>2152</v>
      </c>
      <c r="F117" s="24" t="n">
        <v>11049</v>
      </c>
      <c r="G117" s="24" t="n">
        <v>16800</v>
      </c>
      <c r="H117" s="25" t="n">
        <v>0</v>
      </c>
      <c r="I117" s="25" t="n">
        <v>0</v>
      </c>
      <c r="J117" s="24" t="n">
        <v>0</v>
      </c>
      <c r="K117" s="36" t="inlineStr">
        <is>
          <t>🟢 Alta Rotación (0-3M Nac)</t>
        </is>
      </c>
      <c r="L117" s="52" t="n">
        <v>0.438175951</v>
      </c>
      <c r="M117" s="52" t="n">
        <v>0</v>
      </c>
      <c r="N117" s="52" t="n">
        <v>0</v>
      </c>
      <c r="O117" s="20" t="inlineStr">
        <is>
          <t>Rotación Normal en Campaña Q4</t>
        </is>
      </c>
    </row>
    <row r="118" ht="20" customHeight="1">
      <c r="A118" s="54" t="inlineStr">
        <is>
          <t>PREZN0005</t>
        </is>
      </c>
      <c r="B118" s="29" t="inlineStr">
        <is>
          <t>PREZINC, 5 kg</t>
        </is>
      </c>
      <c r="C118" s="29" t="inlineStr">
        <is>
          <t>Bolsas 5 Kg</t>
        </is>
      </c>
      <c r="D118" s="34" t="n">
        <v>140</v>
      </c>
      <c r="E118" s="33" t="n">
        <v>28</v>
      </c>
      <c r="F118" s="33" t="n">
        <v>2603.72</v>
      </c>
      <c r="G118" s="33" t="n">
        <v>3240</v>
      </c>
      <c r="H118" s="34" t="n">
        <v>0</v>
      </c>
      <c r="I118" s="34" t="n">
        <v>0</v>
      </c>
      <c r="J118" s="33" t="n">
        <v>0</v>
      </c>
      <c r="K118" s="36" t="inlineStr">
        <is>
          <t>🟢 Alta Rotación (0-3M Nac)</t>
        </is>
      </c>
      <c r="L118" s="55" t="n">
        <v>1.201215013</v>
      </c>
      <c r="M118" s="55" t="n">
        <v>0</v>
      </c>
      <c r="N118" s="55" t="n">
        <v>0</v>
      </c>
      <c r="O118" s="29" t="inlineStr">
        <is>
          <t>Rotación Normal en Campaña Q4</t>
        </is>
      </c>
    </row>
    <row r="119" ht="20" customHeight="1">
      <c r="A119" s="51" t="inlineStr">
        <is>
          <t>C-MB0005</t>
        </is>
      </c>
      <c r="B119" s="20" t="inlineStr">
        <is>
          <t>CODIFOL-MB</t>
        </is>
      </c>
      <c r="C119" s="20" t="inlineStr">
        <is>
          <t>Garrafas 5L</t>
        </is>
      </c>
      <c r="D119" s="25" t="n">
        <v>940</v>
      </c>
      <c r="E119" s="24" t="n">
        <v>188</v>
      </c>
      <c r="F119" s="24" t="n">
        <v>1435.96</v>
      </c>
      <c r="G119" s="24" t="n">
        <v>2885</v>
      </c>
      <c r="H119" s="25" t="n">
        <v>0</v>
      </c>
      <c r="I119" s="25" t="n">
        <v>0</v>
      </c>
      <c r="J119" s="24" t="n">
        <v>0</v>
      </c>
      <c r="K119" s="36" t="inlineStr">
        <is>
          <t>🟢 Alta Rotación (0-3M Nac)</t>
        </is>
      </c>
      <c r="L119" s="52" t="n">
        <v>3.871111145</v>
      </c>
      <c r="M119" s="52" t="n">
        <v>0</v>
      </c>
      <c r="N119" s="52" t="n">
        <v>0</v>
      </c>
      <c r="O119" s="20" t="inlineStr">
        <is>
          <t>Rotación Normal en Campaña Q4</t>
        </is>
      </c>
    </row>
    <row r="120" ht="20" customHeight="1">
      <c r="A120" s="54" t="inlineStr">
        <is>
          <t>TRI0001</t>
        </is>
      </c>
      <c r="B120" s="29" t="inlineStr">
        <is>
          <t>TRIFENO-94, 1 L</t>
        </is>
      </c>
      <c r="C120" s="29" t="inlineStr">
        <is>
          <t>Botellas 1L</t>
        </is>
      </c>
      <c r="D120" s="34" t="n">
        <v>47</v>
      </c>
      <c r="E120" s="33" t="n">
        <v>47</v>
      </c>
      <c r="F120" s="33" t="n">
        <v>187.47</v>
      </c>
      <c r="G120" s="33" t="n">
        <v>387</v>
      </c>
      <c r="H120" s="34" t="n">
        <v>0</v>
      </c>
      <c r="I120" s="34" t="n">
        <v>0</v>
      </c>
      <c r="J120" s="33" t="n">
        <v>0</v>
      </c>
      <c r="K120" s="36" t="inlineStr">
        <is>
          <t>🟢 Alta Rotación (0-3M Nac)</t>
        </is>
      </c>
      <c r="L120" s="55" t="n">
        <v>2.4359826</v>
      </c>
      <c r="M120" s="55" t="n">
        <v>0</v>
      </c>
      <c r="N120" s="55" t="n">
        <v>0</v>
      </c>
      <c r="O120" s="29" t="inlineStr">
        <is>
          <t>Rotación Normal en Campaña Q4</t>
        </is>
      </c>
    </row>
    <row r="121" ht="20" customHeight="1">
      <c r="A121" s="51" t="inlineStr">
        <is>
          <t>AGZ-M0001</t>
        </is>
      </c>
      <c r="B121" s="20" t="inlineStr">
        <is>
          <t>AGROXILATO-ZN-MN, 1 KG</t>
        </is>
      </c>
      <c r="C121" s="20" t="inlineStr">
        <is>
          <t>Bolsas 1 Kg</t>
        </is>
      </c>
      <c r="D121" s="25" t="n">
        <v>75</v>
      </c>
      <c r="E121" s="24" t="n">
        <v>75</v>
      </c>
      <c r="F121" s="24" t="n">
        <v>117.39</v>
      </c>
      <c r="G121" s="24" t="n">
        <v>0</v>
      </c>
      <c r="H121" s="25" t="n">
        <v>0</v>
      </c>
      <c r="I121" s="25" t="n">
        <v>0</v>
      </c>
      <c r="J121" s="24" t="n">
        <v>0</v>
      </c>
      <c r="K121" s="36" t="inlineStr">
        <is>
          <t>🟢 Alta Rotación (0-3M Nac)</t>
        </is>
      </c>
      <c r="L121" s="52" t="n">
        <v>5.153120375</v>
      </c>
      <c r="M121" s="52" t="n">
        <v>0</v>
      </c>
      <c r="N121" s="52" t="n">
        <v>0</v>
      </c>
      <c r="O121" s="20" t="inlineStr">
        <is>
          <t>Rotación Normal en Campaña Q4</t>
        </is>
      </c>
    </row>
    <row r="122" ht="20" customHeight="1">
      <c r="A122" s="54" t="inlineStr">
        <is>
          <t>CPLUS1000</t>
        </is>
      </c>
      <c r="B122" s="29" t="inlineStr">
        <is>
          <t>CALCIPLUS, 1000 L</t>
        </is>
      </c>
      <c r="C122" s="29" t="inlineStr">
        <is>
          <t>Depósito 1000 L</t>
        </is>
      </c>
      <c r="D122" s="34" t="n">
        <v>1000</v>
      </c>
      <c r="E122" s="33" t="n">
        <v>1</v>
      </c>
      <c r="F122" s="33" t="n">
        <v>3950.33</v>
      </c>
      <c r="G122" s="33" t="n">
        <v>2000</v>
      </c>
      <c r="H122" s="34" t="n">
        <v>0</v>
      </c>
      <c r="I122" s="34" t="n">
        <v>0</v>
      </c>
      <c r="J122" s="33" t="n">
        <v>0</v>
      </c>
      <c r="K122" s="36" t="inlineStr">
        <is>
          <t>🟢 Alta Rotación (0-3M Nac)</t>
        </is>
      </c>
      <c r="L122" s="55" t="n">
        <v>0.67950347</v>
      </c>
      <c r="M122" s="55" t="n">
        <v>0</v>
      </c>
      <c r="N122" s="55" t="n">
        <v>0</v>
      </c>
      <c r="O122" s="29" t="inlineStr">
        <is>
          <t>Rotación Normal en Campaña Q4</t>
        </is>
      </c>
    </row>
    <row r="123" ht="20" customHeight="1">
      <c r="A123" s="51" t="inlineStr">
        <is>
          <t>JF0020</t>
        </is>
      </c>
      <c r="B123" s="20" t="inlineStr">
        <is>
          <t>DRAGO-FOS, 20 L</t>
        </is>
      </c>
      <c r="C123" s="20" t="inlineStr">
        <is>
          <t>Garrafas 20L</t>
        </is>
      </c>
      <c r="D123" s="25" t="n">
        <v>1200</v>
      </c>
      <c r="E123" s="24" t="n">
        <v>60</v>
      </c>
      <c r="F123" s="24" t="n">
        <v>2683.19</v>
      </c>
      <c r="G123" s="24" t="n">
        <v>4080</v>
      </c>
      <c r="H123" s="25" t="n">
        <v>0</v>
      </c>
      <c r="I123" s="25" t="n">
        <v>0</v>
      </c>
      <c r="J123" s="24" t="n">
        <v>0</v>
      </c>
      <c r="K123" s="36" t="inlineStr">
        <is>
          <t>🟢 Alta Rotación (0-3M Nac)</t>
        </is>
      </c>
      <c r="L123" s="52" t="n">
        <v>0.816114042</v>
      </c>
      <c r="M123" s="52" t="n">
        <v>0</v>
      </c>
      <c r="N123" s="52" t="n">
        <v>0</v>
      </c>
      <c r="O123" s="20" t="inlineStr">
        <is>
          <t>Rotación Normal en Campaña Q4</t>
        </is>
      </c>
    </row>
    <row r="124" ht="20" customHeight="1">
      <c r="A124" s="54" t="inlineStr">
        <is>
          <t>AGXKC0020</t>
        </is>
      </c>
      <c r="B124" s="29" t="inlineStr">
        <is>
          <t>AGROXILATO-COMPLET, 20 L</t>
        </is>
      </c>
      <c r="C124" s="29" t="inlineStr">
        <is>
          <t>Garrafas 20L</t>
        </is>
      </c>
      <c r="D124" s="34" t="n">
        <v>1040</v>
      </c>
      <c r="E124" s="33" t="n">
        <v>52</v>
      </c>
      <c r="F124" s="33" t="n">
        <v>1341.59</v>
      </c>
      <c r="G124" s="33" t="n">
        <v>800</v>
      </c>
      <c r="H124" s="34" t="n">
        <v>0</v>
      </c>
      <c r="I124" s="34" t="n">
        <v>0</v>
      </c>
      <c r="J124" s="33" t="n">
        <v>0</v>
      </c>
      <c r="K124" s="36" t="inlineStr">
        <is>
          <t>🟢 Alta Rotación (0-3M Nac)</t>
        </is>
      </c>
      <c r="L124" s="55" t="n">
        <v>1.093907371</v>
      </c>
      <c r="M124" s="55" t="n">
        <v>0</v>
      </c>
      <c r="N124" s="55" t="n">
        <v>0</v>
      </c>
      <c r="O124" s="29" t="inlineStr">
        <is>
          <t>Rotación Normal en Campaña Q4</t>
        </is>
      </c>
    </row>
    <row r="125" ht="26" customHeight="1">
      <c r="A125" s="37" t="inlineStr">
        <is>
          <t>TOTAL ROTACIÓN PLANTA (MERCADO NACIONAL)</t>
        </is>
      </c>
      <c r="B125" s="38" t="n"/>
      <c r="C125" s="38" t="n"/>
      <c r="D125" s="39">
        <f>SUM(D9:D124)</f>
        <v/>
      </c>
      <c r="E125" s="39">
        <f>SUM(E9:E124)</f>
        <v/>
      </c>
      <c r="F125" s="39">
        <f>SUM(F9:F124)</f>
        <v/>
      </c>
      <c r="G125" s="39">
        <f>SUM(G9:G124)</f>
        <v/>
      </c>
      <c r="H125" s="39">
        <f>SUM(H9:H124)</f>
        <v/>
      </c>
      <c r="I125" s="39">
        <f>SUM(I9:I124)</f>
        <v/>
      </c>
      <c r="J125" s="39">
        <f>SUM(J9:J124)</f>
        <v/>
      </c>
      <c r="K125" s="40" t="inlineStr"/>
      <c r="L125" s="40" t="inlineStr"/>
      <c r="M125" s="59">
        <f>SUM(M9:M124)</f>
        <v/>
      </c>
      <c r="N125" s="59">
        <f>SUM(N9:N124)</f>
        <v/>
      </c>
      <c r="O125" s="60" t="inlineStr"/>
    </row>
  </sheetData>
  <autoFilter ref="A8:O124"/>
  <mergeCells count="15">
    <mergeCell ref="M5:P5"/>
    <mergeCell ref="A5:D5"/>
    <mergeCell ref="M4:P4"/>
    <mergeCell ref="D7:E7"/>
    <mergeCell ref="A125:C125"/>
    <mergeCell ref="A1:P1"/>
    <mergeCell ref="A4:D4"/>
    <mergeCell ref="H7:O7"/>
    <mergeCell ref="E4:H4"/>
    <mergeCell ref="I4:L4"/>
    <mergeCell ref="F7:G7"/>
    <mergeCell ref="A7:C7"/>
    <mergeCell ref="E5:H5"/>
    <mergeCell ref="I5:L5"/>
    <mergeCell ref="A2:P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2026-10-29T06:32:07Z</dcterms:created>
  <dcterms:modified xmlns:dcterms="http://purl.org/dc/terms/" xmlns:xsi="http://www.w3.org/2001/XMLSchema-instance" xsi:type="dcterms:W3CDTF">2026-10-29T06:32:08Z</dcterms:modified>
</cp:coreProperties>
</file>