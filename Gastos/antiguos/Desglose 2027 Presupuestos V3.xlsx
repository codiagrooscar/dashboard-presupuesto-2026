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 2027 Desglose V3" sheetId="1" state="visible" r:id="rId1"/>
    <sheet xmlns:r="http://schemas.openxmlformats.org/officeDocument/2006/relationships" name="Resumen Ejecutivo y KPIs" sheetId="2" state="visible" r:id="rId2"/>
    <sheet xmlns:r="http://schemas.openxmlformats.org/officeDocument/2006/relationships" name="Comparativa Cuentas PGC" sheetId="3" state="visible" r:id="rId3"/>
    <sheet xmlns:r="http://schemas.openxmlformats.org/officeDocument/2006/relationships" name="Detalle Departamentos 2027" sheetId="4" state="visible" r:id="rId4"/>
    <sheet xmlns:r="http://schemas.openxmlformats.org/officeDocument/2006/relationships" name="Inmovilizaciones y Crite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€;[Red]-#,##0.00 €;&quot;-&quot;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9"/>
    </font>
    <font>
      <name val="Calibri"/>
      <b val="1"/>
      <color rgb="001E3A8A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i val="1"/>
      <color rgb="00334155"/>
      <sz val="8"/>
    </font>
    <font>
      <name val="Calibri"/>
      <b val="1"/>
      <color rgb="00166534"/>
      <sz val="11"/>
    </font>
    <font>
      <name val="Calibri"/>
      <b val="1"/>
      <color rgb="001E3A8A"/>
      <sz val="11"/>
    </font>
    <font>
      <name val="Calibri"/>
      <b val="1"/>
      <color rgb="001E3A8A"/>
      <sz val="9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164" fontId="3" fillId="3" borderId="1" applyAlignment="1" pivotButton="0" quotePrefix="0" xfId="0">
      <alignment horizontal="right"/>
    </xf>
    <xf numFmtId="0" fontId="4" fillId="4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164" fontId="6" fillId="0" borderId="2" applyAlignment="1" pivotButton="0" quotePrefix="0" xfId="0">
      <alignment horizontal="right"/>
    </xf>
    <xf numFmtId="0" fontId="7" fillId="0" borderId="2" pivotButton="0" quotePrefix="0" xfId="0"/>
    <xf numFmtId="0" fontId="4" fillId="4" borderId="2" applyAlignment="1" pivotButton="0" quotePrefix="0" xfId="0">
      <alignment horizontal="center" vertical="center"/>
    </xf>
    <xf numFmtId="164" fontId="5" fillId="0" borderId="2" pivotButton="0" quotePrefix="0" xfId="0"/>
    <xf numFmtId="165" fontId="5" fillId="0" borderId="2" pivotButton="0" quotePrefix="0" xfId="0"/>
    <xf numFmtId="0" fontId="6" fillId="5" borderId="2" pivotButton="0" quotePrefix="0" xfId="0"/>
    <xf numFmtId="164" fontId="6" fillId="5" borderId="2" pivotButton="0" quotePrefix="0" xfId="0"/>
    <xf numFmtId="165" fontId="6" fillId="5" borderId="2" pivotButton="0" quotePrefix="0" xfId="0"/>
    <xf numFmtId="0" fontId="7" fillId="5" borderId="2" pivotButton="0" quotePrefix="0" xfId="0"/>
    <xf numFmtId="0" fontId="8" fillId="6" borderId="2" pivotButton="0" quotePrefix="0" xfId="0"/>
    <xf numFmtId="164" fontId="8" fillId="6" borderId="2" pivotButton="0" quotePrefix="0" xfId="0"/>
    <xf numFmtId="165" fontId="8" fillId="6" borderId="2" pivotButton="0" quotePrefix="0" xfId="0"/>
    <xf numFmtId="0" fontId="7" fillId="6" borderId="2" pivotButton="0" quotePrefix="0" xfId="0"/>
    <xf numFmtId="0" fontId="9" fillId="0" borderId="0" pivotButton="0" quotePrefix="0" xfId="0"/>
    <xf numFmtId="0" fontId="6" fillId="6" borderId="2" pivotButton="0" quotePrefix="0" xfId="0"/>
    <xf numFmtId="164" fontId="0" fillId="6" borderId="2" pivotButton="0" quotePrefix="0" xfId="0"/>
    <xf numFmtId="165" fontId="0" fillId="6" borderId="2" pivotButton="0" quotePrefix="0" xfId="0"/>
    <xf numFmtId="0" fontId="6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0" fontId="10" fillId="3" borderId="2" applyAlignment="1" pivotButton="0" quotePrefix="0" xfId="0">
      <alignment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right"/>
    </xf>
    <xf numFmtId="164" fontId="6" fillId="0" borderId="2" pivotButton="0" quotePrefix="0" xfId="0"/>
    <xf numFmtId="0" fontId="11" fillId="6" borderId="1" pivotButton="0" quotePrefix="0" xfId="0"/>
    <xf numFmtId="0" fontId="0" fillId="6" borderId="1" pivotButton="0" quotePrefix="0" xfId="0"/>
    <xf numFmtId="164" fontId="8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206"/>
  <sheetViews>
    <sheetView showGridLines="1" workbookViewId="0">
      <pane xSplit="10" ySplit="4" topLeftCell="K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10" customWidth="1" min="3" max="3"/>
    <col width="24" customWidth="1" min="4" max="4"/>
    <col width="28" customWidth="1" min="5" max="5"/>
    <col width="28" customWidth="1" min="6" max="6"/>
    <col width="35" customWidth="1" min="7" max="7"/>
    <col width="30" customWidth="1" min="8" max="8"/>
    <col width="38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6" customWidth="1" min="23" max="23"/>
    <col width="70" customWidth="1" min="24" max="24"/>
  </cols>
  <sheetData>
    <row r="1" ht="28" customHeight="1">
      <c r="B1" s="1" t="inlineStr">
        <is>
          <t>CODIAGRO - DESGLOSE PRESUPUESTARIO 2027 POR CUENTA CONTABLE (VERSIÓN DEFINITIVA V3)</t>
        </is>
      </c>
    </row>
    <row r="2" ht="20" customHeight="1">
      <c r="B2" s="2" t="inlineStr">
        <is>
          <t>Periodo: 2027 | Presupuestos Definitivos V3 (Salarios 1,806 M€, SS 420k €, Compras, Marketing V5, Mantenimiento, Regulatory, Tte neto exportación)</t>
        </is>
      </c>
    </row>
    <row r="3" ht="22" customHeight="1">
      <c r="B3" s="3" t="inlineStr">
        <is>
          <t>RESULTADO NETO CONSOLIDADO (Suma Álgebraica P&amp;L)</t>
        </is>
      </c>
      <c r="K3" s="4">
        <f>SUBTOTAL(9,K5:K206)</f>
        <v/>
      </c>
      <c r="L3" s="4">
        <f>SUBTOTAL(9,L5:L206)</f>
        <v/>
      </c>
      <c r="M3" s="4">
        <f>SUBTOTAL(9,M5:M206)</f>
        <v/>
      </c>
      <c r="N3" s="4">
        <f>SUBTOTAL(9,N5:N206)</f>
        <v/>
      </c>
      <c r="O3" s="4">
        <f>SUBTOTAL(9,O5:O206)</f>
        <v/>
      </c>
      <c r="P3" s="4">
        <f>SUBTOTAL(9,P5:P206)</f>
        <v/>
      </c>
      <c r="Q3" s="4">
        <f>SUBTOTAL(9,Q5:Q206)</f>
        <v/>
      </c>
      <c r="R3" s="4">
        <f>SUBTOTAL(9,R5:R206)</f>
        <v/>
      </c>
      <c r="S3" s="4">
        <f>SUBTOTAL(9,S5:S206)</f>
        <v/>
      </c>
      <c r="T3" s="4">
        <f>SUBTOTAL(9,T5:T206)</f>
        <v/>
      </c>
      <c r="U3" s="4">
        <f>SUBTOTAL(9,U5:U206)</f>
        <v/>
      </c>
      <c r="V3" s="4">
        <f>SUBTOTAL(9,V5:V206)</f>
        <v/>
      </c>
      <c r="W3" s="4">
        <f>SUBTOTAL(9,W5:W206)</f>
        <v/>
      </c>
    </row>
    <row r="4" ht="26" customHeight="1">
      <c r="B4" s="5" t="inlineStr">
        <is>
          <t>Periodo</t>
        </is>
      </c>
      <c r="C4" s="5" t="inlineStr">
        <is>
          <t>Empresa</t>
        </is>
      </c>
      <c r="D4" s="5" t="inlineStr">
        <is>
          <t>Nivel 1</t>
        </is>
      </c>
      <c r="E4" s="5" t="inlineStr">
        <is>
          <t>Nivel 2</t>
        </is>
      </c>
      <c r="F4" s="5" t="inlineStr">
        <is>
          <t>Nivel 3</t>
        </is>
      </c>
      <c r="G4" s="5" t="inlineStr">
        <is>
          <t>Nivel 4</t>
        </is>
      </c>
      <c r="H4" s="5" t="inlineStr">
        <is>
          <t>Nivel 5</t>
        </is>
      </c>
      <c r="I4" s="5" t="inlineStr">
        <is>
          <t>Cuenta Contable</t>
        </is>
      </c>
      <c r="J4" s="5" t="inlineStr">
        <is>
          <t>Grupo Ext Item</t>
        </is>
      </c>
      <c r="K4" s="5" t="inlineStr">
        <is>
          <t>Ene 2027</t>
        </is>
      </c>
      <c r="L4" s="5" t="inlineStr">
        <is>
          <t>Feb 2027</t>
        </is>
      </c>
      <c r="M4" s="5" t="inlineStr">
        <is>
          <t>Mar 2027</t>
        </is>
      </c>
      <c r="N4" s="5" t="inlineStr">
        <is>
          <t>Abr 2027</t>
        </is>
      </c>
      <c r="O4" s="5" t="inlineStr">
        <is>
          <t>May 2027</t>
        </is>
      </c>
      <c r="P4" s="5" t="inlineStr">
        <is>
          <t>Jun 2027</t>
        </is>
      </c>
      <c r="Q4" s="5" t="inlineStr">
        <is>
          <t>Jul 2027</t>
        </is>
      </c>
      <c r="R4" s="5" t="inlineStr">
        <is>
          <t>Ago 2027</t>
        </is>
      </c>
      <c r="S4" s="5" t="inlineStr">
        <is>
          <t>Sep 2027</t>
        </is>
      </c>
      <c r="T4" s="5" t="inlineStr">
        <is>
          <t>Oct 2027</t>
        </is>
      </c>
      <c r="U4" s="5" t="inlineStr">
        <is>
          <t>Nov 2027</t>
        </is>
      </c>
      <c r="V4" s="5" t="inlineStr">
        <is>
          <t>Dic 2027</t>
        </is>
      </c>
      <c r="W4" s="5" t="inlineStr">
        <is>
          <t>Total 2027</t>
        </is>
      </c>
      <c r="X4" s="5" t="inlineStr">
        <is>
          <t>Criterio Previsión / Supuestos V3</t>
        </is>
      </c>
    </row>
    <row r="5" ht="18" customHeight="1">
      <c r="B5" s="6" t="n">
        <v>2027</v>
      </c>
      <c r="C5" s="6" t="inlineStr">
        <is>
          <t>Codiagro</t>
        </is>
      </c>
      <c r="D5" s="7" t="inlineStr">
        <is>
          <t>RESULTADO DEL EJERCICIO</t>
        </is>
      </c>
      <c r="E5" s="7" t="inlineStr">
        <is>
          <t>RESULTADO ANTES DE IMPUESTOS</t>
        </is>
      </c>
      <c r="F5" s="7" t="inlineStr">
        <is>
          <t>RESULTADO DE LA EXPLOTACION</t>
        </is>
      </c>
      <c r="G5" s="7" t="inlineStr">
        <is>
          <t>1.- Importe neto de la cifra de negocios</t>
        </is>
      </c>
      <c r="H5" s="7" t="inlineStr">
        <is>
          <t>(700) Ventas</t>
        </is>
      </c>
      <c r="I5" s="7" t="inlineStr">
        <is>
          <t>700000000 - Ventas de mercaderías</t>
        </is>
      </c>
      <c r="J5" s="6" t="inlineStr">
        <is>
          <t>-</t>
        </is>
      </c>
      <c r="K5" s="8" t="n">
        <v>1143732.5</v>
      </c>
      <c r="L5" s="8" t="n">
        <v>1852641.27</v>
      </c>
      <c r="M5" s="8" t="n">
        <v>1777134.1</v>
      </c>
      <c r="N5" s="8" t="n">
        <v>1430751.84</v>
      </c>
      <c r="O5" s="8" t="n">
        <v>2349031.43</v>
      </c>
      <c r="P5" s="8" t="n">
        <v>2329483.75</v>
      </c>
      <c r="Q5" s="8" t="n">
        <v>1477982.31</v>
      </c>
      <c r="R5" s="8" t="n">
        <v>943221.27</v>
      </c>
      <c r="S5" s="8" t="n">
        <v>547896.1800000001</v>
      </c>
      <c r="T5" s="8" t="n">
        <v>916296.91</v>
      </c>
      <c r="U5" s="8" t="n">
        <v>1416366.81</v>
      </c>
      <c r="V5" s="8" t="n">
        <v>1553621.92</v>
      </c>
      <c r="W5" s="9">
        <f>SUM(K5:V5)</f>
        <v/>
      </c>
      <c r="X5" s="10" t="inlineStr">
        <is>
          <t>Presupuesto de Ventas 2027 oficial (17.738.160,29 € brutos) - Distribución según estacionalidad comercial.</t>
        </is>
      </c>
    </row>
    <row r="6" ht="18" customHeight="1">
      <c r="B6" s="6" t="n">
        <v>2027</v>
      </c>
      <c r="C6" s="6" t="inlineStr">
        <is>
          <t>Codiagro</t>
        </is>
      </c>
      <c r="D6" s="7" t="inlineStr">
        <is>
          <t>RESULTADO DEL EJERCICIO</t>
        </is>
      </c>
      <c r="E6" s="7" t="inlineStr">
        <is>
          <t>RESULTADO ANTES DE IMPUESTOS</t>
        </is>
      </c>
      <c r="F6" s="7" t="inlineStr">
        <is>
          <t>RESULTADO DE LA EXPLOTACION</t>
        </is>
      </c>
      <c r="G6" s="7" t="inlineStr">
        <is>
          <t>1.- Importe neto de la cifra de negocios</t>
        </is>
      </c>
      <c r="H6" s="7" t="inlineStr">
        <is>
          <t>(700) Ventas</t>
        </is>
      </c>
      <c r="I6" s="7" t="inlineStr">
        <is>
          <t>700000001 - VENTA MERCADERIAS POR ANTICIPO</t>
        </is>
      </c>
      <c r="J6" s="6" t="inlineStr">
        <is>
          <t>-</t>
        </is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9">
        <f>SUM(K6:V6)</f>
        <v/>
      </c>
      <c r="X6" s="10" t="inlineStr">
        <is>
          <t>Sin dotación presupuestada en 2027 por corresponder a partidas singulares/no recurrentes.</t>
        </is>
      </c>
    </row>
    <row r="7" ht="18" customHeight="1">
      <c r="B7" s="6" t="n">
        <v>2027</v>
      </c>
      <c r="C7" s="6" t="inlineStr">
        <is>
          <t>Codiagro</t>
        </is>
      </c>
      <c r="D7" s="7" t="inlineStr">
        <is>
          <t>RESULTADO DEL EJERCICIO</t>
        </is>
      </c>
      <c r="E7" s="7" t="inlineStr">
        <is>
          <t>RESULTADO ANTES DE IMPUESTOS</t>
        </is>
      </c>
      <c r="F7" s="7" t="inlineStr">
        <is>
          <t>RESULTADO DE LA EXPLOTACION</t>
        </is>
      </c>
      <c r="G7" s="7" t="inlineStr">
        <is>
          <t>1.- Importe neto de la cifra de negocios</t>
        </is>
      </c>
      <c r="H7" s="7" t="inlineStr">
        <is>
          <t>(700) Ventas</t>
        </is>
      </c>
      <c r="I7" s="7" t="inlineStr">
        <is>
          <t>700000624 - VENTA POR TRANSP. REP. AL CLIENTE</t>
        </is>
      </c>
      <c r="J7" s="6" t="inlineStr">
        <is>
          <t>-</t>
        </is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9">
        <f>SUM(K7:V7)</f>
        <v/>
      </c>
      <c r="X7" s="10" t="inlineStr">
        <is>
          <t>Sin dotación presupuestada en 2027 por corresponder a partidas singulares/no recurrentes.</t>
        </is>
      </c>
    </row>
    <row r="8" ht="18" customHeight="1">
      <c r="B8" s="6" t="n">
        <v>2027</v>
      </c>
      <c r="C8" s="6" t="inlineStr">
        <is>
          <t>Codiagro</t>
        </is>
      </c>
      <c r="D8" s="7" t="inlineStr">
        <is>
          <t>RESULTADO DEL EJERCICIO</t>
        </is>
      </c>
      <c r="E8" s="7" t="inlineStr">
        <is>
          <t>RESULTADO ANTES DE IMPUESTOS</t>
        </is>
      </c>
      <c r="F8" s="7" t="inlineStr">
        <is>
          <t>RESULTADO DE LA EXPLOTACION</t>
        </is>
      </c>
      <c r="G8" s="7" t="inlineStr">
        <is>
          <t>5.- Otros ingresos de explotación</t>
        </is>
      </c>
      <c r="H8" s="7" t="inlineStr">
        <is>
          <t>(700) Ventas</t>
        </is>
      </c>
      <c r="I8" s="7" t="inlineStr">
        <is>
          <t>700001624 - VENTA POR TRANSPORTE REP. AL CLIENTE DEFINITIVO</t>
        </is>
      </c>
      <c r="J8" s="6" t="inlineStr">
        <is>
          <t>-</t>
        </is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9">
        <f>SUM(K8:V8)</f>
        <v/>
      </c>
      <c r="X8" s="10" t="inlineStr">
        <is>
          <t>Neutralizado (0,00 €): El transporte de exportación (305.223,30 €) se repercute 100% al cliente en factura sin margen. Al excluirse el gasto en 624000002, se neutraliza el ingreso para reflejar el margen operativo real.</t>
        </is>
      </c>
    </row>
    <row r="9" ht="18" customHeight="1">
      <c r="B9" s="6" t="n">
        <v>2027</v>
      </c>
      <c r="C9" s="6" t="inlineStr">
        <is>
          <t>Codiagro</t>
        </is>
      </c>
      <c r="D9" s="7" t="inlineStr">
        <is>
          <t>RESULTADO DEL EJERCICIO</t>
        </is>
      </c>
      <c r="E9" s="7" t="inlineStr">
        <is>
          <t>RESULTADO ANTES DE IMPUESTOS</t>
        </is>
      </c>
      <c r="F9" s="7" t="inlineStr">
        <is>
          <t>RESULTADO DE LA EXPLOTACION</t>
        </is>
      </c>
      <c r="G9" s="7" t="inlineStr">
        <is>
          <t>1.- Importe neto de la cifra de negocios</t>
        </is>
      </c>
      <c r="H9" s="7" t="inlineStr">
        <is>
          <t>(700) Ventas</t>
        </is>
      </c>
      <c r="I9" s="7" t="inlineStr">
        <is>
          <t>700000769 - INGRESOS POR RETRASOS DE COBRO Y ACTUALIZACION</t>
        </is>
      </c>
      <c r="J9" s="6" t="inlineStr">
        <is>
          <t>-</t>
        </is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9">
        <f>SUM(K9:V9)</f>
        <v/>
      </c>
      <c r="X9" s="10" t="inlineStr">
        <is>
          <t>Sin dotación presupuestada en 2027 por corresponder a partidas singulares/no recurrentes.</t>
        </is>
      </c>
    </row>
    <row r="10" ht="18" customHeight="1">
      <c r="B10" s="6" t="n">
        <v>2027</v>
      </c>
      <c r="C10" s="6" t="inlineStr">
        <is>
          <t>Codiagro</t>
        </is>
      </c>
      <c r="D10" s="7" t="inlineStr">
        <is>
          <t>RESULTADO DEL EJERCICIO</t>
        </is>
      </c>
      <c r="E10" s="7" t="inlineStr">
        <is>
          <t>RESULTADO ANTES DE IMPUESTOS</t>
        </is>
      </c>
      <c r="F10" s="7" t="inlineStr">
        <is>
          <t>RESULTADO FINANCIERO</t>
        </is>
      </c>
      <c r="G10" s="7" t="inlineStr">
        <is>
          <t>14.- Ingresos financieros</t>
        </is>
      </c>
      <c r="H10" s="7" t="inlineStr">
        <is>
          <t>(700) Ventas</t>
        </is>
      </c>
      <c r="I10" s="7" t="inlineStr">
        <is>
          <t>700000769 - INGRESOS POR RETRASOS DE COBRO Y ACTUALIZACION</t>
        </is>
      </c>
      <c r="J10" s="6" t="inlineStr">
        <is>
          <t>-</t>
        </is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9">
        <f>SUM(K10:V10)</f>
        <v/>
      </c>
      <c r="X10" s="10" t="inlineStr">
        <is>
          <t>Sin dotación presupuestada en 2027 por corresponder a partidas singulares/no recurrentes.</t>
        </is>
      </c>
    </row>
    <row r="11" ht="18" customHeight="1">
      <c r="B11" s="6" t="n">
        <v>2027</v>
      </c>
      <c r="C11" s="6" t="inlineStr">
        <is>
          <t>Codiagro</t>
        </is>
      </c>
      <c r="D11" s="7" t="inlineStr">
        <is>
          <t>RESULTADO DEL EJERCICIO</t>
        </is>
      </c>
      <c r="E11" s="7" t="inlineStr">
        <is>
          <t>RESULTADO ANTES DE IMPUESTOS</t>
        </is>
      </c>
      <c r="F11" s="7" t="inlineStr">
        <is>
          <t>RESULTADO DE LA EXPLOTACION</t>
        </is>
      </c>
      <c r="G11" s="7" t="inlineStr">
        <is>
          <t>1.- Importe neto de la cifra de negocios</t>
        </is>
      </c>
      <c r="H11" s="7" t="inlineStr">
        <is>
          <t>(702) Ventas de productos semiterminados</t>
        </is>
      </c>
      <c r="I11" s="7" t="inlineStr">
        <is>
          <t>702000000 - Ventas de productos semiterminados</t>
        </is>
      </c>
      <c r="J11" s="6" t="inlineStr">
        <is>
          <t>-</t>
        </is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9">
        <f>SUM(K11:V11)</f>
        <v/>
      </c>
      <c r="X11" s="10" t="inlineStr">
        <is>
          <t>Sin dotación presupuestada en 2027 por corresponder a partidas singulares/no recurrentes.</t>
        </is>
      </c>
    </row>
    <row r="12" ht="18" customHeight="1">
      <c r="B12" s="6" t="n">
        <v>2027</v>
      </c>
      <c r="C12" s="6" t="inlineStr">
        <is>
          <t>Codiagro</t>
        </is>
      </c>
      <c r="D12" s="7" t="inlineStr">
        <is>
          <t>RESULTADO DEL EJERCICIO</t>
        </is>
      </c>
      <c r="E12" s="7" t="inlineStr">
        <is>
          <t>RESULTADO ANTES DE IMPUESTOS</t>
        </is>
      </c>
      <c r="F12" s="7" t="inlineStr">
        <is>
          <t>RESULTADO DE LA EXPLOTACION</t>
        </is>
      </c>
      <c r="G12" s="7" t="inlineStr">
        <is>
          <t>1.- Importe neto de la cifra de negocios</t>
        </is>
      </c>
      <c r="H12" s="7" t="inlineStr">
        <is>
          <t>(703) Ventas por subproductos y residuos</t>
        </is>
      </c>
      <c r="I12" s="7" t="inlineStr">
        <is>
          <t>703000000 - Ventas de subproductos y residuos</t>
        </is>
      </c>
      <c r="J12" s="6" t="inlineStr">
        <is>
          <t>-</t>
        </is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9">
        <f>SUM(K12:V12)</f>
        <v/>
      </c>
      <c r="X12" s="10" t="inlineStr">
        <is>
          <t>Sin dotación presupuestada en 2027 por corresponder a partidas singulares/no recurrentes.</t>
        </is>
      </c>
    </row>
    <row r="13" ht="18" customHeight="1">
      <c r="B13" s="6" t="n">
        <v>2027</v>
      </c>
      <c r="C13" s="6" t="inlineStr">
        <is>
          <t>Codiagro</t>
        </is>
      </c>
      <c r="D13" s="7" t="inlineStr">
        <is>
          <t>RESULTADO DEL EJERCICIO</t>
        </is>
      </c>
      <c r="E13" s="7" t="inlineStr">
        <is>
          <t>RESULTADO ANTES DE IMPUESTOS</t>
        </is>
      </c>
      <c r="F13" s="7" t="inlineStr">
        <is>
          <t>RESULTADO DE LA EXPLOTACION</t>
        </is>
      </c>
      <c r="G13" s="7" t="inlineStr">
        <is>
          <t>1.- Importe neto de la cifra de negocios</t>
        </is>
      </c>
      <c r="H13" s="7" t="inlineStr">
        <is>
          <t>(704) Venta de envases y embalajes</t>
        </is>
      </c>
      <c r="I13" s="7" t="inlineStr">
        <is>
          <t>704000000 - Ventas de envases y embalajes</t>
        </is>
      </c>
      <c r="J13" s="6" t="inlineStr">
        <is>
          <t>-</t>
        </is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9">
        <f>SUM(K13:V13)</f>
        <v/>
      </c>
      <c r="X13" s="10" t="inlineStr">
        <is>
          <t>Sin dotación presupuestada en 2027 por corresponder a partidas singulares/no recurrentes.</t>
        </is>
      </c>
    </row>
    <row r="14" ht="18" customHeight="1">
      <c r="B14" s="6" t="n">
        <v>2027</v>
      </c>
      <c r="C14" s="6" t="inlineStr">
        <is>
          <t>Codiagro</t>
        </is>
      </c>
      <c r="D14" s="7" t="inlineStr">
        <is>
          <t>RESULTADO DEL EJERCICIO</t>
        </is>
      </c>
      <c r="E14" s="7" t="inlineStr">
        <is>
          <t>RESULTADO ANTES DE IMPUESTOS</t>
        </is>
      </c>
      <c r="F14" s="7" t="inlineStr">
        <is>
          <t>RESULTADO DE LA EXPLOTACION</t>
        </is>
      </c>
      <c r="G14" s="7" t="inlineStr">
        <is>
          <t>1.- Importe neto de la cifra de negocios</t>
        </is>
      </c>
      <c r="H14" s="7" t="inlineStr">
        <is>
          <t>(705) Prestación de servicios</t>
        </is>
      </c>
      <c r="I14" s="7" t="inlineStr">
        <is>
          <t>705000000 - Prestaciones de servicios</t>
        </is>
      </c>
      <c r="J14" s="6" t="inlineStr">
        <is>
          <t>-</t>
        </is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9">
        <f>SUM(K14:V14)</f>
        <v/>
      </c>
      <c r="X14" s="10" t="inlineStr">
        <is>
          <t>Sin dotación presupuestada en 2027 por corresponder a partidas singulares/no recurrentes.</t>
        </is>
      </c>
    </row>
    <row r="15" ht="18" customHeight="1">
      <c r="B15" s="6" t="n">
        <v>2027</v>
      </c>
      <c r="C15" s="6" t="inlineStr">
        <is>
          <t>Codiagro</t>
        </is>
      </c>
      <c r="D15" s="7" t="inlineStr">
        <is>
          <t>RESULTADO DEL EJERCICIO</t>
        </is>
      </c>
      <c r="E15" s="7" t="inlineStr">
        <is>
          <t>RESULTADO ANTES DE IMPUESTOS</t>
        </is>
      </c>
      <c r="F15" s="7" t="inlineStr">
        <is>
          <t>RESULTADO DE LA EXPLOTACION</t>
        </is>
      </c>
      <c r="G15" s="7" t="inlineStr">
        <is>
          <t>1.- Importe neto de la cifra de negocios</t>
        </is>
      </c>
      <c r="H15" s="7" t="inlineStr">
        <is>
          <t>(705) Prestación de servicios</t>
        </is>
      </c>
      <c r="I15" s="7" t="inlineStr">
        <is>
          <t>705000001 - INGRESO POR GESTIÓN DE ENVASES</t>
        </is>
      </c>
      <c r="J15" s="6" t="inlineStr">
        <is>
          <t>-</t>
        </is>
      </c>
      <c r="K15" s="8" t="n">
        <v>2221.91</v>
      </c>
      <c r="L15" s="8" t="n">
        <v>3599.09</v>
      </c>
      <c r="M15" s="8" t="n">
        <v>3452.4</v>
      </c>
      <c r="N15" s="8" t="n">
        <v>2779.49</v>
      </c>
      <c r="O15" s="8" t="n">
        <v>4563.41</v>
      </c>
      <c r="P15" s="8" t="n">
        <v>4525.44</v>
      </c>
      <c r="Q15" s="8" t="n">
        <v>2871.25</v>
      </c>
      <c r="R15" s="8" t="n">
        <v>1832.38</v>
      </c>
      <c r="S15" s="8" t="n">
        <v>1064.39</v>
      </c>
      <c r="T15" s="8" t="n">
        <v>1780.07</v>
      </c>
      <c r="U15" s="8" t="n">
        <v>2751.55</v>
      </c>
      <c r="V15" s="8" t="n">
        <v>3018.19</v>
      </c>
      <c r="W15" s="9">
        <f>SUM(K15:V15)</f>
        <v/>
      </c>
      <c r="X15" s="10" t="inlineStr">
        <is>
          <t>Ingreso por gestión de envases 2027 (+34.459,57 €), facturación recurrente complementaria.</t>
        </is>
      </c>
    </row>
    <row r="16" ht="18" customHeight="1">
      <c r="B16" s="6" t="n">
        <v>2027</v>
      </c>
      <c r="C16" s="6" t="inlineStr">
        <is>
          <t>Codiagro</t>
        </is>
      </c>
      <c r="D16" s="7" t="inlineStr">
        <is>
          <t>RESULTADO DEL EJERCICIO</t>
        </is>
      </c>
      <c r="E16" s="7" t="inlineStr">
        <is>
          <t>RESULTADO ANTES DE IMPUESTOS</t>
        </is>
      </c>
      <c r="F16" s="7" t="inlineStr">
        <is>
          <t>RESULTADO DE LA EXPLOTACION</t>
        </is>
      </c>
      <c r="G16" s="7" t="inlineStr">
        <is>
          <t>1.- Importe neto de la cifra de negocios</t>
        </is>
      </c>
      <c r="H16" s="7" t="inlineStr">
        <is>
          <t>(706) Dto. s/vtas p.p.</t>
        </is>
      </c>
      <c r="I16" s="7" t="inlineStr">
        <is>
          <t>706000000 - Dtos. ventas por pronto pago mercaderías</t>
        </is>
      </c>
      <c r="J16" s="6" t="inlineStr">
        <is>
          <t>-</t>
        </is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9">
        <f>SUM(K16:V16)</f>
        <v/>
      </c>
      <c r="X16" s="10" t="inlineStr">
        <is>
          <t>Sin dotación presupuestada en 2027 por corresponder a partidas singulares/no recurrentes.</t>
        </is>
      </c>
    </row>
    <row r="17" ht="18" customHeight="1">
      <c r="B17" s="6" t="n">
        <v>2027</v>
      </c>
      <c r="C17" s="6" t="inlineStr">
        <is>
          <t>Codiagro</t>
        </is>
      </c>
      <c r="D17" s="7" t="inlineStr">
        <is>
          <t>RESULTADO DEL EJERCICIO</t>
        </is>
      </c>
      <c r="E17" s="7" t="inlineStr">
        <is>
          <t>RESULTADO ANTES DE IMPUESTOS</t>
        </is>
      </c>
      <c r="F17" s="7" t="inlineStr">
        <is>
          <t>RESULTADO DE LA EXPLOTACION</t>
        </is>
      </c>
      <c r="G17" s="7" t="inlineStr">
        <is>
          <t>1.- Importe neto de la cifra de negocios</t>
        </is>
      </c>
      <c r="H17" s="7" t="inlineStr">
        <is>
          <t>(709) Bonificaciones s/ventas</t>
        </is>
      </c>
      <c r="I17" s="7" t="inlineStr">
        <is>
          <t>709000000 - «Rappels» ventas de mercaderías</t>
        </is>
      </c>
      <c r="J17" s="6" t="inlineStr">
        <is>
          <t>-</t>
        </is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9">
        <f>SUM(K17:V17)</f>
        <v/>
      </c>
      <c r="X17" s="10" t="inlineStr">
        <is>
          <t>Sin dotación presupuestada en 2027 por corresponder a partidas singulares/no recurrentes.</t>
        </is>
      </c>
    </row>
    <row r="18" ht="18" customHeight="1">
      <c r="B18" s="6" t="n">
        <v>2027</v>
      </c>
      <c r="C18" s="6" t="inlineStr">
        <is>
          <t>Codiagro</t>
        </is>
      </c>
      <c r="D18" s="7" t="inlineStr">
        <is>
          <t>RESULTADO DEL EJERCICIO</t>
        </is>
      </c>
      <c r="E18" s="7" t="inlineStr">
        <is>
          <t>RESULTADO ANTES DE IMPUESTOS</t>
        </is>
      </c>
      <c r="F18" s="7" t="inlineStr">
        <is>
          <t>RESULTADO DE LA EXPLOTACION</t>
        </is>
      </c>
      <c r="G18" s="7" t="inlineStr">
        <is>
          <t>1.- Importe neto de la cifra de negocios</t>
        </is>
      </c>
      <c r="H18" s="7" t="inlineStr">
        <is>
          <t>(709) Bonificaciones s/ventas</t>
        </is>
      </c>
      <c r="I18" s="7" t="inlineStr">
        <is>
          <t>709000001 - PROVISION RAPPELS</t>
        </is>
      </c>
      <c r="J18" s="6" t="inlineStr">
        <is>
          <t>-</t>
        </is>
      </c>
      <c r="K18" s="8" t="n">
        <v>-25089.67</v>
      </c>
      <c r="L18" s="8" t="n">
        <v>-40640.76</v>
      </c>
      <c r="M18" s="8" t="n">
        <v>-38984.39</v>
      </c>
      <c r="N18" s="8" t="n">
        <v>-31385.92</v>
      </c>
      <c r="O18" s="8" t="n">
        <v>-51529.9</v>
      </c>
      <c r="P18" s="8" t="n">
        <v>-51101.09</v>
      </c>
      <c r="Q18" s="8" t="n">
        <v>-32422</v>
      </c>
      <c r="R18" s="8" t="n">
        <v>-20691.12</v>
      </c>
      <c r="S18" s="8" t="n">
        <v>-12019.01</v>
      </c>
      <c r="T18" s="8" t="n">
        <v>-20100.49</v>
      </c>
      <c r="U18" s="8" t="n">
        <v>-31070.36</v>
      </c>
      <c r="V18" s="8" t="n">
        <v>-34081.29</v>
      </c>
      <c r="W18" s="9">
        <f>SUM(K18:V18)</f>
        <v/>
      </c>
      <c r="X18" s="10" t="inlineStr">
        <is>
          <t>Provisión de rappels comerciales 2027: 2,19% s/ventas (-389.116,00 €), ajustando la Cifra Neta a 17.383.503,86 €.</t>
        </is>
      </c>
    </row>
    <row r="19" ht="18" customHeight="1">
      <c r="B19" s="6" t="n">
        <v>2027</v>
      </c>
      <c r="C19" s="6" t="inlineStr">
        <is>
          <t>Codiagro</t>
        </is>
      </c>
      <c r="D19" s="7" t="inlineStr">
        <is>
          <t>RESULTADO DEL EJERCICIO</t>
        </is>
      </c>
      <c r="E19" s="7" t="inlineStr">
        <is>
          <t>RESULTADO ANTES DE IMPUESTOS</t>
        </is>
      </c>
      <c r="F19" s="7" t="inlineStr">
        <is>
          <t>RESULTADO DE LA EXPLOTACION</t>
        </is>
      </c>
      <c r="G19" s="7" t="inlineStr">
        <is>
          <t>11.- Deterioro y resultado por enajenaciones del inmovilizado</t>
        </is>
      </c>
      <c r="H19" s="7" t="inlineStr">
        <is>
          <t>(771) Beneficios procedentes IM</t>
        </is>
      </c>
      <c r="I19" s="7" t="inlineStr">
        <is>
          <t>771000000 - Beneficios del inmovilizado material</t>
        </is>
      </c>
      <c r="J19" s="6" t="inlineStr">
        <is>
          <t>-</t>
        </is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9">
        <f>SUM(K19:V19)</f>
        <v/>
      </c>
      <c r="X19" s="10" t="inlineStr">
        <is>
          <t>Sin dotación presupuestada en 2027 por corresponder a partidas singulares/no recurrentes.</t>
        </is>
      </c>
    </row>
    <row r="20" ht="18" customHeight="1">
      <c r="B20" s="6" t="n">
        <v>2027</v>
      </c>
      <c r="C20" s="6" t="inlineStr">
        <is>
          <t>Codiagro</t>
        </is>
      </c>
      <c r="D20" s="7" t="inlineStr">
        <is>
          <t>RESULTADO DEL EJERCICIO</t>
        </is>
      </c>
      <c r="E20" s="7" t="inlineStr">
        <is>
          <t>RESULTADO ANTES DE IMPUESTOS</t>
        </is>
      </c>
      <c r="F20" s="7" t="inlineStr">
        <is>
          <t>RESULTADO DE LA EXPLOTACION</t>
        </is>
      </c>
      <c r="G20" s="7" t="inlineStr">
        <is>
          <t>13.- Otros resultados</t>
        </is>
      </c>
      <c r="H20" s="7" t="inlineStr">
        <is>
          <t>(678) Gastos excepcionales PGC 2008</t>
        </is>
      </c>
      <c r="I20" s="7" t="inlineStr">
        <is>
          <t>678000000 - Gastos excepcionales</t>
        </is>
      </c>
      <c r="J20" s="6" t="inlineStr">
        <is>
          <t>-</t>
        </is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9">
        <f>SUM(K20:V20)</f>
        <v/>
      </c>
      <c r="X20" s="10" t="inlineStr">
        <is>
          <t>Sin dotación presupuestada en 2027 por corresponder a partidas singulares/no recurrentes.</t>
        </is>
      </c>
    </row>
    <row r="21" ht="18" customHeight="1">
      <c r="B21" s="6" t="n">
        <v>2027</v>
      </c>
      <c r="C21" s="6" t="inlineStr">
        <is>
          <t>Codiagro</t>
        </is>
      </c>
      <c r="D21" s="7" t="inlineStr">
        <is>
          <t>RESULTADO DEL EJERCICIO</t>
        </is>
      </c>
      <c r="E21" s="7" t="inlineStr">
        <is>
          <t>RESULTADO ANTES DE IMPUESTOS</t>
        </is>
      </c>
      <c r="F21" s="7" t="inlineStr">
        <is>
          <t>RESULTADO DE LA EXPLOTACION</t>
        </is>
      </c>
      <c r="G21" s="7" t="inlineStr">
        <is>
          <t>13.- Otros resultados</t>
        </is>
      </c>
      <c r="H21" s="7" t="inlineStr">
        <is>
          <t>(778) Ingresos excepcionales PGC 2008</t>
        </is>
      </c>
      <c r="I21" s="7" t="inlineStr">
        <is>
          <t>778000000 - Ingresos excepcionales</t>
        </is>
      </c>
      <c r="J21" s="6" t="inlineStr">
        <is>
          <t>-</t>
        </is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9">
        <f>SUM(K21:V21)</f>
        <v/>
      </c>
      <c r="X21" s="10" t="inlineStr">
        <is>
          <t>Sin dotación presupuestada en 2027 por corresponder a partidas singulares/no recurrentes.</t>
        </is>
      </c>
    </row>
    <row r="22" ht="18" customHeight="1">
      <c r="B22" s="6" t="n">
        <v>2027</v>
      </c>
      <c r="C22" s="6" t="inlineStr">
        <is>
          <t>Codiagro</t>
        </is>
      </c>
      <c r="D22" s="7" t="inlineStr">
        <is>
          <t>RESULTADO DEL EJERCICIO</t>
        </is>
      </c>
      <c r="E22" s="7" t="inlineStr">
        <is>
          <t>RESULTADO ANTES DE IMPUESTOS</t>
        </is>
      </c>
      <c r="F22" s="7" t="inlineStr">
        <is>
          <t>RESULTADO DE LA EXPLOTACION</t>
        </is>
      </c>
      <c r="G22" s="7" t="inlineStr">
        <is>
          <t>2.- Variación de existencias</t>
        </is>
      </c>
      <c r="H22" s="7" t="inlineStr">
        <is>
          <t>(711) Variación de existencias de productos semiterminados</t>
        </is>
      </c>
      <c r="I22" s="7" t="inlineStr">
        <is>
          <t>711000000 - Variación existencias de prod. semiterminados</t>
        </is>
      </c>
      <c r="J22" s="6" t="inlineStr">
        <is>
          <t>-</t>
        </is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9">
        <f>SUM(K22:V22)</f>
        <v/>
      </c>
      <c r="X22" s="10" t="inlineStr">
        <is>
          <t>Cuenta inactiva / sin saldo previsto en 2027.</t>
        </is>
      </c>
    </row>
    <row r="23" ht="18" customHeight="1">
      <c r="B23" s="6" t="n">
        <v>2027</v>
      </c>
      <c r="C23" s="6" t="inlineStr">
        <is>
          <t>Codiagro</t>
        </is>
      </c>
      <c r="D23" s="7" t="inlineStr">
        <is>
          <t>RESULTADO DEL EJERCICIO</t>
        </is>
      </c>
      <c r="E23" s="7" t="inlineStr">
        <is>
          <t>RESULTADO ANTES DE IMPUESTOS</t>
        </is>
      </c>
      <c r="F23" s="7" t="inlineStr">
        <is>
          <t>RESULTADO DE LA EXPLOTACION</t>
        </is>
      </c>
      <c r="G23" s="7" t="inlineStr">
        <is>
          <t>2.- Variación de existencias</t>
        </is>
      </c>
      <c r="H23" s="7" t="inlineStr">
        <is>
          <t>(712) Variación de existencias producto terminado</t>
        </is>
      </c>
      <c r="I23" s="7" t="inlineStr">
        <is>
          <t>712000000 - Variación existencias de prod. terminados</t>
        </is>
      </c>
      <c r="J23" s="6" t="inlineStr">
        <is>
          <t>-</t>
        </is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9">
        <f>SUM(K23:V23)</f>
        <v/>
      </c>
      <c r="X23" s="10" t="inlineStr">
        <is>
          <t>Cuenta inactiva / sin saldo previsto en 2027.</t>
        </is>
      </c>
    </row>
    <row r="24" ht="18" customHeight="1">
      <c r="B24" s="6" t="n">
        <v>2027</v>
      </c>
      <c r="C24" s="6" t="inlineStr">
        <is>
          <t>Codiagro</t>
        </is>
      </c>
      <c r="D24" s="7" t="inlineStr">
        <is>
          <t>RESULTADO DEL EJERCICIO</t>
        </is>
      </c>
      <c r="E24" s="7" t="inlineStr">
        <is>
          <t>RESULTADO ANTES DE IMPUESTOS</t>
        </is>
      </c>
      <c r="F24" s="7" t="inlineStr">
        <is>
          <t>RESULTADO DE LA EXPLOTACION</t>
        </is>
      </c>
      <c r="G24" s="7" t="inlineStr">
        <is>
          <t>4.- Aprovisionamientos</t>
        </is>
      </c>
      <c r="H24" s="7" t="inlineStr">
        <is>
          <t>(601) Compras de materias primas</t>
        </is>
      </c>
      <c r="I24" s="7" t="inlineStr">
        <is>
          <t>601000000 - Compras de materias primas</t>
        </is>
      </c>
      <c r="J24" s="6" t="inlineStr">
        <is>
          <t>-</t>
        </is>
      </c>
      <c r="K24" s="8" t="n">
        <v>-247571.61</v>
      </c>
      <c r="L24" s="8" t="n">
        <v>-480047.38</v>
      </c>
      <c r="M24" s="8" t="n">
        <v>-505499.75</v>
      </c>
      <c r="N24" s="8" t="n">
        <v>-391336.67</v>
      </c>
      <c r="O24" s="8" t="n">
        <v>-639721.61</v>
      </c>
      <c r="P24" s="8" t="n">
        <v>-660412.55</v>
      </c>
      <c r="Q24" s="8" t="n">
        <v>-425647.17</v>
      </c>
      <c r="R24" s="8" t="n">
        <v>-255306.21</v>
      </c>
      <c r="S24" s="8" t="n">
        <v>-154533.56</v>
      </c>
      <c r="T24" s="8" t="n">
        <v>-257348.52</v>
      </c>
      <c r="U24" s="8" t="n">
        <v>-410647.96</v>
      </c>
      <c r="V24" s="8" t="n">
        <v>-422003.72</v>
      </c>
      <c r="W24" s="9">
        <f>SUM(K24:V24)</f>
        <v/>
      </c>
      <c r="X24" s="10" t="inlineStr">
        <is>
          <t>Presupuesto de Compras 2027: Materias primas según necesidades netas de formulación industrial (-4.850.076,71 € base; 4.995.578,01 € con reserva MOQ 3%).</t>
        </is>
      </c>
    </row>
    <row r="25" ht="18" customHeight="1">
      <c r="B25" s="6" t="n">
        <v>2027</v>
      </c>
      <c r="C25" s="6" t="inlineStr">
        <is>
          <t>Codiagro</t>
        </is>
      </c>
      <c r="D25" s="7" t="inlineStr">
        <is>
          <t>RESULTADO DEL EJERCICIO</t>
        </is>
      </c>
      <c r="E25" s="7" t="inlineStr">
        <is>
          <t>RESULTADO ANTES DE IMPUESTOS</t>
        </is>
      </c>
      <c r="F25" s="7" t="inlineStr">
        <is>
          <t>RESULTADO DE LA EXPLOTACION</t>
        </is>
      </c>
      <c r="G25" s="7" t="inlineStr">
        <is>
          <t>4.- Aprovisionamientos</t>
        </is>
      </c>
      <c r="H25" s="7" t="inlineStr">
        <is>
          <t>(602) Compras de otros aprovisionamientos</t>
        </is>
      </c>
      <c r="I25" s="7" t="inlineStr">
        <is>
          <t>602000001 - COMPRA DE ENVASES Y EMBALAJES</t>
        </is>
      </c>
      <c r="J25" s="6" t="inlineStr">
        <is>
          <t>-</t>
        </is>
      </c>
      <c r="K25" s="8" t="n">
        <v>-51110.53</v>
      </c>
      <c r="L25" s="8" t="n">
        <v>-99104.56</v>
      </c>
      <c r="M25" s="8" t="n">
        <v>-104359.14</v>
      </c>
      <c r="N25" s="8" t="n">
        <v>-80790.46000000001</v>
      </c>
      <c r="O25" s="8" t="n">
        <v>-132068.9</v>
      </c>
      <c r="P25" s="8" t="n">
        <v>-136340.49</v>
      </c>
      <c r="Q25" s="8" t="n">
        <v>-87873.77</v>
      </c>
      <c r="R25" s="8" t="n">
        <v>-52707.32</v>
      </c>
      <c r="S25" s="8" t="n">
        <v>-31903.06</v>
      </c>
      <c r="T25" s="8" t="n">
        <v>-53128.95</v>
      </c>
      <c r="U25" s="8" t="n">
        <v>-84777.23</v>
      </c>
      <c r="V25" s="8" t="n">
        <v>-87121.59</v>
      </c>
      <c r="W25" s="9">
        <f>SUM(K25:V25)</f>
        <v/>
      </c>
      <c r="X25" s="10" t="inlineStr">
        <is>
          <t>Presupuesto de Compras 2027: Envases y bidones de envasado (-1.001.286,00 €; 1.031.324,58 € con MOQ 3%).</t>
        </is>
      </c>
    </row>
    <row r="26" ht="18" customHeight="1">
      <c r="B26" s="6" t="n">
        <v>2027</v>
      </c>
      <c r="C26" s="6" t="inlineStr">
        <is>
          <t>Codiagro</t>
        </is>
      </c>
      <c r="D26" s="7" t="inlineStr">
        <is>
          <t>RESULTADO DEL EJERCICIO</t>
        </is>
      </c>
      <c r="E26" s="7" t="inlineStr">
        <is>
          <t>RESULTADO ANTES DE IMPUESTOS</t>
        </is>
      </c>
      <c r="F26" s="7" t="inlineStr">
        <is>
          <t>RESULTADO DE LA EXPLOTACION</t>
        </is>
      </c>
      <c r="G26" s="7" t="inlineStr">
        <is>
          <t>4.- Aprovisionamientos</t>
        </is>
      </c>
      <c r="H26" s="7" t="inlineStr">
        <is>
          <t>(602) Compras de otros aprovisionamientos</t>
        </is>
      </c>
      <c r="I26" s="7" t="inlineStr">
        <is>
          <t>602000000 - Compras de otros aprovisionamientos</t>
        </is>
      </c>
      <c r="J26" s="6" t="inlineStr">
        <is>
          <t>-</t>
        </is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9">
        <f>SUM(K26:V26)</f>
        <v/>
      </c>
      <c r="X26" s="10" t="inlineStr">
        <is>
          <t>Cuenta fusionada con 602000001. Saldo fijado a 0 en 2027.</t>
        </is>
      </c>
    </row>
    <row r="27" ht="18" customHeight="1">
      <c r="B27" s="6" t="n">
        <v>2027</v>
      </c>
      <c r="C27" s="6" t="inlineStr">
        <is>
          <t>Codiagro</t>
        </is>
      </c>
      <c r="D27" s="7" t="inlineStr">
        <is>
          <t>RESULTADO DEL EJERCICIO</t>
        </is>
      </c>
      <c r="E27" s="7" t="inlineStr">
        <is>
          <t>RESULTADO ANTES DE IMPUESTOS</t>
        </is>
      </c>
      <c r="F27" s="7" t="inlineStr">
        <is>
          <t>RESULTADO DE LA EXPLOTACION</t>
        </is>
      </c>
      <c r="G27" s="7" t="inlineStr">
        <is>
          <t>4.- Aprovisionamientos</t>
        </is>
      </c>
      <c r="H27" s="7" t="inlineStr">
        <is>
          <t>(602) Compras de otros aprovisionamientos</t>
        </is>
      </c>
      <c r="I27" s="7" t="inlineStr">
        <is>
          <t>602000002 - COMPRA DE ETIQUETAS</t>
        </is>
      </c>
      <c r="J27" s="6" t="inlineStr">
        <is>
          <t>-</t>
        </is>
      </c>
      <c r="K27" s="8" t="n">
        <v>-7981.03</v>
      </c>
      <c r="L27" s="8" t="n">
        <v>-15475.42</v>
      </c>
      <c r="M27" s="8" t="n">
        <v>-16295.93</v>
      </c>
      <c r="N27" s="8" t="n">
        <v>-12615.62</v>
      </c>
      <c r="O27" s="8" t="n">
        <v>-20622.88</v>
      </c>
      <c r="P27" s="8" t="n">
        <v>-21289.9</v>
      </c>
      <c r="Q27" s="8" t="n">
        <v>-13721.7</v>
      </c>
      <c r="R27" s="8" t="n">
        <v>-8230.370000000001</v>
      </c>
      <c r="S27" s="8" t="n">
        <v>-4981.74</v>
      </c>
      <c r="T27" s="8" t="n">
        <v>-8296.209999999999</v>
      </c>
      <c r="U27" s="8" t="n">
        <v>-13238.17</v>
      </c>
      <c r="V27" s="8" t="n">
        <v>-13604.25</v>
      </c>
      <c r="W27" s="9">
        <f>SUM(K27:V27)</f>
        <v/>
      </c>
      <c r="X27" s="10" t="inlineStr">
        <is>
          <t>Presupuesto de Compras 2027: Etiquetas bobina y adhesivas (-156.353,22 €; 161.043,82 € con MOQ 3%).</t>
        </is>
      </c>
    </row>
    <row r="28" ht="18" customHeight="1">
      <c r="B28" s="6" t="n">
        <v>2027</v>
      </c>
      <c r="C28" s="6" t="inlineStr">
        <is>
          <t>Codiagro</t>
        </is>
      </c>
      <c r="D28" s="7" t="inlineStr">
        <is>
          <t>RESULTADO DEL EJERCICIO</t>
        </is>
      </c>
      <c r="E28" s="7" t="inlineStr">
        <is>
          <t>RESULTADO ANTES DE IMPUESTOS</t>
        </is>
      </c>
      <c r="F28" s="7" t="inlineStr">
        <is>
          <t>RESULTADO DE LA EXPLOTACION</t>
        </is>
      </c>
      <c r="G28" s="7" t="inlineStr">
        <is>
          <t>4.- Aprovisionamientos</t>
        </is>
      </c>
      <c r="H28" s="7" t="inlineStr">
        <is>
          <t>(602) Compras de otros aprovisionamientos</t>
        </is>
      </c>
      <c r="I28" s="7" t="inlineStr">
        <is>
          <t>602000003 - COMPRA DE PALETS</t>
        </is>
      </c>
      <c r="J28" s="6" t="inlineStr">
        <is>
          <t>-</t>
        </is>
      </c>
      <c r="K28" s="8" t="n">
        <v>-8300.27</v>
      </c>
      <c r="L28" s="8" t="n">
        <v>-16094.43</v>
      </c>
      <c r="M28" s="8" t="n">
        <v>-16947.77</v>
      </c>
      <c r="N28" s="8" t="n">
        <v>-13120.25</v>
      </c>
      <c r="O28" s="8" t="n">
        <v>-21447.79</v>
      </c>
      <c r="P28" s="8" t="n">
        <v>-22141.49</v>
      </c>
      <c r="Q28" s="8" t="n">
        <v>-14270.57</v>
      </c>
      <c r="R28" s="8" t="n">
        <v>-8559.59</v>
      </c>
      <c r="S28" s="8" t="n">
        <v>-5181.01</v>
      </c>
      <c r="T28" s="8" t="n">
        <v>-8628.059999999999</v>
      </c>
      <c r="U28" s="8" t="n">
        <v>-13767.69</v>
      </c>
      <c r="V28" s="8" t="n">
        <v>-14148.42</v>
      </c>
      <c r="W28" s="9">
        <f>SUM(K28:V28)</f>
        <v/>
      </c>
      <c r="X28" s="10" t="inlineStr">
        <is>
          <t>Presupuesto de Compras 2027: Palets homologados nacional y exportación (-162.607,34 €; 167.485,56 € con MOQ 3%).</t>
        </is>
      </c>
    </row>
    <row r="29" ht="18" customHeight="1">
      <c r="B29" s="6" t="n">
        <v>2027</v>
      </c>
      <c r="C29" s="6" t="inlineStr">
        <is>
          <t>Codiagro</t>
        </is>
      </c>
      <c r="D29" s="7" t="inlineStr">
        <is>
          <t>RESULTADO DEL EJERCICIO</t>
        </is>
      </c>
      <c r="E29" s="7" t="inlineStr">
        <is>
          <t>RESULTADO ANTES DE IMPUESTOS</t>
        </is>
      </c>
      <c r="F29" s="7" t="inlineStr">
        <is>
          <t>RESULTADO DE LA EXPLOTACION</t>
        </is>
      </c>
      <c r="G29" s="7" t="inlineStr">
        <is>
          <t>4.- Aprovisionamientos</t>
        </is>
      </c>
      <c r="H29" s="7" t="inlineStr">
        <is>
          <t>(602) Compras de otros aprovisionamientos</t>
        </is>
      </c>
      <c r="I29" s="7" t="inlineStr">
        <is>
          <t>602000004 - COMPRA MATERIAL DE LIMPIEZA</t>
        </is>
      </c>
      <c r="J29" s="6" t="inlineStr">
        <is>
          <t>-</t>
        </is>
      </c>
      <c r="K29" s="8" t="n">
        <v>-131.92</v>
      </c>
      <c r="L29" s="8" t="n">
        <v>-131.92</v>
      </c>
      <c r="M29" s="8" t="n">
        <v>-131.92</v>
      </c>
      <c r="N29" s="8" t="n">
        <v>-131.92</v>
      </c>
      <c r="O29" s="8" t="n">
        <v>-131.92</v>
      </c>
      <c r="P29" s="8" t="n">
        <v>-131.92</v>
      </c>
      <c r="Q29" s="8" t="n">
        <v>-131.92</v>
      </c>
      <c r="R29" s="8" t="n">
        <v>-131.92</v>
      </c>
      <c r="S29" s="8" t="n">
        <v>-131.92</v>
      </c>
      <c r="T29" s="8" t="n">
        <v>-131.92</v>
      </c>
      <c r="U29" s="8" t="n">
        <v>-131.92</v>
      </c>
      <c r="V29" s="8" t="n">
        <v>-131.92</v>
      </c>
      <c r="W29" s="9">
        <f>SUM(K29:V29)</f>
        <v/>
      </c>
      <c r="X29" s="10" t="inlineStr">
        <is>
          <t>Coste operativo menor de planta: proyección basada en el promedio mensual consolidado.</t>
        </is>
      </c>
    </row>
    <row r="30" ht="18" customHeight="1">
      <c r="B30" s="6" t="n">
        <v>2027</v>
      </c>
      <c r="C30" s="6" t="inlineStr">
        <is>
          <t>Codiagro</t>
        </is>
      </c>
      <c r="D30" s="7" t="inlineStr">
        <is>
          <t>RESULTADO DEL EJERCICIO</t>
        </is>
      </c>
      <c r="E30" s="7" t="inlineStr">
        <is>
          <t>RESULTADO ANTES DE IMPUESTOS</t>
        </is>
      </c>
      <c r="F30" s="7" t="inlineStr">
        <is>
          <t>RESULTADO DE LA EXPLOTACION</t>
        </is>
      </c>
      <c r="G30" s="7" t="inlineStr">
        <is>
          <t>4.- Aprovisionamientos</t>
        </is>
      </c>
      <c r="H30" s="7" t="inlineStr">
        <is>
          <t>(602) Compras de otros aprovisionamientos</t>
        </is>
      </c>
      <c r="I30" s="7" t="inlineStr">
        <is>
          <t>602000005 - COMPRA MATERIAL DE OFICINA</t>
        </is>
      </c>
      <c r="J30" s="6" t="inlineStr">
        <is>
          <t>-</t>
        </is>
      </c>
      <c r="K30" s="8" t="n">
        <v>-204.02</v>
      </c>
      <c r="L30" s="8" t="n">
        <v>-204.02</v>
      </c>
      <c r="M30" s="8" t="n">
        <v>-204.02</v>
      </c>
      <c r="N30" s="8" t="n">
        <v>-204.02</v>
      </c>
      <c r="O30" s="8" t="n">
        <v>-204.02</v>
      </c>
      <c r="P30" s="8" t="n">
        <v>-204.02</v>
      </c>
      <c r="Q30" s="8" t="n">
        <v>-204.02</v>
      </c>
      <c r="R30" s="8" t="n">
        <v>-204.02</v>
      </c>
      <c r="S30" s="8" t="n">
        <v>-204.02</v>
      </c>
      <c r="T30" s="8" t="n">
        <v>-204.02</v>
      </c>
      <c r="U30" s="8" t="n">
        <v>-204.02</v>
      </c>
      <c r="V30" s="8" t="n">
        <v>-204.02</v>
      </c>
      <c r="W30" s="9">
        <f>SUM(K30:V30)</f>
        <v/>
      </c>
      <c r="X30" s="10" t="inlineStr">
        <is>
          <t>Coste operativo menor de planta: proyección basada en el promedio mensual consolidado.</t>
        </is>
      </c>
    </row>
    <row r="31" ht="18" customHeight="1">
      <c r="B31" s="6" t="n">
        <v>2027</v>
      </c>
      <c r="C31" s="6" t="inlineStr">
        <is>
          <t>Codiagro</t>
        </is>
      </c>
      <c r="D31" s="7" t="inlineStr">
        <is>
          <t>RESULTADO DEL EJERCICIO</t>
        </is>
      </c>
      <c r="E31" s="7" t="inlineStr">
        <is>
          <t>RESULTADO ANTES DE IMPUESTOS</t>
        </is>
      </c>
      <c r="F31" s="7" t="inlineStr">
        <is>
          <t>RESULTADO DE LA EXPLOTACION</t>
        </is>
      </c>
      <c r="G31" s="7" t="inlineStr">
        <is>
          <t>4.- Aprovisionamientos</t>
        </is>
      </c>
      <c r="H31" s="7" t="inlineStr">
        <is>
          <t>(602) Compras de otros aprovisionamientos</t>
        </is>
      </c>
      <c r="I31" s="7" t="inlineStr">
        <is>
          <t>602000006 - COMPRA TAPONES DE ENVASES</t>
        </is>
      </c>
      <c r="J31" s="6" t="inlineStr">
        <is>
          <t>-</t>
        </is>
      </c>
      <c r="K31" s="8" t="n">
        <v>-4277.83</v>
      </c>
      <c r="L31" s="8" t="n">
        <v>-8294.82</v>
      </c>
      <c r="M31" s="8" t="n">
        <v>-8734.620000000001</v>
      </c>
      <c r="N31" s="8" t="n">
        <v>-6761.97</v>
      </c>
      <c r="O31" s="8" t="n">
        <v>-11053.86</v>
      </c>
      <c r="P31" s="8" t="n">
        <v>-11411.38</v>
      </c>
      <c r="Q31" s="8" t="n">
        <v>-7354.83</v>
      </c>
      <c r="R31" s="8" t="n">
        <v>-4411.48</v>
      </c>
      <c r="S31" s="8" t="n">
        <v>-2670.21</v>
      </c>
      <c r="T31" s="8" t="n">
        <v>-4446.77</v>
      </c>
      <c r="U31" s="8" t="n">
        <v>-7095.66</v>
      </c>
      <c r="V31" s="8" t="n">
        <v>-7291.88</v>
      </c>
      <c r="W31" s="9">
        <f>SUM(K31:V31)</f>
        <v/>
      </c>
      <c r="X31" s="10" t="inlineStr">
        <is>
          <t>Presupuesto de Compras 2027: Tapones dosificadores y de seguridad (-83.805,31 €; 86.319,47 € con MOQ 3%).</t>
        </is>
      </c>
    </row>
    <row r="32" ht="18" customHeight="1">
      <c r="B32" s="6" t="n">
        <v>2027</v>
      </c>
      <c r="C32" s="6" t="inlineStr">
        <is>
          <t>Codiagro</t>
        </is>
      </c>
      <c r="D32" s="7" t="inlineStr">
        <is>
          <t>RESULTADO DEL EJERCICIO</t>
        </is>
      </c>
      <c r="E32" s="7" t="inlineStr">
        <is>
          <t>RESULTADO ANTES DE IMPUESTOS</t>
        </is>
      </c>
      <c r="F32" s="7" t="inlineStr">
        <is>
          <t>RESULTADO DE LA EXPLOTACION</t>
        </is>
      </c>
      <c r="G32" s="7" t="inlineStr">
        <is>
          <t>4.- Aprovisionamientos</t>
        </is>
      </c>
      <c r="H32" s="7" t="inlineStr">
        <is>
          <t>(602) Compras de otros aprovisionamientos</t>
        </is>
      </c>
      <c r="I32" s="7" t="inlineStr">
        <is>
          <t>602000007 - COMPRAS LABORATORIO</t>
        </is>
      </c>
      <c r="J32" s="6" t="inlineStr">
        <is>
          <t>-</t>
        </is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9">
        <f>SUM(K32:V32)</f>
        <v/>
      </c>
      <c r="X32" s="10" t="inlineStr">
        <is>
          <t>Cuenta inactiva / sin saldo previsto en 2027.</t>
        </is>
      </c>
    </row>
    <row r="33" ht="18" customHeight="1">
      <c r="B33" s="6" t="n">
        <v>2027</v>
      </c>
      <c r="C33" s="6" t="inlineStr">
        <is>
          <t>Codiagro</t>
        </is>
      </c>
      <c r="D33" s="7" t="inlineStr">
        <is>
          <t>RESULTADO DEL EJERCICIO</t>
        </is>
      </c>
      <c r="E33" s="7" t="inlineStr">
        <is>
          <t>RESULTADO ANTES DE IMPUESTOS</t>
        </is>
      </c>
      <c r="F33" s="7" t="inlineStr">
        <is>
          <t>RESULTADO DE LA EXPLOTACION</t>
        </is>
      </c>
      <c r="G33" s="7" t="inlineStr">
        <is>
          <t>4.- Aprovisionamientos</t>
        </is>
      </c>
      <c r="H33" s="7" t="inlineStr">
        <is>
          <t>(602) Compras de otros aprovisionamientos</t>
        </is>
      </c>
      <c r="I33" s="7" t="inlineStr">
        <is>
          <t>602000008 - RESPUESTOS PLANTA</t>
        </is>
      </c>
      <c r="J33" s="6" t="inlineStr">
        <is>
          <t>-</t>
        </is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9">
        <f>SUM(K33:V33)</f>
        <v/>
      </c>
      <c r="X33" s="10" t="inlineStr">
        <is>
          <t>Cuenta inactiva / sin saldo previsto en 2027.</t>
        </is>
      </c>
    </row>
    <row r="34" ht="18" customHeight="1">
      <c r="B34" s="6" t="n">
        <v>2027</v>
      </c>
      <c r="C34" s="6" t="inlineStr">
        <is>
          <t>Codiagro</t>
        </is>
      </c>
      <c r="D34" s="7" t="inlineStr">
        <is>
          <t>RESULTADO DEL EJERCICIO</t>
        </is>
      </c>
      <c r="E34" s="7" t="inlineStr">
        <is>
          <t>RESULTADO ANTES DE IMPUESTOS</t>
        </is>
      </c>
      <c r="F34" s="7" t="inlineStr">
        <is>
          <t>RESULTADO DE LA EXPLOTACION</t>
        </is>
      </c>
      <c r="G34" s="7" t="inlineStr">
        <is>
          <t>4.- Aprovisionamientos</t>
        </is>
      </c>
      <c r="H34" s="7" t="inlineStr">
        <is>
          <t>(602) Compras de otros aprovisionamientos</t>
        </is>
      </c>
      <c r="I34" s="7" t="inlineStr">
        <is>
          <t>602000010 - COMPRA RIBBON</t>
        </is>
      </c>
      <c r="J34" s="6" t="inlineStr">
        <is>
          <t>-</t>
        </is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9">
        <f>SUM(K34:V34)</f>
        <v/>
      </c>
      <c r="X34" s="10" t="inlineStr">
        <is>
          <t>Cuenta inactiva / sin saldo previsto en 2027.</t>
        </is>
      </c>
    </row>
    <row r="35" ht="18" customHeight="1">
      <c r="B35" s="6" t="n">
        <v>2027</v>
      </c>
      <c r="C35" s="6" t="inlineStr">
        <is>
          <t>Codiagro</t>
        </is>
      </c>
      <c r="D35" s="7" t="inlineStr">
        <is>
          <t>RESULTADO DEL EJERCICIO</t>
        </is>
      </c>
      <c r="E35" s="7" t="inlineStr">
        <is>
          <t>RESULTADO ANTES DE IMPUESTOS</t>
        </is>
      </c>
      <c r="F35" s="7" t="inlineStr">
        <is>
          <t>RESULTADO DE LA EXPLOTACION</t>
        </is>
      </c>
      <c r="G35" s="7" t="inlineStr">
        <is>
          <t>4.- Aprovisionamientos</t>
        </is>
      </c>
      <c r="H35" s="7" t="inlineStr">
        <is>
          <t>(602) Compras de otros aprovisionamientos</t>
        </is>
      </c>
      <c r="I35" s="7" t="inlineStr">
        <is>
          <t>602000011 - COMPRAS VARIAS PLANTA</t>
        </is>
      </c>
      <c r="J35" s="6" t="inlineStr">
        <is>
          <t>-</t>
        </is>
      </c>
      <c r="K35" s="8" t="n">
        <v>-964.39</v>
      </c>
      <c r="L35" s="8" t="n">
        <v>-964.39</v>
      </c>
      <c r="M35" s="8" t="n">
        <v>-964.39</v>
      </c>
      <c r="N35" s="8" t="n">
        <v>-964.39</v>
      </c>
      <c r="O35" s="8" t="n">
        <v>-964.39</v>
      </c>
      <c r="P35" s="8" t="n">
        <v>-964.39</v>
      </c>
      <c r="Q35" s="8" t="n">
        <v>-964.39</v>
      </c>
      <c r="R35" s="8" t="n">
        <v>-964.39</v>
      </c>
      <c r="S35" s="8" t="n">
        <v>-964.39</v>
      </c>
      <c r="T35" s="8" t="n">
        <v>-964.39</v>
      </c>
      <c r="U35" s="8" t="n">
        <v>-964.39</v>
      </c>
      <c r="V35" s="8" t="n">
        <v>-964.39</v>
      </c>
      <c r="W35" s="9">
        <f>SUM(K35:V35)</f>
        <v/>
      </c>
      <c r="X35" s="10" t="inlineStr">
        <is>
          <t>Coste operativo menor de planta: proyección basada en el promedio mensual consolidado.</t>
        </is>
      </c>
    </row>
    <row r="36" ht="18" customHeight="1">
      <c r="B36" s="6" t="n">
        <v>2027</v>
      </c>
      <c r="C36" s="6" t="inlineStr">
        <is>
          <t>Codiagro</t>
        </is>
      </c>
      <c r="D36" s="7" t="inlineStr">
        <is>
          <t>RESULTADO DEL EJERCICIO</t>
        </is>
      </c>
      <c r="E36" s="7" t="inlineStr">
        <is>
          <t>RESULTADO ANTES DE IMPUESTOS</t>
        </is>
      </c>
      <c r="F36" s="7" t="inlineStr">
        <is>
          <t>RESULTADO DE LA EXPLOTACION</t>
        </is>
      </c>
      <c r="G36" s="7" t="inlineStr">
        <is>
          <t>4.- Aprovisionamientos</t>
        </is>
      </c>
      <c r="H36" s="7" t="inlineStr">
        <is>
          <t>(602) Compras de otros aprovisionamientos</t>
        </is>
      </c>
      <c r="I36" s="7" t="inlineStr">
        <is>
          <t>602000012 - REPUESTOS INFORMATICOS</t>
        </is>
      </c>
      <c r="J36" s="6" t="inlineStr">
        <is>
          <t>-</t>
        </is>
      </c>
      <c r="K36" s="8" t="n">
        <v>-1559.63</v>
      </c>
      <c r="L36" s="8" t="n">
        <v>-1559.63</v>
      </c>
      <c r="M36" s="8" t="n">
        <v>-1559.63</v>
      </c>
      <c r="N36" s="8" t="n">
        <v>-1559.63</v>
      </c>
      <c r="O36" s="8" t="n">
        <v>-1559.63</v>
      </c>
      <c r="P36" s="8" t="n">
        <v>-1559.63</v>
      </c>
      <c r="Q36" s="8" t="n">
        <v>-1559.63</v>
      </c>
      <c r="R36" s="8" t="n">
        <v>-1559.63</v>
      </c>
      <c r="S36" s="8" t="n">
        <v>-1559.63</v>
      </c>
      <c r="T36" s="8" t="n">
        <v>-1559.63</v>
      </c>
      <c r="U36" s="8" t="n">
        <v>-1559.63</v>
      </c>
      <c r="V36" s="8" t="n">
        <v>-1559.63</v>
      </c>
      <c r="W36" s="9">
        <f>SUM(K36:V36)</f>
        <v/>
      </c>
      <c r="X36" s="10" t="inlineStr">
        <is>
          <t>Coste operativo menor de planta: proyección basada en el promedio mensual consolidado.</t>
        </is>
      </c>
    </row>
    <row r="37" ht="18" customHeight="1">
      <c r="B37" s="6" t="n">
        <v>2027</v>
      </c>
      <c r="C37" s="6" t="inlineStr">
        <is>
          <t>Codiagro</t>
        </is>
      </c>
      <c r="D37" s="7" t="inlineStr">
        <is>
          <t>RESULTADO DEL EJERCICIO</t>
        </is>
      </c>
      <c r="E37" s="7" t="inlineStr">
        <is>
          <t>RESULTADO ANTES DE IMPUESTOS</t>
        </is>
      </c>
      <c r="F37" s="7" t="inlineStr">
        <is>
          <t>RESULTADO DE LA EXPLOTACION</t>
        </is>
      </c>
      <c r="G37" s="7" t="inlineStr">
        <is>
          <t>4.- Aprovisionamientos</t>
        </is>
      </c>
      <c r="H37" s="7" t="inlineStr">
        <is>
          <t>(602) Compras de otros aprovisionamientos</t>
        </is>
      </c>
      <c r="I37" s="7" t="inlineStr">
        <is>
          <t>602000013 - COMPRA TINTA INPRESORA ETIQUETAS</t>
        </is>
      </c>
      <c r="J37" s="6" t="inlineStr">
        <is>
          <t>-</t>
        </is>
      </c>
      <c r="K37" s="8" t="n">
        <v>-2200</v>
      </c>
      <c r="L37" s="8" t="n">
        <v>-2600</v>
      </c>
      <c r="M37" s="8" t="n">
        <v>-2600</v>
      </c>
      <c r="N37" s="8" t="n">
        <v>-2600</v>
      </c>
      <c r="O37" s="8" t="n">
        <v>-2600</v>
      </c>
      <c r="P37" s="8" t="n">
        <v>-2600</v>
      </c>
      <c r="Q37" s="8" t="n">
        <v>-2600</v>
      </c>
      <c r="R37" s="8" t="n">
        <v>-2200</v>
      </c>
      <c r="S37" s="8" t="n">
        <v>-2200</v>
      </c>
      <c r="T37" s="8" t="n">
        <v>-2200</v>
      </c>
      <c r="U37" s="8" t="n">
        <v>-2600</v>
      </c>
      <c r="V37" s="8" t="n">
        <v>-2600</v>
      </c>
      <c r="W37" s="9">
        <f>SUM(K37:V37)</f>
        <v/>
      </c>
      <c r="X37" s="10" t="inlineStr">
        <is>
          <t>Coste semi-variable de consumibles de marcaje y codificación en planta según volumen fabril.</t>
        </is>
      </c>
    </row>
    <row r="38" ht="18" customHeight="1">
      <c r="B38" s="6" t="n">
        <v>2027</v>
      </c>
      <c r="C38" s="6" t="inlineStr">
        <is>
          <t>Codiagro</t>
        </is>
      </c>
      <c r="D38" s="7" t="inlineStr">
        <is>
          <t>RESULTADO DEL EJERCICIO</t>
        </is>
      </c>
      <c r="E38" s="7" t="inlineStr">
        <is>
          <t>RESULTADO ANTES DE IMPUESTOS</t>
        </is>
      </c>
      <c r="F38" s="7" t="inlineStr">
        <is>
          <t>RESULTADO DE LA EXPLOTACION</t>
        </is>
      </c>
      <c r="G38" s="7" t="inlineStr">
        <is>
          <t>4.- Aprovisionamientos</t>
        </is>
      </c>
      <c r="H38" s="7" t="inlineStr">
        <is>
          <t>(602) Compras de otros aprovisionamientos</t>
        </is>
      </c>
      <c r="I38" s="7" t="inlineStr">
        <is>
          <t>602000100 - ENVASES Y EMBALAJES A DEVOLVER</t>
        </is>
      </c>
      <c r="J38" s="6" t="inlineStr">
        <is>
          <t>-</t>
        </is>
      </c>
      <c r="K38" s="8" t="n">
        <v>-183.2</v>
      </c>
      <c r="L38" s="8" t="n">
        <v>-183.2</v>
      </c>
      <c r="M38" s="8" t="n">
        <v>-183.2</v>
      </c>
      <c r="N38" s="8" t="n">
        <v>-183.2</v>
      </c>
      <c r="O38" s="8" t="n">
        <v>-183.2</v>
      </c>
      <c r="P38" s="8" t="n">
        <v>-183.2</v>
      </c>
      <c r="Q38" s="8" t="n">
        <v>-183.2</v>
      </c>
      <c r="R38" s="8" t="n">
        <v>-183.2</v>
      </c>
      <c r="S38" s="8" t="n">
        <v>-183.2</v>
      </c>
      <c r="T38" s="8" t="n">
        <v>-183.2</v>
      </c>
      <c r="U38" s="8" t="n">
        <v>-183.2</v>
      </c>
      <c r="V38" s="8" t="n">
        <v>-183.2</v>
      </c>
      <c r="W38" s="9">
        <f>SUM(K38:V38)</f>
        <v/>
      </c>
      <c r="X38" s="10" t="inlineStr">
        <is>
          <t>Coste operativo menor de planta: proyección basada en el promedio mensual consolidado.</t>
        </is>
      </c>
    </row>
    <row r="39" ht="18" customHeight="1">
      <c r="B39" s="6" t="n">
        <v>2027</v>
      </c>
      <c r="C39" s="6" t="inlineStr">
        <is>
          <t>Codiagro</t>
        </is>
      </c>
      <c r="D39" s="7" t="inlineStr">
        <is>
          <t>RESULTADO DEL EJERCICIO</t>
        </is>
      </c>
      <c r="E39" s="7" t="inlineStr">
        <is>
          <t>RESULTADO ANTES DE IMPUESTOS</t>
        </is>
      </c>
      <c r="F39" s="7" t="inlineStr">
        <is>
          <t>RESULTADO DE LA EXPLOTACION</t>
        </is>
      </c>
      <c r="G39" s="7" t="inlineStr">
        <is>
          <t>4.- Aprovisionamientos</t>
        </is>
      </c>
      <c r="H39" s="7" t="inlineStr">
        <is>
          <t>(607) Trabajos realizados por otras empresas</t>
        </is>
      </c>
      <c r="I39" s="7" t="inlineStr">
        <is>
          <t>607000000 - Trabajos realizados por otras empresas</t>
        </is>
      </c>
      <c r="J39" s="6" t="inlineStr">
        <is>
          <t>-</t>
        </is>
      </c>
      <c r="K39" s="8" t="n">
        <v>-5500</v>
      </c>
      <c r="L39" s="8" t="n">
        <v>-7500</v>
      </c>
      <c r="M39" s="8" t="n">
        <v>-7500</v>
      </c>
      <c r="N39" s="8" t="n">
        <v>-7500</v>
      </c>
      <c r="O39" s="8" t="n">
        <v>-7500</v>
      </c>
      <c r="P39" s="8" t="n">
        <v>-7500</v>
      </c>
      <c r="Q39" s="8" t="n">
        <v>-7500</v>
      </c>
      <c r="R39" s="8" t="n">
        <v>-5500</v>
      </c>
      <c r="S39" s="8" t="n">
        <v>-5500</v>
      </c>
      <c r="T39" s="8" t="n">
        <v>-5500</v>
      </c>
      <c r="U39" s="8" t="n">
        <v>-7500</v>
      </c>
      <c r="V39" s="8" t="n">
        <v>-7500</v>
      </c>
      <c r="W39" s="9">
        <f>SUM(K39:V39)</f>
        <v/>
      </c>
      <c r="X39" s="10" t="inlineStr">
        <is>
          <t>Coste variable: subcontratación y apoyos externos de formulación según picos de carga fabril.</t>
        </is>
      </c>
    </row>
    <row r="40" ht="18" customHeight="1">
      <c r="B40" s="6" t="n">
        <v>2027</v>
      </c>
      <c r="C40" s="6" t="inlineStr">
        <is>
          <t>Codiagro</t>
        </is>
      </c>
      <c r="D40" s="7" t="inlineStr">
        <is>
          <t>RESULTADO DEL EJERCICIO</t>
        </is>
      </c>
      <c r="E40" s="7" t="inlineStr">
        <is>
          <t>RESULTADO ANTES DE IMPUESTOS</t>
        </is>
      </c>
      <c r="F40" s="7" t="inlineStr">
        <is>
          <t>RESULTADO DE LA EXPLOTACION</t>
        </is>
      </c>
      <c r="G40" s="7" t="inlineStr">
        <is>
          <t>4.- Aprovisionamientos</t>
        </is>
      </c>
      <c r="H40" s="7" t="inlineStr">
        <is>
          <t>(611) Variación de existencias de materias primas</t>
        </is>
      </c>
      <c r="I40" s="7" t="inlineStr">
        <is>
          <t>611000000 - Variación de existencias de materias primas</t>
        </is>
      </c>
      <c r="J40" s="6" t="inlineStr">
        <is>
          <t>-</t>
        </is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-15000</v>
      </c>
      <c r="W40" s="9">
        <f>SUM(K40:V40)</f>
        <v/>
      </c>
      <c r="X40" s="10" t="inlineStr">
        <is>
          <t>Ajuste previsional de variación de existencias para regularización de inventarios a cierre de ejercicio.</t>
        </is>
      </c>
    </row>
    <row r="41" ht="18" customHeight="1">
      <c r="B41" s="6" t="n">
        <v>2027</v>
      </c>
      <c r="C41" s="6" t="inlineStr">
        <is>
          <t>Codiagro</t>
        </is>
      </c>
      <c r="D41" s="7" t="inlineStr">
        <is>
          <t>RESULTADO DEL EJERCICIO</t>
        </is>
      </c>
      <c r="E41" s="7" t="inlineStr">
        <is>
          <t>RESULTADO ANTES DE IMPUESTOS</t>
        </is>
      </c>
      <c r="F41" s="7" t="inlineStr">
        <is>
          <t>RESULTADO DE LA EXPLOTACION</t>
        </is>
      </c>
      <c r="G41" s="7" t="inlineStr">
        <is>
          <t>4.- Aprovisionamientos</t>
        </is>
      </c>
      <c r="H41" s="7" t="inlineStr">
        <is>
          <t>(612) Variación de existencias envases/etiquetas</t>
        </is>
      </c>
      <c r="I41" s="7" t="inlineStr">
        <is>
          <t>612000000 - Variación de existencias otros aprovisionamientos</t>
        </is>
      </c>
      <c r="J41" s="6" t="inlineStr">
        <is>
          <t>-</t>
        </is>
      </c>
      <c r="K41" s="8" t="n">
        <v>0</v>
      </c>
      <c r="L41" s="8" t="n">
        <v>0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10000</v>
      </c>
      <c r="W41" s="9">
        <f>SUM(K41:V41)</f>
        <v/>
      </c>
      <c r="X41" s="10" t="inlineStr">
        <is>
          <t>Ajuste previsional de variación de existencias otros aprovisionamientos a cierre de ejercicio.</t>
        </is>
      </c>
    </row>
    <row r="42" ht="18" customHeight="1">
      <c r="B42" s="6" t="n">
        <v>2027</v>
      </c>
      <c r="C42" s="6" t="inlineStr">
        <is>
          <t>Codiagro</t>
        </is>
      </c>
      <c r="D42" s="7" t="inlineStr">
        <is>
          <t>RESULTADO DEL EJERCICIO</t>
        </is>
      </c>
      <c r="E42" s="7" t="inlineStr">
        <is>
          <t>RESULTADO ANTES DE IMPUESTOS</t>
        </is>
      </c>
      <c r="F42" s="7" t="inlineStr">
        <is>
          <t>RESULTADO DE LA EXPLOTACION</t>
        </is>
      </c>
      <c r="G42" s="7" t="inlineStr">
        <is>
          <t>5.- Otros ingresos de explotación</t>
        </is>
      </c>
      <c r="H42" s="7" t="inlineStr">
        <is>
          <t>(759) Otros ingresos de gestión</t>
        </is>
      </c>
      <c r="I42" s="7" t="inlineStr">
        <is>
          <t>759000000 - Ingresos por servicios diversos</t>
        </is>
      </c>
      <c r="J42" s="6" t="inlineStr">
        <is>
          <t>-</t>
        </is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9">
        <f>SUM(K42:V42)</f>
        <v/>
      </c>
      <c r="X42" s="10" t="inlineStr">
        <is>
          <t>Cuenta inactiva / sin saldo previsto en 2027.</t>
        </is>
      </c>
    </row>
    <row r="43" ht="18" customHeight="1">
      <c r="B43" s="6" t="n">
        <v>2027</v>
      </c>
      <c r="C43" s="6" t="inlineStr">
        <is>
          <t>Codiagro</t>
        </is>
      </c>
      <c r="D43" s="7" t="inlineStr">
        <is>
          <t>RESULTADO DEL EJERCICIO</t>
        </is>
      </c>
      <c r="E43" s="7" t="inlineStr">
        <is>
          <t>RESULTADO ANTES DE IMPUESTOS</t>
        </is>
      </c>
      <c r="F43" s="7" t="inlineStr">
        <is>
          <t>RESULTADO DE LA EXPLOTACION</t>
        </is>
      </c>
      <c r="G43" s="7" t="inlineStr">
        <is>
          <t>6.- Gastos de personal</t>
        </is>
      </c>
      <c r="H43" s="7" t="inlineStr">
        <is>
          <t>(640) Sueldos y salarios</t>
        </is>
      </c>
      <c r="I43" s="7" t="inlineStr">
        <is>
          <t>640000000 - Sueldos y salarios</t>
        </is>
      </c>
      <c r="J43" s="6" t="inlineStr">
        <is>
          <t>-</t>
        </is>
      </c>
      <c r="K43" s="8" t="n">
        <v>-127379.94</v>
      </c>
      <c r="L43" s="8" t="n">
        <v>-127379.94</v>
      </c>
      <c r="M43" s="8" t="n">
        <v>-127379.94</v>
      </c>
      <c r="N43" s="8" t="n">
        <v>-127379.94</v>
      </c>
      <c r="O43" s="8" t="n">
        <v>-127379.94</v>
      </c>
      <c r="P43" s="8" t="n">
        <v>-127379.94</v>
      </c>
      <c r="Q43" s="8" t="n">
        <v>-127379.94</v>
      </c>
      <c r="R43" s="8" t="n">
        <v>-127379.94</v>
      </c>
      <c r="S43" s="8" t="n">
        <v>-127379.94</v>
      </c>
      <c r="T43" s="8" t="n">
        <v>-127379.94</v>
      </c>
      <c r="U43" s="8" t="n">
        <v>-127379.94</v>
      </c>
      <c r="V43" s="8" t="n">
        <v>-404896.66</v>
      </c>
      <c r="W43" s="9">
        <f>SUM(K43:V43)</f>
        <v/>
      </c>
      <c r="X43" s="10" t="inlineStr">
        <is>
          <t>Sueldos y salarios definitivos 2027 (V3): -1.806.076,00 € brutos. Reparto mensual proporcional al histórico: -127.379,94 €/mes (Ene-Nov) y -404.896,66 € en Dic (pagas extras y regularización).</t>
        </is>
      </c>
    </row>
    <row r="44" ht="18" customHeight="1">
      <c r="B44" s="6" t="n">
        <v>2027</v>
      </c>
      <c r="C44" s="6" t="inlineStr">
        <is>
          <t>Codiagro</t>
        </is>
      </c>
      <c r="D44" s="7" t="inlineStr">
        <is>
          <t>RESULTADO DEL EJERCICIO</t>
        </is>
      </c>
      <c r="E44" s="7" t="inlineStr">
        <is>
          <t>RESULTADO ANTES DE IMPUESTOS</t>
        </is>
      </c>
      <c r="F44" s="7" t="inlineStr">
        <is>
          <t>RESULTADO DE LA EXPLOTACION</t>
        </is>
      </c>
      <c r="G44" s="7" t="inlineStr">
        <is>
          <t>6.- Gastos de personal</t>
        </is>
      </c>
      <c r="H44" s="7" t="inlineStr">
        <is>
          <t>(642) Seguridad social a cargo empresa</t>
        </is>
      </c>
      <c r="I44" s="7" t="inlineStr">
        <is>
          <t>642000000 - Seguridad Social a cargo empresa</t>
        </is>
      </c>
      <c r="J44" s="6" t="inlineStr">
        <is>
          <t>-</t>
        </is>
      </c>
      <c r="K44" s="8" t="n">
        <v>-35002.8</v>
      </c>
      <c r="L44" s="8" t="n">
        <v>-35002.8</v>
      </c>
      <c r="M44" s="8" t="n">
        <v>-35002.8</v>
      </c>
      <c r="N44" s="8" t="n">
        <v>-35002.8</v>
      </c>
      <c r="O44" s="8" t="n">
        <v>-35002.8</v>
      </c>
      <c r="P44" s="8" t="n">
        <v>-35002.8</v>
      </c>
      <c r="Q44" s="8" t="n">
        <v>-35002.8</v>
      </c>
      <c r="R44" s="8" t="n">
        <v>-35002.8</v>
      </c>
      <c r="S44" s="8" t="n">
        <v>-35002.8</v>
      </c>
      <c r="T44" s="8" t="n">
        <v>-35002.8</v>
      </c>
      <c r="U44" s="8" t="n">
        <v>-35002.8</v>
      </c>
      <c r="V44" s="8" t="n">
        <v>-35002.8</v>
      </c>
      <c r="W44" s="9">
        <f>SUM(K44:V44)</f>
        <v/>
      </c>
      <c r="X44" s="10" t="inlineStr">
        <is>
          <t>Seguridad Social a cargo de la empresa definitiva 2027 (V3): -420.033,60 €. Reparto lineal uniforme: -35.002,80 €/mes.</t>
        </is>
      </c>
    </row>
    <row r="45" ht="18" customHeight="1">
      <c r="B45" s="6" t="n">
        <v>2027</v>
      </c>
      <c r="C45" s="6" t="inlineStr">
        <is>
          <t>Codiagro</t>
        </is>
      </c>
      <c r="D45" s="7" t="inlineStr">
        <is>
          <t>RESULTADO DEL EJERCICIO</t>
        </is>
      </c>
      <c r="E45" s="7" t="inlineStr">
        <is>
          <t>RESULTADO ANTES DE IMPUESTOS</t>
        </is>
      </c>
      <c r="F45" s="7" t="inlineStr">
        <is>
          <t>RESULTADO DE LA EXPLOTACION</t>
        </is>
      </c>
      <c r="G45" s="7" t="inlineStr">
        <is>
          <t>6.- Gastos de personal</t>
        </is>
      </c>
      <c r="H45" s="7" t="inlineStr">
        <is>
          <t>(649) Otros gastos sociales</t>
        </is>
      </c>
      <c r="I45" s="7" t="inlineStr">
        <is>
          <t>649000000 - Otros gastos sociales</t>
        </is>
      </c>
      <c r="J45" s="6" t="inlineStr">
        <is>
          <t>-</t>
        </is>
      </c>
      <c r="K45" s="8" t="n">
        <v>0</v>
      </c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9">
        <f>SUM(K45:V45)</f>
        <v/>
      </c>
      <c r="X45" s="10" t="inlineStr">
        <is>
          <t>Cuenta inactiva / sin saldo previsto en 2027.</t>
        </is>
      </c>
    </row>
    <row r="46" ht="18" customHeight="1">
      <c r="B46" s="6" t="n">
        <v>2027</v>
      </c>
      <c r="C46" s="6" t="inlineStr">
        <is>
          <t>Codiagro</t>
        </is>
      </c>
      <c r="D46" s="7" t="inlineStr">
        <is>
          <t>RESULTADO DEL EJERCICIO</t>
        </is>
      </c>
      <c r="E46" s="7" t="inlineStr">
        <is>
          <t>RESULTADO ANTES DE IMPUESTOS</t>
        </is>
      </c>
      <c r="F46" s="7" t="inlineStr">
        <is>
          <t>RESULTADO DE LA EXPLOTACION</t>
        </is>
      </c>
      <c r="G46" s="7" t="inlineStr">
        <is>
          <t>6.- Gastos de personal</t>
        </is>
      </c>
      <c r="H46" s="7" t="inlineStr">
        <is>
          <t>(649) Otros gastos sociales</t>
        </is>
      </c>
      <c r="I46" s="7" t="inlineStr">
        <is>
          <t>649000001 - GASTOS COMERCIALES NIEVES RUIZ</t>
        </is>
      </c>
      <c r="J46" s="6" t="inlineStr">
        <is>
          <t>-</t>
        </is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9">
        <f>SUM(K46:V46)</f>
        <v/>
      </c>
      <c r="X46" s="10" t="inlineStr">
        <is>
          <t>Cuenta inactiva / sin saldo previsto en 2027.</t>
        </is>
      </c>
    </row>
    <row r="47" ht="18" customHeight="1">
      <c r="B47" s="6" t="n">
        <v>2027</v>
      </c>
      <c r="C47" s="6" t="inlineStr">
        <is>
          <t>Codiagro</t>
        </is>
      </c>
      <c r="D47" s="7" t="inlineStr">
        <is>
          <t>RESULTADO DEL EJERCICIO</t>
        </is>
      </c>
      <c r="E47" s="7" t="inlineStr">
        <is>
          <t>RESULTADO ANTES DE IMPUESTOS</t>
        </is>
      </c>
      <c r="F47" s="7" t="inlineStr">
        <is>
          <t>RESULTADO DE LA EXPLOTACION</t>
        </is>
      </c>
      <c r="G47" s="7" t="inlineStr">
        <is>
          <t>6.- Gastos de personal</t>
        </is>
      </c>
      <c r="H47" s="7" t="inlineStr">
        <is>
          <t>(649) Otros gastos sociales</t>
        </is>
      </c>
      <c r="I47" s="7" t="inlineStr">
        <is>
          <t>649000002 - GASTOS EMPR. ANTONIO ANDREU</t>
        </is>
      </c>
      <c r="J47" s="6" t="inlineStr">
        <is>
          <t>-</t>
        </is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9">
        <f>SUM(K47:V47)</f>
        <v/>
      </c>
      <c r="X47" s="10" t="inlineStr">
        <is>
          <t>Cuenta inactiva / sin saldo previsto en 2027.</t>
        </is>
      </c>
    </row>
    <row r="48" ht="18" customHeight="1">
      <c r="B48" s="6" t="n">
        <v>2027</v>
      </c>
      <c r="C48" s="6" t="inlineStr">
        <is>
          <t>Codiagro</t>
        </is>
      </c>
      <c r="D48" s="7" t="inlineStr">
        <is>
          <t>RESULTADO DEL EJERCICIO</t>
        </is>
      </c>
      <c r="E48" s="7" t="inlineStr">
        <is>
          <t>RESULTADO ANTES DE IMPUESTOS</t>
        </is>
      </c>
      <c r="F48" s="7" t="inlineStr">
        <is>
          <t>RESULTADO DE LA EXPLOTACION</t>
        </is>
      </c>
      <c r="G48" s="7" t="inlineStr">
        <is>
          <t>6.- Gastos de personal</t>
        </is>
      </c>
      <c r="H48" s="7" t="inlineStr">
        <is>
          <t>(649) Otros gastos sociales</t>
        </is>
      </c>
      <c r="I48" s="7" t="inlineStr">
        <is>
          <t>649000004 - GASTOS COMERCIALES RICARDO PEREZ</t>
        </is>
      </c>
      <c r="J48" s="6" t="inlineStr">
        <is>
          <t>-</t>
        </is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9">
        <f>SUM(K48:V48)</f>
        <v/>
      </c>
      <c r="X48" s="10" t="inlineStr">
        <is>
          <t>Cuenta inactiva / sin saldo previsto en 2027.</t>
        </is>
      </c>
    </row>
    <row r="49" ht="18" customHeight="1">
      <c r="B49" s="6" t="n">
        <v>2027</v>
      </c>
      <c r="C49" s="6" t="inlineStr">
        <is>
          <t>Codiagro</t>
        </is>
      </c>
      <c r="D49" s="7" t="inlineStr">
        <is>
          <t>RESULTADO DEL EJERCICIO</t>
        </is>
      </c>
      <c r="E49" s="7" t="inlineStr">
        <is>
          <t>RESULTADO ANTES DE IMPUESTOS</t>
        </is>
      </c>
      <c r="F49" s="7" t="inlineStr">
        <is>
          <t>RESULTADO DE LA EXPLOTACION</t>
        </is>
      </c>
      <c r="G49" s="7" t="inlineStr">
        <is>
          <t>6.- Gastos de personal</t>
        </is>
      </c>
      <c r="H49" s="7" t="inlineStr">
        <is>
          <t>(649) Otros gastos sociales</t>
        </is>
      </c>
      <c r="I49" s="7" t="inlineStr">
        <is>
          <t>649000007 - GASTOS COMERCIALES J.PAREDES</t>
        </is>
      </c>
      <c r="J49" s="6" t="inlineStr">
        <is>
          <t>-</t>
        </is>
      </c>
      <c r="K49" s="8" t="n">
        <v>0</v>
      </c>
      <c r="L49" s="8" t="n">
        <v>0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9">
        <f>SUM(K49:V49)</f>
        <v/>
      </c>
      <c r="X49" s="10" t="inlineStr">
        <is>
          <t>Cuenta inactiva / sin saldo previsto en 2027.</t>
        </is>
      </c>
    </row>
    <row r="50" ht="18" customHeight="1">
      <c r="B50" s="6" t="n">
        <v>2027</v>
      </c>
      <c r="C50" s="6" t="inlineStr">
        <is>
          <t>Codiagro</t>
        </is>
      </c>
      <c r="D50" s="7" t="inlineStr">
        <is>
          <t>RESULTADO DEL EJERCICIO</t>
        </is>
      </c>
      <c r="E50" s="7" t="inlineStr">
        <is>
          <t>RESULTADO ANTES DE IMPUESTOS</t>
        </is>
      </c>
      <c r="F50" s="7" t="inlineStr">
        <is>
          <t>RESULTADO DE LA EXPLOTACION</t>
        </is>
      </c>
      <c r="G50" s="7" t="inlineStr">
        <is>
          <t>6.- Gastos de personal</t>
        </is>
      </c>
      <c r="H50" s="7" t="inlineStr">
        <is>
          <t>(649) Otros gastos sociales</t>
        </is>
      </c>
      <c r="I50" s="7" t="inlineStr">
        <is>
          <t>649000009 - GASTOS COMERCIALES J.A. GARCIA</t>
        </is>
      </c>
      <c r="J50" s="6" t="inlineStr">
        <is>
          <t>-</t>
        </is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9">
        <f>SUM(K50:V50)</f>
        <v/>
      </c>
      <c r="X50" s="10" t="inlineStr">
        <is>
          <t>Cuenta inactiva / sin saldo previsto en 2027.</t>
        </is>
      </c>
    </row>
    <row r="51" ht="18" customHeight="1">
      <c r="B51" s="6" t="n">
        <v>2027</v>
      </c>
      <c r="C51" s="6" t="inlineStr">
        <is>
          <t>Codiagro</t>
        </is>
      </c>
      <c r="D51" s="7" t="inlineStr">
        <is>
          <t>RESULTADO DEL EJERCICIO</t>
        </is>
      </c>
      <c r="E51" s="7" t="inlineStr">
        <is>
          <t>RESULTADO ANTES DE IMPUESTOS</t>
        </is>
      </c>
      <c r="F51" s="7" t="inlineStr">
        <is>
          <t>RESULTADO DE LA EXPLOTACION</t>
        </is>
      </c>
      <c r="G51" s="7" t="inlineStr">
        <is>
          <t>6.- Gastos de personal</t>
        </is>
      </c>
      <c r="H51" s="7" t="inlineStr">
        <is>
          <t>(649) Otros gastos sociales</t>
        </is>
      </c>
      <c r="I51" s="7" t="inlineStr">
        <is>
          <t>649000010 - GASTOS EMP. CURRO</t>
        </is>
      </c>
      <c r="J51" s="6" t="inlineStr">
        <is>
          <t>-</t>
        </is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9">
        <f>SUM(K51:V51)</f>
        <v/>
      </c>
      <c r="X51" s="10" t="inlineStr">
        <is>
          <t>Cuenta inactiva / sin saldo previsto en 2027.</t>
        </is>
      </c>
    </row>
    <row r="52" ht="18" customHeight="1">
      <c r="B52" s="6" t="n">
        <v>2027</v>
      </c>
      <c r="C52" s="6" t="inlineStr">
        <is>
          <t>Codiagro</t>
        </is>
      </c>
      <c r="D52" s="7" t="inlineStr">
        <is>
          <t>RESULTADO DEL EJERCICIO</t>
        </is>
      </c>
      <c r="E52" s="7" t="inlineStr">
        <is>
          <t>RESULTADO ANTES DE IMPUESTOS</t>
        </is>
      </c>
      <c r="F52" s="7" t="inlineStr">
        <is>
          <t>RESULTADO DE LA EXPLOTACION</t>
        </is>
      </c>
      <c r="G52" s="7" t="inlineStr">
        <is>
          <t>6.- Gastos de personal</t>
        </is>
      </c>
      <c r="H52" s="7" t="inlineStr">
        <is>
          <t>(649) Otros gastos sociales</t>
        </is>
      </c>
      <c r="I52" s="7" t="inlineStr">
        <is>
          <t>649000012 - GASTOS COMERCIALES IRENE GARCIA</t>
        </is>
      </c>
      <c r="J52" s="6" t="inlineStr">
        <is>
          <t>-</t>
        </is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9">
        <f>SUM(K52:V52)</f>
        <v/>
      </c>
      <c r="X52" s="10" t="inlineStr">
        <is>
          <t>Cuenta inactiva / sin saldo previsto en 2027.</t>
        </is>
      </c>
    </row>
    <row r="53" ht="18" customHeight="1">
      <c r="B53" s="6" t="n">
        <v>2027</v>
      </c>
      <c r="C53" s="6" t="inlineStr">
        <is>
          <t>Codiagro</t>
        </is>
      </c>
      <c r="D53" s="7" t="inlineStr">
        <is>
          <t>RESULTADO DEL EJERCICIO</t>
        </is>
      </c>
      <c r="E53" s="7" t="inlineStr">
        <is>
          <t>RESULTADO ANTES DE IMPUESTOS</t>
        </is>
      </c>
      <c r="F53" s="7" t="inlineStr">
        <is>
          <t>RESULTADO DE LA EXPLOTACION</t>
        </is>
      </c>
      <c r="G53" s="7" t="inlineStr">
        <is>
          <t>6.- Gastos de personal</t>
        </is>
      </c>
      <c r="H53" s="7" t="inlineStr">
        <is>
          <t>(649) Otros gastos sociales</t>
        </is>
      </c>
      <c r="I53" s="7" t="inlineStr">
        <is>
          <t>649000100 - GTOS. CURSOS PERSONAL</t>
        </is>
      </c>
      <c r="J53" s="6" t="inlineStr">
        <is>
          <t>-</t>
        </is>
      </c>
      <c r="K53" s="8" t="n">
        <v>0</v>
      </c>
      <c r="L53" s="8" t="n">
        <v>0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-1000</v>
      </c>
      <c r="V53" s="8" t="n">
        <v>-1500</v>
      </c>
      <c r="W53" s="9">
        <f>SUM(K53:V53)</f>
        <v/>
      </c>
      <c r="X53" s="10" t="inlineStr">
        <is>
          <t>Formación bonificada y capacitación técnica del personal.</t>
        </is>
      </c>
    </row>
    <row r="54" ht="18" customHeight="1">
      <c r="B54" s="6" t="n">
        <v>2027</v>
      </c>
      <c r="C54" s="6" t="inlineStr">
        <is>
          <t>Codiagro</t>
        </is>
      </c>
      <c r="D54" s="7" t="inlineStr">
        <is>
          <t>RESULTADO DEL EJERCICIO</t>
        </is>
      </c>
      <c r="E54" s="7" t="inlineStr">
        <is>
          <t>RESULTADO ANTES DE IMPUESTOS</t>
        </is>
      </c>
      <c r="F54" s="7" t="inlineStr">
        <is>
          <t>RESULTADO DE LA EXPLOTACION</t>
        </is>
      </c>
      <c r="G54" s="7" t="inlineStr">
        <is>
          <t>6.- Gastos de personal</t>
        </is>
      </c>
      <c r="H54" s="7" t="inlineStr">
        <is>
          <t>(649) Otros gastos sociales</t>
        </is>
      </c>
      <c r="I54" s="7" t="inlineStr">
        <is>
          <t>649000101 - GTOS. SEG. Y RIESGOS PERSONAL</t>
        </is>
      </c>
      <c r="J54" s="6" t="inlineStr">
        <is>
          <t>-</t>
        </is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9">
        <f>SUM(K54:V54)</f>
        <v/>
      </c>
      <c r="X54" s="10" t="inlineStr">
        <is>
          <t>Cuenta inactiva / sin saldo previsto en 2027.</t>
        </is>
      </c>
    </row>
    <row r="55" ht="18" customHeight="1">
      <c r="B55" s="6" t="n">
        <v>2027</v>
      </c>
      <c r="C55" s="6" t="inlineStr">
        <is>
          <t>Codiagro</t>
        </is>
      </c>
      <c r="D55" s="7" t="inlineStr">
        <is>
          <t>RESULTADO DEL EJERCICIO</t>
        </is>
      </c>
      <c r="E55" s="7" t="inlineStr">
        <is>
          <t>RESULTADO ANTES DE IMPUESTOS</t>
        </is>
      </c>
      <c r="F55" s="7" t="inlineStr">
        <is>
          <t>RESULTADO DE LA EXPLOTACION</t>
        </is>
      </c>
      <c r="G55" s="7" t="inlineStr">
        <is>
          <t>6.- Gastos de personal</t>
        </is>
      </c>
      <c r="H55" s="7" t="inlineStr">
        <is>
          <t>(649) Otros gastos sociales</t>
        </is>
      </c>
      <c r="I55" s="7" t="inlineStr">
        <is>
          <t>649000102 - GASTOS ROPA UNIFORMES TRABAJADORES</t>
        </is>
      </c>
      <c r="J55" s="6" t="inlineStr">
        <is>
          <t>-</t>
        </is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9">
        <f>SUM(K55:V55)</f>
        <v/>
      </c>
      <c r="X55" s="10" t="inlineStr">
        <is>
          <t>Cuenta inactiva / sin saldo previsto en 2027.</t>
        </is>
      </c>
    </row>
    <row r="56" ht="18" customHeight="1">
      <c r="B56" s="6" t="n">
        <v>2027</v>
      </c>
      <c r="C56" s="6" t="inlineStr">
        <is>
          <t>Codiagro</t>
        </is>
      </c>
      <c r="D56" s="7" t="inlineStr">
        <is>
          <t>RESULTADO DEL EJERCICIO</t>
        </is>
      </c>
      <c r="E56" s="7" t="inlineStr">
        <is>
          <t>RESULTADO ANTES DE IMPUESTOS</t>
        </is>
      </c>
      <c r="F56" s="7" t="inlineStr">
        <is>
          <t>RESULTADO DE LA EXPLOTACION</t>
        </is>
      </c>
      <c r="G56" s="7" t="inlineStr">
        <is>
          <t>6.- Gastos de personal</t>
        </is>
      </c>
      <c r="H56" s="7" t="inlineStr">
        <is>
          <t>(649) Otros gastos sociales</t>
        </is>
      </c>
      <c r="I56" s="7" t="inlineStr">
        <is>
          <t>649000103 - GASTOS COMBUSTIBLE TRAB.</t>
        </is>
      </c>
      <c r="J56" s="6" t="inlineStr">
        <is>
          <t>-</t>
        </is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9">
        <f>SUM(K56:V56)</f>
        <v/>
      </c>
      <c r="X56" s="10" t="inlineStr">
        <is>
          <t>Cuenta inactiva / sin saldo previsto en 2027.</t>
        </is>
      </c>
    </row>
    <row r="57" ht="18" customHeight="1">
      <c r="B57" s="6" t="n">
        <v>2027</v>
      </c>
      <c r="C57" s="6" t="inlineStr">
        <is>
          <t>Codiagro</t>
        </is>
      </c>
      <c r="D57" s="7" t="inlineStr">
        <is>
          <t>RESULTADO DEL EJERCICIO</t>
        </is>
      </c>
      <c r="E57" s="7" t="inlineStr">
        <is>
          <t>RESULTADO ANTES DE IMPUESTOS</t>
        </is>
      </c>
      <c r="F57" s="7" t="inlineStr">
        <is>
          <t>RESULTADO DE LA EXPLOTACION</t>
        </is>
      </c>
      <c r="G57" s="7" t="inlineStr">
        <is>
          <t>6.- Gastos de personal</t>
        </is>
      </c>
      <c r="H57" s="7" t="inlineStr">
        <is>
          <t>(649) Otros gastos sociales</t>
        </is>
      </c>
      <c r="I57" s="7" t="inlineStr">
        <is>
          <t>649100001 - GTOS. COMIDAS TRAB.</t>
        </is>
      </c>
      <c r="J57" s="6" t="inlineStr">
        <is>
          <t>-</t>
        </is>
      </c>
      <c r="K57" s="8" t="n">
        <v>0</v>
      </c>
      <c r="L57" s="8" t="n">
        <v>0</v>
      </c>
      <c r="M57" s="8" t="n">
        <v>0</v>
      </c>
      <c r="N57" s="8" t="n">
        <v>0</v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9">
        <f>SUM(K57:V57)</f>
        <v/>
      </c>
      <c r="X57" s="10" t="inlineStr">
        <is>
          <t>Cuenta inactiva / sin saldo previsto en 2027.</t>
        </is>
      </c>
    </row>
    <row r="58" ht="18" customHeight="1">
      <c r="B58" s="6" t="n">
        <v>2027</v>
      </c>
      <c r="C58" s="6" t="inlineStr">
        <is>
          <t>Codiagro</t>
        </is>
      </c>
      <c r="D58" s="7" t="inlineStr">
        <is>
          <t>RESULTADO DEL EJERCICIO</t>
        </is>
      </c>
      <c r="E58" s="7" t="inlineStr">
        <is>
          <t>RESULTADO ANTES DE IMPUESTOS</t>
        </is>
      </c>
      <c r="F58" s="7" t="inlineStr">
        <is>
          <t>RESULTADO DE LA EXPLOTACION</t>
        </is>
      </c>
      <c r="G58" s="7" t="inlineStr">
        <is>
          <t>6.- Gastos de personal</t>
        </is>
      </c>
      <c r="H58" s="7" t="inlineStr">
        <is>
          <t>(649) Otros gastos sociales</t>
        </is>
      </c>
      <c r="I58" s="7" t="inlineStr">
        <is>
          <t>649100002 - GASTOS TRAB. EMPRESA VARIOS</t>
        </is>
      </c>
      <c r="J58" s="6" t="inlineStr">
        <is>
          <t>-</t>
        </is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9">
        <f>SUM(K58:V58)</f>
        <v/>
      </c>
      <c r="X58" s="10" t="inlineStr">
        <is>
          <t>Cuenta inactiva / sin saldo previsto en 2027.</t>
        </is>
      </c>
    </row>
    <row r="59" ht="18" customHeight="1">
      <c r="B59" s="6" t="n">
        <v>2027</v>
      </c>
      <c r="C59" s="6" t="inlineStr">
        <is>
          <t>Codiagro</t>
        </is>
      </c>
      <c r="D59" s="7" t="inlineStr">
        <is>
          <t>RESULTADO DEL EJERCICIO</t>
        </is>
      </c>
      <c r="E59" s="7" t="inlineStr">
        <is>
          <t>RESULTADO ANTES DE IMPUESTOS</t>
        </is>
      </c>
      <c r="F59" s="7" t="inlineStr">
        <is>
          <t>RESULTADO DE LA EXPLOTACION</t>
        </is>
      </c>
      <c r="G59" s="7" t="inlineStr">
        <is>
          <t>7.- Otros gastos de explotación</t>
        </is>
      </c>
      <c r="H59" s="7" t="inlineStr">
        <is>
          <t>(620) Gastos de investigación y desarrollo</t>
        </is>
      </c>
      <c r="I59" s="7" t="inlineStr">
        <is>
          <t>620000002 - COMPRAS LABORATORIO</t>
        </is>
      </c>
      <c r="J59" s="6" t="inlineStr">
        <is>
          <t>-</t>
        </is>
      </c>
      <c r="K59" s="8" t="n">
        <v>-322.5</v>
      </c>
      <c r="L59" s="8" t="n">
        <v>-322.5</v>
      </c>
      <c r="M59" s="8" t="n">
        <v>-322.5</v>
      </c>
      <c r="N59" s="8" t="n">
        <v>-322.5</v>
      </c>
      <c r="O59" s="8" t="n">
        <v>-322.5</v>
      </c>
      <c r="P59" s="8" t="n">
        <v>-322.5</v>
      </c>
      <c r="Q59" s="8" t="n">
        <v>-322.5</v>
      </c>
      <c r="R59" s="8" t="n">
        <v>-322.5</v>
      </c>
      <c r="S59" s="8" t="n">
        <v>-322.5</v>
      </c>
      <c r="T59" s="8" t="n">
        <v>-322.5</v>
      </c>
      <c r="U59" s="8" t="n">
        <v>-322.5</v>
      </c>
      <c r="V59" s="8" t="n">
        <v>-322.5</v>
      </c>
      <c r="W59" s="9">
        <f>SUM(K59:V59)</f>
        <v/>
      </c>
      <c r="X59" s="10" t="inlineStr">
        <is>
          <t>Coste estratégico de I+D: ensayos agronómicos de eficacia y desarrollo de bioestimulantes.</t>
        </is>
      </c>
    </row>
    <row r="60" ht="18" customHeight="1">
      <c r="B60" s="6" t="n">
        <v>2027</v>
      </c>
      <c r="C60" s="6" t="inlineStr">
        <is>
          <t>Codiagro</t>
        </is>
      </c>
      <c r="D60" s="7" t="inlineStr">
        <is>
          <t>RESULTADO DEL EJERCICIO</t>
        </is>
      </c>
      <c r="E60" s="7" t="inlineStr">
        <is>
          <t>RESULTADO ANTES DE IMPUESTOS</t>
        </is>
      </c>
      <c r="F60" s="7" t="inlineStr">
        <is>
          <t>RESULTADO DE LA EXPLOTACION</t>
        </is>
      </c>
      <c r="G60" s="7" t="inlineStr">
        <is>
          <t>7.- Otros gastos de explotación</t>
        </is>
      </c>
      <c r="H60" s="7" t="inlineStr">
        <is>
          <t>(620) Gastos de investigación y desarrollo</t>
        </is>
      </c>
      <c r="I60" s="7" t="inlineStr">
        <is>
          <t>620000003 - SUMINISTROS LABORATORIO</t>
        </is>
      </c>
      <c r="J60" s="6" t="inlineStr">
        <is>
          <t>-</t>
        </is>
      </c>
      <c r="K60" s="8" t="n">
        <v>-812.59</v>
      </c>
      <c r="L60" s="8" t="n">
        <v>-812.59</v>
      </c>
      <c r="M60" s="8" t="n">
        <v>-812.59</v>
      </c>
      <c r="N60" s="8" t="n">
        <v>-812.59</v>
      </c>
      <c r="O60" s="8" t="n">
        <v>-812.59</v>
      </c>
      <c r="P60" s="8" t="n">
        <v>-812.59</v>
      </c>
      <c r="Q60" s="8" t="n">
        <v>-812.59</v>
      </c>
      <c r="R60" s="8" t="n">
        <v>-812.59</v>
      </c>
      <c r="S60" s="8" t="n">
        <v>-812.59</v>
      </c>
      <c r="T60" s="8" t="n">
        <v>-812.59</v>
      </c>
      <c r="U60" s="8" t="n">
        <v>-812.59</v>
      </c>
      <c r="V60" s="8" t="n">
        <v>-812.59</v>
      </c>
      <c r="W60" s="9">
        <f>SUM(K60:V60)</f>
        <v/>
      </c>
      <c r="X60" s="10" t="inlineStr">
        <is>
          <t>Coste estratégico de I+D: ensayos agronómicos de eficacia y desarrollo de bioestimulantes.</t>
        </is>
      </c>
    </row>
    <row r="61" ht="18" customHeight="1">
      <c r="B61" s="6" t="n">
        <v>2027</v>
      </c>
      <c r="C61" s="6" t="inlineStr">
        <is>
          <t>Codiagro</t>
        </is>
      </c>
      <c r="D61" s="7" t="inlineStr">
        <is>
          <t>RESULTADO DEL EJERCICIO</t>
        </is>
      </c>
      <c r="E61" s="7" t="inlineStr">
        <is>
          <t>RESULTADO ANTES DE IMPUESTOS</t>
        </is>
      </c>
      <c r="F61" s="7" t="inlineStr">
        <is>
          <t>RESULTADO DE LA EXPLOTACION</t>
        </is>
      </c>
      <c r="G61" s="7" t="inlineStr">
        <is>
          <t>7.- Otros gastos de explotación</t>
        </is>
      </c>
      <c r="H61" s="7" t="inlineStr">
        <is>
          <t>(620) Gastos de investigación y desarrollo</t>
        </is>
      </c>
      <c r="I61" s="7" t="inlineStr">
        <is>
          <t>620000004 - GTOS. ANALISIS LABORATORIOS</t>
        </is>
      </c>
      <c r="J61" s="6" t="inlineStr">
        <is>
          <t>-</t>
        </is>
      </c>
      <c r="K61" s="8" t="n">
        <v>-1229.19</v>
      </c>
      <c r="L61" s="8" t="n">
        <v>-1229.19</v>
      </c>
      <c r="M61" s="8" t="n">
        <v>-1229.19</v>
      </c>
      <c r="N61" s="8" t="n">
        <v>-1229.19</v>
      </c>
      <c r="O61" s="8" t="n">
        <v>-1229.19</v>
      </c>
      <c r="P61" s="8" t="n">
        <v>-1229.19</v>
      </c>
      <c r="Q61" s="8" t="n">
        <v>-1229.19</v>
      </c>
      <c r="R61" s="8" t="n">
        <v>-1229.19</v>
      </c>
      <c r="S61" s="8" t="n">
        <v>-1229.19</v>
      </c>
      <c r="T61" s="8" t="n">
        <v>-1229.19</v>
      </c>
      <c r="U61" s="8" t="n">
        <v>-1229.19</v>
      </c>
      <c r="V61" s="8" t="n">
        <v>-1229.19</v>
      </c>
      <c r="W61" s="9">
        <f>SUM(K61:V61)</f>
        <v/>
      </c>
      <c r="X61" s="10" t="inlineStr">
        <is>
          <t>Coste estratégico de I+D: ensayos agronómicos de eficacia y desarrollo de bioestimulantes.</t>
        </is>
      </c>
    </row>
    <row r="62" ht="18" customHeight="1">
      <c r="B62" s="6" t="n">
        <v>2027</v>
      </c>
      <c r="C62" s="6" t="inlineStr">
        <is>
          <t>Codiagro</t>
        </is>
      </c>
      <c r="D62" s="7" t="inlineStr">
        <is>
          <t>RESULTADO DEL EJERCICIO</t>
        </is>
      </c>
      <c r="E62" s="7" t="inlineStr">
        <is>
          <t>RESULTADO ANTES DE IMPUESTOS</t>
        </is>
      </c>
      <c r="F62" s="7" t="inlineStr">
        <is>
          <t>RESULTADO DE LA EXPLOTACION</t>
        </is>
      </c>
      <c r="G62" s="7" t="inlineStr">
        <is>
          <t>7.- Otros gastos de explotación</t>
        </is>
      </c>
      <c r="H62" s="7" t="inlineStr">
        <is>
          <t>(621) Arrendamientos y cánones</t>
        </is>
      </c>
      <c r="I62" s="7" t="inlineStr">
        <is>
          <t>621000001 - ALQUILER OFICINA CARTAGENA</t>
        </is>
      </c>
      <c r="J62" s="6" t="inlineStr">
        <is>
          <t>-</t>
        </is>
      </c>
      <c r="K62" s="8" t="n">
        <v>-192</v>
      </c>
      <c r="L62" s="8" t="n">
        <v>-192</v>
      </c>
      <c r="M62" s="8" t="n">
        <v>-192</v>
      </c>
      <c r="N62" s="8" t="n">
        <v>-192</v>
      </c>
      <c r="O62" s="8" t="n">
        <v>-192</v>
      </c>
      <c r="P62" s="8" t="n">
        <v>-192</v>
      </c>
      <c r="Q62" s="8" t="n">
        <v>-192</v>
      </c>
      <c r="R62" s="8" t="n">
        <v>-192</v>
      </c>
      <c r="S62" s="8" t="n">
        <v>-192</v>
      </c>
      <c r="T62" s="8" t="n">
        <v>-192</v>
      </c>
      <c r="U62" s="8" t="n">
        <v>-192</v>
      </c>
      <c r="V62" s="8" t="n">
        <v>-192</v>
      </c>
      <c r="W62" s="9">
        <f>SUM(K62:V62)</f>
        <v/>
      </c>
      <c r="X62" s="10" t="inlineStr">
        <is>
          <t>Coste fijo mensual según contratos vigentes de renting de vehículos y maquinaria auxiliar.</t>
        </is>
      </c>
    </row>
    <row r="63" ht="18" customHeight="1">
      <c r="B63" s="6" t="n">
        <v>2027</v>
      </c>
      <c r="C63" s="6" t="inlineStr">
        <is>
          <t>Codiagro</t>
        </is>
      </c>
      <c r="D63" s="7" t="inlineStr">
        <is>
          <t>RESULTADO DEL EJERCICIO</t>
        </is>
      </c>
      <c r="E63" s="7" t="inlineStr">
        <is>
          <t>RESULTADO ANTES DE IMPUESTOS</t>
        </is>
      </c>
      <c r="F63" s="7" t="inlineStr">
        <is>
          <t>RESULTADO DE LA EXPLOTACION</t>
        </is>
      </c>
      <c r="G63" s="7" t="inlineStr">
        <is>
          <t>7.- Otros gastos de explotación</t>
        </is>
      </c>
      <c r="H63" s="7" t="inlineStr">
        <is>
          <t>(621) Arrendamientos y cánones</t>
        </is>
      </c>
      <c r="I63" s="7" t="inlineStr">
        <is>
          <t>621000014 - ALQUILER MURANO</t>
        </is>
      </c>
      <c r="J63" s="6" t="inlineStr">
        <is>
          <t>-</t>
        </is>
      </c>
      <c r="K63" s="8" t="n">
        <v>-1877.6</v>
      </c>
      <c r="L63" s="8" t="n">
        <v>-1877.6</v>
      </c>
      <c r="M63" s="8" t="n">
        <v>-1877.6</v>
      </c>
      <c r="N63" s="8" t="n">
        <v>-1877.6</v>
      </c>
      <c r="O63" s="8" t="n">
        <v>-1877.6</v>
      </c>
      <c r="P63" s="8" t="n">
        <v>-1877.6</v>
      </c>
      <c r="Q63" s="8" t="n">
        <v>-1877.6</v>
      </c>
      <c r="R63" s="8" t="n">
        <v>-1877.6</v>
      </c>
      <c r="S63" s="8" t="n">
        <v>-1877.6</v>
      </c>
      <c r="T63" s="8" t="n">
        <v>-1877.6</v>
      </c>
      <c r="U63" s="8" t="n">
        <v>-1877.6</v>
      </c>
      <c r="V63" s="8" t="n">
        <v>-1877.6</v>
      </c>
      <c r="W63" s="9">
        <f>SUM(K63:V63)</f>
        <v/>
      </c>
      <c r="X63" s="10" t="inlineStr">
        <is>
          <t>Arrendamiento Murano: coste anual pagado en 2026 (21.560,96 €) ajustado por inflación (+4,5% = 22.531,20 €/año, -1.877,60 €/mes).</t>
        </is>
      </c>
    </row>
    <row r="64" ht="18" customHeight="1">
      <c r="B64" s="6" t="n">
        <v>2027</v>
      </c>
      <c r="C64" s="6" t="inlineStr">
        <is>
          <t>Codiagro</t>
        </is>
      </c>
      <c r="D64" s="7" t="inlineStr">
        <is>
          <t>RESULTADO DEL EJERCICIO</t>
        </is>
      </c>
      <c r="E64" s="7" t="inlineStr">
        <is>
          <t>RESULTADO ANTES DE IMPUESTOS</t>
        </is>
      </c>
      <c r="F64" s="7" t="inlineStr">
        <is>
          <t>RESULTADO DE LA EXPLOTACION</t>
        </is>
      </c>
      <c r="G64" s="7" t="inlineStr">
        <is>
          <t>7.- Otros gastos de explotación</t>
        </is>
      </c>
      <c r="H64" s="7" t="inlineStr">
        <is>
          <t>(621) Arrendamientos y cánones</t>
        </is>
      </c>
      <c r="I64" s="7" t="inlineStr">
        <is>
          <t>621000023 - RENTING TRANSPALETA ELECTRICA DE PIE</t>
        </is>
      </c>
      <c r="J64" s="6" t="inlineStr">
        <is>
          <t>-</t>
        </is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9">
        <f>SUM(K64:V64)</f>
        <v/>
      </c>
      <c r="X64" s="10" t="inlineStr">
        <is>
          <t>Sin dotación presupuestada en 2027.</t>
        </is>
      </c>
    </row>
    <row r="65" ht="18" customHeight="1">
      <c r="B65" s="6" t="n">
        <v>2027</v>
      </c>
      <c r="C65" s="6" t="inlineStr">
        <is>
          <t>Codiagro</t>
        </is>
      </c>
      <c r="D65" s="7" t="inlineStr">
        <is>
          <t>RESULTADO DEL EJERCICIO</t>
        </is>
      </c>
      <c r="E65" s="7" t="inlineStr">
        <is>
          <t>RESULTADO ANTES DE IMPUESTOS</t>
        </is>
      </c>
      <c r="F65" s="7" t="inlineStr">
        <is>
          <t>RESULTADO DE LA EXPLOTACION</t>
        </is>
      </c>
      <c r="G65" s="7" t="inlineStr">
        <is>
          <t>7.- Otros gastos de explotación</t>
        </is>
      </c>
      <c r="H65" s="7" t="inlineStr">
        <is>
          <t>(621) Arrendamientos y cánones</t>
        </is>
      </c>
      <c r="I65" s="7" t="inlineStr">
        <is>
          <t>621000024 - ALQUILER RENTING 2255KXN ANTONIO</t>
        </is>
      </c>
      <c r="J65" s="6" t="inlineStr">
        <is>
          <t>-</t>
        </is>
      </c>
      <c r="K65" s="8" t="n">
        <v>-361.46</v>
      </c>
      <c r="L65" s="8" t="n">
        <v>-361.46</v>
      </c>
      <c r="M65" s="8" t="n">
        <v>-361.46</v>
      </c>
      <c r="N65" s="8" t="n">
        <v>-361.46</v>
      </c>
      <c r="O65" s="8" t="n">
        <v>-361.46</v>
      </c>
      <c r="P65" s="8" t="n">
        <v>-361.46</v>
      </c>
      <c r="Q65" s="8" t="n">
        <v>-361.46</v>
      </c>
      <c r="R65" s="8" t="n">
        <v>-361.46</v>
      </c>
      <c r="S65" s="8" t="n">
        <v>-361.46</v>
      </c>
      <c r="T65" s="8" t="n">
        <v>-361.46</v>
      </c>
      <c r="U65" s="8" t="n">
        <v>-361.46</v>
      </c>
      <c r="V65" s="8" t="n">
        <v>-361.46</v>
      </c>
      <c r="W65" s="9">
        <f>SUM(K65:V65)</f>
        <v/>
      </c>
      <c r="X65" s="10" t="inlineStr">
        <is>
          <t>Coste fijo mensual según contratos vigentes de renting de vehículos y maquinaria auxiliar.</t>
        </is>
      </c>
    </row>
    <row r="66" ht="18" customHeight="1">
      <c r="B66" s="6" t="n">
        <v>2027</v>
      </c>
      <c r="C66" s="6" t="inlineStr">
        <is>
          <t>Codiagro</t>
        </is>
      </c>
      <c r="D66" s="7" t="inlineStr">
        <is>
          <t>RESULTADO DEL EJERCICIO</t>
        </is>
      </c>
      <c r="E66" s="7" t="inlineStr">
        <is>
          <t>RESULTADO ANTES DE IMPUESTOS</t>
        </is>
      </c>
      <c r="F66" s="7" t="inlineStr">
        <is>
          <t>RESULTADO DE LA EXPLOTACION</t>
        </is>
      </c>
      <c r="G66" s="7" t="inlineStr">
        <is>
          <t>7.- Otros gastos de explotación</t>
        </is>
      </c>
      <c r="H66" s="7" t="inlineStr">
        <is>
          <t>(621) Arrendamientos y cánones</t>
        </is>
      </c>
      <c r="I66" s="7" t="inlineStr">
        <is>
          <t>621000025 - ALQUILER RENTING 9128 LBT NIEVES</t>
        </is>
      </c>
      <c r="J66" s="6" t="inlineStr">
        <is>
          <t>-</t>
        </is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9">
        <f>SUM(K66:V66)</f>
        <v/>
      </c>
      <c r="X66" s="10" t="inlineStr">
        <is>
          <t>Sin dotación presupuestada en 2027.</t>
        </is>
      </c>
    </row>
    <row r="67" ht="18" customHeight="1">
      <c r="B67" s="6" t="n">
        <v>2027</v>
      </c>
      <c r="C67" s="6" t="inlineStr">
        <is>
          <t>Codiagro</t>
        </is>
      </c>
      <c r="D67" s="7" t="inlineStr">
        <is>
          <t>RESULTADO DEL EJERCICIO</t>
        </is>
      </c>
      <c r="E67" s="7" t="inlineStr">
        <is>
          <t>RESULTADO ANTES DE IMPUESTOS</t>
        </is>
      </c>
      <c r="F67" s="7" t="inlineStr">
        <is>
          <t>RESULTADO DE LA EXPLOTACION</t>
        </is>
      </c>
      <c r="G67" s="7" t="inlineStr">
        <is>
          <t>7.- Otros gastos de explotación</t>
        </is>
      </c>
      <c r="H67" s="7" t="inlineStr">
        <is>
          <t>(621) Arrendamientos y cánones</t>
        </is>
      </c>
      <c r="I67" s="7" t="inlineStr">
        <is>
          <t>621000026 - ALQUILER RENTING 9319LCL CURRO</t>
        </is>
      </c>
      <c r="J67" s="6" t="inlineStr">
        <is>
          <t>-</t>
        </is>
      </c>
      <c r="K67" s="8" t="n">
        <v>-369.97</v>
      </c>
      <c r="L67" s="8" t="n">
        <v>-369.97</v>
      </c>
      <c r="M67" s="8" t="n">
        <v>-369.97</v>
      </c>
      <c r="N67" s="8" t="n">
        <v>-369.97</v>
      </c>
      <c r="O67" s="8" t="n">
        <v>-369.97</v>
      </c>
      <c r="P67" s="8" t="n">
        <v>-369.97</v>
      </c>
      <c r="Q67" s="8" t="n">
        <v>-369.97</v>
      </c>
      <c r="R67" s="8" t="n">
        <v>-369.97</v>
      </c>
      <c r="S67" s="8" t="n">
        <v>-369.97</v>
      </c>
      <c r="T67" s="8" t="n">
        <v>-369.97</v>
      </c>
      <c r="U67" s="8" t="n">
        <v>-369.97</v>
      </c>
      <c r="V67" s="8" t="n">
        <v>-369.97</v>
      </c>
      <c r="W67" s="9">
        <f>SUM(K67:V67)</f>
        <v/>
      </c>
      <c r="X67" s="10" t="inlineStr">
        <is>
          <t>Coste fijo mensual según contratos vigentes de renting de vehículos y maquinaria auxiliar.</t>
        </is>
      </c>
    </row>
    <row r="68" ht="18" customHeight="1">
      <c r="B68" s="6" t="n">
        <v>2027</v>
      </c>
      <c r="C68" s="6" t="inlineStr">
        <is>
          <t>Codiagro</t>
        </is>
      </c>
      <c r="D68" s="7" t="inlineStr">
        <is>
          <t>RESULTADO DEL EJERCICIO</t>
        </is>
      </c>
      <c r="E68" s="7" t="inlineStr">
        <is>
          <t>RESULTADO ANTES DE IMPUESTOS</t>
        </is>
      </c>
      <c r="F68" s="7" t="inlineStr">
        <is>
          <t>RESULTADO DE LA EXPLOTACION</t>
        </is>
      </c>
      <c r="G68" s="7" t="inlineStr">
        <is>
          <t>7.- Otros gastos de explotación</t>
        </is>
      </c>
      <c r="H68" s="7" t="inlineStr">
        <is>
          <t>(621) Arrendamientos y cánones</t>
        </is>
      </c>
      <c r="I68" s="7" t="inlineStr">
        <is>
          <t>621000030 - ALQUILER RENTING 1075-LSC GARCIA</t>
        </is>
      </c>
      <c r="J68" s="6" t="inlineStr">
        <is>
          <t>-</t>
        </is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9">
        <f>SUM(K68:V68)</f>
        <v/>
      </c>
      <c r="X68" s="10" t="inlineStr">
        <is>
          <t>Sin dotación presupuestada en 2027.</t>
        </is>
      </c>
    </row>
    <row r="69" ht="18" customHeight="1">
      <c r="B69" s="6" t="n">
        <v>2027</v>
      </c>
      <c r="C69" s="6" t="inlineStr">
        <is>
          <t>Codiagro</t>
        </is>
      </c>
      <c r="D69" s="7" t="inlineStr">
        <is>
          <t>RESULTADO DEL EJERCICIO</t>
        </is>
      </c>
      <c r="E69" s="7" t="inlineStr">
        <is>
          <t>RESULTADO ANTES DE IMPUESTOS</t>
        </is>
      </c>
      <c r="F69" s="7" t="inlineStr">
        <is>
          <t>RESULTADO DE LA EXPLOTACION</t>
        </is>
      </c>
      <c r="G69" s="7" t="inlineStr">
        <is>
          <t>7.- Otros gastos de explotación</t>
        </is>
      </c>
      <c r="H69" s="7" t="inlineStr">
        <is>
          <t>(621) Arrendamientos y cánones</t>
        </is>
      </c>
      <c r="I69" s="7" t="inlineStr">
        <is>
          <t>621000031 - ALQUILER RENTING KONICA-MINOLTA Y KYOCERA</t>
        </is>
      </c>
      <c r="J69" s="6" t="inlineStr">
        <is>
          <t>-</t>
        </is>
      </c>
      <c r="K69" s="8" t="n">
        <v>-338</v>
      </c>
      <c r="L69" s="8" t="n">
        <v>-338</v>
      </c>
      <c r="M69" s="8" t="n">
        <v>-338</v>
      </c>
      <c r="N69" s="8" t="n">
        <v>-338</v>
      </c>
      <c r="O69" s="8" t="n">
        <v>-338</v>
      </c>
      <c r="P69" s="8" t="n">
        <v>-338</v>
      </c>
      <c r="Q69" s="8" t="n">
        <v>-338</v>
      </c>
      <c r="R69" s="8" t="n">
        <v>-338</v>
      </c>
      <c r="S69" s="8" t="n">
        <v>-338</v>
      </c>
      <c r="T69" s="8" t="n">
        <v>-338</v>
      </c>
      <c r="U69" s="8" t="n">
        <v>-338</v>
      </c>
      <c r="V69" s="8" t="n">
        <v>-338</v>
      </c>
      <c r="W69" s="9">
        <f>SUM(K69:V69)</f>
        <v/>
      </c>
      <c r="X69" s="10" t="inlineStr">
        <is>
          <t>Coste fijo mensual según contratos vigentes de renting de vehículos y maquinaria auxiliar.</t>
        </is>
      </c>
    </row>
    <row r="70" ht="18" customHeight="1">
      <c r="B70" s="6" t="n">
        <v>2027</v>
      </c>
      <c r="C70" s="6" t="inlineStr">
        <is>
          <t>Codiagro</t>
        </is>
      </c>
      <c r="D70" s="7" t="inlineStr">
        <is>
          <t>RESULTADO DEL EJERCICIO</t>
        </is>
      </c>
      <c r="E70" s="7" t="inlineStr">
        <is>
          <t>RESULTADO ANTES DE IMPUESTOS</t>
        </is>
      </c>
      <c r="F70" s="7" t="inlineStr">
        <is>
          <t>RESULTADO DE LA EXPLOTACION</t>
        </is>
      </c>
      <c r="G70" s="7" t="inlineStr">
        <is>
          <t>7.- Otros gastos de explotación</t>
        </is>
      </c>
      <c r="H70" s="7" t="inlineStr">
        <is>
          <t>(621) Arrendamientos y cánones</t>
        </is>
      </c>
      <c r="I70" s="7" t="inlineStr">
        <is>
          <t>621000032 - ALQUILER RENTING 6665-LVK JOSE JUAN</t>
        </is>
      </c>
      <c r="J70" s="6" t="inlineStr">
        <is>
          <t>-</t>
        </is>
      </c>
      <c r="K70" s="8" t="n">
        <v>-470.16</v>
      </c>
      <c r="L70" s="8" t="n">
        <v>-470.16</v>
      </c>
      <c r="M70" s="8" t="n">
        <v>-470.16</v>
      </c>
      <c r="N70" s="8" t="n">
        <v>-470.16</v>
      </c>
      <c r="O70" s="8" t="n">
        <v>-470.16</v>
      </c>
      <c r="P70" s="8" t="n">
        <v>-470.16</v>
      </c>
      <c r="Q70" s="8" t="n">
        <v>-470.16</v>
      </c>
      <c r="R70" s="8" t="n">
        <v>-470.16</v>
      </c>
      <c r="S70" s="8" t="n">
        <v>-470.16</v>
      </c>
      <c r="T70" s="8" t="n">
        <v>-470.16</v>
      </c>
      <c r="U70" s="8" t="n">
        <v>-470.16</v>
      </c>
      <c r="V70" s="8" t="n">
        <v>-470.16</v>
      </c>
      <c r="W70" s="9">
        <f>SUM(K70:V70)</f>
        <v/>
      </c>
      <c r="X70" s="10" t="inlineStr">
        <is>
          <t>Coste fijo mensual según contratos vigentes de renting de vehículos y maquinaria auxiliar.</t>
        </is>
      </c>
    </row>
    <row r="71" ht="18" customHeight="1">
      <c r="B71" s="6" t="n">
        <v>2027</v>
      </c>
      <c r="C71" s="6" t="inlineStr">
        <is>
          <t>Codiagro</t>
        </is>
      </c>
      <c r="D71" s="7" t="inlineStr">
        <is>
          <t>RESULTADO DEL EJERCICIO</t>
        </is>
      </c>
      <c r="E71" s="7" t="inlineStr">
        <is>
          <t>RESULTADO ANTES DE IMPUESTOS</t>
        </is>
      </c>
      <c r="F71" s="7" t="inlineStr">
        <is>
          <t>RESULTADO DE LA EXPLOTACION</t>
        </is>
      </c>
      <c r="G71" s="7" t="inlineStr">
        <is>
          <t>7.- Otros gastos de explotación</t>
        </is>
      </c>
      <c r="H71" s="7" t="inlineStr">
        <is>
          <t>(621) Arrendamientos y cánones</t>
        </is>
      </c>
      <c r="I71" s="7" t="inlineStr">
        <is>
          <t>621000033 - ALQUILER RENTING 2612-MBY ANTONIO</t>
        </is>
      </c>
      <c r="J71" s="6" t="inlineStr">
        <is>
          <t>-</t>
        </is>
      </c>
      <c r="K71" s="8" t="n">
        <v>-345.06</v>
      </c>
      <c r="L71" s="8" t="n">
        <v>-345.06</v>
      </c>
      <c r="M71" s="8" t="n">
        <v>-345.06</v>
      </c>
      <c r="N71" s="8" t="n">
        <v>-345.06</v>
      </c>
      <c r="O71" s="8" t="n">
        <v>-345.06</v>
      </c>
      <c r="P71" s="8" t="n">
        <v>-345.06</v>
      </c>
      <c r="Q71" s="8" t="n">
        <v>-345.06</v>
      </c>
      <c r="R71" s="8" t="n">
        <v>-345.06</v>
      </c>
      <c r="S71" s="8" t="n">
        <v>-345.06</v>
      </c>
      <c r="T71" s="8" t="n">
        <v>-345.06</v>
      </c>
      <c r="U71" s="8" t="n">
        <v>-345.06</v>
      </c>
      <c r="V71" s="8" t="n">
        <v>-345.06</v>
      </c>
      <c r="W71" s="9">
        <f>SUM(K71:V71)</f>
        <v/>
      </c>
      <c r="X71" s="10" t="inlineStr">
        <is>
          <t>Coste fijo mensual según contratos vigentes de renting de vehículos y maquinaria auxiliar.</t>
        </is>
      </c>
    </row>
    <row r="72" ht="18" customHeight="1">
      <c r="B72" s="6" t="n">
        <v>2027</v>
      </c>
      <c r="C72" s="6" t="inlineStr">
        <is>
          <t>Codiagro</t>
        </is>
      </c>
      <c r="D72" s="7" t="inlineStr">
        <is>
          <t>RESULTADO DEL EJERCICIO</t>
        </is>
      </c>
      <c r="E72" s="7" t="inlineStr">
        <is>
          <t>RESULTADO ANTES DE IMPUESTOS</t>
        </is>
      </c>
      <c r="F72" s="7" t="inlineStr">
        <is>
          <t>RESULTADO DE LA EXPLOTACION</t>
        </is>
      </c>
      <c r="G72" s="7" t="inlineStr">
        <is>
          <t>7.- Otros gastos de explotación</t>
        </is>
      </c>
      <c r="H72" s="7" t="inlineStr">
        <is>
          <t>(621) Arrendamientos y cánones</t>
        </is>
      </c>
      <c r="I72" s="7" t="inlineStr">
        <is>
          <t>621000034 - ALQUILER RENTING 3108-LZM NIEVES</t>
        </is>
      </c>
      <c r="J72" s="6" t="inlineStr">
        <is>
          <t>-</t>
        </is>
      </c>
      <c r="K72" s="8" t="n">
        <v>-813.6900000000001</v>
      </c>
      <c r="L72" s="8" t="n">
        <v>-813.6900000000001</v>
      </c>
      <c r="M72" s="8" t="n">
        <v>-813.6900000000001</v>
      </c>
      <c r="N72" s="8" t="n">
        <v>-813.6900000000001</v>
      </c>
      <c r="O72" s="8" t="n">
        <v>-813.6900000000001</v>
      </c>
      <c r="P72" s="8" t="n">
        <v>-813.6900000000001</v>
      </c>
      <c r="Q72" s="8" t="n">
        <v>-813.6900000000001</v>
      </c>
      <c r="R72" s="8" t="n">
        <v>-813.6900000000001</v>
      </c>
      <c r="S72" s="8" t="n">
        <v>-813.6900000000001</v>
      </c>
      <c r="T72" s="8" t="n">
        <v>-813.6900000000001</v>
      </c>
      <c r="U72" s="8" t="n">
        <v>-813.6900000000001</v>
      </c>
      <c r="V72" s="8" t="n">
        <v>-813.6900000000001</v>
      </c>
      <c r="W72" s="9">
        <f>SUM(K72:V72)</f>
        <v/>
      </c>
      <c r="X72" s="10" t="inlineStr">
        <is>
          <t>Coste fijo mensual según contratos vigentes de renting de vehículos y maquinaria auxiliar.</t>
        </is>
      </c>
    </row>
    <row r="73" ht="18" customHeight="1">
      <c r="B73" s="6" t="n">
        <v>2027</v>
      </c>
      <c r="C73" s="6" t="inlineStr">
        <is>
          <t>Codiagro</t>
        </is>
      </c>
      <c r="D73" s="7" t="inlineStr">
        <is>
          <t>RESULTADO DEL EJERCICIO</t>
        </is>
      </c>
      <c r="E73" s="7" t="inlineStr">
        <is>
          <t>RESULTADO ANTES DE IMPUESTOS</t>
        </is>
      </c>
      <c r="F73" s="7" t="inlineStr">
        <is>
          <t>RESULTADO DE LA EXPLOTACION</t>
        </is>
      </c>
      <c r="G73" s="7" t="inlineStr">
        <is>
          <t>7.- Otros gastos de explotación</t>
        </is>
      </c>
      <c r="H73" s="7" t="inlineStr">
        <is>
          <t>(621) Arrendamientos y cánones</t>
        </is>
      </c>
      <c r="I73" s="7" t="inlineStr">
        <is>
          <t>621000035 - ALQUILER RENTING 2142-MCS RICARDO</t>
        </is>
      </c>
      <c r="J73" s="6" t="inlineStr">
        <is>
          <t>-</t>
        </is>
      </c>
      <c r="K73" s="8" t="n">
        <v>0</v>
      </c>
      <c r="L73" s="8" t="n">
        <v>0</v>
      </c>
      <c r="M73" s="8" t="n">
        <v>0</v>
      </c>
      <c r="N73" s="8" t="n">
        <v>0</v>
      </c>
      <c r="O73" s="8" t="n">
        <v>0</v>
      </c>
      <c r="P73" s="8" t="n">
        <v>0</v>
      </c>
      <c r="Q73" s="8" t="n">
        <v>0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9">
        <f>SUM(K73:V73)</f>
        <v/>
      </c>
      <c r="X73" s="10" t="inlineStr">
        <is>
          <t>Sin dotación presupuestada en 2027.</t>
        </is>
      </c>
    </row>
    <row r="74" ht="18" customHeight="1">
      <c r="B74" s="6" t="n">
        <v>2027</v>
      </c>
      <c r="C74" s="6" t="inlineStr">
        <is>
          <t>Codiagro</t>
        </is>
      </c>
      <c r="D74" s="7" t="inlineStr">
        <is>
          <t>RESULTADO DEL EJERCICIO</t>
        </is>
      </c>
      <c r="E74" s="7" t="inlineStr">
        <is>
          <t>RESULTADO ANTES DE IMPUESTOS</t>
        </is>
      </c>
      <c r="F74" s="7" t="inlineStr">
        <is>
          <t>RESULTADO DE LA EXPLOTACION</t>
        </is>
      </c>
      <c r="G74" s="7" t="inlineStr">
        <is>
          <t>7.- Otros gastos de explotación</t>
        </is>
      </c>
      <c r="H74" s="7" t="inlineStr">
        <is>
          <t>(621) Arrendamientos y cánones</t>
        </is>
      </c>
      <c r="I74" s="7" t="inlineStr">
        <is>
          <t>621000036 - ALQUILER RENTING 3277-MDX JAVIER</t>
        </is>
      </c>
      <c r="J74" s="6" t="inlineStr">
        <is>
          <t>-</t>
        </is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9">
        <f>SUM(K74:V74)</f>
        <v/>
      </c>
      <c r="X74" s="10" t="inlineStr">
        <is>
          <t>Sin dotación presupuestada en 2027.</t>
        </is>
      </c>
    </row>
    <row r="75" ht="18" customHeight="1">
      <c r="B75" s="6" t="n">
        <v>2027</v>
      </c>
      <c r="C75" s="6" t="inlineStr">
        <is>
          <t>Codiagro</t>
        </is>
      </c>
      <c r="D75" s="7" t="inlineStr">
        <is>
          <t>RESULTADO DEL EJERCICIO</t>
        </is>
      </c>
      <c r="E75" s="7" t="inlineStr">
        <is>
          <t>RESULTADO ANTES DE IMPUESTOS</t>
        </is>
      </c>
      <c r="F75" s="7" t="inlineStr">
        <is>
          <t>RESULTADO DE LA EXPLOTACION</t>
        </is>
      </c>
      <c r="G75" s="7" t="inlineStr">
        <is>
          <t>7.- Otros gastos de explotación</t>
        </is>
      </c>
      <c r="H75" s="7" t="inlineStr">
        <is>
          <t>(621) Arrendamientos y cánones</t>
        </is>
      </c>
      <c r="I75" s="7" t="inlineStr">
        <is>
          <t>621000037 - CARRETILLA STILL ELEKTROSTAPLER 516213H00521</t>
        </is>
      </c>
      <c r="J75" s="6" t="inlineStr">
        <is>
          <t>-</t>
        </is>
      </c>
      <c r="K75" s="8" t="n">
        <v>-228.57</v>
      </c>
      <c r="L75" s="8" t="n">
        <v>-228.57</v>
      </c>
      <c r="M75" s="8" t="n">
        <v>-228.57</v>
      </c>
      <c r="N75" s="8" t="n">
        <v>-228.57</v>
      </c>
      <c r="O75" s="8" t="n">
        <v>-228.57</v>
      </c>
      <c r="P75" s="8" t="n">
        <v>-228.57</v>
      </c>
      <c r="Q75" s="8" t="n">
        <v>-228.57</v>
      </c>
      <c r="R75" s="8" t="n">
        <v>-228.57</v>
      </c>
      <c r="S75" s="8" t="n">
        <v>-228.57</v>
      </c>
      <c r="T75" s="8" t="n">
        <v>-228.57</v>
      </c>
      <c r="U75" s="8" t="n">
        <v>-228.57</v>
      </c>
      <c r="V75" s="8" t="n">
        <v>-228.57</v>
      </c>
      <c r="W75" s="9">
        <f>SUM(K75:V75)</f>
        <v/>
      </c>
      <c r="X75" s="10" t="inlineStr">
        <is>
          <t>Coste fijo mensual según contratos vigentes de renting de vehículos y maquinaria auxiliar.</t>
        </is>
      </c>
    </row>
    <row r="76" ht="18" customHeight="1">
      <c r="B76" s="6" t="n">
        <v>2027</v>
      </c>
      <c r="C76" s="6" t="inlineStr">
        <is>
          <t>Codiagro</t>
        </is>
      </c>
      <c r="D76" s="7" t="inlineStr">
        <is>
          <t>RESULTADO DEL EJERCICIO</t>
        </is>
      </c>
      <c r="E76" s="7" t="inlineStr">
        <is>
          <t>RESULTADO ANTES DE IMPUESTOS</t>
        </is>
      </c>
      <c r="F76" s="7" t="inlineStr">
        <is>
          <t>RESULTADO DE LA EXPLOTACION</t>
        </is>
      </c>
      <c r="G76" s="7" t="inlineStr">
        <is>
          <t>7.- Otros gastos de explotación</t>
        </is>
      </c>
      <c r="H76" s="7" t="inlineStr">
        <is>
          <t>(621) Arrendamientos y cánones</t>
        </is>
      </c>
      <c r="I76" s="7" t="inlineStr">
        <is>
          <t>621000038 - CARRETILLA STILL ELEKTROSTAPLER 516223J00123</t>
        </is>
      </c>
      <c r="J76" s="6" t="inlineStr">
        <is>
          <t>-</t>
        </is>
      </c>
      <c r="K76" s="8" t="n">
        <v>-228.82</v>
      </c>
      <c r="L76" s="8" t="n">
        <v>-228.82</v>
      </c>
      <c r="M76" s="8" t="n">
        <v>-228.82</v>
      </c>
      <c r="N76" s="8" t="n">
        <v>-228.82</v>
      </c>
      <c r="O76" s="8" t="n">
        <v>-228.82</v>
      </c>
      <c r="P76" s="8" t="n">
        <v>-228.82</v>
      </c>
      <c r="Q76" s="8" t="n">
        <v>-228.82</v>
      </c>
      <c r="R76" s="8" t="n">
        <v>-228.82</v>
      </c>
      <c r="S76" s="8" t="n">
        <v>-228.82</v>
      </c>
      <c r="T76" s="8" t="n">
        <v>-228.82</v>
      </c>
      <c r="U76" s="8" t="n">
        <v>-228.82</v>
      </c>
      <c r="V76" s="8" t="n">
        <v>-228.82</v>
      </c>
      <c r="W76" s="9">
        <f>SUM(K76:V76)</f>
        <v/>
      </c>
      <c r="X76" s="10" t="inlineStr">
        <is>
          <t>Coste fijo mensual según contratos vigentes de renting de vehículos y maquinaria auxiliar.</t>
        </is>
      </c>
    </row>
    <row r="77" ht="18" customHeight="1">
      <c r="B77" s="6" t="n">
        <v>2027</v>
      </c>
      <c r="C77" s="6" t="inlineStr">
        <is>
          <t>Codiagro</t>
        </is>
      </c>
      <c r="D77" s="7" t="inlineStr">
        <is>
          <t>RESULTADO DEL EJERCICIO</t>
        </is>
      </c>
      <c r="E77" s="7" t="inlineStr">
        <is>
          <t>RESULTADO ANTES DE IMPUESTOS</t>
        </is>
      </c>
      <c r="F77" s="7" t="inlineStr">
        <is>
          <t>RESULTADO DE LA EXPLOTACION</t>
        </is>
      </c>
      <c r="G77" s="7" t="inlineStr">
        <is>
          <t>7.- Otros gastos de explotación</t>
        </is>
      </c>
      <c r="H77" s="7" t="inlineStr">
        <is>
          <t>(621) Arrendamientos y cánones</t>
        </is>
      </c>
      <c r="I77" s="7" t="inlineStr">
        <is>
          <t>621000039 - ALQUILER RENTING 5043-MWW CURRO</t>
        </is>
      </c>
      <c r="J77" s="6" t="inlineStr">
        <is>
          <t>-</t>
        </is>
      </c>
      <c r="K77" s="8" t="n">
        <v>-482.36</v>
      </c>
      <c r="L77" s="8" t="n">
        <v>-482.36</v>
      </c>
      <c r="M77" s="8" t="n">
        <v>-482.36</v>
      </c>
      <c r="N77" s="8" t="n">
        <v>-482.36</v>
      </c>
      <c r="O77" s="8" t="n">
        <v>-482.36</v>
      </c>
      <c r="P77" s="8" t="n">
        <v>-482.36</v>
      </c>
      <c r="Q77" s="8" t="n">
        <v>-482.36</v>
      </c>
      <c r="R77" s="8" t="n">
        <v>-482.36</v>
      </c>
      <c r="S77" s="8" t="n">
        <v>-482.36</v>
      </c>
      <c r="T77" s="8" t="n">
        <v>-482.36</v>
      </c>
      <c r="U77" s="8" t="n">
        <v>-482.36</v>
      </c>
      <c r="V77" s="8" t="n">
        <v>-482.36</v>
      </c>
      <c r="W77" s="9">
        <f>SUM(K77:V77)</f>
        <v/>
      </c>
      <c r="X77" s="10" t="inlineStr">
        <is>
          <t>Coste fijo mensual según contratos vigentes de renting de vehículos y maquinaria auxiliar.</t>
        </is>
      </c>
    </row>
    <row r="78" ht="18" customHeight="1">
      <c r="B78" s="6" t="n">
        <v>2027</v>
      </c>
      <c r="C78" s="6" t="inlineStr">
        <is>
          <t>Codiagro</t>
        </is>
      </c>
      <c r="D78" s="7" t="inlineStr">
        <is>
          <t>RESULTADO DEL EJERCICIO</t>
        </is>
      </c>
      <c r="E78" s="7" t="inlineStr">
        <is>
          <t>RESULTADO ANTES DE IMPUESTOS</t>
        </is>
      </c>
      <c r="F78" s="7" t="inlineStr">
        <is>
          <t>RESULTADO DE LA EXPLOTACION</t>
        </is>
      </c>
      <c r="G78" s="7" t="inlineStr">
        <is>
          <t>7.- Otros gastos de explotación</t>
        </is>
      </c>
      <c r="H78" s="7" t="inlineStr">
        <is>
          <t>(621) Arrendamientos y cánones</t>
        </is>
      </c>
      <c r="I78" s="7" t="inlineStr">
        <is>
          <t>621000040 - ALQUILER RENTING 8917-MZT JAVIER</t>
        </is>
      </c>
      <c r="J78" s="6" t="inlineStr">
        <is>
          <t>-</t>
        </is>
      </c>
      <c r="K78" s="8" t="n">
        <v>-1557.86</v>
      </c>
      <c r="L78" s="8" t="n">
        <v>-1557.86</v>
      </c>
      <c r="M78" s="8" t="n">
        <v>-1557.86</v>
      </c>
      <c r="N78" s="8" t="n">
        <v>-1557.86</v>
      </c>
      <c r="O78" s="8" t="n">
        <v>-1557.86</v>
      </c>
      <c r="P78" s="8" t="n">
        <v>-1557.86</v>
      </c>
      <c r="Q78" s="8" t="n">
        <v>-1557.86</v>
      </c>
      <c r="R78" s="8" t="n">
        <v>-1557.86</v>
      </c>
      <c r="S78" s="8" t="n">
        <v>-1557.86</v>
      </c>
      <c r="T78" s="8" t="n">
        <v>-1557.86</v>
      </c>
      <c r="U78" s="8" t="n">
        <v>-1557.86</v>
      </c>
      <c r="V78" s="8" t="n">
        <v>-1557.86</v>
      </c>
      <c r="W78" s="9">
        <f>SUM(K78:V78)</f>
        <v/>
      </c>
      <c r="X78" s="10" t="inlineStr">
        <is>
          <t>Coste fijo mensual según contratos vigentes de renting de vehículos y maquinaria auxiliar.</t>
        </is>
      </c>
    </row>
    <row r="79" ht="18" customHeight="1">
      <c r="B79" s="6" t="n">
        <v>2027</v>
      </c>
      <c r="C79" s="6" t="inlineStr">
        <is>
          <t>Codiagro</t>
        </is>
      </c>
      <c r="D79" s="7" t="inlineStr">
        <is>
          <t>RESULTADO DEL EJERCICIO</t>
        </is>
      </c>
      <c r="E79" s="7" t="inlineStr">
        <is>
          <t>RESULTADO ANTES DE IMPUESTOS</t>
        </is>
      </c>
      <c r="F79" s="7" t="inlineStr">
        <is>
          <t>RESULTADO DE LA EXPLOTACION</t>
        </is>
      </c>
      <c r="G79" s="7" t="inlineStr">
        <is>
          <t>7.- Otros gastos de explotación</t>
        </is>
      </c>
      <c r="H79" s="7" t="inlineStr">
        <is>
          <t>(621) Arrendamientos y cánones</t>
        </is>
      </c>
      <c r="I79" s="7" t="inlineStr">
        <is>
          <t>621000041 - ALQUILER RENTING 8929-MZT RICARDO</t>
        </is>
      </c>
      <c r="J79" s="6" t="inlineStr">
        <is>
          <t>-</t>
        </is>
      </c>
      <c r="K79" s="8" t="n">
        <v>-1338.15</v>
      </c>
      <c r="L79" s="8" t="n">
        <v>-1338.15</v>
      </c>
      <c r="M79" s="8" t="n">
        <v>-1338.15</v>
      </c>
      <c r="N79" s="8" t="n">
        <v>-1338.15</v>
      </c>
      <c r="O79" s="8" t="n">
        <v>-1338.15</v>
      </c>
      <c r="P79" s="8" t="n">
        <v>-1338.15</v>
      </c>
      <c r="Q79" s="8" t="n">
        <v>-1338.15</v>
      </c>
      <c r="R79" s="8" t="n">
        <v>-1338.15</v>
      </c>
      <c r="S79" s="8" t="n">
        <v>-1338.15</v>
      </c>
      <c r="T79" s="8" t="n">
        <v>-1338.15</v>
      </c>
      <c r="U79" s="8" t="n">
        <v>-1338.15</v>
      </c>
      <c r="V79" s="8" t="n">
        <v>-1338.15</v>
      </c>
      <c r="W79" s="9">
        <f>SUM(K79:V79)</f>
        <v/>
      </c>
      <c r="X79" s="10" t="inlineStr">
        <is>
          <t>Coste fijo mensual según contratos vigentes de renting de vehículos y maquinaria auxiliar.</t>
        </is>
      </c>
    </row>
    <row r="80" ht="18" customHeight="1">
      <c r="B80" s="6" t="n">
        <v>2027</v>
      </c>
      <c r="C80" s="6" t="inlineStr">
        <is>
          <t>Codiagro</t>
        </is>
      </c>
      <c r="D80" s="7" t="inlineStr">
        <is>
          <t>RESULTADO DEL EJERCICIO</t>
        </is>
      </c>
      <c r="E80" s="7" t="inlineStr">
        <is>
          <t>RESULTADO ANTES DE IMPUESTOS</t>
        </is>
      </c>
      <c r="F80" s="7" t="inlineStr">
        <is>
          <t>RESULTADO DE LA EXPLOTACION</t>
        </is>
      </c>
      <c r="G80" s="7" t="inlineStr">
        <is>
          <t>7.- Otros gastos de explotación</t>
        </is>
      </c>
      <c r="H80" s="7" t="inlineStr">
        <is>
          <t>(621) Arrendamientos y cánones</t>
        </is>
      </c>
      <c r="I80" s="7" t="inlineStr">
        <is>
          <t>621000042 - ALQUILER RENTING 4946-NFH GARCIA</t>
        </is>
      </c>
      <c r="J80" s="6" t="inlineStr">
        <is>
          <t>-</t>
        </is>
      </c>
      <c r="K80" s="8" t="n">
        <v>-645.34</v>
      </c>
      <c r="L80" s="8" t="n">
        <v>-645.34</v>
      </c>
      <c r="M80" s="8" t="n">
        <v>-645.34</v>
      </c>
      <c r="N80" s="8" t="n">
        <v>-645.34</v>
      </c>
      <c r="O80" s="8" t="n">
        <v>-645.34</v>
      </c>
      <c r="P80" s="8" t="n">
        <v>-645.34</v>
      </c>
      <c r="Q80" s="8" t="n">
        <v>-645.34</v>
      </c>
      <c r="R80" s="8" t="n">
        <v>-645.34</v>
      </c>
      <c r="S80" s="8" t="n">
        <v>-645.34</v>
      </c>
      <c r="T80" s="8" t="n">
        <v>-645.34</v>
      </c>
      <c r="U80" s="8" t="n">
        <v>-645.34</v>
      </c>
      <c r="V80" s="8" t="n">
        <v>-645.34</v>
      </c>
      <c r="W80" s="9">
        <f>SUM(K80:V80)</f>
        <v/>
      </c>
      <c r="X80" s="10" t="inlineStr">
        <is>
          <t>Coste fijo mensual según contratos vigentes de renting de vehículos y maquinaria auxiliar.</t>
        </is>
      </c>
    </row>
    <row r="81" ht="18" customHeight="1">
      <c r="B81" s="6" t="n">
        <v>2027</v>
      </c>
      <c r="C81" s="6" t="inlineStr">
        <is>
          <t>Codiagro</t>
        </is>
      </c>
      <c r="D81" s="7" t="inlineStr">
        <is>
          <t>RESULTADO DEL EJERCICIO</t>
        </is>
      </c>
      <c r="E81" s="7" t="inlineStr">
        <is>
          <t>RESULTADO ANTES DE IMPUESTOS</t>
        </is>
      </c>
      <c r="F81" s="7" t="inlineStr">
        <is>
          <t>RESULTADO DE LA EXPLOTACION</t>
        </is>
      </c>
      <c r="G81" s="7" t="inlineStr">
        <is>
          <t>7.- Otros gastos de explotación</t>
        </is>
      </c>
      <c r="H81" s="7" t="inlineStr">
        <is>
          <t>(621) Arrendamientos y cánones</t>
        </is>
      </c>
      <c r="I81" s="7" t="inlineStr">
        <is>
          <t>621000044 - ALQUILER COMPRESOR DE TORNILLO 37KW KAESER BSD 75C</t>
        </is>
      </c>
      <c r="J81" s="6" t="inlineStr">
        <is>
          <t>-</t>
        </is>
      </c>
      <c r="K81" s="8" t="n">
        <v>-1600</v>
      </c>
      <c r="L81" s="8" t="n">
        <v>-1600</v>
      </c>
      <c r="M81" s="8" t="n">
        <v>-1600</v>
      </c>
      <c r="N81" s="8" t="n">
        <v>-1600</v>
      </c>
      <c r="O81" s="8" t="n">
        <v>-1600</v>
      </c>
      <c r="P81" s="8" t="n">
        <v>-1600</v>
      </c>
      <c r="Q81" s="8" t="n">
        <v>-1600</v>
      </c>
      <c r="R81" s="8" t="n">
        <v>-1600</v>
      </c>
      <c r="S81" s="8" t="n">
        <v>-1600</v>
      </c>
      <c r="T81" s="8" t="n">
        <v>-1600</v>
      </c>
      <c r="U81" s="8" t="n">
        <v>-1600</v>
      </c>
      <c r="V81" s="8" t="n">
        <v>-1600</v>
      </c>
      <c r="W81" s="9">
        <f>SUM(K81:V81)</f>
        <v/>
      </c>
      <c r="X81" s="10" t="inlineStr">
        <is>
          <t>Coste fijo mensual según contratos vigentes de renting de vehículos y maquinaria auxiliar.</t>
        </is>
      </c>
    </row>
    <row r="82" ht="18" customHeight="1">
      <c r="B82" s="6" t="n">
        <v>2027</v>
      </c>
      <c r="C82" s="6" t="inlineStr">
        <is>
          <t>Codiagro</t>
        </is>
      </c>
      <c r="D82" s="7" t="inlineStr">
        <is>
          <t>RESULTADO DEL EJERCICIO</t>
        </is>
      </c>
      <c r="E82" s="7" t="inlineStr">
        <is>
          <t>RESULTADO ANTES DE IMPUESTOS</t>
        </is>
      </c>
      <c r="F82" s="7" t="inlineStr">
        <is>
          <t>RESULTADO DE LA EXPLOTACION</t>
        </is>
      </c>
      <c r="G82" s="7" t="inlineStr">
        <is>
          <t>7.- Otros gastos de explotación</t>
        </is>
      </c>
      <c r="H82" s="7" t="inlineStr">
        <is>
          <t>(621) Arrendamientos y cánones</t>
        </is>
      </c>
      <c r="I82" s="7" t="inlineStr">
        <is>
          <t>621000045 - ALQUILER RENTING 3421-NJT PERE</t>
        </is>
      </c>
      <c r="J82" s="6" t="inlineStr">
        <is>
          <t>-</t>
        </is>
      </c>
      <c r="K82" s="8" t="n">
        <v>-1093.31</v>
      </c>
      <c r="L82" s="8" t="n">
        <v>-1093.31</v>
      </c>
      <c r="M82" s="8" t="n">
        <v>-1093.31</v>
      </c>
      <c r="N82" s="8" t="n">
        <v>-1093.31</v>
      </c>
      <c r="O82" s="8" t="n">
        <v>-1093.31</v>
      </c>
      <c r="P82" s="8" t="n">
        <v>-1093.31</v>
      </c>
      <c r="Q82" s="8" t="n">
        <v>-1093.31</v>
      </c>
      <c r="R82" s="8" t="n">
        <v>-1093.31</v>
      </c>
      <c r="S82" s="8" t="n">
        <v>-1093.31</v>
      </c>
      <c r="T82" s="8" t="n">
        <v>-1093.31</v>
      </c>
      <c r="U82" s="8" t="n">
        <v>-1093.31</v>
      </c>
      <c r="V82" s="8" t="n">
        <v>-1093.31</v>
      </c>
      <c r="W82" s="9">
        <f>SUM(K82:V82)</f>
        <v/>
      </c>
      <c r="X82" s="10" t="inlineStr">
        <is>
          <t>Coste fijo mensual según contratos vigentes de renting de vehículos y maquinaria auxiliar.</t>
        </is>
      </c>
    </row>
    <row r="83" ht="18" customHeight="1">
      <c r="B83" s="6" t="n">
        <v>2027</v>
      </c>
      <c r="C83" s="6" t="inlineStr">
        <is>
          <t>Codiagro</t>
        </is>
      </c>
      <c r="D83" s="7" t="inlineStr">
        <is>
          <t>RESULTADO DEL EJERCICIO</t>
        </is>
      </c>
      <c r="E83" s="7" t="inlineStr">
        <is>
          <t>RESULTADO ANTES DE IMPUESTOS</t>
        </is>
      </c>
      <c r="F83" s="7" t="inlineStr">
        <is>
          <t>RESULTADO DE LA EXPLOTACION</t>
        </is>
      </c>
      <c r="G83" s="7" t="inlineStr">
        <is>
          <t>7.- Otros gastos de explotación</t>
        </is>
      </c>
      <c r="H83" s="7" t="inlineStr">
        <is>
          <t>(621) Arrendamientos y cánones</t>
        </is>
      </c>
      <c r="I83" s="7" t="inlineStr">
        <is>
          <t>621000046 - ALQUILER CARRETILLAS</t>
        </is>
      </c>
      <c r="J83" s="6" t="inlineStr">
        <is>
          <t>-</t>
        </is>
      </c>
      <c r="K83" s="8" t="n">
        <v>-677.75</v>
      </c>
      <c r="L83" s="8" t="n">
        <v>-677.75</v>
      </c>
      <c r="M83" s="8" t="n">
        <v>-677.75</v>
      </c>
      <c r="N83" s="8" t="n">
        <v>-677.75</v>
      </c>
      <c r="O83" s="8" t="n">
        <v>-677.75</v>
      </c>
      <c r="P83" s="8" t="n">
        <v>-677.75</v>
      </c>
      <c r="Q83" s="8" t="n">
        <v>-677.75</v>
      </c>
      <c r="R83" s="8" t="n">
        <v>-677.75</v>
      </c>
      <c r="S83" s="8" t="n">
        <v>-677.75</v>
      </c>
      <c r="T83" s="8" t="n">
        <v>-677.75</v>
      </c>
      <c r="U83" s="8" t="n">
        <v>-677.75</v>
      </c>
      <c r="V83" s="8" t="n">
        <v>-677.75</v>
      </c>
      <c r="W83" s="9">
        <f>SUM(K83:V83)</f>
        <v/>
      </c>
      <c r="X83" s="10" t="inlineStr">
        <is>
          <t>Coste fijo mensual según contratos vigentes de renting de vehículos y maquinaria auxiliar.</t>
        </is>
      </c>
    </row>
    <row r="84" ht="18" customHeight="1">
      <c r="B84" s="6" t="n">
        <v>2027</v>
      </c>
      <c r="C84" s="6" t="inlineStr">
        <is>
          <t>Codiagro</t>
        </is>
      </c>
      <c r="D84" s="7" t="inlineStr">
        <is>
          <t>RESULTADO DEL EJERCICIO</t>
        </is>
      </c>
      <c r="E84" s="7" t="inlineStr">
        <is>
          <t>RESULTADO ANTES DE IMPUESTOS</t>
        </is>
      </c>
      <c r="F84" s="7" t="inlineStr">
        <is>
          <t>RESULTADO DE LA EXPLOTACION</t>
        </is>
      </c>
      <c r="G84" s="7" t="inlineStr">
        <is>
          <t>7.- Otros gastos de explotación</t>
        </is>
      </c>
      <c r="H84" s="7" t="inlineStr">
        <is>
          <t>(622) Reparación/conservación/mantenimiento</t>
        </is>
      </c>
      <c r="I84" s="7" t="inlineStr">
        <is>
          <t>622000001 - REPAR. EQUIPOS INFORM. Y FOTOCOPIADORAS</t>
        </is>
      </c>
      <c r="J84" s="6" t="inlineStr">
        <is>
          <t>-</t>
        </is>
      </c>
      <c r="K84" s="8" t="n">
        <v>-748.65</v>
      </c>
      <c r="L84" s="8" t="n">
        <v>-748.65</v>
      </c>
      <c r="M84" s="8" t="n">
        <v>-748.65</v>
      </c>
      <c r="N84" s="8" t="n">
        <v>-748.65</v>
      </c>
      <c r="O84" s="8" t="n">
        <v>-748.65</v>
      </c>
      <c r="P84" s="8" t="n">
        <v>-748.65</v>
      </c>
      <c r="Q84" s="8" t="n">
        <v>-748.65</v>
      </c>
      <c r="R84" s="8" t="n">
        <v>-748.65</v>
      </c>
      <c r="S84" s="8" t="n">
        <v>-748.65</v>
      </c>
      <c r="T84" s="8" t="n">
        <v>-748.65</v>
      </c>
      <c r="U84" s="8" t="n">
        <v>-748.65</v>
      </c>
      <c r="V84" s="8" t="n">
        <v>-748.65</v>
      </c>
      <c r="W84" s="9">
        <f>SUM(K84:V84)</f>
        <v/>
      </c>
      <c r="X84" s="10" t="inlineStr">
        <is>
          <t>Coste semi-variable: mantenimiento preventivo y correctivo de planta industrial.</t>
        </is>
      </c>
    </row>
    <row r="85" ht="18" customHeight="1">
      <c r="B85" s="6" t="n">
        <v>2027</v>
      </c>
      <c r="C85" s="6" t="inlineStr">
        <is>
          <t>Codiagro</t>
        </is>
      </c>
      <c r="D85" s="7" t="inlineStr">
        <is>
          <t>RESULTADO DEL EJERCICIO</t>
        </is>
      </c>
      <c r="E85" s="7" t="inlineStr">
        <is>
          <t>RESULTADO ANTES DE IMPUESTOS</t>
        </is>
      </c>
      <c r="F85" s="7" t="inlineStr">
        <is>
          <t>RESULTADO DE LA EXPLOTACION</t>
        </is>
      </c>
      <c r="G85" s="7" t="inlineStr">
        <is>
          <t>7.- Otros gastos de explotación</t>
        </is>
      </c>
      <c r="H85" s="7" t="inlineStr">
        <is>
          <t>(622) Reparación/conservación/mantenimiento</t>
        </is>
      </c>
      <c r="I85" s="7" t="inlineStr">
        <is>
          <t>622000004 - REP. Y CONSERV. CARRETILLA ELECTRICA</t>
        </is>
      </c>
      <c r="J85" s="6" t="inlineStr">
        <is>
          <t>-</t>
        </is>
      </c>
      <c r="K85" s="8" t="n">
        <v>-731.87</v>
      </c>
      <c r="L85" s="8" t="n">
        <v>-731.87</v>
      </c>
      <c r="M85" s="8" t="n">
        <v>-731.87</v>
      </c>
      <c r="N85" s="8" t="n">
        <v>-731.87</v>
      </c>
      <c r="O85" s="8" t="n">
        <v>-731.87</v>
      </c>
      <c r="P85" s="8" t="n">
        <v>-731.87</v>
      </c>
      <c r="Q85" s="8" t="n">
        <v>-731.87</v>
      </c>
      <c r="R85" s="8" t="n">
        <v>-731.87</v>
      </c>
      <c r="S85" s="8" t="n">
        <v>-731.87</v>
      </c>
      <c r="T85" s="8" t="n">
        <v>-731.87</v>
      </c>
      <c r="U85" s="8" t="n">
        <v>-731.87</v>
      </c>
      <c r="V85" s="8" t="n">
        <v>-731.87</v>
      </c>
      <c r="W85" s="9">
        <f>SUM(K85:V85)</f>
        <v/>
      </c>
      <c r="X85" s="10" t="inlineStr">
        <is>
          <t>Coste semi-variable: mantenimiento preventivo y correctivo de planta industrial.</t>
        </is>
      </c>
    </row>
    <row r="86" ht="18" customHeight="1">
      <c r="B86" s="6" t="n">
        <v>2027</v>
      </c>
      <c r="C86" s="6" t="inlineStr">
        <is>
          <t>Codiagro</t>
        </is>
      </c>
      <c r="D86" s="7" t="inlineStr">
        <is>
          <t>RESULTADO DEL EJERCICIO</t>
        </is>
      </c>
      <c r="E86" s="7" t="inlineStr">
        <is>
          <t>RESULTADO ANTES DE IMPUESTOS</t>
        </is>
      </c>
      <c r="F86" s="7" t="inlineStr">
        <is>
          <t>RESULTADO DE LA EXPLOTACION</t>
        </is>
      </c>
      <c r="G86" s="7" t="inlineStr">
        <is>
          <t>7.- Otros gastos de explotación</t>
        </is>
      </c>
      <c r="H86" s="7" t="inlineStr">
        <is>
          <t>(622) Reparación/conservación/mantenimiento</t>
        </is>
      </c>
      <c r="I86" s="7" t="inlineStr">
        <is>
          <t>622000005 - REP. Y MANT. EQUIPOS SEGURIDAD</t>
        </is>
      </c>
      <c r="J86" s="6" t="inlineStr">
        <is>
          <t>-</t>
        </is>
      </c>
      <c r="K86" s="8" t="n">
        <v>-122.19</v>
      </c>
      <c r="L86" s="8" t="n">
        <v>-122.19</v>
      </c>
      <c r="M86" s="8" t="n">
        <v>-122.19</v>
      </c>
      <c r="N86" s="8" t="n">
        <v>-122.19</v>
      </c>
      <c r="O86" s="8" t="n">
        <v>-122.19</v>
      </c>
      <c r="P86" s="8" t="n">
        <v>-122.19</v>
      </c>
      <c r="Q86" s="8" t="n">
        <v>-122.19</v>
      </c>
      <c r="R86" s="8" t="n">
        <v>-122.19</v>
      </c>
      <c r="S86" s="8" t="n">
        <v>-122.19</v>
      </c>
      <c r="T86" s="8" t="n">
        <v>-122.19</v>
      </c>
      <c r="U86" s="8" t="n">
        <v>-122.19</v>
      </c>
      <c r="V86" s="8" t="n">
        <v>-122.19</v>
      </c>
      <c r="W86" s="9">
        <f>SUM(K86:V86)</f>
        <v/>
      </c>
      <c r="X86" s="10" t="inlineStr">
        <is>
          <t>Coste semi-variable: mantenimiento preventivo y correctivo de planta industrial.</t>
        </is>
      </c>
    </row>
    <row r="87" ht="18" customHeight="1">
      <c r="B87" s="6" t="n">
        <v>2027</v>
      </c>
      <c r="C87" s="6" t="inlineStr">
        <is>
          <t>Codiagro</t>
        </is>
      </c>
      <c r="D87" s="7" t="inlineStr">
        <is>
          <t>RESULTADO DEL EJERCICIO</t>
        </is>
      </c>
      <c r="E87" s="7" t="inlineStr">
        <is>
          <t>RESULTADO ANTES DE IMPUESTOS</t>
        </is>
      </c>
      <c r="F87" s="7" t="inlineStr">
        <is>
          <t>RESULTADO DE LA EXPLOTACION</t>
        </is>
      </c>
      <c r="G87" s="7" t="inlineStr">
        <is>
          <t>7.- Otros gastos de explotación</t>
        </is>
      </c>
      <c r="H87" s="7" t="inlineStr">
        <is>
          <t>(622) Reparación/conservación/mantenimiento</t>
        </is>
      </c>
      <c r="I87" s="7" t="inlineStr">
        <is>
          <t>622000006 - REP. Y MANT. INSTALACIONES VARIAS</t>
        </is>
      </c>
      <c r="J87" s="6" t="inlineStr">
        <is>
          <t>-</t>
        </is>
      </c>
      <c r="K87" s="8" t="n">
        <v>-3015.5</v>
      </c>
      <c r="L87" s="8" t="n">
        <v>-800</v>
      </c>
      <c r="M87" s="8" t="n">
        <v>-800</v>
      </c>
      <c r="N87" s="8" t="n">
        <v>-800</v>
      </c>
      <c r="O87" s="8" t="n">
        <v>-800</v>
      </c>
      <c r="P87" s="8" t="n">
        <v>-800</v>
      </c>
      <c r="Q87" s="8" t="n">
        <v>-800</v>
      </c>
      <c r="R87" s="8" t="n">
        <v>-3174.84</v>
      </c>
      <c r="S87" s="8" t="n">
        <v>-3128.9</v>
      </c>
      <c r="T87" s="8" t="n">
        <v>-2577.65</v>
      </c>
      <c r="U87" s="8" t="n">
        <v>-800</v>
      </c>
      <c r="V87" s="8" t="n">
        <v>-1351.25</v>
      </c>
      <c r="W87" s="9">
        <f>SUM(K87:V87)</f>
        <v/>
      </c>
      <c r="X87" s="10" t="inlineStr">
        <is>
          <t>Presupuesto Mantenimiento Fábrica 2027: Instalaciones y edificios (-18.848,14 €). La adecuación estructural de cubierta/nave enfrente (9.600 €) es activable en cta 211.</t>
        </is>
      </c>
    </row>
    <row r="88" ht="18" customHeight="1">
      <c r="B88" s="6" t="n">
        <v>2027</v>
      </c>
      <c r="C88" s="6" t="inlineStr">
        <is>
          <t>Codiagro</t>
        </is>
      </c>
      <c r="D88" s="7" t="inlineStr">
        <is>
          <t>RESULTADO DEL EJERCICIO</t>
        </is>
      </c>
      <c r="E88" s="7" t="inlineStr">
        <is>
          <t>RESULTADO ANTES DE IMPUESTOS</t>
        </is>
      </c>
      <c r="F88" s="7" t="inlineStr">
        <is>
          <t>RESULTADO DE LA EXPLOTACION</t>
        </is>
      </c>
      <c r="G88" s="7" t="inlineStr">
        <is>
          <t>7.- Otros gastos de explotación</t>
        </is>
      </c>
      <c r="H88" s="7" t="inlineStr">
        <is>
          <t>(622) Reparación/conservación/mantenimiento</t>
        </is>
      </c>
      <c r="I88" s="7" t="inlineStr">
        <is>
          <t>622000007 - REP. Y MANT. HYUNDAI 0377CJG</t>
        </is>
      </c>
      <c r="J88" s="6" t="inlineStr">
        <is>
          <t>-</t>
        </is>
      </c>
      <c r="K88" s="8" t="n">
        <v>-249.63</v>
      </c>
      <c r="L88" s="8" t="n">
        <v>-249.63</v>
      </c>
      <c r="M88" s="8" t="n">
        <v>-249.63</v>
      </c>
      <c r="N88" s="8" t="n">
        <v>-249.63</v>
      </c>
      <c r="O88" s="8" t="n">
        <v>-249.63</v>
      </c>
      <c r="P88" s="8" t="n">
        <v>-249.63</v>
      </c>
      <c r="Q88" s="8" t="n">
        <v>-249.63</v>
      </c>
      <c r="R88" s="8" t="n">
        <v>-249.63</v>
      </c>
      <c r="S88" s="8" t="n">
        <v>-249.63</v>
      </c>
      <c r="T88" s="8" t="n">
        <v>-249.63</v>
      </c>
      <c r="U88" s="8" t="n">
        <v>-249.63</v>
      </c>
      <c r="V88" s="8" t="n">
        <v>-249.63</v>
      </c>
      <c r="W88" s="9">
        <f>SUM(K88:V88)</f>
        <v/>
      </c>
      <c r="X88" s="10" t="inlineStr">
        <is>
          <t>Coste semi-variable: mantenimiento preventivo y correctivo de planta industrial.</t>
        </is>
      </c>
    </row>
    <row r="89" ht="18" customHeight="1">
      <c r="B89" s="6" t="n">
        <v>2027</v>
      </c>
      <c r="C89" s="6" t="inlineStr">
        <is>
          <t>Codiagro</t>
        </is>
      </c>
      <c r="D89" s="7" t="inlineStr">
        <is>
          <t>RESULTADO DEL EJERCICIO</t>
        </is>
      </c>
      <c r="E89" s="7" t="inlineStr">
        <is>
          <t>RESULTADO ANTES DE IMPUESTOS</t>
        </is>
      </c>
      <c r="F89" s="7" t="inlineStr">
        <is>
          <t>RESULTADO DE LA EXPLOTACION</t>
        </is>
      </c>
      <c r="G89" s="7" t="inlineStr">
        <is>
          <t>7.- Otros gastos de explotación</t>
        </is>
      </c>
      <c r="H89" s="7" t="inlineStr">
        <is>
          <t>(622) Reparación/conservación/mantenimiento</t>
        </is>
      </c>
      <c r="I89" s="7" t="inlineStr">
        <is>
          <t>622000008 - REP. Y MANT. MAQUINA BARREDORA</t>
        </is>
      </c>
      <c r="J89" s="6" t="inlineStr">
        <is>
          <t>-</t>
        </is>
      </c>
      <c r="K89" s="8" t="n">
        <v>-515.01</v>
      </c>
      <c r="L89" s="8" t="n">
        <v>-515.01</v>
      </c>
      <c r="M89" s="8" t="n">
        <v>-515.01</v>
      </c>
      <c r="N89" s="8" t="n">
        <v>-515.01</v>
      </c>
      <c r="O89" s="8" t="n">
        <v>-515.01</v>
      </c>
      <c r="P89" s="8" t="n">
        <v>-515.01</v>
      </c>
      <c r="Q89" s="8" t="n">
        <v>-515.01</v>
      </c>
      <c r="R89" s="8" t="n">
        <v>-515.01</v>
      </c>
      <c r="S89" s="8" t="n">
        <v>-515.01</v>
      </c>
      <c r="T89" s="8" t="n">
        <v>-515.01</v>
      </c>
      <c r="U89" s="8" t="n">
        <v>-515.01</v>
      </c>
      <c r="V89" s="8" t="n">
        <v>-515.01</v>
      </c>
      <c r="W89" s="9">
        <f>SUM(K89:V89)</f>
        <v/>
      </c>
      <c r="X89" s="10" t="inlineStr">
        <is>
          <t>Coste semi-variable: mantenimiento preventivo y correctivo de planta industrial.</t>
        </is>
      </c>
    </row>
    <row r="90" ht="18" customHeight="1">
      <c r="B90" s="6" t="n">
        <v>2027</v>
      </c>
      <c r="C90" s="6" t="inlineStr">
        <is>
          <t>Codiagro</t>
        </is>
      </c>
      <c r="D90" s="7" t="inlineStr">
        <is>
          <t>RESULTADO DEL EJERCICIO</t>
        </is>
      </c>
      <c r="E90" s="7" t="inlineStr">
        <is>
          <t>RESULTADO ANTES DE IMPUESTOS</t>
        </is>
      </c>
      <c r="F90" s="7" t="inlineStr">
        <is>
          <t>RESULTADO DE LA EXPLOTACION</t>
        </is>
      </c>
      <c r="G90" s="7" t="inlineStr">
        <is>
          <t>7.- Otros gastos de explotación</t>
        </is>
      </c>
      <c r="H90" s="7" t="inlineStr">
        <is>
          <t>(622) Reparación/conservación/mantenimiento</t>
        </is>
      </c>
      <c r="I90" s="7" t="inlineStr">
        <is>
          <t>622000009 - REP. Y MANT. FURGONETA 2589CRJ</t>
        </is>
      </c>
      <c r="J90" s="6" t="inlineStr">
        <is>
          <t>-</t>
        </is>
      </c>
      <c r="K90" s="8" t="n">
        <v>0</v>
      </c>
      <c r="L90" s="8" t="n">
        <v>0</v>
      </c>
      <c r="M90" s="8" t="n">
        <v>0</v>
      </c>
      <c r="N90" s="8" t="n">
        <v>0</v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9">
        <f>SUM(K90:V90)</f>
        <v/>
      </c>
      <c r="X90" s="10" t="inlineStr">
        <is>
          <t>Sin dotación presupuestada en 2027.</t>
        </is>
      </c>
    </row>
    <row r="91" ht="18" customHeight="1">
      <c r="B91" s="6" t="n">
        <v>2027</v>
      </c>
      <c r="C91" s="6" t="inlineStr">
        <is>
          <t>Codiagro</t>
        </is>
      </c>
      <c r="D91" s="7" t="inlineStr">
        <is>
          <t>RESULTADO DEL EJERCICIO</t>
        </is>
      </c>
      <c r="E91" s="7" t="inlineStr">
        <is>
          <t>RESULTADO ANTES DE IMPUESTOS</t>
        </is>
      </c>
      <c r="F91" s="7" t="inlineStr">
        <is>
          <t>RESULTADO DE LA EXPLOTACION</t>
        </is>
      </c>
      <c r="G91" s="7" t="inlineStr">
        <is>
          <t>7.- Otros gastos de explotación</t>
        </is>
      </c>
      <c r="H91" s="7" t="inlineStr">
        <is>
          <t>(622) Reparación/conservación/mantenimiento</t>
        </is>
      </c>
      <c r="I91" s="7" t="inlineStr">
        <is>
          <t>622000012 - LIMPIEZA OFICINAS, LABORATORIO Y VESTUARIOS</t>
        </is>
      </c>
      <c r="J91" s="6" t="inlineStr">
        <is>
          <t>-</t>
        </is>
      </c>
      <c r="K91" s="8" t="n">
        <v>-935.11</v>
      </c>
      <c r="L91" s="8" t="n">
        <v>-935.11</v>
      </c>
      <c r="M91" s="8" t="n">
        <v>-935.11</v>
      </c>
      <c r="N91" s="8" t="n">
        <v>-935.11</v>
      </c>
      <c r="O91" s="8" t="n">
        <v>-935.11</v>
      </c>
      <c r="P91" s="8" t="n">
        <v>-935.11</v>
      </c>
      <c r="Q91" s="8" t="n">
        <v>-935.11</v>
      </c>
      <c r="R91" s="8" t="n">
        <v>-935.11</v>
      </c>
      <c r="S91" s="8" t="n">
        <v>-935.11</v>
      </c>
      <c r="T91" s="8" t="n">
        <v>-935.11</v>
      </c>
      <c r="U91" s="8" t="n">
        <v>-935.11</v>
      </c>
      <c r="V91" s="8" t="n">
        <v>-935.11</v>
      </c>
      <c r="W91" s="9">
        <f>SUM(K91:V91)</f>
        <v/>
      </c>
      <c r="X91" s="10" t="inlineStr">
        <is>
          <t>Coste semi-variable: mantenimiento preventivo y correctivo de planta industrial.</t>
        </is>
      </c>
    </row>
    <row r="92" ht="18" customHeight="1">
      <c r="B92" s="6" t="n">
        <v>2027</v>
      </c>
      <c r="C92" s="6" t="inlineStr">
        <is>
          <t>Codiagro</t>
        </is>
      </c>
      <c r="D92" s="7" t="inlineStr">
        <is>
          <t>RESULTADO DEL EJERCICIO</t>
        </is>
      </c>
      <c r="E92" s="7" t="inlineStr">
        <is>
          <t>RESULTADO ANTES DE IMPUESTOS</t>
        </is>
      </c>
      <c r="F92" s="7" t="inlineStr">
        <is>
          <t>RESULTADO DE LA EXPLOTACION</t>
        </is>
      </c>
      <c r="G92" s="7" t="inlineStr">
        <is>
          <t>7.- Otros gastos de explotación</t>
        </is>
      </c>
      <c r="H92" s="7" t="inlineStr">
        <is>
          <t>(622) Reparación/conservación/mantenimiento</t>
        </is>
      </c>
      <c r="I92" s="7" t="inlineStr">
        <is>
          <t>622010000 MANTENIMIENTO</t>
        </is>
      </c>
      <c r="J92" s="6" t="inlineStr">
        <is>
          <t>-</t>
        </is>
      </c>
      <c r="K92" s="8" t="n">
        <v>-1472.45</v>
      </c>
      <c r="L92" s="8" t="n">
        <v>-1472.45</v>
      </c>
      <c r="M92" s="8" t="n">
        <v>-1472.45</v>
      </c>
      <c r="N92" s="8" t="n">
        <v>-1472.45</v>
      </c>
      <c r="O92" s="8" t="n">
        <v>-1472.45</v>
      </c>
      <c r="P92" s="8" t="n">
        <v>-1472.45</v>
      </c>
      <c r="Q92" s="8" t="n">
        <v>-1472.45</v>
      </c>
      <c r="R92" s="8" t="n">
        <v>-1472.45</v>
      </c>
      <c r="S92" s="8" t="n">
        <v>-1472.45</v>
      </c>
      <c r="T92" s="8" t="n">
        <v>-1472.45</v>
      </c>
      <c r="U92" s="8" t="n">
        <v>-1472.45</v>
      </c>
      <c r="V92" s="8" t="n">
        <v>-1472.45</v>
      </c>
      <c r="W92" s="9">
        <f>SUM(K92:V92)</f>
        <v/>
      </c>
      <c r="X92" s="10" t="inlineStr">
        <is>
          <t>Coste semi-variable: mantenimiento preventivo y correctivo de planta industrial.</t>
        </is>
      </c>
    </row>
    <row r="93" ht="18" customHeight="1">
      <c r="B93" s="6" t="n">
        <v>2027</v>
      </c>
      <c r="C93" s="6" t="inlineStr">
        <is>
          <t>Codiagro</t>
        </is>
      </c>
      <c r="D93" s="7" t="inlineStr">
        <is>
          <t>RESULTADO DEL EJERCICIO</t>
        </is>
      </c>
      <c r="E93" s="7" t="inlineStr">
        <is>
          <t>RESULTADO ANTES DE IMPUESTOS</t>
        </is>
      </c>
      <c r="F93" s="7" t="inlineStr">
        <is>
          <t>RESULTADO DE LA EXPLOTACION</t>
        </is>
      </c>
      <c r="G93" s="7" t="inlineStr">
        <is>
          <t>7.- Otros gastos de explotación</t>
        </is>
      </c>
      <c r="H93" s="7" t="inlineStr">
        <is>
          <t>(622) Reparación/conservación/mantenimiento</t>
        </is>
      </c>
      <c r="I93" s="7" t="inlineStr">
        <is>
          <t>622010001 - MANTENIMIENTO REPUESTO COMPRA AMAZON</t>
        </is>
      </c>
      <c r="J93" s="6" t="inlineStr">
        <is>
          <t>-</t>
        </is>
      </c>
      <c r="K93" s="8" t="n">
        <v>0</v>
      </c>
      <c r="L93" s="8" t="n">
        <v>0</v>
      </c>
      <c r="M93" s="8" t="n">
        <v>0</v>
      </c>
      <c r="N93" s="8" t="n">
        <v>0</v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9">
        <f>SUM(K93:V93)</f>
        <v/>
      </c>
      <c r="X93" s="10" t="inlineStr">
        <is>
          <t>Sin dotación presupuestada en 2027.</t>
        </is>
      </c>
    </row>
    <row r="94" ht="18" customHeight="1">
      <c r="B94" s="6" t="n">
        <v>2027</v>
      </c>
      <c r="C94" s="6" t="inlineStr">
        <is>
          <t>Codiagro</t>
        </is>
      </c>
      <c r="D94" s="7" t="inlineStr">
        <is>
          <t>RESULTADO DEL EJERCICIO</t>
        </is>
      </c>
      <c r="E94" s="7" t="inlineStr">
        <is>
          <t>RESULTADO ANTES DE IMPUESTOS</t>
        </is>
      </c>
      <c r="F94" s="7" t="inlineStr">
        <is>
          <t>RESULTADO DE LA EXPLOTACION</t>
        </is>
      </c>
      <c r="G94" s="7" t="inlineStr">
        <is>
          <t>7.- Otros gastos de explotación</t>
        </is>
      </c>
      <c r="H94" s="7" t="inlineStr">
        <is>
          <t>(622) Reparación/conservación/mantenimiento</t>
        </is>
      </c>
      <c r="I94" s="7" t="inlineStr">
        <is>
          <t>622010200 - ALCAPLANT</t>
        </is>
      </c>
      <c r="J94" s="6" t="inlineStr">
        <is>
          <t>-</t>
        </is>
      </c>
      <c r="K94" s="8" t="n">
        <v>-0</v>
      </c>
      <c r="L94" s="8" t="n">
        <v>-0</v>
      </c>
      <c r="M94" s="8" t="n">
        <v>-0</v>
      </c>
      <c r="N94" s="8" t="n">
        <v>-554.4</v>
      </c>
      <c r="O94" s="8" t="n">
        <v>-0</v>
      </c>
      <c r="P94" s="8" t="n">
        <v>-0</v>
      </c>
      <c r="Q94" s="8" t="n">
        <v>-0</v>
      </c>
      <c r="R94" s="8" t="n">
        <v>-1050</v>
      </c>
      <c r="S94" s="8" t="n">
        <v>-840</v>
      </c>
      <c r="T94" s="8" t="n">
        <v>-3150</v>
      </c>
      <c r="U94" s="8" t="n">
        <v>-0</v>
      </c>
      <c r="V94" s="8" t="n">
        <v>-0</v>
      </c>
      <c r="W94" s="9">
        <f>SUM(K94:V94)</f>
        <v/>
      </c>
      <c r="X94" s="10" t="inlineStr">
        <is>
          <t>Presupuesto Mantenimiento Fábrica 2027: Molinos y línea Alcaplant (-5.594,40 € gasto corriente). Las mejoras estructurales de molinos (9.410 €) son activables en cta 213.</t>
        </is>
      </c>
    </row>
    <row r="95" ht="18" customHeight="1">
      <c r="B95" s="6" t="n">
        <v>2027</v>
      </c>
      <c r="C95" s="6" t="inlineStr">
        <is>
          <t>Codiagro</t>
        </is>
      </c>
      <c r="D95" s="7" t="inlineStr">
        <is>
          <t>RESULTADO DEL EJERCICIO</t>
        </is>
      </c>
      <c r="E95" s="7" t="inlineStr">
        <is>
          <t>RESULTADO ANTES DE IMPUESTOS</t>
        </is>
      </c>
      <c r="F95" s="7" t="inlineStr">
        <is>
          <t>RESULTADO DE LA EXPLOTACION</t>
        </is>
      </c>
      <c r="G95" s="7" t="inlineStr">
        <is>
          <t>7.- Otros gastos de explotación</t>
        </is>
      </c>
      <c r="H95" s="7" t="inlineStr">
        <is>
          <t>(622) Reparación/conservación/mantenimiento</t>
        </is>
      </c>
      <c r="I95" s="7" t="inlineStr">
        <is>
          <t>622010201 - REPARACIONES ALCAPLANT</t>
        </is>
      </c>
      <c r="J95" s="6" t="inlineStr">
        <is>
          <t>-</t>
        </is>
      </c>
      <c r="K95" s="8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9">
        <f>SUM(K95:V95)</f>
        <v/>
      </c>
      <c r="X95" s="10" t="inlineStr">
        <is>
          <t>Fusionado en 622010200 según estructura presupuestaria de fábrica.</t>
        </is>
      </c>
    </row>
    <row r="96" ht="18" customHeight="1">
      <c r="B96" s="6" t="n">
        <v>2027</v>
      </c>
      <c r="C96" s="6" t="inlineStr">
        <is>
          <t>Codiagro</t>
        </is>
      </c>
      <c r="D96" s="7" t="inlineStr">
        <is>
          <t>RESULTADO DEL EJERCICIO</t>
        </is>
      </c>
      <c r="E96" s="7" t="inlineStr">
        <is>
          <t>RESULTADO ANTES DE IMPUESTOS</t>
        </is>
      </c>
      <c r="F96" s="7" t="inlineStr">
        <is>
          <t>RESULTADO DE LA EXPLOTACION</t>
        </is>
      </c>
      <c r="G96" s="7" t="inlineStr">
        <is>
          <t>7.- Otros gastos de explotación</t>
        </is>
      </c>
      <c r="H96" s="7" t="inlineStr">
        <is>
          <t>(622) Reparación/conservación/mantenimiento</t>
        </is>
      </c>
      <c r="I96" s="7" t="inlineStr">
        <is>
          <t>622010300 - SOLIDOS</t>
        </is>
      </c>
      <c r="J96" s="6" t="inlineStr">
        <is>
          <t>-</t>
        </is>
      </c>
      <c r="K96" s="8" t="n">
        <v>-367.5</v>
      </c>
      <c r="L96" s="8" t="n">
        <v>-367.5</v>
      </c>
      <c r="M96" s="8" t="n">
        <v>-367.5</v>
      </c>
      <c r="N96" s="8" t="n">
        <v>-367.5</v>
      </c>
      <c r="O96" s="8" t="n">
        <v>-367.5</v>
      </c>
      <c r="P96" s="8" t="n">
        <v>-367.5</v>
      </c>
      <c r="Q96" s="8" t="n">
        <v>-367.5</v>
      </c>
      <c r="R96" s="8" t="n">
        <v>-367.5</v>
      </c>
      <c r="S96" s="8" t="n">
        <v>-367.5</v>
      </c>
      <c r="T96" s="8" t="n">
        <v>-367.5</v>
      </c>
      <c r="U96" s="8" t="n">
        <v>-2992.5</v>
      </c>
      <c r="V96" s="8" t="n">
        <v>-367.5</v>
      </c>
      <c r="W96" s="9">
        <f>SUM(K96:V96)</f>
        <v/>
      </c>
      <c r="X96" s="10" t="inlineStr">
        <is>
          <t>Presupuesto Mantenimiento Fábrica 2027: Mantenimiento ensacadora y sinfines línea sólidos Elocom/Proymec (-7.035,00 €).</t>
        </is>
      </c>
    </row>
    <row r="97" ht="18" customHeight="1">
      <c r="B97" s="6" t="n">
        <v>2027</v>
      </c>
      <c r="C97" s="6" t="inlineStr">
        <is>
          <t>Codiagro</t>
        </is>
      </c>
      <c r="D97" s="7" t="inlineStr">
        <is>
          <t>RESULTADO DEL EJERCICIO</t>
        </is>
      </c>
      <c r="E97" s="7" t="inlineStr">
        <is>
          <t>RESULTADO ANTES DE IMPUESTOS</t>
        </is>
      </c>
      <c r="F97" s="7" t="inlineStr">
        <is>
          <t>RESULTADO DE LA EXPLOTACION</t>
        </is>
      </c>
      <c r="G97" s="7" t="inlineStr">
        <is>
          <t>7.- Otros gastos de explotación</t>
        </is>
      </c>
      <c r="H97" s="7" t="inlineStr">
        <is>
          <t>(622) Reparación/conservación/mantenimiento</t>
        </is>
      </c>
      <c r="I97" s="7" t="inlineStr">
        <is>
          <t>622010400 - LIQUIDOS</t>
        </is>
      </c>
      <c r="J97" s="6" t="inlineStr">
        <is>
          <t>-</t>
        </is>
      </c>
      <c r="K97" s="8" t="n">
        <v>-420</v>
      </c>
      <c r="L97" s="8" t="n">
        <v>-0</v>
      </c>
      <c r="M97" s="8" t="n">
        <v>-0</v>
      </c>
      <c r="N97" s="8" t="n">
        <v>-630</v>
      </c>
      <c r="O97" s="8" t="n">
        <v>-0</v>
      </c>
      <c r="P97" s="8" t="n">
        <v>-0</v>
      </c>
      <c r="Q97" s="8" t="n">
        <v>-0</v>
      </c>
      <c r="R97" s="8" t="n">
        <v>-0</v>
      </c>
      <c r="S97" s="8" t="n">
        <v>-3885</v>
      </c>
      <c r="T97" s="8" t="n">
        <v>-1155</v>
      </c>
      <c r="U97" s="8" t="n">
        <v>-0</v>
      </c>
      <c r="V97" s="8" t="n">
        <v>-0</v>
      </c>
      <c r="W97" s="9">
        <f>SUM(K97:V97)</f>
        <v/>
      </c>
      <c r="X97" s="10" t="inlineStr">
        <is>
          <t>Presupuesto Mantenimiento Fábrica 2027: Valvulería, propulsores y conducciones línea líquidos (-6.090,00 €).</t>
        </is>
      </c>
    </row>
    <row r="98" ht="18" customHeight="1">
      <c r="B98" s="6" t="n">
        <v>2027</v>
      </c>
      <c r="C98" s="6" t="inlineStr">
        <is>
          <t>Codiagro</t>
        </is>
      </c>
      <c r="D98" s="7" t="inlineStr">
        <is>
          <t>RESULTADO DEL EJERCICIO</t>
        </is>
      </c>
      <c r="E98" s="7" t="inlineStr">
        <is>
          <t>RESULTADO ANTES DE IMPUESTOS</t>
        </is>
      </c>
      <c r="F98" s="7" t="inlineStr">
        <is>
          <t>RESULTADO DE LA EXPLOTACION</t>
        </is>
      </c>
      <c r="G98" s="7" t="inlineStr">
        <is>
          <t>7.- Otros gastos de explotación</t>
        </is>
      </c>
      <c r="H98" s="7" t="inlineStr">
        <is>
          <t>(622) Reparación/conservación/mantenimiento</t>
        </is>
      </c>
      <c r="I98" s="7" t="inlineStr">
        <is>
          <t>622010500 - REPUESTOS MANT. VARIOS</t>
        </is>
      </c>
      <c r="J98" s="6" t="inlineStr">
        <is>
          <t>-</t>
        </is>
      </c>
      <c r="K98" s="8" t="n">
        <v>-262.5</v>
      </c>
      <c r="L98" s="8" t="n">
        <v>-262.5</v>
      </c>
      <c r="M98" s="8" t="n">
        <v>-262.5</v>
      </c>
      <c r="N98" s="8" t="n">
        <v>-262.5</v>
      </c>
      <c r="O98" s="8" t="n">
        <v>-262.5</v>
      </c>
      <c r="P98" s="8" t="n">
        <v>-262.5</v>
      </c>
      <c r="Q98" s="8" t="n">
        <v>-262.5</v>
      </c>
      <c r="R98" s="8" t="n">
        <v>-262.5</v>
      </c>
      <c r="S98" s="8" t="n">
        <v>-367.5</v>
      </c>
      <c r="T98" s="8" t="n">
        <v>-262.5</v>
      </c>
      <c r="U98" s="8" t="n">
        <v>-262.5</v>
      </c>
      <c r="V98" s="8" t="n">
        <v>-262.5</v>
      </c>
      <c r="W98" s="9">
        <f>SUM(K98:V98)</f>
        <v/>
      </c>
      <c r="X98" s="10" t="inlineStr">
        <is>
          <t>Presupuesto Mantenimiento Fábrica 2027: Repuestos generales de taller y planta (-3.255,00 €).</t>
        </is>
      </c>
    </row>
    <row r="99" ht="18" customHeight="1">
      <c r="B99" s="6" t="n">
        <v>2027</v>
      </c>
      <c r="C99" s="6" t="inlineStr">
        <is>
          <t>Codiagro</t>
        </is>
      </c>
      <c r="D99" s="7" t="inlineStr">
        <is>
          <t>RESULTADO DEL EJERCICIO</t>
        </is>
      </c>
      <c r="E99" s="7" t="inlineStr">
        <is>
          <t>RESULTADO ANTES DE IMPUESTOS</t>
        </is>
      </c>
      <c r="F99" s="7" t="inlineStr">
        <is>
          <t>RESULTADO DE LA EXPLOTACION</t>
        </is>
      </c>
      <c r="G99" s="7" t="inlineStr">
        <is>
          <t>7.- Otros gastos de explotación</t>
        </is>
      </c>
      <c r="H99" s="7" t="inlineStr">
        <is>
          <t>(622) Reparación/conservación/mantenimiento</t>
        </is>
      </c>
      <c r="I99" s="7" t="inlineStr">
        <is>
          <t>622010501 - REP. MANT. FONTANERIA</t>
        </is>
      </c>
      <c r="J99" s="6" t="inlineStr">
        <is>
          <t>-</t>
        </is>
      </c>
      <c r="K99" s="8" t="n">
        <v>0</v>
      </c>
      <c r="L99" s="8" t="n">
        <v>0</v>
      </c>
      <c r="M99" s="8" t="n">
        <v>0</v>
      </c>
      <c r="N99" s="8" t="n">
        <v>0</v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9">
        <f>SUM(K99:V99)</f>
        <v/>
      </c>
      <c r="X99" s="10" t="inlineStr">
        <is>
          <t>Integrado en repuestos generales y fontanería de planta (622010400 / 622010500).</t>
        </is>
      </c>
    </row>
    <row r="100" ht="18" customHeight="1">
      <c r="B100" s="6" t="n">
        <v>2027</v>
      </c>
      <c r="C100" s="6" t="inlineStr">
        <is>
          <t>Codiagro</t>
        </is>
      </c>
      <c r="D100" s="7" t="inlineStr">
        <is>
          <t>RESULTADO DEL EJERCICIO</t>
        </is>
      </c>
      <c r="E100" s="7" t="inlineStr">
        <is>
          <t>RESULTADO ANTES DE IMPUESTOS</t>
        </is>
      </c>
      <c r="F100" s="7" t="inlineStr">
        <is>
          <t>RESULTADO DE LA EXPLOTACION</t>
        </is>
      </c>
      <c r="G100" s="7" t="inlineStr">
        <is>
          <t>7.- Otros gastos de explotación</t>
        </is>
      </c>
      <c r="H100" s="7" t="inlineStr">
        <is>
          <t>(623) Servicios profesionales independientes</t>
        </is>
      </c>
      <c r="I100" s="7" t="inlineStr">
        <is>
          <t>623000001 - SERV. PROF. INDEPENDIENTES</t>
        </is>
      </c>
      <c r="J100" s="6" t="inlineStr">
        <is>
          <t>-</t>
        </is>
      </c>
      <c r="K100" s="8" t="n">
        <v>-6000</v>
      </c>
      <c r="L100" s="8" t="n">
        <v>-6000</v>
      </c>
      <c r="M100" s="8" t="n">
        <v>-6000</v>
      </c>
      <c r="N100" s="8" t="n">
        <v>-6000</v>
      </c>
      <c r="O100" s="8" t="n">
        <v>-6000</v>
      </c>
      <c r="P100" s="8" t="n">
        <v>-6000</v>
      </c>
      <c r="Q100" s="8" t="n">
        <v>-6000</v>
      </c>
      <c r="R100" s="8" t="n">
        <v>-6000</v>
      </c>
      <c r="S100" s="8" t="n">
        <v>-6000</v>
      </c>
      <c r="T100" s="8" t="n">
        <v>-6000</v>
      </c>
      <c r="U100" s="8" t="n">
        <v>-6000</v>
      </c>
      <c r="V100" s="8" t="n">
        <v>-8000</v>
      </c>
      <c r="W100" s="9">
        <f>SUM(K100:V100)</f>
        <v/>
      </c>
      <c r="X100" s="10" t="inlineStr">
        <is>
          <t>Coste fijo de asesoramiento legal, técnico y fiscal, con refuerzo en diciembre por preparación del cierre y auditoría.</t>
        </is>
      </c>
    </row>
    <row r="101" ht="18" customHeight="1">
      <c r="B101" s="6" t="n">
        <v>2027</v>
      </c>
      <c r="C101" s="6" t="inlineStr">
        <is>
          <t>Codiagro</t>
        </is>
      </c>
      <c r="D101" s="7" t="inlineStr">
        <is>
          <t>RESULTADO DEL EJERCICIO</t>
        </is>
      </c>
      <c r="E101" s="7" t="inlineStr">
        <is>
          <t>RESULTADO ANTES DE IMPUESTOS</t>
        </is>
      </c>
      <c r="F101" s="7" t="inlineStr">
        <is>
          <t>RESULTADO DE LA EXPLOTACION</t>
        </is>
      </c>
      <c r="G101" s="7" t="inlineStr">
        <is>
          <t>7.- Otros gastos de explotación</t>
        </is>
      </c>
      <c r="H101" s="7" t="inlineStr">
        <is>
          <t>(623) Servicios profesionales independientes</t>
        </is>
      </c>
      <c r="I101" s="7" t="inlineStr">
        <is>
          <t>623000002 - SERVICIOS CONTABLES Y FINANCIEROS</t>
        </is>
      </c>
      <c r="J101" s="6" t="inlineStr">
        <is>
          <t>-</t>
        </is>
      </c>
      <c r="K101" s="8" t="n">
        <v>-1400</v>
      </c>
      <c r="L101" s="8" t="n">
        <v>-1400</v>
      </c>
      <c r="M101" s="8" t="n">
        <v>-1400</v>
      </c>
      <c r="N101" s="8" t="n">
        <v>-1400</v>
      </c>
      <c r="O101" s="8" t="n">
        <v>-1400</v>
      </c>
      <c r="P101" s="8" t="n">
        <v>-1400</v>
      </c>
      <c r="Q101" s="8" t="n">
        <v>-1400</v>
      </c>
      <c r="R101" s="8" t="n">
        <v>-1400</v>
      </c>
      <c r="S101" s="8" t="n">
        <v>-1400</v>
      </c>
      <c r="T101" s="8" t="n">
        <v>-1400</v>
      </c>
      <c r="U101" s="8" t="n">
        <v>-1400</v>
      </c>
      <c r="V101" s="8" t="n">
        <v>-1400</v>
      </c>
      <c r="W101" s="9">
        <f>SUM(K101:V101)</f>
        <v/>
      </c>
      <c r="X101" s="10" t="inlineStr">
        <is>
          <t>Servicios contables y financieros externos: reducción del 50% (-1.400,00 €/mes) aplicada en 2027 según instrucción.</t>
        </is>
      </c>
    </row>
    <row r="102" ht="18" customHeight="1">
      <c r="B102" s="6" t="n">
        <v>2027</v>
      </c>
      <c r="C102" s="6" t="inlineStr">
        <is>
          <t>Codiagro</t>
        </is>
      </c>
      <c r="D102" s="7" t="inlineStr">
        <is>
          <t>RESULTADO DEL EJERCICIO</t>
        </is>
      </c>
      <c r="E102" s="7" t="inlineStr">
        <is>
          <t>RESULTADO ANTES DE IMPUESTOS</t>
        </is>
      </c>
      <c r="F102" s="7" t="inlineStr">
        <is>
          <t>RESULTADO DE LA EXPLOTACION</t>
        </is>
      </c>
      <c r="G102" s="7" t="inlineStr">
        <is>
          <t>7.- Otros gastos de explotación</t>
        </is>
      </c>
      <c r="H102" s="7" t="inlineStr">
        <is>
          <t>(623) Servicios profesionales independientes</t>
        </is>
      </c>
      <c r="I102" s="7" t="inlineStr">
        <is>
          <t>623000003 - SERV. NOTARIOS, REGISTROS, LEGAL</t>
        </is>
      </c>
      <c r="J102" s="6" t="inlineStr">
        <is>
          <t>-</t>
        </is>
      </c>
      <c r="K102" s="8" t="n">
        <v>-550</v>
      </c>
      <c r="L102" s="8" t="n">
        <v>-0</v>
      </c>
      <c r="M102" s="8" t="n">
        <v>-0</v>
      </c>
      <c r="N102" s="8" t="n">
        <v>-0</v>
      </c>
      <c r="O102" s="8" t="n">
        <v>-0</v>
      </c>
      <c r="P102" s="8" t="n">
        <v>-0</v>
      </c>
      <c r="Q102" s="8" t="n">
        <v>-0</v>
      </c>
      <c r="R102" s="8" t="n">
        <v>-0</v>
      </c>
      <c r="S102" s="8" t="n">
        <v>-0</v>
      </c>
      <c r="T102" s="8" t="n">
        <v>-0</v>
      </c>
      <c r="U102" s="8" t="n">
        <v>-0</v>
      </c>
      <c r="V102" s="8" t="n">
        <v>-0</v>
      </c>
      <c r="W102" s="9">
        <f>SUM(K102:V102)</f>
        <v/>
      </c>
      <c r="X102" s="10" t="inlineStr">
        <is>
          <t>Presupuesto Regulatory 2027: Tasas y notaría de registros recurrentes (-550,00 € gasto corriente). Los expedientes de registro de nuevos formulados (25.900 € en Azerbaiyán, Sudáfrica y Guatemala) son activables en cta 203.</t>
        </is>
      </c>
    </row>
    <row r="103" ht="18" customHeight="1">
      <c r="B103" s="6" t="n">
        <v>2027</v>
      </c>
      <c r="C103" s="6" t="inlineStr">
        <is>
          <t>Codiagro</t>
        </is>
      </c>
      <c r="D103" s="7" t="inlineStr">
        <is>
          <t>RESULTADO DEL EJERCICIO</t>
        </is>
      </c>
      <c r="E103" s="7" t="inlineStr">
        <is>
          <t>RESULTADO ANTES DE IMPUESTOS</t>
        </is>
      </c>
      <c r="F103" s="7" t="inlineStr">
        <is>
          <t>RESULTADO DE LA EXPLOTACION</t>
        </is>
      </c>
      <c r="G103" s="7" t="inlineStr">
        <is>
          <t>7.- Otros gastos de explotación</t>
        </is>
      </c>
      <c r="H103" s="7" t="inlineStr">
        <is>
          <t>(623) Servicios profesionales independientes</t>
        </is>
      </c>
      <c r="I103" s="7" t="inlineStr">
        <is>
          <t>623000004 - GTOS. BCS. OKO</t>
        </is>
      </c>
      <c r="J103" s="6" t="inlineStr">
        <is>
          <t>-</t>
        </is>
      </c>
      <c r="K103" s="8" t="n">
        <v>-980</v>
      </c>
      <c r="L103" s="8" t="n">
        <v>-970</v>
      </c>
      <c r="M103" s="8" t="n">
        <v>-2700</v>
      </c>
      <c r="N103" s="8" t="n">
        <v>-0</v>
      </c>
      <c r="O103" s="8" t="n">
        <v>-1610</v>
      </c>
      <c r="P103" s="8" t="n">
        <v>-1268</v>
      </c>
      <c r="Q103" s="8" t="n">
        <v>-0</v>
      </c>
      <c r="R103" s="8" t="n">
        <v>-0</v>
      </c>
      <c r="S103" s="8" t="n">
        <v>-0</v>
      </c>
      <c r="T103" s="8" t="n">
        <v>-180</v>
      </c>
      <c r="U103" s="8" t="n">
        <v>-1100</v>
      </c>
      <c r="V103" s="8" t="n">
        <v>-1385</v>
      </c>
      <c r="W103" s="9">
        <f>SUM(K103:V103)</f>
        <v/>
      </c>
      <c r="X103" s="10" t="inlineStr">
        <is>
          <t>Presupuesto Regulatory 2027: Auditorías y certificaciones ecológicas oficiales (BCS-Kiwa, OMRI, Ecocert) (-10.193,00 €).</t>
        </is>
      </c>
    </row>
    <row r="104" ht="18" customHeight="1">
      <c r="B104" s="6" t="n">
        <v>2027</v>
      </c>
      <c r="C104" s="6" t="inlineStr">
        <is>
          <t>Codiagro</t>
        </is>
      </c>
      <c r="D104" s="7" t="inlineStr">
        <is>
          <t>RESULTADO DEL EJERCICIO</t>
        </is>
      </c>
      <c r="E104" s="7" t="inlineStr">
        <is>
          <t>RESULTADO ANTES DE IMPUESTOS</t>
        </is>
      </c>
      <c r="F104" s="7" t="inlineStr">
        <is>
          <t>RESULTADO DE LA EXPLOTACION</t>
        </is>
      </c>
      <c r="G104" s="7" t="inlineStr">
        <is>
          <t>7.- Otros gastos de explotación</t>
        </is>
      </c>
      <c r="H104" s="7" t="inlineStr">
        <is>
          <t>(623) Servicios profesionales independientes</t>
        </is>
      </c>
      <c r="I104" s="7" t="inlineStr">
        <is>
          <t>623000005 - SERVICIOS PREST. CAMARA COMERCIO</t>
        </is>
      </c>
      <c r="J104" s="6" t="inlineStr">
        <is>
          <t>-</t>
        </is>
      </c>
      <c r="K104" s="8" t="n">
        <v>-610.5599999999999</v>
      </c>
      <c r="L104" s="8" t="n">
        <v>-610.5599999999999</v>
      </c>
      <c r="M104" s="8" t="n">
        <v>-610.5599999999999</v>
      </c>
      <c r="N104" s="8" t="n">
        <v>-610.5599999999999</v>
      </c>
      <c r="O104" s="8" t="n">
        <v>-610.5599999999999</v>
      </c>
      <c r="P104" s="8" t="n">
        <v>-610.5599999999999</v>
      </c>
      <c r="Q104" s="8" t="n">
        <v>-610.5599999999999</v>
      </c>
      <c r="R104" s="8" t="n">
        <v>-610.5599999999999</v>
      </c>
      <c r="S104" s="8" t="n">
        <v>-610.5599999999999</v>
      </c>
      <c r="T104" s="8" t="n">
        <v>-610.5599999999999</v>
      </c>
      <c r="U104" s="8" t="n">
        <v>-610.5599999999999</v>
      </c>
      <c r="V104" s="8" t="n">
        <v>-610.5599999999999</v>
      </c>
      <c r="W104" s="9">
        <f>SUM(K104:V104)</f>
        <v/>
      </c>
      <c r="X104" s="10" t="inlineStr">
        <is>
          <t>Proyección extrapolada de actividad recurrente.</t>
        </is>
      </c>
    </row>
    <row r="105" ht="18" customHeight="1">
      <c r="B105" s="6" t="n">
        <v>2027</v>
      </c>
      <c r="C105" s="6" t="inlineStr">
        <is>
          <t>Codiagro</t>
        </is>
      </c>
      <c r="D105" s="7" t="inlineStr">
        <is>
          <t>RESULTADO DEL EJERCICIO</t>
        </is>
      </c>
      <c r="E105" s="7" t="inlineStr">
        <is>
          <t>RESULTADO ANTES DE IMPUESTOS</t>
        </is>
      </c>
      <c r="F105" s="7" t="inlineStr">
        <is>
          <t>RESULTADO DE LA EXPLOTACION</t>
        </is>
      </c>
      <c r="G105" s="7" t="inlineStr">
        <is>
          <t>7.- Otros gastos de explotación</t>
        </is>
      </c>
      <c r="H105" s="7" t="inlineStr">
        <is>
          <t>(623) Servicios profesionales independientes</t>
        </is>
      </c>
      <c r="I105" s="7" t="inlineStr">
        <is>
          <t>623100002 - GASTOS MAURICIO ALISTE</t>
        </is>
      </c>
      <c r="J105" s="6" t="inlineStr">
        <is>
          <t>-</t>
        </is>
      </c>
      <c r="K105" s="8" t="n">
        <v>-4000</v>
      </c>
      <c r="L105" s="8" t="n">
        <v>-4000</v>
      </c>
      <c r="M105" s="8" t="n">
        <v>-4000</v>
      </c>
      <c r="N105" s="8" t="n">
        <v>-4000</v>
      </c>
      <c r="O105" s="8" t="n">
        <v>-4000</v>
      </c>
      <c r="P105" s="8" t="n">
        <v>-4000</v>
      </c>
      <c r="Q105" s="8" t="n">
        <v>-4000</v>
      </c>
      <c r="R105" s="8" t="n">
        <v>-4000</v>
      </c>
      <c r="S105" s="8" t="n">
        <v>-4000</v>
      </c>
      <c r="T105" s="8" t="n">
        <v>-4000</v>
      </c>
      <c r="U105" s="8" t="n">
        <v>-4000</v>
      </c>
      <c r="V105" s="8" t="n">
        <v>-9000</v>
      </c>
      <c r="W105" s="9">
        <f>SUM(K105:V105)</f>
        <v/>
      </c>
      <c r="X105" s="10" t="inlineStr">
        <is>
          <t>Honorarios y gastos comerciales de zona: -4.000 €/mes + 5.000 € extra en dic (Total: -53.000 €). Sin incremento en 2027.</t>
        </is>
      </c>
    </row>
    <row r="106" ht="18" customHeight="1">
      <c r="B106" s="6" t="n">
        <v>2027</v>
      </c>
      <c r="C106" s="6" t="inlineStr">
        <is>
          <t>Codiagro</t>
        </is>
      </c>
      <c r="D106" s="7" t="inlineStr">
        <is>
          <t>RESULTADO DEL EJERCICIO</t>
        </is>
      </c>
      <c r="E106" s="7" t="inlineStr">
        <is>
          <t>RESULTADO ANTES DE IMPUESTOS</t>
        </is>
      </c>
      <c r="F106" s="7" t="inlineStr">
        <is>
          <t>RESULTADO DE LA EXPLOTACION</t>
        </is>
      </c>
      <c r="G106" s="7" t="inlineStr">
        <is>
          <t>7.- Otros gastos de explotación</t>
        </is>
      </c>
      <c r="H106" s="7" t="inlineStr">
        <is>
          <t>(623) Servicios profesionales independientes</t>
        </is>
      </c>
      <c r="I106" s="7" t="inlineStr">
        <is>
          <t>623100006 - GASTOS Y SERVICIOS AGRICOLA DEL JUCAR</t>
        </is>
      </c>
      <c r="J106" s="6" t="inlineStr">
        <is>
          <t>-</t>
        </is>
      </c>
      <c r="K106" s="8" t="n">
        <v>-500</v>
      </c>
      <c r="L106" s="8" t="n">
        <v>-500</v>
      </c>
      <c r="M106" s="8" t="n">
        <v>-500</v>
      </c>
      <c r="N106" s="8" t="n">
        <v>-500</v>
      </c>
      <c r="O106" s="8" t="n">
        <v>-500</v>
      </c>
      <c r="P106" s="8" t="n">
        <v>-500</v>
      </c>
      <c r="Q106" s="8" t="n">
        <v>-500</v>
      </c>
      <c r="R106" s="8" t="n">
        <v>-500</v>
      </c>
      <c r="S106" s="8" t="n">
        <v>-500</v>
      </c>
      <c r="T106" s="8" t="n">
        <v>-500</v>
      </c>
      <c r="U106" s="8" t="n">
        <v>-500</v>
      </c>
      <c r="V106" s="8" t="n">
        <v>-30500</v>
      </c>
      <c r="W106" s="9">
        <f>SUM(K106:V106)</f>
        <v/>
      </c>
      <c r="X106" s="10" t="inlineStr">
        <is>
          <t>Dotación mensual comercial: -500 €/mes + 30.000 € extraordinarios en dic (Total: -36.000 €). Sin incremento en 2027.</t>
        </is>
      </c>
    </row>
    <row r="107" ht="18" customHeight="1">
      <c r="B107" s="6" t="n">
        <v>2027</v>
      </c>
      <c r="C107" s="6" t="inlineStr">
        <is>
          <t>Codiagro</t>
        </is>
      </c>
      <c r="D107" s="7" t="inlineStr">
        <is>
          <t>RESULTADO DEL EJERCICIO</t>
        </is>
      </c>
      <c r="E107" s="7" t="inlineStr">
        <is>
          <t>RESULTADO ANTES DE IMPUESTOS</t>
        </is>
      </c>
      <c r="F107" s="7" t="inlineStr">
        <is>
          <t>RESULTADO DE LA EXPLOTACION</t>
        </is>
      </c>
      <c r="G107" s="7" t="inlineStr">
        <is>
          <t>7.- Otros gastos de explotación</t>
        </is>
      </c>
      <c r="H107" s="7" t="inlineStr">
        <is>
          <t>(623) Servicios profesionales independientes</t>
        </is>
      </c>
      <c r="I107" s="7" t="inlineStr">
        <is>
          <t>623100007 - GASTOS Y SUELDO MEHMET CILOGLU</t>
        </is>
      </c>
      <c r="J107" s="6" t="inlineStr">
        <is>
          <t>-</t>
        </is>
      </c>
      <c r="K107" s="8" t="n">
        <v>-6000</v>
      </c>
      <c r="L107" s="8" t="n">
        <v>-6000</v>
      </c>
      <c r="M107" s="8" t="n">
        <v>-6000</v>
      </c>
      <c r="N107" s="8" t="n">
        <v>-6000</v>
      </c>
      <c r="O107" s="8" t="n">
        <v>-6000</v>
      </c>
      <c r="P107" s="8" t="n">
        <v>-6000</v>
      </c>
      <c r="Q107" s="8" t="n">
        <v>-6000</v>
      </c>
      <c r="R107" s="8" t="n">
        <v>-6000</v>
      </c>
      <c r="S107" s="8" t="n">
        <v>-6000</v>
      </c>
      <c r="T107" s="8" t="n">
        <v>-6000</v>
      </c>
      <c r="U107" s="8" t="n">
        <v>-6000</v>
      </c>
      <c r="V107" s="8" t="n">
        <v>-106000</v>
      </c>
      <c r="W107" s="9">
        <f>SUM(K107:V107)</f>
        <v/>
      </c>
      <c r="X107" s="10" t="inlineStr">
        <is>
          <t>Gestión comercial Mehmet: -6.000 €/mes + 100.000 € extraordinarios en dic (Total: -172.000 €). Sin incremento en 2027.</t>
        </is>
      </c>
    </row>
    <row r="108" ht="18" customHeight="1">
      <c r="B108" s="6" t="n">
        <v>2027</v>
      </c>
      <c r="C108" s="6" t="inlineStr">
        <is>
          <t>Codiagro</t>
        </is>
      </c>
      <c r="D108" s="7" t="inlineStr">
        <is>
          <t>RESULTADO DEL EJERCICIO</t>
        </is>
      </c>
      <c r="E108" s="7" t="inlineStr">
        <is>
          <t>RESULTADO ANTES DE IMPUESTOS</t>
        </is>
      </c>
      <c r="F108" s="7" t="inlineStr">
        <is>
          <t>RESULTADO DE LA EXPLOTACION</t>
        </is>
      </c>
      <c r="G108" s="7" t="inlineStr">
        <is>
          <t>7.- Otros gastos de explotación</t>
        </is>
      </c>
      <c r="H108" s="7" t="inlineStr">
        <is>
          <t>(623) Servicios profesionales independientes</t>
        </is>
      </c>
      <c r="I108" s="7" t="inlineStr">
        <is>
          <t>623100008 - COMISIONES KAMAL KEHAL</t>
        </is>
      </c>
      <c r="J108" s="6" t="inlineStr">
        <is>
          <t>-</t>
        </is>
      </c>
      <c r="K108" s="8" t="n">
        <v>-283.21</v>
      </c>
      <c r="L108" s="8" t="n">
        <v>-283.21</v>
      </c>
      <c r="M108" s="8" t="n">
        <v>-283.21</v>
      </c>
      <c r="N108" s="8" t="n">
        <v>-283.21</v>
      </c>
      <c r="O108" s="8" t="n">
        <v>-283.21</v>
      </c>
      <c r="P108" s="8" t="n">
        <v>-283.21</v>
      </c>
      <c r="Q108" s="8" t="n">
        <v>-283.21</v>
      </c>
      <c r="R108" s="8" t="n">
        <v>-283.21</v>
      </c>
      <c r="S108" s="8" t="n">
        <v>-283.21</v>
      </c>
      <c r="T108" s="8" t="n">
        <v>-283.21</v>
      </c>
      <c r="U108" s="8" t="n">
        <v>-283.21</v>
      </c>
      <c r="V108" s="8" t="n">
        <v>-283.21</v>
      </c>
      <c r="W108" s="9">
        <f>SUM(K108:V108)</f>
        <v/>
      </c>
      <c r="X108" s="10" t="inlineStr">
        <is>
          <t>Comisiones Kamal Kehal: presupuestada en 2027 la misma cantidad anual real del 2026 (-3.398,55 €/año, -283,21 €/mes).</t>
        </is>
      </c>
    </row>
    <row r="109" ht="18" customHeight="1">
      <c r="B109" s="6" t="n">
        <v>2027</v>
      </c>
      <c r="C109" s="6" t="inlineStr">
        <is>
          <t>Codiagro</t>
        </is>
      </c>
      <c r="D109" s="7" t="inlineStr">
        <is>
          <t>RESULTADO DEL EJERCICIO</t>
        </is>
      </c>
      <c r="E109" s="7" t="inlineStr">
        <is>
          <t>RESULTADO ANTES DE IMPUESTOS</t>
        </is>
      </c>
      <c r="F109" s="7" t="inlineStr">
        <is>
          <t>RESULTADO DE LA EXPLOTACION</t>
        </is>
      </c>
      <c r="G109" s="7" t="inlineStr">
        <is>
          <t>7.- Otros gastos de explotación</t>
        </is>
      </c>
      <c r="H109" s="7" t="inlineStr">
        <is>
          <t>(623) Servicios profesionales independientes</t>
        </is>
      </c>
      <c r="I109" s="7" t="inlineStr">
        <is>
          <t>623100009 - COMISIONES ABEL SALAZAR</t>
        </is>
      </c>
      <c r="J109" s="6" t="inlineStr">
        <is>
          <t>-</t>
        </is>
      </c>
      <c r="K109" s="8" t="n">
        <v>0</v>
      </c>
      <c r="L109" s="8" t="n">
        <v>0</v>
      </c>
      <c r="M109" s="8" t="n">
        <v>0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9">
        <f>SUM(K109:V109)</f>
        <v/>
      </c>
      <c r="X109" s="10" t="inlineStr">
        <is>
          <t>Sin dotación presupuestada en 2027.</t>
        </is>
      </c>
    </row>
    <row r="110" ht="18" customHeight="1">
      <c r="B110" s="6" t="n">
        <v>2027</v>
      </c>
      <c r="C110" s="6" t="inlineStr">
        <is>
          <t>Codiagro</t>
        </is>
      </c>
      <c r="D110" s="7" t="inlineStr">
        <is>
          <t>RESULTADO DEL EJERCICIO</t>
        </is>
      </c>
      <c r="E110" s="7" t="inlineStr">
        <is>
          <t>RESULTADO ANTES DE IMPUESTOS</t>
        </is>
      </c>
      <c r="F110" s="7" t="inlineStr">
        <is>
          <t>RESULTADO DE LA EXPLOTACION</t>
        </is>
      </c>
      <c r="G110" s="7" t="inlineStr">
        <is>
          <t>7.- Otros gastos de explotación</t>
        </is>
      </c>
      <c r="H110" s="7" t="inlineStr">
        <is>
          <t>(623) Servicios profesionales independientes</t>
        </is>
      </c>
      <c r="I110" s="7" t="inlineStr">
        <is>
          <t>623200001 - GASTOS MARCAS EN ESPAÑA</t>
        </is>
      </c>
      <c r="J110" s="6" t="inlineStr">
        <is>
          <t>-</t>
        </is>
      </c>
      <c r="K110" s="8" t="n">
        <v>0</v>
      </c>
      <c r="L110" s="8" t="n">
        <v>0</v>
      </c>
      <c r="M110" s="8" t="n">
        <v>0</v>
      </c>
      <c r="N110" s="8" t="n">
        <v>0</v>
      </c>
      <c r="O110" s="8" t="n">
        <v>0</v>
      </c>
      <c r="P110" s="8" t="n">
        <v>0</v>
      </c>
      <c r="Q110" s="8" t="n">
        <v>0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9">
        <f>SUM(K110:V110)</f>
        <v/>
      </c>
      <c r="X110" s="10" t="inlineStr">
        <is>
          <t>Sin dotación individual; centralizado en cuenta 623200017.</t>
        </is>
      </c>
    </row>
    <row r="111" ht="18" customHeight="1">
      <c r="B111" s="6" t="n">
        <v>2027</v>
      </c>
      <c r="C111" s="6" t="inlineStr">
        <is>
          <t>Codiagro</t>
        </is>
      </c>
      <c r="D111" s="7" t="inlineStr">
        <is>
          <t>RESULTADO DEL EJERCICIO</t>
        </is>
      </c>
      <c r="E111" s="7" t="inlineStr">
        <is>
          <t>RESULTADO ANTES DE IMPUESTOS</t>
        </is>
      </c>
      <c r="F111" s="7" t="inlineStr">
        <is>
          <t>RESULTADO DE LA EXPLOTACION</t>
        </is>
      </c>
      <c r="G111" s="7" t="inlineStr">
        <is>
          <t>7.- Otros gastos de explotación</t>
        </is>
      </c>
      <c r="H111" s="7" t="inlineStr">
        <is>
          <t>(623) Servicios profesionales independientes</t>
        </is>
      </c>
      <c r="I111" s="7" t="inlineStr">
        <is>
          <t>623200005 - GASTOS MARCAS CHILE</t>
        </is>
      </c>
      <c r="J111" s="6" t="inlineStr">
        <is>
          <t>-</t>
        </is>
      </c>
      <c r="K111" s="8" t="n">
        <v>0</v>
      </c>
      <c r="L111" s="8" t="n">
        <v>0</v>
      </c>
      <c r="M111" s="8" t="n">
        <v>0</v>
      </c>
      <c r="N111" s="8" t="n">
        <v>0</v>
      </c>
      <c r="O111" s="8" t="n">
        <v>0</v>
      </c>
      <c r="P111" s="8" t="n">
        <v>0</v>
      </c>
      <c r="Q111" s="8" t="n">
        <v>0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9">
        <f>SUM(K111:V111)</f>
        <v/>
      </c>
      <c r="X111" s="10" t="inlineStr">
        <is>
          <t>Sin dotación individual; centralizado en cuenta 623200017.</t>
        </is>
      </c>
    </row>
    <row r="112" ht="18" customHeight="1">
      <c r="B112" s="6" t="n">
        <v>2027</v>
      </c>
      <c r="C112" s="6" t="inlineStr">
        <is>
          <t>Codiagro</t>
        </is>
      </c>
      <c r="D112" s="7" t="inlineStr">
        <is>
          <t>RESULTADO DEL EJERCICIO</t>
        </is>
      </c>
      <c r="E112" s="7" t="inlineStr">
        <is>
          <t>RESULTADO ANTES DE IMPUESTOS</t>
        </is>
      </c>
      <c r="F112" s="7" t="inlineStr">
        <is>
          <t>RESULTADO DE LA EXPLOTACION</t>
        </is>
      </c>
      <c r="G112" s="7" t="inlineStr">
        <is>
          <t>7.- Otros gastos de explotación</t>
        </is>
      </c>
      <c r="H112" s="7" t="inlineStr">
        <is>
          <t>(623) Servicios profesionales independientes</t>
        </is>
      </c>
      <c r="I112" s="7" t="inlineStr">
        <is>
          <t>623200006 - MARCAS UNION EUROPEA</t>
        </is>
      </c>
      <c r="J112" s="6" t="inlineStr">
        <is>
          <t>-</t>
        </is>
      </c>
      <c r="K112" s="8" t="n">
        <v>0</v>
      </c>
      <c r="L112" s="8" t="n">
        <v>0</v>
      </c>
      <c r="M112" s="8" t="n">
        <v>0</v>
      </c>
      <c r="N112" s="8" t="n">
        <v>0</v>
      </c>
      <c r="O112" s="8" t="n">
        <v>0</v>
      </c>
      <c r="P112" s="8" t="n">
        <v>0</v>
      </c>
      <c r="Q112" s="8" t="n">
        <v>0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9">
        <f>SUM(K112:V112)</f>
        <v/>
      </c>
      <c r="X112" s="10" t="inlineStr">
        <is>
          <t>Sin dotación individual; centralizado en cuenta 623200017.</t>
        </is>
      </c>
    </row>
    <row r="113" ht="18" customHeight="1">
      <c r="B113" s="6" t="n">
        <v>2027</v>
      </c>
      <c r="C113" s="6" t="inlineStr">
        <is>
          <t>Codiagro</t>
        </is>
      </c>
      <c r="D113" s="7" t="inlineStr">
        <is>
          <t>RESULTADO DEL EJERCICIO</t>
        </is>
      </c>
      <c r="E113" s="7" t="inlineStr">
        <is>
          <t>RESULTADO ANTES DE IMPUESTOS</t>
        </is>
      </c>
      <c r="F113" s="7" t="inlineStr">
        <is>
          <t>RESULTADO DE LA EXPLOTACION</t>
        </is>
      </c>
      <c r="G113" s="7" t="inlineStr">
        <is>
          <t>7.- Otros gastos de explotación</t>
        </is>
      </c>
      <c r="H113" s="7" t="inlineStr">
        <is>
          <t>(623) Servicios profesionales independientes</t>
        </is>
      </c>
      <c r="I113" s="7" t="inlineStr">
        <is>
          <t>623200011 - GASTOS MARCAS COLOMBIA</t>
        </is>
      </c>
      <c r="J113" s="6" t="inlineStr">
        <is>
          <t>-</t>
        </is>
      </c>
      <c r="K113" s="8" t="n">
        <v>0</v>
      </c>
      <c r="L113" s="8" t="n">
        <v>0</v>
      </c>
      <c r="M113" s="8" t="n">
        <v>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9">
        <f>SUM(K113:V113)</f>
        <v/>
      </c>
      <c r="X113" s="10" t="inlineStr">
        <is>
          <t>Sin dotación individual; centralizado en cuenta 623200017.</t>
        </is>
      </c>
    </row>
    <row r="114" ht="18" customHeight="1">
      <c r="B114" s="6" t="n">
        <v>2027</v>
      </c>
      <c r="C114" s="6" t="inlineStr">
        <is>
          <t>Codiagro</t>
        </is>
      </c>
      <c r="D114" s="7" t="inlineStr">
        <is>
          <t>RESULTADO DEL EJERCICIO</t>
        </is>
      </c>
      <c r="E114" s="7" t="inlineStr">
        <is>
          <t>RESULTADO ANTES DE IMPUESTOS</t>
        </is>
      </c>
      <c r="F114" s="7" t="inlineStr">
        <is>
          <t>RESULTADO DE LA EXPLOTACION</t>
        </is>
      </c>
      <c r="G114" s="7" t="inlineStr">
        <is>
          <t>7.- Otros gastos de explotación</t>
        </is>
      </c>
      <c r="H114" s="7" t="inlineStr">
        <is>
          <t>(623) Servicios profesionales independientes</t>
        </is>
      </c>
      <c r="I114" s="7" t="inlineStr">
        <is>
          <t>623200021 - GASTOS MARCAS GUATEMALA</t>
        </is>
      </c>
      <c r="J114" s="6" t="inlineStr">
        <is>
          <t>-</t>
        </is>
      </c>
      <c r="K114" s="8" t="n">
        <v>0</v>
      </c>
      <c r="L114" s="8" t="n">
        <v>0</v>
      </c>
      <c r="M114" s="8" t="n">
        <v>0</v>
      </c>
      <c r="N114" s="8" t="n">
        <v>0</v>
      </c>
      <c r="O114" s="8" t="n">
        <v>0</v>
      </c>
      <c r="P114" s="8" t="n">
        <v>0</v>
      </c>
      <c r="Q114" s="8" t="n">
        <v>0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9">
        <f>SUM(K114:V114)</f>
        <v/>
      </c>
      <c r="X114" s="10" t="inlineStr">
        <is>
          <t>Sin dotación individual; centralizado en cuenta 623200017.</t>
        </is>
      </c>
    </row>
    <row r="115" ht="18" customHeight="1">
      <c r="B115" s="6" t="n">
        <v>2027</v>
      </c>
      <c r="C115" s="6" t="inlineStr">
        <is>
          <t>Codiagro</t>
        </is>
      </c>
      <c r="D115" s="7" t="inlineStr">
        <is>
          <t>RESULTADO DEL EJERCICIO</t>
        </is>
      </c>
      <c r="E115" s="7" t="inlineStr">
        <is>
          <t>RESULTADO ANTES DE IMPUESTOS</t>
        </is>
      </c>
      <c r="F115" s="7" t="inlineStr">
        <is>
          <t>RESULTADO DE LA EXPLOTACION</t>
        </is>
      </c>
      <c r="G115" s="7" t="inlineStr">
        <is>
          <t>7.- Otros gastos de explotación</t>
        </is>
      </c>
      <c r="H115" s="7" t="inlineStr">
        <is>
          <t>(623) Servicios profesionales independientes</t>
        </is>
      </c>
      <c r="I115" s="7" t="inlineStr">
        <is>
          <t>623200023 - GASTOS MARCAS ARGELIA</t>
        </is>
      </c>
      <c r="J115" s="6" t="inlineStr">
        <is>
          <t>-</t>
        </is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0</v>
      </c>
      <c r="Q115" s="8" t="n">
        <v>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9">
        <f>SUM(K115:V115)</f>
        <v/>
      </c>
      <c r="X115" s="10" t="inlineStr">
        <is>
          <t>Sin dotación individual; centralizado en cuenta 623200017.</t>
        </is>
      </c>
    </row>
    <row r="116" ht="18" customHeight="1">
      <c r="B116" s="6" t="n">
        <v>2027</v>
      </c>
      <c r="C116" s="6" t="inlineStr">
        <is>
          <t>Codiagro</t>
        </is>
      </c>
      <c r="D116" s="7" t="inlineStr">
        <is>
          <t>RESULTADO DEL EJERCICIO</t>
        </is>
      </c>
      <c r="E116" s="7" t="inlineStr">
        <is>
          <t>RESULTADO ANTES DE IMPUESTOS</t>
        </is>
      </c>
      <c r="F116" s="7" t="inlineStr">
        <is>
          <t>RESULTADO DE LA EXPLOTACION</t>
        </is>
      </c>
      <c r="G116" s="7" t="inlineStr">
        <is>
          <t>7.- Otros gastos de explotación</t>
        </is>
      </c>
      <c r="H116" s="7" t="inlineStr">
        <is>
          <t>(623) Servicios profesionales independientes</t>
        </is>
      </c>
      <c r="I116" s="7" t="inlineStr">
        <is>
          <t>623200002 - GASTOS MARCAS MEXICO</t>
        </is>
      </c>
      <c r="J116" s="6" t="inlineStr">
        <is>
          <t>-</t>
        </is>
      </c>
      <c r="K116" s="8" t="n">
        <v>0</v>
      </c>
      <c r="L116" s="8" t="n">
        <v>0</v>
      </c>
      <c r="M116" s="8" t="n">
        <v>0</v>
      </c>
      <c r="N116" s="8" t="n">
        <v>0</v>
      </c>
      <c r="O116" s="8" t="n">
        <v>0</v>
      </c>
      <c r="P116" s="8" t="n">
        <v>0</v>
      </c>
      <c r="Q116" s="8" t="n">
        <v>0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9">
        <f>SUM(K116:V116)</f>
        <v/>
      </c>
      <c r="X116" s="10" t="inlineStr">
        <is>
          <t>Sin dotación individual; centralizado en cuenta 623200017.</t>
        </is>
      </c>
    </row>
    <row r="117" ht="18" customHeight="1">
      <c r="B117" s="6" t="n">
        <v>2027</v>
      </c>
      <c r="C117" s="6" t="inlineStr">
        <is>
          <t>Codiagro</t>
        </is>
      </c>
      <c r="D117" s="7" t="inlineStr">
        <is>
          <t>RESULTADO DEL EJERCICIO</t>
        </is>
      </c>
      <c r="E117" s="7" t="inlineStr">
        <is>
          <t>RESULTADO ANTES DE IMPUESTOS</t>
        </is>
      </c>
      <c r="F117" s="7" t="inlineStr">
        <is>
          <t>RESULTADO DE LA EXPLOTACION</t>
        </is>
      </c>
      <c r="G117" s="7" t="inlineStr">
        <is>
          <t>7.- Otros gastos de explotación</t>
        </is>
      </c>
      <c r="H117" s="7" t="inlineStr">
        <is>
          <t>(623) Servicios profesionales independientes</t>
        </is>
      </c>
      <c r="I117" s="7" t="inlineStr">
        <is>
          <t>623200033 - GASTOS MARCAS MUNDIAL</t>
        </is>
      </c>
      <c r="J117" s="6" t="inlineStr">
        <is>
          <t>-</t>
        </is>
      </c>
      <c r="K117" s="8" t="n">
        <v>0</v>
      </c>
      <c r="L117" s="8" t="n">
        <v>0</v>
      </c>
      <c r="M117" s="8" t="n">
        <v>0</v>
      </c>
      <c r="N117" s="8" t="n">
        <v>0</v>
      </c>
      <c r="O117" s="8" t="n">
        <v>0</v>
      </c>
      <c r="P117" s="8" t="n">
        <v>0</v>
      </c>
      <c r="Q117" s="8" t="n">
        <v>0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9">
        <f>SUM(K117:V117)</f>
        <v/>
      </c>
      <c r="X117" s="10" t="inlineStr">
        <is>
          <t>Sin dotación individual; centralizado en cuenta 623200017.</t>
        </is>
      </c>
    </row>
    <row r="118" ht="18" customHeight="1">
      <c r="B118" s="6" t="n">
        <v>2027</v>
      </c>
      <c r="C118" s="6" t="inlineStr">
        <is>
          <t>Codiagro</t>
        </is>
      </c>
      <c r="D118" s="7" t="inlineStr">
        <is>
          <t>RESULTADO DEL EJERCICIO</t>
        </is>
      </c>
      <c r="E118" s="7" t="inlineStr">
        <is>
          <t>RESULTADO ANTES DE IMPUESTOS</t>
        </is>
      </c>
      <c r="F118" s="7" t="inlineStr">
        <is>
          <t>RESULTADO DE LA EXPLOTACION</t>
        </is>
      </c>
      <c r="G118" s="7" t="inlineStr">
        <is>
          <t>7.- Otros gastos de explotación</t>
        </is>
      </c>
      <c r="H118" s="7" t="inlineStr">
        <is>
          <t>(623) Servicios profesionales independientes</t>
        </is>
      </c>
      <c r="I118" s="7" t="inlineStr">
        <is>
          <t>623200008 - GASTOS MARCAS EGIPTO</t>
        </is>
      </c>
      <c r="J118" s="6" t="inlineStr">
        <is>
          <t>-</t>
        </is>
      </c>
      <c r="K118" s="8" t="n">
        <v>0</v>
      </c>
      <c r="L118" s="8" t="n">
        <v>0</v>
      </c>
      <c r="M118" s="8" t="n">
        <v>0</v>
      </c>
      <c r="N118" s="8" t="n">
        <v>0</v>
      </c>
      <c r="O118" s="8" t="n">
        <v>0</v>
      </c>
      <c r="P118" s="8" t="n">
        <v>0</v>
      </c>
      <c r="Q118" s="8" t="n">
        <v>0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9">
        <f>SUM(K118:V118)</f>
        <v/>
      </c>
      <c r="X118" s="10" t="inlineStr">
        <is>
          <t>Sin dotación individual; centralizado en cuenta 623200017.</t>
        </is>
      </c>
    </row>
    <row r="119" ht="18" customHeight="1">
      <c r="B119" s="6" t="n">
        <v>2027</v>
      </c>
      <c r="C119" s="6" t="inlineStr">
        <is>
          <t>Codiagro</t>
        </is>
      </c>
      <c r="D119" s="7" t="inlineStr">
        <is>
          <t>RESULTADO DEL EJERCICIO</t>
        </is>
      </c>
      <c r="E119" s="7" t="inlineStr">
        <is>
          <t>RESULTADO ANTES DE IMPUESTOS</t>
        </is>
      </c>
      <c r="F119" s="7" t="inlineStr">
        <is>
          <t>RESULTADO DE LA EXPLOTACION</t>
        </is>
      </c>
      <c r="G119" s="7" t="inlineStr">
        <is>
          <t>7.- Otros gastos de explotación</t>
        </is>
      </c>
      <c r="H119" s="7" t="inlineStr">
        <is>
          <t>(623) Servicios profesionales independientes</t>
        </is>
      </c>
      <c r="I119" s="7" t="inlineStr">
        <is>
          <t>623200009 - GASTOS MARCAS MARRUECOS</t>
        </is>
      </c>
      <c r="J119" s="6" t="inlineStr">
        <is>
          <t>-</t>
        </is>
      </c>
      <c r="K119" s="8" t="n">
        <v>0</v>
      </c>
      <c r="L119" s="8" t="n">
        <v>0</v>
      </c>
      <c r="M119" s="8" t="n">
        <v>0</v>
      </c>
      <c r="N119" s="8" t="n">
        <v>0</v>
      </c>
      <c r="O119" s="8" t="n">
        <v>0</v>
      </c>
      <c r="P119" s="8" t="n">
        <v>0</v>
      </c>
      <c r="Q119" s="8" t="n">
        <v>0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9">
        <f>SUM(K119:V119)</f>
        <v/>
      </c>
      <c r="X119" s="10" t="inlineStr">
        <is>
          <t>Sin dotación individual; centralizado en cuenta 623200017.</t>
        </is>
      </c>
    </row>
    <row r="120" ht="18" customHeight="1">
      <c r="B120" s="6" t="n">
        <v>2027</v>
      </c>
      <c r="C120" s="6" t="inlineStr">
        <is>
          <t>Codiagro</t>
        </is>
      </c>
      <c r="D120" s="7" t="inlineStr">
        <is>
          <t>RESULTADO DEL EJERCICIO</t>
        </is>
      </c>
      <c r="E120" s="7" t="inlineStr">
        <is>
          <t>RESULTADO ANTES DE IMPUESTOS</t>
        </is>
      </c>
      <c r="F120" s="7" t="inlineStr">
        <is>
          <t>RESULTADO DE LA EXPLOTACION</t>
        </is>
      </c>
      <c r="G120" s="7" t="inlineStr">
        <is>
          <t>7.- Otros gastos de explotación</t>
        </is>
      </c>
      <c r="H120" s="7" t="inlineStr">
        <is>
          <t>(623) Servicios profesionales independientes</t>
        </is>
      </c>
      <c r="I120" s="7" t="inlineStr">
        <is>
          <t>623200010 - GASTOS MARCAS TURQUIA</t>
        </is>
      </c>
      <c r="J120" s="6" t="inlineStr">
        <is>
          <t>-</t>
        </is>
      </c>
      <c r="K120" s="8" t="n">
        <v>0</v>
      </c>
      <c r="L120" s="8" t="n">
        <v>0</v>
      </c>
      <c r="M120" s="8" t="n">
        <v>0</v>
      </c>
      <c r="N120" s="8" t="n">
        <v>0</v>
      </c>
      <c r="O120" s="8" t="n">
        <v>0</v>
      </c>
      <c r="P120" s="8" t="n">
        <v>0</v>
      </c>
      <c r="Q120" s="8" t="n">
        <v>0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9">
        <f>SUM(K120:V120)</f>
        <v/>
      </c>
      <c r="X120" s="10" t="inlineStr">
        <is>
          <t>Sin dotación individual; centralizado en cuenta 623200017.</t>
        </is>
      </c>
    </row>
    <row r="121" ht="18" customHeight="1">
      <c r="B121" s="6" t="n">
        <v>2027</v>
      </c>
      <c r="C121" s="6" t="inlineStr">
        <is>
          <t>Codiagro</t>
        </is>
      </c>
      <c r="D121" s="7" t="inlineStr">
        <is>
          <t>RESULTADO DEL EJERCICIO</t>
        </is>
      </c>
      <c r="E121" s="7" t="inlineStr">
        <is>
          <t>RESULTADO ANTES DE IMPUESTOS</t>
        </is>
      </c>
      <c r="F121" s="7" t="inlineStr">
        <is>
          <t>RESULTADO DE LA EXPLOTACION</t>
        </is>
      </c>
      <c r="G121" s="7" t="inlineStr">
        <is>
          <t>7.- Otros gastos de explotación</t>
        </is>
      </c>
      <c r="H121" s="7" t="inlineStr">
        <is>
          <t>(623) Servicios profesionales independientes</t>
        </is>
      </c>
      <c r="I121" s="7" t="inlineStr">
        <is>
          <t>623200016 - GASTOS MARCAS ECUADOR</t>
        </is>
      </c>
      <c r="J121" s="6" t="inlineStr">
        <is>
          <t>-</t>
        </is>
      </c>
      <c r="K121" s="8" t="n">
        <v>0</v>
      </c>
      <c r="L121" s="8" t="n">
        <v>0</v>
      </c>
      <c r="M121" s="8" t="n">
        <v>0</v>
      </c>
      <c r="N121" s="8" t="n">
        <v>0</v>
      </c>
      <c r="O121" s="8" t="n">
        <v>0</v>
      </c>
      <c r="P121" s="8" t="n">
        <v>0</v>
      </c>
      <c r="Q121" s="8" t="n">
        <v>0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9">
        <f>SUM(K121:V121)</f>
        <v/>
      </c>
      <c r="X121" s="10" t="inlineStr">
        <is>
          <t>Sin dotación individual; centralizado en cuenta 623200017.</t>
        </is>
      </c>
    </row>
    <row r="122" ht="18" customHeight="1">
      <c r="B122" s="6" t="n">
        <v>2027</v>
      </c>
      <c r="C122" s="6" t="inlineStr">
        <is>
          <t>Codiagro</t>
        </is>
      </c>
      <c r="D122" s="7" t="inlineStr">
        <is>
          <t>RESULTADO DEL EJERCICIO</t>
        </is>
      </c>
      <c r="E122" s="7" t="inlineStr">
        <is>
          <t>RESULTADO ANTES DE IMPUESTOS</t>
        </is>
      </c>
      <c r="F122" s="7" t="inlineStr">
        <is>
          <t>RESULTADO DE LA EXPLOTACION</t>
        </is>
      </c>
      <c r="G122" s="7" t="inlineStr">
        <is>
          <t>7.- Otros gastos de explotación</t>
        </is>
      </c>
      <c r="H122" s="7" t="inlineStr">
        <is>
          <t>(623) Servicios profesionales independientes</t>
        </is>
      </c>
      <c r="I122" s="7" t="inlineStr">
        <is>
          <t>623200017 GASTOS MARCAS EL SALVADOR</t>
        </is>
      </c>
      <c r="J122" s="6" t="inlineStr">
        <is>
          <t>-</t>
        </is>
      </c>
      <c r="K122" s="8" t="n">
        <v>0</v>
      </c>
      <c r="L122" s="8" t="n">
        <v>0</v>
      </c>
      <c r="M122" s="8" t="n">
        <v>0</v>
      </c>
      <c r="N122" s="8" t="n">
        <v>0</v>
      </c>
      <c r="O122" s="8" t="n">
        <v>0</v>
      </c>
      <c r="P122" s="8" t="n">
        <v>0</v>
      </c>
      <c r="Q122" s="8" t="n">
        <v>0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9">
        <f>SUM(K122:V122)</f>
        <v/>
      </c>
      <c r="X122" s="10" t="inlineStr">
        <is>
          <t>Sin dotación individual; centralizado en cuenta 623200017.</t>
        </is>
      </c>
    </row>
    <row r="123" ht="18" customHeight="1">
      <c r="B123" s="6" t="n">
        <v>2027</v>
      </c>
      <c r="C123" s="6" t="inlineStr">
        <is>
          <t>Codiagro</t>
        </is>
      </c>
      <c r="D123" s="7" t="inlineStr">
        <is>
          <t>RESULTADO DEL EJERCICIO</t>
        </is>
      </c>
      <c r="E123" s="7" t="inlineStr">
        <is>
          <t>RESULTADO ANTES DE IMPUESTOS</t>
        </is>
      </c>
      <c r="F123" s="7" t="inlineStr">
        <is>
          <t>RESULTADO DE LA EXPLOTACION</t>
        </is>
      </c>
      <c r="G123" s="7" t="inlineStr">
        <is>
          <t>7.- Otros gastos de explotación</t>
        </is>
      </c>
      <c r="H123" s="7" t="inlineStr">
        <is>
          <t>(623) Servicios profesionales independientes</t>
        </is>
      </c>
      <c r="I123" s="7" t="inlineStr">
        <is>
          <t>623200020 - GASTOS MARCAS TUNEZ</t>
        </is>
      </c>
      <c r="J123" s="6" t="inlineStr">
        <is>
          <t>-</t>
        </is>
      </c>
      <c r="K123" s="8" t="n">
        <v>0</v>
      </c>
      <c r="L123" s="8" t="n">
        <v>0</v>
      </c>
      <c r="M123" s="8" t="n">
        <v>0</v>
      </c>
      <c r="N123" s="8" t="n">
        <v>0</v>
      </c>
      <c r="O123" s="8" t="n">
        <v>0</v>
      </c>
      <c r="P123" s="8" t="n">
        <v>0</v>
      </c>
      <c r="Q123" s="8" t="n">
        <v>0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9">
        <f>SUM(K123:V123)</f>
        <v/>
      </c>
      <c r="X123" s="10" t="inlineStr">
        <is>
          <t>Sin dotación individual; centralizado en cuenta 623200017.</t>
        </is>
      </c>
    </row>
    <row r="124" ht="18" customHeight="1">
      <c r="B124" s="6" t="n">
        <v>2027</v>
      </c>
      <c r="C124" s="6" t="inlineStr">
        <is>
          <t>Codiagro</t>
        </is>
      </c>
      <c r="D124" s="7" t="inlineStr">
        <is>
          <t>RESULTADO DEL EJERCICIO</t>
        </is>
      </c>
      <c r="E124" s="7" t="inlineStr">
        <is>
          <t>RESULTADO ANTES DE IMPUESTOS</t>
        </is>
      </c>
      <c r="F124" s="7" t="inlineStr">
        <is>
          <t>RESULTADO DE LA EXPLOTACION</t>
        </is>
      </c>
      <c r="G124" s="7" t="inlineStr">
        <is>
          <t>7.- Otros gastos de explotación</t>
        </is>
      </c>
      <c r="H124" s="7" t="inlineStr">
        <is>
          <t>(623) Servicios profesionales independientes</t>
        </is>
      </c>
      <c r="I124" s="7" t="inlineStr">
        <is>
          <t>623200022 - GASTOS MARCAS BOLIVIA</t>
        </is>
      </c>
      <c r="J124" s="6" t="inlineStr">
        <is>
          <t>-</t>
        </is>
      </c>
      <c r="K124" s="8" t="n">
        <v>0</v>
      </c>
      <c r="L124" s="8" t="n">
        <v>0</v>
      </c>
      <c r="M124" s="8" t="n">
        <v>0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9">
        <f>SUM(K124:V124)</f>
        <v/>
      </c>
      <c r="X124" s="10" t="inlineStr">
        <is>
          <t>Sin dotación individual; centralizado en cuenta 623200017.</t>
        </is>
      </c>
    </row>
    <row r="125" ht="18" customHeight="1">
      <c r="B125" s="6" t="n">
        <v>2027</v>
      </c>
      <c r="C125" s="6" t="inlineStr">
        <is>
          <t>Codiagro</t>
        </is>
      </c>
      <c r="D125" s="7" t="inlineStr">
        <is>
          <t>RESULTADO DEL EJERCICIO</t>
        </is>
      </c>
      <c r="E125" s="7" t="inlineStr">
        <is>
          <t>RESULTADO ANTES DE IMPUESTOS</t>
        </is>
      </c>
      <c r="F125" s="7" t="inlineStr">
        <is>
          <t>RESULTADO DE LA EXPLOTACION</t>
        </is>
      </c>
      <c r="G125" s="7" t="inlineStr">
        <is>
          <t>7.- Otros gastos de explotación</t>
        </is>
      </c>
      <c r="H125" s="7" t="inlineStr">
        <is>
          <t>(623) Servicios profesionales independientes</t>
        </is>
      </c>
      <c r="I125" s="7" t="inlineStr">
        <is>
          <t>623200024 - GASTOS MARCAS INTERNACIONALES</t>
        </is>
      </c>
      <c r="J125" s="6" t="inlineStr">
        <is>
          <t>-</t>
        </is>
      </c>
      <c r="K125" s="8" t="n">
        <v>0</v>
      </c>
      <c r="L125" s="8" t="n">
        <v>0</v>
      </c>
      <c r="M125" s="8" t="n">
        <v>0</v>
      </c>
      <c r="N125" s="8" t="n">
        <v>0</v>
      </c>
      <c r="O125" s="8" t="n">
        <v>0</v>
      </c>
      <c r="P125" s="8" t="n">
        <v>0</v>
      </c>
      <c r="Q125" s="8" t="n">
        <v>0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9">
        <f>SUM(K125:V125)</f>
        <v/>
      </c>
      <c r="X125" s="10" t="inlineStr">
        <is>
          <t>Sin dotación individual; centralizado en cuenta 623200017.</t>
        </is>
      </c>
    </row>
    <row r="126" ht="18" customHeight="1">
      <c r="B126" s="6" t="n">
        <v>2027</v>
      </c>
      <c r="C126" s="6" t="inlineStr">
        <is>
          <t>Codiagro</t>
        </is>
      </c>
      <c r="D126" s="7" t="inlineStr">
        <is>
          <t>RESULTADO DEL EJERCICIO</t>
        </is>
      </c>
      <c r="E126" s="7" t="inlineStr">
        <is>
          <t>RESULTADO ANTES DE IMPUESTOS</t>
        </is>
      </c>
      <c r="F126" s="7" t="inlineStr">
        <is>
          <t>RESULTADO DE LA EXPLOTACION</t>
        </is>
      </c>
      <c r="G126" s="7" t="inlineStr">
        <is>
          <t>7.- Otros gastos de explotación</t>
        </is>
      </c>
      <c r="H126" s="7" t="inlineStr">
        <is>
          <t>(623) Servicios profesionales independientes</t>
        </is>
      </c>
      <c r="I126" s="7" t="inlineStr">
        <is>
          <t>623200029 - GASTOS MARCAS GEORGIA</t>
        </is>
      </c>
      <c r="J126" s="6" t="inlineStr">
        <is>
          <t>-</t>
        </is>
      </c>
      <c r="K126" s="8" t="n">
        <v>0</v>
      </c>
      <c r="L126" s="8" t="n">
        <v>0</v>
      </c>
      <c r="M126" s="8" t="n">
        <v>0</v>
      </c>
      <c r="N126" s="8" t="n">
        <v>0</v>
      </c>
      <c r="O126" s="8" t="n">
        <v>0</v>
      </c>
      <c r="P126" s="8" t="n">
        <v>0</v>
      </c>
      <c r="Q126" s="8" t="n">
        <v>0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9">
        <f>SUM(K126:V126)</f>
        <v/>
      </c>
      <c r="X126" s="10" t="inlineStr">
        <is>
          <t>Sin dotación individual; centralizado en cuenta 623200017.</t>
        </is>
      </c>
    </row>
    <row r="127" ht="18" customHeight="1">
      <c r="B127" s="6" t="n">
        <v>2027</v>
      </c>
      <c r="C127" s="6" t="inlineStr">
        <is>
          <t>Codiagro</t>
        </is>
      </c>
      <c r="D127" s="7" t="inlineStr">
        <is>
          <t>RESULTADO DEL EJERCICIO</t>
        </is>
      </c>
      <c r="E127" s="7" t="inlineStr">
        <is>
          <t>RESULTADO ANTES DE IMPUESTOS</t>
        </is>
      </c>
      <c r="F127" s="7" t="inlineStr">
        <is>
          <t>RESULTADO DE LA EXPLOTACION</t>
        </is>
      </c>
      <c r="G127" s="7" t="inlineStr">
        <is>
          <t>7.- Otros gastos de explotación</t>
        </is>
      </c>
      <c r="H127" s="7" t="inlineStr">
        <is>
          <t>(623) Servicios profesionales independientes</t>
        </is>
      </c>
      <c r="I127" s="7" t="inlineStr">
        <is>
          <t>623200030 - GASTOS MARCAS AZERBAIYAN</t>
        </is>
      </c>
      <c r="J127" s="6" t="inlineStr">
        <is>
          <t>-</t>
        </is>
      </c>
      <c r="K127" s="8" t="n">
        <v>0</v>
      </c>
      <c r="L127" s="8" t="n">
        <v>0</v>
      </c>
      <c r="M127" s="8" t="n">
        <v>0</v>
      </c>
      <c r="N127" s="8" t="n">
        <v>0</v>
      </c>
      <c r="O127" s="8" t="n">
        <v>0</v>
      </c>
      <c r="P127" s="8" t="n">
        <v>0</v>
      </c>
      <c r="Q127" s="8" t="n">
        <v>0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9">
        <f>SUM(K127:V127)</f>
        <v/>
      </c>
      <c r="X127" s="10" t="inlineStr">
        <is>
          <t>Sin dotación individual; centralizado en cuenta 623200017.</t>
        </is>
      </c>
    </row>
    <row r="128" ht="18" customHeight="1">
      <c r="B128" s="6" t="n">
        <v>2027</v>
      </c>
      <c r="C128" s="6" t="inlineStr">
        <is>
          <t>Codiagro</t>
        </is>
      </c>
      <c r="D128" s="7" t="inlineStr">
        <is>
          <t>RESULTADO DEL EJERCICIO</t>
        </is>
      </c>
      <c r="E128" s="7" t="inlineStr">
        <is>
          <t>RESULTADO ANTES DE IMPUESTOS</t>
        </is>
      </c>
      <c r="F128" s="7" t="inlineStr">
        <is>
          <t>RESULTADO DE LA EXPLOTACION</t>
        </is>
      </c>
      <c r="G128" s="7" t="inlineStr">
        <is>
          <t>7.- Otros gastos de explotación</t>
        </is>
      </c>
      <c r="H128" s="7" t="inlineStr">
        <is>
          <t>(623) Servicios profesionales independientes</t>
        </is>
      </c>
      <c r="I128" s="7" t="inlineStr">
        <is>
          <t>623200037 - GASTOS MARCAS ESTADOS UNIDOS</t>
        </is>
      </c>
      <c r="J128" s="6" t="inlineStr">
        <is>
          <t>-</t>
        </is>
      </c>
      <c r="K128" s="8" t="n">
        <v>0</v>
      </c>
      <c r="L128" s="8" t="n">
        <v>0</v>
      </c>
      <c r="M128" s="8" t="n">
        <v>0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9">
        <f>SUM(K128:V128)</f>
        <v/>
      </c>
      <c r="X128" s="10" t="inlineStr">
        <is>
          <t>Sin dotación individual; centralizado en cuenta 623200017.</t>
        </is>
      </c>
    </row>
    <row r="129" ht="18" customHeight="1">
      <c r="B129" s="6" t="n">
        <v>2027</v>
      </c>
      <c r="C129" s="6" t="inlineStr">
        <is>
          <t>Codiagro</t>
        </is>
      </c>
      <c r="D129" s="7" t="inlineStr">
        <is>
          <t>RESULTADO DEL EJERCICIO</t>
        </is>
      </c>
      <c r="E129" s="7" t="inlineStr">
        <is>
          <t>RESULTADO ANTES DE IMPUESTOS</t>
        </is>
      </c>
      <c r="F129" s="7" t="inlineStr">
        <is>
          <t>RESULTADO DE LA EXPLOTACION</t>
        </is>
      </c>
      <c r="G129" s="7" t="inlineStr">
        <is>
          <t>7.- Otros gastos de explotación</t>
        </is>
      </c>
      <c r="H129" s="7" t="inlineStr">
        <is>
          <t>(624) Transportes ventas</t>
        </is>
      </c>
      <c r="I129" s="7" t="inlineStr">
        <is>
          <t>624000001 - TRANSPORTES NACIONAL</t>
        </is>
      </c>
      <c r="J129" s="6" t="inlineStr">
        <is>
          <t>-</t>
        </is>
      </c>
      <c r="K129" s="8" t="n">
        <v>-7016.85</v>
      </c>
      <c r="L129" s="8" t="n">
        <v>-13619.9</v>
      </c>
      <c r="M129" s="8" t="n">
        <v>-18607.54</v>
      </c>
      <c r="N129" s="8" t="n">
        <v>-22055.44</v>
      </c>
      <c r="O129" s="8" t="n">
        <v>-18645.63</v>
      </c>
      <c r="P129" s="8" t="n">
        <v>-20396.41</v>
      </c>
      <c r="Q129" s="8" t="n">
        <v>-14747.91</v>
      </c>
      <c r="R129" s="8" t="n">
        <v>-13338.45</v>
      </c>
      <c r="S129" s="8" t="n">
        <v>-7825.86</v>
      </c>
      <c r="T129" s="8" t="n">
        <v>-12700.12</v>
      </c>
      <c r="U129" s="8" t="n">
        <v>-12528.19</v>
      </c>
      <c r="V129" s="8" t="n">
        <v>-4989.85</v>
      </c>
      <c r="W129" s="9">
        <f>SUM(K129:V129)</f>
        <v/>
      </c>
      <c r="X129" s="10" t="inlineStr">
        <is>
          <t>Presupuesto Transporte 2027: Logística nacional terrestre (Campillo) mensualizada según volumen de ventas (-166.472,15 €).</t>
        </is>
      </c>
    </row>
    <row r="130" ht="18" customHeight="1">
      <c r="B130" s="6" t="n">
        <v>2027</v>
      </c>
      <c r="C130" s="6" t="inlineStr">
        <is>
          <t>Codiagro</t>
        </is>
      </c>
      <c r="D130" s="7" t="inlineStr">
        <is>
          <t>RESULTADO DEL EJERCICIO</t>
        </is>
      </c>
      <c r="E130" s="7" t="inlineStr">
        <is>
          <t>RESULTADO ANTES DE IMPUESTOS</t>
        </is>
      </c>
      <c r="F130" s="7" t="inlineStr">
        <is>
          <t>RESULTADO DE LA EXPLOTACION</t>
        </is>
      </c>
      <c r="G130" s="7" t="inlineStr">
        <is>
          <t>7.- Otros gastos de explotación</t>
        </is>
      </c>
      <c r="H130" s="7" t="inlineStr">
        <is>
          <t>(624) Transportes ventas</t>
        </is>
      </c>
      <c r="I130" s="7" t="inlineStr">
        <is>
          <t>624000002 - TRANSPORTE INTERNACIONAL</t>
        </is>
      </c>
      <c r="J130" s="6" t="inlineStr">
        <is>
          <t>-</t>
        </is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0</v>
      </c>
      <c r="Q130" s="8" t="n">
        <v>0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9">
        <f>SUM(K130:V130)</f>
        <v/>
      </c>
      <c r="X130" s="10" t="inlineStr">
        <is>
          <t>REPERCUTIDO AL CLIENTE (0,00 €): Transporte exportación presupuestado en 305.223,30 € repercutido íntegramente al cliente en factura. No supone coste neto para Codiagro s/instrucciones expresas.</t>
        </is>
      </c>
    </row>
    <row r="131" ht="18" customHeight="1">
      <c r="B131" s="6" t="n">
        <v>2027</v>
      </c>
      <c r="C131" s="6" t="inlineStr">
        <is>
          <t>Codiagro</t>
        </is>
      </c>
      <c r="D131" s="7" t="inlineStr">
        <is>
          <t>RESULTADO DEL EJERCICIO</t>
        </is>
      </c>
      <c r="E131" s="7" t="inlineStr">
        <is>
          <t>RESULTADO ANTES DE IMPUESTOS</t>
        </is>
      </c>
      <c r="F131" s="7" t="inlineStr">
        <is>
          <t>RESULTADO DE LA EXPLOTACION</t>
        </is>
      </c>
      <c r="G131" s="7" t="inlineStr">
        <is>
          <t>7.- Otros gastos de explotación</t>
        </is>
      </c>
      <c r="H131" s="7" t="inlineStr">
        <is>
          <t>(624) Transportes ventas</t>
        </is>
      </c>
      <c r="I131" s="7" t="inlineStr">
        <is>
          <t>624000003 - TRANSPORTES CANARIAS</t>
        </is>
      </c>
      <c r="J131" s="6" t="inlineStr">
        <is>
          <t>-</t>
        </is>
      </c>
      <c r="K131" s="8" t="n">
        <v>-6088.18</v>
      </c>
      <c r="L131" s="8" t="n">
        <v>-5367.26</v>
      </c>
      <c r="M131" s="8" t="n">
        <v>-7224.72</v>
      </c>
      <c r="N131" s="8" t="n">
        <v>-3712.04</v>
      </c>
      <c r="O131" s="8" t="n">
        <v>-14028.95</v>
      </c>
      <c r="P131" s="8" t="n">
        <v>-2584.44</v>
      </c>
      <c r="Q131" s="8" t="n">
        <v>-4588.3</v>
      </c>
      <c r="R131" s="8" t="n">
        <v>-8667.690000000001</v>
      </c>
      <c r="S131" s="8" t="n">
        <v>-2950.85</v>
      </c>
      <c r="T131" s="8" t="n">
        <v>-9635.040000000001</v>
      </c>
      <c r="U131" s="8" t="n">
        <v>-13725.16</v>
      </c>
      <c r="V131" s="8" t="n">
        <v>-625.65</v>
      </c>
      <c r="W131" s="9">
        <f>SUM(K131:V131)</f>
        <v/>
      </c>
      <c r="X131" s="10" t="inlineStr">
        <is>
          <t>Presupuesto Transporte 2027: Logística marítima Canarias (Sealine) (-79.198,29 €).</t>
        </is>
      </c>
    </row>
    <row r="132" ht="18" customHeight="1">
      <c r="B132" s="6" t="n">
        <v>2027</v>
      </c>
      <c r="C132" s="6" t="inlineStr">
        <is>
          <t>Codiagro</t>
        </is>
      </c>
      <c r="D132" s="7" t="inlineStr">
        <is>
          <t>RESULTADO DEL EJERCICIO</t>
        </is>
      </c>
      <c r="E132" s="7" t="inlineStr">
        <is>
          <t>RESULTADO ANTES DE IMPUESTOS</t>
        </is>
      </c>
      <c r="F132" s="7" t="inlineStr">
        <is>
          <t>RESULTADO DE LA EXPLOTACION</t>
        </is>
      </c>
      <c r="G132" s="7" t="inlineStr">
        <is>
          <t>7.- Otros gastos de explotación</t>
        </is>
      </c>
      <c r="H132" s="7" t="inlineStr">
        <is>
          <t>(624) Transportes ventas</t>
        </is>
      </c>
      <c r="I132" s="7" t="inlineStr">
        <is>
          <t>624000004 - GTOS. FLETE REP. AL CLIENTE</t>
        </is>
      </c>
      <c r="J132" s="6" t="inlineStr">
        <is>
          <t>-</t>
        </is>
      </c>
      <c r="K132" s="8" t="n">
        <v>0</v>
      </c>
      <c r="L132" s="8" t="n">
        <v>0</v>
      </c>
      <c r="M132" s="8" t="n">
        <v>0</v>
      </c>
      <c r="N132" s="8" t="n">
        <v>0</v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9">
        <f>SUM(K132:V132)</f>
        <v/>
      </c>
      <c r="X132" s="10" t="inlineStr">
        <is>
          <t>REPERCUTIDO AL CLIENTE (0,00 €): Fletes marítimos y aéreos facturados directamente a clientes sin coste operativo para Codiagro.</t>
        </is>
      </c>
    </row>
    <row r="133" ht="18" customHeight="1">
      <c r="B133" s="6" t="n">
        <v>2027</v>
      </c>
      <c r="C133" s="6" t="inlineStr">
        <is>
          <t>Codiagro</t>
        </is>
      </c>
      <c r="D133" s="7" t="inlineStr">
        <is>
          <t>RESULTADO DEL EJERCICIO</t>
        </is>
      </c>
      <c r="E133" s="7" t="inlineStr">
        <is>
          <t>RESULTADO ANTES DE IMPUESTOS</t>
        </is>
      </c>
      <c r="F133" s="7" t="inlineStr">
        <is>
          <t>RESULTADO DE LA EXPLOTACION</t>
        </is>
      </c>
      <c r="G133" s="7" t="inlineStr">
        <is>
          <t>7.- Otros gastos de explotación</t>
        </is>
      </c>
      <c r="H133" s="7" t="inlineStr">
        <is>
          <t>(624) Transportes ventas</t>
        </is>
      </c>
      <c r="I133" s="7" t="inlineStr">
        <is>
          <t>624000005 - TTE. PAQUETERIA</t>
        </is>
      </c>
      <c r="J133" s="6" t="inlineStr">
        <is>
          <t>-</t>
        </is>
      </c>
      <c r="K133" s="8" t="n">
        <v>-591.46</v>
      </c>
      <c r="L133" s="8" t="n">
        <v>-591.46</v>
      </c>
      <c r="M133" s="8" t="n">
        <v>-591.46</v>
      </c>
      <c r="N133" s="8" t="n">
        <v>-591.46</v>
      </c>
      <c r="O133" s="8" t="n">
        <v>-591.46</v>
      </c>
      <c r="P133" s="8" t="n">
        <v>-591.46</v>
      </c>
      <c r="Q133" s="8" t="n">
        <v>-591.46</v>
      </c>
      <c r="R133" s="8" t="n">
        <v>-591.46</v>
      </c>
      <c r="S133" s="8" t="n">
        <v>-591.46</v>
      </c>
      <c r="T133" s="8" t="n">
        <v>-591.46</v>
      </c>
      <c r="U133" s="8" t="n">
        <v>-591.46</v>
      </c>
      <c r="V133" s="8" t="n">
        <v>-591.46</v>
      </c>
      <c r="W133" s="9">
        <f>SUM(K133:V133)</f>
        <v/>
      </c>
      <c r="X133" s="10" t="inlineStr">
        <is>
          <t>Proyección extrapolada de actividad recurrente.</t>
        </is>
      </c>
    </row>
    <row r="134" ht="18" customHeight="1">
      <c r="B134" s="6" t="n">
        <v>2027</v>
      </c>
      <c r="C134" s="6" t="inlineStr">
        <is>
          <t>Codiagro</t>
        </is>
      </c>
      <c r="D134" s="7" t="inlineStr">
        <is>
          <t>RESULTADO DEL EJERCICIO</t>
        </is>
      </c>
      <c r="E134" s="7" t="inlineStr">
        <is>
          <t>RESULTADO ANTES DE IMPUESTOS</t>
        </is>
      </c>
      <c r="F134" s="7" t="inlineStr">
        <is>
          <t>RESULTADO DE LA EXPLOTACION</t>
        </is>
      </c>
      <c r="G134" s="7" t="inlineStr">
        <is>
          <t>7.- Otros gastos de explotación</t>
        </is>
      </c>
      <c r="H134" s="7" t="inlineStr">
        <is>
          <t>(624) Transportes ventas</t>
        </is>
      </c>
      <c r="I134" s="7" t="inlineStr">
        <is>
          <t>624000006 - TRANSPORTES IMPORTACIÓN</t>
        </is>
      </c>
      <c r="J134" s="6" t="inlineStr">
        <is>
          <t>-</t>
        </is>
      </c>
      <c r="K134" s="8" t="n">
        <v>-1389.04</v>
      </c>
      <c r="L134" s="8" t="n">
        <v>-1389.04</v>
      </c>
      <c r="M134" s="8" t="n">
        <v>-1389.04</v>
      </c>
      <c r="N134" s="8" t="n">
        <v>-1389.04</v>
      </c>
      <c r="O134" s="8" t="n">
        <v>-1389.04</v>
      </c>
      <c r="P134" s="8" t="n">
        <v>-1389.04</v>
      </c>
      <c r="Q134" s="8" t="n">
        <v>-1389.04</v>
      </c>
      <c r="R134" s="8" t="n">
        <v>-1389.04</v>
      </c>
      <c r="S134" s="8" t="n">
        <v>-1389.04</v>
      </c>
      <c r="T134" s="8" t="n">
        <v>-1389.04</v>
      </c>
      <c r="U134" s="8" t="n">
        <v>-1389.04</v>
      </c>
      <c r="V134" s="8" t="n">
        <v>-1389.04</v>
      </c>
      <c r="W134" s="9">
        <f>SUM(K134:V134)</f>
        <v/>
      </c>
      <c r="X134" s="10" t="inlineStr">
        <is>
          <t>Proyección extrapolada de actividad recurrente.</t>
        </is>
      </c>
    </row>
    <row r="135" ht="18" customHeight="1">
      <c r="B135" s="6" t="n">
        <v>2027</v>
      </c>
      <c r="C135" s="6" t="inlineStr">
        <is>
          <t>Codiagro</t>
        </is>
      </c>
      <c r="D135" s="7" t="inlineStr">
        <is>
          <t>RESULTADO DEL EJERCICIO</t>
        </is>
      </c>
      <c r="E135" s="7" t="inlineStr">
        <is>
          <t>RESULTADO ANTES DE IMPUESTOS</t>
        </is>
      </c>
      <c r="F135" s="7" t="inlineStr">
        <is>
          <t>RESULTADO DE LA EXPLOTACION</t>
        </is>
      </c>
      <c r="G135" s="7" t="inlineStr">
        <is>
          <t>7.- Otros gastos de explotación</t>
        </is>
      </c>
      <c r="H135" s="7" t="inlineStr">
        <is>
          <t>(624) Transportes ventas</t>
        </is>
      </c>
      <c r="I135" s="7" t="inlineStr">
        <is>
          <t>624000007 - ENVIO MUESTRAS</t>
        </is>
      </c>
      <c r="J135" s="6" t="inlineStr">
        <is>
          <t>-</t>
        </is>
      </c>
      <c r="K135" s="8" t="n">
        <v>0</v>
      </c>
      <c r="L135" s="8" t="n">
        <v>0</v>
      </c>
      <c r="M135" s="8" t="n">
        <v>0</v>
      </c>
      <c r="N135" s="8" t="n">
        <v>0</v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9">
        <f>SUM(K135:V135)</f>
        <v/>
      </c>
      <c r="X135" s="10" t="inlineStr">
        <is>
          <t>Sin dotación presupuestada en 2027.</t>
        </is>
      </c>
    </row>
    <row r="136" ht="18" customHeight="1">
      <c r="B136" s="6" t="n">
        <v>2027</v>
      </c>
      <c r="C136" s="6" t="inlineStr">
        <is>
          <t>Codiagro</t>
        </is>
      </c>
      <c r="D136" s="7" t="inlineStr">
        <is>
          <t>RESULTADO DEL EJERCICIO</t>
        </is>
      </c>
      <c r="E136" s="7" t="inlineStr">
        <is>
          <t>RESULTADO ANTES DE IMPUESTOS</t>
        </is>
      </c>
      <c r="F136" s="7" t="inlineStr">
        <is>
          <t>RESULTADO DE LA EXPLOTACION</t>
        </is>
      </c>
      <c r="G136" s="7" t="inlineStr">
        <is>
          <t>7.- Otros gastos de explotación</t>
        </is>
      </c>
      <c r="H136" s="7" t="inlineStr">
        <is>
          <t>(625) Primas de seguros</t>
        </is>
      </c>
      <c r="I136" s="7" t="inlineStr">
        <is>
          <t>625000001 - SEGUROS VEHÍCULOS</t>
        </is>
      </c>
      <c r="J136" s="6" t="inlineStr">
        <is>
          <t>-</t>
        </is>
      </c>
      <c r="K136" s="8" t="n">
        <v>-188.17</v>
      </c>
      <c r="L136" s="8" t="n">
        <v>-188.17</v>
      </c>
      <c r="M136" s="8" t="n">
        <v>-188.17</v>
      </c>
      <c r="N136" s="8" t="n">
        <v>-188.17</v>
      </c>
      <c r="O136" s="8" t="n">
        <v>-188.17</v>
      </c>
      <c r="P136" s="8" t="n">
        <v>-188.17</v>
      </c>
      <c r="Q136" s="8" t="n">
        <v>-188.17</v>
      </c>
      <c r="R136" s="8" t="n">
        <v>-188.17</v>
      </c>
      <c r="S136" s="8" t="n">
        <v>-188.17</v>
      </c>
      <c r="T136" s="8" t="n">
        <v>-188.17</v>
      </c>
      <c r="U136" s="8" t="n">
        <v>-188.17</v>
      </c>
      <c r="V136" s="8" t="n">
        <v>-188.17</v>
      </c>
      <c r="W136" s="9">
        <f>SUM(K136:V136)</f>
        <v/>
      </c>
      <c r="X136" s="10" t="inlineStr">
        <is>
          <t>Coste fijo: prima mensualizada de pólizas de seguro industrial y responsabilidad civil.</t>
        </is>
      </c>
    </row>
    <row r="137" ht="18" customHeight="1">
      <c r="B137" s="6" t="n">
        <v>2027</v>
      </c>
      <c r="C137" s="6" t="inlineStr">
        <is>
          <t>Codiagro</t>
        </is>
      </c>
      <c r="D137" s="7" t="inlineStr">
        <is>
          <t>RESULTADO DEL EJERCICIO</t>
        </is>
      </c>
      <c r="E137" s="7" t="inlineStr">
        <is>
          <t>RESULTADO ANTES DE IMPUESTOS</t>
        </is>
      </c>
      <c r="F137" s="7" t="inlineStr">
        <is>
          <t>RESULTADO DE LA EXPLOTACION</t>
        </is>
      </c>
      <c r="G137" s="7" t="inlineStr">
        <is>
          <t>7.- Otros gastos de explotación</t>
        </is>
      </c>
      <c r="H137" s="7" t="inlineStr">
        <is>
          <t>(625) Primas de seguros</t>
        </is>
      </c>
      <c r="I137" s="7" t="inlineStr">
        <is>
          <t>625000003 SEGURO ACCIDENTES TRABAJADORES</t>
        </is>
      </c>
      <c r="J137" s="6" t="inlineStr">
        <is>
          <t>-</t>
        </is>
      </c>
      <c r="K137" s="8" t="n">
        <v>-194.64</v>
      </c>
      <c r="L137" s="8" t="n">
        <v>-194.64</v>
      </c>
      <c r="M137" s="8" t="n">
        <v>-194.64</v>
      </c>
      <c r="N137" s="8" t="n">
        <v>-194.64</v>
      </c>
      <c r="O137" s="8" t="n">
        <v>-194.64</v>
      </c>
      <c r="P137" s="8" t="n">
        <v>-194.64</v>
      </c>
      <c r="Q137" s="8" t="n">
        <v>-194.64</v>
      </c>
      <c r="R137" s="8" t="n">
        <v>-194.64</v>
      </c>
      <c r="S137" s="8" t="n">
        <v>-194.64</v>
      </c>
      <c r="T137" s="8" t="n">
        <v>-194.64</v>
      </c>
      <c r="U137" s="8" t="n">
        <v>-194.64</v>
      </c>
      <c r="V137" s="8" t="n">
        <v>-194.64</v>
      </c>
      <c r="W137" s="9">
        <f>SUM(K137:V137)</f>
        <v/>
      </c>
      <c r="X137" s="10" t="inlineStr">
        <is>
          <t>Coste fijo: prima mensualizada de pólizas de seguro industrial y responsabilidad civil.</t>
        </is>
      </c>
    </row>
    <row r="138" ht="18" customHeight="1">
      <c r="B138" s="6" t="n">
        <v>2027</v>
      </c>
      <c r="C138" s="6" t="inlineStr">
        <is>
          <t>Codiagro</t>
        </is>
      </c>
      <c r="D138" s="7" t="inlineStr">
        <is>
          <t>RESULTADO DEL EJERCICIO</t>
        </is>
      </c>
      <c r="E138" s="7" t="inlineStr">
        <is>
          <t>RESULTADO ANTES DE IMPUESTOS</t>
        </is>
      </c>
      <c r="F138" s="7" t="inlineStr">
        <is>
          <t>RESULTADO DE LA EXPLOTACION</t>
        </is>
      </c>
      <c r="G138" s="7" t="inlineStr">
        <is>
          <t>7.- Otros gastos de explotación</t>
        </is>
      </c>
      <c r="H138" s="7" t="inlineStr">
        <is>
          <t>(625) Primas de seguros</t>
        </is>
      </c>
      <c r="I138" s="7" t="inlineStr">
        <is>
          <t>625000004 - SEGURO RESP. CIVIL</t>
        </is>
      </c>
      <c r="J138" s="6" t="inlineStr">
        <is>
          <t>-</t>
        </is>
      </c>
      <c r="K138" s="8" t="n">
        <v>-3281.59</v>
      </c>
      <c r="L138" s="8" t="n">
        <v>-3281.59</v>
      </c>
      <c r="M138" s="8" t="n">
        <v>-3281.59</v>
      </c>
      <c r="N138" s="8" t="n">
        <v>-3281.59</v>
      </c>
      <c r="O138" s="8" t="n">
        <v>-3281.59</v>
      </c>
      <c r="P138" s="8" t="n">
        <v>-3281.59</v>
      </c>
      <c r="Q138" s="8" t="n">
        <v>-3281.59</v>
      </c>
      <c r="R138" s="8" t="n">
        <v>-3281.59</v>
      </c>
      <c r="S138" s="8" t="n">
        <v>-3281.59</v>
      </c>
      <c r="T138" s="8" t="n">
        <v>-3281.59</v>
      </c>
      <c r="U138" s="8" t="n">
        <v>-3281.59</v>
      </c>
      <c r="V138" s="8" t="n">
        <v>-3281.59</v>
      </c>
      <c r="W138" s="9">
        <f>SUM(K138:V138)</f>
        <v/>
      </c>
      <c r="X138" s="10" t="inlineStr">
        <is>
          <t>Coste fijo: prima mensualizada de pólizas de seguro industrial y responsabilidad civil.</t>
        </is>
      </c>
    </row>
    <row r="139" ht="18" customHeight="1">
      <c r="B139" s="6" t="n">
        <v>2027</v>
      </c>
      <c r="C139" s="6" t="inlineStr">
        <is>
          <t>Codiagro</t>
        </is>
      </c>
      <c r="D139" s="7" t="inlineStr">
        <is>
          <t>RESULTADO DEL EJERCICIO</t>
        </is>
      </c>
      <c r="E139" s="7" t="inlineStr">
        <is>
          <t>RESULTADO ANTES DE IMPUESTOS</t>
        </is>
      </c>
      <c r="F139" s="7" t="inlineStr">
        <is>
          <t>RESULTADO DE LA EXPLOTACION</t>
        </is>
      </c>
      <c r="G139" s="7" t="inlineStr">
        <is>
          <t>7.- Otros gastos de explotación</t>
        </is>
      </c>
      <c r="H139" s="7" t="inlineStr">
        <is>
          <t>(625) Primas de seguros</t>
        </is>
      </c>
      <c r="I139" s="7" t="inlineStr">
        <is>
          <t>625000005 - SEGUROS ACTIVIDAD</t>
        </is>
      </c>
      <c r="J139" s="6" t="inlineStr">
        <is>
          <t>-</t>
        </is>
      </c>
      <c r="K139" s="8" t="n">
        <v>-2975.68</v>
      </c>
      <c r="L139" s="8" t="n">
        <v>-2975.68</v>
      </c>
      <c r="M139" s="8" t="n">
        <v>-2975.68</v>
      </c>
      <c r="N139" s="8" t="n">
        <v>-2975.68</v>
      </c>
      <c r="O139" s="8" t="n">
        <v>-2975.68</v>
      </c>
      <c r="P139" s="8" t="n">
        <v>-2975.68</v>
      </c>
      <c r="Q139" s="8" t="n">
        <v>-2975.68</v>
      </c>
      <c r="R139" s="8" t="n">
        <v>-2975.68</v>
      </c>
      <c r="S139" s="8" t="n">
        <v>-2975.68</v>
      </c>
      <c r="T139" s="8" t="n">
        <v>-2975.68</v>
      </c>
      <c r="U139" s="8" t="n">
        <v>-2975.68</v>
      </c>
      <c r="V139" s="8" t="n">
        <v>-2975.68</v>
      </c>
      <c r="W139" s="9">
        <f>SUM(K139:V139)</f>
        <v/>
      </c>
      <c r="X139" s="10" t="inlineStr">
        <is>
          <t>Coste fijo: prima mensualizada de pólizas de seguro industrial y responsabilidad civil.</t>
        </is>
      </c>
    </row>
    <row r="140" ht="18" customHeight="1">
      <c r="B140" s="6" t="n">
        <v>2027</v>
      </c>
      <c r="C140" s="6" t="inlineStr">
        <is>
          <t>Codiagro</t>
        </is>
      </c>
      <c r="D140" s="7" t="inlineStr">
        <is>
          <t>RESULTADO DEL EJERCICIO</t>
        </is>
      </c>
      <c r="E140" s="7" t="inlineStr">
        <is>
          <t>RESULTADO ANTES DE IMPUESTOS</t>
        </is>
      </c>
      <c r="F140" s="7" t="inlineStr">
        <is>
          <t>RESULTADO DE LA EXPLOTACION</t>
        </is>
      </c>
      <c r="G140" s="7" t="inlineStr">
        <is>
          <t>7.- Otros gastos de explotación</t>
        </is>
      </c>
      <c r="H140" s="7" t="inlineStr">
        <is>
          <t>(626) Servicios bancarios</t>
        </is>
      </c>
      <c r="I140" s="7" t="inlineStr">
        <is>
          <t>626000000 - Servicios bancarios y similares</t>
        </is>
      </c>
      <c r="J140" s="6" t="inlineStr">
        <is>
          <t>-</t>
        </is>
      </c>
      <c r="K140" s="8" t="n">
        <v>0</v>
      </c>
      <c r="L140" s="8" t="n">
        <v>0</v>
      </c>
      <c r="M140" s="8" t="n">
        <v>0</v>
      </c>
      <c r="N140" s="8" t="n">
        <v>0</v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9">
        <f>SUM(K140:V140)</f>
        <v/>
      </c>
      <c r="X140" s="10" t="inlineStr">
        <is>
          <t>Sin dotación presupuestada en 2027.</t>
        </is>
      </c>
    </row>
    <row r="141" ht="18" customHeight="1">
      <c r="B141" s="6" t="n">
        <v>2027</v>
      </c>
      <c r="C141" s="6" t="inlineStr">
        <is>
          <t>Codiagro</t>
        </is>
      </c>
      <c r="D141" s="7" t="inlineStr">
        <is>
          <t>RESULTADO DEL EJERCICIO</t>
        </is>
      </c>
      <c r="E141" s="7" t="inlineStr">
        <is>
          <t>RESULTADO ANTES DE IMPUESTOS</t>
        </is>
      </c>
      <c r="F141" s="7" t="inlineStr">
        <is>
          <t>RESULTADO DE LA EXPLOTACION</t>
        </is>
      </c>
      <c r="G141" s="7" t="inlineStr">
        <is>
          <t>7.- Otros gastos de explotación</t>
        </is>
      </c>
      <c r="H141" s="7" t="inlineStr">
        <is>
          <t>(626) Servicios bancarios</t>
        </is>
      </c>
      <c r="I141" s="7" t="inlineStr">
        <is>
          <t>626000002 - GASTOS Y COMISIONES BANCO SABADELL</t>
        </is>
      </c>
      <c r="J141" s="6" t="inlineStr">
        <is>
          <t>-</t>
        </is>
      </c>
      <c r="K141" s="8" t="n">
        <v>-49.02</v>
      </c>
      <c r="L141" s="8" t="n">
        <v>-49.02</v>
      </c>
      <c r="M141" s="8" t="n">
        <v>-49.02</v>
      </c>
      <c r="N141" s="8" t="n">
        <v>-49.02</v>
      </c>
      <c r="O141" s="8" t="n">
        <v>-49.02</v>
      </c>
      <c r="P141" s="8" t="n">
        <v>-49.02</v>
      </c>
      <c r="Q141" s="8" t="n">
        <v>-49.02</v>
      </c>
      <c r="R141" s="8" t="n">
        <v>-49.02</v>
      </c>
      <c r="S141" s="8" t="n">
        <v>-49.02</v>
      </c>
      <c r="T141" s="8" t="n">
        <v>-49.02</v>
      </c>
      <c r="U141" s="8" t="n">
        <v>-49.02</v>
      </c>
      <c r="V141" s="8" t="n">
        <v>-49.02</v>
      </c>
      <c r="W141" s="9">
        <f>SUM(K141:V141)</f>
        <v/>
      </c>
      <c r="X141" s="10" t="inlineStr">
        <is>
          <t>Coste operativo recurrente por transaccionalidad bancaria y comisiones de gestión.</t>
        </is>
      </c>
    </row>
    <row r="142" ht="18" customHeight="1">
      <c r="B142" s="6" t="n">
        <v>2027</v>
      </c>
      <c r="C142" s="6" t="inlineStr">
        <is>
          <t>Codiagro</t>
        </is>
      </c>
      <c r="D142" s="7" t="inlineStr">
        <is>
          <t>RESULTADO DEL EJERCICIO</t>
        </is>
      </c>
      <c r="E142" s="7" t="inlineStr">
        <is>
          <t>RESULTADO ANTES DE IMPUESTOS</t>
        </is>
      </c>
      <c r="F142" s="7" t="inlineStr">
        <is>
          <t>RESULTADO DE LA EXPLOTACION</t>
        </is>
      </c>
      <c r="G142" s="7" t="inlineStr">
        <is>
          <t>7.- Otros gastos de explotación</t>
        </is>
      </c>
      <c r="H142" s="7" t="inlineStr">
        <is>
          <t>(626) Servicios bancarios</t>
        </is>
      </c>
      <c r="I142" s="7" t="inlineStr">
        <is>
          <t>626000005 - GASTOS Y COMISIONES CAIXALMASSORA</t>
        </is>
      </c>
      <c r="J142" s="6" t="inlineStr">
        <is>
          <t>-</t>
        </is>
      </c>
      <c r="K142" s="8" t="n">
        <v>-171.17</v>
      </c>
      <c r="L142" s="8" t="n">
        <v>-171.17</v>
      </c>
      <c r="M142" s="8" t="n">
        <v>-171.17</v>
      </c>
      <c r="N142" s="8" t="n">
        <v>-171.17</v>
      </c>
      <c r="O142" s="8" t="n">
        <v>-171.17</v>
      </c>
      <c r="P142" s="8" t="n">
        <v>-171.17</v>
      </c>
      <c r="Q142" s="8" t="n">
        <v>-171.17</v>
      </c>
      <c r="R142" s="8" t="n">
        <v>-171.17</v>
      </c>
      <c r="S142" s="8" t="n">
        <v>-171.17</v>
      </c>
      <c r="T142" s="8" t="n">
        <v>-171.17</v>
      </c>
      <c r="U142" s="8" t="n">
        <v>-171.17</v>
      </c>
      <c r="V142" s="8" t="n">
        <v>-171.17</v>
      </c>
      <c r="W142" s="9">
        <f>SUM(K142:V142)</f>
        <v/>
      </c>
      <c r="X142" s="10" t="inlineStr">
        <is>
          <t>Coste operativo recurrente por transaccionalidad bancaria y comisiones de gestión.</t>
        </is>
      </c>
    </row>
    <row r="143" ht="18" customHeight="1">
      <c r="B143" s="6" t="n">
        <v>2027</v>
      </c>
      <c r="C143" s="6" t="inlineStr">
        <is>
          <t>Codiagro</t>
        </is>
      </c>
      <c r="D143" s="7" t="inlineStr">
        <is>
          <t>RESULTADO DEL EJERCICIO</t>
        </is>
      </c>
      <c r="E143" s="7" t="inlineStr">
        <is>
          <t>RESULTADO ANTES DE IMPUESTOS</t>
        </is>
      </c>
      <c r="F143" s="7" t="inlineStr">
        <is>
          <t>RESULTADO DE LA EXPLOTACION</t>
        </is>
      </c>
      <c r="G143" s="7" t="inlineStr">
        <is>
          <t>7.- Otros gastos de explotación</t>
        </is>
      </c>
      <c r="H143" s="7" t="inlineStr">
        <is>
          <t>(626) Servicios bancarios</t>
        </is>
      </c>
      <c r="I143" s="7" t="inlineStr">
        <is>
          <t>626000007 - GASTOS Y COMISIONES BBVA</t>
        </is>
      </c>
      <c r="J143" s="6" t="inlineStr">
        <is>
          <t>-</t>
        </is>
      </c>
      <c r="K143" s="8" t="n">
        <v>-811.09</v>
      </c>
      <c r="L143" s="8" t="n">
        <v>-811.09</v>
      </c>
      <c r="M143" s="8" t="n">
        <v>-811.09</v>
      </c>
      <c r="N143" s="8" t="n">
        <v>-811.09</v>
      </c>
      <c r="O143" s="8" t="n">
        <v>-811.09</v>
      </c>
      <c r="P143" s="8" t="n">
        <v>-811.09</v>
      </c>
      <c r="Q143" s="8" t="n">
        <v>-811.09</v>
      </c>
      <c r="R143" s="8" t="n">
        <v>-811.09</v>
      </c>
      <c r="S143" s="8" t="n">
        <v>-811.09</v>
      </c>
      <c r="T143" s="8" t="n">
        <v>-811.09</v>
      </c>
      <c r="U143" s="8" t="n">
        <v>-811.09</v>
      </c>
      <c r="V143" s="8" t="n">
        <v>-811.09</v>
      </c>
      <c r="W143" s="9">
        <f>SUM(K143:V143)</f>
        <v/>
      </c>
      <c r="X143" s="10" t="inlineStr">
        <is>
          <t>Coste operativo recurrente por transaccionalidad bancaria y comisiones de gestión.</t>
        </is>
      </c>
    </row>
    <row r="144" ht="18" customHeight="1">
      <c r="B144" s="6" t="n">
        <v>2027</v>
      </c>
      <c r="C144" s="6" t="inlineStr">
        <is>
          <t>Codiagro</t>
        </is>
      </c>
      <c r="D144" s="7" t="inlineStr">
        <is>
          <t>RESULTADO DEL EJERCICIO</t>
        </is>
      </c>
      <c r="E144" s="7" t="inlineStr">
        <is>
          <t>RESULTADO ANTES DE IMPUESTOS</t>
        </is>
      </c>
      <c r="F144" s="7" t="inlineStr">
        <is>
          <t>RESULTADO DE LA EXPLOTACION</t>
        </is>
      </c>
      <c r="G144" s="7" t="inlineStr">
        <is>
          <t>7.- Otros gastos de explotación</t>
        </is>
      </c>
      <c r="H144" s="7" t="inlineStr">
        <is>
          <t>(627) Publicidad</t>
        </is>
      </c>
      <c r="I144" s="7" t="inlineStr">
        <is>
          <t>627000001 - GTOS. PUBLICIDAD EN INTERNET</t>
        </is>
      </c>
      <c r="J144" s="6" t="inlineStr">
        <is>
          <t>-</t>
        </is>
      </c>
      <c r="K144" s="8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9">
        <f>SUM(K144:V144)</f>
        <v/>
      </c>
      <c r="X144" s="10" t="inlineStr">
        <is>
          <t>Sin dotación presupuestada en 2027.</t>
        </is>
      </c>
    </row>
    <row r="145" ht="18" customHeight="1">
      <c r="B145" s="6" t="n">
        <v>2027</v>
      </c>
      <c r="C145" s="6" t="inlineStr">
        <is>
          <t>Codiagro</t>
        </is>
      </c>
      <c r="D145" s="7" t="inlineStr">
        <is>
          <t>RESULTADO DEL EJERCICIO</t>
        </is>
      </c>
      <c r="E145" s="7" t="inlineStr">
        <is>
          <t>RESULTADO ANTES DE IMPUESTOS</t>
        </is>
      </c>
      <c r="F145" s="7" t="inlineStr">
        <is>
          <t>RESULTADO DE LA EXPLOTACION</t>
        </is>
      </c>
      <c r="G145" s="7" t="inlineStr">
        <is>
          <t>7.- Otros gastos de explotación</t>
        </is>
      </c>
      <c r="H145" s="7" t="inlineStr">
        <is>
          <t>(627) Publicidad</t>
        </is>
      </c>
      <c r="I145" s="7" t="inlineStr">
        <is>
          <t>627000004 - RELACIONES PUBLICAS</t>
        </is>
      </c>
      <c r="J145" s="6" t="inlineStr">
        <is>
          <t>-</t>
        </is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9">
        <f>SUM(K145:V145)</f>
        <v/>
      </c>
      <c r="X145" s="10" t="inlineStr">
        <is>
          <t>Integrado dentro de los programas de activación comercial por cliente-producto (cuenta 627000008).</t>
        </is>
      </c>
    </row>
    <row r="146" ht="18" customHeight="1">
      <c r="B146" s="6" t="n">
        <v>2027</v>
      </c>
      <c r="C146" s="6" t="inlineStr">
        <is>
          <t>Codiagro</t>
        </is>
      </c>
      <c r="D146" s="7" t="inlineStr">
        <is>
          <t>RESULTADO DEL EJERCICIO</t>
        </is>
      </c>
      <c r="E146" s="7" t="inlineStr">
        <is>
          <t>RESULTADO ANTES DE IMPUESTOS</t>
        </is>
      </c>
      <c r="F146" s="7" t="inlineStr">
        <is>
          <t>RESULTADO DE LA EXPLOTACION</t>
        </is>
      </c>
      <c r="G146" s="7" t="inlineStr">
        <is>
          <t>7.- Otros gastos de explotación</t>
        </is>
      </c>
      <c r="H146" s="7" t="inlineStr">
        <is>
          <t>(627) Publicidad</t>
        </is>
      </c>
      <c r="I146" s="7" t="inlineStr">
        <is>
          <t>627000005 - INVITACIONES CLIENTES</t>
        </is>
      </c>
      <c r="J146" s="6" t="inlineStr">
        <is>
          <t>-</t>
        </is>
      </c>
      <c r="K146" s="8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9">
        <f>SUM(K146:V146)</f>
        <v/>
      </c>
      <c r="X146" s="10" t="inlineStr">
        <is>
          <t>Integrado dentro de los programas de activación comercial por cliente-producto (cuenta 627000008).</t>
        </is>
      </c>
    </row>
    <row r="147" ht="18" customHeight="1">
      <c r="B147" s="6" t="n">
        <v>2027</v>
      </c>
      <c r="C147" s="6" t="inlineStr">
        <is>
          <t>Codiagro</t>
        </is>
      </c>
      <c r="D147" s="7" t="inlineStr">
        <is>
          <t>RESULTADO DEL EJERCICIO</t>
        </is>
      </c>
      <c r="E147" s="7" t="inlineStr">
        <is>
          <t>RESULTADO ANTES DE IMPUESTOS</t>
        </is>
      </c>
      <c r="F147" s="7" t="inlineStr">
        <is>
          <t>RESULTADO DE LA EXPLOTACION</t>
        </is>
      </c>
      <c r="G147" s="7" t="inlineStr">
        <is>
          <t>7.- Otros gastos de explotación</t>
        </is>
      </c>
      <c r="H147" s="7" t="inlineStr">
        <is>
          <t>(627) Publicidad</t>
        </is>
      </c>
      <c r="I147" s="7" t="inlineStr">
        <is>
          <t>627000006 - PUBLICIDAD CATALOGOS Y FOLLETOS</t>
        </is>
      </c>
      <c r="J147" s="6" t="inlineStr">
        <is>
          <t>-</t>
        </is>
      </c>
      <c r="K147" s="8" t="n">
        <v>-2469.92</v>
      </c>
      <c r="L147" s="8" t="n">
        <v>-3006.08</v>
      </c>
      <c r="M147" s="8" t="n">
        <v>-2874.69</v>
      </c>
      <c r="N147" s="8" t="n">
        <v>-3233.22</v>
      </c>
      <c r="O147" s="8" t="n">
        <v>-2543.62</v>
      </c>
      <c r="P147" s="8" t="n">
        <v>-1816.83</v>
      </c>
      <c r="Q147" s="8" t="n">
        <v>-1556.94</v>
      </c>
      <c r="R147" s="8" t="n">
        <v>-658.01</v>
      </c>
      <c r="S147" s="8" t="n">
        <v>-1867.78</v>
      </c>
      <c r="T147" s="8" t="n">
        <v>-1290.69</v>
      </c>
      <c r="U147" s="8" t="n">
        <v>-2792.91</v>
      </c>
      <c r="V147" s="8" t="n">
        <v>-1519.31</v>
      </c>
      <c r="W147" s="9">
        <f>SUM(K147:V147)</f>
        <v/>
      </c>
      <c r="X147" s="10" t="inlineStr">
        <is>
          <t>Presupuesto Marketing V5: Marketing corporativo transversal, catálogos técnicos, packaging y branding web (-25.630,00 €).</t>
        </is>
      </c>
    </row>
    <row r="148" ht="18" customHeight="1">
      <c r="B148" s="6" t="n">
        <v>2027</v>
      </c>
      <c r="C148" s="6" t="inlineStr">
        <is>
          <t>Codiagro</t>
        </is>
      </c>
      <c r="D148" s="7" t="inlineStr">
        <is>
          <t>RESULTADO DEL EJERCICIO</t>
        </is>
      </c>
      <c r="E148" s="7" t="inlineStr">
        <is>
          <t>RESULTADO ANTES DE IMPUESTOS</t>
        </is>
      </c>
      <c r="F148" s="7" t="inlineStr">
        <is>
          <t>RESULTADO DE LA EXPLOTACION</t>
        </is>
      </c>
      <c r="G148" s="7" t="inlineStr">
        <is>
          <t>7.- Otros gastos de explotación</t>
        </is>
      </c>
      <c r="H148" s="7" t="inlineStr">
        <is>
          <t>(627) Publicidad</t>
        </is>
      </c>
      <c r="I148" s="7" t="inlineStr">
        <is>
          <t>627000007 - FERIAS</t>
        </is>
      </c>
      <c r="J148" s="6" t="inlineStr">
        <is>
          <t>-</t>
        </is>
      </c>
      <c r="K148" s="8" t="n">
        <v>-3254.36</v>
      </c>
      <c r="L148" s="8" t="n">
        <v>-3960.8</v>
      </c>
      <c r="M148" s="8" t="n">
        <v>-3787.68</v>
      </c>
      <c r="N148" s="8" t="n">
        <v>-4260.08</v>
      </c>
      <c r="O148" s="8" t="n">
        <v>-3351.46</v>
      </c>
      <c r="P148" s="8" t="n">
        <v>-2393.84</v>
      </c>
      <c r="Q148" s="8" t="n">
        <v>-2051.41</v>
      </c>
      <c r="R148" s="8" t="n">
        <v>-866.99</v>
      </c>
      <c r="S148" s="8" t="n">
        <v>-2460.99</v>
      </c>
      <c r="T148" s="8" t="n">
        <v>-1700.61</v>
      </c>
      <c r="U148" s="8" t="n">
        <v>-3679.93</v>
      </c>
      <c r="V148" s="8" t="n">
        <v>-2001.84</v>
      </c>
      <c r="W148" s="9">
        <f>SUM(K148:V148)</f>
        <v/>
      </c>
      <c r="X148" s="10" t="inlineStr">
        <is>
          <t>Presupuesto Marketing V5: Calendario ferial internacional (Fruit Attraction, Fruit Logistica, Sahara Expo, Growtech, etc.) (-33.770,00 €).</t>
        </is>
      </c>
    </row>
    <row r="149" ht="18" customHeight="1">
      <c r="B149" s="6" t="n">
        <v>2027</v>
      </c>
      <c r="C149" s="6" t="inlineStr">
        <is>
          <t>Codiagro</t>
        </is>
      </c>
      <c r="D149" s="7" t="inlineStr">
        <is>
          <t>RESULTADO DEL EJERCICIO</t>
        </is>
      </c>
      <c r="E149" s="7" t="inlineStr">
        <is>
          <t>RESULTADO ANTES DE IMPUESTOS</t>
        </is>
      </c>
      <c r="F149" s="7" t="inlineStr">
        <is>
          <t>RESULTADO DE LA EXPLOTACION</t>
        </is>
      </c>
      <c r="G149" s="7" t="inlineStr">
        <is>
          <t>7.- Otros gastos de explotación</t>
        </is>
      </c>
      <c r="H149" s="7" t="inlineStr">
        <is>
          <t>(627) Publicidad</t>
        </is>
      </c>
      <c r="I149" s="7" t="inlineStr">
        <is>
          <t>627000008 - MARKETING</t>
        </is>
      </c>
      <c r="J149" s="6" t="inlineStr">
        <is>
          <t>-</t>
        </is>
      </c>
      <c r="K149" s="8" t="n">
        <v>-18917.14</v>
      </c>
      <c r="L149" s="8" t="n">
        <v>-23023.56</v>
      </c>
      <c r="M149" s="8" t="n">
        <v>-22017.24</v>
      </c>
      <c r="N149" s="8" t="n">
        <v>-24763.22</v>
      </c>
      <c r="O149" s="8" t="n">
        <v>-19481.53</v>
      </c>
      <c r="P149" s="8" t="n">
        <v>-13915.06</v>
      </c>
      <c r="Q149" s="8" t="n">
        <v>-11924.56</v>
      </c>
      <c r="R149" s="8" t="n">
        <v>-5039.7</v>
      </c>
      <c r="S149" s="8" t="n">
        <v>-14305.34</v>
      </c>
      <c r="T149" s="8" t="n">
        <v>-9885.370000000001</v>
      </c>
      <c r="U149" s="8" t="n">
        <v>-21390.88</v>
      </c>
      <c r="V149" s="8" t="n">
        <v>-11636.39</v>
      </c>
      <c r="W149" s="9">
        <f>SUM(K149:V149)</f>
        <v/>
      </c>
      <c r="X149" s="10" t="inlineStr">
        <is>
          <t>Presupuesto Marketing V5: Programas de activación comercial por cliente clave y producto estratégico Familias A/B (-196.300,00 €).</t>
        </is>
      </c>
    </row>
    <row r="150" ht="18" customHeight="1">
      <c r="B150" s="6" t="n">
        <v>2027</v>
      </c>
      <c r="C150" s="6" t="inlineStr">
        <is>
          <t>Codiagro</t>
        </is>
      </c>
      <c r="D150" s="7" t="inlineStr">
        <is>
          <t>RESULTADO DEL EJERCICIO</t>
        </is>
      </c>
      <c r="E150" s="7" t="inlineStr">
        <is>
          <t>RESULTADO ANTES DE IMPUESTOS</t>
        </is>
      </c>
      <c r="F150" s="7" t="inlineStr">
        <is>
          <t>RESULTADO DE LA EXPLOTACION</t>
        </is>
      </c>
      <c r="G150" s="7" t="inlineStr">
        <is>
          <t>7.- Otros gastos de explotación</t>
        </is>
      </c>
      <c r="H150" s="7" t="inlineStr">
        <is>
          <t>(627) Publicidad</t>
        </is>
      </c>
      <c r="I150" s="7" t="inlineStr">
        <is>
          <t>627000009 - ARTICULOS PUBLICIDAD</t>
        </is>
      </c>
      <c r="J150" s="6" t="inlineStr">
        <is>
          <t>-</t>
        </is>
      </c>
      <c r="K150" s="8" t="n">
        <v>-999.5700000000001</v>
      </c>
      <c r="L150" s="8" t="n">
        <v>-1216.55</v>
      </c>
      <c r="M150" s="8" t="n">
        <v>-1163.38</v>
      </c>
      <c r="N150" s="8" t="n">
        <v>-1308.48</v>
      </c>
      <c r="O150" s="8" t="n">
        <v>-1029.39</v>
      </c>
      <c r="P150" s="8" t="n">
        <v>-735.27</v>
      </c>
      <c r="Q150" s="8" t="n">
        <v>-630.09</v>
      </c>
      <c r="R150" s="8" t="n">
        <v>-266.3</v>
      </c>
      <c r="S150" s="8" t="n">
        <v>-755.89</v>
      </c>
      <c r="T150" s="8" t="n">
        <v>-522.34</v>
      </c>
      <c r="U150" s="8" t="n">
        <v>-1130.28</v>
      </c>
      <c r="V150" s="8" t="n">
        <v>-614.86</v>
      </c>
      <c r="W150" s="9">
        <f>SUM(K150:V150)</f>
        <v/>
      </c>
      <c r="X150" s="10" t="inlineStr">
        <is>
          <t>Presupuesto Marketing V5: Reserva táctica de marketing y promociones especiales (-10.372,40 €).</t>
        </is>
      </c>
    </row>
    <row r="151" ht="18" customHeight="1">
      <c r="B151" s="6" t="n">
        <v>2027</v>
      </c>
      <c r="C151" s="6" t="inlineStr">
        <is>
          <t>Codiagro</t>
        </is>
      </c>
      <c r="D151" s="7" t="inlineStr">
        <is>
          <t>RESULTADO DEL EJERCICIO</t>
        </is>
      </c>
      <c r="E151" s="7" t="inlineStr">
        <is>
          <t>RESULTADO ANTES DE IMPUESTOS</t>
        </is>
      </c>
      <c r="F151" s="7" t="inlineStr">
        <is>
          <t>RESULTADO DE LA EXPLOTACION</t>
        </is>
      </c>
      <c r="G151" s="7" t="inlineStr">
        <is>
          <t>7.- Otros gastos de explotación</t>
        </is>
      </c>
      <c r="H151" s="7" t="inlineStr">
        <is>
          <t>(627) Publicidad</t>
        </is>
      </c>
      <c r="I151" s="7" t="inlineStr">
        <is>
          <t>627000010 - RELACIONES PUBLICAS TEC. CLIENTES</t>
        </is>
      </c>
      <c r="J151" s="6" t="inlineStr">
        <is>
          <t>-</t>
        </is>
      </c>
      <c r="K151" s="8" t="n">
        <v>0</v>
      </c>
      <c r="L151" s="8" t="n">
        <v>0</v>
      </c>
      <c r="M151" s="8" t="n">
        <v>0</v>
      </c>
      <c r="N151" s="8" t="n">
        <v>0</v>
      </c>
      <c r="O151" s="8" t="n">
        <v>0</v>
      </c>
      <c r="P151" s="8" t="n">
        <v>0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9">
        <f>SUM(K151:V151)</f>
        <v/>
      </c>
      <c r="X151" s="10" t="inlineStr">
        <is>
          <t>Integrado dentro de los programas de activación comercial por cliente-producto (cuenta 627000008).</t>
        </is>
      </c>
    </row>
    <row r="152" ht="18" customHeight="1">
      <c r="B152" s="6" t="n">
        <v>2027</v>
      </c>
      <c r="C152" s="6" t="inlineStr">
        <is>
          <t>Codiagro</t>
        </is>
      </c>
      <c r="D152" s="7" t="inlineStr">
        <is>
          <t>RESULTADO DEL EJERCICIO</t>
        </is>
      </c>
      <c r="E152" s="7" t="inlineStr">
        <is>
          <t>RESULTADO ANTES DE IMPUESTOS</t>
        </is>
      </c>
      <c r="F152" s="7" t="inlineStr">
        <is>
          <t>RESULTADO DE LA EXPLOTACION</t>
        </is>
      </c>
      <c r="G152" s="7" t="inlineStr">
        <is>
          <t>7.- Otros gastos de explotación</t>
        </is>
      </c>
      <c r="H152" s="7" t="inlineStr">
        <is>
          <t>(628) Suministros</t>
        </is>
      </c>
      <c r="I152" s="7" t="inlineStr">
        <is>
          <t>628000001 - SUMINISTROS INFORMATICOS</t>
        </is>
      </c>
      <c r="J152" s="6" t="inlineStr">
        <is>
          <t>-</t>
        </is>
      </c>
      <c r="K152" s="8" t="n">
        <v>-489</v>
      </c>
      <c r="L152" s="8" t="n">
        <v>-489</v>
      </c>
      <c r="M152" s="8" t="n">
        <v>-489</v>
      </c>
      <c r="N152" s="8" t="n">
        <v>-489</v>
      </c>
      <c r="O152" s="8" t="n">
        <v>-489</v>
      </c>
      <c r="P152" s="8" t="n">
        <v>-489</v>
      </c>
      <c r="Q152" s="8" t="n">
        <v>-489</v>
      </c>
      <c r="R152" s="8" t="n">
        <v>-489</v>
      </c>
      <c r="S152" s="8" t="n">
        <v>-489</v>
      </c>
      <c r="T152" s="8" t="n">
        <v>-489</v>
      </c>
      <c r="U152" s="8" t="n">
        <v>-489</v>
      </c>
      <c r="V152" s="8" t="n">
        <v>-489</v>
      </c>
      <c r="W152" s="9">
        <f>SUM(K152:V152)</f>
        <v/>
      </c>
      <c r="X152" s="10" t="inlineStr">
        <is>
          <t>Proyección extrapolada de actividad recurrente.</t>
        </is>
      </c>
    </row>
    <row r="153" ht="18" customHeight="1">
      <c r="B153" s="6" t="n">
        <v>2027</v>
      </c>
      <c r="C153" s="6" t="inlineStr">
        <is>
          <t>Codiagro</t>
        </is>
      </c>
      <c r="D153" s="7" t="inlineStr">
        <is>
          <t>RESULTADO DEL EJERCICIO</t>
        </is>
      </c>
      <c r="E153" s="7" t="inlineStr">
        <is>
          <t>RESULTADO ANTES DE IMPUESTOS</t>
        </is>
      </c>
      <c r="F153" s="7" t="inlineStr">
        <is>
          <t>RESULTADO DE LA EXPLOTACION</t>
        </is>
      </c>
      <c r="G153" s="7" t="inlineStr">
        <is>
          <t>7.- Otros gastos de explotación</t>
        </is>
      </c>
      <c r="H153" s="7" t="inlineStr">
        <is>
          <t>(628) Suministros</t>
        </is>
      </c>
      <c r="I153" s="7" t="inlineStr">
        <is>
          <t>628000002 - SUMINISTROS ELECTRICIDAD</t>
        </is>
      </c>
      <c r="J153" s="6" t="inlineStr">
        <is>
          <t>-</t>
        </is>
      </c>
      <c r="K153" s="8" t="n">
        <v>-3500</v>
      </c>
      <c r="L153" s="8" t="n">
        <v>-4200</v>
      </c>
      <c r="M153" s="8" t="n">
        <v>-4200</v>
      </c>
      <c r="N153" s="8" t="n">
        <v>-4200</v>
      </c>
      <c r="O153" s="8" t="n">
        <v>-4200</v>
      </c>
      <c r="P153" s="8" t="n">
        <v>-4200</v>
      </c>
      <c r="Q153" s="8" t="n">
        <v>-4200</v>
      </c>
      <c r="R153" s="8" t="n">
        <v>-3500</v>
      </c>
      <c r="S153" s="8" t="n">
        <v>-3500</v>
      </c>
      <c r="T153" s="8" t="n">
        <v>-3500</v>
      </c>
      <c r="U153" s="8" t="n">
        <v>-4200</v>
      </c>
      <c r="V153" s="8" t="n">
        <v>-4200</v>
      </c>
      <c r="W153" s="9">
        <f>SUM(K153:V153)</f>
        <v/>
      </c>
      <c r="X153" s="10" t="inlineStr">
        <is>
          <t>Coste semi-variable: término fijo de potencia contratada + consumo eléctrico según horas de producción.</t>
        </is>
      </c>
    </row>
    <row r="154" ht="18" customHeight="1">
      <c r="B154" s="6" t="n">
        <v>2027</v>
      </c>
      <c r="C154" s="6" t="inlineStr">
        <is>
          <t>Codiagro</t>
        </is>
      </c>
      <c r="D154" s="7" t="inlineStr">
        <is>
          <t>RESULTADO DEL EJERCICIO</t>
        </is>
      </c>
      <c r="E154" s="7" t="inlineStr">
        <is>
          <t>RESULTADO ANTES DE IMPUESTOS</t>
        </is>
      </c>
      <c r="F154" s="7" t="inlineStr">
        <is>
          <t>RESULTADO DE LA EXPLOTACION</t>
        </is>
      </c>
      <c r="G154" s="7" t="inlineStr">
        <is>
          <t>7.- Otros gastos de explotación</t>
        </is>
      </c>
      <c r="H154" s="7" t="inlineStr">
        <is>
          <t>(628) Suministros</t>
        </is>
      </c>
      <c r="I154" s="7" t="inlineStr">
        <is>
          <t>628000003 - SUMINISTROS AGUA</t>
        </is>
      </c>
      <c r="J154" s="6" t="inlineStr">
        <is>
          <t>-</t>
        </is>
      </c>
      <c r="K154" s="8" t="n">
        <v>-1435.94</v>
      </c>
      <c r="L154" s="8" t="n">
        <v>-1435.94</v>
      </c>
      <c r="M154" s="8" t="n">
        <v>-1435.94</v>
      </c>
      <c r="N154" s="8" t="n">
        <v>-1435.94</v>
      </c>
      <c r="O154" s="8" t="n">
        <v>-1435.94</v>
      </c>
      <c r="P154" s="8" t="n">
        <v>-1435.94</v>
      </c>
      <c r="Q154" s="8" t="n">
        <v>-1435.94</v>
      </c>
      <c r="R154" s="8" t="n">
        <v>-1435.94</v>
      </c>
      <c r="S154" s="8" t="n">
        <v>-1435.94</v>
      </c>
      <c r="T154" s="8" t="n">
        <v>-1435.94</v>
      </c>
      <c r="U154" s="8" t="n">
        <v>-1435.94</v>
      </c>
      <c r="V154" s="8" t="n">
        <v>-1435.94</v>
      </c>
      <c r="W154" s="9">
        <f>SUM(K154:V154)</f>
        <v/>
      </c>
      <c r="X154" s="10" t="inlineStr">
        <is>
          <t>Proyección extrapolada de actividad recurrente.</t>
        </is>
      </c>
    </row>
    <row r="155" ht="18" customHeight="1">
      <c r="B155" s="6" t="n">
        <v>2027</v>
      </c>
      <c r="C155" s="6" t="inlineStr">
        <is>
          <t>Codiagro</t>
        </is>
      </c>
      <c r="D155" s="7" t="inlineStr">
        <is>
          <t>RESULTADO DEL EJERCICIO</t>
        </is>
      </c>
      <c r="E155" s="7" t="inlineStr">
        <is>
          <t>RESULTADO ANTES DE IMPUESTOS</t>
        </is>
      </c>
      <c r="F155" s="7" t="inlineStr">
        <is>
          <t>RESULTADO DE LA EXPLOTACION</t>
        </is>
      </c>
      <c r="G155" s="7" t="inlineStr">
        <is>
          <t>7.- Otros gastos de explotación</t>
        </is>
      </c>
      <c r="H155" s="7" t="inlineStr">
        <is>
          <t>(628) Suministros</t>
        </is>
      </c>
      <c r="I155" s="7" t="inlineStr">
        <is>
          <t>628000004 - SUMINISTROS TELEFONIA E INTERNET</t>
        </is>
      </c>
      <c r="J155" s="6" t="inlineStr">
        <is>
          <t>-</t>
        </is>
      </c>
      <c r="K155" s="8" t="n">
        <v>-800</v>
      </c>
      <c r="L155" s="8" t="n">
        <v>-800</v>
      </c>
      <c r="M155" s="8" t="n">
        <v>-250</v>
      </c>
      <c r="N155" s="8" t="n">
        <v>-250</v>
      </c>
      <c r="O155" s="8" t="n">
        <v>-250</v>
      </c>
      <c r="P155" s="8" t="n">
        <v>-250</v>
      </c>
      <c r="Q155" s="8" t="n">
        <v>-250</v>
      </c>
      <c r="R155" s="8" t="n">
        <v>-250</v>
      </c>
      <c r="S155" s="8" t="n">
        <v>-250</v>
      </c>
      <c r="T155" s="8" t="n">
        <v>-250</v>
      </c>
      <c r="U155" s="8" t="n">
        <v>-800</v>
      </c>
      <c r="V155" s="8" t="n">
        <v>-800</v>
      </c>
      <c r="W155" s="9">
        <f>SUM(K155:V155)</f>
        <v/>
      </c>
      <c r="X155" s="10" t="inlineStr">
        <is>
          <t>Coste semi-variable estacional: climatización de instalaciones y caldera en meses fríos.</t>
        </is>
      </c>
    </row>
    <row r="156" ht="18" customHeight="1">
      <c r="B156" s="6" t="n">
        <v>2027</v>
      </c>
      <c r="C156" s="6" t="inlineStr">
        <is>
          <t>Codiagro</t>
        </is>
      </c>
      <c r="D156" s="7" t="inlineStr">
        <is>
          <t>RESULTADO DEL EJERCICIO</t>
        </is>
      </c>
      <c r="E156" s="7" t="inlineStr">
        <is>
          <t>RESULTADO ANTES DE IMPUESTOS</t>
        </is>
      </c>
      <c r="F156" s="7" t="inlineStr">
        <is>
          <t>RESULTADO DE LA EXPLOTACION</t>
        </is>
      </c>
      <c r="G156" s="7" t="inlineStr">
        <is>
          <t>7.- Otros gastos de explotación</t>
        </is>
      </c>
      <c r="H156" s="7" t="inlineStr">
        <is>
          <t>(628) Suministros</t>
        </is>
      </c>
      <c r="I156" s="7" t="inlineStr">
        <is>
          <t>628000005 - SUMINISTROS GASOLEO</t>
        </is>
      </c>
      <c r="J156" s="6" t="inlineStr">
        <is>
          <t>-</t>
        </is>
      </c>
      <c r="K156" s="8" t="n">
        <v>-1693.78</v>
      </c>
      <c r="L156" s="8" t="n">
        <v>-1693.78</v>
      </c>
      <c r="M156" s="8" t="n">
        <v>-1693.78</v>
      </c>
      <c r="N156" s="8" t="n">
        <v>-1693.78</v>
      </c>
      <c r="O156" s="8" t="n">
        <v>-1693.78</v>
      </c>
      <c r="P156" s="8" t="n">
        <v>-1693.78</v>
      </c>
      <c r="Q156" s="8" t="n">
        <v>-1693.78</v>
      </c>
      <c r="R156" s="8" t="n">
        <v>-1693.78</v>
      </c>
      <c r="S156" s="8" t="n">
        <v>-1693.78</v>
      </c>
      <c r="T156" s="8" t="n">
        <v>-1693.78</v>
      </c>
      <c r="U156" s="8" t="n">
        <v>-1693.78</v>
      </c>
      <c r="V156" s="8" t="n">
        <v>-1693.78</v>
      </c>
      <c r="W156" s="9">
        <f>SUM(K156:V156)</f>
        <v/>
      </c>
      <c r="X156" s="10" t="inlineStr">
        <is>
          <t>Proyección extrapolada de actividad recurrente.</t>
        </is>
      </c>
    </row>
    <row r="157" ht="18" customHeight="1">
      <c r="B157" s="6" t="n">
        <v>2027</v>
      </c>
      <c r="C157" s="6" t="inlineStr">
        <is>
          <t>Codiagro</t>
        </is>
      </c>
      <c r="D157" s="7" t="inlineStr">
        <is>
          <t>RESULTADO DEL EJERCICIO</t>
        </is>
      </c>
      <c r="E157" s="7" t="inlineStr">
        <is>
          <t>RESULTADO ANTES DE IMPUESTOS</t>
        </is>
      </c>
      <c r="F157" s="7" t="inlineStr">
        <is>
          <t>RESULTADO DE LA EXPLOTACION</t>
        </is>
      </c>
      <c r="G157" s="7" t="inlineStr">
        <is>
          <t>7.- Otros gastos de explotación</t>
        </is>
      </c>
      <c r="H157" s="7" t="inlineStr">
        <is>
          <t>(629) Otros servicios</t>
        </is>
      </c>
      <c r="I157" s="7" t="inlineStr">
        <is>
          <t>629000001 - HOSPEDAJE WEB</t>
        </is>
      </c>
      <c r="J157" s="6" t="inlineStr">
        <is>
          <t>-</t>
        </is>
      </c>
      <c r="K157" s="8" t="n">
        <v>-213</v>
      </c>
      <c r="L157" s="8" t="n">
        <v>-213</v>
      </c>
      <c r="M157" s="8" t="n">
        <v>-213</v>
      </c>
      <c r="N157" s="8" t="n">
        <v>-213</v>
      </c>
      <c r="O157" s="8" t="n">
        <v>-213</v>
      </c>
      <c r="P157" s="8" t="n">
        <v>-213</v>
      </c>
      <c r="Q157" s="8" t="n">
        <v>-213</v>
      </c>
      <c r="R157" s="8" t="n">
        <v>-213</v>
      </c>
      <c r="S157" s="8" t="n">
        <v>-213</v>
      </c>
      <c r="T157" s="8" t="n">
        <v>-213</v>
      </c>
      <c r="U157" s="8" t="n">
        <v>-213</v>
      </c>
      <c r="V157" s="8" t="n">
        <v>-213</v>
      </c>
      <c r="W157" s="9">
        <f>SUM(K157:V157)</f>
        <v/>
      </c>
      <c r="X157" s="10" t="inlineStr">
        <is>
          <t>Coste operativo general de estructura y servicios de oficinas/fábrica.</t>
        </is>
      </c>
    </row>
    <row r="158" ht="18" customHeight="1">
      <c r="B158" s="6" t="n">
        <v>2027</v>
      </c>
      <c r="C158" s="6" t="inlineStr">
        <is>
          <t>Codiagro</t>
        </is>
      </c>
      <c r="D158" s="7" t="inlineStr">
        <is>
          <t>RESULTADO DEL EJERCICIO</t>
        </is>
      </c>
      <c r="E158" s="7" t="inlineStr">
        <is>
          <t>RESULTADO ANTES DE IMPUESTOS</t>
        </is>
      </c>
      <c r="F158" s="7" t="inlineStr">
        <is>
          <t>RESULTADO DE LA EXPLOTACION</t>
        </is>
      </c>
      <c r="G158" s="7" t="inlineStr">
        <is>
          <t>7.- Otros gastos de explotación</t>
        </is>
      </c>
      <c r="H158" s="7" t="inlineStr">
        <is>
          <t>(629) Otros servicios</t>
        </is>
      </c>
      <c r="I158" s="7" t="inlineStr">
        <is>
          <t>629000002 - OTROS GASTOS</t>
        </is>
      </c>
      <c r="J158" s="6" t="inlineStr">
        <is>
          <t>-</t>
        </is>
      </c>
      <c r="K158" s="8" t="n">
        <v>-7550</v>
      </c>
      <c r="L158" s="8" t="n">
        <v>-0</v>
      </c>
      <c r="M158" s="8" t="n">
        <v>-0</v>
      </c>
      <c r="N158" s="8" t="n">
        <v>-0</v>
      </c>
      <c r="O158" s="8" t="n">
        <v>-0</v>
      </c>
      <c r="P158" s="8" t="n">
        <v>-0</v>
      </c>
      <c r="Q158" s="8" t="n">
        <v>-515</v>
      </c>
      <c r="R158" s="8" t="n">
        <v>-0</v>
      </c>
      <c r="S158" s="8" t="n">
        <v>-8625</v>
      </c>
      <c r="T158" s="8" t="n">
        <v>-0</v>
      </c>
      <c r="U158" s="8" t="n">
        <v>-0</v>
      </c>
      <c r="V158" s="8" t="n">
        <v>-8625</v>
      </c>
      <c r="W158" s="9">
        <f>SUM(K158:V158)</f>
        <v/>
      </c>
      <c r="X158" s="10" t="inlineStr">
        <is>
          <t>Presupuesto Regulatory 2027: Declaración y cuotas anuales SCRAP envases agrarios AEVAE (-25.315,00 €).</t>
        </is>
      </c>
    </row>
    <row r="159" ht="18" customHeight="1">
      <c r="B159" s="6" t="n">
        <v>2027</v>
      </c>
      <c r="C159" s="6" t="inlineStr">
        <is>
          <t>Codiagro</t>
        </is>
      </c>
      <c r="D159" s="7" t="inlineStr">
        <is>
          <t>RESULTADO DEL EJERCICIO</t>
        </is>
      </c>
      <c r="E159" s="7" t="inlineStr">
        <is>
          <t>RESULTADO ANTES DE IMPUESTOS</t>
        </is>
      </c>
      <c r="F159" s="7" t="inlineStr">
        <is>
          <t>RESULTADO DE LA EXPLOTACION</t>
        </is>
      </c>
      <c r="G159" s="7" t="inlineStr">
        <is>
          <t>7.- Otros gastos de explotación</t>
        </is>
      </c>
      <c r="H159" s="7" t="inlineStr">
        <is>
          <t>(629) Otros servicios</t>
        </is>
      </c>
      <c r="I159" s="7" t="inlineStr">
        <is>
          <t>629000003 - SUSCRIPCIONES A REVISTAS Y PERIODICOS</t>
        </is>
      </c>
      <c r="J159" s="6" t="inlineStr">
        <is>
          <t>-</t>
        </is>
      </c>
      <c r="K159" s="8" t="n">
        <v>-460.58</v>
      </c>
      <c r="L159" s="8" t="n">
        <v>-460.58</v>
      </c>
      <c r="M159" s="8" t="n">
        <v>-460.58</v>
      </c>
      <c r="N159" s="8" t="n">
        <v>-460.58</v>
      </c>
      <c r="O159" s="8" t="n">
        <v>-460.58</v>
      </c>
      <c r="P159" s="8" t="n">
        <v>-460.58</v>
      </c>
      <c r="Q159" s="8" t="n">
        <v>-460.58</v>
      </c>
      <c r="R159" s="8" t="n">
        <v>-460.58</v>
      </c>
      <c r="S159" s="8" t="n">
        <v>-460.58</v>
      </c>
      <c r="T159" s="8" t="n">
        <v>-460.58</v>
      </c>
      <c r="U159" s="8" t="n">
        <v>-460.58</v>
      </c>
      <c r="V159" s="8" t="n">
        <v>-460.58</v>
      </c>
      <c r="W159" s="9">
        <f>SUM(K159:V159)</f>
        <v/>
      </c>
      <c r="X159" s="10" t="inlineStr">
        <is>
          <t>Coste operativo general de estructura y servicios de oficinas/fábrica.</t>
        </is>
      </c>
    </row>
    <row r="160" ht="18" customHeight="1">
      <c r="B160" s="6" t="n">
        <v>2027</v>
      </c>
      <c r="C160" s="6" t="inlineStr">
        <is>
          <t>Codiagro</t>
        </is>
      </c>
      <c r="D160" s="7" t="inlineStr">
        <is>
          <t>RESULTADO DEL EJERCICIO</t>
        </is>
      </c>
      <c r="E160" s="7" t="inlineStr">
        <is>
          <t>RESULTADO ANTES DE IMPUESTOS</t>
        </is>
      </c>
      <c r="F160" s="7" t="inlineStr">
        <is>
          <t>RESULTADO DE LA EXPLOTACION</t>
        </is>
      </c>
      <c r="G160" s="7" t="inlineStr">
        <is>
          <t>7.- Otros gastos de explotación</t>
        </is>
      </c>
      <c r="H160" s="7" t="inlineStr">
        <is>
          <t>(629) Otros servicios</t>
        </is>
      </c>
      <c r="I160" s="7" t="inlineStr">
        <is>
          <t>629000004 - GTOS. SERV. VIGILANCIA</t>
        </is>
      </c>
      <c r="J160" s="6" t="inlineStr">
        <is>
          <t>-</t>
        </is>
      </c>
      <c r="K160" s="8" t="n">
        <v>-74.98999999999999</v>
      </c>
      <c r="L160" s="8" t="n">
        <v>-74.98999999999999</v>
      </c>
      <c r="M160" s="8" t="n">
        <v>-74.98999999999999</v>
      </c>
      <c r="N160" s="8" t="n">
        <v>-74.98999999999999</v>
      </c>
      <c r="O160" s="8" t="n">
        <v>-74.98999999999999</v>
      </c>
      <c r="P160" s="8" t="n">
        <v>-74.98999999999999</v>
      </c>
      <c r="Q160" s="8" t="n">
        <v>-74.98999999999999</v>
      </c>
      <c r="R160" s="8" t="n">
        <v>-74.98999999999999</v>
      </c>
      <c r="S160" s="8" t="n">
        <v>-74.98999999999999</v>
      </c>
      <c r="T160" s="8" t="n">
        <v>-74.98999999999999</v>
      </c>
      <c r="U160" s="8" t="n">
        <v>-74.98999999999999</v>
      </c>
      <c r="V160" s="8" t="n">
        <v>-74.98999999999999</v>
      </c>
      <c r="W160" s="9">
        <f>SUM(K160:V160)</f>
        <v/>
      </c>
      <c r="X160" s="10" t="inlineStr">
        <is>
          <t>Coste operativo general de estructura y servicios de oficinas/fábrica.</t>
        </is>
      </c>
    </row>
    <row r="161" ht="18" customHeight="1">
      <c r="B161" s="6" t="n">
        <v>2027</v>
      </c>
      <c r="C161" s="6" t="inlineStr">
        <is>
          <t>Codiagro</t>
        </is>
      </c>
      <c r="D161" s="7" t="inlineStr">
        <is>
          <t>RESULTADO DEL EJERCICIO</t>
        </is>
      </c>
      <c r="E161" s="7" t="inlineStr">
        <is>
          <t>RESULTADO ANTES DE IMPUESTOS</t>
        </is>
      </c>
      <c r="F161" s="7" t="inlineStr">
        <is>
          <t>RESULTADO DE LA EXPLOTACION</t>
        </is>
      </c>
      <c r="G161" s="7" t="inlineStr">
        <is>
          <t>7.- Otros gastos de explotación</t>
        </is>
      </c>
      <c r="H161" s="7" t="inlineStr">
        <is>
          <t>(629) Otros servicios</t>
        </is>
      </c>
      <c r="I161" s="7" t="inlineStr">
        <is>
          <t>629000005 - GTOS. ANALISIS LABORATORIOS</t>
        </is>
      </c>
      <c r="J161" s="6" t="inlineStr">
        <is>
          <t>-</t>
        </is>
      </c>
      <c r="K161" s="8" t="n">
        <v>-550</v>
      </c>
      <c r="L161" s="8" t="n">
        <v>-550</v>
      </c>
      <c r="M161" s="8" t="n">
        <v>-550</v>
      </c>
      <c r="N161" s="8" t="n">
        <v>-550</v>
      </c>
      <c r="O161" s="8" t="n">
        <v>-550</v>
      </c>
      <c r="P161" s="8" t="n">
        <v>-550</v>
      </c>
      <c r="Q161" s="8" t="n">
        <v>-550</v>
      </c>
      <c r="R161" s="8" t="n">
        <v>-550</v>
      </c>
      <c r="S161" s="8" t="n">
        <v>-550</v>
      </c>
      <c r="T161" s="8" t="n">
        <v>-550</v>
      </c>
      <c r="U161" s="8" t="n">
        <v>-550</v>
      </c>
      <c r="V161" s="8" t="n">
        <v>-550</v>
      </c>
      <c r="W161" s="9">
        <f>SUM(K161:V161)</f>
        <v/>
      </c>
      <c r="X161" s="10" t="inlineStr">
        <is>
          <t>Presupuesto Regulatory 2027: Análisis externos de laboratorio para soporte regulatorio (-550 €/mes = -6.600,00 €).</t>
        </is>
      </c>
    </row>
    <row r="162" ht="18" customHeight="1">
      <c r="B162" s="6" t="n">
        <v>2027</v>
      </c>
      <c r="C162" s="6" t="inlineStr">
        <is>
          <t>Codiagro</t>
        </is>
      </c>
      <c r="D162" s="7" t="inlineStr">
        <is>
          <t>RESULTADO DEL EJERCICIO</t>
        </is>
      </c>
      <c r="E162" s="7" t="inlineStr">
        <is>
          <t>RESULTADO ANTES DE IMPUESTOS</t>
        </is>
      </c>
      <c r="F162" s="7" t="inlineStr">
        <is>
          <t>RESULTADO DE LA EXPLOTACION</t>
        </is>
      </c>
      <c r="G162" s="7" t="inlineStr">
        <is>
          <t>7.- Otros gastos de explotación</t>
        </is>
      </c>
      <c r="H162" s="7" t="inlineStr">
        <is>
          <t>(629) Otros servicios</t>
        </is>
      </c>
      <c r="I162" s="7" t="inlineStr">
        <is>
          <t>629000006 - GASTOS CORREOS</t>
        </is>
      </c>
      <c r="J162" s="6" t="inlineStr">
        <is>
          <t>-</t>
        </is>
      </c>
      <c r="K162" s="8" t="n">
        <v>-96</v>
      </c>
      <c r="L162" s="8" t="n">
        <v>-96</v>
      </c>
      <c r="M162" s="8" t="n">
        <v>-96</v>
      </c>
      <c r="N162" s="8" t="n">
        <v>-96</v>
      </c>
      <c r="O162" s="8" t="n">
        <v>-96</v>
      </c>
      <c r="P162" s="8" t="n">
        <v>-96</v>
      </c>
      <c r="Q162" s="8" t="n">
        <v>-96</v>
      </c>
      <c r="R162" s="8" t="n">
        <v>-96</v>
      </c>
      <c r="S162" s="8" t="n">
        <v>-96</v>
      </c>
      <c r="T162" s="8" t="n">
        <v>-96</v>
      </c>
      <c r="U162" s="8" t="n">
        <v>-96</v>
      </c>
      <c r="V162" s="8" t="n">
        <v>-96</v>
      </c>
      <c r="W162" s="9">
        <f>SUM(K162:V162)</f>
        <v/>
      </c>
      <c r="X162" s="10" t="inlineStr">
        <is>
          <t>Coste operativo general de estructura y servicios de oficinas/fábrica.</t>
        </is>
      </c>
    </row>
    <row r="163" ht="18" customHeight="1">
      <c r="B163" s="6" t="n">
        <v>2027</v>
      </c>
      <c r="C163" s="6" t="inlineStr">
        <is>
          <t>Codiagro</t>
        </is>
      </c>
      <c r="D163" s="7" t="inlineStr">
        <is>
          <t>RESULTADO DEL EJERCICIO</t>
        </is>
      </c>
      <c r="E163" s="7" t="inlineStr">
        <is>
          <t>RESULTADO ANTES DE IMPUESTOS</t>
        </is>
      </c>
      <c r="F163" s="7" t="inlineStr">
        <is>
          <t>RESULTADO DE LA EXPLOTACION</t>
        </is>
      </c>
      <c r="G163" s="7" t="inlineStr">
        <is>
          <t>7.- Otros gastos de explotación</t>
        </is>
      </c>
      <c r="H163" s="7" t="inlineStr">
        <is>
          <t>(629) Otros servicios</t>
        </is>
      </c>
      <c r="I163" s="7" t="inlineStr">
        <is>
          <t>629000007 - GASTOS RETIRADA DE RESIDUOS</t>
        </is>
      </c>
      <c r="J163" s="6" t="inlineStr">
        <is>
          <t>-</t>
        </is>
      </c>
      <c r="K163" s="8" t="n">
        <v>-6200</v>
      </c>
      <c r="L163" s="8" t="n">
        <v>-6200</v>
      </c>
      <c r="M163" s="8" t="n">
        <v>-6200</v>
      </c>
      <c r="N163" s="8" t="n">
        <v>-6200</v>
      </c>
      <c r="O163" s="8" t="n">
        <v>-6200</v>
      </c>
      <c r="P163" s="8" t="n">
        <v>-6200</v>
      </c>
      <c r="Q163" s="8" t="n">
        <v>-6200</v>
      </c>
      <c r="R163" s="8" t="n">
        <v>-6200</v>
      </c>
      <c r="S163" s="8" t="n">
        <v>-6200</v>
      </c>
      <c r="T163" s="8" t="n">
        <v>-6200</v>
      </c>
      <c r="U163" s="8" t="n">
        <v>-6200</v>
      </c>
      <c r="V163" s="8" t="n">
        <v>-6200</v>
      </c>
      <c r="W163" s="9">
        <f>SUM(K163:V163)</f>
        <v/>
      </c>
      <c r="X163" s="10" t="inlineStr">
        <is>
          <t>Presupuesto Regulatory 2027: Retirada y gestión medioambiental de residuos industriales (-6.200 €/mes = -74.400,00 € anual).</t>
        </is>
      </c>
    </row>
    <row r="164" ht="18" customHeight="1">
      <c r="B164" s="6" t="n">
        <v>2027</v>
      </c>
      <c r="C164" s="6" t="inlineStr">
        <is>
          <t>Codiagro</t>
        </is>
      </c>
      <c r="D164" s="7" t="inlineStr">
        <is>
          <t>RESULTADO DEL EJERCICIO</t>
        </is>
      </c>
      <c r="E164" s="7" t="inlineStr">
        <is>
          <t>RESULTADO ANTES DE IMPUESTOS</t>
        </is>
      </c>
      <c r="F164" s="7" t="inlineStr">
        <is>
          <t>RESULTADO DE LA EXPLOTACION</t>
        </is>
      </c>
      <c r="G164" s="7" t="inlineStr">
        <is>
          <t>7.- Otros gastos de explotación</t>
        </is>
      </c>
      <c r="H164" s="7" t="inlineStr">
        <is>
          <t>(629) Otros servicios</t>
        </is>
      </c>
      <c r="I164" s="7" t="inlineStr">
        <is>
          <t>629000008 - CUOTAS ASOCIACIONES</t>
        </is>
      </c>
      <c r="J164" s="6" t="inlineStr">
        <is>
          <t>-</t>
        </is>
      </c>
      <c r="K164" s="8" t="n">
        <v>-600</v>
      </c>
      <c r="L164" s="8" t="n">
        <v>-0</v>
      </c>
      <c r="M164" s="8" t="n">
        <v>-0</v>
      </c>
      <c r="N164" s="8" t="n">
        <v>-600</v>
      </c>
      <c r="O164" s="8" t="n">
        <v>-0</v>
      </c>
      <c r="P164" s="8" t="n">
        <v>-0</v>
      </c>
      <c r="Q164" s="8" t="n">
        <v>-600</v>
      </c>
      <c r="R164" s="8" t="n">
        <v>-0</v>
      </c>
      <c r="S164" s="8" t="n">
        <v>-0</v>
      </c>
      <c r="T164" s="8" t="n">
        <v>-0</v>
      </c>
      <c r="U164" s="8" t="n">
        <v>-600</v>
      </c>
      <c r="V164" s="8" t="n">
        <v>-0</v>
      </c>
      <c r="W164" s="9">
        <f>SUM(K164:V164)</f>
        <v/>
      </c>
      <c r="X164" s="10" t="inlineStr">
        <is>
          <t>Presupuesto Regulatory 2027: Cuota anual asociación sectorial química Quimacova (-2.400,00 €).</t>
        </is>
      </c>
    </row>
    <row r="165" ht="18" customHeight="1">
      <c r="B165" s="6" t="n">
        <v>2027</v>
      </c>
      <c r="C165" s="6" t="inlineStr">
        <is>
          <t>Codiagro</t>
        </is>
      </c>
      <c r="D165" s="7" t="inlineStr">
        <is>
          <t>RESULTADO DEL EJERCICIO</t>
        </is>
      </c>
      <c r="E165" s="7" t="inlineStr">
        <is>
          <t>RESULTADO ANTES DE IMPUESTOS</t>
        </is>
      </c>
      <c r="F165" s="7" t="inlineStr">
        <is>
          <t>RESULTADO DE LA EXPLOTACION</t>
        </is>
      </c>
      <c r="G165" s="7" t="inlineStr">
        <is>
          <t>7.- Otros gastos de explotación</t>
        </is>
      </c>
      <c r="H165" s="7" t="inlineStr">
        <is>
          <t>(629) Otros servicios</t>
        </is>
      </c>
      <c r="I165" s="7" t="inlineStr">
        <is>
          <t>629000009 - SANCIONES Y MULTAS</t>
        </is>
      </c>
      <c r="J165" s="6" t="inlineStr">
        <is>
          <t>-</t>
        </is>
      </c>
      <c r="K165" s="8" t="n">
        <v>-90</v>
      </c>
      <c r="L165" s="8" t="n">
        <v>-90</v>
      </c>
      <c r="M165" s="8" t="n">
        <v>-90</v>
      </c>
      <c r="N165" s="8" t="n">
        <v>-90</v>
      </c>
      <c r="O165" s="8" t="n">
        <v>-90</v>
      </c>
      <c r="P165" s="8" t="n">
        <v>-90</v>
      </c>
      <c r="Q165" s="8" t="n">
        <v>-90</v>
      </c>
      <c r="R165" s="8" t="n">
        <v>-90</v>
      </c>
      <c r="S165" s="8" t="n">
        <v>-90</v>
      </c>
      <c r="T165" s="8" t="n">
        <v>-90</v>
      </c>
      <c r="U165" s="8" t="n">
        <v>-90</v>
      </c>
      <c r="V165" s="8" t="n">
        <v>-90</v>
      </c>
      <c r="W165" s="9">
        <f>SUM(K165:V165)</f>
        <v/>
      </c>
      <c r="X165" s="10" t="inlineStr">
        <is>
          <t>Coste operativo general de estructura y servicios de oficinas/fábrica.</t>
        </is>
      </c>
    </row>
    <row r="166" ht="18" customHeight="1">
      <c r="B166" s="6" t="n">
        <v>2027</v>
      </c>
      <c r="C166" s="6" t="inlineStr">
        <is>
          <t>Codiagro</t>
        </is>
      </c>
      <c r="D166" s="7" t="inlineStr">
        <is>
          <t>RESULTADO DEL EJERCICIO</t>
        </is>
      </c>
      <c r="E166" s="7" t="inlineStr">
        <is>
          <t>RESULTADO ANTES DE IMPUESTOS</t>
        </is>
      </c>
      <c r="F166" s="7" t="inlineStr">
        <is>
          <t>RESULTADO DE LA EXPLOTACION</t>
        </is>
      </c>
      <c r="G166" s="7" t="inlineStr">
        <is>
          <t>7.- Otros gastos de explotación</t>
        </is>
      </c>
      <c r="H166" s="7" t="inlineStr">
        <is>
          <t>(629) Otros servicios</t>
        </is>
      </c>
      <c r="I166" s="7" t="inlineStr">
        <is>
          <t>629000010 - GASTOS COMERCIALES</t>
        </is>
      </c>
      <c r="J166" s="6" t="inlineStr">
        <is>
          <t>-</t>
        </is>
      </c>
      <c r="K166" s="8" t="n">
        <v>-819.53</v>
      </c>
      <c r="L166" s="8" t="n">
        <v>-819.53</v>
      </c>
      <c r="M166" s="8" t="n">
        <v>-819.53</v>
      </c>
      <c r="N166" s="8" t="n">
        <v>-819.53</v>
      </c>
      <c r="O166" s="8" t="n">
        <v>-819.53</v>
      </c>
      <c r="P166" s="8" t="n">
        <v>-819.53</v>
      </c>
      <c r="Q166" s="8" t="n">
        <v>-819.53</v>
      </c>
      <c r="R166" s="8" t="n">
        <v>-819.53</v>
      </c>
      <c r="S166" s="8" t="n">
        <v>-819.53</v>
      </c>
      <c r="T166" s="8" t="n">
        <v>-819.53</v>
      </c>
      <c r="U166" s="8" t="n">
        <v>-819.53</v>
      </c>
      <c r="V166" s="8" t="n">
        <v>-819.53</v>
      </c>
      <c r="W166" s="9">
        <f>SUM(K166:V166)</f>
        <v/>
      </c>
      <c r="X166" s="10" t="inlineStr">
        <is>
          <t>Coste operativo general de estructura y servicios de oficinas/fábrica.</t>
        </is>
      </c>
    </row>
    <row r="167" ht="18" customHeight="1">
      <c r="B167" s="6" t="n">
        <v>2027</v>
      </c>
      <c r="C167" s="6" t="inlineStr">
        <is>
          <t>Codiagro</t>
        </is>
      </c>
      <c r="D167" s="7" t="inlineStr">
        <is>
          <t>RESULTADO DEL EJERCICIO</t>
        </is>
      </c>
      <c r="E167" s="7" t="inlineStr">
        <is>
          <t>RESULTADO ANTES DE IMPUESTOS</t>
        </is>
      </c>
      <c r="F167" s="7" t="inlineStr">
        <is>
          <t>RESULTADO DE LA EXPLOTACION</t>
        </is>
      </c>
      <c r="G167" s="7" t="inlineStr">
        <is>
          <t>7.- Otros gastos de explotación</t>
        </is>
      </c>
      <c r="H167" s="7" t="inlineStr">
        <is>
          <t>(629) Otros servicios</t>
        </is>
      </c>
      <c r="I167" s="7" t="inlineStr">
        <is>
          <t>629000011 - EPIS PERSONAL</t>
        </is>
      </c>
      <c r="J167" s="6" t="inlineStr">
        <is>
          <t>-</t>
        </is>
      </c>
      <c r="K167" s="8" t="n">
        <v>-295.08</v>
      </c>
      <c r="L167" s="8" t="n">
        <v>-295.08</v>
      </c>
      <c r="M167" s="8" t="n">
        <v>-295.08</v>
      </c>
      <c r="N167" s="8" t="n">
        <v>-295.08</v>
      </c>
      <c r="O167" s="8" t="n">
        <v>-295.08</v>
      </c>
      <c r="P167" s="8" t="n">
        <v>-295.08</v>
      </c>
      <c r="Q167" s="8" t="n">
        <v>-295.08</v>
      </c>
      <c r="R167" s="8" t="n">
        <v>-295.08</v>
      </c>
      <c r="S167" s="8" t="n">
        <v>-295.08</v>
      </c>
      <c r="T167" s="8" t="n">
        <v>-295.08</v>
      </c>
      <c r="U167" s="8" t="n">
        <v>-295.08</v>
      </c>
      <c r="V167" s="8" t="n">
        <v>-295.08</v>
      </c>
      <c r="W167" s="9">
        <f>SUM(K167:V167)</f>
        <v/>
      </c>
      <c r="X167" s="10" t="inlineStr">
        <is>
          <t>Coste operativo general de estructura y servicios de oficinas/fábrica.</t>
        </is>
      </c>
    </row>
    <row r="168" ht="18" customHeight="1">
      <c r="B168" s="6" t="n">
        <v>2027</v>
      </c>
      <c r="C168" s="6" t="inlineStr">
        <is>
          <t>Codiagro</t>
        </is>
      </c>
      <c r="D168" s="7" t="inlineStr">
        <is>
          <t>RESULTADO DEL EJERCICIO</t>
        </is>
      </c>
      <c r="E168" s="7" t="inlineStr">
        <is>
          <t>RESULTADO ANTES DE IMPUESTOS</t>
        </is>
      </c>
      <c r="F168" s="7" t="inlineStr">
        <is>
          <t>RESULTADO DE LA EXPLOTACION</t>
        </is>
      </c>
      <c r="G168" s="7" t="inlineStr">
        <is>
          <t>7.- Otros gastos de explotación</t>
        </is>
      </c>
      <c r="H168" s="7" t="inlineStr">
        <is>
          <t>(629) Otros servicios</t>
        </is>
      </c>
      <c r="I168" s="7" t="inlineStr">
        <is>
          <t>629000012 - GASTOS VARIOS PERSONAL</t>
        </is>
      </c>
      <c r="J168" s="6" t="inlineStr">
        <is>
          <t>-</t>
        </is>
      </c>
      <c r="K168" s="8" t="n">
        <v>-1326.15</v>
      </c>
      <c r="L168" s="8" t="n">
        <v>-1326.15</v>
      </c>
      <c r="M168" s="8" t="n">
        <v>-1326.15</v>
      </c>
      <c r="N168" s="8" t="n">
        <v>-1326.15</v>
      </c>
      <c r="O168" s="8" t="n">
        <v>-1326.15</v>
      </c>
      <c r="P168" s="8" t="n">
        <v>-1326.15</v>
      </c>
      <c r="Q168" s="8" t="n">
        <v>-1326.15</v>
      </c>
      <c r="R168" s="8" t="n">
        <v>-1326.15</v>
      </c>
      <c r="S168" s="8" t="n">
        <v>-1326.15</v>
      </c>
      <c r="T168" s="8" t="n">
        <v>-1326.15</v>
      </c>
      <c r="U168" s="8" t="n">
        <v>-1326.15</v>
      </c>
      <c r="V168" s="8" t="n">
        <v>-1326.15</v>
      </c>
      <c r="W168" s="9">
        <f>SUM(K168:V168)</f>
        <v/>
      </c>
      <c r="X168" s="10" t="inlineStr">
        <is>
          <t>Coste operativo general de estructura y servicios de oficinas/fábrica.</t>
        </is>
      </c>
    </row>
    <row r="169" ht="18" customHeight="1">
      <c r="B169" s="6" t="n">
        <v>2027</v>
      </c>
      <c r="C169" s="6" t="inlineStr">
        <is>
          <t>Codiagro</t>
        </is>
      </c>
      <c r="D169" s="7" t="inlineStr">
        <is>
          <t>RESULTADO DEL EJERCICIO</t>
        </is>
      </c>
      <c r="E169" s="7" t="inlineStr">
        <is>
          <t>RESULTADO ANTES DE IMPUESTOS</t>
        </is>
      </c>
      <c r="F169" s="7" t="inlineStr">
        <is>
          <t>RESULTADO DE LA EXPLOTACION</t>
        </is>
      </c>
      <c r="G169" s="7" t="inlineStr">
        <is>
          <t>7.- Otros gastos de explotación</t>
        </is>
      </c>
      <c r="H169" s="7" t="inlineStr">
        <is>
          <t>(629) Otros servicios</t>
        </is>
      </c>
      <c r="I169" s="7" t="inlineStr">
        <is>
          <t>629000013 - FORMACION NO BONIFICADA</t>
        </is>
      </c>
      <c r="J169" s="6" t="inlineStr">
        <is>
          <t>-</t>
        </is>
      </c>
      <c r="K169" s="8" t="n">
        <v>-1846.33</v>
      </c>
      <c r="L169" s="8" t="n">
        <v>-1846.33</v>
      </c>
      <c r="M169" s="8" t="n">
        <v>-1846.33</v>
      </c>
      <c r="N169" s="8" t="n">
        <v>-1846.33</v>
      </c>
      <c r="O169" s="8" t="n">
        <v>-1846.33</v>
      </c>
      <c r="P169" s="8" t="n">
        <v>-1846.33</v>
      </c>
      <c r="Q169" s="8" t="n">
        <v>-1846.33</v>
      </c>
      <c r="R169" s="8" t="n">
        <v>-1846.33</v>
      </c>
      <c r="S169" s="8" t="n">
        <v>-1846.33</v>
      </c>
      <c r="T169" s="8" t="n">
        <v>-1846.33</v>
      </c>
      <c r="U169" s="8" t="n">
        <v>-1846.33</v>
      </c>
      <c r="V169" s="8" t="n">
        <v>-1846.33</v>
      </c>
      <c r="W169" s="9">
        <f>SUM(K169:V169)</f>
        <v/>
      </c>
      <c r="X169" s="10" t="inlineStr">
        <is>
          <t>Coste operativo general de estructura y servicios de oficinas/fábrica.</t>
        </is>
      </c>
    </row>
    <row r="170" ht="18" customHeight="1">
      <c r="B170" s="6" t="n">
        <v>2027</v>
      </c>
      <c r="C170" s="6" t="inlineStr">
        <is>
          <t>Codiagro</t>
        </is>
      </c>
      <c r="D170" s="7" t="inlineStr">
        <is>
          <t>RESULTADO DEL EJERCICIO</t>
        </is>
      </c>
      <c r="E170" s="7" t="inlineStr">
        <is>
          <t>RESULTADO ANTES DE IMPUESTOS</t>
        </is>
      </c>
      <c r="F170" s="7" t="inlineStr">
        <is>
          <t>RESULTADO DE LA EXPLOTACION</t>
        </is>
      </c>
      <c r="G170" s="7" t="inlineStr">
        <is>
          <t>7.- Otros gastos de explotación</t>
        </is>
      </c>
      <c r="H170" s="7" t="inlineStr">
        <is>
          <t>(629) Otros servicios</t>
        </is>
      </c>
      <c r="I170" s="7" t="inlineStr">
        <is>
          <t>629000014 - ROPA LABORAL</t>
        </is>
      </c>
      <c r="J170" s="6" t="inlineStr">
        <is>
          <t>-</t>
        </is>
      </c>
      <c r="K170" s="8" t="n">
        <v>-263.4</v>
      </c>
      <c r="L170" s="8" t="n">
        <v>-263.4</v>
      </c>
      <c r="M170" s="8" t="n">
        <v>-263.4</v>
      </c>
      <c r="N170" s="8" t="n">
        <v>-263.4</v>
      </c>
      <c r="O170" s="8" t="n">
        <v>-263.4</v>
      </c>
      <c r="P170" s="8" t="n">
        <v>-263.4</v>
      </c>
      <c r="Q170" s="8" t="n">
        <v>-263.4</v>
      </c>
      <c r="R170" s="8" t="n">
        <v>-263.4</v>
      </c>
      <c r="S170" s="8" t="n">
        <v>-263.4</v>
      </c>
      <c r="T170" s="8" t="n">
        <v>-263.4</v>
      </c>
      <c r="U170" s="8" t="n">
        <v>-263.4</v>
      </c>
      <c r="V170" s="8" t="n">
        <v>-263.4</v>
      </c>
      <c r="W170" s="9">
        <f>SUM(K170:V170)</f>
        <v/>
      </c>
      <c r="X170" s="10" t="inlineStr">
        <is>
          <t>Coste operativo general de estructura y servicios de oficinas/fábrica.</t>
        </is>
      </c>
    </row>
    <row r="171" ht="18" customHeight="1">
      <c r="B171" s="6" t="n">
        <v>2027</v>
      </c>
      <c r="C171" s="6" t="inlineStr">
        <is>
          <t>Codiagro</t>
        </is>
      </c>
      <c r="D171" s="7" t="inlineStr">
        <is>
          <t>RESULTADO DEL EJERCICIO</t>
        </is>
      </c>
      <c r="E171" s="7" t="inlineStr">
        <is>
          <t>RESULTADO ANTES DE IMPUESTOS</t>
        </is>
      </c>
      <c r="F171" s="7" t="inlineStr">
        <is>
          <t>RESULTADO DE LA EXPLOTACION</t>
        </is>
      </c>
      <c r="G171" s="7" t="inlineStr">
        <is>
          <t>7.- Otros gastos de explotación</t>
        </is>
      </c>
      <c r="H171" s="7" t="inlineStr">
        <is>
          <t>(629) Otros servicios</t>
        </is>
      </c>
      <c r="I171" s="7" t="inlineStr">
        <is>
          <t>629000015 MATERIAL DE OFICINA</t>
        </is>
      </c>
      <c r="J171" s="6" t="inlineStr">
        <is>
          <t>-</t>
        </is>
      </c>
      <c r="K171" s="8" t="n">
        <v>-156.84</v>
      </c>
      <c r="L171" s="8" t="n">
        <v>-156.84</v>
      </c>
      <c r="M171" s="8" t="n">
        <v>-156.84</v>
      </c>
      <c r="N171" s="8" t="n">
        <v>-156.84</v>
      </c>
      <c r="O171" s="8" t="n">
        <v>-156.84</v>
      </c>
      <c r="P171" s="8" t="n">
        <v>-156.84</v>
      </c>
      <c r="Q171" s="8" t="n">
        <v>-156.84</v>
      </c>
      <c r="R171" s="8" t="n">
        <v>-156.84</v>
      </c>
      <c r="S171" s="8" t="n">
        <v>-156.84</v>
      </c>
      <c r="T171" s="8" t="n">
        <v>-156.84</v>
      </c>
      <c r="U171" s="8" t="n">
        <v>-156.84</v>
      </c>
      <c r="V171" s="8" t="n">
        <v>-156.84</v>
      </c>
      <c r="W171" s="9">
        <f>SUM(K171:V171)</f>
        <v/>
      </c>
      <c r="X171" s="10" t="inlineStr">
        <is>
          <t>Coste operativo general de estructura y servicios de oficinas/fábrica.</t>
        </is>
      </c>
    </row>
    <row r="172" ht="18" customHeight="1">
      <c r="B172" s="6" t="n">
        <v>2027</v>
      </c>
      <c r="C172" s="6" t="inlineStr">
        <is>
          <t>Codiagro</t>
        </is>
      </c>
      <c r="D172" s="7" t="inlineStr">
        <is>
          <t>RESULTADO DEL EJERCICIO</t>
        </is>
      </c>
      <c r="E172" s="7" t="inlineStr">
        <is>
          <t>RESULTADO ANTES DE IMPUESTOS</t>
        </is>
      </c>
      <c r="F172" s="7" t="inlineStr">
        <is>
          <t>RESULTADO DE LA EXPLOTACION</t>
        </is>
      </c>
      <c r="G172" s="7" t="inlineStr">
        <is>
          <t>7.- Otros gastos de explotación</t>
        </is>
      </c>
      <c r="H172" s="7" t="inlineStr">
        <is>
          <t>(629) Otros servicios</t>
        </is>
      </c>
      <c r="I172" s="7" t="inlineStr">
        <is>
          <t>629000016 HERRAMIENTAS</t>
        </is>
      </c>
      <c r="J172" s="6" t="inlineStr">
        <is>
          <t>-</t>
        </is>
      </c>
      <c r="K172" s="8" t="n">
        <v>-500.03</v>
      </c>
      <c r="L172" s="8" t="n">
        <v>-500.03</v>
      </c>
      <c r="M172" s="8" t="n">
        <v>-500.03</v>
      </c>
      <c r="N172" s="8" t="n">
        <v>-500.03</v>
      </c>
      <c r="O172" s="8" t="n">
        <v>-500.03</v>
      </c>
      <c r="P172" s="8" t="n">
        <v>-500.03</v>
      </c>
      <c r="Q172" s="8" t="n">
        <v>-500.03</v>
      </c>
      <c r="R172" s="8" t="n">
        <v>-500.03</v>
      </c>
      <c r="S172" s="8" t="n">
        <v>-500.03</v>
      </c>
      <c r="T172" s="8" t="n">
        <v>-500.03</v>
      </c>
      <c r="U172" s="8" t="n">
        <v>-500.03</v>
      </c>
      <c r="V172" s="8" t="n">
        <v>-500.03</v>
      </c>
      <c r="W172" s="9">
        <f>SUM(K172:V172)</f>
        <v/>
      </c>
      <c r="X172" s="10" t="inlineStr">
        <is>
          <t>Coste operativo general de estructura y servicios de oficinas/fábrica.</t>
        </is>
      </c>
    </row>
    <row r="173" ht="18" customHeight="1">
      <c r="B173" s="6" t="n">
        <v>2027</v>
      </c>
      <c r="C173" s="6" t="inlineStr">
        <is>
          <t>Codiagro</t>
        </is>
      </c>
      <c r="D173" s="7" t="inlineStr">
        <is>
          <t>RESULTADO DEL EJERCICIO</t>
        </is>
      </c>
      <c r="E173" s="7" t="inlineStr">
        <is>
          <t>RESULTADO ANTES DE IMPUESTOS</t>
        </is>
      </c>
      <c r="F173" s="7" t="inlineStr">
        <is>
          <t>RESULTADO DE LA EXPLOTACION</t>
        </is>
      </c>
      <c r="G173" s="7" t="inlineStr">
        <is>
          <t>7.- Otros gastos de explotación</t>
        </is>
      </c>
      <c r="H173" s="7" t="inlineStr">
        <is>
          <t>(629) Otros servicios</t>
        </is>
      </c>
      <c r="I173" s="7" t="inlineStr">
        <is>
          <t>629100001 - GASTOS COMERCIALES PERE PORTA</t>
        </is>
      </c>
      <c r="J173" s="6" t="inlineStr">
        <is>
          <t>-</t>
        </is>
      </c>
      <c r="K173" s="8" t="n">
        <v>-3200</v>
      </c>
      <c r="L173" s="8" t="n">
        <v>-3200</v>
      </c>
      <c r="M173" s="8" t="n">
        <v>-3200</v>
      </c>
      <c r="N173" s="8" t="n">
        <v>-3200</v>
      </c>
      <c r="O173" s="8" t="n">
        <v>-3200</v>
      </c>
      <c r="P173" s="8" t="n">
        <v>-3200</v>
      </c>
      <c r="Q173" s="8" t="n">
        <v>-3200</v>
      </c>
      <c r="R173" s="8" t="n">
        <v>-3200</v>
      </c>
      <c r="S173" s="8" t="n">
        <v>-3200</v>
      </c>
      <c r="T173" s="8" t="n">
        <v>-3200</v>
      </c>
      <c r="U173" s="8" t="n">
        <v>-3200</v>
      </c>
      <c r="V173" s="8" t="n">
        <v>-3200</v>
      </c>
      <c r="W173" s="9">
        <f>SUM(K173:V173)</f>
        <v/>
      </c>
      <c r="X173" s="10" t="inlineStr">
        <is>
          <t>Gastos comerciales de viaje, kilometraje y dietas vinculados a visitas y prospección de clientes.</t>
        </is>
      </c>
    </row>
    <row r="174" ht="18" customHeight="1">
      <c r="B174" s="6" t="n">
        <v>2027</v>
      </c>
      <c r="C174" s="6" t="inlineStr">
        <is>
          <t>Codiagro</t>
        </is>
      </c>
      <c r="D174" s="7" t="inlineStr">
        <is>
          <t>RESULTADO DEL EJERCICIO</t>
        </is>
      </c>
      <c r="E174" s="7" t="inlineStr">
        <is>
          <t>RESULTADO ANTES DE IMPUESTOS</t>
        </is>
      </c>
      <c r="F174" s="7" t="inlineStr">
        <is>
          <t>RESULTADO DE LA EXPLOTACION</t>
        </is>
      </c>
      <c r="G174" s="7" t="inlineStr">
        <is>
          <t>7.- Otros gastos de explotación</t>
        </is>
      </c>
      <c r="H174" s="7" t="inlineStr">
        <is>
          <t>(629) Otros servicios</t>
        </is>
      </c>
      <c r="I174" s="7" t="inlineStr">
        <is>
          <t>629100002 - GASTOS RICARDO PEREZ-SANTAMARINA</t>
        </is>
      </c>
      <c r="J174" s="6" t="inlineStr">
        <is>
          <t>-</t>
        </is>
      </c>
      <c r="K174" s="8" t="n">
        <v>-2300</v>
      </c>
      <c r="L174" s="8" t="n">
        <v>-2300</v>
      </c>
      <c r="M174" s="8" t="n">
        <v>-2300</v>
      </c>
      <c r="N174" s="8" t="n">
        <v>-2300</v>
      </c>
      <c r="O174" s="8" t="n">
        <v>-2300</v>
      </c>
      <c r="P174" s="8" t="n">
        <v>-2300</v>
      </c>
      <c r="Q174" s="8" t="n">
        <v>-2300</v>
      </c>
      <c r="R174" s="8" t="n">
        <v>-2300</v>
      </c>
      <c r="S174" s="8" t="n">
        <v>-2300</v>
      </c>
      <c r="T174" s="8" t="n">
        <v>-2300</v>
      </c>
      <c r="U174" s="8" t="n">
        <v>-2300</v>
      </c>
      <c r="V174" s="8" t="n">
        <v>-2300</v>
      </c>
      <c r="W174" s="9">
        <f>SUM(K174:V174)</f>
        <v/>
      </c>
      <c r="X174" s="10" t="inlineStr">
        <is>
          <t>Gastos comerciales de viaje, representación y prospección comercial en zona asignada.</t>
        </is>
      </c>
    </row>
    <row r="175" ht="18" customHeight="1">
      <c r="B175" s="6" t="n">
        <v>2027</v>
      </c>
      <c r="C175" s="6" t="inlineStr">
        <is>
          <t>Codiagro</t>
        </is>
      </c>
      <c r="D175" s="7" t="inlineStr">
        <is>
          <t>RESULTADO DEL EJERCICIO</t>
        </is>
      </c>
      <c r="E175" s="7" t="inlineStr">
        <is>
          <t>RESULTADO ANTES DE IMPUESTOS</t>
        </is>
      </c>
      <c r="F175" s="7" t="inlineStr">
        <is>
          <t>RESULTADO DE LA EXPLOTACION</t>
        </is>
      </c>
      <c r="G175" s="7" t="inlineStr">
        <is>
          <t>7.- Otros gastos de explotación</t>
        </is>
      </c>
      <c r="H175" s="7" t="inlineStr">
        <is>
          <t>(629) Otros servicios</t>
        </is>
      </c>
      <c r="I175" s="7" t="inlineStr">
        <is>
          <t>629100003 - GASTOS JAVIER PAREDES</t>
        </is>
      </c>
      <c r="J175" s="6" t="inlineStr">
        <is>
          <t>-</t>
        </is>
      </c>
      <c r="K175" s="8" t="n">
        <v>-1092.45</v>
      </c>
      <c r="L175" s="8" t="n">
        <v>-1092.45</v>
      </c>
      <c r="M175" s="8" t="n">
        <v>-1092.45</v>
      </c>
      <c r="N175" s="8" t="n">
        <v>-1092.45</v>
      </c>
      <c r="O175" s="8" t="n">
        <v>-1092.45</v>
      </c>
      <c r="P175" s="8" t="n">
        <v>-1092.45</v>
      </c>
      <c r="Q175" s="8" t="n">
        <v>-1092.45</v>
      </c>
      <c r="R175" s="8" t="n">
        <v>-1092.45</v>
      </c>
      <c r="S175" s="8" t="n">
        <v>-1092.45</v>
      </c>
      <c r="T175" s="8" t="n">
        <v>-1092.45</v>
      </c>
      <c r="U175" s="8" t="n">
        <v>-1092.45</v>
      </c>
      <c r="V175" s="8" t="n">
        <v>-1092.45</v>
      </c>
      <c r="W175" s="9">
        <f>SUM(K175:V175)</f>
        <v/>
      </c>
      <c r="X175" s="10" t="inlineStr">
        <is>
          <t>Coste operativo general de estructura y servicios de oficinas/fábrica.</t>
        </is>
      </c>
    </row>
    <row r="176" ht="18" customHeight="1">
      <c r="B176" s="6" t="n">
        <v>2027</v>
      </c>
      <c r="C176" s="6" t="inlineStr">
        <is>
          <t>Codiagro</t>
        </is>
      </c>
      <c r="D176" s="7" t="inlineStr">
        <is>
          <t>RESULTADO DEL EJERCICIO</t>
        </is>
      </c>
      <c r="E176" s="7" t="inlineStr">
        <is>
          <t>RESULTADO ANTES DE IMPUESTOS</t>
        </is>
      </c>
      <c r="F176" s="7" t="inlineStr">
        <is>
          <t>RESULTADO DE LA EXPLOTACION</t>
        </is>
      </c>
      <c r="G176" s="7" t="inlineStr">
        <is>
          <t>7.- Otros gastos de explotación</t>
        </is>
      </c>
      <c r="H176" s="7" t="inlineStr">
        <is>
          <t>(629) Otros servicios</t>
        </is>
      </c>
      <c r="I176" s="7" t="inlineStr">
        <is>
          <t>629100004 - GASTOS GARCIA</t>
        </is>
      </c>
      <c r="J176" s="6" t="inlineStr">
        <is>
          <t>-</t>
        </is>
      </c>
      <c r="K176" s="8" t="n">
        <v>-800.04</v>
      </c>
      <c r="L176" s="8" t="n">
        <v>-800.04</v>
      </c>
      <c r="M176" s="8" t="n">
        <v>-800.04</v>
      </c>
      <c r="N176" s="8" t="n">
        <v>-800.04</v>
      </c>
      <c r="O176" s="8" t="n">
        <v>-800.04</v>
      </c>
      <c r="P176" s="8" t="n">
        <v>-800.04</v>
      </c>
      <c r="Q176" s="8" t="n">
        <v>-800.04</v>
      </c>
      <c r="R176" s="8" t="n">
        <v>-800.04</v>
      </c>
      <c r="S176" s="8" t="n">
        <v>-800.04</v>
      </c>
      <c r="T176" s="8" t="n">
        <v>-800.04</v>
      </c>
      <c r="U176" s="8" t="n">
        <v>-800.04</v>
      </c>
      <c r="V176" s="8" t="n">
        <v>-800.04</v>
      </c>
      <c r="W176" s="9">
        <f>SUM(K176:V176)</f>
        <v/>
      </c>
      <c r="X176" s="10" t="inlineStr">
        <is>
          <t>Coste operativo general de estructura y servicios de oficinas/fábrica.</t>
        </is>
      </c>
    </row>
    <row r="177" ht="18" customHeight="1">
      <c r="B177" s="6" t="n">
        <v>2027</v>
      </c>
      <c r="C177" s="6" t="inlineStr">
        <is>
          <t>Codiagro</t>
        </is>
      </c>
      <c r="D177" s="7" t="inlineStr">
        <is>
          <t>RESULTADO DEL EJERCICIO</t>
        </is>
      </c>
      <c r="E177" s="7" t="inlineStr">
        <is>
          <t>RESULTADO ANTES DE IMPUESTOS</t>
        </is>
      </c>
      <c r="F177" s="7" t="inlineStr">
        <is>
          <t>RESULTADO DE LA EXPLOTACION</t>
        </is>
      </c>
      <c r="G177" s="7" t="inlineStr">
        <is>
          <t>7.- Otros gastos de explotación</t>
        </is>
      </c>
      <c r="H177" s="7" t="inlineStr">
        <is>
          <t>(629) Otros servicios</t>
        </is>
      </c>
      <c r="I177" s="7" t="inlineStr">
        <is>
          <t>629100005 - GASTOS IRENE</t>
        </is>
      </c>
      <c r="J177" s="6" t="inlineStr">
        <is>
          <t>-</t>
        </is>
      </c>
      <c r="K177" s="8" t="n">
        <v>-422.84</v>
      </c>
      <c r="L177" s="8" t="n">
        <v>-422.84</v>
      </c>
      <c r="M177" s="8" t="n">
        <v>-422.84</v>
      </c>
      <c r="N177" s="8" t="n">
        <v>-422.84</v>
      </c>
      <c r="O177" s="8" t="n">
        <v>-422.84</v>
      </c>
      <c r="P177" s="8" t="n">
        <v>-422.84</v>
      </c>
      <c r="Q177" s="8" t="n">
        <v>-422.84</v>
      </c>
      <c r="R177" s="8" t="n">
        <v>-422.84</v>
      </c>
      <c r="S177" s="8" t="n">
        <v>-422.84</v>
      </c>
      <c r="T177" s="8" t="n">
        <v>-422.84</v>
      </c>
      <c r="U177" s="8" t="n">
        <v>-422.84</v>
      </c>
      <c r="V177" s="8" t="n">
        <v>-422.84</v>
      </c>
      <c r="W177" s="9">
        <f>SUM(K177:V177)</f>
        <v/>
      </c>
      <c r="X177" s="10" t="inlineStr">
        <is>
          <t>Coste operativo general de estructura y servicios de oficinas/fábrica.</t>
        </is>
      </c>
    </row>
    <row r="178" ht="18" customHeight="1">
      <c r="B178" s="6" t="n">
        <v>2027</v>
      </c>
      <c r="C178" s="6" t="inlineStr">
        <is>
          <t>Codiagro</t>
        </is>
      </c>
      <c r="D178" s="7" t="inlineStr">
        <is>
          <t>RESULTADO DEL EJERCICIO</t>
        </is>
      </c>
      <c r="E178" s="7" t="inlineStr">
        <is>
          <t>RESULTADO ANTES DE IMPUESTOS</t>
        </is>
      </c>
      <c r="F178" s="7" t="inlineStr">
        <is>
          <t>RESULTADO DE LA EXPLOTACION</t>
        </is>
      </c>
      <c r="G178" s="7" t="inlineStr">
        <is>
          <t>7.- Otros gastos de explotación</t>
        </is>
      </c>
      <c r="H178" s="7" t="inlineStr">
        <is>
          <t>(629) Otros servicios</t>
        </is>
      </c>
      <c r="I178" s="7" t="inlineStr">
        <is>
          <t>629100006 - GASTOS ANTONIO ANDREU</t>
        </is>
      </c>
      <c r="J178" s="6" t="inlineStr">
        <is>
          <t>-</t>
        </is>
      </c>
      <c r="K178" s="8" t="n">
        <v>-202.44</v>
      </c>
      <c r="L178" s="8" t="n">
        <v>-202.44</v>
      </c>
      <c r="M178" s="8" t="n">
        <v>-202.44</v>
      </c>
      <c r="N178" s="8" t="n">
        <v>-202.44</v>
      </c>
      <c r="O178" s="8" t="n">
        <v>-202.44</v>
      </c>
      <c r="P178" s="8" t="n">
        <v>-202.44</v>
      </c>
      <c r="Q178" s="8" t="n">
        <v>-202.44</v>
      </c>
      <c r="R178" s="8" t="n">
        <v>-202.44</v>
      </c>
      <c r="S178" s="8" t="n">
        <v>-202.44</v>
      </c>
      <c r="T178" s="8" t="n">
        <v>-202.44</v>
      </c>
      <c r="U178" s="8" t="n">
        <v>-202.44</v>
      </c>
      <c r="V178" s="8" t="n">
        <v>-202.44</v>
      </c>
      <c r="W178" s="9">
        <f>SUM(K178:V178)</f>
        <v/>
      </c>
      <c r="X178" s="10" t="inlineStr">
        <is>
          <t>Coste operativo general de estructura y servicios de oficinas/fábrica.</t>
        </is>
      </c>
    </row>
    <row r="179" ht="18" customHeight="1">
      <c r="B179" s="6" t="n">
        <v>2027</v>
      </c>
      <c r="C179" s="6" t="inlineStr">
        <is>
          <t>Codiagro</t>
        </is>
      </c>
      <c r="D179" s="7" t="inlineStr">
        <is>
          <t>RESULTADO DEL EJERCICIO</t>
        </is>
      </c>
      <c r="E179" s="7" t="inlineStr">
        <is>
          <t>RESULTADO ANTES DE IMPUESTOS</t>
        </is>
      </c>
      <c r="F179" s="7" t="inlineStr">
        <is>
          <t>RESULTADO DE LA EXPLOTACION</t>
        </is>
      </c>
      <c r="G179" s="7" t="inlineStr">
        <is>
          <t>7.- Otros gastos de explotación</t>
        </is>
      </c>
      <c r="H179" s="7" t="inlineStr">
        <is>
          <t>(629) Otros servicios</t>
        </is>
      </c>
      <c r="I179" s="7" t="inlineStr">
        <is>
          <t>629100007 - GASTOS CURRO</t>
        </is>
      </c>
      <c r="J179" s="6" t="inlineStr">
        <is>
          <t>-</t>
        </is>
      </c>
      <c r="K179" s="8" t="n">
        <v>-91.05</v>
      </c>
      <c r="L179" s="8" t="n">
        <v>-91.05</v>
      </c>
      <c r="M179" s="8" t="n">
        <v>-91.05</v>
      </c>
      <c r="N179" s="8" t="n">
        <v>-91.05</v>
      </c>
      <c r="O179" s="8" t="n">
        <v>-91.05</v>
      </c>
      <c r="P179" s="8" t="n">
        <v>-91.05</v>
      </c>
      <c r="Q179" s="8" t="n">
        <v>-91.05</v>
      </c>
      <c r="R179" s="8" t="n">
        <v>-91.05</v>
      </c>
      <c r="S179" s="8" t="n">
        <v>-91.05</v>
      </c>
      <c r="T179" s="8" t="n">
        <v>-91.05</v>
      </c>
      <c r="U179" s="8" t="n">
        <v>-91.05</v>
      </c>
      <c r="V179" s="8" t="n">
        <v>-91.05</v>
      </c>
      <c r="W179" s="9">
        <f>SUM(K179:V179)</f>
        <v/>
      </c>
      <c r="X179" s="10" t="inlineStr">
        <is>
          <t>Coste operativo general de estructura y servicios de oficinas/fábrica.</t>
        </is>
      </c>
    </row>
    <row r="180" ht="18" customHeight="1">
      <c r="B180" s="6" t="n">
        <v>2027</v>
      </c>
      <c r="C180" s="6" t="inlineStr">
        <is>
          <t>Codiagro</t>
        </is>
      </c>
      <c r="D180" s="7" t="inlineStr">
        <is>
          <t>RESULTADO DEL EJERCICIO</t>
        </is>
      </c>
      <c r="E180" s="7" t="inlineStr">
        <is>
          <t>RESULTADO ANTES DE IMPUESTOS</t>
        </is>
      </c>
      <c r="F180" s="7" t="inlineStr">
        <is>
          <t>RESULTADO DE LA EXPLOTACION</t>
        </is>
      </c>
      <c r="G180" s="7" t="inlineStr">
        <is>
          <t>7.- Otros gastos de explotación</t>
        </is>
      </c>
      <c r="H180" s="7" t="inlineStr">
        <is>
          <t>(629) Otros servicios</t>
        </is>
      </c>
      <c r="I180" s="7" t="inlineStr">
        <is>
          <t>629100008 GASTOS PEDRO MEDINA</t>
        </is>
      </c>
      <c r="J180" s="6" t="inlineStr">
        <is>
          <t>-</t>
        </is>
      </c>
      <c r="K180" s="8" t="n">
        <v>-141.14</v>
      </c>
      <c r="L180" s="8" t="n">
        <v>-141.14</v>
      </c>
      <c r="M180" s="8" t="n">
        <v>-141.14</v>
      </c>
      <c r="N180" s="8" t="n">
        <v>-141.14</v>
      </c>
      <c r="O180" s="8" t="n">
        <v>-141.14</v>
      </c>
      <c r="P180" s="8" t="n">
        <v>-141.14</v>
      </c>
      <c r="Q180" s="8" t="n">
        <v>-141.14</v>
      </c>
      <c r="R180" s="8" t="n">
        <v>-141.14</v>
      </c>
      <c r="S180" s="8" t="n">
        <v>-141.14</v>
      </c>
      <c r="T180" s="8" t="n">
        <v>-141.14</v>
      </c>
      <c r="U180" s="8" t="n">
        <v>-141.14</v>
      </c>
      <c r="V180" s="8" t="n">
        <v>-141.14</v>
      </c>
      <c r="W180" s="9">
        <f>SUM(K180:V180)</f>
        <v/>
      </c>
      <c r="X180" s="10" t="inlineStr">
        <is>
          <t>Coste operativo general de estructura y servicios de oficinas/fábrica.</t>
        </is>
      </c>
    </row>
    <row r="181" ht="18" customHeight="1">
      <c r="B181" s="6" t="n">
        <v>2027</v>
      </c>
      <c r="C181" s="6" t="inlineStr">
        <is>
          <t>Codiagro</t>
        </is>
      </c>
      <c r="D181" s="7" t="inlineStr">
        <is>
          <t>RESULTADO DEL EJERCICIO</t>
        </is>
      </c>
      <c r="E181" s="7" t="inlineStr">
        <is>
          <t>RESULTADO ANTES DE IMPUESTOS</t>
        </is>
      </c>
      <c r="F181" s="7" t="inlineStr">
        <is>
          <t>RESULTADO DE LA EXPLOTACION</t>
        </is>
      </c>
      <c r="G181" s="7" t="inlineStr">
        <is>
          <t>7.- Otros gastos de explotación</t>
        </is>
      </c>
      <c r="H181" s="7" t="inlineStr">
        <is>
          <t>(631) Otros tributos</t>
        </is>
      </c>
      <c r="I181" s="7" t="inlineStr">
        <is>
          <t>631000001 - IMPUESTOS VEHÍCULOS</t>
        </is>
      </c>
      <c r="J181" s="6" t="inlineStr">
        <is>
          <t>-</t>
        </is>
      </c>
      <c r="K181" s="8" t="n">
        <v>-156.06</v>
      </c>
      <c r="L181" s="8" t="n">
        <v>-156.06</v>
      </c>
      <c r="M181" s="8" t="n">
        <v>-156.06</v>
      </c>
      <c r="N181" s="8" t="n">
        <v>-156.06</v>
      </c>
      <c r="O181" s="8" t="n">
        <v>-156.06</v>
      </c>
      <c r="P181" s="8" t="n">
        <v>-156.06</v>
      </c>
      <c r="Q181" s="8" t="n">
        <v>-156.06</v>
      </c>
      <c r="R181" s="8" t="n">
        <v>-156.06</v>
      </c>
      <c r="S181" s="8" t="n">
        <v>-156.06</v>
      </c>
      <c r="T181" s="8" t="n">
        <v>-156.06</v>
      </c>
      <c r="U181" s="8" t="n">
        <v>-156.06</v>
      </c>
      <c r="V181" s="8" t="n">
        <v>-156.06</v>
      </c>
      <c r="W181" s="9">
        <f>SUM(K181:V181)</f>
        <v/>
      </c>
      <c r="X181" s="10" t="inlineStr">
        <is>
          <t>Coste fijo tributario: tasas municipales y tributos recurrentes de la actividad.</t>
        </is>
      </c>
    </row>
    <row r="182" ht="18" customHeight="1">
      <c r="B182" s="6" t="n">
        <v>2027</v>
      </c>
      <c r="C182" s="6" t="inlineStr">
        <is>
          <t>Codiagro</t>
        </is>
      </c>
      <c r="D182" s="7" t="inlineStr">
        <is>
          <t>RESULTADO DEL EJERCICIO</t>
        </is>
      </c>
      <c r="E182" s="7" t="inlineStr">
        <is>
          <t>RESULTADO ANTES DE IMPUESTOS</t>
        </is>
      </c>
      <c r="F182" s="7" t="inlineStr">
        <is>
          <t>RESULTADO DE LA EXPLOTACION</t>
        </is>
      </c>
      <c r="G182" s="7" t="inlineStr">
        <is>
          <t>7.- Otros gastos de explotación</t>
        </is>
      </c>
      <c r="H182" s="7" t="inlineStr">
        <is>
          <t>(631) Otros tributos</t>
        </is>
      </c>
      <c r="I182" s="7" t="inlineStr">
        <is>
          <t>631000002 - TASAS</t>
        </is>
      </c>
      <c r="J182" s="6" t="inlineStr">
        <is>
          <t>-</t>
        </is>
      </c>
      <c r="K182" s="8" t="n">
        <v>0</v>
      </c>
      <c r="L182" s="8" t="n">
        <v>0</v>
      </c>
      <c r="M182" s="8" t="n">
        <v>0</v>
      </c>
      <c r="N182" s="8" t="n">
        <v>0</v>
      </c>
      <c r="O182" s="8" t="n">
        <v>-581.49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9">
        <f>SUM(K182:V182)</f>
        <v/>
      </c>
      <c r="X182" s="10" t="inlineStr">
        <is>
          <t>Tasas municipales: replicado el gasto de 2026 en el mismo mes de devengo (mayo: -581,49 €).</t>
        </is>
      </c>
    </row>
    <row r="183" ht="18" customHeight="1">
      <c r="B183" s="6" t="n">
        <v>2027</v>
      </c>
      <c r="C183" s="6" t="inlineStr">
        <is>
          <t>Codiagro</t>
        </is>
      </c>
      <c r="D183" s="7" t="inlineStr">
        <is>
          <t>RESULTADO DEL EJERCICIO</t>
        </is>
      </c>
      <c r="E183" s="7" t="inlineStr">
        <is>
          <t>RESULTADO ANTES DE IMPUESTOS</t>
        </is>
      </c>
      <c r="F183" s="7" t="inlineStr">
        <is>
          <t>RESULTADO DE LA EXPLOTACION</t>
        </is>
      </c>
      <c r="G183" s="7" t="inlineStr">
        <is>
          <t>7.- Otros gastos de explotación</t>
        </is>
      </c>
      <c r="H183" s="7" t="inlineStr">
        <is>
          <t>(631) Otros tributos</t>
        </is>
      </c>
      <c r="I183" s="7" t="inlineStr">
        <is>
          <t>631000004 IBIB</t>
        </is>
      </c>
      <c r="J183" s="6" t="inlineStr">
        <is>
          <t>-</t>
        </is>
      </c>
      <c r="K183" s="8" t="n">
        <v>-616.38</v>
      </c>
      <c r="L183" s="8" t="n">
        <v>-616.38</v>
      </c>
      <c r="M183" s="8" t="n">
        <v>-616.38</v>
      </c>
      <c r="N183" s="8" t="n">
        <v>-616.38</v>
      </c>
      <c r="O183" s="8" t="n">
        <v>-616.38</v>
      </c>
      <c r="P183" s="8" t="n">
        <v>-616.38</v>
      </c>
      <c r="Q183" s="8" t="n">
        <v>-616.38</v>
      </c>
      <c r="R183" s="8" t="n">
        <v>-616.38</v>
      </c>
      <c r="S183" s="8" t="n">
        <v>-616.38</v>
      </c>
      <c r="T183" s="8" t="n">
        <v>-616.38</v>
      </c>
      <c r="U183" s="8" t="n">
        <v>-616.38</v>
      </c>
      <c r="V183" s="8" t="n">
        <v>-616.38</v>
      </c>
      <c r="W183" s="9">
        <f>SUM(K183:V183)</f>
        <v/>
      </c>
      <c r="X183" s="10" t="inlineStr">
        <is>
          <t>Tasas e IBI: presupuestada en 2027 la misma cantidad anual pagada en 2026 (-7.396,59 €/año, -616,38 €/mes).</t>
        </is>
      </c>
    </row>
    <row r="184" ht="18" customHeight="1">
      <c r="B184" s="6" t="n">
        <v>2027</v>
      </c>
      <c r="C184" s="6" t="inlineStr">
        <is>
          <t>Codiagro</t>
        </is>
      </c>
      <c r="D184" s="7" t="inlineStr">
        <is>
          <t>RESULTADO DEL EJERCICIO</t>
        </is>
      </c>
      <c r="E184" s="7" t="inlineStr">
        <is>
          <t>RESULTADO ANTES DE IMPUESTOS</t>
        </is>
      </c>
      <c r="F184" s="7" t="inlineStr">
        <is>
          <t>RESULTADO DE LA EXPLOTACION</t>
        </is>
      </c>
      <c r="G184" s="7" t="inlineStr">
        <is>
          <t>7.- Otros gastos de explotación</t>
        </is>
      </c>
      <c r="H184" s="7" t="inlineStr">
        <is>
          <t>(631) Otros tributos</t>
        </is>
      </c>
      <c r="I184" s="7" t="inlineStr">
        <is>
          <t>631000006 - IMPUESTO PLASTICO NO RECICLADO</t>
        </is>
      </c>
      <c r="J184" s="6" t="inlineStr">
        <is>
          <t>-</t>
        </is>
      </c>
      <c r="K184" s="8" t="n">
        <v>-2516.21</v>
      </c>
      <c r="L184" s="8" t="n">
        <v>-4075.81</v>
      </c>
      <c r="M184" s="8" t="n">
        <v>-3909.7</v>
      </c>
      <c r="N184" s="8" t="n">
        <v>-3147.65</v>
      </c>
      <c r="O184" s="8" t="n">
        <v>-5167.87</v>
      </c>
      <c r="P184" s="8" t="n">
        <v>-5124.86</v>
      </c>
      <c r="Q184" s="8" t="n">
        <v>-3251.56</v>
      </c>
      <c r="R184" s="8" t="n">
        <v>-2075.09</v>
      </c>
      <c r="S184" s="8" t="n">
        <v>-1205.37</v>
      </c>
      <c r="T184" s="8" t="n">
        <v>-2015.85</v>
      </c>
      <c r="U184" s="8" t="n">
        <v>-3116.01</v>
      </c>
      <c r="V184" s="8" t="n">
        <v>-3417.97</v>
      </c>
      <c r="W184" s="9">
        <f>SUM(K184:V184)</f>
        <v/>
      </c>
      <c r="X184" s="10" t="inlineStr">
        <is>
          <t>Coste variable regulatorio sobre envases de plástico virgen envasados.</t>
        </is>
      </c>
    </row>
    <row r="185" ht="18" customHeight="1">
      <c r="B185" s="6" t="n">
        <v>2027</v>
      </c>
      <c r="C185" s="6" t="inlineStr">
        <is>
          <t>Codiagro</t>
        </is>
      </c>
      <c r="D185" s="7" t="inlineStr">
        <is>
          <t>RESULTADO DEL EJERCICIO</t>
        </is>
      </c>
      <c r="E185" s="7" t="inlineStr">
        <is>
          <t>RESULTADO ANTES DE IMPUESTOS</t>
        </is>
      </c>
      <c r="F185" s="7" t="inlineStr">
        <is>
          <t>RESULTADO DE LA EXPLOTACION</t>
        </is>
      </c>
      <c r="G185" s="7" t="inlineStr">
        <is>
          <t>7.- Otros gastos de explotación</t>
        </is>
      </c>
      <c r="H185" s="7" t="inlineStr">
        <is>
          <t>(634) Ajustes negativos en la imposición indirecta</t>
        </is>
      </c>
      <c r="I185" s="7" t="inlineStr">
        <is>
          <t>634100000 - Ajustes negat. IVA circulante</t>
        </is>
      </c>
      <c r="J185" s="6" t="inlineStr">
        <is>
          <t>-</t>
        </is>
      </c>
      <c r="K185" s="8" t="n">
        <v>0</v>
      </c>
      <c r="L185" s="8" t="n">
        <v>0</v>
      </c>
      <c r="M185" s="8" t="n">
        <v>0</v>
      </c>
      <c r="N185" s="8" t="n">
        <v>0</v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9">
        <f>SUM(K185:V185)</f>
        <v/>
      </c>
      <c r="X185" s="10" t="inlineStr">
        <is>
          <t>Ajustes negativos IVA: sin saldo previsto en 2027.</t>
        </is>
      </c>
    </row>
    <row r="186" ht="18" customHeight="1">
      <c r="B186" s="6" t="n">
        <v>2027</v>
      </c>
      <c r="C186" s="6" t="inlineStr">
        <is>
          <t>Codiagro</t>
        </is>
      </c>
      <c r="D186" s="7" t="inlineStr">
        <is>
          <t>RESULTADO DEL EJERCICIO</t>
        </is>
      </c>
      <c r="E186" s="7" t="inlineStr">
        <is>
          <t>RESULTADO ANTES DE IMPUESTOS</t>
        </is>
      </c>
      <c r="F186" s="7" t="inlineStr">
        <is>
          <t>RESULTADO DE LA EXPLOTACION</t>
        </is>
      </c>
      <c r="G186" s="7" t="inlineStr">
        <is>
          <t>7.- Otros gastos de explotación</t>
        </is>
      </c>
      <c r="H186" s="7" t="inlineStr">
        <is>
          <t>(694) Pérdidas por op. Comerciales</t>
        </is>
      </c>
      <c r="I186" s="7" t="inlineStr">
        <is>
          <t>694000000 - Pérdidas deterioro de créditos por op.comerciales</t>
        </is>
      </c>
      <c r="J186" s="6" t="inlineStr">
        <is>
          <t>-</t>
        </is>
      </c>
      <c r="K186" s="8" t="n">
        <v>0</v>
      </c>
      <c r="L186" s="8" t="n">
        <v>0</v>
      </c>
      <c r="M186" s="8" t="n">
        <v>0</v>
      </c>
      <c r="N186" s="8" t="n">
        <v>0</v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9">
        <f>SUM(K186:V186)</f>
        <v/>
      </c>
      <c r="X186" s="10" t="inlineStr">
        <is>
          <t>Pérdidas deterioro créditos: sin saldo previsto en 2027.</t>
        </is>
      </c>
    </row>
    <row r="187" ht="18" customHeight="1">
      <c r="B187" s="6" t="n">
        <v>2027</v>
      </c>
      <c r="C187" s="6" t="inlineStr">
        <is>
          <t>Codiagro</t>
        </is>
      </c>
      <c r="D187" s="7" t="inlineStr">
        <is>
          <t>RESULTADO DEL EJERCICIO</t>
        </is>
      </c>
      <c r="E187" s="7" t="inlineStr">
        <is>
          <t>RESULTADO ANTES DE IMPUESTOS</t>
        </is>
      </c>
      <c r="F187" s="7" t="inlineStr">
        <is>
          <t>RESULTADO DE LA EXPLOTACION</t>
        </is>
      </c>
      <c r="G187" s="7" t="inlineStr">
        <is>
          <t>8.- Amortización del inmovilizado</t>
        </is>
      </c>
      <c r="H187" s="7" t="inlineStr">
        <is>
          <t>(681) Amortización del inmovilizado material</t>
        </is>
      </c>
      <c r="I187" s="7" t="inlineStr">
        <is>
          <t>681100000 - Amortización de construcciones</t>
        </is>
      </c>
      <c r="J187" s="6" t="inlineStr">
        <is>
          <t>-</t>
        </is>
      </c>
      <c r="K187" s="8" t="n">
        <v>-3154.35</v>
      </c>
      <c r="L187" s="8" t="n">
        <v>-3154.35</v>
      </c>
      <c r="M187" s="8" t="n">
        <v>-3154.35</v>
      </c>
      <c r="N187" s="8" t="n">
        <v>-3154.35</v>
      </c>
      <c r="O187" s="8" t="n">
        <v>-3154.35</v>
      </c>
      <c r="P187" s="8" t="n">
        <v>-3154.35</v>
      </c>
      <c r="Q187" s="8" t="n">
        <v>-3154.35</v>
      </c>
      <c r="R187" s="8" t="n">
        <v>-3154.35</v>
      </c>
      <c r="S187" s="8" t="n">
        <v>-3154.35</v>
      </c>
      <c r="T187" s="8" t="n">
        <v>-3154.35</v>
      </c>
      <c r="U187" s="8" t="n">
        <v>-3154.35</v>
      </c>
      <c r="V187" s="8" t="n">
        <v>-3154.35</v>
      </c>
      <c r="W187" s="9">
        <f>SUM(K187:V187)</f>
        <v/>
      </c>
      <c r="X187" s="10" t="inlineStr">
        <is>
          <t>Coste fijo estricto: dotación lineal mensual calculada según las tablas oficiales de amortización fiscal y vida útil del inmovilizado.</t>
        </is>
      </c>
    </row>
    <row r="188" ht="18" customHeight="1">
      <c r="B188" s="6" t="n">
        <v>2027</v>
      </c>
      <c r="C188" s="6" t="inlineStr">
        <is>
          <t>Codiagro</t>
        </is>
      </c>
      <c r="D188" s="7" t="inlineStr">
        <is>
          <t>RESULTADO DEL EJERCICIO</t>
        </is>
      </c>
      <c r="E188" s="7" t="inlineStr">
        <is>
          <t>RESULTADO ANTES DE IMPUESTOS</t>
        </is>
      </c>
      <c r="F188" s="7" t="inlineStr">
        <is>
          <t>RESULTADO DE LA EXPLOTACION</t>
        </is>
      </c>
      <c r="G188" s="7" t="inlineStr">
        <is>
          <t>8.- Amortización del inmovilizado</t>
        </is>
      </c>
      <c r="H188" s="7" t="inlineStr">
        <is>
          <t>(681) Amortización del inmovilizado material</t>
        </is>
      </c>
      <c r="I188" s="7" t="inlineStr">
        <is>
          <t>681200000 - Amortización de instalaciones técnicas</t>
        </is>
      </c>
      <c r="J188" s="6" t="inlineStr">
        <is>
          <t>-</t>
        </is>
      </c>
      <c r="K188" s="8" t="n">
        <v>-5772</v>
      </c>
      <c r="L188" s="8" t="n">
        <v>-5772</v>
      </c>
      <c r="M188" s="8" t="n">
        <v>-5772</v>
      </c>
      <c r="N188" s="8" t="n">
        <v>-5772</v>
      </c>
      <c r="O188" s="8" t="n">
        <v>-5772</v>
      </c>
      <c r="P188" s="8" t="n">
        <v>-5772</v>
      </c>
      <c r="Q188" s="8" t="n">
        <v>-5772</v>
      </c>
      <c r="R188" s="8" t="n">
        <v>-5772</v>
      </c>
      <c r="S188" s="8" t="n">
        <v>-5772</v>
      </c>
      <c r="T188" s="8" t="n">
        <v>-5772</v>
      </c>
      <c r="U188" s="8" t="n">
        <v>-5772</v>
      </c>
      <c r="V188" s="8" t="n">
        <v>-5772</v>
      </c>
      <c r="W188" s="9">
        <f>SUM(K188:V188)</f>
        <v/>
      </c>
      <c r="X188" s="10" t="inlineStr">
        <is>
          <t>Coste fijo estricto: dotación lineal mensual calculada según las tablas oficiales de amortización fiscal y vida útil del inmovilizado.</t>
        </is>
      </c>
    </row>
    <row r="189" ht="18" customHeight="1">
      <c r="B189" s="6" t="n">
        <v>2027</v>
      </c>
      <c r="C189" s="6" t="inlineStr">
        <is>
          <t>Codiagro</t>
        </is>
      </c>
      <c r="D189" s="7" t="inlineStr">
        <is>
          <t>RESULTADO DEL EJERCICIO</t>
        </is>
      </c>
      <c r="E189" s="7" t="inlineStr">
        <is>
          <t>RESULTADO ANTES DE IMPUESTOS</t>
        </is>
      </c>
      <c r="F189" s="7" t="inlineStr">
        <is>
          <t>RESULTADO DE LA EXPLOTACION</t>
        </is>
      </c>
      <c r="G189" s="7" t="inlineStr">
        <is>
          <t>8.- Amortización del inmovilizado</t>
        </is>
      </c>
      <c r="H189" s="7" t="inlineStr">
        <is>
          <t>(681) Amortización del inmovilizado material</t>
        </is>
      </c>
      <c r="I189" s="7" t="inlineStr">
        <is>
          <t>681300000 - Amortización de maquinaria</t>
        </is>
      </c>
      <c r="J189" s="6" t="inlineStr">
        <is>
          <t>-</t>
        </is>
      </c>
      <c r="K189" s="8" t="n">
        <v>-6419</v>
      </c>
      <c r="L189" s="8" t="n">
        <v>-6419</v>
      </c>
      <c r="M189" s="8" t="n">
        <v>-6419</v>
      </c>
      <c r="N189" s="8" t="n">
        <v>-6419</v>
      </c>
      <c r="O189" s="8" t="n">
        <v>-6419</v>
      </c>
      <c r="P189" s="8" t="n">
        <v>-6419</v>
      </c>
      <c r="Q189" s="8" t="n">
        <v>-6419</v>
      </c>
      <c r="R189" s="8" t="n">
        <v>-6419</v>
      </c>
      <c r="S189" s="8" t="n">
        <v>-6419</v>
      </c>
      <c r="T189" s="8" t="n">
        <v>-6419</v>
      </c>
      <c r="U189" s="8" t="n">
        <v>-6419</v>
      </c>
      <c r="V189" s="8" t="n">
        <v>-6419</v>
      </c>
      <c r="W189" s="9">
        <f>SUM(K189:V189)</f>
        <v/>
      </c>
      <c r="X189" s="10" t="inlineStr">
        <is>
          <t>Coste fijo estricto: dotación lineal mensual calculada según las tablas oficiales de amortización fiscal y vida útil del inmovilizado.</t>
        </is>
      </c>
    </row>
    <row r="190" ht="18" customHeight="1">
      <c r="B190" s="6" t="n">
        <v>2027</v>
      </c>
      <c r="C190" s="6" t="inlineStr">
        <is>
          <t>Codiagro</t>
        </is>
      </c>
      <c r="D190" s="7" t="inlineStr">
        <is>
          <t>RESULTADO DEL EJERCICIO</t>
        </is>
      </c>
      <c r="E190" s="7" t="inlineStr">
        <is>
          <t>RESULTADO ANTES DE IMPUESTOS</t>
        </is>
      </c>
      <c r="F190" s="7" t="inlineStr">
        <is>
          <t>RESULTADO DE LA EXPLOTACION</t>
        </is>
      </c>
      <c r="G190" s="7" t="inlineStr">
        <is>
          <t>8.- Amortización del inmovilizado</t>
        </is>
      </c>
      <c r="H190" s="7" t="inlineStr">
        <is>
          <t>(681) Amortización del inmovilizado material</t>
        </is>
      </c>
      <c r="I190" s="7" t="inlineStr">
        <is>
          <t>681500000 - Amortización de otras instalaciones</t>
        </is>
      </c>
      <c r="J190" s="6" t="inlineStr">
        <is>
          <t>-</t>
        </is>
      </c>
      <c r="K190" s="8" t="n">
        <v>-1642</v>
      </c>
      <c r="L190" s="8" t="n">
        <v>-1642</v>
      </c>
      <c r="M190" s="8" t="n">
        <v>-1642</v>
      </c>
      <c r="N190" s="8" t="n">
        <v>-1642</v>
      </c>
      <c r="O190" s="8" t="n">
        <v>-1642</v>
      </c>
      <c r="P190" s="8" t="n">
        <v>-1642</v>
      </c>
      <c r="Q190" s="8" t="n">
        <v>-1642</v>
      </c>
      <c r="R190" s="8" t="n">
        <v>-1642</v>
      </c>
      <c r="S190" s="8" t="n">
        <v>-1642</v>
      </c>
      <c r="T190" s="8" t="n">
        <v>-1642</v>
      </c>
      <c r="U190" s="8" t="n">
        <v>-1642</v>
      </c>
      <c r="V190" s="8" t="n">
        <v>-1642</v>
      </c>
      <c r="W190" s="9">
        <f>SUM(K190:V190)</f>
        <v/>
      </c>
      <c r="X190" s="10" t="inlineStr">
        <is>
          <t>Coste fijo estricto: dotación lineal mensual calculada según las tablas oficiales de amortización fiscal y vida útil del inmovilizado.</t>
        </is>
      </c>
    </row>
    <row r="191" ht="18" customHeight="1">
      <c r="B191" s="6" t="n">
        <v>2027</v>
      </c>
      <c r="C191" s="6" t="inlineStr">
        <is>
          <t>Codiagro</t>
        </is>
      </c>
      <c r="D191" s="7" t="inlineStr">
        <is>
          <t>RESULTADO DEL EJERCICIO</t>
        </is>
      </c>
      <c r="E191" s="7" t="inlineStr">
        <is>
          <t>RESULTADO ANTES DE IMPUESTOS</t>
        </is>
      </c>
      <c r="F191" s="7" t="inlineStr">
        <is>
          <t>RESULTADO DE LA EXPLOTACION</t>
        </is>
      </c>
      <c r="G191" s="7" t="inlineStr">
        <is>
          <t>8.- Amortización del inmovilizado</t>
        </is>
      </c>
      <c r="H191" s="7" t="inlineStr">
        <is>
          <t>(681) Amortización del inmovilizado material</t>
        </is>
      </c>
      <c r="I191" s="7" t="inlineStr">
        <is>
          <t>681600000 - Amortización de mobiliario</t>
        </is>
      </c>
      <c r="J191" s="6" t="inlineStr">
        <is>
          <t>-</t>
        </is>
      </c>
      <c r="K191" s="8" t="n">
        <v>-1337</v>
      </c>
      <c r="L191" s="8" t="n">
        <v>-1337</v>
      </c>
      <c r="M191" s="8" t="n">
        <v>-1337</v>
      </c>
      <c r="N191" s="8" t="n">
        <v>-1337</v>
      </c>
      <c r="O191" s="8" t="n">
        <v>-1337</v>
      </c>
      <c r="P191" s="8" t="n">
        <v>-1337</v>
      </c>
      <c r="Q191" s="8" t="n">
        <v>-1337</v>
      </c>
      <c r="R191" s="8" t="n">
        <v>-1337</v>
      </c>
      <c r="S191" s="8" t="n">
        <v>-1337</v>
      </c>
      <c r="T191" s="8" t="n">
        <v>-1337</v>
      </c>
      <c r="U191" s="8" t="n">
        <v>-1337</v>
      </c>
      <c r="V191" s="8" t="n">
        <v>-1337</v>
      </c>
      <c r="W191" s="9">
        <f>SUM(K191:V191)</f>
        <v/>
      </c>
      <c r="X191" s="10" t="inlineStr">
        <is>
          <t>Coste fijo estricto: dotación lineal mensual calculada según las tablas oficiales de amortización fiscal y vida útil del inmovilizado.</t>
        </is>
      </c>
    </row>
    <row r="192" ht="18" customHeight="1">
      <c r="B192" s="6" t="n">
        <v>2027</v>
      </c>
      <c r="C192" s="6" t="inlineStr">
        <is>
          <t>Codiagro</t>
        </is>
      </c>
      <c r="D192" s="7" t="inlineStr">
        <is>
          <t>RESULTADO DEL EJERCICIO</t>
        </is>
      </c>
      <c r="E192" s="7" t="inlineStr">
        <is>
          <t>RESULTADO ANTES DE IMPUESTOS</t>
        </is>
      </c>
      <c r="F192" s="7" t="inlineStr">
        <is>
          <t>RESULTADO DE LA EXPLOTACION</t>
        </is>
      </c>
      <c r="G192" s="7" t="inlineStr">
        <is>
          <t>8.- Amortización del inmovilizado</t>
        </is>
      </c>
      <c r="H192" s="7" t="inlineStr">
        <is>
          <t>(681) Amortización del inmovilizado material</t>
        </is>
      </c>
      <c r="I192" s="7" t="inlineStr">
        <is>
          <t>681700000 - Amortización de equipos para procesos de informac.</t>
        </is>
      </c>
      <c r="J192" s="6" t="inlineStr">
        <is>
          <t>-</t>
        </is>
      </c>
      <c r="K192" s="8" t="n">
        <v>-856</v>
      </c>
      <c r="L192" s="8" t="n">
        <v>-856</v>
      </c>
      <c r="M192" s="8" t="n">
        <v>-856</v>
      </c>
      <c r="N192" s="8" t="n">
        <v>-856</v>
      </c>
      <c r="O192" s="8" t="n">
        <v>-856</v>
      </c>
      <c r="P192" s="8" t="n">
        <v>-856</v>
      </c>
      <c r="Q192" s="8" t="n">
        <v>-856</v>
      </c>
      <c r="R192" s="8" t="n">
        <v>-856</v>
      </c>
      <c r="S192" s="8" t="n">
        <v>-856</v>
      </c>
      <c r="T192" s="8" t="n">
        <v>-856</v>
      </c>
      <c r="U192" s="8" t="n">
        <v>-856</v>
      </c>
      <c r="V192" s="8" t="n">
        <v>-856</v>
      </c>
      <c r="W192" s="9">
        <f>SUM(K192:V192)</f>
        <v/>
      </c>
      <c r="X192" s="10" t="inlineStr">
        <is>
          <t>Coste fijo estricto: dotación lineal mensual calculada según las tablas oficiales de amortización fiscal y vida útil del inmovilizado.</t>
        </is>
      </c>
    </row>
    <row r="193" ht="18" customHeight="1">
      <c r="B193" s="6" t="n">
        <v>2027</v>
      </c>
      <c r="C193" s="6" t="inlineStr">
        <is>
          <t>Codiagro</t>
        </is>
      </c>
      <c r="D193" s="7" t="inlineStr">
        <is>
          <t>RESULTADO DEL EJERCICIO</t>
        </is>
      </c>
      <c r="E193" s="7" t="inlineStr">
        <is>
          <t>RESULTADO ANTES DE IMPUESTOS</t>
        </is>
      </c>
      <c r="F193" s="7" t="inlineStr">
        <is>
          <t>RESULTADO DE LA EXPLOTACION</t>
        </is>
      </c>
      <c r="G193" s="7" t="inlineStr">
        <is>
          <t>8.- Amortización del inmovilizado</t>
        </is>
      </c>
      <c r="H193" s="7" t="inlineStr">
        <is>
          <t>(681) Amortización del inmovilizado material</t>
        </is>
      </c>
      <c r="I193" s="7" t="inlineStr">
        <is>
          <t>681800000 - Amortización de elementos de transporte</t>
        </is>
      </c>
      <c r="J193" s="6" t="inlineStr">
        <is>
          <t>-</t>
        </is>
      </c>
      <c r="K193" s="8" t="n">
        <v>-45</v>
      </c>
      <c r="L193" s="8" t="n">
        <v>-45</v>
      </c>
      <c r="M193" s="8" t="n">
        <v>-45</v>
      </c>
      <c r="N193" s="8" t="n">
        <v>-45</v>
      </c>
      <c r="O193" s="8" t="n">
        <v>-45</v>
      </c>
      <c r="P193" s="8" t="n">
        <v>-45</v>
      </c>
      <c r="Q193" s="8" t="n">
        <v>-45</v>
      </c>
      <c r="R193" s="8" t="n">
        <v>-45</v>
      </c>
      <c r="S193" s="8" t="n">
        <v>-45</v>
      </c>
      <c r="T193" s="8" t="n">
        <v>-45</v>
      </c>
      <c r="U193" s="8" t="n">
        <v>-45</v>
      </c>
      <c r="V193" s="8" t="n">
        <v>-45</v>
      </c>
      <c r="W193" s="9">
        <f>SUM(K193:V193)</f>
        <v/>
      </c>
      <c r="X193" s="10" t="inlineStr">
        <is>
          <t>Coste fijo estricto: dotación lineal mensual calculada según las tablas oficiales de amortización fiscal y vida útil del inmovilizado.</t>
        </is>
      </c>
    </row>
    <row r="194" ht="18" customHeight="1">
      <c r="B194" s="6" t="n">
        <v>2027</v>
      </c>
      <c r="C194" s="6" t="inlineStr">
        <is>
          <t>Codiagro</t>
        </is>
      </c>
      <c r="D194" s="7" t="inlineStr">
        <is>
          <t>RESULTADO DEL EJERCICIO</t>
        </is>
      </c>
      <c r="E194" s="7" t="inlineStr">
        <is>
          <t>RESULTADO ANTES DE IMPUESTOS</t>
        </is>
      </c>
      <c r="F194" s="7" t="inlineStr">
        <is>
          <t>RESULTADO FINANCIERO</t>
        </is>
      </c>
      <c r="G194" s="7" t="inlineStr">
        <is>
          <t>15.- Gastos financieros</t>
        </is>
      </c>
      <c r="H194" s="7" t="inlineStr">
        <is>
          <t>(706) Dto. s/vtas p.p.</t>
        </is>
      </c>
      <c r="I194" s="7" t="inlineStr">
        <is>
          <t>706000001 - DESCUENTO POR PRONTO PAGO DEFINITIVO</t>
        </is>
      </c>
      <c r="J194" s="6" t="inlineStr">
        <is>
          <t>-</t>
        </is>
      </c>
      <c r="K194" s="8" t="n">
        <v>-30880.78</v>
      </c>
      <c r="L194" s="8" t="n">
        <v>-50021.31</v>
      </c>
      <c r="M194" s="8" t="n">
        <v>-47982.62</v>
      </c>
      <c r="N194" s="8" t="n">
        <v>-38630.3</v>
      </c>
      <c r="O194" s="8" t="n">
        <v>-63423.85</v>
      </c>
      <c r="P194" s="8" t="n">
        <v>-62896.06</v>
      </c>
      <c r="Q194" s="8" t="n">
        <v>-39905.52</v>
      </c>
      <c r="R194" s="8" t="n">
        <v>-25466.97</v>
      </c>
      <c r="S194" s="8" t="n">
        <v>-14793.2</v>
      </c>
      <c r="T194" s="8" t="n">
        <v>-24740.02</v>
      </c>
      <c r="U194" s="8" t="n">
        <v>-38241.9</v>
      </c>
      <c r="V194" s="8" t="n">
        <v>-41947.79</v>
      </c>
      <c r="W194" s="9">
        <f>SUM(K194:V194)</f>
        <v/>
      </c>
      <c r="X194" s="10" t="inlineStr">
        <is>
          <t>Coste financiero variable: descuentos por pronto pago concedidos a clientes (2,70% s/ventas presupuestadas).</t>
        </is>
      </c>
    </row>
    <row r="195" ht="18" customHeight="1">
      <c r="B195" s="6" t="n">
        <v>2027</v>
      </c>
      <c r="C195" s="6" t="inlineStr">
        <is>
          <t>Codiagro</t>
        </is>
      </c>
      <c r="D195" s="7" t="inlineStr">
        <is>
          <t>RESULTADO DEL EJERCICIO</t>
        </is>
      </c>
      <c r="E195" s="7" t="inlineStr">
        <is>
          <t>RESULTADO ANTES DE IMPUESTOS</t>
        </is>
      </c>
      <c r="F195" s="7" t="inlineStr">
        <is>
          <t>RESULTADO FINANCIERO</t>
        </is>
      </c>
      <c r="G195" s="7" t="inlineStr">
        <is>
          <t>15.- Gastos financieros</t>
        </is>
      </c>
      <c r="H195" s="7" t="inlineStr">
        <is>
          <t>(665) Intereses por descuento de efectos y operaciones de "factoring"</t>
        </is>
      </c>
      <c r="I195" s="7" t="inlineStr">
        <is>
          <t>665700015 - INTERESES PAGO FINANCIADO POR BBVA</t>
        </is>
      </c>
      <c r="J195" s="6" t="inlineStr">
        <is>
          <t>-</t>
        </is>
      </c>
      <c r="K195" s="8" t="n">
        <v>0</v>
      </c>
      <c r="L195" s="8" t="n">
        <v>0</v>
      </c>
      <c r="M195" s="8" t="n">
        <v>0</v>
      </c>
      <c r="N195" s="8" t="n">
        <v>0</v>
      </c>
      <c r="O195" s="8" t="n">
        <v>0</v>
      </c>
      <c r="P195" s="8" t="n">
        <v>0</v>
      </c>
      <c r="Q195" s="8" t="n">
        <v>0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9">
        <f>SUM(K195:V195)</f>
        <v/>
      </c>
      <c r="X195" s="10" t="inlineStr">
        <is>
          <t>Intereses pago financiado proveedores: operación no recurrente, fijado a 0 en 2027.</t>
        </is>
      </c>
    </row>
    <row r="196" ht="18" customHeight="1">
      <c r="B196" s="6" t="n">
        <v>2027</v>
      </c>
      <c r="C196" s="6" t="inlineStr">
        <is>
          <t>Codiagro</t>
        </is>
      </c>
      <c r="D196" s="7" t="inlineStr">
        <is>
          <t>RESULTADO DEL EJERCICIO</t>
        </is>
      </c>
      <c r="E196" s="7" t="inlineStr">
        <is>
          <t>RESULTADO ANTES DE IMPUESTOS</t>
        </is>
      </c>
      <c r="F196" s="7" t="inlineStr">
        <is>
          <t>RESULTADO FINANCIERO</t>
        </is>
      </c>
      <c r="G196" s="7" t="inlineStr">
        <is>
          <t>15.- Gastos financieros</t>
        </is>
      </c>
      <c r="H196" s="7" t="inlineStr">
        <is>
          <t>(662) Intereses de deudas con entidades de crédito</t>
        </is>
      </c>
      <c r="I196" s="7" t="inlineStr">
        <is>
          <t>662310005 - INTERESES PRESTAMO CAIXALMASSORA</t>
        </is>
      </c>
      <c r="J196" s="6" t="inlineStr">
        <is>
          <t>-</t>
        </is>
      </c>
      <c r="K196" s="8" t="n">
        <v>0</v>
      </c>
      <c r="L196" s="8" t="n">
        <v>0</v>
      </c>
      <c r="M196" s="8" t="n">
        <v>0</v>
      </c>
      <c r="N196" s="8" t="n">
        <v>0</v>
      </c>
      <c r="O196" s="8" t="n">
        <v>0</v>
      </c>
      <c r="P196" s="8" t="n">
        <v>0</v>
      </c>
      <c r="Q196" s="8" t="n">
        <v>0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9">
        <f>SUM(K196:V196)</f>
        <v/>
      </c>
      <c r="X196" s="10" t="inlineStr">
        <is>
          <t>Intereses préstamo Caixabank: préstamo finalizado, fijado a 0 en 2027.</t>
        </is>
      </c>
    </row>
    <row r="197" ht="18" customHeight="1">
      <c r="B197" s="6" t="n">
        <v>2027</v>
      </c>
      <c r="C197" s="6" t="inlineStr">
        <is>
          <t>Codiagro</t>
        </is>
      </c>
      <c r="D197" s="7" t="inlineStr">
        <is>
          <t>RESULTADO DEL EJERCICIO</t>
        </is>
      </c>
      <c r="E197" s="7" t="inlineStr">
        <is>
          <t>RESULTADO ANTES DE IMPUESTOS</t>
        </is>
      </c>
      <c r="F197" s="7" t="inlineStr">
        <is>
          <t>RESULTADO FINANCIERO</t>
        </is>
      </c>
      <c r="G197" s="7" t="inlineStr">
        <is>
          <t>15.- Gastos financieros</t>
        </is>
      </c>
      <c r="H197" s="7" t="inlineStr">
        <is>
          <t>(669) Otros gastos financieros</t>
        </is>
      </c>
      <c r="I197" s="7" t="inlineStr">
        <is>
          <t>669000002 - OTROS GTOS. DTO. EFECTOS SABADELL</t>
        </is>
      </c>
      <c r="J197" s="6" t="inlineStr">
        <is>
          <t>-</t>
        </is>
      </c>
      <c r="K197" s="8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0</v>
      </c>
      <c r="Q197" s="8" t="n">
        <v>0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9">
        <f>SUM(K197:V197)</f>
        <v/>
      </c>
      <c r="X197" s="10" t="inlineStr">
        <is>
          <t>Cuenta inactiva / sin saldo previsto en 2027.</t>
        </is>
      </c>
    </row>
    <row r="198" ht="18" customHeight="1">
      <c r="B198" s="6" t="n">
        <v>2027</v>
      </c>
      <c r="C198" s="6" t="inlineStr">
        <is>
          <t>Codiagro</t>
        </is>
      </c>
      <c r="D198" s="7" t="inlineStr">
        <is>
          <t>RESULTADO DEL EJERCICIO</t>
        </is>
      </c>
      <c r="E198" s="7" t="inlineStr">
        <is>
          <t>RESULTADO ANTES DE IMPUESTOS</t>
        </is>
      </c>
      <c r="F198" s="7" t="inlineStr">
        <is>
          <t>RESULTADO FINANCIERO</t>
        </is>
      </c>
      <c r="G198" s="7" t="inlineStr">
        <is>
          <t>15.- Gastos financieros</t>
        </is>
      </c>
      <c r="H198" s="7" t="inlineStr">
        <is>
          <t>(669) Otros gastos financieros</t>
        </is>
      </c>
      <c r="I198" s="7" t="inlineStr">
        <is>
          <t>669000007 - OTROS GTOS. DTO.EFECTOS BBVA</t>
        </is>
      </c>
      <c r="J198" s="6" t="inlineStr">
        <is>
          <t>-</t>
        </is>
      </c>
      <c r="K198" s="8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0</v>
      </c>
      <c r="Q198" s="8" t="n">
        <v>0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9">
        <f>SUM(K198:V198)</f>
        <v/>
      </c>
      <c r="X198" s="10" t="inlineStr">
        <is>
          <t>Cuenta inactiva / sin saldo previsto en 2027.</t>
        </is>
      </c>
    </row>
    <row r="199" ht="18" customHeight="1">
      <c r="B199" s="6" t="n">
        <v>2027</v>
      </c>
      <c r="C199" s="6" t="inlineStr">
        <is>
          <t>Codiagro</t>
        </is>
      </c>
      <c r="D199" s="7" t="inlineStr">
        <is>
          <t>RESULTADO DEL EJERCICIO</t>
        </is>
      </c>
      <c r="E199" s="7" t="inlineStr">
        <is>
          <t>RESULTADO ANTES DE IMPUESTOS</t>
        </is>
      </c>
      <c r="F199" s="7" t="inlineStr">
        <is>
          <t>RESULTADO FINANCIERO</t>
        </is>
      </c>
      <c r="G199" s="7" t="inlineStr">
        <is>
          <t>15.- Gastos financieros</t>
        </is>
      </c>
      <c r="H199" s="7" t="inlineStr">
        <is>
          <t>(669) Otros gastos financieros</t>
        </is>
      </c>
      <c r="I199" s="7" t="inlineStr">
        <is>
          <t>669100002 - OTROS GTOS. FINAN. SABADELL</t>
        </is>
      </c>
      <c r="J199" s="6" t="inlineStr">
        <is>
          <t>-</t>
        </is>
      </c>
      <c r="K199" s="8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0</v>
      </c>
      <c r="Q199" s="8" t="n">
        <v>0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9">
        <f>SUM(K199:V199)</f>
        <v/>
      </c>
      <c r="X199" s="10" t="inlineStr">
        <is>
          <t>Cuenta inactiva / sin saldo previsto en 2027.</t>
        </is>
      </c>
    </row>
    <row r="200" ht="18" customHeight="1">
      <c r="B200" s="6" t="n">
        <v>2027</v>
      </c>
      <c r="C200" s="6" t="inlineStr">
        <is>
          <t>Codiagro</t>
        </is>
      </c>
      <c r="D200" s="7" t="inlineStr">
        <is>
          <t>RESULTADO DEL EJERCICIO</t>
        </is>
      </c>
      <c r="E200" s="7" t="inlineStr">
        <is>
          <t>RESULTADO ANTES DE IMPUESTOS</t>
        </is>
      </c>
      <c r="F200" s="7" t="inlineStr">
        <is>
          <t>RESULTADO FINANCIERO</t>
        </is>
      </c>
      <c r="G200" s="7" t="inlineStr">
        <is>
          <t>15.- Gastos financieros</t>
        </is>
      </c>
      <c r="H200" s="7" t="inlineStr">
        <is>
          <t>(669) Otros gastos financieros</t>
        </is>
      </c>
      <c r="I200" s="7" t="inlineStr">
        <is>
          <t>669100005 - OTROS GTOS. FINAN. C.RURAL ALMASSORA</t>
        </is>
      </c>
      <c r="J200" s="6" t="inlineStr">
        <is>
          <t>-</t>
        </is>
      </c>
      <c r="K200" s="8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0</v>
      </c>
      <c r="Q200" s="8" t="n">
        <v>0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9">
        <f>SUM(K200:V200)</f>
        <v/>
      </c>
      <c r="X200" s="10" t="inlineStr">
        <is>
          <t>Cuenta inactiva / sin saldo previsto en 2027.</t>
        </is>
      </c>
    </row>
    <row r="201" ht="18" customHeight="1">
      <c r="B201" s="6" t="n">
        <v>2027</v>
      </c>
      <c r="C201" s="6" t="inlineStr">
        <is>
          <t>Codiagro</t>
        </is>
      </c>
      <c r="D201" s="7" t="inlineStr">
        <is>
          <t>RESULTADO DEL EJERCICIO</t>
        </is>
      </c>
      <c r="E201" s="7" t="inlineStr">
        <is>
          <t>RESULTADO ANTES DE IMPUESTOS</t>
        </is>
      </c>
      <c r="F201" s="7" t="inlineStr">
        <is>
          <t>RESULTADO FINANCIERO</t>
        </is>
      </c>
      <c r="G201" s="7" t="inlineStr">
        <is>
          <t>15.- Gastos financieros</t>
        </is>
      </c>
      <c r="H201" s="7" t="inlineStr">
        <is>
          <t>(669) Otros gastos financieros</t>
        </is>
      </c>
      <c r="I201" s="7" t="inlineStr">
        <is>
          <t>669100007 - OTROS GTOS. FINAN. BBVA.</t>
        </is>
      </c>
      <c r="J201" s="6" t="inlineStr">
        <is>
          <t>-</t>
        </is>
      </c>
      <c r="K201" s="8" t="n">
        <v>0</v>
      </c>
      <c r="L201" s="8" t="n">
        <v>0</v>
      </c>
      <c r="M201" s="8" t="n">
        <v>0</v>
      </c>
      <c r="N201" s="8" t="n">
        <v>0</v>
      </c>
      <c r="O201" s="8" t="n">
        <v>0</v>
      </c>
      <c r="P201" s="8" t="n">
        <v>0</v>
      </c>
      <c r="Q201" s="8" t="n">
        <v>0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9">
        <f>SUM(K201:V201)</f>
        <v/>
      </c>
      <c r="X201" s="10" t="inlineStr">
        <is>
          <t>Cuenta inactiva / sin saldo previsto en 2027.</t>
        </is>
      </c>
    </row>
    <row r="202" ht="18" customHeight="1">
      <c r="B202" s="6" t="n">
        <v>2027</v>
      </c>
      <c r="C202" s="6" t="inlineStr">
        <is>
          <t>Codiagro</t>
        </is>
      </c>
      <c r="D202" s="7" t="inlineStr">
        <is>
          <t>RESULTADO DEL EJERCICIO</t>
        </is>
      </c>
      <c r="E202" s="7" t="inlineStr">
        <is>
          <t>RESULTADO ANTES DE IMPUESTOS</t>
        </is>
      </c>
      <c r="F202" s="7" t="inlineStr">
        <is>
          <t>RESULTADO FINANCIERO</t>
        </is>
      </c>
      <c r="G202" s="7" t="inlineStr">
        <is>
          <t>15.- Gastos financieros</t>
        </is>
      </c>
      <c r="H202" s="7" t="inlineStr">
        <is>
          <t>(669) Otros gastos financieros</t>
        </is>
      </c>
      <c r="I202" s="7" t="inlineStr">
        <is>
          <t>669200002 - GTOS. COBRO EXPORT B.SABADELL</t>
        </is>
      </c>
      <c r="J202" s="6" t="inlineStr">
        <is>
          <t>-</t>
        </is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0</v>
      </c>
      <c r="P202" s="8" t="n">
        <v>0</v>
      </c>
      <c r="Q202" s="8" t="n">
        <v>0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9">
        <f>SUM(K202:V202)</f>
        <v/>
      </c>
      <c r="X202" s="10" t="inlineStr">
        <is>
          <t>Cuenta inactiva / sin saldo previsto en 2027.</t>
        </is>
      </c>
    </row>
    <row r="203" ht="18" customHeight="1">
      <c r="B203" s="6" t="n">
        <v>2027</v>
      </c>
      <c r="C203" s="6" t="inlineStr">
        <is>
          <t>Codiagro</t>
        </is>
      </c>
      <c r="D203" s="7" t="inlineStr">
        <is>
          <t>RESULTADO DEL EJERCICIO</t>
        </is>
      </c>
      <c r="E203" s="7" t="inlineStr">
        <is>
          <t>RESULTADO ANTES DE IMPUESTOS</t>
        </is>
      </c>
      <c r="F203" s="7" t="inlineStr">
        <is>
          <t>RESULTADO FINANCIERO</t>
        </is>
      </c>
      <c r="G203" s="7" t="inlineStr">
        <is>
          <t>15.- Gastos financieros</t>
        </is>
      </c>
      <c r="H203" s="7" t="inlineStr">
        <is>
          <t>(669) Otros gastos financieros</t>
        </is>
      </c>
      <c r="I203" s="7" t="inlineStr">
        <is>
          <t>669200007 - GTOS. COBRO EXPORT. BBVA</t>
        </is>
      </c>
      <c r="J203" s="6" t="inlineStr">
        <is>
          <t>-</t>
        </is>
      </c>
      <c r="K203" s="8" t="n">
        <v>0</v>
      </c>
      <c r="L203" s="8" t="n">
        <v>0</v>
      </c>
      <c r="M203" s="8" t="n">
        <v>0</v>
      </c>
      <c r="N203" s="8" t="n">
        <v>0</v>
      </c>
      <c r="O203" s="8" t="n">
        <v>0</v>
      </c>
      <c r="P203" s="8" t="n">
        <v>0</v>
      </c>
      <c r="Q203" s="8" t="n">
        <v>0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9">
        <f>SUM(K203:V203)</f>
        <v/>
      </c>
      <c r="X203" s="10" t="inlineStr">
        <is>
          <t>Cuenta inactiva / sin saldo previsto en 2027.</t>
        </is>
      </c>
    </row>
    <row r="204" ht="18" customHeight="1">
      <c r="B204" s="6" t="n">
        <v>2027</v>
      </c>
      <c r="C204" s="6" t="inlineStr">
        <is>
          <t>Codiagro</t>
        </is>
      </c>
      <c r="D204" s="7" t="inlineStr">
        <is>
          <t>RESULTADO DEL EJERCICIO</t>
        </is>
      </c>
      <c r="E204" s="7" t="inlineStr">
        <is>
          <t>RESULTADO ANTES DE IMPUESTOS</t>
        </is>
      </c>
      <c r="F204" s="7" t="inlineStr">
        <is>
          <t>RESULTADO FINANCIERO</t>
        </is>
      </c>
      <c r="G204" s="7" t="inlineStr">
        <is>
          <t>17.- Diferencias de cambio</t>
        </is>
      </c>
      <c r="H204" s="7" t="inlineStr">
        <is>
          <t>(768) Diferencias positivas de cambio</t>
        </is>
      </c>
      <c r="I204" s="7" t="inlineStr">
        <is>
          <t>768000000 - Diferencias positivas de cambio</t>
        </is>
      </c>
      <c r="J204" s="6" t="inlineStr">
        <is>
          <t>-</t>
        </is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0</v>
      </c>
      <c r="P204" s="8" t="n">
        <v>0</v>
      </c>
      <c r="Q204" s="8" t="n">
        <v>0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9">
        <f>SUM(K204:V204)</f>
        <v/>
      </c>
      <c r="X204" s="10" t="inlineStr">
        <is>
          <t>Diferencias positivas de cambio: sin estimación en 2027 por criterio de prudencia.</t>
        </is>
      </c>
    </row>
    <row r="205" ht="18" customHeight="1">
      <c r="B205" s="6" t="n">
        <v>2027</v>
      </c>
      <c r="C205" s="6" t="inlineStr">
        <is>
          <t>Codiagro</t>
        </is>
      </c>
      <c r="D205" s="7" t="inlineStr">
        <is>
          <t>RESULTADO DEL EJERCICIO</t>
        </is>
      </c>
      <c r="E205" s="7" t="inlineStr">
        <is>
          <t>RESULTADO ANTES DE IMPUESTOS</t>
        </is>
      </c>
      <c r="F205" s="7" t="inlineStr">
        <is>
          <t>RESULTADO DE LA EXPLOTACION</t>
        </is>
      </c>
      <c r="G205" s="7" t="inlineStr">
        <is>
          <t>7.- Otros gastos de explotación</t>
        </is>
      </c>
      <c r="H205" s="7" t="inlineStr">
        <is>
          <t>(709) Publicidad</t>
        </is>
      </c>
      <c r="I205" s="7" t="inlineStr">
        <is>
          <t>709001500 - RAPPEL BONIFICACIONES POR PMK DEFINITIVO</t>
        </is>
      </c>
      <c r="J205" s="6" t="inlineStr">
        <is>
          <t>-</t>
        </is>
      </c>
      <c r="K205" s="8" t="n">
        <v>0</v>
      </c>
      <c r="L205" s="8" t="n">
        <v>0</v>
      </c>
      <c r="M205" s="8" t="n">
        <v>0</v>
      </c>
      <c r="N205" s="8" t="n">
        <v>0</v>
      </c>
      <c r="O205" s="8" t="n">
        <v>0</v>
      </c>
      <c r="P205" s="8" t="n">
        <v>0</v>
      </c>
      <c r="Q205" s="8" t="n">
        <v>0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9">
        <f>SUM(K205:V205)</f>
        <v/>
      </c>
      <c r="X205" s="10" t="inlineStr">
        <is>
          <t>Sin dotación presupuestada en 2027 por corresponder a partidas singulares/no recurrentes.</t>
        </is>
      </c>
    </row>
    <row r="206" ht="18" customHeight="1">
      <c r="B206" s="6" t="n">
        <v>2027</v>
      </c>
      <c r="C206" s="6" t="inlineStr">
        <is>
          <t>Codiagro</t>
        </is>
      </c>
      <c r="D206" s="7" t="inlineStr">
        <is>
          <t>RESULTADO DEL EJERCICIO</t>
        </is>
      </c>
      <c r="E206" s="7" t="inlineStr">
        <is>
          <t>RESULTADO ANTES DE IMPUESTOS</t>
        </is>
      </c>
      <c r="F206" s="7" t="inlineStr">
        <is>
          <t>RESULTADO FINANCIERO</t>
        </is>
      </c>
      <c r="G206" s="7" t="inlineStr">
        <is>
          <t>14.- Ingresos financieros</t>
        </is>
      </c>
      <c r="H206" s="7" t="inlineStr">
        <is>
          <t>(769) Otros ingresos financieros</t>
        </is>
      </c>
      <c r="I206" s="7" t="inlineStr">
        <is>
          <t>769000000 - Otros ingresos financieros</t>
        </is>
      </c>
      <c r="J206" s="6" t="inlineStr">
        <is>
          <t>-</t>
        </is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9">
        <f>SUM(K206:V206)</f>
        <v/>
      </c>
      <c r="X206" s="10" t="inlineStr">
        <is>
          <t>Otros ingresos financieros: sin estimación en 2027.</t>
        </is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"/>
  <sheetViews>
    <sheetView showGridLines="1" workbookViewId="0">
      <selection activeCell="A1" sqref="A1"/>
    </sheetView>
  </sheetViews>
  <sheetFormatPr baseColWidth="8" defaultRowHeight="15"/>
  <cols>
    <col width="46" customWidth="1" min="2" max="2"/>
    <col width="20" customWidth="1" min="3" max="3"/>
    <col width="20" customWidth="1" min="4" max="4"/>
    <col width="16" customWidth="1" min="5" max="5"/>
    <col width="12" customWidth="1" min="6" max="6"/>
    <col width="65" customWidth="1" min="7" max="7"/>
  </cols>
  <sheetData>
    <row r="1" ht="28" customHeight="1">
      <c r="B1" s="1" t="inlineStr">
        <is>
          <t>CUADRO DE MANDO EJECUTIVO - P&amp;L 2027 (PRESUPUESTOS DEFINITIVOS V3)</t>
        </is>
      </c>
    </row>
    <row r="2" ht="20" customHeight="1">
      <c r="B2" s="2" t="inlineStr">
        <is>
          <t>Comparativa P&amp;L V5 vs Presupuestos Definitivos V3 (Salarios 1,806 M€, SS 420k €, Salvedad Transporte Exportación e Inmovilizaciones)</t>
        </is>
      </c>
    </row>
    <row r="4" ht="24" customHeight="1">
      <c r="B4" s="11" t="inlineStr">
        <is>
          <t>Partida P&amp;L (Cuenta PGC)</t>
        </is>
      </c>
      <c r="C4" s="11" t="inlineStr">
        <is>
          <t>P&amp;L Anterior V5 (€)</t>
        </is>
      </c>
      <c r="D4" s="11" t="inlineStr">
        <is>
          <t>Presupuesto V3 (€)</t>
        </is>
      </c>
      <c r="E4" s="11" t="inlineStr">
        <is>
          <t>Variación (€)</t>
        </is>
      </c>
      <c r="F4" s="11" t="inlineStr">
        <is>
          <t>Var (%)</t>
        </is>
      </c>
      <c r="G4" s="11" t="inlineStr">
        <is>
          <t>Criterio / Justificación V3</t>
        </is>
      </c>
    </row>
    <row r="5" ht="20" customHeight="1">
      <c r="B5" s="7" t="inlineStr">
        <is>
          <t>1. Ventas Brutas de Mercaderías (700000000)</t>
        </is>
      </c>
      <c r="C5" s="12" t="n">
        <v>17738160.29</v>
      </c>
      <c r="D5" s="12" t="n">
        <v>17738160.29</v>
      </c>
      <c r="E5" s="12" t="n">
        <v>0</v>
      </c>
      <c r="F5" s="13" t="n">
        <v>0</v>
      </c>
      <c r="G5" s="10" t="inlineStr">
        <is>
          <t>Presupuesto de Ventas 2027 oficial (17,74 M€)</t>
        </is>
      </c>
    </row>
    <row r="6" ht="20" customHeight="1">
      <c r="B6" s="7" t="inlineStr">
        <is>
          <t xml:space="preserve">   (-) Provisión Rappels Comerciales (709000001)</t>
        </is>
      </c>
      <c r="C6" s="12" t="n">
        <v>-389116</v>
      </c>
      <c r="D6" s="12" t="n">
        <v>-389116</v>
      </c>
      <c r="E6" s="12" t="n">
        <v>0</v>
      </c>
      <c r="F6" s="13" t="n">
        <v>0</v>
      </c>
      <c r="G6" s="10" t="inlineStr">
        <is>
          <t>2,19% s/ventas para ajustar Cifra Neta</t>
        </is>
      </c>
    </row>
    <row r="7" ht="20" customHeight="1">
      <c r="B7" s="7" t="inlineStr">
        <is>
          <t xml:space="preserve">   (+) Ingreso por Gestión de Envases (705000001)</t>
        </is>
      </c>
      <c r="C7" s="12" t="n">
        <v>34459.57</v>
      </c>
      <c r="D7" s="12" t="n">
        <v>34459.57</v>
      </c>
      <c r="E7" s="12" t="n">
        <v>0</v>
      </c>
      <c r="F7" s="13" t="n">
        <v>0</v>
      </c>
      <c r="G7" s="10" t="inlineStr">
        <is>
          <t>Facturación recurrente de gestión de envases</t>
        </is>
      </c>
    </row>
    <row r="8" ht="20" customHeight="1">
      <c r="B8" s="14" t="inlineStr">
        <is>
          <t>IMPORTE NETO CIFRA DE NEGOCIOS (CNN)</t>
        </is>
      </c>
      <c r="C8" s="15" t="n">
        <v>17383503.86</v>
      </c>
      <c r="D8" s="15" t="n">
        <v>17383503.86</v>
      </c>
      <c r="E8" s="15" t="n">
        <v>0</v>
      </c>
      <c r="F8" s="16" t="n">
        <v>0</v>
      </c>
      <c r="G8" s="17" t="inlineStr">
        <is>
          <t>Cifra neta real de ventas de la compañía</t>
        </is>
      </c>
    </row>
    <row r="9" ht="20" customHeight="1">
      <c r="B9" s="7" t="inlineStr">
        <is>
          <t xml:space="preserve">   (+) Otros Ingresos / Transporte Repercutido (700001624)</t>
        </is>
      </c>
      <c r="C9" s="12" t="n">
        <v>195119.77</v>
      </c>
      <c r="D9" s="12" t="n">
        <v>0</v>
      </c>
      <c r="E9" s="12" t="n">
        <v>-195119.77</v>
      </c>
      <c r="F9" s="13" t="n">
        <v>-1</v>
      </c>
      <c r="G9" s="10" t="inlineStr">
        <is>
          <t>Neutralizado a 0 € al excluir el gasto de transporte exportación</t>
        </is>
      </c>
    </row>
    <row r="10" ht="20" customHeight="1">
      <c r="B10" s="7" t="inlineStr">
        <is>
          <t>(-) Aprovisionamientos y Compras (Grupo 60)</t>
        </is>
      </c>
      <c r="C10" s="12" t="n">
        <v>-6190113.71</v>
      </c>
      <c r="D10" s="12" t="n">
        <v>-6407246.5</v>
      </c>
      <c r="E10" s="12" t="n">
        <v>-217132.79</v>
      </c>
      <c r="F10" s="13" t="n">
        <v>-0.03507735078423948</v>
      </c>
      <c r="G10" s="10" t="inlineStr">
        <is>
          <t>Actualizado con el presupuesto técnico de Compras 2027</t>
        </is>
      </c>
    </row>
    <row r="11" ht="20" customHeight="1">
      <c r="B11" s="14" t="inlineStr">
        <is>
          <t>MARGEN BRUTO DE EXPLOTACIÓN</t>
        </is>
      </c>
      <c r="C11" s="15" t="n">
        <v>11388509.92</v>
      </c>
      <c r="D11" s="15" t="n">
        <v>10976257.36</v>
      </c>
      <c r="E11" s="15" t="n">
        <v>-412252.5599999987</v>
      </c>
      <c r="F11" s="16" t="n">
        <v>-0.03619899028897704</v>
      </c>
      <c r="G11" s="17" t="inlineStr">
        <is>
          <t>Margen sobre ventas: 63.1%</t>
        </is>
      </c>
    </row>
    <row r="12" ht="20" customHeight="1">
      <c r="B12" s="7" t="inlineStr">
        <is>
          <t>(-) Gastos de Personal (Grupo 64)</t>
        </is>
      </c>
      <c r="C12" s="12" t="n">
        <v>-2113093.48</v>
      </c>
      <c r="D12" s="12" t="n">
        <v>-2228609.6</v>
      </c>
      <c r="E12" s="12" t="n">
        <v>-115516.1200000001</v>
      </c>
      <c r="F12" s="13" t="n">
        <v>-0.05466682903209758</v>
      </c>
      <c r="G12" s="10" t="inlineStr">
        <is>
          <t>Salarios brutos 1.806.076 € (640) + SS empresa 420.033,60 € (642) + Formación 2.500 € (649)</t>
        </is>
      </c>
    </row>
    <row r="13" ht="20" customHeight="1">
      <c r="B13" s="7" t="inlineStr">
        <is>
          <t>(-) Otros Gastos de Explotación - OPEX (Grupos 62 y 63)</t>
        </is>
      </c>
      <c r="C13" s="12" t="n">
        <v>-1969955.79</v>
      </c>
      <c r="D13" s="12" t="n">
        <v>-1705284.43</v>
      </c>
      <c r="E13" s="12" t="n">
        <v>264671.3600000001</v>
      </c>
      <c r="F13" s="13" t="n">
        <v>0.1343539592835229</v>
      </c>
      <c r="G13" s="10" t="inlineStr">
        <is>
          <t>Actualizado con presupuestos V3 de Transporte, Mantenimiento, Mkt y Regulatory</t>
        </is>
      </c>
    </row>
    <row r="14" ht="20" customHeight="1">
      <c r="B14" s="18" t="inlineStr">
        <is>
          <t>EBITDA (Resultado Operativo Bruto)</t>
        </is>
      </c>
      <c r="C14" s="19" t="n">
        <v>7305460.649999998</v>
      </c>
      <c r="D14" s="19" t="n">
        <v>7042363.33</v>
      </c>
      <c r="E14" s="19" t="n">
        <v>-263097.3199999975</v>
      </c>
      <c r="F14" s="20" t="n">
        <v>-0.03601378921943788</v>
      </c>
      <c r="G14" s="21" t="inlineStr">
        <is>
          <t>Rentabilidad operativa sobre ventas: 40.51%</t>
        </is>
      </c>
    </row>
    <row r="15" ht="20" customHeight="1">
      <c r="B15" s="7" t="inlineStr">
        <is>
          <t>(-) Dotación de Amortizaciones (Grupo 68)</t>
        </is>
      </c>
      <c r="C15" s="12" t="n">
        <v>-230704.2</v>
      </c>
      <c r="D15" s="12" t="n">
        <v>-230704.2</v>
      </c>
      <c r="E15" s="12" t="n">
        <v>0</v>
      </c>
      <c r="F15" s="13" t="n">
        <v>0</v>
      </c>
      <c r="G15" s="10" t="inlineStr">
        <is>
          <t>Dotación lineal de inmovilizado material e intangible</t>
        </is>
      </c>
    </row>
    <row r="16" ht="20" customHeight="1">
      <c r="B16" s="14" t="inlineStr">
        <is>
          <t>EBIT / RESULTADO DE EXPLOTACIÓN</t>
        </is>
      </c>
      <c r="C16" s="15" t="n">
        <v>7074756.449999997</v>
      </c>
      <c r="D16" s="15" t="n">
        <v>6811659.13</v>
      </c>
      <c r="E16" s="15" t="n">
        <v>-263097.3199999975</v>
      </c>
      <c r="F16" s="16" t="n">
        <v>-0.03718818052033404</v>
      </c>
      <c r="G16" s="17" t="inlineStr">
        <is>
          <t>Margen neto de explotación: 39.18%</t>
        </is>
      </c>
    </row>
    <row r="17" ht="20" customHeight="1">
      <c r="B17" s="7" t="inlineStr">
        <is>
          <t>(-) Gastos Financieros / Dto Pronto Pago (706000001)</t>
        </is>
      </c>
      <c r="C17" s="12" t="n">
        <v>-478930.32</v>
      </c>
      <c r="D17" s="12" t="n">
        <v>-478930.32</v>
      </c>
      <c r="E17" s="12" t="n">
        <v>0</v>
      </c>
      <c r="F17" s="13" t="n">
        <v>0</v>
      </c>
      <c r="G17" s="10" t="inlineStr">
        <is>
          <t>Descuentos financieros concedidos a clientes por pronto pago</t>
        </is>
      </c>
    </row>
    <row r="18" ht="20" customHeight="1">
      <c r="B18" s="14" t="inlineStr">
        <is>
          <t>RESULTADO ANTES DE IMPUESTOS (EBT / BAI)</t>
        </is>
      </c>
      <c r="C18" s="15" t="n">
        <v>6595826.129999997</v>
      </c>
      <c r="D18" s="15" t="n">
        <v>6332728.81</v>
      </c>
      <c r="E18" s="15" t="n">
        <v>-263097.3199999975</v>
      </c>
      <c r="F18" s="16" t="n">
        <v>-0.03988845594388001</v>
      </c>
      <c r="G18" s="17" t="inlineStr">
        <is>
          <t>Beneficio ordinario antes de impuesto sobre sociedades</t>
        </is>
      </c>
    </row>
    <row r="21">
      <c r="B21" s="22" t="inlineStr">
        <is>
          <t>ANÁLISIS DE SENSIBILIDAD Y TRATAMIENTO DE INMOVILIZACIONES (V3)</t>
        </is>
      </c>
    </row>
    <row r="22">
      <c r="B22" s="11" t="inlineStr">
        <is>
          <t>Escenario 2027</t>
        </is>
      </c>
      <c r="C22" s="11" t="inlineStr">
        <is>
          <t>EBITDA (€)</t>
        </is>
      </c>
      <c r="D22" s="11" t="inlineStr">
        <is>
          <t>% s/Ventas</t>
        </is>
      </c>
      <c r="E22" s="11" t="inlineStr">
        <is>
          <t>EBIT (€)</t>
        </is>
      </c>
      <c r="F22" s="11" t="inlineStr">
        <is>
          <t>% s/Ventas</t>
        </is>
      </c>
      <c r="G22" s="11" t="inlineStr">
        <is>
          <t>Hipótesis Contable y Operativa</t>
        </is>
      </c>
    </row>
    <row r="23" ht="22" customHeight="1">
      <c r="B23" s="23" t="inlineStr">
        <is>
          <t>Escenario A: Con Inmovilizaciones Activadas (Recomendado)</t>
        </is>
      </c>
      <c r="C23" s="24" t="n">
        <v>7042363.33</v>
      </c>
      <c r="D23" s="25" t="n">
        <v>0.4051175980812881</v>
      </c>
      <c r="E23" s="24" t="n">
        <v>6811659.13</v>
      </c>
      <c r="F23" s="25" t="n">
        <v>0.3918461539663385</v>
      </c>
      <c r="G23" s="21" t="inlineStr">
        <is>
          <t>Activa 61.210 € (16,3k marcas nuevas + 25,9k registros nuevos + 9,6k tejado nave + 9,4k molinos) en ctas 203, 211, 213 según PGC.</t>
        </is>
      </c>
    </row>
    <row r="24" ht="22" customHeight="1">
      <c r="B24" s="26" t="inlineStr">
        <is>
          <t>Escenario B: Todo a Gasto Corriente (Conservador)</t>
        </is>
      </c>
      <c r="C24" s="27" t="n">
        <v>6981153.33</v>
      </c>
      <c r="D24" s="28" t="n">
        <v>0.4015964437447998</v>
      </c>
      <c r="E24" s="27" t="n">
        <v>6750449.13</v>
      </c>
      <c r="F24" s="28" t="n">
        <v>0.3883249996298502</v>
      </c>
      <c r="G24" s="10" t="inlineStr">
        <is>
          <t>No activa ninguna partida de marcas ni registros; se imputan íntegramente a pérdidas y ganancias en 2027.</t>
        </is>
      </c>
    </row>
    <row r="25" ht="22" customHeight="1">
      <c r="B25" s="26" t="inlineStr">
        <is>
          <t>Escenario C: Con Reserva MOQ Compras en Stock</t>
        </is>
      </c>
      <c r="C25" s="27" t="n">
        <v>7224522.41</v>
      </c>
      <c r="D25" s="28" t="n">
        <v>0.4155964452381696</v>
      </c>
      <c r="E25" s="27" t="n">
        <v>6993818.21</v>
      </c>
      <c r="F25" s="28" t="n">
        <v>0.4023250011232201</v>
      </c>
      <c r="G25" s="10" t="inlineStr">
        <is>
          <t>Las compras incluyen +3% MOQ (182.159 €); al quedar en stock a 31/12 vía variación de existencias (cta 610/611), no minoran el EBITDA.</t>
        </is>
      </c>
    </row>
    <row r="27">
      <c r="B27" s="29" t="inlineStr">
        <is>
          <t>ℹ️ SALVEDAD EXPRESA - TRANSPORTE DE EXPORTACIÓN (305.223,30 €):
El transporte internacional de exportación presupuestado por el área logística (305.223,30 €) se repercute íntegramente a los clientes en las facturas comerciales de venta (a través de la cuenta 700001624). Conforme a las instrucciones expresas, este importe NO figura como gasto operativo en la cuenta 624000002 de Codiagro, teniendo un impacto neto neutro (0,00 €) en el EBITDA presupuestado.</t>
        </is>
      </c>
      <c r="C27" s="30" t="n"/>
      <c r="D27" s="30" t="n"/>
      <c r="E27" s="30" t="n"/>
      <c r="F27" s="30" t="n"/>
      <c r="G27" s="30" t="n"/>
    </row>
    <row r="28">
      <c r="B28" s="30" t="n"/>
      <c r="C28" s="30" t="n"/>
      <c r="D28" s="30" t="n"/>
      <c r="E28" s="30" t="n"/>
      <c r="F28" s="30" t="n"/>
      <c r="G28" s="30" t="n"/>
    </row>
    <row r="29">
      <c r="B29" s="30" t="n"/>
      <c r="C29" s="30" t="n"/>
      <c r="D29" s="30" t="n"/>
      <c r="E29" s="30" t="n"/>
      <c r="F29" s="30" t="n"/>
      <c r="G29" s="30" t="n"/>
    </row>
  </sheetData>
  <mergeCells count="2">
    <mergeCell ref="B1:I1"/>
    <mergeCell ref="B27:G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H37"/>
  <sheetViews>
    <sheetView showGridLines="1" workbookViewId="0">
      <selection activeCell="A1" sqref="A1"/>
    </sheetView>
  </sheetViews>
  <sheetFormatPr baseColWidth="8" defaultRowHeight="15"/>
  <cols>
    <col width="16" customWidth="1" min="2" max="2"/>
    <col width="38" customWidth="1" min="3" max="3"/>
    <col width="16" customWidth="1" min="4" max="4"/>
    <col width="18" customWidth="1" min="5" max="5"/>
    <col width="18" customWidth="1" min="6" max="6"/>
    <col width="18" customWidth="1" min="7" max="7"/>
    <col width="55" customWidth="1" min="8" max="8"/>
  </cols>
  <sheetData>
    <row r="1" ht="28" customHeight="1">
      <c r="B1" s="1" t="inlineStr">
        <is>
          <t>COMPARATIVA DETALLADA DE CUENTAS PGC MODIFICADAS (PRESUPUESTOS V3)</t>
        </is>
      </c>
    </row>
    <row r="2" ht="20" customHeight="1">
      <c r="B2" s="2" t="inlineStr">
        <is>
          <t>Detalle cuenta a cuenta del impacto entre el P&amp;L anterior V5 y el nuevo Presupuesto Definitivo V3</t>
        </is>
      </c>
    </row>
    <row r="4" ht="24" customHeight="1">
      <c r="B4" s="11" t="inlineStr">
        <is>
          <t>Cuenta PGC</t>
        </is>
      </c>
      <c r="C4" s="11" t="inlineStr">
        <is>
          <t>Descripción Cuenta</t>
        </is>
      </c>
      <c r="D4" s="11" t="inlineStr">
        <is>
          <t>Área / Departamento</t>
        </is>
      </c>
      <c r="E4" s="11" t="inlineStr">
        <is>
          <t>P&amp;L Anterior V5 (€)</t>
        </is>
      </c>
      <c r="F4" s="11" t="inlineStr">
        <is>
          <t>Presupuesto V3 (€)</t>
        </is>
      </c>
      <c r="G4" s="11" t="inlineStr">
        <is>
          <t>Diferencia (€)</t>
        </is>
      </c>
      <c r="H4" s="11" t="inlineStr">
        <is>
          <t>Motivo y Justificación Técnica</t>
        </is>
      </c>
    </row>
    <row r="5" ht="19" customHeight="1">
      <c r="B5" s="31" t="inlineStr">
        <is>
          <t>700001624</t>
        </is>
      </c>
      <c r="C5" s="30" t="inlineStr">
        <is>
          <t>VENTA POR TRANSPORTE REP. AL CLIENTE</t>
        </is>
      </c>
      <c r="D5" s="31" t="inlineStr">
        <is>
          <t>Transporte</t>
        </is>
      </c>
      <c r="E5" s="27" t="n">
        <v>195119.77</v>
      </c>
      <c r="F5" s="27" t="n">
        <v>0</v>
      </c>
      <c r="G5" s="27" t="n">
        <v>-195119.77</v>
      </c>
      <c r="H5" s="10" t="inlineStr">
        <is>
          <t>Neutralizado al excluir el gasto en 624000002 (impacto neto neutro)</t>
        </is>
      </c>
    </row>
    <row r="6" ht="19" customHeight="1">
      <c r="B6" s="31" t="inlineStr">
        <is>
          <t>709000001</t>
        </is>
      </c>
      <c r="C6" s="30" t="inlineStr">
        <is>
          <t>PROVISION RAPPELS</t>
        </is>
      </c>
      <c r="D6" s="31" t="inlineStr">
        <is>
          <t>Ventas</t>
        </is>
      </c>
      <c r="E6" s="27" t="n">
        <v>0</v>
      </c>
      <c r="F6" s="27" t="n">
        <v>-389116</v>
      </c>
      <c r="G6" s="27" t="n">
        <v>-389116</v>
      </c>
      <c r="H6" s="10" t="inlineStr">
        <is>
          <t>Provisión 2,19% sobre ventas brutas</t>
        </is>
      </c>
    </row>
    <row r="7" ht="19" customHeight="1">
      <c r="B7" s="31" t="inlineStr">
        <is>
          <t>601000000</t>
        </is>
      </c>
      <c r="C7" s="30" t="inlineStr">
        <is>
          <t>Compras de materias primas</t>
        </is>
      </c>
      <c r="D7" s="31" t="inlineStr">
        <is>
          <t>Compras</t>
        </is>
      </c>
      <c r="E7" s="27" t="n">
        <v>-4791963.999999999</v>
      </c>
      <c r="F7" s="27" t="n">
        <v>-4850076.71</v>
      </c>
      <c r="G7" s="27" t="n">
        <v>-58112.71000000089</v>
      </c>
      <c r="H7" s="10" t="inlineStr">
        <is>
          <t>Necesidades netas de formulación (Presupuesto Compras 2027)</t>
        </is>
      </c>
    </row>
    <row r="8" ht="19" customHeight="1">
      <c r="B8" s="31" t="inlineStr">
        <is>
          <t>602000001</t>
        </is>
      </c>
      <c r="C8" s="30" t="inlineStr">
        <is>
          <t>COMPRA DE ENVASES Y EMBALAJES</t>
        </is>
      </c>
      <c r="D8" s="31" t="inlineStr">
        <is>
          <t>Compras</t>
        </is>
      </c>
      <c r="E8" s="27" t="n">
        <v>-998826.14</v>
      </c>
      <c r="F8" s="27" t="n">
        <v>-1001286</v>
      </c>
      <c r="G8" s="27" t="n">
        <v>-2459.859999999986</v>
      </c>
      <c r="H8" s="10" t="inlineStr">
        <is>
          <t>Volumen de envasado 2027</t>
        </is>
      </c>
    </row>
    <row r="9" ht="19" customHeight="1">
      <c r="B9" s="31" t="inlineStr">
        <is>
          <t>602000002</t>
        </is>
      </c>
      <c r="C9" s="30" t="inlineStr">
        <is>
          <t>COMPRA DE ETIQUETAS</t>
        </is>
      </c>
      <c r="D9" s="31" t="inlineStr">
        <is>
          <t>Compras</t>
        </is>
      </c>
      <c r="E9" s="27" t="n">
        <v>-101284.89</v>
      </c>
      <c r="F9" s="27" t="n">
        <v>-156353.22</v>
      </c>
      <c r="G9" s="27" t="n">
        <v>-55068.32999999999</v>
      </c>
      <c r="H9" s="10" t="inlineStr">
        <is>
          <t>Tarifas y consumo etiquetas</t>
        </is>
      </c>
    </row>
    <row r="10" ht="19" customHeight="1">
      <c r="B10" s="31" t="inlineStr">
        <is>
          <t>602000003</t>
        </is>
      </c>
      <c r="C10" s="30" t="inlineStr">
        <is>
          <t>COMPRA DE PALETS</t>
        </is>
      </c>
      <c r="D10" s="31" t="inlineStr">
        <is>
          <t>Compras</t>
        </is>
      </c>
      <c r="E10" s="27" t="n">
        <v>-105364.66</v>
      </c>
      <c r="F10" s="27" t="n">
        <v>-162607.34</v>
      </c>
      <c r="G10" s="27" t="n">
        <v>-57242.68000000001</v>
      </c>
      <c r="H10" s="10" t="inlineStr">
        <is>
          <t>Palets según expediciones</t>
        </is>
      </c>
    </row>
    <row r="11" ht="19" customHeight="1">
      <c r="B11" s="31" t="inlineStr">
        <is>
          <t>602000006</t>
        </is>
      </c>
      <c r="C11" s="30" t="inlineStr">
        <is>
          <t>COMPRA TAPONES DE ENVASES</t>
        </is>
      </c>
      <c r="D11" s="31" t="inlineStr">
        <is>
          <t>Compras</t>
        </is>
      </c>
      <c r="E11" s="27" t="n">
        <v>-39556.10000000001</v>
      </c>
      <c r="F11" s="27" t="n">
        <v>-83805.31</v>
      </c>
      <c r="G11" s="27" t="n">
        <v>-44249.20999999999</v>
      </c>
      <c r="H11" s="10" t="inlineStr">
        <is>
          <t>Tapones según unidades envasadas</t>
        </is>
      </c>
    </row>
    <row r="12" ht="19" customHeight="1">
      <c r="B12" s="31" t="inlineStr">
        <is>
          <t>640000000</t>
        </is>
      </c>
      <c r="C12" s="30" t="inlineStr">
        <is>
          <t>Sueldos y salarios</t>
        </is>
      </c>
      <c r="D12" s="31" t="inlineStr">
        <is>
          <t>Personal</t>
        </is>
      </c>
      <c r="E12" s="27" t="n">
        <v>-1815728.88</v>
      </c>
      <c r="F12" s="27" t="n">
        <v>-1806076</v>
      </c>
      <c r="G12" s="27" t="n">
        <v>9652.880000000121</v>
      </c>
      <c r="H12" s="10" t="inlineStr">
        <is>
          <t>Salario bruto definitivo 2027 (-1.806.076,00 €)</t>
        </is>
      </c>
    </row>
    <row r="13" ht="19" customHeight="1">
      <c r="B13" s="31" t="inlineStr">
        <is>
          <t>642000000</t>
        </is>
      </c>
      <c r="C13" s="30" t="inlineStr">
        <is>
          <t>Seguridad Social a cargo empresa</t>
        </is>
      </c>
      <c r="D13" s="31" t="inlineStr">
        <is>
          <t>Personal</t>
        </is>
      </c>
      <c r="E13" s="27" t="n">
        <v>-294864.5999999999</v>
      </c>
      <c r="F13" s="27" t="n">
        <v>-420033.6</v>
      </c>
      <c r="G13" s="27" t="n">
        <v>-125169.0000000001</v>
      </c>
      <c r="H13" s="10" t="inlineStr">
        <is>
          <t>Seguridad Social definitiva 2027 (-420.033,60 €)</t>
        </is>
      </c>
    </row>
    <row r="14" ht="19" customHeight="1">
      <c r="B14" s="31" t="inlineStr">
        <is>
          <t>622000006</t>
        </is>
      </c>
      <c r="C14" s="30" t="inlineStr">
        <is>
          <t>REP. Y MANT. INSTALACIONES</t>
        </is>
      </c>
      <c r="D14" s="31" t="inlineStr">
        <is>
          <t>Mantenimiento</t>
        </is>
      </c>
      <c r="E14" s="27" t="n">
        <v>-17110.2</v>
      </c>
      <c r="F14" s="27" t="n">
        <v>-18848.14</v>
      </c>
      <c r="G14" s="27" t="n">
        <v>-1737.939999999999</v>
      </c>
      <c r="H14" s="10" t="inlineStr">
        <is>
          <t>Cubierta nave, puerta corredera e instalaciones</t>
        </is>
      </c>
    </row>
    <row r="15" ht="19" customHeight="1">
      <c r="B15" s="31" t="inlineStr">
        <is>
          <t>622010200</t>
        </is>
      </c>
      <c r="C15" s="30" t="inlineStr">
        <is>
          <t>ALCAPLANT</t>
        </is>
      </c>
      <c r="D15" s="31" t="inlineStr">
        <is>
          <t>Mantenimiento</t>
        </is>
      </c>
      <c r="E15" s="27" t="n">
        <v>-30331.56000000001</v>
      </c>
      <c r="F15" s="27" t="n">
        <v>-5594.4</v>
      </c>
      <c r="G15" s="27" t="n">
        <v>24737.16000000001</v>
      </c>
      <c r="H15" s="10" t="inlineStr">
        <is>
          <t>Mantenimiento preventivo molinos Alcaplant</t>
        </is>
      </c>
    </row>
    <row r="16" ht="19" customHeight="1">
      <c r="B16" s="31" t="inlineStr">
        <is>
          <t>622010201</t>
        </is>
      </c>
      <c r="C16" s="30" t="inlineStr">
        <is>
          <t>REPARACIONES ALCAPLANT</t>
        </is>
      </c>
      <c r="D16" s="31" t="inlineStr">
        <is>
          <t>Mantenimiento</t>
        </is>
      </c>
      <c r="E16" s="27" t="n">
        <v>-50245.68</v>
      </c>
      <c r="F16" s="27" t="n">
        <v>0</v>
      </c>
      <c r="G16" s="27" t="n">
        <v>50245.68</v>
      </c>
      <c r="H16" s="10" t="inlineStr">
        <is>
          <t>Integrado en cuenta matriz 622010200</t>
        </is>
      </c>
    </row>
    <row r="17" ht="19" customHeight="1">
      <c r="B17" s="31" t="inlineStr">
        <is>
          <t>622010300</t>
        </is>
      </c>
      <c r="C17" s="30" t="inlineStr">
        <is>
          <t>SOLIDOS</t>
        </is>
      </c>
      <c r="D17" s="31" t="inlineStr">
        <is>
          <t>Mantenimiento</t>
        </is>
      </c>
      <c r="E17" s="27" t="n">
        <v>-71268.96000000001</v>
      </c>
      <c r="F17" s="27" t="n">
        <v>-7035</v>
      </c>
      <c r="G17" s="27" t="n">
        <v>64233.96000000001</v>
      </c>
      <c r="H17" s="10" t="inlineStr">
        <is>
          <t>Presupuesto técnico línea sólidos</t>
        </is>
      </c>
    </row>
    <row r="18" ht="19" customHeight="1">
      <c r="B18" s="31" t="inlineStr">
        <is>
          <t>622010400</t>
        </is>
      </c>
      <c r="C18" s="30" t="inlineStr">
        <is>
          <t>LIQUIDOS</t>
        </is>
      </c>
      <c r="D18" s="31" t="inlineStr">
        <is>
          <t>Mantenimiento</t>
        </is>
      </c>
      <c r="E18" s="27" t="n">
        <v>-10990.8</v>
      </c>
      <c r="F18" s="27" t="n">
        <v>-6090</v>
      </c>
      <c r="G18" s="27" t="n">
        <v>4900.799999999997</v>
      </c>
      <c r="H18" s="10" t="inlineStr">
        <is>
          <t>Presupuesto técnico línea líquidos</t>
        </is>
      </c>
    </row>
    <row r="19" ht="19" customHeight="1">
      <c r="B19" s="31" t="inlineStr">
        <is>
          <t>622010500</t>
        </is>
      </c>
      <c r="C19" s="30" t="inlineStr">
        <is>
          <t>REPUESTOS MANT. VARIOS</t>
        </is>
      </c>
      <c r="D19" s="31" t="inlineStr">
        <is>
          <t>Mantenimiento</t>
        </is>
      </c>
      <c r="E19" s="27" t="n">
        <v>-9458.4</v>
      </c>
      <c r="F19" s="27" t="n">
        <v>-3255</v>
      </c>
      <c r="G19" s="27" t="n">
        <v>6203.4</v>
      </c>
      <c r="H19" s="10" t="inlineStr">
        <is>
          <t>Presupuesto consumibles taller</t>
        </is>
      </c>
    </row>
    <row r="20" ht="19" customHeight="1">
      <c r="B20" s="31" t="inlineStr">
        <is>
          <t>622010501</t>
        </is>
      </c>
      <c r="C20" s="30" t="inlineStr">
        <is>
          <t>REP. MANT. FONTANERIA</t>
        </is>
      </c>
      <c r="D20" s="31" t="inlineStr">
        <is>
          <t>Mantenimiento</t>
        </is>
      </c>
      <c r="E20" s="27" t="n">
        <v>-1457.28</v>
      </c>
      <c r="F20" s="27" t="n">
        <v>0</v>
      </c>
      <c r="G20" s="27" t="n">
        <v>1457.28</v>
      </c>
      <c r="H20" s="10" t="inlineStr">
        <is>
          <t>Integrado en 622010400 / 622010500</t>
        </is>
      </c>
    </row>
    <row r="21" ht="19" customHeight="1">
      <c r="B21" s="31" t="inlineStr">
        <is>
          <t>623000003</t>
        </is>
      </c>
      <c r="C21" s="30" t="inlineStr">
        <is>
          <t>SERV. NOTARIOS, REGISTROS</t>
        </is>
      </c>
      <c r="D21" s="31" t="inlineStr">
        <is>
          <t>Regulatory</t>
        </is>
      </c>
      <c r="E21" s="27" t="n">
        <v>-24000</v>
      </c>
      <c r="F21" s="27" t="n">
        <v>-550</v>
      </c>
      <c r="G21" s="27" t="n">
        <v>23450</v>
      </c>
      <c r="H21" s="10" t="inlineStr">
        <is>
          <t>Registros corriente (activación 25,9k € en 203)</t>
        </is>
      </c>
    </row>
    <row r="22" ht="19" customHeight="1">
      <c r="B22" s="31" t="inlineStr">
        <is>
          <t>623000004</t>
        </is>
      </c>
      <c r="C22" s="30" t="inlineStr">
        <is>
          <t>GTOS. BCS. OKO</t>
        </is>
      </c>
      <c r="D22" s="31" t="inlineStr">
        <is>
          <t>Regulatory</t>
        </is>
      </c>
      <c r="E22" s="27" t="n">
        <v>-15253.68</v>
      </c>
      <c r="F22" s="27" t="n">
        <v>-10193</v>
      </c>
      <c r="G22" s="27" t="n">
        <v>5060.679999999998</v>
      </c>
      <c r="H22" s="10" t="inlineStr">
        <is>
          <t>Certificaciones ecológicas según calendario</t>
        </is>
      </c>
    </row>
    <row r="23" ht="19" customHeight="1">
      <c r="B23" s="31" t="inlineStr">
        <is>
          <t>624000001</t>
        </is>
      </c>
      <c r="C23" s="30" t="inlineStr">
        <is>
          <t>TRANSPORTES NACIONAL</t>
        </is>
      </c>
      <c r="D23" s="31" t="inlineStr">
        <is>
          <t>Transporte</t>
        </is>
      </c>
      <c r="E23" s="27" t="n">
        <v>-212857.93</v>
      </c>
      <c r="F23" s="27" t="n">
        <v>-166472.15</v>
      </c>
      <c r="G23" s="27" t="n">
        <v>46385.78</v>
      </c>
      <c r="H23" s="10" t="inlineStr">
        <is>
          <t>Tarifas negociadas Campillo Palmera (-46.4k € ahorro)</t>
        </is>
      </c>
    </row>
    <row r="24" ht="19" customHeight="1">
      <c r="B24" s="31" t="inlineStr">
        <is>
          <t>624000002</t>
        </is>
      </c>
      <c r="C24" s="30" t="inlineStr">
        <is>
          <t>TRANSPORTE INTERNACIONAL</t>
        </is>
      </c>
      <c r="D24" s="31" t="inlineStr">
        <is>
          <t>Transporte</t>
        </is>
      </c>
      <c r="E24" s="27" t="n">
        <v>-150774.37</v>
      </c>
      <c r="F24" s="27" t="n">
        <v>0</v>
      </c>
      <c r="G24" s="27" t="n">
        <v>150774.37</v>
      </c>
      <c r="H24" s="10" t="inlineStr">
        <is>
          <t>Repercutido 100% al cliente en factura (0 € gasto neto Codiagro)</t>
        </is>
      </c>
    </row>
    <row r="25" ht="19" customHeight="1">
      <c r="B25" s="31" t="inlineStr">
        <is>
          <t>624000003</t>
        </is>
      </c>
      <c r="C25" s="30" t="inlineStr">
        <is>
          <t>TRANSPORTES CANARIAS</t>
        </is>
      </c>
      <c r="D25" s="31" t="inlineStr">
        <is>
          <t>Transporte</t>
        </is>
      </c>
      <c r="E25" s="27" t="n">
        <v>-88690.8</v>
      </c>
      <c r="F25" s="27" t="n">
        <v>-79198.28</v>
      </c>
      <c r="G25" s="27" t="n">
        <v>9492.520000000004</v>
      </c>
      <c r="H25" s="10" t="inlineStr">
        <is>
          <t>Tarifas insulares Sealine (-9.5k € ahorro)</t>
        </is>
      </c>
    </row>
    <row r="26" ht="19" customHeight="1">
      <c r="B26" s="31" t="inlineStr">
        <is>
          <t>624000004</t>
        </is>
      </c>
      <c r="C26" s="30" t="inlineStr">
        <is>
          <t>GTOS. FLETE REP. AL CLIENTE</t>
        </is>
      </c>
      <c r="D26" s="31" t="inlineStr">
        <is>
          <t>Transporte</t>
        </is>
      </c>
      <c r="E26" s="27" t="n">
        <v>-79821.73</v>
      </c>
      <c r="F26" s="27" t="n">
        <v>0</v>
      </c>
      <c r="G26" s="27" t="n">
        <v>79821.73</v>
      </c>
      <c r="H26" s="10" t="inlineStr">
        <is>
          <t>Repercutido 100% al cliente en factura</t>
        </is>
      </c>
    </row>
    <row r="27" ht="19" customHeight="1">
      <c r="B27" s="31" t="inlineStr">
        <is>
          <t>627000004</t>
        </is>
      </c>
      <c r="C27" s="30" t="inlineStr">
        <is>
          <t>627000004 - RELACIONES PUBLICAS</t>
        </is>
      </c>
      <c r="D27" s="31" t="inlineStr">
        <is>
          <t>Marketing</t>
        </is>
      </c>
      <c r="E27" s="27" t="n">
        <v>-2682.5</v>
      </c>
      <c r="F27" s="27" t="n">
        <v>0</v>
      </c>
      <c r="G27" s="27" t="n">
        <v>2682.5</v>
      </c>
      <c r="H27" s="10" t="inlineStr">
        <is>
          <t>Reclasificado en 627000008</t>
        </is>
      </c>
    </row>
    <row r="28" ht="19" customHeight="1">
      <c r="B28" s="31" t="inlineStr">
        <is>
          <t>627000005</t>
        </is>
      </c>
      <c r="C28" s="30" t="inlineStr">
        <is>
          <t>627000005 - INVITACIONES CLIENTES</t>
        </is>
      </c>
      <c r="D28" s="31" t="inlineStr">
        <is>
          <t>Marketing</t>
        </is>
      </c>
      <c r="E28" s="27" t="n">
        <v>-5087.5</v>
      </c>
      <c r="F28" s="27" t="n">
        <v>0</v>
      </c>
      <c r="G28" s="27" t="n">
        <v>5087.5</v>
      </c>
      <c r="H28" s="10" t="inlineStr">
        <is>
          <t>Reclasificado en 627000008</t>
        </is>
      </c>
    </row>
    <row r="29" ht="19" customHeight="1">
      <c r="B29" s="31" t="inlineStr">
        <is>
          <t>627000006</t>
        </is>
      </c>
      <c r="C29" s="30" t="inlineStr">
        <is>
          <t>PUBLICIDAD CATALOGOS Y FOLLETOS</t>
        </is>
      </c>
      <c r="D29" s="31" t="inlineStr">
        <is>
          <t>Marketing</t>
        </is>
      </c>
      <c r="E29" s="27" t="n">
        <v>-1236.75</v>
      </c>
      <c r="F29" s="27" t="n">
        <v>-25630</v>
      </c>
      <c r="G29" s="27" t="n">
        <v>-24393.25</v>
      </c>
      <c r="H29" s="10" t="inlineStr">
        <is>
          <t>Marketing corporativo transversal V5</t>
        </is>
      </c>
    </row>
    <row r="30" ht="19" customHeight="1">
      <c r="B30" s="31" t="inlineStr">
        <is>
          <t>627000007</t>
        </is>
      </c>
      <c r="C30" s="30" t="inlineStr">
        <is>
          <t>FERIAS</t>
        </is>
      </c>
      <c r="D30" s="31" t="inlineStr">
        <is>
          <t>Marketing</t>
        </is>
      </c>
      <c r="E30" s="27" t="n">
        <v>-3855.75</v>
      </c>
      <c r="F30" s="27" t="n">
        <v>-33769.99</v>
      </c>
      <c r="G30" s="27" t="n">
        <v>-29914.24</v>
      </c>
      <c r="H30" s="10" t="inlineStr">
        <is>
          <t>Ferias internacionales V5</t>
        </is>
      </c>
    </row>
    <row r="31" ht="19" customHeight="1">
      <c r="B31" s="31" t="inlineStr">
        <is>
          <t>627000008</t>
        </is>
      </c>
      <c r="C31" s="30" t="inlineStr">
        <is>
          <t>MARKETING</t>
        </is>
      </c>
      <c r="D31" s="31" t="inlineStr">
        <is>
          <t>Marketing</t>
        </is>
      </c>
      <c r="E31" s="27" t="n">
        <v>0</v>
      </c>
      <c r="F31" s="27" t="n">
        <v>-196299.99</v>
      </c>
      <c r="G31" s="27" t="n">
        <v>-196299.99</v>
      </c>
      <c r="H31" s="10" t="inlineStr">
        <is>
          <t>Activación comercial clientes y productos foco V5</t>
        </is>
      </c>
    </row>
    <row r="32" ht="19" customHeight="1">
      <c r="B32" s="31" t="inlineStr">
        <is>
          <t>627000009</t>
        </is>
      </c>
      <c r="C32" s="30" t="inlineStr">
        <is>
          <t>ARTICULOS PUBLICIDAD</t>
        </is>
      </c>
      <c r="D32" s="31" t="inlineStr">
        <is>
          <t>Marketing</t>
        </is>
      </c>
      <c r="E32" s="27" t="n">
        <v>-26500</v>
      </c>
      <c r="F32" s="27" t="n">
        <v>-10372.4</v>
      </c>
      <c r="G32" s="27" t="n">
        <v>16127.6</v>
      </c>
      <c r="H32" s="10" t="inlineStr">
        <is>
          <t>Fondo de reserva táctica comercial V5</t>
        </is>
      </c>
    </row>
    <row r="33" ht="19" customHeight="1">
      <c r="B33" s="31" t="inlineStr">
        <is>
          <t>627000010</t>
        </is>
      </c>
      <c r="C33" s="30" t="inlineStr">
        <is>
          <t>627000010 - RELACIONES PUBLICAS TEC. CLIENTES</t>
        </is>
      </c>
      <c r="D33" s="31" t="inlineStr">
        <is>
          <t>Marketing</t>
        </is>
      </c>
      <c r="E33" s="27" t="n">
        <v>-10334.5</v>
      </c>
      <c r="F33" s="27" t="n">
        <v>0</v>
      </c>
      <c r="G33" s="27" t="n">
        <v>10334.5</v>
      </c>
      <c r="H33" s="10" t="inlineStr">
        <is>
          <t>Reclasificado en 627000008</t>
        </is>
      </c>
    </row>
    <row r="34" ht="19" customHeight="1">
      <c r="B34" s="31" t="inlineStr">
        <is>
          <t>629000002</t>
        </is>
      </c>
      <c r="C34" s="30" t="inlineStr">
        <is>
          <t>OTROS GASTOS / SCRAP AEVAE</t>
        </is>
      </c>
      <c r="D34" s="31" t="inlineStr">
        <is>
          <t>Regulatory</t>
        </is>
      </c>
      <c r="E34" s="27" t="n">
        <v>-11379.84</v>
      </c>
      <c r="F34" s="27" t="n">
        <v>-25315</v>
      </c>
      <c r="G34" s="27" t="n">
        <v>-13935.16</v>
      </c>
      <c r="H34" s="10" t="inlineStr">
        <is>
          <t>Cuotas AEVAE según volumen puesto en mercado</t>
        </is>
      </c>
    </row>
    <row r="35" ht="19" customHeight="1">
      <c r="B35" s="31" t="inlineStr">
        <is>
          <t>629000005</t>
        </is>
      </c>
      <c r="C35" s="30" t="inlineStr">
        <is>
          <t>GTOS. ANALISIS LABORATORIOS</t>
        </is>
      </c>
      <c r="D35" s="31" t="inlineStr">
        <is>
          <t>Regulatory</t>
        </is>
      </c>
      <c r="E35" s="27" t="n">
        <v>-11295.24</v>
      </c>
      <c r="F35" s="27" t="n">
        <v>-6600</v>
      </c>
      <c r="G35" s="27" t="n">
        <v>4695.240000000003</v>
      </c>
      <c r="H35" s="10" t="inlineStr">
        <is>
          <t>Análisis reglamentarios externos</t>
        </is>
      </c>
    </row>
    <row r="36" ht="19" customHeight="1">
      <c r="B36" s="31" t="inlineStr">
        <is>
          <t>629000007</t>
        </is>
      </c>
      <c r="C36" s="30" t="inlineStr">
        <is>
          <t>GASTOS RETIRADA DE RESIDUOS</t>
        </is>
      </c>
      <c r="D36" s="31" t="inlineStr">
        <is>
          <t>Regulatory</t>
        </is>
      </c>
      <c r="E36" s="27" t="n">
        <v>-34000</v>
      </c>
      <c r="F36" s="27" t="n">
        <v>-74400</v>
      </c>
      <c r="G36" s="27" t="n">
        <v>-40400</v>
      </c>
      <c r="H36" s="10" t="inlineStr">
        <is>
          <t>Gasto mensual regularizado a 6.200 €/mes</t>
        </is>
      </c>
    </row>
    <row r="37" ht="19" customHeight="1">
      <c r="B37" s="31" t="inlineStr">
        <is>
          <t>629000008</t>
        </is>
      </c>
      <c r="C37" s="30" t="inlineStr">
        <is>
          <t>CUOTAS ASOCIACIONES</t>
        </is>
      </c>
      <c r="D37" s="31" t="inlineStr">
        <is>
          <t>Regulatory</t>
        </is>
      </c>
      <c r="E37" s="27" t="n">
        <v>-9621.839999999998</v>
      </c>
      <c r="F37" s="27" t="n">
        <v>-2400</v>
      </c>
      <c r="G37" s="27" t="n">
        <v>7221.839999999998</v>
      </c>
      <c r="H37" s="10" t="inlineStr">
        <is>
          <t>Alineado con cuota Quimacova (-7.2k € ahorro)</t>
        </is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V76"/>
  <sheetViews>
    <sheetView showGridLines="1" workbookViewId="0">
      <selection activeCell="A1" sqref="A1"/>
    </sheetView>
  </sheetViews>
  <sheetFormatPr baseColWidth="8" defaultRowHeight="15"/>
  <cols>
    <col width="14" customWidth="1" min="2" max="2"/>
    <col width="20" customWidth="1" min="3" max="3"/>
    <col width="38" customWidth="1" min="4" max="4"/>
    <col width="24" customWidth="1" min="5" max="5"/>
    <col width="14" customWidth="1" min="6" max="6"/>
    <col width="30" customWidth="1" min="7" max="7"/>
    <col width="18" customWidth="1" min="8" max="8"/>
    <col width="24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6" customWidth="1" min="22" max="22"/>
  </cols>
  <sheetData>
    <row r="1" ht="28" customHeight="1">
      <c r="B1" s="1" t="inlineStr">
        <is>
          <t>DETALLE MENSUAL DE PRESUPUESTOS POR DEPARTAMENTO (EJERCICIO 2027)</t>
        </is>
      </c>
    </row>
    <row r="3" ht="24" customHeight="1">
      <c r="B3" s="11" t="inlineStr">
        <is>
          <t>Depto</t>
        </is>
      </c>
      <c r="C3" s="11" t="inlineStr">
        <is>
          <t>Subcategoría</t>
        </is>
      </c>
      <c r="D3" s="11" t="inlineStr">
        <is>
          <t>Partida / Concepto Detallado</t>
        </is>
      </c>
      <c r="E3" s="11" t="inlineStr">
        <is>
          <t>Proveedor / Destino</t>
        </is>
      </c>
      <c r="F3" s="11" t="inlineStr">
        <is>
          <t>Cta PGC Gasto</t>
        </is>
      </c>
      <c r="G3" s="11" t="inlineStr">
        <is>
          <t>Nombre Cuenta PGC</t>
        </is>
      </c>
      <c r="H3" s="11" t="inlineStr">
        <is>
          <t>Tipo Contable</t>
        </is>
      </c>
      <c r="I3" s="11" t="inlineStr">
        <is>
          <t>Cta Inmovilizado</t>
        </is>
      </c>
      <c r="J3" s="11" t="inlineStr">
        <is>
          <t>Ene</t>
        </is>
      </c>
      <c r="K3" s="11" t="inlineStr">
        <is>
          <t>Feb</t>
        </is>
      </c>
      <c r="L3" s="11" t="inlineStr">
        <is>
          <t>Mar</t>
        </is>
      </c>
      <c r="M3" s="11" t="inlineStr">
        <is>
          <t>Abr</t>
        </is>
      </c>
      <c r="N3" s="11" t="inlineStr">
        <is>
          <t>May</t>
        </is>
      </c>
      <c r="O3" s="11" t="inlineStr">
        <is>
          <t>Jun</t>
        </is>
      </c>
      <c r="P3" s="11" t="inlineStr">
        <is>
          <t>Jul</t>
        </is>
      </c>
      <c r="Q3" s="11" t="inlineStr">
        <is>
          <t>Ago</t>
        </is>
      </c>
      <c r="R3" s="11" t="inlineStr">
        <is>
          <t>Sep</t>
        </is>
      </c>
      <c r="S3" s="11" t="inlineStr">
        <is>
          <t>Oct</t>
        </is>
      </c>
      <c r="T3" s="11" t="inlineStr">
        <is>
          <t>Nov</t>
        </is>
      </c>
      <c r="U3" s="11" t="inlineStr">
        <is>
          <t>Dic</t>
        </is>
      </c>
      <c r="V3" s="11" t="inlineStr">
        <is>
          <t>Total 2027 (€)</t>
        </is>
      </c>
    </row>
    <row r="4" ht="18" customHeight="1">
      <c r="B4" s="31" t="inlineStr">
        <is>
          <t>Compras</t>
        </is>
      </c>
      <c r="C4" s="30" t="inlineStr">
        <is>
          <t>Materias Primas</t>
        </is>
      </c>
      <c r="D4" s="30" t="inlineStr">
        <is>
          <t>Compras Netas MP Formulados (+3% reserva pedidos mín)</t>
        </is>
      </c>
      <c r="E4" s="30" t="inlineStr">
        <is>
          <t>Varios proveedores MP</t>
        </is>
      </c>
      <c r="F4" s="31" t="inlineStr">
        <is>
          <t>601000000</t>
        </is>
      </c>
      <c r="G4" s="30" t="inlineStr">
        <is>
          <t>Compras de materias primas</t>
        </is>
      </c>
      <c r="H4" s="31" t="inlineStr">
        <is>
          <t>Gasto Corriente</t>
        </is>
      </c>
      <c r="I4" s="31" t="inlineStr">
        <is>
          <t>-</t>
        </is>
      </c>
      <c r="J4" s="32" t="n">
        <v>247571.61</v>
      </c>
      <c r="K4" s="32" t="n">
        <v>480047.38</v>
      </c>
      <c r="L4" s="32" t="n">
        <v>505499.75</v>
      </c>
      <c r="M4" s="32" t="n">
        <v>391336.67</v>
      </c>
      <c r="N4" s="32" t="n">
        <v>639721.61</v>
      </c>
      <c r="O4" s="32" t="n">
        <v>660412.55</v>
      </c>
      <c r="P4" s="32" t="n">
        <v>425647.17</v>
      </c>
      <c r="Q4" s="32" t="n">
        <v>255306.21</v>
      </c>
      <c r="R4" s="32" t="n">
        <v>154533.56</v>
      </c>
      <c r="S4" s="32" t="n">
        <v>257348.52</v>
      </c>
      <c r="T4" s="32" t="n">
        <v>410647.96</v>
      </c>
      <c r="U4" s="32" t="n">
        <v>422003.72</v>
      </c>
      <c r="V4" s="9">
        <f>SUM(J4:U4)</f>
        <v/>
      </c>
    </row>
    <row r="5" ht="18" customHeight="1">
      <c r="B5" s="31" t="inlineStr">
        <is>
          <t>Compras</t>
        </is>
      </c>
      <c r="C5" s="30" t="inlineStr">
        <is>
          <t>Envases y Embalajes</t>
        </is>
      </c>
      <c r="D5" s="30" t="inlineStr">
        <is>
          <t>Envases y bidones para producción envasados</t>
        </is>
      </c>
      <c r="E5" s="30" t="inlineStr">
        <is>
          <t>Varios envases</t>
        </is>
      </c>
      <c r="F5" s="31" t="inlineStr">
        <is>
          <t>602000001</t>
        </is>
      </c>
      <c r="G5" s="30" t="inlineStr">
        <is>
          <t>Compra de envases y embalajes</t>
        </is>
      </c>
      <c r="H5" s="31" t="inlineStr">
        <is>
          <t>Gasto Corriente</t>
        </is>
      </c>
      <c r="I5" s="31" t="inlineStr">
        <is>
          <t>-</t>
        </is>
      </c>
      <c r="J5" s="32" t="n">
        <v>51110.53</v>
      </c>
      <c r="K5" s="32" t="n">
        <v>99104.56</v>
      </c>
      <c r="L5" s="32" t="n">
        <v>104359.14</v>
      </c>
      <c r="M5" s="32" t="n">
        <v>80790.46000000001</v>
      </c>
      <c r="N5" s="32" t="n">
        <v>132068.9</v>
      </c>
      <c r="O5" s="32" t="n">
        <v>136340.49</v>
      </c>
      <c r="P5" s="32" t="n">
        <v>87873.77</v>
      </c>
      <c r="Q5" s="32" t="n">
        <v>52707.32</v>
      </c>
      <c r="R5" s="32" t="n">
        <v>31903.06</v>
      </c>
      <c r="S5" s="32" t="n">
        <v>53128.95</v>
      </c>
      <c r="T5" s="32" t="n">
        <v>84777.23</v>
      </c>
      <c r="U5" s="32" t="n">
        <v>87121.59</v>
      </c>
      <c r="V5" s="9">
        <f>SUM(J5:U5)</f>
        <v/>
      </c>
    </row>
    <row r="6" ht="18" customHeight="1">
      <c r="B6" s="31" t="inlineStr">
        <is>
          <t>Compras</t>
        </is>
      </c>
      <c r="C6" s="30" t="inlineStr">
        <is>
          <t>Etiquetas</t>
        </is>
      </c>
      <c r="D6" s="30" t="inlineStr">
        <is>
          <t>Etiquetas bobina y adhesivas para envasado</t>
        </is>
      </c>
      <c r="E6" s="30" t="inlineStr">
        <is>
          <t>Imprentas gráficas</t>
        </is>
      </c>
      <c r="F6" s="31" t="inlineStr">
        <is>
          <t>602000002</t>
        </is>
      </c>
      <c r="G6" s="30" t="inlineStr">
        <is>
          <t>Compra de etiquetas</t>
        </is>
      </c>
      <c r="H6" s="31" t="inlineStr">
        <is>
          <t>Gasto Corriente</t>
        </is>
      </c>
      <c r="I6" s="31" t="inlineStr">
        <is>
          <t>-</t>
        </is>
      </c>
      <c r="J6" s="32" t="n">
        <v>7981.03</v>
      </c>
      <c r="K6" s="32" t="n">
        <v>15475.42</v>
      </c>
      <c r="L6" s="32" t="n">
        <v>16295.93</v>
      </c>
      <c r="M6" s="32" t="n">
        <v>12615.62</v>
      </c>
      <c r="N6" s="32" t="n">
        <v>20622.88</v>
      </c>
      <c r="O6" s="32" t="n">
        <v>21289.9</v>
      </c>
      <c r="P6" s="32" t="n">
        <v>13721.7</v>
      </c>
      <c r="Q6" s="32" t="n">
        <v>8230.370000000001</v>
      </c>
      <c r="R6" s="32" t="n">
        <v>4981.74</v>
      </c>
      <c r="S6" s="32" t="n">
        <v>8296.209999999999</v>
      </c>
      <c r="T6" s="32" t="n">
        <v>13238.17</v>
      </c>
      <c r="U6" s="32" t="n">
        <v>13604.25</v>
      </c>
      <c r="V6" s="9">
        <f>SUM(J6:U6)</f>
        <v/>
      </c>
    </row>
    <row r="7" ht="18" customHeight="1">
      <c r="B7" s="31" t="inlineStr">
        <is>
          <t>Compras</t>
        </is>
      </c>
      <c r="C7" s="30" t="inlineStr">
        <is>
          <t>Palets</t>
        </is>
      </c>
      <c r="D7" s="30" t="inlineStr">
        <is>
          <t>Palets homologados (nacional y export)</t>
        </is>
      </c>
      <c r="E7" s="30" t="inlineStr">
        <is>
          <t>Proveedores palets</t>
        </is>
      </c>
      <c r="F7" s="31" t="inlineStr">
        <is>
          <t>602000003</t>
        </is>
      </c>
      <c r="G7" s="30" t="inlineStr">
        <is>
          <t>Compra de palets</t>
        </is>
      </c>
      <c r="H7" s="31" t="inlineStr">
        <is>
          <t>Gasto Corriente</t>
        </is>
      </c>
      <c r="I7" s="31" t="inlineStr">
        <is>
          <t>-</t>
        </is>
      </c>
      <c r="J7" s="32" t="n">
        <v>8300.27</v>
      </c>
      <c r="K7" s="32" t="n">
        <v>16094.43</v>
      </c>
      <c r="L7" s="32" t="n">
        <v>16947.77</v>
      </c>
      <c r="M7" s="32" t="n">
        <v>13120.25</v>
      </c>
      <c r="N7" s="32" t="n">
        <v>21447.79</v>
      </c>
      <c r="O7" s="32" t="n">
        <v>22141.49</v>
      </c>
      <c r="P7" s="32" t="n">
        <v>14270.57</v>
      </c>
      <c r="Q7" s="32" t="n">
        <v>8559.59</v>
      </c>
      <c r="R7" s="32" t="n">
        <v>5181.01</v>
      </c>
      <c r="S7" s="32" t="n">
        <v>8628.059999999999</v>
      </c>
      <c r="T7" s="32" t="n">
        <v>13767.69</v>
      </c>
      <c r="U7" s="32" t="n">
        <v>14148.42</v>
      </c>
      <c r="V7" s="9">
        <f>SUM(J7:U7)</f>
        <v/>
      </c>
    </row>
    <row r="8" ht="18" customHeight="1">
      <c r="B8" s="31" t="inlineStr">
        <is>
          <t>Compras</t>
        </is>
      </c>
      <c r="C8" s="30" t="inlineStr">
        <is>
          <t>Tapones</t>
        </is>
      </c>
      <c r="D8" s="30" t="inlineStr">
        <is>
          <t>Tapones de seguridad y dosificadores envases</t>
        </is>
      </c>
      <c r="E8" s="30" t="inlineStr">
        <is>
          <t>Fabricantes tapones</t>
        </is>
      </c>
      <c r="F8" s="31" t="inlineStr">
        <is>
          <t>602000006</t>
        </is>
      </c>
      <c r="G8" s="30" t="inlineStr">
        <is>
          <t>Compra tapones de envases</t>
        </is>
      </c>
      <c r="H8" s="31" t="inlineStr">
        <is>
          <t>Gasto Corriente</t>
        </is>
      </c>
      <c r="I8" s="31" t="inlineStr">
        <is>
          <t>-</t>
        </is>
      </c>
      <c r="J8" s="32" t="n">
        <v>4277.83</v>
      </c>
      <c r="K8" s="32" t="n">
        <v>8294.82</v>
      </c>
      <c r="L8" s="32" t="n">
        <v>8734.620000000001</v>
      </c>
      <c r="M8" s="32" t="n">
        <v>6761.97</v>
      </c>
      <c r="N8" s="32" t="n">
        <v>11053.86</v>
      </c>
      <c r="O8" s="32" t="n">
        <v>11411.38</v>
      </c>
      <c r="P8" s="32" t="n">
        <v>7354.83</v>
      </c>
      <c r="Q8" s="32" t="n">
        <v>4411.48</v>
      </c>
      <c r="R8" s="32" t="n">
        <v>2670.21</v>
      </c>
      <c r="S8" s="32" t="n">
        <v>4446.77</v>
      </c>
      <c r="T8" s="32" t="n">
        <v>7095.66</v>
      </c>
      <c r="U8" s="32" t="n">
        <v>7291.88</v>
      </c>
      <c r="V8" s="9">
        <f>SUM(J8:U8)</f>
        <v/>
      </c>
    </row>
    <row r="9" ht="18" customHeight="1">
      <c r="B9" s="31" t="inlineStr">
        <is>
          <t>Transporte</t>
        </is>
      </c>
      <c r="C9" s="30" t="inlineStr">
        <is>
          <t>Logística Nacional</t>
        </is>
      </c>
      <c r="D9" s="30" t="inlineStr">
        <is>
          <t>Transporte Resto Nacional (Campillo)</t>
        </is>
      </c>
      <c r="E9" s="30" t="inlineStr">
        <is>
          <t>Campillo Palmera</t>
        </is>
      </c>
      <c r="F9" s="31" t="inlineStr">
        <is>
          <t>624000001</t>
        </is>
      </c>
      <c r="G9" s="30" t="inlineStr">
        <is>
          <t>Transportes nacional</t>
        </is>
      </c>
      <c r="H9" s="31" t="inlineStr">
        <is>
          <t>Gasto Corriente</t>
        </is>
      </c>
      <c r="I9" s="31" t="inlineStr">
        <is>
          <t>-</t>
        </is>
      </c>
      <c r="J9" s="32" t="n">
        <v>7016.854184929888</v>
      </c>
      <c r="K9" s="32" t="n">
        <v>13619.90193040933</v>
      </c>
      <c r="L9" s="32" t="n">
        <v>18607.54083461593</v>
      </c>
      <c r="M9" s="32" t="n">
        <v>22055.43884009254</v>
      </c>
      <c r="N9" s="32" t="n">
        <v>18645.63133053208</v>
      </c>
      <c r="O9" s="32" t="n">
        <v>20396.40715391152</v>
      </c>
      <c r="P9" s="32" t="n">
        <v>14747.91199593976</v>
      </c>
      <c r="Q9" s="32" t="n">
        <v>13338.44855233464</v>
      </c>
      <c r="R9" s="32" t="n">
        <v>7825.858785609745</v>
      </c>
      <c r="S9" s="32" t="n">
        <v>12700.11574760398</v>
      </c>
      <c r="T9" s="32" t="n">
        <v>12528.19156517634</v>
      </c>
      <c r="U9" s="32" t="n">
        <v>4989.849112742552</v>
      </c>
      <c r="V9" s="9">
        <f>SUM(J9:U9)</f>
        <v/>
      </c>
    </row>
    <row r="10" ht="18" customHeight="1">
      <c r="B10" s="31" t="inlineStr">
        <is>
          <t>Transporte</t>
        </is>
      </c>
      <c r="C10" s="30" t="inlineStr">
        <is>
          <t>Logística Insular</t>
        </is>
      </c>
      <c r="D10" s="30" t="inlineStr">
        <is>
          <t>Transporte Canarias (Sealine marítimo)</t>
        </is>
      </c>
      <c r="E10" s="30" t="inlineStr">
        <is>
          <t>Sealine</t>
        </is>
      </c>
      <c r="F10" s="31" t="inlineStr">
        <is>
          <t>624000003</t>
        </is>
      </c>
      <c r="G10" s="30" t="inlineStr">
        <is>
          <t>Transportes Canarias</t>
        </is>
      </c>
      <c r="H10" s="31" t="inlineStr">
        <is>
          <t>Gasto Corriente</t>
        </is>
      </c>
      <c r="I10" s="31" t="inlineStr">
        <is>
          <t>-</t>
        </is>
      </c>
      <c r="J10" s="32" t="n">
        <v>6088.181285202775</v>
      </c>
      <c r="K10" s="32" t="n">
        <v>5367.258112259968</v>
      </c>
      <c r="L10" s="32" t="n">
        <v>7224.724671199661</v>
      </c>
      <c r="M10" s="32" t="n">
        <v>3712.042109710713</v>
      </c>
      <c r="N10" s="32" t="n">
        <v>14028.95367824759</v>
      </c>
      <c r="O10" s="32" t="n">
        <v>2584.44001485405</v>
      </c>
      <c r="P10" s="32" t="n">
        <v>4588.298266270711</v>
      </c>
      <c r="Q10" s="32" t="n">
        <v>8667.685530792523</v>
      </c>
      <c r="R10" s="32" t="n">
        <v>2950.85345764923</v>
      </c>
      <c r="S10" s="32" t="n">
        <v>9635.041095812496</v>
      </c>
      <c r="T10" s="32" t="n">
        <v>13725.16168312535</v>
      </c>
      <c r="U10" s="32" t="n">
        <v>625.6514420509841</v>
      </c>
      <c r="V10" s="9">
        <f>SUM(J10:U10)</f>
        <v/>
      </c>
    </row>
    <row r="11" ht="18" customHeight="1">
      <c r="B11" s="31" t="inlineStr">
        <is>
          <t>Transporte</t>
        </is>
      </c>
      <c r="C11" s="30" t="inlineStr">
        <is>
          <t>Logística Exportación</t>
        </is>
      </c>
      <c r="D11" s="30" t="inlineStr">
        <is>
          <t>Transporte Exportación (Repercutido 100% al Cliente)</t>
        </is>
      </c>
      <c r="E11" s="30" t="inlineStr">
        <is>
          <t>Transitarios y navieras</t>
        </is>
      </c>
      <c r="F11" s="31" t="inlineStr">
        <is>
          <t>700001624 / 624</t>
        </is>
      </c>
      <c r="G11" s="30" t="inlineStr">
        <is>
          <t>Venta transporte rep. / Flete internacional</t>
        </is>
      </c>
      <c r="H11" s="31" t="inlineStr">
        <is>
          <t>Repercutido a Clientes (Neutro)</t>
        </is>
      </c>
      <c r="I11" s="31" t="inlineStr">
        <is>
          <t>-</t>
        </is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0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0</v>
      </c>
      <c r="V11" s="9">
        <f>SUM(J11:U11)</f>
        <v/>
      </c>
    </row>
    <row r="12" ht="18" customHeight="1">
      <c r="B12" s="31" t="inlineStr">
        <is>
          <t>Mantenimiento</t>
        </is>
      </c>
      <c r="C12" s="30" t="inlineStr">
        <is>
          <t>Correctivo</t>
        </is>
      </c>
      <c r="D12" s="30" t="inlineStr">
        <is>
          <t>Imprevistos y averías de planta (3.000 €/mes base + contingencia)</t>
        </is>
      </c>
      <c r="E12" s="30" t="inlineStr">
        <is>
          <t>Varios / Taller propio</t>
        </is>
      </c>
      <c r="F12" s="31" t="inlineStr">
        <is>
          <t>622010000</t>
        </is>
      </c>
      <c r="G12" s="30" t="inlineStr">
        <is>
          <t>Mantenimiento preventivo/correctivo</t>
        </is>
      </c>
      <c r="H12" s="31" t="inlineStr">
        <is>
          <t>Gasto Corriente</t>
        </is>
      </c>
      <c r="I12" s="31" t="inlineStr">
        <is>
          <t>-</t>
        </is>
      </c>
      <c r="J12" s="32" t="n">
        <v>3150</v>
      </c>
      <c r="K12" s="32" t="n">
        <v>3150</v>
      </c>
      <c r="L12" s="32" t="n">
        <v>3150</v>
      </c>
      <c r="M12" s="32" t="n">
        <v>3150</v>
      </c>
      <c r="N12" s="32" t="n">
        <v>3150</v>
      </c>
      <c r="O12" s="32" t="n">
        <v>3150</v>
      </c>
      <c r="P12" s="32" t="n">
        <v>3150</v>
      </c>
      <c r="Q12" s="32" t="n">
        <v>3150</v>
      </c>
      <c r="R12" s="32" t="n">
        <v>3150</v>
      </c>
      <c r="S12" s="32" t="n">
        <v>3150</v>
      </c>
      <c r="T12" s="32" t="n">
        <v>3150</v>
      </c>
      <c r="U12" s="32" t="n">
        <v>3150</v>
      </c>
      <c r="V12" s="9">
        <f>SUM(J12:U12)</f>
        <v/>
      </c>
    </row>
    <row r="13" ht="18" customHeight="1">
      <c r="B13" s="31" t="inlineStr">
        <is>
          <t>Mantenimiento</t>
        </is>
      </c>
      <c r="C13" s="30" t="inlineStr">
        <is>
          <t>Alcaplant / Molinos</t>
        </is>
      </c>
      <c r="D13" s="30" t="inlineStr">
        <is>
          <t>Mantenimiento preventivo y molinos Alcaplant (incluye overhaul Oliver&amp;Batlle)</t>
        </is>
      </c>
      <c r="E13" s="30" t="inlineStr">
        <is>
          <t xml:space="preserve">Maquisel / Talleres Hurtado / </t>
        </is>
      </c>
      <c r="F13" s="31" t="inlineStr">
        <is>
          <t>622010200</t>
        </is>
      </c>
      <c r="G13" s="30" t="inlineStr">
        <is>
          <t>Mantenimiento Alcaplant</t>
        </is>
      </c>
      <c r="H13" s="31" t="inlineStr">
        <is>
          <t>Inmovilizable (Parcial)</t>
        </is>
      </c>
      <c r="I13" s="31" t="inlineStr">
        <is>
          <t>213000000 - Maquinaria</t>
        </is>
      </c>
      <c r="J13" s="32" t="n">
        <v>0</v>
      </c>
      <c r="K13" s="32" t="n">
        <v>0</v>
      </c>
      <c r="L13" s="32" t="n">
        <v>0</v>
      </c>
      <c r="M13" s="32" t="n">
        <v>554.4</v>
      </c>
      <c r="N13" s="32" t="n">
        <v>0</v>
      </c>
      <c r="O13" s="32" t="n">
        <v>0</v>
      </c>
      <c r="P13" s="32" t="n">
        <v>0</v>
      </c>
      <c r="Q13" s="32" t="n">
        <v>1050</v>
      </c>
      <c r="R13" s="32" t="n">
        <v>840</v>
      </c>
      <c r="S13" s="32" t="n">
        <v>3150</v>
      </c>
      <c r="T13" s="32" t="n">
        <v>0</v>
      </c>
      <c r="U13" s="32" t="n">
        <v>0</v>
      </c>
      <c r="V13" s="9">
        <f>SUM(J13:U13)</f>
        <v/>
      </c>
    </row>
    <row r="14" ht="18" customHeight="1">
      <c r="B14" s="31" t="inlineStr">
        <is>
          <t>Mantenimiento</t>
        </is>
      </c>
      <c r="C14" s="30" t="inlineStr">
        <is>
          <t>Envasado Sólido</t>
        </is>
      </c>
      <c r="D14" s="30" t="inlineStr">
        <is>
          <t>Repuestos envasado sólido y repaso de sinfines Proymec</t>
        </is>
      </c>
      <c r="E14" s="30" t="inlineStr">
        <is>
          <t>Elocom Montajes / Proymec</t>
        </is>
      </c>
      <c r="F14" s="31" t="inlineStr">
        <is>
          <t>622010300</t>
        </is>
      </c>
      <c r="G14" s="30" t="inlineStr">
        <is>
          <t>Mantenimiento Sólidos</t>
        </is>
      </c>
      <c r="H14" s="31" t="inlineStr">
        <is>
          <t>Gasto Corriente</t>
        </is>
      </c>
      <c r="I14" s="31" t="inlineStr">
        <is>
          <t>-</t>
        </is>
      </c>
      <c r="J14" s="32" t="n">
        <v>367.5</v>
      </c>
      <c r="K14" s="32" t="n">
        <v>367.5</v>
      </c>
      <c r="L14" s="32" t="n">
        <v>367.5</v>
      </c>
      <c r="M14" s="32" t="n">
        <v>367.5</v>
      </c>
      <c r="N14" s="32" t="n">
        <v>367.5</v>
      </c>
      <c r="O14" s="32" t="n">
        <v>367.5</v>
      </c>
      <c r="P14" s="32" t="n">
        <v>367.5</v>
      </c>
      <c r="Q14" s="32" t="n">
        <v>367.5</v>
      </c>
      <c r="R14" s="32" t="n">
        <v>367.5</v>
      </c>
      <c r="S14" s="32" t="n">
        <v>367.5</v>
      </c>
      <c r="T14" s="32" t="n">
        <v>2992.5</v>
      </c>
      <c r="U14" s="32" t="n">
        <v>367.5</v>
      </c>
      <c r="V14" s="9">
        <f>SUM(J14:U14)</f>
        <v/>
      </c>
    </row>
    <row r="15" ht="18" customHeight="1">
      <c r="B15" s="31" t="inlineStr">
        <is>
          <t>Mantenimiento</t>
        </is>
      </c>
      <c r="C15" s="30" t="inlineStr">
        <is>
          <t>Líquidos y Tuberías</t>
        </is>
      </c>
      <c r="D15" s="30" t="inlineStr">
        <is>
          <t>Valvulería, latiguillos, fontanería y propulsores Proymec</t>
        </is>
      </c>
      <c r="E15" s="30" t="inlineStr">
        <is>
          <t>S.I.R / Irriagro / Proymec</t>
        </is>
      </c>
      <c r="F15" s="31" t="inlineStr">
        <is>
          <t>622010400</t>
        </is>
      </c>
      <c r="G15" s="30" t="inlineStr">
        <is>
          <t>Mantenimiento Líquidos</t>
        </is>
      </c>
      <c r="H15" s="31" t="inlineStr">
        <is>
          <t>Inmovilizable (Parcial)</t>
        </is>
      </c>
      <c r="I15" s="31" t="inlineStr">
        <is>
          <t>213000000 - Maquinaria</t>
        </is>
      </c>
      <c r="J15" s="32" t="n">
        <v>420</v>
      </c>
      <c r="K15" s="32" t="n">
        <v>0</v>
      </c>
      <c r="L15" s="32" t="n">
        <v>0</v>
      </c>
      <c r="M15" s="32" t="n">
        <v>630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3885</v>
      </c>
      <c r="S15" s="32" t="n">
        <v>1155</v>
      </c>
      <c r="T15" s="32" t="n">
        <v>0</v>
      </c>
      <c r="U15" s="32" t="n">
        <v>0</v>
      </c>
      <c r="V15" s="9">
        <f>SUM(J15:U15)</f>
        <v/>
      </c>
    </row>
    <row r="16" ht="18" customHeight="1">
      <c r="B16" s="31" t="inlineStr">
        <is>
          <t>Mantenimiento</t>
        </is>
      </c>
      <c r="C16" s="30" t="inlineStr">
        <is>
          <t>Taller Planta</t>
        </is>
      </c>
      <c r="D16" s="30" t="inlineStr">
        <is>
          <t>Consumibles de taller y repuestos generales de mantenimiento</t>
        </is>
      </c>
      <c r="E16" s="30" t="inlineStr">
        <is>
          <t>Novastec / Thermocontrol</t>
        </is>
      </c>
      <c r="F16" s="31" t="inlineStr">
        <is>
          <t>622010500</t>
        </is>
      </c>
      <c r="G16" s="30" t="inlineStr">
        <is>
          <t>Repuestos mantenimiento varios</t>
        </is>
      </c>
      <c r="H16" s="31" t="inlineStr">
        <is>
          <t>Gasto Corriente</t>
        </is>
      </c>
      <c r="I16" s="31" t="inlineStr">
        <is>
          <t>-</t>
        </is>
      </c>
      <c r="J16" s="32" t="n">
        <v>262.5</v>
      </c>
      <c r="K16" s="32" t="n">
        <v>262.5</v>
      </c>
      <c r="L16" s="32" t="n">
        <v>262.5</v>
      </c>
      <c r="M16" s="32" t="n">
        <v>262.5</v>
      </c>
      <c r="N16" s="32" t="n">
        <v>262.5</v>
      </c>
      <c r="O16" s="32" t="n">
        <v>262.5</v>
      </c>
      <c r="P16" s="32" t="n">
        <v>262.5</v>
      </c>
      <c r="Q16" s="32" t="n">
        <v>262.5</v>
      </c>
      <c r="R16" s="32" t="n">
        <v>367.5</v>
      </c>
      <c r="S16" s="32" t="n">
        <v>262.5</v>
      </c>
      <c r="T16" s="32" t="n">
        <v>262.5</v>
      </c>
      <c r="U16" s="32" t="n">
        <v>262.5</v>
      </c>
      <c r="V16" s="9">
        <f>SUM(J16:U16)</f>
        <v/>
      </c>
    </row>
    <row r="17" ht="18" customHeight="1">
      <c r="B17" s="31" t="inlineStr">
        <is>
          <t>Mantenimiento</t>
        </is>
      </c>
      <c r="C17" s="30" t="inlineStr">
        <is>
          <t>Instalaciones y Edificios</t>
        </is>
      </c>
      <c r="D17" s="30" t="inlineStr">
        <is>
          <t>Reparación cubierta tejado nave y puerta corredera</t>
        </is>
      </c>
      <c r="E17" s="30" t="inlineStr">
        <is>
          <t>Cuvierbal / Diego Rodrigo Dols</t>
        </is>
      </c>
      <c r="F17" s="31" t="inlineStr">
        <is>
          <t>622000000</t>
        </is>
      </c>
      <c r="G17" s="30" t="inlineStr">
        <is>
          <t>Reparaciones y conservación</t>
        </is>
      </c>
      <c r="H17" s="31" t="inlineStr">
        <is>
          <t>Inmovilizable (Parcial)</t>
        </is>
      </c>
      <c r="I17" s="31" t="inlineStr">
        <is>
          <t>211000000 - Construcciones</t>
        </is>
      </c>
      <c r="J17" s="32" t="n">
        <v>2215.5</v>
      </c>
      <c r="K17" s="32" t="n">
        <v>0</v>
      </c>
      <c r="L17" s="32" t="n">
        <v>0</v>
      </c>
      <c r="M17" s="32" t="n">
        <v>0</v>
      </c>
      <c r="N17" s="32" t="n">
        <v>0</v>
      </c>
      <c r="O17" s="32" t="n">
        <v>0</v>
      </c>
      <c r="P17" s="32" t="n">
        <v>0</v>
      </c>
      <c r="Q17" s="32" t="n">
        <v>2374.8375</v>
      </c>
      <c r="R17" s="32" t="n">
        <v>0</v>
      </c>
      <c r="S17" s="32" t="n">
        <v>0</v>
      </c>
      <c r="T17" s="32" t="n">
        <v>0</v>
      </c>
      <c r="U17" s="32" t="n">
        <v>0</v>
      </c>
      <c r="V17" s="9">
        <f>SUM(J17:U17)</f>
        <v/>
      </c>
    </row>
    <row r="18" ht="18" customHeight="1">
      <c r="B18" s="31" t="inlineStr">
        <is>
          <t>Mantenimiento</t>
        </is>
      </c>
      <c r="C18" s="30" t="inlineStr">
        <is>
          <t>Equipamiento Taller</t>
        </is>
      </c>
      <c r="D18" s="30" t="inlineStr">
        <is>
          <t>Herramientas eléctricas de taller</t>
        </is>
      </c>
      <c r="E18" s="30" t="inlineStr">
        <is>
          <t>Recambios Alcora</t>
        </is>
      </c>
      <c r="F18" s="31" t="inlineStr">
        <is>
          <t>629000016</t>
        </is>
      </c>
      <c r="G18" s="30" t="inlineStr">
        <is>
          <t>Herramientas taller</t>
        </is>
      </c>
      <c r="H18" s="31" t="inlineStr">
        <is>
          <t>Inmovilizable (Activable)</t>
        </is>
      </c>
      <c r="I18" s="31" t="inlineStr">
        <is>
          <t>214000000 - Utillaje</t>
        </is>
      </c>
      <c r="J18" s="32" t="n">
        <v>0</v>
      </c>
      <c r="K18" s="32" t="n">
        <v>0</v>
      </c>
      <c r="L18" s="32" t="n">
        <v>0</v>
      </c>
      <c r="M18" s="32" t="n">
        <v>2100</v>
      </c>
      <c r="N18" s="32" t="n">
        <v>0</v>
      </c>
      <c r="O18" s="32" t="n">
        <v>0</v>
      </c>
      <c r="P18" s="32" t="n">
        <v>0</v>
      </c>
      <c r="Q18" s="32" t="n">
        <v>0</v>
      </c>
      <c r="R18" s="32" t="n">
        <v>0</v>
      </c>
      <c r="S18" s="32" t="n">
        <v>0</v>
      </c>
      <c r="T18" s="32" t="n">
        <v>0</v>
      </c>
      <c r="U18" s="32" t="n">
        <v>0</v>
      </c>
      <c r="V18" s="9">
        <f>SUM(J18:U18)</f>
        <v/>
      </c>
    </row>
    <row r="19" ht="18" customHeight="1">
      <c r="B19" s="31" t="inlineStr">
        <is>
          <t>Mantenimiento</t>
        </is>
      </c>
      <c r="C19" s="30" t="inlineStr">
        <is>
          <t>Servicios Externos Especializados</t>
        </is>
      </c>
      <c r="D19" s="30" t="inlineStr">
        <is>
          <t>Revisión compresores de aire y mantenimiento carretillas elevadoras</t>
        </is>
      </c>
      <c r="E19" s="30" t="inlineStr">
        <is>
          <t>Repcar / Especialista aire com</t>
        </is>
      </c>
      <c r="F19" s="31" t="inlineStr">
        <is>
          <t>622000000</t>
        </is>
      </c>
      <c r="G19" s="30" t="inlineStr">
        <is>
          <t>Reparaciones y conservación</t>
        </is>
      </c>
      <c r="H19" s="31" t="inlineStr">
        <is>
          <t>Gasto Corriente</t>
        </is>
      </c>
      <c r="I19" s="31" t="inlineStr">
        <is>
          <t>-</t>
        </is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0</v>
      </c>
      <c r="P19" s="32" t="n">
        <v>0</v>
      </c>
      <c r="Q19" s="32" t="n">
        <v>0</v>
      </c>
      <c r="R19" s="32" t="n">
        <v>2328.9</v>
      </c>
      <c r="S19" s="32" t="n">
        <v>1777.65</v>
      </c>
      <c r="T19" s="32" t="n">
        <v>0</v>
      </c>
      <c r="U19" s="32" t="n">
        <v>551.25</v>
      </c>
      <c r="V19" s="9">
        <f>SUM(J19:U19)</f>
        <v/>
      </c>
    </row>
    <row r="20" ht="18" customHeight="1">
      <c r="B20" s="31" t="inlineStr">
        <is>
          <t>Marketing</t>
        </is>
      </c>
      <c r="C20" s="30" t="inlineStr">
        <is>
          <t>Ferias y Encuentros</t>
        </is>
      </c>
      <c r="D20" s="30" t="inlineStr">
        <is>
          <t>Ferias internacionales (Fruit Attraction, Fruit Logistica, Sahara Expo, Growtech, etc.)</t>
        </is>
      </c>
      <c r="E20" s="30" t="inlineStr">
        <is>
          <t>Entidades feriales e instalado</t>
        </is>
      </c>
      <c r="F20" s="31" t="inlineStr">
        <is>
          <t>627000007</t>
        </is>
      </c>
      <c r="G20" s="30" t="inlineStr">
        <is>
          <t>Ferias y congresos</t>
        </is>
      </c>
      <c r="H20" s="31" t="inlineStr">
        <is>
          <t>Gasto Corriente</t>
        </is>
      </c>
      <c r="I20" s="31" t="inlineStr">
        <is>
          <t>-</t>
        </is>
      </c>
      <c r="J20" s="32" t="n">
        <v>3254.36</v>
      </c>
      <c r="K20" s="32" t="n">
        <v>3960.8</v>
      </c>
      <c r="L20" s="32" t="n">
        <v>3787.68</v>
      </c>
      <c r="M20" s="32" t="n">
        <v>4260.08</v>
      </c>
      <c r="N20" s="32" t="n">
        <v>3351.46</v>
      </c>
      <c r="O20" s="32" t="n">
        <v>2393.84</v>
      </c>
      <c r="P20" s="32" t="n">
        <v>2051.41</v>
      </c>
      <c r="Q20" s="32" t="n">
        <v>866.99</v>
      </c>
      <c r="R20" s="32" t="n">
        <v>2460.99</v>
      </c>
      <c r="S20" s="32" t="n">
        <v>1700.61</v>
      </c>
      <c r="T20" s="32" t="n">
        <v>3679.93</v>
      </c>
      <c r="U20" s="32" t="n">
        <v>2001.84</v>
      </c>
      <c r="V20" s="9">
        <f>SUM(J20:U20)</f>
        <v/>
      </c>
    </row>
    <row r="21" ht="18" customHeight="1">
      <c r="B21" s="31" t="inlineStr">
        <is>
          <t>Marketing</t>
        </is>
      </c>
      <c r="C21" s="30" t="inlineStr">
        <is>
          <t>Corporativo y Marca</t>
        </is>
      </c>
      <c r="D21" s="30" t="inlineStr">
        <is>
          <t>Marketing transversal, diseño corporativo, catálogos, packaging y web</t>
        </is>
      </c>
      <c r="E21" s="30" t="inlineStr">
        <is>
          <t>Agencias diseño y marketing</t>
        </is>
      </c>
      <c r="F21" s="31" t="inlineStr">
        <is>
          <t>627000006</t>
        </is>
      </c>
      <c r="G21" s="30" t="inlineStr">
        <is>
          <t>Publicidad, catálogos y folletos</t>
        </is>
      </c>
      <c r="H21" s="31" t="inlineStr">
        <is>
          <t>Gasto Corriente</t>
        </is>
      </c>
      <c r="I21" s="31" t="inlineStr">
        <is>
          <t>-</t>
        </is>
      </c>
      <c r="J21" s="32" t="n">
        <v>2469.92</v>
      </c>
      <c r="K21" s="32" t="n">
        <v>3006.08</v>
      </c>
      <c r="L21" s="32" t="n">
        <v>2874.69</v>
      </c>
      <c r="M21" s="32" t="n">
        <v>3233.22</v>
      </c>
      <c r="N21" s="32" t="n">
        <v>2543.62</v>
      </c>
      <c r="O21" s="32" t="n">
        <v>1816.83</v>
      </c>
      <c r="P21" s="32" t="n">
        <v>1556.94</v>
      </c>
      <c r="Q21" s="32" t="n">
        <v>658.01</v>
      </c>
      <c r="R21" s="32" t="n">
        <v>1867.78</v>
      </c>
      <c r="S21" s="32" t="n">
        <v>1290.69</v>
      </c>
      <c r="T21" s="32" t="n">
        <v>2792.91</v>
      </c>
      <c r="U21" s="32" t="n">
        <v>1519.31</v>
      </c>
      <c r="V21" s="9">
        <f>SUM(J21:U21)</f>
        <v/>
      </c>
    </row>
    <row r="22" ht="18" customHeight="1">
      <c r="B22" s="31" t="inlineStr">
        <is>
          <t>Marketing</t>
        </is>
      </c>
      <c r="C22" s="30" t="inlineStr">
        <is>
          <t>Programas Cliente-Producto</t>
        </is>
      </c>
      <c r="D22" s="30" t="inlineStr">
        <is>
          <t>Planes de activación comercial por cliente clave y producto foco (Familias A/B)</t>
        </is>
      </c>
      <c r="E22" s="30" t="inlineStr">
        <is>
          <t>Distribuidores y material prom</t>
        </is>
      </c>
      <c r="F22" s="31" t="inlineStr">
        <is>
          <t>627000008</t>
        </is>
      </c>
      <c r="G22" s="30" t="inlineStr">
        <is>
          <t>Marketing y campañas comerciales</t>
        </is>
      </c>
      <c r="H22" s="31" t="inlineStr">
        <is>
          <t>Gasto Corriente</t>
        </is>
      </c>
      <c r="I22" s="31" t="inlineStr">
        <is>
          <t>-</t>
        </is>
      </c>
      <c r="J22" s="32" t="n">
        <v>18917.14</v>
      </c>
      <c r="K22" s="32" t="n">
        <v>23023.56</v>
      </c>
      <c r="L22" s="32" t="n">
        <v>22017.24</v>
      </c>
      <c r="M22" s="32" t="n">
        <v>24763.22</v>
      </c>
      <c r="N22" s="32" t="n">
        <v>19481.53</v>
      </c>
      <c r="O22" s="32" t="n">
        <v>13915.06</v>
      </c>
      <c r="P22" s="32" t="n">
        <v>11924.56</v>
      </c>
      <c r="Q22" s="32" t="n">
        <v>5039.7</v>
      </c>
      <c r="R22" s="32" t="n">
        <v>14305.34</v>
      </c>
      <c r="S22" s="32" t="n">
        <v>9885.370000000001</v>
      </c>
      <c r="T22" s="32" t="n">
        <v>21390.88</v>
      </c>
      <c r="U22" s="32" t="n">
        <v>11636.39</v>
      </c>
      <c r="V22" s="9">
        <f>SUM(J22:U22)</f>
        <v/>
      </c>
    </row>
    <row r="23" ht="18" customHeight="1">
      <c r="B23" s="31" t="inlineStr">
        <is>
          <t>Marketing</t>
        </is>
      </c>
      <c r="C23" s="30" t="inlineStr">
        <is>
          <t>Reserva Táctica</t>
        </is>
      </c>
      <c r="D23" s="30" t="inlineStr">
        <is>
          <t>Fondo de maniobra para contingencias y oportunidades comerciales imprevistas</t>
        </is>
      </c>
      <c r="E23" s="30" t="inlineStr">
        <is>
          <t>Fondo de reserva comercial</t>
        </is>
      </c>
      <c r="F23" s="31" t="inlineStr">
        <is>
          <t>627000009</t>
        </is>
      </c>
      <c r="G23" s="30" t="inlineStr">
        <is>
          <t>Artículos publicidad / promociones</t>
        </is>
      </c>
      <c r="H23" s="31" t="inlineStr">
        <is>
          <t>Gasto Corriente</t>
        </is>
      </c>
      <c r="I23" s="31" t="inlineStr">
        <is>
          <t>-</t>
        </is>
      </c>
      <c r="J23" s="32" t="n">
        <v>999.5700000000001</v>
      </c>
      <c r="K23" s="32" t="n">
        <v>1216.55</v>
      </c>
      <c r="L23" s="32" t="n">
        <v>1163.38</v>
      </c>
      <c r="M23" s="32" t="n">
        <v>1308.48</v>
      </c>
      <c r="N23" s="32" t="n">
        <v>1029.39</v>
      </c>
      <c r="O23" s="32" t="n">
        <v>735.27</v>
      </c>
      <c r="P23" s="32" t="n">
        <v>630.09</v>
      </c>
      <c r="Q23" s="32" t="n">
        <v>266.3</v>
      </c>
      <c r="R23" s="32" t="n">
        <v>755.89</v>
      </c>
      <c r="S23" s="32" t="n">
        <v>522.34</v>
      </c>
      <c r="T23" s="32" t="n">
        <v>1130.28</v>
      </c>
      <c r="U23" s="32" t="n">
        <v>614.86</v>
      </c>
      <c r="V23" s="9">
        <f>SUM(J23:U23)</f>
        <v/>
      </c>
    </row>
    <row r="24" ht="18" customHeight="1">
      <c r="B24" s="31" t="inlineStr">
        <is>
          <t>Regulatory</t>
        </is>
      </c>
      <c r="C24" s="30" t="inlineStr">
        <is>
          <t>Marcas</t>
        </is>
      </c>
      <c r="D24" s="30" t="inlineStr">
        <is>
          <t>Amec chile</t>
        </is>
      </c>
      <c r="E24" s="30" t="inlineStr">
        <is>
          <t>1500</t>
        </is>
      </c>
      <c r="F24" s="31" t="inlineStr">
        <is>
          <t>623200000</t>
        </is>
      </c>
      <c r="G24" s="30" t="inlineStr">
        <is>
          <t>Gastos marcas y patentes</t>
        </is>
      </c>
      <c r="H24" s="31" t="inlineStr">
        <is>
          <t>Gasto Corriente</t>
        </is>
      </c>
      <c r="I24" s="31" t="inlineStr">
        <is>
          <t>-</t>
        </is>
      </c>
      <c r="J24" s="32" t="n">
        <v>0</v>
      </c>
      <c r="K24" s="32" t="n">
        <v>1500</v>
      </c>
      <c r="L24" s="32" t="n">
        <v>0</v>
      </c>
      <c r="M24" s="32" t="n">
        <v>0</v>
      </c>
      <c r="N24" s="32" t="n">
        <v>0</v>
      </c>
      <c r="O24" s="32" t="n">
        <v>0</v>
      </c>
      <c r="P24" s="32" t="n">
        <v>0</v>
      </c>
      <c r="Q24" s="32" t="n">
        <v>0</v>
      </c>
      <c r="R24" s="32" t="n">
        <v>0</v>
      </c>
      <c r="S24" s="32" t="n">
        <v>0</v>
      </c>
      <c r="T24" s="32" t="n">
        <v>0</v>
      </c>
      <c r="U24" s="32" t="n">
        <v>0</v>
      </c>
      <c r="V24" s="9">
        <f>SUM(J24:U24)</f>
        <v/>
      </c>
    </row>
    <row r="25" ht="18" customHeight="1">
      <c r="B25" s="31" t="inlineStr">
        <is>
          <t>Regulatory</t>
        </is>
      </c>
      <c r="C25" s="30" t="inlineStr">
        <is>
          <t>Marcas</t>
        </is>
      </c>
      <c r="D25" s="30" t="inlineStr">
        <is>
          <t>Amec Perú</t>
        </is>
      </c>
      <c r="E25" s="30" t="inlineStr">
        <is>
          <t>1400</t>
        </is>
      </c>
      <c r="F25" s="31" t="inlineStr">
        <is>
          <t>623200000</t>
        </is>
      </c>
      <c r="G25" s="30" t="inlineStr">
        <is>
          <t>Gastos marcas y patentes</t>
        </is>
      </c>
      <c r="H25" s="31" t="inlineStr">
        <is>
          <t>Gasto Corriente</t>
        </is>
      </c>
      <c r="I25" s="31" t="inlineStr">
        <is>
          <t>-</t>
        </is>
      </c>
      <c r="J25" s="32" t="n">
        <v>0</v>
      </c>
      <c r="K25" s="32" t="n">
        <v>0</v>
      </c>
      <c r="L25" s="32" t="n">
        <v>1400</v>
      </c>
      <c r="M25" s="32" t="n">
        <v>0</v>
      </c>
      <c r="N25" s="32" t="n">
        <v>0</v>
      </c>
      <c r="O25" s="32" t="n">
        <v>0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9">
        <f>SUM(J25:U25)</f>
        <v/>
      </c>
    </row>
    <row r="26" ht="18" customHeight="1">
      <c r="B26" s="31" t="inlineStr">
        <is>
          <t>Regulatory</t>
        </is>
      </c>
      <c r="C26" s="30" t="inlineStr">
        <is>
          <t>Marcas</t>
        </is>
      </c>
      <c r="D26" s="30" t="inlineStr">
        <is>
          <t>Amec Costa Rica</t>
        </is>
      </c>
      <c r="E26" s="30" t="inlineStr">
        <is>
          <t>1400</t>
        </is>
      </c>
      <c r="F26" s="31" t="inlineStr">
        <is>
          <t>623200000</t>
        </is>
      </c>
      <c r="G26" s="30" t="inlineStr">
        <is>
          <t>Gastos marcas y patentes</t>
        </is>
      </c>
      <c r="H26" s="31" t="inlineStr">
        <is>
          <t>Gasto Corriente</t>
        </is>
      </c>
      <c r="I26" s="31" t="inlineStr">
        <is>
          <t>-</t>
        </is>
      </c>
      <c r="J26" s="32" t="n">
        <v>0</v>
      </c>
      <c r="K26" s="32" t="n">
        <v>0</v>
      </c>
      <c r="L26" s="32" t="n">
        <v>0</v>
      </c>
      <c r="M26" s="32" t="n">
        <v>0</v>
      </c>
      <c r="N26" s="32" t="n">
        <v>0</v>
      </c>
      <c r="O26" s="32" t="n">
        <v>0</v>
      </c>
      <c r="P26" s="32" t="n">
        <v>0</v>
      </c>
      <c r="Q26" s="32" t="n">
        <v>0</v>
      </c>
      <c r="R26" s="32" t="n">
        <v>1400</v>
      </c>
      <c r="S26" s="32" t="n">
        <v>0</v>
      </c>
      <c r="T26" s="32" t="n">
        <v>0</v>
      </c>
      <c r="U26" s="32" t="n">
        <v>0</v>
      </c>
      <c r="V26" s="9">
        <f>SUM(J26:U26)</f>
        <v/>
      </c>
    </row>
    <row r="27" ht="18" customHeight="1">
      <c r="B27" s="31" t="inlineStr">
        <is>
          <t>Regulatory</t>
        </is>
      </c>
      <c r="C27" s="30" t="inlineStr">
        <is>
          <t>Marcas</t>
        </is>
      </c>
      <c r="D27" s="30" t="inlineStr">
        <is>
          <t>Agropotasión UE-Int</t>
        </is>
      </c>
      <c r="E27" s="30" t="inlineStr">
        <is>
          <t>4000</t>
        </is>
      </c>
      <c r="F27" s="31" t="inlineStr">
        <is>
          <t>623200000</t>
        </is>
      </c>
      <c r="G27" s="30" t="inlineStr">
        <is>
          <t>Gastos marcas y patentes</t>
        </is>
      </c>
      <c r="H27" s="31" t="inlineStr">
        <is>
          <t>Gasto Corriente</t>
        </is>
      </c>
      <c r="I27" s="31" t="inlineStr">
        <is>
          <t>-</t>
        </is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0</v>
      </c>
      <c r="Q27" s="32" t="n">
        <v>4000</v>
      </c>
      <c r="R27" s="32" t="n">
        <v>0</v>
      </c>
      <c r="S27" s="32" t="n">
        <v>0</v>
      </c>
      <c r="T27" s="32" t="n">
        <v>0</v>
      </c>
      <c r="U27" s="32" t="n">
        <v>0</v>
      </c>
      <c r="V27" s="9">
        <f>SUM(J27:U27)</f>
        <v/>
      </c>
    </row>
    <row r="28" ht="18" customHeight="1">
      <c r="B28" s="31" t="inlineStr">
        <is>
          <t>Regulatory</t>
        </is>
      </c>
      <c r="C28" s="30" t="inlineStr">
        <is>
          <t>Marcas</t>
        </is>
      </c>
      <c r="D28" s="30" t="inlineStr">
        <is>
          <t>Agropotasión Jordania</t>
        </is>
      </c>
      <c r="E28" s="30" t="inlineStr">
        <is>
          <t>3000</t>
        </is>
      </c>
      <c r="F28" s="31" t="inlineStr">
        <is>
          <t>623200000</t>
        </is>
      </c>
      <c r="G28" s="30" t="inlineStr">
        <is>
          <t>Gastos marcas y patentes</t>
        </is>
      </c>
      <c r="H28" s="31" t="inlineStr">
        <is>
          <t>Gasto Corriente</t>
        </is>
      </c>
      <c r="I28" s="31" t="inlineStr">
        <is>
          <t>-</t>
        </is>
      </c>
      <c r="J28" s="32" t="n">
        <v>0</v>
      </c>
      <c r="K28" s="32" t="n">
        <v>0</v>
      </c>
      <c r="L28" s="32" t="n">
        <v>0</v>
      </c>
      <c r="M28" s="32" t="n">
        <v>0</v>
      </c>
      <c r="N28" s="32" t="n">
        <v>0</v>
      </c>
      <c r="O28" s="32" t="n">
        <v>0</v>
      </c>
      <c r="P28" s="32" t="n">
        <v>0</v>
      </c>
      <c r="Q28" s="32" t="n">
        <v>0</v>
      </c>
      <c r="R28" s="32" t="n">
        <v>3000</v>
      </c>
      <c r="S28" s="32" t="n">
        <v>0</v>
      </c>
      <c r="T28" s="32" t="n">
        <v>0</v>
      </c>
      <c r="U28" s="32" t="n">
        <v>0</v>
      </c>
      <c r="V28" s="9">
        <f>SUM(J28:U28)</f>
        <v/>
      </c>
    </row>
    <row r="29" ht="18" customHeight="1">
      <c r="B29" s="31" t="inlineStr">
        <is>
          <t>Regulatory</t>
        </is>
      </c>
      <c r="C29" s="30" t="inlineStr">
        <is>
          <t>Marcas</t>
        </is>
      </c>
      <c r="D29" s="30" t="inlineStr">
        <is>
          <t>Alcaplant Chile</t>
        </is>
      </c>
      <c r="E29" s="30" t="inlineStr">
        <is>
          <t>1500</t>
        </is>
      </c>
      <c r="F29" s="31" t="inlineStr">
        <is>
          <t>623200000</t>
        </is>
      </c>
      <c r="G29" s="30" t="inlineStr">
        <is>
          <t>Gastos marcas y patentes</t>
        </is>
      </c>
      <c r="H29" s="31" t="inlineStr">
        <is>
          <t>Gasto Corriente</t>
        </is>
      </c>
      <c r="I29" s="31" t="inlineStr">
        <is>
          <t>-</t>
        </is>
      </c>
      <c r="J29" s="32" t="n">
        <v>0</v>
      </c>
      <c r="K29" s="32" t="n">
        <v>0</v>
      </c>
      <c r="L29" s="32" t="n">
        <v>0</v>
      </c>
      <c r="M29" s="32" t="n">
        <v>1500</v>
      </c>
      <c r="N29" s="32" t="n">
        <v>0</v>
      </c>
      <c r="O29" s="32" t="n">
        <v>0</v>
      </c>
      <c r="P29" s="32" t="n">
        <v>0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9">
        <f>SUM(J29:U29)</f>
        <v/>
      </c>
    </row>
    <row r="30" ht="18" customHeight="1">
      <c r="B30" s="31" t="inlineStr">
        <is>
          <t>Regulatory</t>
        </is>
      </c>
      <c r="C30" s="30" t="inlineStr">
        <is>
          <t>Marcas</t>
        </is>
      </c>
      <c r="D30" s="30" t="inlineStr">
        <is>
          <t>Alcaplant Perú</t>
        </is>
      </c>
      <c r="E30" s="30" t="inlineStr">
        <is>
          <t>1400</t>
        </is>
      </c>
      <c r="F30" s="31" t="inlineStr">
        <is>
          <t>623200000</t>
        </is>
      </c>
      <c r="G30" s="30" t="inlineStr">
        <is>
          <t>Gastos marcas y patentes</t>
        </is>
      </c>
      <c r="H30" s="31" t="inlineStr">
        <is>
          <t>Gasto Corriente</t>
        </is>
      </c>
      <c r="I30" s="31" t="inlineStr">
        <is>
          <t>-</t>
        </is>
      </c>
      <c r="J30" s="32" t="n">
        <v>0</v>
      </c>
      <c r="K30" s="32" t="n">
        <v>0</v>
      </c>
      <c r="L30" s="32" t="n">
        <v>0</v>
      </c>
      <c r="M30" s="32" t="n">
        <v>0</v>
      </c>
      <c r="N30" s="32" t="n">
        <v>1400</v>
      </c>
      <c r="O30" s="32" t="n">
        <v>0</v>
      </c>
      <c r="P30" s="32" t="n">
        <v>0</v>
      </c>
      <c r="Q30" s="32" t="n">
        <v>0</v>
      </c>
      <c r="R30" s="32" t="n">
        <v>0</v>
      </c>
      <c r="S30" s="32" t="n">
        <v>0</v>
      </c>
      <c r="T30" s="32" t="n">
        <v>0</v>
      </c>
      <c r="U30" s="32" t="n">
        <v>0</v>
      </c>
      <c r="V30" s="9">
        <f>SUM(J30:U30)</f>
        <v/>
      </c>
    </row>
    <row r="31" ht="18" customHeight="1">
      <c r="B31" s="31" t="inlineStr">
        <is>
          <t>Regulatory</t>
        </is>
      </c>
      <c r="C31" s="30" t="inlineStr">
        <is>
          <t>Marcas</t>
        </is>
      </c>
      <c r="D31" s="30" t="inlineStr">
        <is>
          <t>Alcaplant Costa Rica</t>
        </is>
      </c>
      <c r="E31" s="30" t="inlineStr">
        <is>
          <t>1400</t>
        </is>
      </c>
      <c r="F31" s="31" t="inlineStr">
        <is>
          <t>623200000</t>
        </is>
      </c>
      <c r="G31" s="30" t="inlineStr">
        <is>
          <t>Gastos marcas y patentes</t>
        </is>
      </c>
      <c r="H31" s="31" t="inlineStr">
        <is>
          <t>Gasto Corriente</t>
        </is>
      </c>
      <c r="I31" s="31" t="inlineStr">
        <is>
          <t>-</t>
        </is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0</v>
      </c>
      <c r="Q31" s="32" t="n">
        <v>0</v>
      </c>
      <c r="R31" s="32" t="n">
        <v>1400</v>
      </c>
      <c r="S31" s="32" t="n">
        <v>0</v>
      </c>
      <c r="T31" s="32" t="n">
        <v>0</v>
      </c>
      <c r="U31" s="32" t="n">
        <v>0</v>
      </c>
      <c r="V31" s="9">
        <f>SUM(J31:U31)</f>
        <v/>
      </c>
    </row>
    <row r="32" ht="18" customHeight="1">
      <c r="B32" s="31" t="inlineStr">
        <is>
          <t>Regulatory</t>
        </is>
      </c>
      <c r="C32" s="30" t="inlineStr">
        <is>
          <t>Marcas</t>
        </is>
      </c>
      <c r="D32" s="30" t="inlineStr">
        <is>
          <t>Biorad Jordania</t>
        </is>
      </c>
      <c r="E32" s="30" t="inlineStr">
        <is>
          <t>3000</t>
        </is>
      </c>
      <c r="F32" s="31" t="inlineStr">
        <is>
          <t>623200000</t>
        </is>
      </c>
      <c r="G32" s="30" t="inlineStr">
        <is>
          <t>Gastos marcas y patentes</t>
        </is>
      </c>
      <c r="H32" s="31" t="inlineStr">
        <is>
          <t>Gasto Corriente</t>
        </is>
      </c>
      <c r="I32" s="31" t="inlineStr">
        <is>
          <t>-</t>
        </is>
      </c>
      <c r="J32" s="32" t="n">
        <v>0</v>
      </c>
      <c r="K32" s="32" t="n">
        <v>0</v>
      </c>
      <c r="L32" s="32" t="n">
        <v>3000</v>
      </c>
      <c r="M32" s="32" t="n">
        <v>0</v>
      </c>
      <c r="N32" s="32" t="n">
        <v>0</v>
      </c>
      <c r="O32" s="32" t="n">
        <v>0</v>
      </c>
      <c r="P32" s="32" t="n">
        <v>0</v>
      </c>
      <c r="Q32" s="32" t="n">
        <v>0</v>
      </c>
      <c r="R32" s="32" t="n">
        <v>0</v>
      </c>
      <c r="S32" s="32" t="n">
        <v>0</v>
      </c>
      <c r="T32" s="32" t="n">
        <v>0</v>
      </c>
      <c r="U32" s="32" t="n">
        <v>0</v>
      </c>
      <c r="V32" s="9">
        <f>SUM(J32:U32)</f>
        <v/>
      </c>
    </row>
    <row r="33" ht="18" customHeight="1">
      <c r="B33" s="31" t="inlineStr">
        <is>
          <t>Regulatory</t>
        </is>
      </c>
      <c r="C33" s="30" t="inlineStr">
        <is>
          <t>Marcas</t>
        </is>
      </c>
      <c r="D33" s="30" t="inlineStr">
        <is>
          <t>Borocal Int</t>
        </is>
      </c>
      <c r="E33" s="30" t="inlineStr">
        <is>
          <t>4000</t>
        </is>
      </c>
      <c r="F33" s="31" t="inlineStr">
        <is>
          <t>623200000</t>
        </is>
      </c>
      <c r="G33" s="30" t="inlineStr">
        <is>
          <t>Gastos marcas y patentes</t>
        </is>
      </c>
      <c r="H33" s="31" t="inlineStr">
        <is>
          <t>Gasto Corriente</t>
        </is>
      </c>
      <c r="I33" s="31" t="inlineStr">
        <is>
          <t>-</t>
        </is>
      </c>
      <c r="J33" s="32" t="n">
        <v>0</v>
      </c>
      <c r="K33" s="32" t="n">
        <v>4000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0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9">
        <f>SUM(J33:U33)</f>
        <v/>
      </c>
    </row>
    <row r="34" ht="18" customHeight="1">
      <c r="B34" s="31" t="inlineStr">
        <is>
          <t>Regulatory</t>
        </is>
      </c>
      <c r="C34" s="30" t="inlineStr">
        <is>
          <t>Marcas</t>
        </is>
      </c>
      <c r="D34" s="30" t="inlineStr">
        <is>
          <t>Borocal Jordania</t>
        </is>
      </c>
      <c r="E34" s="30" t="inlineStr">
        <is>
          <t>3000</t>
        </is>
      </c>
      <c r="F34" s="31" t="inlineStr">
        <is>
          <t>623200000</t>
        </is>
      </c>
      <c r="G34" s="30" t="inlineStr">
        <is>
          <t>Gastos marcas y patentes</t>
        </is>
      </c>
      <c r="H34" s="31" t="inlineStr">
        <is>
          <t>Gasto Corriente</t>
        </is>
      </c>
      <c r="I34" s="31" t="inlineStr">
        <is>
          <t>-</t>
        </is>
      </c>
      <c r="J34" s="32" t="n">
        <v>0</v>
      </c>
      <c r="K34" s="32" t="n">
        <v>0</v>
      </c>
      <c r="L34" s="32" t="n">
        <v>0</v>
      </c>
      <c r="M34" s="32" t="n">
        <v>0</v>
      </c>
      <c r="N34" s="32" t="n">
        <v>0</v>
      </c>
      <c r="O34" s="32" t="n">
        <v>0</v>
      </c>
      <c r="P34" s="32" t="n">
        <v>0</v>
      </c>
      <c r="Q34" s="32" t="n">
        <v>0</v>
      </c>
      <c r="R34" s="32" t="n">
        <v>3000</v>
      </c>
      <c r="S34" s="32" t="n">
        <v>0</v>
      </c>
      <c r="T34" s="32" t="n">
        <v>0</v>
      </c>
      <c r="U34" s="32" t="n">
        <v>0</v>
      </c>
      <c r="V34" s="9">
        <f>SUM(J34:U34)</f>
        <v/>
      </c>
    </row>
    <row r="35" ht="18" customHeight="1">
      <c r="B35" s="31" t="inlineStr">
        <is>
          <t>Regulatory</t>
        </is>
      </c>
      <c r="C35" s="30" t="inlineStr">
        <is>
          <t>Marcas</t>
        </is>
      </c>
      <c r="D35" s="30" t="inlineStr">
        <is>
          <t>Agroxigreen Int</t>
        </is>
      </c>
      <c r="E35" s="30" t="inlineStr">
        <is>
          <t>4000</t>
        </is>
      </c>
      <c r="F35" s="31" t="inlineStr">
        <is>
          <t>623200000</t>
        </is>
      </c>
      <c r="G35" s="30" t="inlineStr">
        <is>
          <t>Gastos marcas y patentes</t>
        </is>
      </c>
      <c r="H35" s="31" t="inlineStr">
        <is>
          <t>Gasto Corriente</t>
        </is>
      </c>
      <c r="I35" s="31" t="inlineStr">
        <is>
          <t>-</t>
        </is>
      </c>
      <c r="J35" s="32" t="n">
        <v>0</v>
      </c>
      <c r="K35" s="32" t="n">
        <v>4000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0</v>
      </c>
      <c r="R35" s="32" t="n">
        <v>0</v>
      </c>
      <c r="S35" s="32" t="n">
        <v>0</v>
      </c>
      <c r="T35" s="32" t="n">
        <v>0</v>
      </c>
      <c r="U35" s="32" t="n">
        <v>0</v>
      </c>
      <c r="V35" s="9">
        <f>SUM(J35:U35)</f>
        <v/>
      </c>
    </row>
    <row r="36" ht="18" customHeight="1">
      <c r="B36" s="31" t="inlineStr">
        <is>
          <t>Regulatory</t>
        </is>
      </c>
      <c r="C36" s="30" t="inlineStr">
        <is>
          <t>Marcas</t>
        </is>
      </c>
      <c r="D36" s="30" t="inlineStr">
        <is>
          <t>Calciamec Perú</t>
        </is>
      </c>
      <c r="E36" s="30" t="inlineStr">
        <is>
          <t>1400</t>
        </is>
      </c>
      <c r="F36" s="31" t="inlineStr">
        <is>
          <t>623200000</t>
        </is>
      </c>
      <c r="G36" s="30" t="inlineStr">
        <is>
          <t>Gastos marcas y patentes</t>
        </is>
      </c>
      <c r="H36" s="31" t="inlineStr">
        <is>
          <t>Gasto Corriente</t>
        </is>
      </c>
      <c r="I36" s="31" t="inlineStr">
        <is>
          <t>-</t>
        </is>
      </c>
      <c r="J36" s="32" t="n">
        <v>0</v>
      </c>
      <c r="K36" s="32" t="n">
        <v>0</v>
      </c>
      <c r="L36" s="32" t="n">
        <v>0</v>
      </c>
      <c r="M36" s="32" t="n">
        <v>0</v>
      </c>
      <c r="N36" s="32" t="n">
        <v>0</v>
      </c>
      <c r="O36" s="32" t="n">
        <v>0</v>
      </c>
      <c r="P36" s="32" t="n">
        <v>1400</v>
      </c>
      <c r="Q36" s="32" t="n">
        <v>0</v>
      </c>
      <c r="R36" s="32" t="n">
        <v>0</v>
      </c>
      <c r="S36" s="32" t="n">
        <v>0</v>
      </c>
      <c r="T36" s="32" t="n">
        <v>0</v>
      </c>
      <c r="U36" s="32" t="n">
        <v>0</v>
      </c>
      <c r="V36" s="9">
        <f>SUM(J36:U36)</f>
        <v/>
      </c>
    </row>
    <row r="37" ht="18" customHeight="1">
      <c r="B37" s="31" t="inlineStr">
        <is>
          <t>Regulatory</t>
        </is>
      </c>
      <c r="C37" s="30" t="inlineStr">
        <is>
          <t>Marcas</t>
        </is>
      </c>
      <c r="D37" s="30" t="inlineStr">
        <is>
          <t>Fitokontrol Perú</t>
        </is>
      </c>
      <c r="E37" s="30" t="inlineStr">
        <is>
          <t>1400</t>
        </is>
      </c>
      <c r="F37" s="31" t="inlineStr">
        <is>
          <t>623200000</t>
        </is>
      </c>
      <c r="G37" s="30" t="inlineStr">
        <is>
          <t>Gastos marcas y patentes</t>
        </is>
      </c>
      <c r="H37" s="31" t="inlineStr">
        <is>
          <t>Gasto Corriente</t>
        </is>
      </c>
      <c r="I37" s="31" t="inlineStr">
        <is>
          <t>-</t>
        </is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1400</v>
      </c>
      <c r="Q37" s="32" t="n">
        <v>0</v>
      </c>
      <c r="R37" s="32" t="n">
        <v>0</v>
      </c>
      <c r="S37" s="32" t="n">
        <v>0</v>
      </c>
      <c r="T37" s="32" t="n">
        <v>0</v>
      </c>
      <c r="U37" s="32" t="n">
        <v>0</v>
      </c>
      <c r="V37" s="9">
        <f>SUM(J37:U37)</f>
        <v/>
      </c>
    </row>
    <row r="38" ht="18" customHeight="1">
      <c r="B38" s="31" t="inlineStr">
        <is>
          <t>Regulatory</t>
        </is>
      </c>
      <c r="C38" s="30" t="inlineStr">
        <is>
          <t>Marcas</t>
        </is>
      </c>
      <c r="D38" s="30" t="inlineStr">
        <is>
          <t>Poligreen España</t>
        </is>
      </c>
      <c r="E38" s="30" t="inlineStr">
        <is>
          <t>400</t>
        </is>
      </c>
      <c r="F38" s="31" t="inlineStr">
        <is>
          <t>623200000</t>
        </is>
      </c>
      <c r="G38" s="30" t="inlineStr">
        <is>
          <t>Gastos marcas y patentes</t>
        </is>
      </c>
      <c r="H38" s="31" t="inlineStr">
        <is>
          <t>Gasto Corriente</t>
        </is>
      </c>
      <c r="I38" s="31" t="inlineStr">
        <is>
          <t>-</t>
        </is>
      </c>
      <c r="J38" s="32" t="n">
        <v>400</v>
      </c>
      <c r="K38" s="32" t="n">
        <v>0</v>
      </c>
      <c r="L38" s="32" t="n">
        <v>0</v>
      </c>
      <c r="M38" s="32" t="n">
        <v>0</v>
      </c>
      <c r="N38" s="32" t="n">
        <v>0</v>
      </c>
      <c r="O38" s="32" t="n">
        <v>0</v>
      </c>
      <c r="P38" s="32" t="n">
        <v>0</v>
      </c>
      <c r="Q38" s="32" t="n">
        <v>0</v>
      </c>
      <c r="R38" s="32" t="n">
        <v>0</v>
      </c>
      <c r="S38" s="32" t="n">
        <v>0</v>
      </c>
      <c r="T38" s="32" t="n">
        <v>0</v>
      </c>
      <c r="U38" s="32" t="n">
        <v>0</v>
      </c>
      <c r="V38" s="9">
        <f>SUM(J38:U38)</f>
        <v/>
      </c>
    </row>
    <row r="39" ht="18" customHeight="1">
      <c r="B39" s="31" t="inlineStr">
        <is>
          <t>Regulatory</t>
        </is>
      </c>
      <c r="C39" s="30" t="inlineStr">
        <is>
          <t>Marcas</t>
        </is>
      </c>
      <c r="D39" s="30" t="inlineStr">
        <is>
          <t>Polifruit España</t>
        </is>
      </c>
      <c r="E39" s="30" t="inlineStr">
        <is>
          <t>400</t>
        </is>
      </c>
      <c r="F39" s="31" t="inlineStr">
        <is>
          <t>623200000</t>
        </is>
      </c>
      <c r="G39" s="30" t="inlineStr">
        <is>
          <t>Gastos marcas y patentes</t>
        </is>
      </c>
      <c r="H39" s="31" t="inlineStr">
        <is>
          <t>Gasto Corriente</t>
        </is>
      </c>
      <c r="I39" s="31" t="inlineStr">
        <is>
          <t>-</t>
        </is>
      </c>
      <c r="J39" s="32" t="n">
        <v>400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0</v>
      </c>
      <c r="R39" s="32" t="n">
        <v>0</v>
      </c>
      <c r="S39" s="32" t="n">
        <v>0</v>
      </c>
      <c r="T39" s="32" t="n">
        <v>0</v>
      </c>
      <c r="U39" s="32" t="n">
        <v>0</v>
      </c>
      <c r="V39" s="9">
        <f>SUM(J39:U39)</f>
        <v/>
      </c>
    </row>
    <row r="40" ht="18" customHeight="1">
      <c r="B40" s="31" t="inlineStr">
        <is>
          <t>Regulatory</t>
        </is>
      </c>
      <c r="C40" s="30" t="inlineStr">
        <is>
          <t>Marcas</t>
        </is>
      </c>
      <c r="D40" s="30" t="inlineStr">
        <is>
          <t>Salwax Costa Rica</t>
        </is>
      </c>
      <c r="E40" s="30" t="inlineStr">
        <is>
          <t>1400</t>
        </is>
      </c>
      <c r="F40" s="31" t="inlineStr">
        <is>
          <t>623200000</t>
        </is>
      </c>
      <c r="G40" s="30" t="inlineStr">
        <is>
          <t>Gastos marcas y patentes</t>
        </is>
      </c>
      <c r="H40" s="31" t="inlineStr">
        <is>
          <t>Gasto Corriente</t>
        </is>
      </c>
      <c r="I40" s="31" t="inlineStr">
        <is>
          <t>-</t>
        </is>
      </c>
      <c r="J40" s="32" t="n">
        <v>0</v>
      </c>
      <c r="K40" s="32" t="n">
        <v>0</v>
      </c>
      <c r="L40" s="32" t="n">
        <v>0</v>
      </c>
      <c r="M40" s="32" t="n">
        <v>0</v>
      </c>
      <c r="N40" s="32" t="n">
        <v>0</v>
      </c>
      <c r="O40" s="32" t="n">
        <v>0</v>
      </c>
      <c r="P40" s="32" t="n">
        <v>0</v>
      </c>
      <c r="Q40" s="32" t="n">
        <v>0</v>
      </c>
      <c r="R40" s="32" t="n">
        <v>1400</v>
      </c>
      <c r="S40" s="32" t="n">
        <v>0</v>
      </c>
      <c r="T40" s="32" t="n">
        <v>0</v>
      </c>
      <c r="U40" s="32" t="n">
        <v>0</v>
      </c>
      <c r="V40" s="9">
        <f>SUM(J40:U40)</f>
        <v/>
      </c>
    </row>
    <row r="41" ht="18" customHeight="1">
      <c r="B41" s="31" t="inlineStr">
        <is>
          <t>Regulatory</t>
        </is>
      </c>
      <c r="C41" s="30" t="inlineStr">
        <is>
          <t>Marcas</t>
        </is>
      </c>
      <c r="D41" s="30" t="inlineStr">
        <is>
          <t>Xilato Ecuador</t>
        </is>
      </c>
      <c r="E41" s="30" t="inlineStr">
        <is>
          <t>2300</t>
        </is>
      </c>
      <c r="F41" s="31" t="inlineStr">
        <is>
          <t>623200000</t>
        </is>
      </c>
      <c r="G41" s="30" t="inlineStr">
        <is>
          <t>Gastos marcas y patentes</t>
        </is>
      </c>
      <c r="H41" s="31" t="inlineStr">
        <is>
          <t>Gasto Corriente</t>
        </is>
      </c>
      <c r="I41" s="31" t="inlineStr">
        <is>
          <t>-</t>
        </is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2300</v>
      </c>
      <c r="O41" s="32" t="n">
        <v>0</v>
      </c>
      <c r="P41" s="32" t="n">
        <v>0</v>
      </c>
      <c r="Q41" s="32" t="n">
        <v>0</v>
      </c>
      <c r="R41" s="32" t="n">
        <v>0</v>
      </c>
      <c r="S41" s="32" t="n">
        <v>0</v>
      </c>
      <c r="T41" s="32" t="n">
        <v>0</v>
      </c>
      <c r="U41" s="32" t="n">
        <v>0</v>
      </c>
      <c r="V41" s="9">
        <f>SUM(J41:U41)</f>
        <v/>
      </c>
    </row>
    <row r="42" ht="18" customHeight="1">
      <c r="B42" s="31" t="inlineStr">
        <is>
          <t>Regulatory</t>
        </is>
      </c>
      <c r="C42" s="30" t="inlineStr">
        <is>
          <t>Marcas</t>
        </is>
      </c>
      <c r="D42" s="30" t="inlineStr">
        <is>
          <t>vigilancia mundial anual</t>
        </is>
      </c>
      <c r="E42" s="30" t="inlineStr">
        <is>
          <t>2550</t>
        </is>
      </c>
      <c r="F42" s="31" t="inlineStr">
        <is>
          <t>623200033</t>
        </is>
      </c>
      <c r="G42" s="30" t="inlineStr">
        <is>
          <t>Gastos marcas mundial</t>
        </is>
      </c>
      <c r="H42" s="31" t="inlineStr">
        <is>
          <t>Gasto Corriente</t>
        </is>
      </c>
      <c r="I42" s="31" t="inlineStr">
        <is>
          <t>-</t>
        </is>
      </c>
      <c r="J42" s="32" t="n">
        <v>0</v>
      </c>
      <c r="K42" s="32" t="n">
        <v>2550</v>
      </c>
      <c r="L42" s="32" t="n">
        <v>0</v>
      </c>
      <c r="M42" s="32" t="n">
        <v>0</v>
      </c>
      <c r="N42" s="32" t="n">
        <v>0</v>
      </c>
      <c r="O42" s="32" t="n">
        <v>0</v>
      </c>
      <c r="P42" s="32" t="n">
        <v>0</v>
      </c>
      <c r="Q42" s="32" t="n">
        <v>0</v>
      </c>
      <c r="R42" s="32" t="n">
        <v>0</v>
      </c>
      <c r="S42" s="32" t="n">
        <v>0</v>
      </c>
      <c r="T42" s="32" t="n">
        <v>0</v>
      </c>
      <c r="U42" s="32" t="n">
        <v>0</v>
      </c>
      <c r="V42" s="9">
        <f>SUM(J42:U42)</f>
        <v/>
      </c>
    </row>
    <row r="43" ht="18" customHeight="1">
      <c r="B43" s="31" t="inlineStr">
        <is>
          <t>Regulatory</t>
        </is>
      </c>
      <c r="C43" s="30" t="inlineStr">
        <is>
          <t>Marcas</t>
        </is>
      </c>
      <c r="D43" s="30" t="inlineStr">
        <is>
          <t>Sprintium USA</t>
        </is>
      </c>
      <c r="E43" s="30" t="inlineStr">
        <is>
          <t>1300</t>
        </is>
      </c>
      <c r="F43" s="31" t="inlineStr">
        <is>
          <t>623200000</t>
        </is>
      </c>
      <c r="G43" s="30" t="inlineStr">
        <is>
          <t>Gastos marcas y patentes</t>
        </is>
      </c>
      <c r="H43" s="31" t="inlineStr">
        <is>
          <t>Inmovilizable (Activable)</t>
        </is>
      </c>
      <c r="I43" s="31" t="inlineStr">
        <is>
          <t>203000000 - Propiedad Industrial</t>
        </is>
      </c>
      <c r="J43" s="32" t="n">
        <v>900</v>
      </c>
      <c r="K43" s="32" t="n">
        <v>0</v>
      </c>
      <c r="L43" s="32" t="n">
        <v>400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0</v>
      </c>
      <c r="S43" s="32" t="n">
        <v>0</v>
      </c>
      <c r="T43" s="32" t="n">
        <v>0</v>
      </c>
      <c r="U43" s="32" t="n">
        <v>0</v>
      </c>
      <c r="V43" s="9">
        <f>SUM(J43:U43)</f>
        <v/>
      </c>
    </row>
    <row r="44" ht="18" customHeight="1">
      <c r="B44" s="31" t="inlineStr">
        <is>
          <t>Regulatory</t>
        </is>
      </c>
      <c r="C44" s="30" t="inlineStr">
        <is>
          <t>Marcas</t>
        </is>
      </c>
      <c r="D44" s="30" t="inlineStr">
        <is>
          <t>Codiagro USA</t>
        </is>
      </c>
      <c r="E44" s="30" t="inlineStr">
        <is>
          <t>1300</t>
        </is>
      </c>
      <c r="F44" s="31" t="inlineStr">
        <is>
          <t>623200000</t>
        </is>
      </c>
      <c r="G44" s="30" t="inlineStr">
        <is>
          <t>Gastos marcas y patentes</t>
        </is>
      </c>
      <c r="H44" s="31" t="inlineStr">
        <is>
          <t>Inmovilizable (Activable)</t>
        </is>
      </c>
      <c r="I44" s="31" t="inlineStr">
        <is>
          <t>203000000 - Propiedad Industrial</t>
        </is>
      </c>
      <c r="J44" s="32" t="n">
        <v>900</v>
      </c>
      <c r="K44" s="32" t="n">
        <v>0</v>
      </c>
      <c r="L44" s="32" t="n">
        <v>400</v>
      </c>
      <c r="M44" s="32" t="n">
        <v>0</v>
      </c>
      <c r="N44" s="32" t="n">
        <v>0</v>
      </c>
      <c r="O44" s="32" t="n">
        <v>0</v>
      </c>
      <c r="P44" s="32" t="n">
        <v>0</v>
      </c>
      <c r="Q44" s="32" t="n">
        <v>0</v>
      </c>
      <c r="R44" s="32" t="n">
        <v>0</v>
      </c>
      <c r="S44" s="32" t="n">
        <v>0</v>
      </c>
      <c r="T44" s="32" t="n">
        <v>0</v>
      </c>
      <c r="U44" s="32" t="n">
        <v>0</v>
      </c>
      <c r="V44" s="9">
        <f>SUM(J44:U44)</f>
        <v/>
      </c>
    </row>
    <row r="45" ht="18" customHeight="1">
      <c r="B45" s="31" t="inlineStr">
        <is>
          <t>Regulatory</t>
        </is>
      </c>
      <c r="C45" s="30" t="inlineStr">
        <is>
          <t>Marcas</t>
        </is>
      </c>
      <c r="D45" s="30" t="inlineStr">
        <is>
          <t>Sprintium Omán</t>
        </is>
      </c>
      <c r="E45" s="30" t="inlineStr">
        <is>
          <t>1700</t>
        </is>
      </c>
      <c r="F45" s="31" t="inlineStr">
        <is>
          <t>623200000</t>
        </is>
      </c>
      <c r="G45" s="30" t="inlineStr">
        <is>
          <t>Gastos marcas y patentes</t>
        </is>
      </c>
      <c r="H45" s="31" t="inlineStr">
        <is>
          <t>Inmovilizable (Activable)</t>
        </is>
      </c>
      <c r="I45" s="31" t="inlineStr">
        <is>
          <t>203000000 - Propiedad Industrial</t>
        </is>
      </c>
      <c r="J45" s="32" t="n">
        <v>0</v>
      </c>
      <c r="K45" s="32" t="n">
        <v>1700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0</v>
      </c>
      <c r="S45" s="32" t="n">
        <v>0</v>
      </c>
      <c r="T45" s="32" t="n">
        <v>0</v>
      </c>
      <c r="U45" s="32" t="n">
        <v>0</v>
      </c>
      <c r="V45" s="9">
        <f>SUM(J45:U45)</f>
        <v/>
      </c>
    </row>
    <row r="46" ht="18" customHeight="1">
      <c r="B46" s="31" t="inlineStr">
        <is>
          <t>Regulatory</t>
        </is>
      </c>
      <c r="C46" s="30" t="inlineStr">
        <is>
          <t>Marcas</t>
        </is>
      </c>
      <c r="D46" s="30" t="inlineStr">
        <is>
          <t>Codiorgan-Guatemala</t>
        </is>
      </c>
      <c r="E46" s="30" t="inlineStr">
        <is>
          <t>1750</t>
        </is>
      </c>
      <c r="F46" s="31" t="inlineStr">
        <is>
          <t>623200000</t>
        </is>
      </c>
      <c r="G46" s="30" t="inlineStr">
        <is>
          <t>Gastos marcas y patentes</t>
        </is>
      </c>
      <c r="H46" s="31" t="inlineStr">
        <is>
          <t>Inmovilizable (Activable)</t>
        </is>
      </c>
      <c r="I46" s="31" t="inlineStr">
        <is>
          <t>203000000 - Propiedad Industrial</t>
        </is>
      </c>
      <c r="J46" s="32" t="n">
        <v>0</v>
      </c>
      <c r="K46" s="32" t="n">
        <v>1750</v>
      </c>
      <c r="L46" s="32" t="n">
        <v>0</v>
      </c>
      <c r="M46" s="32" t="n">
        <v>0</v>
      </c>
      <c r="N46" s="32" t="n">
        <v>0</v>
      </c>
      <c r="O46" s="32" t="n">
        <v>0</v>
      </c>
      <c r="P46" s="32" t="n">
        <v>0</v>
      </c>
      <c r="Q46" s="32" t="n">
        <v>0</v>
      </c>
      <c r="R46" s="32" t="n">
        <v>0</v>
      </c>
      <c r="S46" s="32" t="n">
        <v>0</v>
      </c>
      <c r="T46" s="32" t="n">
        <v>0</v>
      </c>
      <c r="U46" s="32" t="n">
        <v>0</v>
      </c>
      <c r="V46" s="9">
        <f>SUM(J46:U46)</f>
        <v/>
      </c>
    </row>
    <row r="47" ht="18" customHeight="1">
      <c r="B47" s="31" t="inlineStr">
        <is>
          <t>Regulatory</t>
        </is>
      </c>
      <c r="C47" s="30" t="inlineStr">
        <is>
          <t>Marcas</t>
        </is>
      </c>
      <c r="D47" s="30" t="inlineStr">
        <is>
          <t>Trifeno-94-Europea</t>
        </is>
      </c>
      <c r="E47" s="30" t="inlineStr">
        <is>
          <t>1500</t>
        </is>
      </c>
      <c r="F47" s="31" t="inlineStr">
        <is>
          <t>623200000</t>
        </is>
      </c>
      <c r="G47" s="30" t="inlineStr">
        <is>
          <t>Gastos marcas y patentes</t>
        </is>
      </c>
      <c r="H47" s="31" t="inlineStr">
        <is>
          <t>Inmovilizable (Activable)</t>
        </is>
      </c>
      <c r="I47" s="31" t="inlineStr">
        <is>
          <t>203000000 - Propiedad Industrial</t>
        </is>
      </c>
      <c r="J47" s="32" t="n">
        <v>1500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0</v>
      </c>
      <c r="S47" s="32" t="n">
        <v>0</v>
      </c>
      <c r="T47" s="32" t="n">
        <v>0</v>
      </c>
      <c r="U47" s="32" t="n">
        <v>0</v>
      </c>
      <c r="V47" s="9">
        <f>SUM(J47:U47)</f>
        <v/>
      </c>
    </row>
    <row r="48" ht="18" customHeight="1">
      <c r="B48" s="31" t="inlineStr">
        <is>
          <t>Regulatory</t>
        </is>
      </c>
      <c r="C48" s="30" t="inlineStr">
        <is>
          <t>Marcas</t>
        </is>
      </c>
      <c r="D48" s="30" t="inlineStr">
        <is>
          <t>Trifeno-94-Guatemala</t>
        </is>
      </c>
      <c r="E48" s="30" t="inlineStr">
        <is>
          <t>1750</t>
        </is>
      </c>
      <c r="F48" s="31" t="inlineStr">
        <is>
          <t>623200000</t>
        </is>
      </c>
      <c r="G48" s="30" t="inlineStr">
        <is>
          <t>Gastos marcas y patentes</t>
        </is>
      </c>
      <c r="H48" s="31" t="inlineStr">
        <is>
          <t>Inmovilizable (Activable)</t>
        </is>
      </c>
      <c r="I48" s="31" t="inlineStr">
        <is>
          <t>203000000 - Propiedad Industrial</t>
        </is>
      </c>
      <c r="J48" s="32" t="n">
        <v>0</v>
      </c>
      <c r="K48" s="32" t="n">
        <v>0</v>
      </c>
      <c r="L48" s="32" t="n">
        <v>1750</v>
      </c>
      <c r="M48" s="32" t="n">
        <v>0</v>
      </c>
      <c r="N48" s="32" t="n">
        <v>0</v>
      </c>
      <c r="O48" s="32" t="n">
        <v>0</v>
      </c>
      <c r="P48" s="32" t="n">
        <v>0</v>
      </c>
      <c r="Q48" s="32" t="n">
        <v>0</v>
      </c>
      <c r="R48" s="32" t="n">
        <v>0</v>
      </c>
      <c r="S48" s="32" t="n">
        <v>0</v>
      </c>
      <c r="T48" s="32" t="n">
        <v>0</v>
      </c>
      <c r="U48" s="32" t="n">
        <v>0</v>
      </c>
      <c r="V48" s="9">
        <f>SUM(J48:U48)</f>
        <v/>
      </c>
    </row>
    <row r="49" ht="18" customHeight="1">
      <c r="B49" s="31" t="inlineStr">
        <is>
          <t>Regulatory</t>
        </is>
      </c>
      <c r="C49" s="30" t="inlineStr">
        <is>
          <t>Marcas</t>
        </is>
      </c>
      <c r="D49" s="30" t="inlineStr">
        <is>
          <t>Salwax-Arabia</t>
        </is>
      </c>
      <c r="E49" s="30" t="inlineStr">
        <is>
          <t>2000</t>
        </is>
      </c>
      <c r="F49" s="31" t="inlineStr">
        <is>
          <t>623200000</t>
        </is>
      </c>
      <c r="G49" s="30" t="inlineStr">
        <is>
          <t>Gastos marcas y patentes</t>
        </is>
      </c>
      <c r="H49" s="31" t="inlineStr">
        <is>
          <t>Inmovilizable (Activable)</t>
        </is>
      </c>
      <c r="I49" s="31" t="inlineStr">
        <is>
          <t>203000000 - Propiedad Industrial</t>
        </is>
      </c>
      <c r="J49" s="32" t="n">
        <v>500</v>
      </c>
      <c r="K49" s="32" t="n">
        <v>500</v>
      </c>
      <c r="L49" s="32" t="n">
        <v>500</v>
      </c>
      <c r="M49" s="32" t="n">
        <v>500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0</v>
      </c>
      <c r="S49" s="32" t="n">
        <v>0</v>
      </c>
      <c r="T49" s="32" t="n">
        <v>0</v>
      </c>
      <c r="U49" s="32" t="n">
        <v>0</v>
      </c>
      <c r="V49" s="9">
        <f>SUM(J49:U49)</f>
        <v/>
      </c>
    </row>
    <row r="50" ht="18" customHeight="1">
      <c r="B50" s="31" t="inlineStr">
        <is>
          <t>Regulatory</t>
        </is>
      </c>
      <c r="C50" s="30" t="inlineStr">
        <is>
          <t>Marcas</t>
        </is>
      </c>
      <c r="D50" s="30" t="inlineStr">
        <is>
          <t>Biorad- Arabia</t>
        </is>
      </c>
      <c r="E50" s="30" t="inlineStr">
        <is>
          <t>2000</t>
        </is>
      </c>
      <c r="F50" s="31" t="inlineStr">
        <is>
          <t>623200000</t>
        </is>
      </c>
      <c r="G50" s="30" t="inlineStr">
        <is>
          <t>Gastos marcas y patentes</t>
        </is>
      </c>
      <c r="H50" s="31" t="inlineStr">
        <is>
          <t>Inmovilizable (Activable)</t>
        </is>
      </c>
      <c r="I50" s="31" t="inlineStr">
        <is>
          <t>203000000 - Propiedad Industrial</t>
        </is>
      </c>
      <c r="J50" s="32" t="n">
        <v>0</v>
      </c>
      <c r="K50" s="32" t="n">
        <v>500</v>
      </c>
      <c r="L50" s="32" t="n">
        <v>500</v>
      </c>
      <c r="M50" s="32" t="n">
        <v>500</v>
      </c>
      <c r="N50" s="32" t="n">
        <v>500</v>
      </c>
      <c r="O50" s="32" t="n">
        <v>0</v>
      </c>
      <c r="P50" s="32" t="n">
        <v>0</v>
      </c>
      <c r="Q50" s="32" t="n">
        <v>0</v>
      </c>
      <c r="R50" s="32" t="n">
        <v>0</v>
      </c>
      <c r="S50" s="32" t="n">
        <v>0</v>
      </c>
      <c r="T50" s="32" t="n">
        <v>0</v>
      </c>
      <c r="U50" s="32" t="n">
        <v>0</v>
      </c>
      <c r="V50" s="9">
        <f>SUM(J50:U50)</f>
        <v/>
      </c>
    </row>
    <row r="51" ht="18" customHeight="1">
      <c r="B51" s="31" t="inlineStr">
        <is>
          <t>Regulatory</t>
        </is>
      </c>
      <c r="C51" s="30" t="inlineStr">
        <is>
          <t>Marcas</t>
        </is>
      </c>
      <c r="D51" s="30" t="inlineStr">
        <is>
          <t>Floramec Avance Arabia</t>
        </is>
      </c>
      <c r="E51" s="30" t="inlineStr">
        <is>
          <t>2000</t>
        </is>
      </c>
      <c r="F51" s="31" t="inlineStr">
        <is>
          <t>623200000</t>
        </is>
      </c>
      <c r="G51" s="30" t="inlineStr">
        <is>
          <t>Gastos marcas y patentes</t>
        </is>
      </c>
      <c r="H51" s="31" t="inlineStr">
        <is>
          <t>Inmovilizable (Activable)</t>
        </is>
      </c>
      <c r="I51" s="31" t="inlineStr">
        <is>
          <t>203000000 - Propiedad Industrial</t>
        </is>
      </c>
      <c r="J51" s="32" t="n">
        <v>0</v>
      </c>
      <c r="K51" s="32" t="n">
        <v>0</v>
      </c>
      <c r="L51" s="32" t="n">
        <v>500</v>
      </c>
      <c r="M51" s="32" t="n">
        <v>500</v>
      </c>
      <c r="N51" s="32" t="n">
        <v>500</v>
      </c>
      <c r="O51" s="32" t="n">
        <v>500</v>
      </c>
      <c r="P51" s="32" t="n">
        <v>0</v>
      </c>
      <c r="Q51" s="32" t="n">
        <v>0</v>
      </c>
      <c r="R51" s="32" t="n">
        <v>0</v>
      </c>
      <c r="S51" s="32" t="n">
        <v>0</v>
      </c>
      <c r="T51" s="32" t="n">
        <v>0</v>
      </c>
      <c r="U51" s="32" t="n">
        <v>0</v>
      </c>
      <c r="V51" s="9">
        <f>SUM(J51:U51)</f>
        <v/>
      </c>
    </row>
    <row r="52" ht="18" customHeight="1">
      <c r="B52" s="31" t="inlineStr">
        <is>
          <t>Regulatory</t>
        </is>
      </c>
      <c r="C52" s="30" t="inlineStr">
        <is>
          <t>Marcas</t>
        </is>
      </c>
      <c r="D52" s="30" t="inlineStr">
        <is>
          <t>cambio titular Guatemala</t>
        </is>
      </c>
      <c r="E52" s="30" t="inlineStr">
        <is>
          <t>6840</t>
        </is>
      </c>
      <c r="F52" s="31" t="inlineStr">
        <is>
          <t>623200000</t>
        </is>
      </c>
      <c r="G52" s="30" t="inlineStr">
        <is>
          <t>Gastos marcas y patentes</t>
        </is>
      </c>
      <c r="H52" s="31" t="inlineStr">
        <is>
          <t>Gasto Corriente</t>
        </is>
      </c>
      <c r="I52" s="31" t="inlineStr">
        <is>
          <t>-</t>
        </is>
      </c>
      <c r="J52" s="32" t="n">
        <v>570</v>
      </c>
      <c r="K52" s="32" t="n">
        <v>570</v>
      </c>
      <c r="L52" s="32" t="n">
        <v>570</v>
      </c>
      <c r="M52" s="32" t="n">
        <v>570</v>
      </c>
      <c r="N52" s="32" t="n">
        <v>570</v>
      </c>
      <c r="O52" s="32" t="n">
        <v>570</v>
      </c>
      <c r="P52" s="32" t="n">
        <v>570</v>
      </c>
      <c r="Q52" s="32" t="n">
        <v>570</v>
      </c>
      <c r="R52" s="32" t="n">
        <v>570</v>
      </c>
      <c r="S52" s="32" t="n">
        <v>570</v>
      </c>
      <c r="T52" s="32" t="n">
        <v>570</v>
      </c>
      <c r="U52" s="32" t="n">
        <v>570</v>
      </c>
      <c r="V52" s="9">
        <f>SUM(J52:U52)</f>
        <v/>
      </c>
    </row>
    <row r="53" ht="18" customHeight="1">
      <c r="B53" s="31" t="inlineStr">
        <is>
          <t>Regulatory</t>
        </is>
      </c>
      <c r="C53" s="30" t="inlineStr">
        <is>
          <t>Marcas</t>
        </is>
      </c>
      <c r="D53" s="30" t="inlineStr">
        <is>
          <t>cambio titular Jordania</t>
        </is>
      </c>
      <c r="E53" s="30" t="inlineStr">
        <is>
          <t>4800</t>
        </is>
      </c>
      <c r="F53" s="31" t="inlineStr">
        <is>
          <t>623200000</t>
        </is>
      </c>
      <c r="G53" s="30" t="inlineStr">
        <is>
          <t>Gastos marcas y patentes</t>
        </is>
      </c>
      <c r="H53" s="31" t="inlineStr">
        <is>
          <t>Gasto Corriente</t>
        </is>
      </c>
      <c r="I53" s="31" t="inlineStr">
        <is>
          <t>-</t>
        </is>
      </c>
      <c r="J53" s="32" t="n">
        <v>400</v>
      </c>
      <c r="K53" s="32" t="n">
        <v>400</v>
      </c>
      <c r="L53" s="32" t="n">
        <v>400</v>
      </c>
      <c r="M53" s="32" t="n">
        <v>400</v>
      </c>
      <c r="N53" s="32" t="n">
        <v>400</v>
      </c>
      <c r="O53" s="32" t="n">
        <v>400</v>
      </c>
      <c r="P53" s="32" t="n">
        <v>400</v>
      </c>
      <c r="Q53" s="32" t="n">
        <v>400</v>
      </c>
      <c r="R53" s="32" t="n">
        <v>400</v>
      </c>
      <c r="S53" s="32" t="n">
        <v>400</v>
      </c>
      <c r="T53" s="32" t="n">
        <v>400</v>
      </c>
      <c r="U53" s="32" t="n">
        <v>400</v>
      </c>
      <c r="V53" s="9">
        <f>SUM(J53:U53)</f>
        <v/>
      </c>
    </row>
    <row r="54" ht="18" customHeight="1">
      <c r="B54" s="31" t="inlineStr">
        <is>
          <t>Regulatory</t>
        </is>
      </c>
      <c r="C54" s="30" t="inlineStr">
        <is>
          <t>Marcas</t>
        </is>
      </c>
      <c r="D54" s="30" t="inlineStr">
        <is>
          <t>cambio titular Túnez</t>
        </is>
      </c>
      <c r="E54" s="30" t="inlineStr">
        <is>
          <t>2400</t>
        </is>
      </c>
      <c r="F54" s="31" t="inlineStr">
        <is>
          <t>623200000</t>
        </is>
      </c>
      <c r="G54" s="30" t="inlineStr">
        <is>
          <t>Gastos marcas y patentes</t>
        </is>
      </c>
      <c r="H54" s="31" t="inlineStr">
        <is>
          <t>Gasto Corriente</t>
        </is>
      </c>
      <c r="I54" s="31" t="inlineStr">
        <is>
          <t>-</t>
        </is>
      </c>
      <c r="J54" s="32" t="n">
        <v>200</v>
      </c>
      <c r="K54" s="32" t="n">
        <v>200</v>
      </c>
      <c r="L54" s="32" t="n">
        <v>200</v>
      </c>
      <c r="M54" s="32" t="n">
        <v>200</v>
      </c>
      <c r="N54" s="32" t="n">
        <v>200</v>
      </c>
      <c r="O54" s="32" t="n">
        <v>200</v>
      </c>
      <c r="P54" s="32" t="n">
        <v>200</v>
      </c>
      <c r="Q54" s="32" t="n">
        <v>200</v>
      </c>
      <c r="R54" s="32" t="n">
        <v>200</v>
      </c>
      <c r="S54" s="32" t="n">
        <v>200</v>
      </c>
      <c r="T54" s="32" t="n">
        <v>200</v>
      </c>
      <c r="U54" s="32" t="n">
        <v>200</v>
      </c>
      <c r="V54" s="9">
        <f>SUM(J54:U54)</f>
        <v/>
      </c>
    </row>
    <row r="55" ht="18" customHeight="1">
      <c r="B55" s="31" t="inlineStr">
        <is>
          <t>Regulatory</t>
        </is>
      </c>
      <c r="C55" s="30" t="inlineStr">
        <is>
          <t>Marcas</t>
        </is>
      </c>
      <c r="D55" s="30" t="inlineStr">
        <is>
          <t>cambio titular Emiratos</t>
        </is>
      </c>
      <c r="E55" s="30" t="inlineStr">
        <is>
          <t>4200</t>
        </is>
      </c>
      <c r="F55" s="31" t="inlineStr">
        <is>
          <t>623200000</t>
        </is>
      </c>
      <c r="G55" s="30" t="inlineStr">
        <is>
          <t>Gastos marcas y patentes</t>
        </is>
      </c>
      <c r="H55" s="31" t="inlineStr">
        <is>
          <t>Gasto Corriente</t>
        </is>
      </c>
      <c r="I55" s="31" t="inlineStr">
        <is>
          <t>-</t>
        </is>
      </c>
      <c r="J55" s="32" t="n">
        <v>350</v>
      </c>
      <c r="K55" s="32" t="n">
        <v>350</v>
      </c>
      <c r="L55" s="32" t="n">
        <v>350</v>
      </c>
      <c r="M55" s="32" t="n">
        <v>350</v>
      </c>
      <c r="N55" s="32" t="n">
        <v>350</v>
      </c>
      <c r="O55" s="32" t="n">
        <v>350</v>
      </c>
      <c r="P55" s="32" t="n">
        <v>350</v>
      </c>
      <c r="Q55" s="32" t="n">
        <v>350</v>
      </c>
      <c r="R55" s="32" t="n">
        <v>350</v>
      </c>
      <c r="S55" s="32" t="n">
        <v>350</v>
      </c>
      <c r="T55" s="32" t="n">
        <v>350</v>
      </c>
      <c r="U55" s="32" t="n">
        <v>350</v>
      </c>
      <c r="V55" s="9">
        <f>SUM(J55:U55)</f>
        <v/>
      </c>
    </row>
    <row r="56" ht="18" customHeight="1">
      <c r="B56" s="31" t="inlineStr">
        <is>
          <t>Regulatory</t>
        </is>
      </c>
      <c r="C56" s="30" t="inlineStr">
        <is>
          <t>Marcas</t>
        </is>
      </c>
      <c r="D56" s="30" t="inlineStr">
        <is>
          <t>cambio titualr Nicaragua</t>
        </is>
      </c>
      <c r="E56" s="30" t="inlineStr">
        <is>
          <t>2400</t>
        </is>
      </c>
      <c r="F56" s="31" t="inlineStr">
        <is>
          <t>623200000</t>
        </is>
      </c>
      <c r="G56" s="30" t="inlineStr">
        <is>
          <t>Gastos marcas y patentes</t>
        </is>
      </c>
      <c r="H56" s="31" t="inlineStr">
        <is>
          <t>Gasto Corriente</t>
        </is>
      </c>
      <c r="I56" s="31" t="inlineStr">
        <is>
          <t>-</t>
        </is>
      </c>
      <c r="J56" s="32" t="n">
        <v>200</v>
      </c>
      <c r="K56" s="32" t="n">
        <v>200</v>
      </c>
      <c r="L56" s="32" t="n">
        <v>200</v>
      </c>
      <c r="M56" s="32" t="n">
        <v>200</v>
      </c>
      <c r="N56" s="32" t="n">
        <v>200</v>
      </c>
      <c r="O56" s="32" t="n">
        <v>200</v>
      </c>
      <c r="P56" s="32" t="n">
        <v>200</v>
      </c>
      <c r="Q56" s="32" t="n">
        <v>200</v>
      </c>
      <c r="R56" s="32" t="n">
        <v>200</v>
      </c>
      <c r="S56" s="32" t="n">
        <v>200</v>
      </c>
      <c r="T56" s="32" t="n">
        <v>200</v>
      </c>
      <c r="U56" s="32" t="n">
        <v>200</v>
      </c>
      <c r="V56" s="9">
        <f>SUM(J56:U56)</f>
        <v/>
      </c>
    </row>
    <row r="57" ht="18" customHeight="1">
      <c r="B57" s="31" t="inlineStr">
        <is>
          <t>Regulatory</t>
        </is>
      </c>
      <c r="C57" s="30" t="inlineStr">
        <is>
          <t>Consejero seguridad</t>
        </is>
      </c>
      <c r="D57" s="30" t="inlineStr">
        <is>
          <t>Ecosmep</t>
        </is>
      </c>
      <c r="E57" s="30" t="inlineStr">
        <is>
          <t>650</t>
        </is>
      </c>
      <c r="F57" s="31" t="inlineStr">
        <is>
          <t>623000001</t>
        </is>
      </c>
      <c r="G57" s="30" t="inlineStr">
        <is>
          <t>Servicios profesionales independientes</t>
        </is>
      </c>
      <c r="H57" s="31" t="inlineStr">
        <is>
          <t>Gasto Corriente</t>
        </is>
      </c>
      <c r="I57" s="31" t="inlineStr">
        <is>
          <t>-</t>
        </is>
      </c>
      <c r="J57" s="32" t="n">
        <v>0</v>
      </c>
      <c r="K57" s="32" t="n">
        <v>0</v>
      </c>
      <c r="L57" s="32" t="n">
        <v>650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0</v>
      </c>
      <c r="T57" s="32" t="n">
        <v>0</v>
      </c>
      <c r="U57" s="32" t="n">
        <v>0</v>
      </c>
      <c r="V57" s="9">
        <f>SUM(J57:U57)</f>
        <v/>
      </c>
    </row>
    <row r="58" ht="18" customHeight="1">
      <c r="B58" s="31" t="inlineStr">
        <is>
          <t>Regulatory</t>
        </is>
      </c>
      <c r="C58" s="30" t="inlineStr">
        <is>
          <t>Fds</t>
        </is>
      </c>
      <c r="D58" s="30" t="inlineStr">
        <is>
          <t>EQGEST</t>
        </is>
      </c>
      <c r="E58" s="30" t="inlineStr">
        <is>
          <t>1220</t>
        </is>
      </c>
      <c r="F58" s="31" t="inlineStr">
        <is>
          <t>623000001</t>
        </is>
      </c>
      <c r="G58" s="30" t="inlineStr">
        <is>
          <t>Servicios profesionales independientes</t>
        </is>
      </c>
      <c r="H58" s="31" t="inlineStr">
        <is>
          <t>Gasto Corriente</t>
        </is>
      </c>
      <c r="I58" s="31" t="inlineStr">
        <is>
          <t>-</t>
        </is>
      </c>
      <c r="J58" s="32" t="n">
        <v>1220</v>
      </c>
      <c r="K58" s="32" t="n">
        <v>0</v>
      </c>
      <c r="L58" s="32" t="n">
        <v>0</v>
      </c>
      <c r="M58" s="32" t="n">
        <v>0</v>
      </c>
      <c r="N58" s="32" t="n">
        <v>0</v>
      </c>
      <c r="O58" s="32" t="n">
        <v>0</v>
      </c>
      <c r="P58" s="32" t="n">
        <v>0</v>
      </c>
      <c r="Q58" s="32" t="n">
        <v>0</v>
      </c>
      <c r="R58" s="32" t="n">
        <v>0</v>
      </c>
      <c r="S58" s="32" t="n">
        <v>0</v>
      </c>
      <c r="T58" s="32" t="n">
        <v>0</v>
      </c>
      <c r="U58" s="32" t="n">
        <v>0</v>
      </c>
      <c r="V58" s="9">
        <f>SUM(J58:U58)</f>
        <v/>
      </c>
    </row>
    <row r="59" ht="18" customHeight="1">
      <c r="B59" s="31" t="inlineStr">
        <is>
          <t>Regulatory</t>
        </is>
      </c>
      <c r="C59" s="30" t="inlineStr">
        <is>
          <t>Calidad</t>
        </is>
      </c>
      <c r="D59" s="30" t="inlineStr">
        <is>
          <t>ISO-BUREAU VERITAS</t>
        </is>
      </c>
      <c r="E59" s="30" t="inlineStr">
        <is>
          <t>1000</t>
        </is>
      </c>
      <c r="F59" s="31" t="inlineStr">
        <is>
          <t>623000001</t>
        </is>
      </c>
      <c r="G59" s="30" t="inlineStr">
        <is>
          <t>Servicios profesionales independientes</t>
        </is>
      </c>
      <c r="H59" s="31" t="inlineStr">
        <is>
          <t>Gasto Corriente</t>
        </is>
      </c>
      <c r="I59" s="31" t="inlineStr">
        <is>
          <t>-</t>
        </is>
      </c>
      <c r="J59" s="32" t="n">
        <v>0</v>
      </c>
      <c r="K59" s="32" t="n">
        <v>0</v>
      </c>
      <c r="L59" s="32" t="n">
        <v>0</v>
      </c>
      <c r="M59" s="32" t="n">
        <v>1000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0</v>
      </c>
      <c r="U59" s="32" t="n">
        <v>0</v>
      </c>
      <c r="V59" s="9">
        <f>SUM(J59:U59)</f>
        <v/>
      </c>
    </row>
    <row r="60" ht="18" customHeight="1">
      <c r="B60" s="31" t="inlineStr">
        <is>
          <t>Regulatory</t>
        </is>
      </c>
      <c r="C60" s="30" t="inlineStr">
        <is>
          <t>General</t>
        </is>
      </c>
      <c r="D60" s="30" t="inlineStr">
        <is>
          <t>Quimacova</t>
        </is>
      </c>
      <c r="E60" s="30" t="inlineStr">
        <is>
          <t>2400</t>
        </is>
      </c>
      <c r="F60" s="31" t="inlineStr">
        <is>
          <t>629000008</t>
        </is>
      </c>
      <c r="G60" s="30" t="inlineStr">
        <is>
          <t>Cuotas asociaciones</t>
        </is>
      </c>
      <c r="H60" s="31" t="inlineStr">
        <is>
          <t>Gasto Corriente</t>
        </is>
      </c>
      <c r="I60" s="31" t="inlineStr">
        <is>
          <t>-</t>
        </is>
      </c>
      <c r="J60" s="32" t="n">
        <v>600</v>
      </c>
      <c r="K60" s="32" t="n">
        <v>0</v>
      </c>
      <c r="L60" s="32" t="n">
        <v>0</v>
      </c>
      <c r="M60" s="32" t="n">
        <v>600</v>
      </c>
      <c r="N60" s="32" t="n">
        <v>0</v>
      </c>
      <c r="O60" s="32" t="n">
        <v>0</v>
      </c>
      <c r="P60" s="32" t="n">
        <v>600</v>
      </c>
      <c r="Q60" s="32" t="n">
        <v>0</v>
      </c>
      <c r="R60" s="32" t="n">
        <v>0</v>
      </c>
      <c r="S60" s="32" t="n">
        <v>0</v>
      </c>
      <c r="T60" s="32" t="n">
        <v>600</v>
      </c>
      <c r="U60" s="32" t="n">
        <v>0</v>
      </c>
      <c r="V60" s="9">
        <f>SUM(J60:U60)</f>
        <v/>
      </c>
    </row>
    <row r="61" ht="18" customHeight="1">
      <c r="B61" s="31" t="inlineStr">
        <is>
          <t>Regulatory</t>
        </is>
      </c>
      <c r="C61" s="30" t="inlineStr">
        <is>
          <t>Seguridad industrial</t>
        </is>
      </c>
      <c r="D61" s="30" t="inlineStr">
        <is>
          <t>Inspección reglamentaria BT</t>
        </is>
      </c>
      <c r="E61" s="30" t="inlineStr">
        <is>
          <t>700</t>
        </is>
      </c>
      <c r="F61" s="31" t="inlineStr">
        <is>
          <t>623000001</t>
        </is>
      </c>
      <c r="G61" s="30" t="inlineStr">
        <is>
          <t>Servicios profesionales independientes</t>
        </is>
      </c>
      <c r="H61" s="31" t="inlineStr">
        <is>
          <t>Gasto Corriente</t>
        </is>
      </c>
      <c r="I61" s="31" t="inlineStr">
        <is>
          <t>-</t>
        </is>
      </c>
      <c r="J61" s="32" t="n">
        <v>0</v>
      </c>
      <c r="K61" s="32" t="n">
        <v>0</v>
      </c>
      <c r="L61" s="32" t="n">
        <v>0</v>
      </c>
      <c r="M61" s="32" t="n">
        <v>700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0</v>
      </c>
      <c r="U61" s="32" t="n">
        <v>0</v>
      </c>
      <c r="V61" s="9">
        <f>SUM(J61:U61)</f>
        <v/>
      </c>
    </row>
    <row r="62" ht="18" customHeight="1">
      <c r="B62" s="31" t="inlineStr">
        <is>
          <t>Regulatory</t>
        </is>
      </c>
      <c r="C62" s="30" t="inlineStr">
        <is>
          <t>Ecológicos</t>
        </is>
      </c>
      <c r="D62" s="30" t="inlineStr">
        <is>
          <t>Ecocert</t>
        </is>
      </c>
      <c r="E62" s="30" t="inlineStr">
        <is>
          <t>970</t>
        </is>
      </c>
      <c r="F62" s="31" t="inlineStr">
        <is>
          <t>623000004</t>
        </is>
      </c>
      <c r="G62" s="30" t="inlineStr">
        <is>
          <t>Gastos certificaciones ecológicas</t>
        </is>
      </c>
      <c r="H62" s="31" t="inlineStr">
        <is>
          <t>Gasto Corriente</t>
        </is>
      </c>
      <c r="I62" s="31" t="inlineStr">
        <is>
          <t>-</t>
        </is>
      </c>
      <c r="J62" s="32" t="n">
        <v>0</v>
      </c>
      <c r="K62" s="32" t="n">
        <v>970</v>
      </c>
      <c r="L62" s="32" t="n">
        <v>0</v>
      </c>
      <c r="M62" s="32" t="n">
        <v>0</v>
      </c>
      <c r="N62" s="32" t="n">
        <v>0</v>
      </c>
      <c r="O62" s="32" t="n">
        <v>0</v>
      </c>
      <c r="P62" s="32" t="n">
        <v>0</v>
      </c>
      <c r="Q62" s="32" t="n">
        <v>0</v>
      </c>
      <c r="R62" s="32" t="n">
        <v>0</v>
      </c>
      <c r="S62" s="32" t="n">
        <v>0</v>
      </c>
      <c r="T62" s="32" t="n">
        <v>0</v>
      </c>
      <c r="U62" s="32" t="n">
        <v>0</v>
      </c>
      <c r="V62" s="9">
        <f>SUM(J62:U62)</f>
        <v/>
      </c>
    </row>
    <row r="63" ht="18" customHeight="1">
      <c r="B63" s="31" t="inlineStr">
        <is>
          <t>Regulatory</t>
        </is>
      </c>
      <c r="C63" s="30" t="inlineStr">
        <is>
          <t>Ecológicos</t>
        </is>
      </c>
      <c r="D63" s="30" t="inlineStr">
        <is>
          <t>FIBL</t>
        </is>
      </c>
      <c r="E63" s="30" t="inlineStr">
        <is>
          <t>1100</t>
        </is>
      </c>
      <c r="F63" s="31" t="inlineStr">
        <is>
          <t>623000004</t>
        </is>
      </c>
      <c r="G63" s="30" t="inlineStr">
        <is>
          <t>Gastos certificaciones ecológicas</t>
        </is>
      </c>
      <c r="H63" s="31" t="inlineStr">
        <is>
          <t>Gasto Corriente</t>
        </is>
      </c>
      <c r="I63" s="31" t="inlineStr">
        <is>
          <t>-</t>
        </is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1100</v>
      </c>
      <c r="U63" s="32" t="n">
        <v>0</v>
      </c>
      <c r="V63" s="9">
        <f>SUM(J63:U63)</f>
        <v/>
      </c>
    </row>
    <row r="64" ht="18" customHeight="1">
      <c r="B64" s="31" t="inlineStr">
        <is>
          <t>Regulatory</t>
        </is>
      </c>
      <c r="C64" s="30" t="inlineStr">
        <is>
          <t>Ecológicos</t>
        </is>
      </c>
      <c r="D64" s="30" t="inlineStr">
        <is>
          <t>BCS-Kiwa</t>
        </is>
      </c>
      <c r="E64" s="30" t="inlineStr">
        <is>
          <t>5423</t>
        </is>
      </c>
      <c r="F64" s="31" t="inlineStr">
        <is>
          <t>623000004</t>
        </is>
      </c>
      <c r="G64" s="30" t="inlineStr">
        <is>
          <t>Gastos certificaciones ecológicas</t>
        </is>
      </c>
      <c r="H64" s="31" t="inlineStr">
        <is>
          <t>Gasto Corriente</t>
        </is>
      </c>
      <c r="I64" s="31" t="inlineStr">
        <is>
          <t>-</t>
        </is>
      </c>
      <c r="J64" s="32" t="n">
        <v>980</v>
      </c>
      <c r="K64" s="32" t="n">
        <v>0</v>
      </c>
      <c r="L64" s="32" t="n">
        <v>0</v>
      </c>
      <c r="M64" s="32" t="n">
        <v>0</v>
      </c>
      <c r="N64" s="32" t="n">
        <v>1610</v>
      </c>
      <c r="O64" s="32" t="n">
        <v>1268</v>
      </c>
      <c r="P64" s="32" t="n">
        <v>0</v>
      </c>
      <c r="Q64" s="32" t="n">
        <v>0</v>
      </c>
      <c r="R64" s="32" t="n">
        <v>0</v>
      </c>
      <c r="S64" s="32" t="n">
        <v>180</v>
      </c>
      <c r="T64" s="32" t="n">
        <v>0</v>
      </c>
      <c r="U64" s="32" t="n">
        <v>1385</v>
      </c>
      <c r="V64" s="9">
        <f>SUM(J64:U64)</f>
        <v/>
      </c>
    </row>
    <row r="65" ht="18" customHeight="1">
      <c r="B65" s="31" t="inlineStr">
        <is>
          <t>Regulatory</t>
        </is>
      </c>
      <c r="C65" s="30" t="inlineStr">
        <is>
          <t>Ecológicos</t>
        </is>
      </c>
      <c r="D65" s="30" t="inlineStr">
        <is>
          <t>OMRI</t>
        </is>
      </c>
      <c r="E65" s="30" t="inlineStr">
        <is>
          <t>2700</t>
        </is>
      </c>
      <c r="F65" s="31" t="inlineStr">
        <is>
          <t>623000004</t>
        </is>
      </c>
      <c r="G65" s="30" t="inlineStr">
        <is>
          <t>Gastos certificaciones ecológicas</t>
        </is>
      </c>
      <c r="H65" s="31" t="inlineStr">
        <is>
          <t>Gasto Corriente</t>
        </is>
      </c>
      <c r="I65" s="31" t="inlineStr">
        <is>
          <t>-</t>
        </is>
      </c>
      <c r="J65" s="32" t="n">
        <v>0</v>
      </c>
      <c r="K65" s="32" t="n">
        <v>0</v>
      </c>
      <c r="L65" s="32" t="n">
        <v>2700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0</v>
      </c>
      <c r="U65" s="32" t="n">
        <v>0</v>
      </c>
      <c r="V65" s="9">
        <f>SUM(J65:U65)</f>
        <v/>
      </c>
    </row>
    <row r="66" ht="18" customHeight="1">
      <c r="B66" s="31" t="inlineStr">
        <is>
          <t>Regulatory</t>
        </is>
      </c>
      <c r="C66" s="30" t="inlineStr">
        <is>
          <t>Envases</t>
        </is>
      </c>
      <c r="D66" s="30" t="inlineStr">
        <is>
          <t>AEVAE-PEPE</t>
        </is>
      </c>
      <c r="E66" s="30" t="inlineStr">
        <is>
          <t>515</t>
        </is>
      </c>
      <c r="F66" s="31" t="inlineStr">
        <is>
          <t>629000002</t>
        </is>
      </c>
      <c r="G66" s="30" t="inlineStr">
        <is>
          <t>Otros gastos de gestión / Envases</t>
        </is>
      </c>
      <c r="H66" s="31" t="inlineStr">
        <is>
          <t>Gasto Corriente</t>
        </is>
      </c>
      <c r="I66" s="31" t="inlineStr">
        <is>
          <t>-</t>
        </is>
      </c>
      <c r="J66" s="32" t="n">
        <v>0</v>
      </c>
      <c r="K66" s="32" t="n">
        <v>0</v>
      </c>
      <c r="L66" s="32" t="n">
        <v>0</v>
      </c>
      <c r="M66" s="32" t="n">
        <v>0</v>
      </c>
      <c r="N66" s="32" t="n">
        <v>0</v>
      </c>
      <c r="O66" s="32" t="n">
        <v>0</v>
      </c>
      <c r="P66" s="32" t="n">
        <v>515</v>
      </c>
      <c r="Q66" s="32" t="n">
        <v>0</v>
      </c>
      <c r="R66" s="32" t="n">
        <v>0</v>
      </c>
      <c r="S66" s="32" t="n">
        <v>0</v>
      </c>
      <c r="T66" s="32" t="n">
        <v>0</v>
      </c>
      <c r="U66" s="32" t="n">
        <v>0</v>
      </c>
      <c r="V66" s="9">
        <f>SUM(J66:U66)</f>
        <v/>
      </c>
    </row>
    <row r="67" ht="18" customHeight="1">
      <c r="B67" s="31" t="inlineStr">
        <is>
          <t>Regulatory</t>
        </is>
      </c>
      <c r="C67" s="30" t="inlineStr">
        <is>
          <t>Envases</t>
        </is>
      </c>
      <c r="D67" s="30" t="inlineStr">
        <is>
          <t>AEVAE-declaración</t>
        </is>
      </c>
      <c r="E67" s="30" t="inlineStr">
        <is>
          <t>22050</t>
        </is>
      </c>
      <c r="F67" s="31" t="inlineStr">
        <is>
          <t>629000002</t>
        </is>
      </c>
      <c r="G67" s="30" t="inlineStr">
        <is>
          <t>Otros gastos de gestión / Envases</t>
        </is>
      </c>
      <c r="H67" s="31" t="inlineStr">
        <is>
          <t>Gasto Corriente</t>
        </is>
      </c>
      <c r="I67" s="31" t="inlineStr">
        <is>
          <t>-</t>
        </is>
      </c>
      <c r="J67" s="32" t="n">
        <v>7350</v>
      </c>
      <c r="K67" s="32" t="n">
        <v>0</v>
      </c>
      <c r="L67" s="32" t="n">
        <v>0</v>
      </c>
      <c r="M67" s="32" t="n">
        <v>0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7350</v>
      </c>
      <c r="S67" s="32" t="n">
        <v>0</v>
      </c>
      <c r="T67" s="32" t="n">
        <v>0</v>
      </c>
      <c r="U67" s="32" t="n">
        <v>7350</v>
      </c>
      <c r="V67" s="9">
        <f>SUM(J67:U67)</f>
        <v/>
      </c>
    </row>
    <row r="68" ht="18" customHeight="1">
      <c r="B68" s="31" t="inlineStr">
        <is>
          <t>Regulatory</t>
        </is>
      </c>
      <c r="C68" s="30" t="inlineStr">
        <is>
          <t>Envases</t>
        </is>
      </c>
      <c r="D68" s="30" t="inlineStr">
        <is>
          <t>AEVAE-regularización</t>
        </is>
      </c>
      <c r="E68" s="30" t="inlineStr">
        <is>
          <t>2550</t>
        </is>
      </c>
      <c r="F68" s="31" t="inlineStr">
        <is>
          <t>629000002</t>
        </is>
      </c>
      <c r="G68" s="30" t="inlineStr">
        <is>
          <t>Otros gastos de gestión / Envases</t>
        </is>
      </c>
      <c r="H68" s="31" t="inlineStr">
        <is>
          <t>Gasto Corriente</t>
        </is>
      </c>
      <c r="I68" s="31" t="inlineStr">
        <is>
          <t>-</t>
        </is>
      </c>
      <c r="J68" s="32" t="n">
        <v>0</v>
      </c>
      <c r="K68" s="32" t="n">
        <v>0</v>
      </c>
      <c r="L68" s="32" t="n">
        <v>0</v>
      </c>
      <c r="M68" s="32" t="n">
        <v>0</v>
      </c>
      <c r="N68" s="32" t="n">
        <v>0</v>
      </c>
      <c r="O68" s="32" t="n">
        <v>0</v>
      </c>
      <c r="P68" s="32" t="n">
        <v>0</v>
      </c>
      <c r="Q68" s="32" t="n">
        <v>0</v>
      </c>
      <c r="R68" s="32" t="n">
        <v>1275</v>
      </c>
      <c r="S68" s="32" t="n">
        <v>0</v>
      </c>
      <c r="T68" s="32" t="n">
        <v>0</v>
      </c>
      <c r="U68" s="32" t="n">
        <v>1275</v>
      </c>
      <c r="V68" s="9">
        <f>SUM(J68:U68)</f>
        <v/>
      </c>
    </row>
    <row r="69" ht="18" customHeight="1">
      <c r="B69" s="31" t="inlineStr">
        <is>
          <t>Regulatory</t>
        </is>
      </c>
      <c r="C69" s="30" t="inlineStr">
        <is>
          <t>Medioambiente</t>
        </is>
      </c>
      <c r="D69" s="30" t="inlineStr">
        <is>
          <t>Residuos P y NP</t>
        </is>
      </c>
      <c r="E69" s="30" t="inlineStr">
        <is>
          <t>74400</t>
        </is>
      </c>
      <c r="F69" s="31" t="inlineStr">
        <is>
          <t>629000007</t>
        </is>
      </c>
      <c r="G69" s="30" t="inlineStr">
        <is>
          <t>Gastos retirada de residuos</t>
        </is>
      </c>
      <c r="H69" s="31" t="inlineStr">
        <is>
          <t>Gasto Corriente</t>
        </is>
      </c>
      <c r="I69" s="31" t="inlineStr">
        <is>
          <t>-</t>
        </is>
      </c>
      <c r="J69" s="32" t="n">
        <v>6200</v>
      </c>
      <c r="K69" s="32" t="n">
        <v>6200</v>
      </c>
      <c r="L69" s="32" t="n">
        <v>6200</v>
      </c>
      <c r="M69" s="32" t="n">
        <v>6200</v>
      </c>
      <c r="N69" s="32" t="n">
        <v>6200</v>
      </c>
      <c r="O69" s="32" t="n">
        <v>6200</v>
      </c>
      <c r="P69" s="32" t="n">
        <v>6200</v>
      </c>
      <c r="Q69" s="32" t="n">
        <v>6200</v>
      </c>
      <c r="R69" s="32" t="n">
        <v>6200</v>
      </c>
      <c r="S69" s="32" t="n">
        <v>6200</v>
      </c>
      <c r="T69" s="32" t="n">
        <v>6200</v>
      </c>
      <c r="U69" s="32" t="n">
        <v>6200</v>
      </c>
      <c r="V69" s="9">
        <f>SUM(J69:U69)</f>
        <v/>
      </c>
    </row>
    <row r="70" ht="18" customHeight="1">
      <c r="B70" s="31" t="inlineStr">
        <is>
          <t>Regulatory</t>
        </is>
      </c>
      <c r="C70" s="30" t="inlineStr">
        <is>
          <t>Medioambiente</t>
        </is>
      </c>
      <c r="D70" s="30" t="inlineStr">
        <is>
          <t>Regularización nave enfrente</t>
        </is>
      </c>
      <c r="E70" s="30" t="inlineStr">
        <is>
          <t>9600</t>
        </is>
      </c>
      <c r="F70" s="31" t="inlineStr">
        <is>
          <t>622000000</t>
        </is>
      </c>
      <c r="G70" s="30" t="inlineStr">
        <is>
          <t>Reparaciones y conservación</t>
        </is>
      </c>
      <c r="H70" s="31" t="inlineStr">
        <is>
          <t>Inmovilizable (Activable)</t>
        </is>
      </c>
      <c r="I70" s="31" t="inlineStr">
        <is>
          <t>211000000 - Construcciones</t>
        </is>
      </c>
      <c r="J70" s="32" t="n">
        <v>800</v>
      </c>
      <c r="K70" s="32" t="n">
        <v>800</v>
      </c>
      <c r="L70" s="32" t="n">
        <v>800</v>
      </c>
      <c r="M70" s="32" t="n">
        <v>800</v>
      </c>
      <c r="N70" s="32" t="n">
        <v>800</v>
      </c>
      <c r="O70" s="32" t="n">
        <v>800</v>
      </c>
      <c r="P70" s="32" t="n">
        <v>800</v>
      </c>
      <c r="Q70" s="32" t="n">
        <v>800</v>
      </c>
      <c r="R70" s="32" t="n">
        <v>800</v>
      </c>
      <c r="S70" s="32" t="n">
        <v>800</v>
      </c>
      <c r="T70" s="32" t="n">
        <v>800</v>
      </c>
      <c r="U70" s="32" t="n">
        <v>800</v>
      </c>
      <c r="V70" s="9">
        <f>SUM(J70:U70)</f>
        <v/>
      </c>
    </row>
    <row r="71" ht="18" customHeight="1">
      <c r="B71" s="31" t="inlineStr">
        <is>
          <t>Regulatory</t>
        </is>
      </c>
      <c r="C71" s="30" t="inlineStr">
        <is>
          <t>Registros</t>
        </is>
      </c>
      <c r="D71" s="30" t="inlineStr">
        <is>
          <t>Registro-Azerbaiyán</t>
        </is>
      </c>
      <c r="E71" s="30" t="inlineStr">
        <is>
          <t>13200</t>
        </is>
      </c>
      <c r="F71" s="31" t="inlineStr">
        <is>
          <t>623000003</t>
        </is>
      </c>
      <c r="G71" s="30" t="inlineStr">
        <is>
          <t>Servicios registros y notarios</t>
        </is>
      </c>
      <c r="H71" s="31" t="inlineStr">
        <is>
          <t>Inmovilizable (Activable)</t>
        </is>
      </c>
      <c r="I71" s="31" t="inlineStr">
        <is>
          <t>203000000 - Licencias y Registros</t>
        </is>
      </c>
      <c r="J71" s="32" t="n">
        <v>3300</v>
      </c>
      <c r="K71" s="32" t="n">
        <v>3300</v>
      </c>
      <c r="L71" s="32" t="n">
        <v>3300</v>
      </c>
      <c r="M71" s="32" t="n">
        <v>3300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9">
        <f>SUM(J71:U71)</f>
        <v/>
      </c>
    </row>
    <row r="72" ht="18" customHeight="1">
      <c r="B72" s="31" t="inlineStr">
        <is>
          <t>Regulatory</t>
        </is>
      </c>
      <c r="C72" s="30" t="inlineStr">
        <is>
          <t>Registros</t>
        </is>
      </c>
      <c r="D72" s="30" t="inlineStr">
        <is>
          <t>Análisis de labo externo para registros</t>
        </is>
      </c>
      <c r="E72" s="30" t="inlineStr">
        <is>
          <t>6600</t>
        </is>
      </c>
      <c r="F72" s="31" t="inlineStr">
        <is>
          <t>629000005</t>
        </is>
      </c>
      <c r="G72" s="30" t="inlineStr">
        <is>
          <t>Gastos análisis de laboratorios</t>
        </is>
      </c>
      <c r="H72" s="31" t="inlineStr">
        <is>
          <t>Gasto Corriente</t>
        </is>
      </c>
      <c r="I72" s="31" t="inlineStr">
        <is>
          <t>-</t>
        </is>
      </c>
      <c r="J72" s="32" t="n">
        <v>550</v>
      </c>
      <c r="K72" s="32" t="n">
        <v>550</v>
      </c>
      <c r="L72" s="32" t="n">
        <v>550</v>
      </c>
      <c r="M72" s="32" t="n">
        <v>550</v>
      </c>
      <c r="N72" s="32" t="n">
        <v>550</v>
      </c>
      <c r="O72" s="32" t="n">
        <v>550</v>
      </c>
      <c r="P72" s="32" t="n">
        <v>550</v>
      </c>
      <c r="Q72" s="32" t="n">
        <v>550</v>
      </c>
      <c r="R72" s="32" t="n">
        <v>550</v>
      </c>
      <c r="S72" s="32" t="n">
        <v>550</v>
      </c>
      <c r="T72" s="32" t="n">
        <v>550</v>
      </c>
      <c r="U72" s="32" t="n">
        <v>550</v>
      </c>
      <c r="V72" s="9">
        <f>SUM(J72:U72)</f>
        <v/>
      </c>
    </row>
    <row r="73" ht="18" customHeight="1">
      <c r="B73" s="31" t="inlineStr">
        <is>
          <t>Regulatory</t>
        </is>
      </c>
      <c r="C73" s="30" t="inlineStr">
        <is>
          <t>Registros</t>
        </is>
      </c>
      <c r="D73" s="30" t="inlineStr">
        <is>
          <t>Registro - Guatemala</t>
        </is>
      </c>
      <c r="E73" s="30" t="inlineStr">
        <is>
          <t>5740</t>
        </is>
      </c>
      <c r="F73" s="31" t="inlineStr">
        <is>
          <t>623000003</t>
        </is>
      </c>
      <c r="G73" s="30" t="inlineStr">
        <is>
          <t>Servicios registros y notarios</t>
        </is>
      </c>
      <c r="H73" s="31" t="inlineStr">
        <is>
          <t>Inmovilizable (Activable)</t>
        </is>
      </c>
      <c r="I73" s="31" t="inlineStr">
        <is>
          <t>203000000 - Licencias y Registros</t>
        </is>
      </c>
      <c r="J73" s="32" t="n">
        <v>1360</v>
      </c>
      <c r="K73" s="32" t="n">
        <v>600</v>
      </c>
      <c r="L73" s="32" t="n">
        <v>600</v>
      </c>
      <c r="M73" s="32" t="n">
        <v>1460</v>
      </c>
      <c r="N73" s="32" t="n">
        <v>0</v>
      </c>
      <c r="O73" s="32" t="n">
        <v>0</v>
      </c>
      <c r="P73" s="32" t="n">
        <v>0</v>
      </c>
      <c r="Q73" s="32" t="n">
        <v>860</v>
      </c>
      <c r="R73" s="32" t="n">
        <v>0</v>
      </c>
      <c r="S73" s="32" t="n">
        <v>0</v>
      </c>
      <c r="T73" s="32" t="n">
        <v>0</v>
      </c>
      <c r="U73" s="32" t="n">
        <v>860</v>
      </c>
      <c r="V73" s="9">
        <f>SUM(J73:U73)</f>
        <v/>
      </c>
    </row>
    <row r="74" ht="18" customHeight="1">
      <c r="B74" s="31" t="inlineStr">
        <is>
          <t>Regulatory</t>
        </is>
      </c>
      <c r="C74" s="30" t="inlineStr">
        <is>
          <t>Registros</t>
        </is>
      </c>
      <c r="D74" s="30" t="inlineStr">
        <is>
          <t>Registro-Sudáfrica</t>
        </is>
      </c>
      <c r="E74" s="30" t="inlineStr">
        <is>
          <t>6960</t>
        </is>
      </c>
      <c r="F74" s="31" t="inlineStr">
        <is>
          <t>623000003</t>
        </is>
      </c>
      <c r="G74" s="30" t="inlineStr">
        <is>
          <t>Servicios registros y notarios</t>
        </is>
      </c>
      <c r="H74" s="31" t="inlineStr">
        <is>
          <t>Inmovilizable (Activable)</t>
        </is>
      </c>
      <c r="I74" s="31" t="inlineStr">
        <is>
          <t>203000000 - Licencias y Registros</t>
        </is>
      </c>
      <c r="J74" s="32" t="n">
        <v>580</v>
      </c>
      <c r="K74" s="32" t="n">
        <v>580</v>
      </c>
      <c r="L74" s="32" t="n">
        <v>580</v>
      </c>
      <c r="M74" s="32" t="n">
        <v>580</v>
      </c>
      <c r="N74" s="32" t="n">
        <v>580</v>
      </c>
      <c r="O74" s="32" t="n">
        <v>580</v>
      </c>
      <c r="P74" s="32" t="n">
        <v>580</v>
      </c>
      <c r="Q74" s="32" t="n">
        <v>580</v>
      </c>
      <c r="R74" s="32" t="n">
        <v>580</v>
      </c>
      <c r="S74" s="32" t="n">
        <v>580</v>
      </c>
      <c r="T74" s="32" t="n">
        <v>580</v>
      </c>
      <c r="U74" s="32" t="n">
        <v>580</v>
      </c>
      <c r="V74" s="9">
        <f>SUM(J74:U74)</f>
        <v/>
      </c>
    </row>
    <row r="75" ht="18" customHeight="1">
      <c r="B75" s="31" t="inlineStr">
        <is>
          <t>Regulatory</t>
        </is>
      </c>
      <c r="C75" s="30" t="inlineStr">
        <is>
          <t>Registros</t>
        </is>
      </c>
      <c r="D75" s="30" t="inlineStr">
        <is>
          <t>Registro-Omán</t>
        </is>
      </c>
      <c r="E75" s="30" t="inlineStr">
        <is>
          <t>550</t>
        </is>
      </c>
      <c r="F75" s="31" t="inlineStr">
        <is>
          <t>623000003</t>
        </is>
      </c>
      <c r="G75" s="30" t="inlineStr">
        <is>
          <t>Servicios registros y notarios</t>
        </is>
      </c>
      <c r="H75" s="31" t="inlineStr">
        <is>
          <t>Gasto Corriente</t>
        </is>
      </c>
      <c r="I75" s="31" t="inlineStr">
        <is>
          <t>-</t>
        </is>
      </c>
      <c r="J75" s="32" t="n">
        <v>550</v>
      </c>
      <c r="K75" s="32" t="n">
        <v>0</v>
      </c>
      <c r="L75" s="32" t="n">
        <v>0</v>
      </c>
      <c r="M75" s="32" t="n">
        <v>0</v>
      </c>
      <c r="N75" s="32" t="n">
        <v>0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0</v>
      </c>
      <c r="V75" s="9">
        <f>SUM(J75:U75)</f>
        <v/>
      </c>
    </row>
    <row r="76" ht="18" customHeight="1">
      <c r="B76" s="31" t="inlineStr">
        <is>
          <t>Regulatory</t>
        </is>
      </c>
      <c r="C76" s="30" t="inlineStr">
        <is>
          <t>Imprevistos</t>
        </is>
      </c>
      <c r="D76" s="30" t="inlineStr">
        <is>
          <t>Registro-Arabia</t>
        </is>
      </c>
      <c r="E76" s="30" t="inlineStr">
        <is>
          <t>200</t>
        </is>
      </c>
      <c r="F76" s="31" t="inlineStr">
        <is>
          <t>629000002</t>
        </is>
      </c>
      <c r="G76" s="30" t="inlineStr">
        <is>
          <t>Otros gastos</t>
        </is>
      </c>
      <c r="H76" s="31" t="inlineStr">
        <is>
          <t>Gasto Corriente</t>
        </is>
      </c>
      <c r="I76" s="31" t="inlineStr">
        <is>
          <t>-</t>
        </is>
      </c>
      <c r="J76" s="32" t="n">
        <v>200</v>
      </c>
      <c r="K76" s="32" t="n">
        <v>0</v>
      </c>
      <c r="L76" s="32" t="n">
        <v>0</v>
      </c>
      <c r="M76" s="32" t="n">
        <v>0</v>
      </c>
      <c r="N76" s="32" t="n">
        <v>0</v>
      </c>
      <c r="O76" s="32" t="n">
        <v>0</v>
      </c>
      <c r="P76" s="32" t="n">
        <v>0</v>
      </c>
      <c r="Q76" s="32" t="n">
        <v>0</v>
      </c>
      <c r="R76" s="32" t="n">
        <v>0</v>
      </c>
      <c r="S76" s="32" t="n">
        <v>0</v>
      </c>
      <c r="T76" s="32" t="n">
        <v>0</v>
      </c>
      <c r="U76" s="32" t="n">
        <v>0</v>
      </c>
      <c r="V76" s="9">
        <f>SUM(J76:U76)</f>
        <v/>
      </c>
    </row>
  </sheetData>
  <mergeCells count="1">
    <mergeCell ref="B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9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38" customWidth="1" min="3" max="3"/>
    <col width="18" customWidth="1" min="4" max="4"/>
    <col width="16" customWidth="1" min="5" max="5"/>
    <col width="32" customWidth="1" min="6" max="6"/>
    <col width="18" customWidth="1" min="7" max="7"/>
    <col width="65" customWidth="1" min="8" max="8"/>
  </cols>
  <sheetData>
    <row r="1" ht="28" customHeight="1">
      <c r="B1" s="1" t="inlineStr">
        <is>
          <t>ANÁLISIS DE PARTIDAS INMOVILIZABLES (CAPEX VS OPEX 2027)</t>
        </is>
      </c>
    </row>
    <row r="2" ht="20" customHeight="1">
      <c r="B2" s="2" t="inlineStr">
        <is>
          <t>Criterios contables según PGC (Norma de Registro y Valoración 5ª y 6ª y Resolución ICAC)</t>
        </is>
      </c>
    </row>
    <row r="4" ht="24" customHeight="1">
      <c r="B4" s="11" t="inlineStr">
        <is>
          <t>Área</t>
        </is>
      </c>
      <c r="C4" s="11" t="inlineStr">
        <is>
          <t>Concepto Específico</t>
        </is>
      </c>
      <c r="D4" s="11" t="inlineStr">
        <is>
          <t>Importe 2027 (€)</t>
        </is>
      </c>
      <c r="E4" s="11" t="inlineStr">
        <is>
          <t>Cta Gasto Original</t>
        </is>
      </c>
      <c r="F4" s="11" t="inlineStr">
        <is>
          <t>Cta Inmovilizado Activable</t>
        </is>
      </c>
      <c r="G4" s="11" t="inlineStr">
        <is>
          <t>Vida Útil Estimada</t>
        </is>
      </c>
      <c r="H4" s="11" t="inlineStr">
        <is>
          <t>Criterio y Justificación PGC</t>
        </is>
      </c>
    </row>
    <row r="5" ht="24" customHeight="1">
      <c r="B5" s="26" t="inlineStr">
        <is>
          <t>Regulatory / Marcas</t>
        </is>
      </c>
      <c r="C5" s="7" t="inlineStr">
        <is>
          <t>Nuevas marcas internacionales (Sprintium USA/Omán, Trifeno UE/Guatemala, Salwax, Biorad, Floramec Arabia)</t>
        </is>
      </c>
      <c r="D5" s="33" t="n">
        <v>16300</v>
      </c>
      <c r="E5" s="31" t="inlineStr">
        <is>
          <t>623200000</t>
        </is>
      </c>
      <c r="F5" s="30" t="inlineStr">
        <is>
          <t>203000000 - Propiedad Industrial</t>
        </is>
      </c>
      <c r="G5" s="31" t="inlineStr">
        <is>
          <t>10 años (lineal)</t>
        </is>
      </c>
      <c r="H5" s="10" t="inlineStr">
        <is>
          <t>NRV 5ª PGC: Registro de nueva marca genera derecho legal de uso exclusivo y beneficios futuros. Gastos de registro oficial activables.</t>
        </is>
      </c>
    </row>
    <row r="6" ht="24" customHeight="1">
      <c r="B6" s="26" t="inlineStr">
        <is>
          <t>Regulatory / Registros</t>
        </is>
      </c>
      <c r="C6" s="7" t="inlineStr">
        <is>
          <t>Expedientes y tasas oficiales de registro de nuevos productos (Azerbaiyán 13,2k €, Sudáfrica 7,0k €, Guatemala 5,7k €)</t>
        </is>
      </c>
      <c r="D6" s="33" t="n">
        <v>25900</v>
      </c>
      <c r="E6" s="31" t="inlineStr">
        <is>
          <t>623000003</t>
        </is>
      </c>
      <c r="F6" s="30" t="inlineStr">
        <is>
          <t>203000000 - Licencias y Concesiones</t>
        </is>
      </c>
      <c r="G6" s="31" t="inlineStr">
        <is>
          <t>5 a 10 años</t>
        </is>
      </c>
      <c r="H6" s="10" t="inlineStr">
        <is>
          <t>RICAC Intangibles: Concesiones administrativas obligatorias para comercializar el producto de forma plurianual. Activable al generar flujo de caja.</t>
        </is>
      </c>
    </row>
    <row r="7" ht="24" customHeight="1">
      <c r="B7" s="26" t="inlineStr">
        <is>
          <t>Mantenimiento / Nave</t>
        </is>
      </c>
      <c r="C7" s="7" t="inlineStr">
        <is>
          <t>Adecuación estructural y cubierta de nave enfrente (regularización nave almacén)</t>
        </is>
      </c>
      <c r="D7" s="33" t="n">
        <v>9600</v>
      </c>
      <c r="E7" s="31" t="inlineStr">
        <is>
          <t>622000006</t>
        </is>
      </c>
      <c r="F7" s="30" t="inlineStr">
        <is>
          <t>211000000 - Construcciones</t>
        </is>
      </c>
      <c r="G7" s="31" t="inlineStr">
        <is>
          <t>20 a 50 años</t>
        </is>
      </c>
      <c r="H7" s="10" t="inlineStr">
        <is>
          <t>NRV 3ª PGC: Las obras que prolongan la vida útil del inmueble o aumentan su capacidad se activan como mayor valor del inmovilizado material.</t>
        </is>
      </c>
    </row>
    <row r="8" ht="24" customHeight="1">
      <c r="B8" s="26" t="inlineStr">
        <is>
          <t>Mantenimiento / Fábrica</t>
        </is>
      </c>
      <c r="C8" s="7" t="inlineStr">
        <is>
          <t>Overhaul estructural y puesta a punto integral de molinos Alcaplant (Oliver &amp; Batlle)</t>
        </is>
      </c>
      <c r="D8" s="33" t="n">
        <v>9410</v>
      </c>
      <c r="E8" s="31" t="inlineStr">
        <is>
          <t>622010200</t>
        </is>
      </c>
      <c r="F8" s="30" t="inlineStr">
        <is>
          <t>213000000 - Maquinaria</t>
        </is>
      </c>
      <c r="G8" s="31" t="inlineStr">
        <is>
          <t>8 a 10 años</t>
        </is>
      </c>
      <c r="H8" s="10" t="inlineStr">
        <is>
          <t>NRV 3ª PGC: Grandes reparaciones o sustituciones de componentes clave que restablecen y prolongan la vida operativa de la máquina.</t>
        </is>
      </c>
    </row>
    <row r="9" ht="24" customHeight="1">
      <c r="B9" s="34" t="inlineStr">
        <is>
          <t>TOTAL INMOVILIZACIONES ACTIVABLES 2027</t>
        </is>
      </c>
      <c r="C9" s="35" t="n"/>
      <c r="D9" s="36">
        <f>SUM(D5:D8)</f>
        <v/>
      </c>
      <c r="E9" s="35" t="n"/>
      <c r="F9" s="35" t="n"/>
      <c r="G9" s="35" t="n"/>
      <c r="H9" s="35" t="n"/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2026-09-29T12:45:55Z</dcterms:created>
  <dcterms:modified xmlns:dcterms="http://purl.org/dc/terms/" xmlns:xsi="http://www.w3.org/2001/XMLSchema-instance" xsi:type="dcterms:W3CDTF">2026-09-29T12:45:55Z</dcterms:modified>
</cp:coreProperties>
</file>