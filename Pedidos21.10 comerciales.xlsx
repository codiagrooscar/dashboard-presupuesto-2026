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24" documentId="8_{DB7404D2-ECE7-4680-B483-C9ED25CF4224}" xr6:coauthVersionLast="47" xr6:coauthVersionMax="47" xr10:uidLastSave="{9E067876-43CF-486C-90F4-AA7E9E864CCF}"/>
  <bookViews>
    <workbookView xWindow="-25710" yWindow="-110" windowWidth="25820" windowHeight="14620" xr2:uid="{98158736-BF56-4FFC-90E7-0D5AFB7C782B}"/>
  </bookViews>
  <sheets>
    <sheet name="LineasPedidoCliente" sheetId="1" r:id="rId1"/>
  </sheets>
  <definedNames>
    <definedName name="DatosExternos_1" localSheetId="0" hidden="1">LineasPedidoCliente!$A$1:$P$112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10" i="1" l="1"/>
  <c r="N111" i="1"/>
  <c r="N112" i="1"/>
  <c r="N109" i="1"/>
  <c r="N105" i="1"/>
  <c r="N106" i="1"/>
  <c r="N107" i="1"/>
  <c r="N108" i="1"/>
  <c r="N104" i="1"/>
  <c r="N103" i="1"/>
  <c r="O103" i="1" s="1"/>
  <c r="N101" i="1"/>
  <c r="N102" i="1"/>
  <c r="N100" i="1"/>
  <c r="O100" i="1" s="1"/>
  <c r="N97" i="1"/>
  <c r="N98" i="1"/>
  <c r="N99" i="1"/>
  <c r="N96" i="1"/>
  <c r="N95" i="1"/>
  <c r="N94" i="1"/>
  <c r="N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5701-4270-4E01-927D-3C75BC21F8B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<sst xmlns="http://schemas.openxmlformats.org/spreadsheetml/2006/main" count="542" uniqueCount="189">
  <si>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</si>
  <si>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</si>
  <si>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</si>
  <si>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</si>
  <si>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</si>
  <si>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</si>
  <si>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</si>
  <si>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</si>
  <si>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</si>
  <si>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</si>
  <si>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</si>
  <si>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</si>
  <si>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</si>
  <si>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</si>
  <si>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</si>
  <si>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</si>
  <si>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</si>
  <si>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</si>
  <si>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</si>
  <si>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</si>
  <si>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</si>
  <si>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</si>
  <si>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</si>
  <si>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</si>
  <si>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</si>
  <si>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</si>
  <si>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</si>
  <si>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</si>
  <si>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</si>
  <si>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</si>
  <si>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</si>
  <si>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</si>
  <si>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</si>
  <si>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</si>
  <si>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</si>
  <si>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</si>
  <si>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</si>
  <si>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</si>
  <si>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</si>
  <si>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</si>
  <si>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</si>
  <si>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</si>
  <si>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</si>
  <si>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</si>
  <si>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</si>
  <si>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</si>
  <si>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</si>
  <si>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</si>
  <si>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</si>
  <si>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</si>
  <si>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</si>
  <si>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</si>
  <si>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</si>
  <si>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</si>
  <si>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</si>
  <si>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</si>
  <si>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</si>
  <si>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</si>
  <si>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</si>
  <si>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</si>
  <si>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</si>
  <si>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</si>
  <si>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</si>
  <si>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</si>
  <si>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</si>
  <si>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</si>
  <si>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</si>
  <si>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</si>
  <si>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</si>
  <si>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</si>
  <si>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</si>
  <si>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</si>
  <si>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</si>
  <si>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</si>
  <si>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</si>
  <si>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</si>
  <si>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</si>
  <si>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</si>
  <si>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</si>
  <si>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</si>
  <si>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</si>
  <si>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</si>
  <si>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</si>
  <si>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</si>
  <si>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</si>
  <si>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</si>
  <si>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</si>
  <si>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</si>
  <si>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</si>
  <si>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</si>
  <si>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</si>
  <si>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</si>
  <si>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</si>
  <si>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</si>
  <si>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</si>
  <si>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</si>
  <si>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</si>
  <si>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</si>
  <si>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</si>
  <si>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</si>
  <si>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</si>
  <si>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</si>
  <si>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</si>
  <si>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</si>
  <si>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</si>
  <si>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</si>
  <si>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</si>
  <si>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</si>
  <si>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</si>
  <si>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</si>
  <si>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</si>
  <si>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</si>
  <si>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</si>
  <si>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</si>
  <si>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</si>
  <si>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</si>
  <si>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</si>
  <si>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</si>
  <si>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</si>
  <si>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</si>
  <si>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</si>
  <si>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</si>
  <si>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</si>
  <si>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</si>
  <si>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</si>
  <si>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</si>
  <si>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</si>
  <si>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</si>
  <si>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</si>
  <si>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</si>
  <si>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</si>
  <si>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</si>
  <si>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</si>
  <si>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</si>
  <si>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</si>
  <si>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</si>
  <si>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</si>
  <si>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</si>
  <si>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</si>
  <si>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</si>
  <si>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</si>
  <si>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</si>
  <si>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</si>
  <si>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</si>
  <si>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</si>
  <si>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</si>
  <si>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</si>
  <si>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</si>
  <si>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</si>
  <si>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</si>
  <si>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</si>
  <si>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</si>
  <si>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</si>
  <si>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</si>
  <si>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</si>
  <si>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</si>
  <si>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</si>
  <si>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</si>
  <si>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</si>
  <si>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</si>
  <si>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</si>
  <si>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</si>
  <si>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</si>
  <si>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</si>
  <si>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</si>
  <si>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</si>
  <si>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</si>
  <si>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</si>
  <si>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</si>
  <si>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</si>
  <si>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</si>
  <si>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</si>
  <si>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</si>
  <si>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</si>
  <si>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</si>
  <si>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</si>
  <si>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</si>
  <si>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</si>
  <si>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</si>
  <si>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CABRERA MORALES FRANCISCO</t>
  </si>
  <si>
    <t>430000015</t>
  </si>
  <si>
    <t>SS0005</t>
  </si>
  <si>
    <t>BIO0005</t>
  </si>
  <si>
    <t>ANAE0005</t>
  </si>
  <si>
    <t>SALWAX-CA, 5 KG</t>
  </si>
  <si>
    <t>BIORAD-20, 5L</t>
  </si>
  <si>
    <t>ALCAPLANT NEW AE, 5 KG</t>
  </si>
  <si>
    <t>FTK0005</t>
  </si>
  <si>
    <t>FITOKONTROL CA FLOW,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</si>
</sst>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1BEB63-F55C-4AB6-A386-A276D3F7899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60ACA-9758-4E2F-8714-43288D8F7891}" name="LineasPedidoCliente" displayName="LineasPedidoCliente" ref="A1:P112" tableType="queryTable" totalsRowShown="0">
  <autoFilter ref="A1:P112" xr:uid="{6292CA43-A9C0-4280-B40A-9DD133760E8A}"/>
  <sortState xmlns:xlrd2="http://schemas.microsoft.com/office/spreadsheetml/2017/richdata2" ref="A2:P92">
    <sortCondition ref="A1:A92"/>
  </sortState>
  <tableColumns count="16">
    <tableColumn id="1" xr3:uid="{79FFDC31-DA67-4C1C-BF5A-16A44C08086A}" uniqueName="1" name="FechaPedido" queryTableFieldId="1" dataDxfId="5"/>
    <tableColumn id="2" xr3:uid="{B7A5BD2F-A0AA-4D2A-AD36-68A160353B28}" uniqueName="2" name="Ejercicio" queryTableFieldId="2"/>
    <tableColumn id="3" xr3:uid="{26952493-0B9E-4422-B66B-6E40E050CBF9}" uniqueName="3" name="Serie" queryTableFieldId="3" dataDxfId="4"/>
    <tableColumn id="4" xr3:uid="{10B4CFE4-809C-42C6-B2D5-9983FC62B930}" uniqueName="4" name="Pedido" queryTableFieldId="4"/>
    <tableColumn id="5" xr3:uid="{E2FFA7F6-5091-4D5A-8A15-7B6B0DD7A244}" uniqueName="5" name="CodigoCliente" queryTableFieldId="5" dataDxfId="3"/>
    <tableColumn id="6" xr3:uid="{BED21177-8E3E-4721-88F0-0FE6F8D4E245}" uniqueName="6" name="Cliente" queryTableFieldId="6" dataDxfId="2"/>
    <tableColumn id="7" xr3:uid="{32594C1A-7418-4B58-8F9A-36634B58AFFC}" uniqueName="7" name="CodigoArticulo" queryTableFieldId="7" dataDxfId="1"/>
    <tableColumn id="8" xr3:uid="{1F7F79D5-CC59-4DF9-BB7D-158F1ABA8184}" uniqueName="8" name="Articulo" queryTableFieldId="8" dataDxfId="0"/>
    <tableColumn id="9" xr3:uid="{63FB6AB6-C078-4B20-B394-D439DB3BC7E9}" uniqueName="9" name="Pedidas" queryTableFieldId="9"/>
    <tableColumn id="10" xr3:uid="{EBACB453-ECDA-4A66-B124-BA30C6F33D8E}" uniqueName="10" name="Servidas" queryTableFieldId="10"/>
    <tableColumn id="11" xr3:uid="{7499DAFD-C12E-4ADE-8A95-08E6656FD3CD}" uniqueName="11" name="Pendientes" queryTableFieldId="11"/>
    <tableColumn id="12" xr3:uid="{5F706293-EF08-4E30-A6F4-04814AF54AB7}" uniqueName="12" name="Precio" queryTableFieldId="12"/>
    <tableColumn id="13" xr3:uid="{718320C5-4C54-4306-B414-A5595AD3472D}" uniqueName="13" name="Descuento" queryTableFieldId="13"/>
    <tableColumn id="14" xr3:uid="{406B55BD-57EB-4F00-B2D1-2EF85BE05968}" uniqueName="14" name="ImporteNeto" queryTableFieldId="14"/>
    <tableColumn id="15" xr3:uid="{952AE950-1418-485E-A67A-632E0425BF3C}" uniqueName="15" name="ImporteNetoPendiente" queryTableFieldId="15"/>
    <tableColumn id="16" xr3:uid="{B75C0E86-67B8-4820-BB58-9789149D0CB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F8C7-4EF9-4D9B-A009-B6059F02B37C}">
  <dimension ref="A1:P112"/>
  <sheetViews>
    <sheetView tabSelected="1" topLeftCell="D1" workbookViewId="0">
      <pane ySplit="1" topLeftCell="A85" activePane="bottomLeft" state="frozen"/>
      <selection activeCell="D1" sqref="D1"/>
      <selection pane="bottomLeft" activeCell="F115" sqref="F115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  <row r="93" spans="1:16" x14ac:dyDescent="0.35">
      <c r="A93" s="1">
        <v>46311</v>
      </c>
      <c r="B93">
        <v>2026</v>
      </c>
      <c r="D93">
        <v>883</v>
      </c>
      <c r="E93">
        <v>430000005</v>
      </c>
      <c r="F93" t="s">
        <v>56</v>
      </c>
      <c r="G93" t="s">
        <v>71</v>
      </c>
      <c r="H93" t="s">
        <v>72</v>
      </c>
      <c r="I93">
        <v>640</v>
      </c>
      <c r="J93">
        <v>640</v>
      </c>
      <c r="K93">
        <v>0</v>
      </c>
      <c r="L93">
        <v>3.65</v>
      </c>
      <c r="M93">
        <v>0</v>
      </c>
      <c r="N93">
        <f>LineasPedidoCliente[[#This Row],[Precio]]*LineasPedidoCliente[[#This Row],[Servidas]]</f>
        <v>2336</v>
      </c>
      <c r="O93">
        <v>0</v>
      </c>
      <c r="P93">
        <v>2</v>
      </c>
    </row>
    <row r="94" spans="1:16" x14ac:dyDescent="0.35">
      <c r="A94" s="1">
        <v>46311</v>
      </c>
      <c r="B94">
        <v>2026</v>
      </c>
      <c r="D94">
        <v>883</v>
      </c>
      <c r="E94">
        <v>430000005</v>
      </c>
      <c r="F94" t="s">
        <v>56</v>
      </c>
      <c r="G94" t="s">
        <v>73</v>
      </c>
      <c r="H94" t="s">
        <v>74</v>
      </c>
      <c r="I94">
        <v>640</v>
      </c>
      <c r="J94">
        <v>640</v>
      </c>
      <c r="K94">
        <v>0</v>
      </c>
      <c r="L94">
        <v>3.19</v>
      </c>
      <c r="M94">
        <v>0</v>
      </c>
      <c r="N94">
        <f>LineasPedidoCliente[[#This Row],[Precio]]*LineasPedidoCliente[[#This Row],[Servidas]]</f>
        <v>2041.6</v>
      </c>
      <c r="O94">
        <v>0</v>
      </c>
      <c r="P94">
        <v>2</v>
      </c>
    </row>
    <row r="95" spans="1:16" x14ac:dyDescent="0.35">
      <c r="A95" s="1">
        <v>46311</v>
      </c>
      <c r="B95">
        <v>2026</v>
      </c>
      <c r="D95">
        <v>884</v>
      </c>
      <c r="E95">
        <v>430000001</v>
      </c>
      <c r="F95" t="s">
        <v>40</v>
      </c>
      <c r="G95" t="s">
        <v>49</v>
      </c>
      <c r="H95" t="s">
        <v>50</v>
      </c>
      <c r="I95">
        <v>800</v>
      </c>
      <c r="J95">
        <v>800</v>
      </c>
      <c r="K95">
        <v>0</v>
      </c>
      <c r="L95">
        <v>3.82</v>
      </c>
      <c r="M95">
        <v>0</v>
      </c>
      <c r="N95">
        <f>LineasPedidoCliente[[#This Row],[Precio]]*LineasPedidoCliente[[#This Row],[Servidas]]</f>
        <v>3056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D96">
        <v>885</v>
      </c>
      <c r="E96">
        <v>430000015</v>
      </c>
      <c r="F96" t="s">
        <v>179</v>
      </c>
      <c r="G96" t="s">
        <v>181</v>
      </c>
      <c r="H96" t="s">
        <v>184</v>
      </c>
      <c r="I96">
        <v>1300</v>
      </c>
      <c r="J96">
        <v>1300</v>
      </c>
      <c r="K96">
        <v>0</v>
      </c>
      <c r="L96">
        <v>3.84</v>
      </c>
      <c r="M96">
        <v>0</v>
      </c>
      <c r="N96">
        <f>LineasPedidoCliente[[#This Row],[Precio]]*LineasPedidoCliente[[#This Row],[Pedidas]]</f>
        <v>4992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D97">
        <v>885</v>
      </c>
      <c r="E97" t="s">
        <v>180</v>
      </c>
      <c r="F97" t="s">
        <v>179</v>
      </c>
      <c r="G97" t="s">
        <v>182</v>
      </c>
      <c r="H97" t="s">
        <v>185</v>
      </c>
      <c r="I97">
        <v>600</v>
      </c>
      <c r="J97">
        <v>600</v>
      </c>
      <c r="K97">
        <v>0</v>
      </c>
      <c r="L97">
        <v>2.12</v>
      </c>
      <c r="M97">
        <v>0</v>
      </c>
      <c r="N97">
        <f>LineasPedidoCliente[[#This Row],[Precio]]*LineasPedidoCliente[[#This Row],[Pedidas]]</f>
        <v>1272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D98">
        <v>885</v>
      </c>
      <c r="E98" t="s">
        <v>180</v>
      </c>
      <c r="F98" t="s">
        <v>179</v>
      </c>
      <c r="G98" t="s">
        <v>103</v>
      </c>
      <c r="H98" t="s">
        <v>104</v>
      </c>
      <c r="I98">
        <v>1100</v>
      </c>
      <c r="J98">
        <v>1100</v>
      </c>
      <c r="K98">
        <v>0</v>
      </c>
      <c r="L98">
        <v>1.59</v>
      </c>
      <c r="M98">
        <v>0</v>
      </c>
      <c r="N98">
        <f>LineasPedidoCliente[[#This Row],[Precio]]*LineasPedidoCliente[[#This Row],[Pedidas]]</f>
        <v>1749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D99">
        <v>885</v>
      </c>
      <c r="E99" t="s">
        <v>180</v>
      </c>
      <c r="F99" t="s">
        <v>179</v>
      </c>
      <c r="G99" t="s">
        <v>183</v>
      </c>
      <c r="H99" t="s">
        <v>186</v>
      </c>
      <c r="I99">
        <v>2200</v>
      </c>
      <c r="J99">
        <v>2200</v>
      </c>
      <c r="K99">
        <v>0</v>
      </c>
      <c r="L99">
        <v>1.77</v>
      </c>
      <c r="M99">
        <v>0</v>
      </c>
      <c r="N99">
        <f>LineasPedidoCliente[[#This Row],[Precio]]*LineasPedidoCliente[[#This Row],[Pedidas]]</f>
        <v>3894</v>
      </c>
      <c r="O99">
        <v>0</v>
      </c>
      <c r="P99">
        <v>2</v>
      </c>
    </row>
    <row r="100" spans="1:16" x14ac:dyDescent="0.35">
      <c r="A100" s="1">
        <v>46314</v>
      </c>
      <c r="B100">
        <v>2026</v>
      </c>
      <c r="D100">
        <v>886</v>
      </c>
      <c r="E100">
        <v>430000019</v>
      </c>
      <c r="F100" t="s">
        <v>18</v>
      </c>
      <c r="G100" t="s">
        <v>107</v>
      </c>
      <c r="H100" t="s">
        <v>108</v>
      </c>
      <c r="I100">
        <v>640</v>
      </c>
      <c r="J100">
        <v>0</v>
      </c>
      <c r="K100">
        <v>640</v>
      </c>
      <c r="L100">
        <v>5.1100000000000003</v>
      </c>
      <c r="M100">
        <v>0</v>
      </c>
      <c r="N100">
        <f>LineasPedidoCliente[[#This Row],[Precio]]*LineasPedidoCliente[[#This Row],[Pedidas]]</f>
        <v>3270.4</v>
      </c>
      <c r="O100">
        <f>LineasPedidoCliente[[#This Row],[ImporteNeto]]</f>
        <v>3270.4</v>
      </c>
      <c r="P100">
        <v>0</v>
      </c>
    </row>
    <row r="101" spans="1:16" x14ac:dyDescent="0.35">
      <c r="A101" s="1">
        <v>46314</v>
      </c>
      <c r="B101">
        <v>2026</v>
      </c>
      <c r="D101">
        <v>886</v>
      </c>
      <c r="E101" t="s">
        <v>17</v>
      </c>
      <c r="F101" t="s">
        <v>18</v>
      </c>
      <c r="G101" t="s">
        <v>65</v>
      </c>
      <c r="H101" t="s">
        <v>66</v>
      </c>
      <c r="I101">
        <v>200</v>
      </c>
      <c r="J101">
        <v>200</v>
      </c>
      <c r="K101">
        <v>0</v>
      </c>
      <c r="L101">
        <v>10.57</v>
      </c>
      <c r="M101">
        <v>0</v>
      </c>
      <c r="N101">
        <f>LineasPedidoCliente[[#This Row],[Precio]]*LineasPedidoCliente[[#This Row],[Pedidas]]</f>
        <v>2114</v>
      </c>
      <c r="O101">
        <v>0</v>
      </c>
      <c r="P101">
        <v>2</v>
      </c>
    </row>
    <row r="102" spans="1:16" x14ac:dyDescent="0.35">
      <c r="A102" s="1">
        <v>46314</v>
      </c>
      <c r="B102">
        <v>2026</v>
      </c>
      <c r="D102">
        <v>886</v>
      </c>
      <c r="E102" t="s">
        <v>17</v>
      </c>
      <c r="F102" t="s">
        <v>18</v>
      </c>
      <c r="G102" t="s">
        <v>65</v>
      </c>
      <c r="H102" t="s">
        <v>66</v>
      </c>
      <c r="I102">
        <v>5</v>
      </c>
      <c r="J102">
        <v>5</v>
      </c>
      <c r="K102">
        <v>0</v>
      </c>
      <c r="L102">
        <v>0</v>
      </c>
      <c r="M102">
        <v>0</v>
      </c>
      <c r="N102">
        <f>LineasPedidoCliente[[#This Row],[Precio]]*LineasPedidoCliente[[#This Row],[Pedidas]]</f>
        <v>0</v>
      </c>
      <c r="O102">
        <v>0</v>
      </c>
      <c r="P102">
        <v>2</v>
      </c>
    </row>
    <row r="103" spans="1:16" x14ac:dyDescent="0.35">
      <c r="A103" s="1">
        <v>46315</v>
      </c>
      <c r="B103">
        <v>2026</v>
      </c>
      <c r="D103">
        <v>887</v>
      </c>
      <c r="E103" t="s">
        <v>21</v>
      </c>
      <c r="F103" t="s">
        <v>22</v>
      </c>
      <c r="G103" t="s">
        <v>153</v>
      </c>
      <c r="H103" t="s">
        <v>58</v>
      </c>
      <c r="I103">
        <v>1280</v>
      </c>
      <c r="J103">
        <v>0</v>
      </c>
      <c r="K103">
        <v>1280</v>
      </c>
      <c r="L103">
        <v>3.31</v>
      </c>
      <c r="M103">
        <v>0</v>
      </c>
      <c r="N103">
        <f>LineasPedidoCliente[[#This Row],[Precio]]*LineasPedidoCliente[[#This Row],[Pedidas]]</f>
        <v>4236.8</v>
      </c>
      <c r="O103">
        <f>LineasPedidoCliente[[#This Row],[ImporteNeto]]</f>
        <v>4236.8</v>
      </c>
      <c r="P103">
        <v>0</v>
      </c>
    </row>
    <row r="104" spans="1:16" x14ac:dyDescent="0.35">
      <c r="A104" s="1">
        <v>46315</v>
      </c>
      <c r="B104">
        <v>2026</v>
      </c>
      <c r="C104" s="2"/>
      <c r="D104">
        <v>888</v>
      </c>
      <c r="E104" s="3" t="s">
        <v>39</v>
      </c>
      <c r="F104" s="3" t="s">
        <v>40</v>
      </c>
      <c r="G104" s="4" t="s">
        <v>105</v>
      </c>
      <c r="H104" s="2" t="s">
        <v>106</v>
      </c>
      <c r="I104">
        <v>3300</v>
      </c>
      <c r="J104">
        <v>3300</v>
      </c>
      <c r="K104">
        <v>0</v>
      </c>
      <c r="L104">
        <v>1.65</v>
      </c>
      <c r="M104">
        <v>0</v>
      </c>
      <c r="N104">
        <f>LineasPedidoCliente[[#This Row],[Pedidas]]*LineasPedidoCliente[[#This Row],[Precio]]</f>
        <v>5445</v>
      </c>
      <c r="O104">
        <v>0</v>
      </c>
      <c r="P104">
        <v>2</v>
      </c>
    </row>
    <row r="105" spans="1:16" x14ac:dyDescent="0.35">
      <c r="A105" s="1">
        <v>46315</v>
      </c>
      <c r="B105">
        <v>2026</v>
      </c>
      <c r="C105" s="2"/>
      <c r="D105">
        <v>888</v>
      </c>
      <c r="E105" s="4" t="s">
        <v>39</v>
      </c>
      <c r="F105" s="4" t="s">
        <v>40</v>
      </c>
      <c r="G105" s="4" t="s">
        <v>103</v>
      </c>
      <c r="H105" s="2" t="s">
        <v>104</v>
      </c>
      <c r="I105">
        <v>1100</v>
      </c>
      <c r="J105">
        <v>1100</v>
      </c>
      <c r="K105">
        <v>0</v>
      </c>
      <c r="L105">
        <v>1.82</v>
      </c>
      <c r="M105">
        <v>0</v>
      </c>
      <c r="N105" s="4">
        <f>LineasPedidoCliente[[#This Row],[Pedidas]]*LineasPedidoCliente[[#This Row],[Precio]]</f>
        <v>2002</v>
      </c>
      <c r="O105">
        <v>0</v>
      </c>
      <c r="P105">
        <v>2</v>
      </c>
    </row>
    <row r="106" spans="1:16" x14ac:dyDescent="0.35">
      <c r="A106" s="1">
        <v>46315</v>
      </c>
      <c r="B106">
        <v>2026</v>
      </c>
      <c r="C106" s="2"/>
      <c r="D106">
        <v>888</v>
      </c>
      <c r="E106" s="4" t="s">
        <v>39</v>
      </c>
      <c r="F106" s="4" t="s">
        <v>40</v>
      </c>
      <c r="G106" s="4" t="s">
        <v>41</v>
      </c>
      <c r="H106" s="2" t="s">
        <v>42</v>
      </c>
      <c r="I106">
        <v>400</v>
      </c>
      <c r="J106">
        <v>400</v>
      </c>
      <c r="K106">
        <v>0</v>
      </c>
      <c r="L106">
        <v>2.0099999999999998</v>
      </c>
      <c r="M106">
        <v>0</v>
      </c>
      <c r="N106" s="4">
        <f>LineasPedidoCliente[[#This Row],[Pedidas]]*LineasPedidoCliente[[#This Row],[Precio]]</f>
        <v>803.99999999999989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C107" s="2"/>
      <c r="D107">
        <v>888</v>
      </c>
      <c r="E107" s="4" t="s">
        <v>39</v>
      </c>
      <c r="F107" s="4" t="s">
        <v>40</v>
      </c>
      <c r="G107" s="4" t="s">
        <v>47</v>
      </c>
      <c r="H107" s="2" t="s">
        <v>48</v>
      </c>
      <c r="I107">
        <v>640</v>
      </c>
      <c r="J107">
        <v>640</v>
      </c>
      <c r="K107">
        <v>0</v>
      </c>
      <c r="L107">
        <v>2.1</v>
      </c>
      <c r="M107">
        <v>0</v>
      </c>
      <c r="N107" s="4">
        <f>LineasPedidoCliente[[#This Row],[Pedidas]]*LineasPedidoCliente[[#This Row],[Precio]]</f>
        <v>1344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C108" s="2"/>
      <c r="D108">
        <v>888</v>
      </c>
      <c r="E108" s="4" t="s">
        <v>39</v>
      </c>
      <c r="F108" s="4" t="s">
        <v>40</v>
      </c>
      <c r="G108" s="4" t="s">
        <v>41</v>
      </c>
      <c r="H108" s="2" t="s">
        <v>42</v>
      </c>
      <c r="I108">
        <v>2000</v>
      </c>
      <c r="J108">
        <v>2000</v>
      </c>
      <c r="K108">
        <v>0</v>
      </c>
      <c r="L108">
        <v>2.0099999999999998</v>
      </c>
      <c r="M108">
        <v>0</v>
      </c>
      <c r="N108" s="4">
        <f>LineasPedidoCliente[[#This Row],[Pedidas]]*LineasPedidoCliente[[#This Row],[Precio]]</f>
        <v>4019.9999999999995</v>
      </c>
      <c r="O108">
        <v>0</v>
      </c>
      <c r="P108">
        <v>2</v>
      </c>
    </row>
    <row r="109" spans="1:16" x14ac:dyDescent="0.35">
      <c r="A109" s="1">
        <v>46315</v>
      </c>
      <c r="B109" s="4">
        <v>2026</v>
      </c>
      <c r="C109" s="2"/>
      <c r="D109">
        <v>889</v>
      </c>
      <c r="E109" s="2">
        <v>430000429</v>
      </c>
      <c r="F109" s="2" t="s">
        <v>84</v>
      </c>
      <c r="G109" s="2" t="s">
        <v>187</v>
      </c>
      <c r="H109" s="2" t="s">
        <v>188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f>LineasPedidoCliente[[#This Row],[Pedidas]]*LineasPedidoCliente[[#This Row],[Precio]]</f>
        <v>528</v>
      </c>
      <c r="O109">
        <v>0</v>
      </c>
      <c r="P109">
        <v>2</v>
      </c>
    </row>
    <row r="110" spans="1:16" x14ac:dyDescent="0.35">
      <c r="A110" s="1">
        <v>46315</v>
      </c>
      <c r="B110" s="4">
        <v>2026</v>
      </c>
      <c r="C110" s="2"/>
      <c r="D110" s="4">
        <v>889</v>
      </c>
      <c r="E110" s="2">
        <v>430000429</v>
      </c>
      <c r="F110" s="2" t="s">
        <v>84</v>
      </c>
      <c r="G110" s="2" t="s">
        <v>151</v>
      </c>
      <c r="H110" s="2" t="s">
        <v>152</v>
      </c>
      <c r="I110">
        <v>100</v>
      </c>
      <c r="J110">
        <v>100</v>
      </c>
      <c r="K110">
        <v>0</v>
      </c>
      <c r="L110">
        <v>2.2200000000000002</v>
      </c>
      <c r="M110">
        <v>0</v>
      </c>
      <c r="N110" s="5">
        <f>LineasPedidoCliente[[#This Row],[Pedidas]]*LineasPedidoCliente[[#This Row],[Precio]]</f>
        <v>222.00000000000003</v>
      </c>
      <c r="O110">
        <v>0</v>
      </c>
      <c r="P110">
        <v>2</v>
      </c>
    </row>
    <row r="111" spans="1:16" x14ac:dyDescent="0.35">
      <c r="A111" s="1">
        <v>46315</v>
      </c>
      <c r="B111" s="4">
        <v>2026</v>
      </c>
      <c r="C111" s="2"/>
      <c r="D111" s="4">
        <v>889</v>
      </c>
      <c r="E111" s="2">
        <v>430000429</v>
      </c>
      <c r="F111" s="2" t="s">
        <v>84</v>
      </c>
      <c r="G111" s="2" t="s">
        <v>73</v>
      </c>
      <c r="H111" s="2" t="s">
        <v>74</v>
      </c>
      <c r="I111">
        <v>100</v>
      </c>
      <c r="J111">
        <v>100</v>
      </c>
      <c r="K111">
        <v>0</v>
      </c>
      <c r="L111">
        <v>3.16</v>
      </c>
      <c r="M111">
        <v>0</v>
      </c>
      <c r="N111" s="5">
        <f>LineasPedidoCliente[[#This Row],[Pedidas]]*LineasPedidoCliente[[#This Row],[Precio]]</f>
        <v>316</v>
      </c>
      <c r="O111">
        <v>0</v>
      </c>
      <c r="P111">
        <v>2</v>
      </c>
    </row>
    <row r="112" spans="1:16" x14ac:dyDescent="0.35">
      <c r="A112" s="1">
        <v>46315</v>
      </c>
      <c r="B112" s="4">
        <v>2026</v>
      </c>
      <c r="C112" s="2"/>
      <c r="D112" s="4">
        <v>889</v>
      </c>
      <c r="E112" s="2">
        <v>430000429</v>
      </c>
      <c r="F112" s="2" t="s">
        <v>84</v>
      </c>
      <c r="G112" s="2" t="s">
        <v>95</v>
      </c>
      <c r="H112" s="2" t="s">
        <v>96</v>
      </c>
      <c r="I112">
        <v>200</v>
      </c>
      <c r="J112">
        <v>200</v>
      </c>
      <c r="K112">
        <v>0</v>
      </c>
      <c r="L112">
        <v>2.34</v>
      </c>
      <c r="M112">
        <v>0</v>
      </c>
      <c r="N112" s="5">
        <f>LineasPedidoCliente[[#This Row],[Pedidas]]*LineasPedidoCliente[[#This Row],[Precio]]</f>
        <v>468</v>
      </c>
      <c r="O112">
        <v>0</v>
      </c>
      <c r="P11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A0605-CC66-4772-B072-630BD1426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2026-10-20T05:43:34Z</dcterms:created>
  <dcterms:modified xsi:type="dcterms:W3CDTF">2026-10-21T06:17:24Z</dcterms:modified>
</cp:coreProperties>
</file>