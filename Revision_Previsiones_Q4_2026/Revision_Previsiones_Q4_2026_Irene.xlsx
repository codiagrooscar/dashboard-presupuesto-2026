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Irene"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77"/>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IRENE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F77</f>
        <v/>
      </c>
      <c r="E6" s="11">
        <f>G77</f>
        <v/>
      </c>
      <c r="H6" s="12">
        <f>I77</f>
        <v/>
      </c>
      <c r="J6" s="13">
        <f>O77</f>
        <v/>
      </c>
      <c r="M6" s="14">
        <f>P77</f>
        <v/>
      </c>
      <c r="P6" s="15">
        <f>Q77</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CAMPOEJIDO S.C.A.</t>
        </is>
      </c>
      <c r="D10" s="26" t="inlineStr">
        <is>
          <t>A-50(2)0005</t>
        </is>
      </c>
      <c r="E10" s="25" t="inlineStr">
        <is>
          <t>CODIORGAN-A50, 5 KG</t>
        </is>
      </c>
      <c r="F10" s="27" t="n">
        <v>100</v>
      </c>
      <c r="G10" s="28" t="n">
        <v>0</v>
      </c>
      <c r="H10" s="29">
        <f>ABS(G10-F10)</f>
        <v/>
      </c>
      <c r="I10" s="30">
        <f>IF(F10&gt;0, G10/F10, IF(G10&gt;0, 1.0, 0.0))</f>
        <v/>
      </c>
      <c r="J10" s="31" t="inlineStr"/>
      <c r="K10" s="27" t="n">
        <v>0</v>
      </c>
      <c r="L10" s="32" t="n">
        <v>0</v>
      </c>
      <c r="M10" s="27" t="n">
        <v>100</v>
      </c>
      <c r="N10" s="32" t="n">
        <v>100</v>
      </c>
      <c r="O10" s="27">
        <f>F10+K10+M10</f>
        <v/>
      </c>
      <c r="P10" s="32">
        <f>F10+L10+N10</f>
        <v/>
      </c>
      <c r="Q10" s="33">
        <f>P10-O10</f>
        <v/>
      </c>
      <c r="R10" s="34" t="inlineStr"/>
    </row>
    <row r="11" ht="19" customHeight="1">
      <c r="B11" s="35" t="inlineStr">
        <is>
          <t>ESPAÑA</t>
        </is>
      </c>
      <c r="C11" s="36" t="inlineStr">
        <is>
          <t>CAMPOEJIDO S.C.A.</t>
        </is>
      </c>
      <c r="D11" s="37" t="inlineStr">
        <is>
          <t>AGN0005</t>
        </is>
      </c>
      <c r="E11" s="36" t="inlineStr">
        <is>
          <t>AGROXILATO N, 5 L</t>
        </is>
      </c>
      <c r="F11" s="27" t="n">
        <v>0</v>
      </c>
      <c r="G11" s="38" t="n">
        <v>0</v>
      </c>
      <c r="H11" s="29">
        <f>ABS(G11-F11)</f>
        <v/>
      </c>
      <c r="I11" s="30">
        <f>IF(F11&gt;0, G11/F11, IF(G11&gt;0, 1.0, 0.0))</f>
        <v/>
      </c>
      <c r="J11" s="31" t="inlineStr"/>
      <c r="K11" s="27" t="n">
        <v>0</v>
      </c>
      <c r="L11" s="32" t="n">
        <v>0</v>
      </c>
      <c r="M11" s="27" t="n">
        <v>0</v>
      </c>
      <c r="N11" s="32" t="n">
        <v>0</v>
      </c>
      <c r="O11" s="27">
        <f>F11+K11+M11</f>
        <v/>
      </c>
      <c r="P11" s="32">
        <f>F11+L11+N11</f>
        <v/>
      </c>
      <c r="Q11" s="33">
        <f>P11-O11</f>
        <v/>
      </c>
      <c r="R11" s="34" t="inlineStr"/>
    </row>
    <row r="12" ht="19" customHeight="1">
      <c r="B12" s="24" t="inlineStr">
        <is>
          <t>ESPAÑA</t>
        </is>
      </c>
      <c r="C12" s="25" t="inlineStr">
        <is>
          <t>CAMPOEJIDO S.C.A.</t>
        </is>
      </c>
      <c r="D12" s="26" t="inlineStr">
        <is>
          <t>AGXK0020</t>
        </is>
      </c>
      <c r="E12" s="25" t="inlineStr">
        <is>
          <t>AGROXILATO-K, 20 L</t>
        </is>
      </c>
      <c r="F12" s="27" t="n">
        <v>3840</v>
      </c>
      <c r="G12" s="28" t="n">
        <v>3200</v>
      </c>
      <c r="H12" s="29">
        <f>ABS(G12-F12)</f>
        <v/>
      </c>
      <c r="I12" s="30">
        <f>IF(F12&gt;0, G12/F12, IF(G12&gt;0, 1.0, 0.0))</f>
        <v/>
      </c>
      <c r="J12" s="31" t="inlineStr"/>
      <c r="K12" s="27" t="n">
        <v>3200</v>
      </c>
      <c r="L12" s="32" t="n">
        <v>3200</v>
      </c>
      <c r="M12" s="27" t="n">
        <v>3840</v>
      </c>
      <c r="N12" s="32" t="n">
        <v>3840</v>
      </c>
      <c r="O12" s="27">
        <f>F12+K12+M12</f>
        <v/>
      </c>
      <c r="P12" s="32">
        <f>F12+L12+N12</f>
        <v/>
      </c>
      <c r="Q12" s="33">
        <f>P12-O12</f>
        <v/>
      </c>
      <c r="R12" s="34" t="inlineStr"/>
    </row>
    <row r="13" ht="19" customHeight="1">
      <c r="B13" s="35" t="inlineStr">
        <is>
          <t>ESPAÑA</t>
        </is>
      </c>
      <c r="C13" s="36" t="inlineStr">
        <is>
          <t>CAMPOEJIDO S.C.A.</t>
        </is>
      </c>
      <c r="D13" s="37" t="inlineStr">
        <is>
          <t>AVAN0005</t>
        </is>
      </c>
      <c r="E13" s="36" t="inlineStr">
        <is>
          <t>FLORAMEC AVANCE, 5 L</t>
        </is>
      </c>
      <c r="F13" s="27" t="n">
        <v>200</v>
      </c>
      <c r="G13" s="38" t="n">
        <v>200</v>
      </c>
      <c r="H13" s="29">
        <f>ABS(G13-F13)</f>
        <v/>
      </c>
      <c r="I13" s="30">
        <f>IF(F13&gt;0, G13/F13, IF(G13&gt;0, 1.0, 0.0))</f>
        <v/>
      </c>
      <c r="J13" s="31" t="inlineStr">
        <is>
          <t>Cierre según previsto</t>
        </is>
      </c>
      <c r="K13" s="27" t="n">
        <v>0</v>
      </c>
      <c r="L13" s="32" t="n">
        <v>0</v>
      </c>
      <c r="M13" s="27" t="n">
        <v>300</v>
      </c>
      <c r="N13" s="32" t="n">
        <v>300</v>
      </c>
      <c r="O13" s="27">
        <f>F13+K13+M13</f>
        <v/>
      </c>
      <c r="P13" s="32">
        <f>F13+L13+N13</f>
        <v/>
      </c>
      <c r="Q13" s="33">
        <f>P13-O13</f>
        <v/>
      </c>
      <c r="R13" s="34" t="inlineStr"/>
    </row>
    <row r="14" ht="19" customHeight="1">
      <c r="B14" s="24" t="inlineStr">
        <is>
          <t>ESPAÑA</t>
        </is>
      </c>
      <c r="C14" s="25" t="inlineStr">
        <is>
          <t>CAMPOEJIDO S.C.A.</t>
        </is>
      </c>
      <c r="D14" s="26" t="inlineStr">
        <is>
          <t>AVAN0020</t>
        </is>
      </c>
      <c r="E14" s="25" t="inlineStr">
        <is>
          <t>FLORAMEC AVANCE, 20 L</t>
        </is>
      </c>
      <c r="F14" s="27" t="n">
        <v>1280</v>
      </c>
      <c r="G14" s="28" t="n">
        <v>1280</v>
      </c>
      <c r="H14" s="29">
        <f>ABS(G14-F14)</f>
        <v/>
      </c>
      <c r="I14" s="30">
        <f>IF(F14&gt;0, G14/F14, IF(G14&gt;0, 1.0, 0.0))</f>
        <v/>
      </c>
      <c r="J14" s="31" t="inlineStr">
        <is>
          <t>Cierre según previsto</t>
        </is>
      </c>
      <c r="K14" s="27" t="n">
        <v>640</v>
      </c>
      <c r="L14" s="32" t="n">
        <v>640</v>
      </c>
      <c r="M14" s="27" t="n">
        <v>1280</v>
      </c>
      <c r="N14" s="32" t="n">
        <v>1280</v>
      </c>
      <c r="O14" s="27">
        <f>F14+K14+M14</f>
        <v/>
      </c>
      <c r="P14" s="32">
        <f>F14+L14+N14</f>
        <v/>
      </c>
      <c r="Q14" s="33">
        <f>P14-O14</f>
        <v/>
      </c>
      <c r="R14" s="34" t="inlineStr"/>
    </row>
    <row r="15" ht="19" customHeight="1">
      <c r="B15" s="35" t="inlineStr">
        <is>
          <t>ESPAÑA</t>
        </is>
      </c>
      <c r="C15" s="36" t="inlineStr">
        <is>
          <t>CAMPOEJIDO S.C.A.</t>
        </is>
      </c>
      <c r="D15" s="37" t="inlineStr">
        <is>
          <t>B0001</t>
        </is>
      </c>
      <c r="E15" s="36" t="inlineStr">
        <is>
          <t>BOROCAL,1 L</t>
        </is>
      </c>
      <c r="F15" s="27" t="n">
        <v>0</v>
      </c>
      <c r="G15" s="38" t="n">
        <v>0</v>
      </c>
      <c r="H15" s="29">
        <f>ABS(G15-F15)</f>
        <v/>
      </c>
      <c r="I15" s="30">
        <f>IF(F15&gt;0, G15/F15, IF(G15&gt;0, 1.0, 0.0))</f>
        <v/>
      </c>
      <c r="J15" s="31" t="inlineStr"/>
      <c r="K15" s="27" t="n">
        <v>0</v>
      </c>
      <c r="L15" s="32" t="n">
        <v>0</v>
      </c>
      <c r="M15" s="27" t="n">
        <v>36</v>
      </c>
      <c r="N15" s="32" t="n">
        <v>36</v>
      </c>
      <c r="O15" s="27">
        <f>F15+K15+M15</f>
        <v/>
      </c>
      <c r="P15" s="32">
        <f>F15+L15+N15</f>
        <v/>
      </c>
      <c r="Q15" s="33">
        <f>P15-O15</f>
        <v/>
      </c>
      <c r="R15" s="34" t="inlineStr"/>
    </row>
    <row r="16" ht="19" customHeight="1">
      <c r="B16" s="24" t="inlineStr">
        <is>
          <t>ESPAÑA</t>
        </is>
      </c>
      <c r="C16" s="25" t="inlineStr">
        <is>
          <t>CAMPOEJIDO S.C.A.</t>
        </is>
      </c>
      <c r="D16" s="26" t="inlineStr">
        <is>
          <t>B0005</t>
        </is>
      </c>
      <c r="E16" s="25" t="inlineStr">
        <is>
          <t>BOROCAL, 5 L</t>
        </is>
      </c>
      <c r="F16" s="27" t="n">
        <v>100</v>
      </c>
      <c r="G16" s="28" t="n">
        <v>100</v>
      </c>
      <c r="H16" s="29">
        <f>ABS(G16-F16)</f>
        <v/>
      </c>
      <c r="I16" s="30">
        <f>IF(F16&gt;0, G16/F16, IF(G16&gt;0, 1.0, 0.0))</f>
        <v/>
      </c>
      <c r="J16" s="31" t="inlineStr">
        <is>
          <t>Cierre según previsto</t>
        </is>
      </c>
      <c r="K16" s="27" t="n">
        <v>0</v>
      </c>
      <c r="L16" s="32" t="n">
        <v>0</v>
      </c>
      <c r="M16" s="27" t="n">
        <v>100</v>
      </c>
      <c r="N16" s="32" t="n">
        <v>100</v>
      </c>
      <c r="O16" s="27">
        <f>F16+K16+M16</f>
        <v/>
      </c>
      <c r="P16" s="32">
        <f>F16+L16+N16</f>
        <v/>
      </c>
      <c r="Q16" s="33">
        <f>P16-O16</f>
        <v/>
      </c>
      <c r="R16" s="34" t="inlineStr"/>
    </row>
    <row r="17" ht="19" customHeight="1">
      <c r="B17" s="35" t="inlineStr">
        <is>
          <t>ESPAÑA</t>
        </is>
      </c>
      <c r="C17" s="36" t="inlineStr">
        <is>
          <t>CAMPOEJIDO S.C.A.</t>
        </is>
      </c>
      <c r="D17" s="37" t="inlineStr">
        <is>
          <t>BIO0020</t>
        </is>
      </c>
      <c r="E17" s="36" t="inlineStr">
        <is>
          <t>BIORAD-20, 20 L</t>
        </is>
      </c>
      <c r="F17" s="27" t="n">
        <v>640</v>
      </c>
      <c r="G17" s="38" t="n">
        <v>0</v>
      </c>
      <c r="H17" s="29">
        <f>ABS(G17-F17)</f>
        <v/>
      </c>
      <c r="I17" s="30">
        <f>IF(F17&gt;0, G17/F17, IF(G17&gt;0, 1.0, 0.0))</f>
        <v/>
      </c>
      <c r="J17" s="31" t="inlineStr"/>
      <c r="K17" s="27" t="n">
        <v>640</v>
      </c>
      <c r="L17" s="32" t="n">
        <v>640</v>
      </c>
      <c r="M17" s="27" t="n">
        <v>640</v>
      </c>
      <c r="N17" s="32" t="n">
        <v>640</v>
      </c>
      <c r="O17" s="27">
        <f>F17+K17+M17</f>
        <v/>
      </c>
      <c r="P17" s="32">
        <f>F17+L17+N17</f>
        <v/>
      </c>
      <c r="Q17" s="33">
        <f>P17-O17</f>
        <v/>
      </c>
      <c r="R17" s="34" t="inlineStr"/>
    </row>
    <row r="18" ht="19" customHeight="1">
      <c r="B18" s="24" t="inlineStr">
        <is>
          <t>ESPAÑA</t>
        </is>
      </c>
      <c r="C18" s="25" t="inlineStr">
        <is>
          <t>CAMPOEJIDO S.C.A.</t>
        </is>
      </c>
      <c r="D18" s="26" t="inlineStr">
        <is>
          <t>BROTA0005</t>
        </is>
      </c>
      <c r="E18" s="25" t="inlineStr">
        <is>
          <t>BROTAMEC, 5 L</t>
        </is>
      </c>
      <c r="F18" s="27" t="n">
        <v>200</v>
      </c>
      <c r="G18" s="28" t="n">
        <v>0</v>
      </c>
      <c r="H18" s="29">
        <f>ABS(G18-F18)</f>
        <v/>
      </c>
      <c r="I18" s="30">
        <f>IF(F18&gt;0, G18/F18, IF(G18&gt;0, 1.0, 0.0))</f>
        <v/>
      </c>
      <c r="J18" s="31" t="inlineStr"/>
      <c r="K18" s="27" t="n">
        <v>100</v>
      </c>
      <c r="L18" s="32" t="n">
        <v>100</v>
      </c>
      <c r="M18" s="27" t="n">
        <v>100</v>
      </c>
      <c r="N18" s="32" t="n">
        <v>100</v>
      </c>
      <c r="O18" s="27">
        <f>F18+K18+M18</f>
        <v/>
      </c>
      <c r="P18" s="32">
        <f>F18+L18+N18</f>
        <v/>
      </c>
      <c r="Q18" s="33">
        <f>P18-O18</f>
        <v/>
      </c>
      <c r="R18" s="34" t="inlineStr"/>
    </row>
    <row r="19" ht="19" customHeight="1">
      <c r="B19" s="35" t="inlineStr">
        <is>
          <t>ESPAÑA</t>
        </is>
      </c>
      <c r="C19" s="36" t="inlineStr">
        <is>
          <t>CAMPOEJIDO S.C.A.</t>
        </is>
      </c>
      <c r="D19" s="37" t="inlineStr">
        <is>
          <t>C-CUAE0005</t>
        </is>
      </c>
      <c r="E19" s="36" t="inlineStr">
        <is>
          <t>CUPRAMEC, 5 L</t>
        </is>
      </c>
      <c r="F19" s="27" t="n">
        <v>0</v>
      </c>
      <c r="G19" s="38" t="n">
        <v>0</v>
      </c>
      <c r="H19" s="29">
        <f>ABS(G19-F19)</f>
        <v/>
      </c>
      <c r="I19" s="30">
        <f>IF(F19&gt;0, G19/F19, IF(G19&gt;0, 1.0, 0.0))</f>
        <v/>
      </c>
      <c r="J19" s="31" t="inlineStr"/>
      <c r="K19" s="27" t="n">
        <v>600</v>
      </c>
      <c r="L19" s="32" t="n">
        <v>600</v>
      </c>
      <c r="M19" s="27" t="n">
        <v>300</v>
      </c>
      <c r="N19" s="32" t="n">
        <v>300</v>
      </c>
      <c r="O19" s="27">
        <f>F19+K19+M19</f>
        <v/>
      </c>
      <c r="P19" s="32">
        <f>F19+L19+N19</f>
        <v/>
      </c>
      <c r="Q19" s="33">
        <f>P19-O19</f>
        <v/>
      </c>
      <c r="R19" s="34" t="inlineStr"/>
    </row>
    <row r="20" ht="19" customHeight="1">
      <c r="B20" s="24" t="inlineStr">
        <is>
          <t>ESPAÑA</t>
        </is>
      </c>
      <c r="C20" s="25" t="inlineStr">
        <is>
          <t>CAMPOEJIDO S.C.A.</t>
        </is>
      </c>
      <c r="D20" s="26" t="inlineStr">
        <is>
          <t>C-GLB0001</t>
        </is>
      </c>
      <c r="E20" s="25" t="inlineStr">
        <is>
          <t>CODIORGAN GLB, 1 KG</t>
        </is>
      </c>
      <c r="F20" s="27" t="n">
        <v>120</v>
      </c>
      <c r="G20" s="28" t="n">
        <v>0</v>
      </c>
      <c r="H20" s="29">
        <f>ABS(G20-F20)</f>
        <v/>
      </c>
      <c r="I20" s="30">
        <f>IF(F20&gt;0, G20/F20, IF(G20&gt;0, 1.0, 0.0))</f>
        <v/>
      </c>
      <c r="J20" s="31" t="inlineStr"/>
      <c r="K20" s="27" t="n">
        <v>108</v>
      </c>
      <c r="L20" s="32" t="n">
        <v>108</v>
      </c>
      <c r="M20" s="27" t="n">
        <v>108</v>
      </c>
      <c r="N20" s="32" t="n">
        <v>108</v>
      </c>
      <c r="O20" s="27">
        <f>F20+K20+M20</f>
        <v/>
      </c>
      <c r="P20" s="32">
        <f>F20+L20+N20</f>
        <v/>
      </c>
      <c r="Q20" s="33">
        <f>P20-O20</f>
        <v/>
      </c>
      <c r="R20" s="34" t="inlineStr"/>
    </row>
    <row r="21" ht="19" customHeight="1">
      <c r="B21" s="35" t="inlineStr">
        <is>
          <t>ESPAÑA</t>
        </is>
      </c>
      <c r="C21" s="36" t="inlineStr">
        <is>
          <t>CAMPOEJIDO S.C.A.</t>
        </is>
      </c>
      <c r="D21" s="37" t="inlineStr">
        <is>
          <t>C-L0005</t>
        </is>
      </c>
      <c r="E21" s="36" t="inlineStr">
        <is>
          <t>CODIBOR-L, 5 L</t>
        </is>
      </c>
      <c r="F21" s="27" t="n">
        <v>0</v>
      </c>
      <c r="G21" s="38" t="n">
        <v>0</v>
      </c>
      <c r="H21" s="29">
        <f>ABS(G21-F21)</f>
        <v/>
      </c>
      <c r="I21" s="30">
        <f>IF(F21&gt;0, G21/F21, IF(G21&gt;0, 1.0, 0.0))</f>
        <v/>
      </c>
      <c r="J21" s="31" t="inlineStr"/>
      <c r="K21" s="27" t="n">
        <v>200</v>
      </c>
      <c r="L21" s="32" t="n">
        <v>200</v>
      </c>
      <c r="M21" s="27" t="n">
        <v>0</v>
      </c>
      <c r="N21" s="32" t="n">
        <v>0</v>
      </c>
      <c r="O21" s="27">
        <f>F21+K21+M21</f>
        <v/>
      </c>
      <c r="P21" s="32">
        <f>F21+L21+N21</f>
        <v/>
      </c>
      <c r="Q21" s="33">
        <f>P21-O21</f>
        <v/>
      </c>
      <c r="R21" s="34" t="inlineStr"/>
    </row>
    <row r="22" ht="19" customHeight="1">
      <c r="B22" s="24" t="inlineStr">
        <is>
          <t>ESPAÑA</t>
        </is>
      </c>
      <c r="C22" s="25" t="inlineStr">
        <is>
          <t>CAMPOEJIDO S.C.A.</t>
        </is>
      </c>
      <c r="D22" s="26" t="inlineStr">
        <is>
          <t>C-MB0001</t>
        </is>
      </c>
      <c r="E22" s="25" t="inlineStr">
        <is>
          <t>CODIFOL-MB, 1 L</t>
        </is>
      </c>
      <c r="F22" s="27" t="n">
        <v>0</v>
      </c>
      <c r="G22" s="28" t="n">
        <v>0</v>
      </c>
      <c r="H22" s="29">
        <f>ABS(G22-F22)</f>
        <v/>
      </c>
      <c r="I22" s="30">
        <f>IF(F22&gt;0, G22/F22, IF(G22&gt;0, 1.0, 0.0))</f>
        <v/>
      </c>
      <c r="J22" s="31" t="inlineStr"/>
      <c r="K22" s="27" t="n">
        <v>0</v>
      </c>
      <c r="L22" s="32" t="n">
        <v>0</v>
      </c>
      <c r="M22" s="27" t="n">
        <v>0</v>
      </c>
      <c r="N22" s="32" t="n">
        <v>0</v>
      </c>
      <c r="O22" s="27">
        <f>F22+K22+M22</f>
        <v/>
      </c>
      <c r="P22" s="32">
        <f>F22+L22+N22</f>
        <v/>
      </c>
      <c r="Q22" s="33">
        <f>P22-O22</f>
        <v/>
      </c>
      <c r="R22" s="34" t="inlineStr"/>
    </row>
    <row r="23" ht="19" customHeight="1">
      <c r="B23" s="35" t="inlineStr">
        <is>
          <t>ESPAÑA</t>
        </is>
      </c>
      <c r="C23" s="36" t="inlineStr">
        <is>
          <t>CAMPOEJIDO S.C.A.</t>
        </is>
      </c>
      <c r="D23" s="37" t="inlineStr">
        <is>
          <t>C-MB0005</t>
        </is>
      </c>
      <c r="E23" s="36" t="inlineStr">
        <is>
          <t>CODIFOL-MB, 5 L</t>
        </is>
      </c>
      <c r="F23" s="27" t="n">
        <v>300</v>
      </c>
      <c r="G23" s="38" t="n">
        <v>100</v>
      </c>
      <c r="H23" s="29">
        <f>ABS(G23-F23)</f>
        <v/>
      </c>
      <c r="I23" s="30">
        <f>IF(F23&gt;0, G23/F23, IF(G23&gt;0, 1.0, 0.0))</f>
        <v/>
      </c>
      <c r="J23" s="31" t="inlineStr"/>
      <c r="K23" s="27" t="n">
        <v>0</v>
      </c>
      <c r="L23" s="32" t="n">
        <v>0</v>
      </c>
      <c r="M23" s="27" t="n">
        <v>200</v>
      </c>
      <c r="N23" s="32" t="n">
        <v>200</v>
      </c>
      <c r="O23" s="27">
        <f>F23+K23+M23</f>
        <v/>
      </c>
      <c r="P23" s="32">
        <f>F23+L23+N23</f>
        <v/>
      </c>
      <c r="Q23" s="33">
        <f>P23-O23</f>
        <v/>
      </c>
      <c r="R23" s="34" t="inlineStr"/>
    </row>
    <row r="24" ht="19" customHeight="1">
      <c r="B24" s="24" t="inlineStr">
        <is>
          <t>ESPAÑA</t>
        </is>
      </c>
      <c r="C24" s="25" t="inlineStr">
        <is>
          <t>CAMPOEJIDO S.C.A.</t>
        </is>
      </c>
      <c r="D24" s="26" t="inlineStr">
        <is>
          <t>CALCIO0005</t>
        </is>
      </c>
      <c r="E24" s="25" t="inlineStr">
        <is>
          <t>CALCIAMEC, 5 KG</t>
        </is>
      </c>
      <c r="F24" s="27" t="n">
        <v>750</v>
      </c>
      <c r="G24" s="28" t="n">
        <v>0</v>
      </c>
      <c r="H24" s="29">
        <f>ABS(G24-F24)</f>
        <v/>
      </c>
      <c r="I24" s="30">
        <f>IF(F24&gt;0, G24/F24, IF(G24&gt;0, 1.0, 0.0))</f>
        <v/>
      </c>
      <c r="J24" s="31" t="inlineStr"/>
      <c r="K24" s="27" t="n">
        <v>750</v>
      </c>
      <c r="L24" s="32" t="n">
        <v>750</v>
      </c>
      <c r="M24" s="27" t="n">
        <v>750</v>
      </c>
      <c r="N24" s="32" t="n">
        <v>750</v>
      </c>
      <c r="O24" s="27">
        <f>F24+K24+M24</f>
        <v/>
      </c>
      <c r="P24" s="32">
        <f>F24+L24+N24</f>
        <v/>
      </c>
      <c r="Q24" s="33">
        <f>P24-O24</f>
        <v/>
      </c>
      <c r="R24" s="34" t="inlineStr"/>
    </row>
    <row r="25" ht="19" customHeight="1">
      <c r="B25" s="35" t="inlineStr">
        <is>
          <t>ESPAÑA</t>
        </is>
      </c>
      <c r="C25" s="36" t="inlineStr">
        <is>
          <t>CAMPOEJIDO S.C.A.</t>
        </is>
      </c>
      <c r="D25" s="37" t="inlineStr">
        <is>
          <t>CPLUS0020</t>
        </is>
      </c>
      <c r="E25" s="36" t="inlineStr">
        <is>
          <t>CALCIPLUS, 20 L</t>
        </is>
      </c>
      <c r="F25" s="27" t="n">
        <v>3200</v>
      </c>
      <c r="G25" s="38" t="n">
        <v>1280</v>
      </c>
      <c r="H25" s="29">
        <f>ABS(G25-F25)</f>
        <v/>
      </c>
      <c r="I25" s="30">
        <f>IF(F25&gt;0, G25/F25, IF(G25&gt;0, 1.0, 0.0))</f>
        <v/>
      </c>
      <c r="J25" s="31" t="inlineStr"/>
      <c r="K25" s="27" t="n">
        <v>2560</v>
      </c>
      <c r="L25" s="32" t="n">
        <v>2560</v>
      </c>
      <c r="M25" s="27" t="n">
        <v>1920</v>
      </c>
      <c r="N25" s="32" t="n">
        <v>1920</v>
      </c>
      <c r="O25" s="27">
        <f>F25+K25+M25</f>
        <v/>
      </c>
      <c r="P25" s="32">
        <f>F25+L25+N25</f>
        <v/>
      </c>
      <c r="Q25" s="33">
        <f>P25-O25</f>
        <v/>
      </c>
      <c r="R25" s="34" t="inlineStr"/>
    </row>
    <row r="26" ht="19" customHeight="1">
      <c r="B26" s="24" t="inlineStr">
        <is>
          <t>ESPAÑA</t>
        </is>
      </c>
      <c r="C26" s="25" t="inlineStr">
        <is>
          <t>CAMPOEJIDO S.C.A.</t>
        </is>
      </c>
      <c r="D26" s="26" t="inlineStr">
        <is>
          <t>FTK0005</t>
        </is>
      </c>
      <c r="E26" s="25" t="inlineStr">
        <is>
          <t>FITOKONTROL CA FLOW, 5 KG</t>
        </is>
      </c>
      <c r="F26" s="27" t="n">
        <v>0</v>
      </c>
      <c r="G26" s="28" t="n">
        <v>0</v>
      </c>
      <c r="H26" s="29">
        <f>ABS(G26-F26)</f>
        <v/>
      </c>
      <c r="I26" s="30">
        <f>IF(F26&gt;0, G26/F26, IF(G26&gt;0, 1.0, 0.0))</f>
        <v/>
      </c>
      <c r="J26" s="31" t="inlineStr"/>
      <c r="K26" s="27" t="n">
        <v>300</v>
      </c>
      <c r="L26" s="32" t="n">
        <v>300</v>
      </c>
      <c r="M26" s="27" t="n">
        <v>300</v>
      </c>
      <c r="N26" s="32" t="n">
        <v>300</v>
      </c>
      <c r="O26" s="27">
        <f>F26+K26+M26</f>
        <v/>
      </c>
      <c r="P26" s="32">
        <f>F26+L26+N26</f>
        <v/>
      </c>
      <c r="Q26" s="33">
        <f>P26-O26</f>
        <v/>
      </c>
      <c r="R26" s="34" t="inlineStr"/>
    </row>
    <row r="27" ht="19" customHeight="1">
      <c r="B27" s="35" t="inlineStr">
        <is>
          <t>ESPAÑA</t>
        </is>
      </c>
      <c r="C27" s="36" t="inlineStr">
        <is>
          <t>CAMPOEJIDO S.C.A.</t>
        </is>
      </c>
      <c r="D27" s="37" t="inlineStr">
        <is>
          <t>HST0005</t>
        </is>
      </c>
      <c r="E27" s="36" t="inlineStr">
        <is>
          <t>HIDROSTRESS, 5 L</t>
        </is>
      </c>
      <c r="F27" s="27" t="n">
        <v>0</v>
      </c>
      <c r="G27" s="38" t="n">
        <v>0</v>
      </c>
      <c r="H27" s="29">
        <f>ABS(G27-F27)</f>
        <v/>
      </c>
      <c r="I27" s="30">
        <f>IF(F27&gt;0, G27/F27, IF(G27&gt;0, 1.0, 0.0))</f>
        <v/>
      </c>
      <c r="J27" s="31" t="inlineStr"/>
      <c r="K27" s="27" t="n">
        <v>0</v>
      </c>
      <c r="L27" s="32" t="n">
        <v>0</v>
      </c>
      <c r="M27" s="27" t="n">
        <v>100</v>
      </c>
      <c r="N27" s="32" t="n">
        <v>100</v>
      </c>
      <c r="O27" s="27">
        <f>F27+K27+M27</f>
        <v/>
      </c>
      <c r="P27" s="32">
        <f>F27+L27+N27</f>
        <v/>
      </c>
      <c r="Q27" s="33">
        <f>P27-O27</f>
        <v/>
      </c>
      <c r="R27" s="34" t="inlineStr"/>
    </row>
    <row r="28" ht="19" customHeight="1">
      <c r="B28" s="24" t="inlineStr">
        <is>
          <t>ESPAÑA</t>
        </is>
      </c>
      <c r="C28" s="25" t="inlineStr">
        <is>
          <t>CAMPOEJIDO S.C.A.</t>
        </is>
      </c>
      <c r="D28" s="26" t="inlineStr">
        <is>
          <t>JF0005</t>
        </is>
      </c>
      <c r="E28" s="25" t="inlineStr">
        <is>
          <t>CODIGIN-FOS, 5 L</t>
        </is>
      </c>
      <c r="F28" s="27" t="n">
        <v>0</v>
      </c>
      <c r="G28" s="28" t="n">
        <v>600</v>
      </c>
      <c r="H28" s="29">
        <f>ABS(G28-F28)</f>
        <v/>
      </c>
      <c r="I28" s="30">
        <f>IF(F28&gt;0, G28/F28, IF(G28&gt;0, 1.0, 0.0))</f>
        <v/>
      </c>
      <c r="J28" s="31" t="inlineStr">
        <is>
          <t>Pedido extra no previsto</t>
        </is>
      </c>
      <c r="K28" s="27" t="n">
        <v>0</v>
      </c>
      <c r="L28" s="32" t="n">
        <v>0</v>
      </c>
      <c r="M28" s="27" t="n">
        <v>0</v>
      </c>
      <c r="N28" s="32" t="n">
        <v>0</v>
      </c>
      <c r="O28" s="27">
        <f>F28+K28+M28</f>
        <v/>
      </c>
      <c r="P28" s="32">
        <f>F28+L28+N28</f>
        <v/>
      </c>
      <c r="Q28" s="33">
        <f>P28-O28</f>
        <v/>
      </c>
      <c r="R28" s="34" t="inlineStr"/>
    </row>
    <row r="29" ht="19" customHeight="1">
      <c r="B29" s="35" t="inlineStr">
        <is>
          <t>ESPAÑA</t>
        </is>
      </c>
      <c r="C29" s="36" t="inlineStr">
        <is>
          <t>CAMPOEJIDO S.C.A.</t>
        </is>
      </c>
      <c r="D29" s="37" t="inlineStr">
        <is>
          <t>PHD0001</t>
        </is>
      </c>
      <c r="E29" s="36" t="inlineStr">
        <is>
          <t>PH-DOWNER, 1 L</t>
        </is>
      </c>
      <c r="F29" s="27" t="n">
        <v>0</v>
      </c>
      <c r="G29" s="38" t="n">
        <v>0</v>
      </c>
      <c r="H29" s="29">
        <f>ABS(G29-F29)</f>
        <v/>
      </c>
      <c r="I29" s="30">
        <f>IF(F29&gt;0, G29/F29, IF(G29&gt;0, 1.0, 0.0))</f>
        <v/>
      </c>
      <c r="J29" s="31" t="inlineStr"/>
      <c r="K29" s="27" t="n">
        <v>0</v>
      </c>
      <c r="L29" s="32" t="n">
        <v>0</v>
      </c>
      <c r="M29" s="27" t="n">
        <v>0</v>
      </c>
      <c r="N29" s="32" t="n">
        <v>0</v>
      </c>
      <c r="O29" s="27">
        <f>F29+K29+M29</f>
        <v/>
      </c>
      <c r="P29" s="32">
        <f>F29+L29+N29</f>
        <v/>
      </c>
      <c r="Q29" s="33">
        <f>P29-O29</f>
        <v/>
      </c>
      <c r="R29" s="34" t="inlineStr"/>
    </row>
    <row r="30" ht="19" customHeight="1">
      <c r="B30" s="24" t="inlineStr">
        <is>
          <t>ESPAÑA</t>
        </is>
      </c>
      <c r="C30" s="25" t="inlineStr">
        <is>
          <t>CAMPOEJIDO S.C.A.</t>
        </is>
      </c>
      <c r="D30" s="26" t="inlineStr">
        <is>
          <t>PHD0005</t>
        </is>
      </c>
      <c r="E30" s="25" t="inlineStr">
        <is>
          <t>PH-DOWNER, 5 L</t>
        </is>
      </c>
      <c r="F30" s="27" t="n">
        <v>0</v>
      </c>
      <c r="G30" s="28" t="n">
        <v>0</v>
      </c>
      <c r="H30" s="29">
        <f>ABS(G30-F30)</f>
        <v/>
      </c>
      <c r="I30" s="30">
        <f>IF(F30&gt;0, G30/F30, IF(G30&gt;0, 1.0, 0.0))</f>
        <v/>
      </c>
      <c r="J30" s="31" t="inlineStr"/>
      <c r="K30" s="27" t="n">
        <v>100</v>
      </c>
      <c r="L30" s="32" t="n">
        <v>100</v>
      </c>
      <c r="M30" s="27" t="n">
        <v>0</v>
      </c>
      <c r="N30" s="32" t="n">
        <v>0</v>
      </c>
      <c r="O30" s="27">
        <f>F30+K30+M30</f>
        <v/>
      </c>
      <c r="P30" s="32">
        <f>F30+L30+N30</f>
        <v/>
      </c>
      <c r="Q30" s="33">
        <f>P30-O30</f>
        <v/>
      </c>
      <c r="R30" s="34" t="inlineStr"/>
    </row>
    <row r="31" ht="19" customHeight="1">
      <c r="B31" s="35" t="inlineStr">
        <is>
          <t>ESPAÑA</t>
        </is>
      </c>
      <c r="C31" s="36" t="inlineStr">
        <is>
          <t>CAMPOEJIDO S.C.A.</t>
        </is>
      </c>
      <c r="D31" s="37" t="inlineStr">
        <is>
          <t>PIV0020</t>
        </is>
      </c>
      <c r="E31" s="36" t="inlineStr">
        <is>
          <t>PGR IV, 20 L</t>
        </is>
      </c>
      <c r="F31" s="27" t="n">
        <v>1920</v>
      </c>
      <c r="G31" s="38" t="n">
        <v>640</v>
      </c>
      <c r="H31" s="29">
        <f>ABS(G31-F31)</f>
        <v/>
      </c>
      <c r="I31" s="30">
        <f>IF(F31&gt;0, G31/F31, IF(G31&gt;0, 1.0, 0.0))</f>
        <v/>
      </c>
      <c r="J31" s="31" t="inlineStr"/>
      <c r="K31" s="27" t="n">
        <v>1920</v>
      </c>
      <c r="L31" s="32" t="n">
        <v>1920</v>
      </c>
      <c r="M31" s="27" t="n">
        <v>640</v>
      </c>
      <c r="N31" s="32" t="n">
        <v>640</v>
      </c>
      <c r="O31" s="27">
        <f>F31+K31+M31</f>
        <v/>
      </c>
      <c r="P31" s="32">
        <f>F31+L31+N31</f>
        <v/>
      </c>
      <c r="Q31" s="33">
        <f>P31-O31</f>
        <v/>
      </c>
      <c r="R31" s="34" t="inlineStr"/>
    </row>
    <row r="32" ht="19" customHeight="1">
      <c r="B32" s="24" t="inlineStr">
        <is>
          <t>ESPAÑA</t>
        </is>
      </c>
      <c r="C32" s="25" t="inlineStr">
        <is>
          <t>CAMPOEJIDO S.C.A.</t>
        </is>
      </c>
      <c r="D32" s="26" t="inlineStr">
        <is>
          <t>PT0005</t>
        </is>
      </c>
      <c r="E32" s="25" t="inlineStr">
        <is>
          <t>AGROPOTASION, 5 L</t>
        </is>
      </c>
      <c r="F32" s="27" t="n">
        <v>100</v>
      </c>
      <c r="G32" s="28" t="n">
        <v>0</v>
      </c>
      <c r="H32" s="29">
        <f>ABS(G32-F32)</f>
        <v/>
      </c>
      <c r="I32" s="30">
        <f>IF(F32&gt;0, G32/F32, IF(G32&gt;0, 1.0, 0.0))</f>
        <v/>
      </c>
      <c r="J32" s="31" t="inlineStr"/>
      <c r="K32" s="27" t="n">
        <v>0</v>
      </c>
      <c r="L32" s="32" t="n">
        <v>0</v>
      </c>
      <c r="M32" s="27" t="n">
        <v>100</v>
      </c>
      <c r="N32" s="32" t="n">
        <v>100</v>
      </c>
      <c r="O32" s="27">
        <f>F32+K32+M32</f>
        <v/>
      </c>
      <c r="P32" s="32">
        <f>F32+L32+N32</f>
        <v/>
      </c>
      <c r="Q32" s="33">
        <f>P32-O32</f>
        <v/>
      </c>
      <c r="R32" s="34" t="inlineStr"/>
    </row>
    <row r="33" ht="19" customHeight="1">
      <c r="B33" s="35" t="inlineStr">
        <is>
          <t>ESPAÑA</t>
        </is>
      </c>
      <c r="C33" s="36" t="inlineStr">
        <is>
          <t>CAMPOEJIDO S.C.A.</t>
        </is>
      </c>
      <c r="D33" s="37" t="inlineStr">
        <is>
          <t>S0020</t>
        </is>
      </c>
      <c r="E33" s="36" t="inlineStr">
        <is>
          <t>SAL-WAX STAR, 20 L</t>
        </is>
      </c>
      <c r="F33" s="27" t="n">
        <v>0</v>
      </c>
      <c r="G33" s="38" t="n">
        <v>0</v>
      </c>
      <c r="H33" s="29">
        <f>ABS(G33-F33)</f>
        <v/>
      </c>
      <c r="I33" s="30">
        <f>IF(F33&gt;0, G33/F33, IF(G33&gt;0, 1.0, 0.0))</f>
        <v/>
      </c>
      <c r="J33" s="31" t="inlineStr"/>
      <c r="K33" s="27" t="n">
        <v>0</v>
      </c>
      <c r="L33" s="32" t="n">
        <v>0</v>
      </c>
      <c r="M33" s="27" t="n">
        <v>0</v>
      </c>
      <c r="N33" s="32" t="n">
        <v>0</v>
      </c>
      <c r="O33" s="27">
        <f>F33+K33+M33</f>
        <v/>
      </c>
      <c r="P33" s="32">
        <f>F33+L33+N33</f>
        <v/>
      </c>
      <c r="Q33" s="33">
        <f>P33-O33</f>
        <v/>
      </c>
      <c r="R33" s="34" t="inlineStr"/>
    </row>
    <row r="34" ht="19" customHeight="1">
      <c r="B34" s="24" t="inlineStr">
        <is>
          <t>ESPAÑA</t>
        </is>
      </c>
      <c r="C34" s="25" t="inlineStr">
        <is>
          <t>CAMPOEJIDO S.C.A.</t>
        </is>
      </c>
      <c r="D34" s="26" t="inlineStr">
        <is>
          <t>TRI0001</t>
        </is>
      </c>
      <c r="E34" s="25" t="inlineStr">
        <is>
          <t>TRIFENO-94, 1 L</t>
        </is>
      </c>
      <c r="F34" s="27" t="n">
        <v>0</v>
      </c>
      <c r="G34" s="28" t="n">
        <v>0</v>
      </c>
      <c r="H34" s="29">
        <f>ABS(G34-F34)</f>
        <v/>
      </c>
      <c r="I34" s="30">
        <f>IF(F34&gt;0, G34/F34, IF(G34&gt;0, 1.0, 0.0))</f>
        <v/>
      </c>
      <c r="J34" s="31" t="inlineStr"/>
      <c r="K34" s="27" t="n">
        <v>0</v>
      </c>
      <c r="L34" s="32" t="n">
        <v>0</v>
      </c>
      <c r="M34" s="27" t="n">
        <v>108</v>
      </c>
      <c r="N34" s="32" t="n">
        <v>108</v>
      </c>
      <c r="O34" s="27">
        <f>F34+K34+M34</f>
        <v/>
      </c>
      <c r="P34" s="32">
        <f>F34+L34+N34</f>
        <v/>
      </c>
      <c r="Q34" s="33">
        <f>P34-O34</f>
        <v/>
      </c>
      <c r="R34" s="34" t="inlineStr"/>
    </row>
    <row r="35" ht="19" customHeight="1">
      <c r="B35" s="35" t="inlineStr">
        <is>
          <t>ESPAÑA</t>
        </is>
      </c>
      <c r="C35" s="36" t="inlineStr">
        <is>
          <t>CAMPOEJIDO S.C.A.</t>
        </is>
      </c>
      <c r="D35" s="37" t="inlineStr">
        <is>
          <t>TRI0005</t>
        </is>
      </c>
      <c r="E35" s="36" t="inlineStr">
        <is>
          <t>TRIFENO-94, 5L</t>
        </is>
      </c>
      <c r="F35" s="27" t="n">
        <v>100</v>
      </c>
      <c r="G35" s="38" t="n">
        <v>205</v>
      </c>
      <c r="H35" s="29">
        <f>ABS(G35-F35)</f>
        <v/>
      </c>
      <c r="I35" s="30">
        <f>IF(F35&gt;0, G35/F35, IF(G35&gt;0, 1.0, 0.0))</f>
        <v/>
      </c>
      <c r="J35" s="31" t="inlineStr">
        <is>
          <t>Cierre según previsto</t>
        </is>
      </c>
      <c r="K35" s="27" t="n">
        <v>100</v>
      </c>
      <c r="L35" s="32" t="n">
        <v>100</v>
      </c>
      <c r="M35" s="27" t="n">
        <v>200</v>
      </c>
      <c r="N35" s="32" t="n">
        <v>200</v>
      </c>
      <c r="O35" s="27">
        <f>F35+K35+M35</f>
        <v/>
      </c>
      <c r="P35" s="32">
        <f>F35+L35+N35</f>
        <v/>
      </c>
      <c r="Q35" s="33">
        <f>P35-O35</f>
        <v/>
      </c>
      <c r="R35" s="34" t="inlineStr"/>
    </row>
    <row r="36" ht="19" customHeight="1">
      <c r="B36" s="24" t="inlineStr">
        <is>
          <t>ESPAÑA</t>
        </is>
      </c>
      <c r="C36" s="25" t="inlineStr">
        <is>
          <t>COOP.AGRIC. SAN ISIDRO S.C.A.</t>
        </is>
      </c>
      <c r="D36" s="26" t="inlineStr">
        <is>
          <t>A-50(2)0005</t>
        </is>
      </c>
      <c r="E36" s="25" t="inlineStr">
        <is>
          <t>CODIORGAN-A50, 5 KG</t>
        </is>
      </c>
      <c r="F36" s="27" t="n">
        <v>0</v>
      </c>
      <c r="G36" s="28" t="n">
        <v>0</v>
      </c>
      <c r="H36" s="29">
        <f>ABS(G36-F36)</f>
        <v/>
      </c>
      <c r="I36" s="30">
        <f>IF(F36&gt;0, G36/F36, IF(G36&gt;0, 1.0, 0.0))</f>
        <v/>
      </c>
      <c r="J36" s="31" t="inlineStr"/>
      <c r="K36" s="27" t="n">
        <v>0</v>
      </c>
      <c r="L36" s="32" t="n">
        <v>0</v>
      </c>
      <c r="M36" s="27" t="n">
        <v>200</v>
      </c>
      <c r="N36" s="32" t="n">
        <v>200</v>
      </c>
      <c r="O36" s="27">
        <f>F36+K36+M36</f>
        <v/>
      </c>
      <c r="P36" s="32">
        <f>F36+L36+N36</f>
        <v/>
      </c>
      <c r="Q36" s="33">
        <f>P36-O36</f>
        <v/>
      </c>
      <c r="R36" s="34" t="inlineStr"/>
    </row>
    <row r="37" ht="19" customHeight="1">
      <c r="B37" s="35" t="inlineStr">
        <is>
          <t>ESPAÑA</t>
        </is>
      </c>
      <c r="C37" s="36" t="inlineStr">
        <is>
          <t>COOP.AGRIC. SAN ISIDRO S.C.A.</t>
        </is>
      </c>
      <c r="D37" s="37" t="inlineStr">
        <is>
          <t>AGXK0020</t>
        </is>
      </c>
      <c r="E37" s="36" t="inlineStr">
        <is>
          <t>AGROXILATO-K, 20 L</t>
        </is>
      </c>
      <c r="F37" s="27" t="n">
        <v>5120</v>
      </c>
      <c r="G37" s="38" t="n">
        <v>4480</v>
      </c>
      <c r="H37" s="29">
        <f>ABS(G37-F37)</f>
        <v/>
      </c>
      <c r="I37" s="30">
        <f>IF(F37&gt;0, G37/F37, IF(G37&gt;0, 1.0, 0.0))</f>
        <v/>
      </c>
      <c r="J37" s="31" t="inlineStr"/>
      <c r="K37" s="27" t="n">
        <v>3840</v>
      </c>
      <c r="L37" s="32" t="n">
        <v>3840</v>
      </c>
      <c r="M37" s="27" t="n">
        <v>7040</v>
      </c>
      <c r="N37" s="32" t="n">
        <v>7040</v>
      </c>
      <c r="O37" s="27">
        <f>F37+K37+M37</f>
        <v/>
      </c>
      <c r="P37" s="32">
        <f>F37+L37+N37</f>
        <v/>
      </c>
      <c r="Q37" s="33">
        <f>P37-O37</f>
        <v/>
      </c>
      <c r="R37" s="34" t="inlineStr"/>
    </row>
    <row r="38" ht="19" customHeight="1">
      <c r="B38" s="24" t="inlineStr">
        <is>
          <t>ESPAÑA</t>
        </is>
      </c>
      <c r="C38" s="25" t="inlineStr">
        <is>
          <t>COOP.AGRIC. SAN ISIDRO S.C.A.</t>
        </is>
      </c>
      <c r="D38" s="26" t="inlineStr">
        <is>
          <t>AGXK0200</t>
        </is>
      </c>
      <c r="E38" s="25" t="inlineStr">
        <is>
          <t>AGROXILATO-K, 200 L</t>
        </is>
      </c>
      <c r="F38" s="27" t="n">
        <v>0</v>
      </c>
      <c r="G38" s="28" t="n">
        <v>0</v>
      </c>
      <c r="H38" s="29">
        <f>ABS(G38-F38)</f>
        <v/>
      </c>
      <c r="I38" s="30">
        <f>IF(F38&gt;0, G38/F38, IF(G38&gt;0, 1.0, 0.0))</f>
        <v/>
      </c>
      <c r="J38" s="31" t="inlineStr"/>
      <c r="K38" s="27" t="n">
        <v>0</v>
      </c>
      <c r="L38" s="32" t="n">
        <v>0</v>
      </c>
      <c r="M38" s="27" t="n">
        <v>0</v>
      </c>
      <c r="N38" s="32" t="n">
        <v>0</v>
      </c>
      <c r="O38" s="27">
        <f>F38+K38+M38</f>
        <v/>
      </c>
      <c r="P38" s="32">
        <f>F38+L38+N38</f>
        <v/>
      </c>
      <c r="Q38" s="33">
        <f>P38-O38</f>
        <v/>
      </c>
      <c r="R38" s="34" t="inlineStr"/>
    </row>
    <row r="39" ht="19" customHeight="1">
      <c r="B39" s="35" t="inlineStr">
        <is>
          <t>ESPAÑA</t>
        </is>
      </c>
      <c r="C39" s="36" t="inlineStr">
        <is>
          <t>COOP.AGRIC. SAN ISIDRO S.C.A.</t>
        </is>
      </c>
      <c r="D39" s="37" t="inlineStr">
        <is>
          <t>AGZ-M0001</t>
        </is>
      </c>
      <c r="E39" s="36" t="inlineStr">
        <is>
          <t>AGROXILATO-ZN-MN, 1 KG</t>
        </is>
      </c>
      <c r="F39" s="27" t="n">
        <v>0</v>
      </c>
      <c r="G39" s="38" t="n">
        <v>80</v>
      </c>
      <c r="H39" s="29">
        <f>ABS(G39-F39)</f>
        <v/>
      </c>
      <c r="I39" s="30">
        <f>IF(F39&gt;0, G39/F39, IF(G39&gt;0, 1.0, 0.0))</f>
        <v/>
      </c>
      <c r="J39" s="31" t="inlineStr"/>
      <c r="K39" s="27" t="n">
        <v>112</v>
      </c>
      <c r="L39" s="32" t="n">
        <v>112</v>
      </c>
      <c r="M39" s="27" t="n">
        <v>0</v>
      </c>
      <c r="N39" s="32" t="n">
        <v>0</v>
      </c>
      <c r="O39" s="27">
        <f>F39+K39+M39</f>
        <v/>
      </c>
      <c r="P39" s="32">
        <f>F39+L39+N39</f>
        <v/>
      </c>
      <c r="Q39" s="33">
        <f>P39-O39</f>
        <v/>
      </c>
      <c r="R39" s="34" t="inlineStr"/>
    </row>
    <row r="40" ht="19" customHeight="1">
      <c r="B40" s="24" t="inlineStr">
        <is>
          <t>ESPAÑA</t>
        </is>
      </c>
      <c r="C40" s="25" t="inlineStr">
        <is>
          <t>COOP.AGRIC. SAN ISIDRO S.C.A.</t>
        </is>
      </c>
      <c r="D40" s="26" t="inlineStr">
        <is>
          <t>AGZ-M0005</t>
        </is>
      </c>
      <c r="E40" s="25" t="inlineStr">
        <is>
          <t>AGROXILATO-ZN-MN, 5 KG</t>
        </is>
      </c>
      <c r="F40" s="27" t="n">
        <v>0</v>
      </c>
      <c r="G40" s="28" t="n">
        <v>100</v>
      </c>
      <c r="H40" s="29">
        <f>ABS(G40-F40)</f>
        <v/>
      </c>
      <c r="I40" s="30">
        <f>IF(F40&gt;0, G40/F40, IF(G40&gt;0, 1.0, 0.0))</f>
        <v/>
      </c>
      <c r="J40" s="31" t="inlineStr"/>
      <c r="K40" s="27" t="n">
        <v>0</v>
      </c>
      <c r="L40" s="32" t="n">
        <v>0</v>
      </c>
      <c r="M40" s="27" t="n">
        <v>200</v>
      </c>
      <c r="N40" s="32" t="n">
        <v>200</v>
      </c>
      <c r="O40" s="27">
        <f>F40+K40+M40</f>
        <v/>
      </c>
      <c r="P40" s="32">
        <f>F40+L40+N40</f>
        <v/>
      </c>
      <c r="Q40" s="33">
        <f>P40-O40</f>
        <v/>
      </c>
      <c r="R40" s="34" t="inlineStr"/>
    </row>
    <row r="41" ht="19" customHeight="1">
      <c r="B41" s="35" t="inlineStr">
        <is>
          <t>ESPAÑA</t>
        </is>
      </c>
      <c r="C41" s="36" t="inlineStr">
        <is>
          <t>COOP.AGRIC. SAN ISIDRO S.C.A.</t>
        </is>
      </c>
      <c r="D41" s="37" t="inlineStr">
        <is>
          <t>AMIMG0020</t>
        </is>
      </c>
      <c r="E41" s="36" t="inlineStr">
        <is>
          <t>AMINOSOIL MG, 20 L</t>
        </is>
      </c>
      <c r="F41" s="27" t="n">
        <v>0</v>
      </c>
      <c r="G41" s="38" t="n">
        <v>640</v>
      </c>
      <c r="H41" s="29">
        <f>ABS(G41-F41)</f>
        <v/>
      </c>
      <c r="I41" s="30">
        <f>IF(F41&gt;0, G41/F41, IF(G41&gt;0, 1.0, 0.0))</f>
        <v/>
      </c>
      <c r="J41" s="31" t="inlineStr"/>
      <c r="K41" s="27" t="n">
        <v>640</v>
      </c>
      <c r="L41" s="32" t="n">
        <v>640</v>
      </c>
      <c r="M41" s="27" t="n">
        <v>300</v>
      </c>
      <c r="N41" s="32" t="n">
        <v>300</v>
      </c>
      <c r="O41" s="27">
        <f>F41+K41+M41</f>
        <v/>
      </c>
      <c r="P41" s="32">
        <f>F41+L41+N41</f>
        <v/>
      </c>
      <c r="Q41" s="33">
        <f>P41-O41</f>
        <v/>
      </c>
      <c r="R41" s="34" t="inlineStr"/>
    </row>
    <row r="42" ht="19" customHeight="1">
      <c r="B42" s="24" t="inlineStr">
        <is>
          <t>ESPAÑA</t>
        </is>
      </c>
      <c r="C42" s="25" t="inlineStr">
        <is>
          <t>COOP.AGRIC. SAN ISIDRO S.C.A.</t>
        </is>
      </c>
      <c r="D42" s="26" t="inlineStr">
        <is>
          <t>AVAN0005</t>
        </is>
      </c>
      <c r="E42" s="25" t="inlineStr">
        <is>
          <t>FLORAMEC AVANCE, 5 L</t>
        </is>
      </c>
      <c r="F42" s="27" t="n">
        <v>1200</v>
      </c>
      <c r="G42" s="28" t="n">
        <v>600</v>
      </c>
      <c r="H42" s="29">
        <f>ABS(G42-F42)</f>
        <v/>
      </c>
      <c r="I42" s="30">
        <f>IF(F42&gt;0, G42/F42, IF(G42&gt;0, 1.0, 0.0))</f>
        <v/>
      </c>
      <c r="J42" s="31" t="inlineStr"/>
      <c r="K42" s="27" t="n">
        <v>0</v>
      </c>
      <c r="L42" s="32" t="n">
        <v>0</v>
      </c>
      <c r="M42" s="27" t="n">
        <v>600</v>
      </c>
      <c r="N42" s="32" t="n">
        <v>600</v>
      </c>
      <c r="O42" s="27">
        <f>F42+K42+M42</f>
        <v/>
      </c>
      <c r="P42" s="32">
        <f>F42+L42+N42</f>
        <v/>
      </c>
      <c r="Q42" s="33">
        <f>P42-O42</f>
        <v/>
      </c>
      <c r="R42" s="34" t="inlineStr"/>
    </row>
    <row r="43" ht="19" customHeight="1">
      <c r="B43" s="35" t="inlineStr">
        <is>
          <t>ESPAÑA</t>
        </is>
      </c>
      <c r="C43" s="36" t="inlineStr">
        <is>
          <t>COOP.AGRIC. SAN ISIDRO S.C.A.</t>
        </is>
      </c>
      <c r="D43" s="37" t="inlineStr">
        <is>
          <t>BROTA0005</t>
        </is>
      </c>
      <c r="E43" s="36" t="inlineStr">
        <is>
          <t>BROTAMEC, 5 L</t>
        </is>
      </c>
      <c r="F43" s="27" t="n">
        <v>400</v>
      </c>
      <c r="G43" s="38" t="n">
        <v>0</v>
      </c>
      <c r="H43" s="29">
        <f>ABS(G43-F43)</f>
        <v/>
      </c>
      <c r="I43" s="30">
        <f>IF(F43&gt;0, G43/F43, IF(G43&gt;0, 1.0, 0.0))</f>
        <v/>
      </c>
      <c r="J43" s="31" t="inlineStr"/>
      <c r="K43" s="27" t="n">
        <v>0</v>
      </c>
      <c r="L43" s="32" t="n">
        <v>0</v>
      </c>
      <c r="M43" s="27" t="n">
        <v>300</v>
      </c>
      <c r="N43" s="32" t="n">
        <v>300</v>
      </c>
      <c r="O43" s="27">
        <f>F43+K43+M43</f>
        <v/>
      </c>
      <c r="P43" s="32">
        <f>F43+L43+N43</f>
        <v/>
      </c>
      <c r="Q43" s="33">
        <f>P43-O43</f>
        <v/>
      </c>
      <c r="R43" s="34" t="inlineStr"/>
    </row>
    <row r="44" ht="19" customHeight="1">
      <c r="B44" s="24" t="inlineStr">
        <is>
          <t>ESPAÑA</t>
        </is>
      </c>
      <c r="C44" s="25" t="inlineStr">
        <is>
          <t>COOP.AGRIC. SAN ISIDRO S.C.A.</t>
        </is>
      </c>
      <c r="D44" s="26" t="inlineStr">
        <is>
          <t>C-CUAE0005</t>
        </is>
      </c>
      <c r="E44" s="25" t="inlineStr">
        <is>
          <t>CUPRAMEC, 5 L</t>
        </is>
      </c>
      <c r="F44" s="27" t="n">
        <v>0</v>
      </c>
      <c r="G44" s="28" t="n">
        <v>0</v>
      </c>
      <c r="H44" s="29">
        <f>ABS(G44-F44)</f>
        <v/>
      </c>
      <c r="I44" s="30">
        <f>IF(F44&gt;0, G44/F44, IF(G44&gt;0, 1.0, 0.0))</f>
        <v/>
      </c>
      <c r="J44" s="31" t="inlineStr"/>
      <c r="K44" s="27" t="n">
        <v>300</v>
      </c>
      <c r="L44" s="32" t="n">
        <v>300</v>
      </c>
      <c r="M44" s="27" t="n">
        <v>300</v>
      </c>
      <c r="N44" s="32" t="n">
        <v>300</v>
      </c>
      <c r="O44" s="27">
        <f>F44+K44+M44</f>
        <v/>
      </c>
      <c r="P44" s="32">
        <f>F44+L44+N44</f>
        <v/>
      </c>
      <c r="Q44" s="33">
        <f>P44-O44</f>
        <v/>
      </c>
      <c r="R44" s="34" t="inlineStr"/>
    </row>
    <row r="45" ht="19" customHeight="1">
      <c r="B45" s="35" t="inlineStr">
        <is>
          <t>ESPAÑA</t>
        </is>
      </c>
      <c r="C45" s="36" t="inlineStr">
        <is>
          <t>COOP.AGRIC. SAN ISIDRO S.C.A.</t>
        </is>
      </c>
      <c r="D45" s="37" t="inlineStr">
        <is>
          <t>C-L0005</t>
        </is>
      </c>
      <c r="E45" s="36" t="inlineStr">
        <is>
          <t>CODIBOR-L, 5 L</t>
        </is>
      </c>
      <c r="F45" s="27" t="n">
        <v>200</v>
      </c>
      <c r="G45" s="38" t="n">
        <v>200</v>
      </c>
      <c r="H45" s="29">
        <f>ABS(G45-F45)</f>
        <v/>
      </c>
      <c r="I45" s="30">
        <f>IF(F45&gt;0, G45/F45, IF(G45&gt;0, 1.0, 0.0))</f>
        <v/>
      </c>
      <c r="J45" s="31" t="inlineStr">
        <is>
          <t>Cierre según previsto</t>
        </is>
      </c>
      <c r="K45" s="27" t="n">
        <v>0</v>
      </c>
      <c r="L45" s="32" t="n">
        <v>0</v>
      </c>
      <c r="M45" s="27" t="n">
        <v>0</v>
      </c>
      <c r="N45" s="32" t="n">
        <v>0</v>
      </c>
      <c r="O45" s="27">
        <f>F45+K45+M45</f>
        <v/>
      </c>
      <c r="P45" s="32">
        <f>F45+L45+N45</f>
        <v/>
      </c>
      <c r="Q45" s="33">
        <f>P45-O45</f>
        <v/>
      </c>
      <c r="R45" s="34" t="inlineStr"/>
    </row>
    <row r="46" ht="19" customHeight="1">
      <c r="B46" s="24" t="inlineStr">
        <is>
          <t>ESPAÑA</t>
        </is>
      </c>
      <c r="C46" s="25" t="inlineStr">
        <is>
          <t>COOP.AGRIC. SAN ISIDRO S.C.A.</t>
        </is>
      </c>
      <c r="D46" s="26" t="inlineStr">
        <is>
          <t>C-MB0005</t>
        </is>
      </c>
      <c r="E46" s="25" t="inlineStr">
        <is>
          <t>CODIFOL-MB, 5 L</t>
        </is>
      </c>
      <c r="F46" s="27" t="n">
        <v>400</v>
      </c>
      <c r="G46" s="28" t="n">
        <v>200</v>
      </c>
      <c r="H46" s="29">
        <f>ABS(G46-F46)</f>
        <v/>
      </c>
      <c r="I46" s="30">
        <f>IF(F46&gt;0, G46/F46, IF(G46&gt;0, 1.0, 0.0))</f>
        <v/>
      </c>
      <c r="J46" s="31" t="inlineStr"/>
      <c r="K46" s="27" t="n">
        <v>0</v>
      </c>
      <c r="L46" s="32" t="n">
        <v>0</v>
      </c>
      <c r="M46" s="27" t="n">
        <v>600</v>
      </c>
      <c r="N46" s="32" t="n">
        <v>600</v>
      </c>
      <c r="O46" s="27">
        <f>F46+K46+M46</f>
        <v/>
      </c>
      <c r="P46" s="32">
        <f>F46+L46+N46</f>
        <v/>
      </c>
      <c r="Q46" s="33">
        <f>P46-O46</f>
        <v/>
      </c>
      <c r="R46" s="34" t="inlineStr"/>
    </row>
    <row r="47" ht="19" customHeight="1">
      <c r="B47" s="35" t="inlineStr">
        <is>
          <t>ESPAÑA</t>
        </is>
      </c>
      <c r="C47" s="36" t="inlineStr">
        <is>
          <t>COOP.AGRIC. SAN ISIDRO S.C.A.</t>
        </is>
      </c>
      <c r="D47" s="37" t="inlineStr">
        <is>
          <t>CALCIO0005</t>
        </is>
      </c>
      <c r="E47" s="36" t="inlineStr">
        <is>
          <t>CALCIAMEC, 5 KG</t>
        </is>
      </c>
      <c r="F47" s="27" t="n">
        <v>0</v>
      </c>
      <c r="G47" s="38" t="n">
        <v>0</v>
      </c>
      <c r="H47" s="29">
        <f>ABS(G47-F47)</f>
        <v/>
      </c>
      <c r="I47" s="30">
        <f>IF(F47&gt;0, G47/F47, IF(G47&gt;0, 1.0, 0.0))</f>
        <v/>
      </c>
      <c r="J47" s="31" t="inlineStr"/>
      <c r="K47" s="27" t="n">
        <v>100</v>
      </c>
      <c r="L47" s="32" t="n">
        <v>100</v>
      </c>
      <c r="M47" s="27" t="n">
        <v>0</v>
      </c>
      <c r="N47" s="32" t="n">
        <v>0</v>
      </c>
      <c r="O47" s="27">
        <f>F47+K47+M47</f>
        <v/>
      </c>
      <c r="P47" s="32">
        <f>F47+L47+N47</f>
        <v/>
      </c>
      <c r="Q47" s="33">
        <f>P47-O47</f>
        <v/>
      </c>
      <c r="R47" s="34" t="inlineStr"/>
    </row>
    <row r="48" ht="19" customHeight="1">
      <c r="B48" s="24" t="inlineStr">
        <is>
          <t>ESPAÑA</t>
        </is>
      </c>
      <c r="C48" s="25" t="inlineStr">
        <is>
          <t>COOP.AGRIC. SAN ISIDRO S.C.A.</t>
        </is>
      </c>
      <c r="D48" s="26" t="inlineStr">
        <is>
          <t>CPLUS0020</t>
        </is>
      </c>
      <c r="E48" s="25" t="inlineStr">
        <is>
          <t>CALCIPLUS, 20 L</t>
        </is>
      </c>
      <c r="F48" s="27" t="n">
        <v>1280</v>
      </c>
      <c r="G48" s="28" t="n">
        <v>0</v>
      </c>
      <c r="H48" s="29">
        <f>ABS(G48-F48)</f>
        <v/>
      </c>
      <c r="I48" s="30">
        <f>IF(F48&gt;0, G48/F48, IF(G48&gt;0, 1.0, 0.0))</f>
        <v/>
      </c>
      <c r="J48" s="31" t="inlineStr"/>
      <c r="K48" s="27" t="n">
        <v>1280</v>
      </c>
      <c r="L48" s="32" t="n">
        <v>1280</v>
      </c>
      <c r="M48" s="27" t="n">
        <v>0</v>
      </c>
      <c r="N48" s="32" t="n">
        <v>0</v>
      </c>
      <c r="O48" s="27">
        <f>F48+K48+M48</f>
        <v/>
      </c>
      <c r="P48" s="32">
        <f>F48+L48+N48</f>
        <v/>
      </c>
      <c r="Q48" s="33">
        <f>P48-O48</f>
        <v/>
      </c>
      <c r="R48" s="34" t="inlineStr"/>
    </row>
    <row r="49" ht="19" customHeight="1">
      <c r="B49" s="35" t="inlineStr">
        <is>
          <t>ESPAÑA</t>
        </is>
      </c>
      <c r="C49" s="36" t="inlineStr">
        <is>
          <t>COOP.AGRIC. SAN ISIDRO S.C.A.</t>
        </is>
      </c>
      <c r="D49" s="37" t="inlineStr">
        <is>
          <t>PIV0020</t>
        </is>
      </c>
      <c r="E49" s="36" t="inlineStr">
        <is>
          <t>PGR IV, 20 L</t>
        </is>
      </c>
      <c r="F49" s="27" t="n">
        <v>3200</v>
      </c>
      <c r="G49" s="38" t="n">
        <v>2560</v>
      </c>
      <c r="H49" s="29">
        <f>ABS(G49-F49)</f>
        <v/>
      </c>
      <c r="I49" s="30">
        <f>IF(F49&gt;0, G49/F49, IF(G49&gt;0, 1.0, 0.0))</f>
        <v/>
      </c>
      <c r="J49" s="31" t="inlineStr"/>
      <c r="K49" s="27" t="n">
        <v>1280</v>
      </c>
      <c r="L49" s="32" t="n">
        <v>1280</v>
      </c>
      <c r="M49" s="27" t="n">
        <v>1280</v>
      </c>
      <c r="N49" s="32" t="n">
        <v>1280</v>
      </c>
      <c r="O49" s="27">
        <f>F49+K49+M49</f>
        <v/>
      </c>
      <c r="P49" s="32">
        <f>F49+L49+N49</f>
        <v/>
      </c>
      <c r="Q49" s="33">
        <f>P49-O49</f>
        <v/>
      </c>
      <c r="R49" s="34" t="inlineStr"/>
    </row>
    <row r="50" ht="19" customHeight="1">
      <c r="B50" s="24" t="inlineStr">
        <is>
          <t>ESPAÑA</t>
        </is>
      </c>
      <c r="C50" s="25" t="inlineStr">
        <is>
          <t>COOP.AGRIC. SAN ISIDRO S.C.A.</t>
        </is>
      </c>
      <c r="D50" s="26" t="inlineStr">
        <is>
          <t>PT0005</t>
        </is>
      </c>
      <c r="E50" s="25" t="inlineStr">
        <is>
          <t>AGROPOTASION, 5 L</t>
        </is>
      </c>
      <c r="F50" s="27" t="n">
        <v>0</v>
      </c>
      <c r="G50" s="28" t="n">
        <v>200</v>
      </c>
      <c r="H50" s="29">
        <f>ABS(G50-F50)</f>
        <v/>
      </c>
      <c r="I50" s="30">
        <f>IF(F50&gt;0, G50/F50, IF(G50&gt;0, 1.0, 0.0))</f>
        <v/>
      </c>
      <c r="J50" s="31" t="inlineStr"/>
      <c r="K50" s="27" t="n">
        <v>0</v>
      </c>
      <c r="L50" s="32" t="n">
        <v>0</v>
      </c>
      <c r="M50" s="27" t="n">
        <v>200</v>
      </c>
      <c r="N50" s="32" t="n">
        <v>200</v>
      </c>
      <c r="O50" s="27">
        <f>F50+K50+M50</f>
        <v/>
      </c>
      <c r="P50" s="32">
        <f>F50+L50+N50</f>
        <v/>
      </c>
      <c r="Q50" s="33">
        <f>P50-O50</f>
        <v/>
      </c>
      <c r="R50" s="34" t="inlineStr"/>
    </row>
    <row r="51" ht="19" customHeight="1">
      <c r="B51" s="35" t="inlineStr">
        <is>
          <t>ESPAÑA</t>
        </is>
      </c>
      <c r="C51" s="36" t="inlineStr">
        <is>
          <t>COOP.AGRIC. SAN ISIDRO S.C.A.</t>
        </is>
      </c>
      <c r="D51" s="37" t="inlineStr">
        <is>
          <t>PT0020</t>
        </is>
      </c>
      <c r="E51" s="36" t="inlineStr">
        <is>
          <t>AGROPOTASION, 20 L</t>
        </is>
      </c>
      <c r="F51" s="27" t="n">
        <v>0</v>
      </c>
      <c r="G51" s="38" t="n">
        <v>320</v>
      </c>
      <c r="H51" s="29">
        <f>ABS(G51-F51)</f>
        <v/>
      </c>
      <c r="I51" s="30">
        <f>IF(F51&gt;0, G51/F51, IF(G51&gt;0, 1.0, 0.0))</f>
        <v/>
      </c>
      <c r="J51" s="31" t="inlineStr"/>
      <c r="K51" s="27" t="n">
        <v>0</v>
      </c>
      <c r="L51" s="32" t="n">
        <v>0</v>
      </c>
      <c r="M51" s="27" t="n">
        <v>300</v>
      </c>
      <c r="N51" s="32" t="n">
        <v>300</v>
      </c>
      <c r="O51" s="27">
        <f>F51+K51+M51</f>
        <v/>
      </c>
      <c r="P51" s="32">
        <f>F51+L51+N51</f>
        <v/>
      </c>
      <c r="Q51" s="33">
        <f>P51-O51</f>
        <v/>
      </c>
      <c r="R51" s="34" t="inlineStr"/>
    </row>
    <row r="52" ht="19" customHeight="1">
      <c r="B52" s="24" t="inlineStr">
        <is>
          <t>ESPAÑA</t>
        </is>
      </c>
      <c r="C52" s="25" t="inlineStr">
        <is>
          <t>COOP.AGRIC. SAN ISIDRO S.C.A.</t>
        </is>
      </c>
      <c r="D52" s="26" t="inlineStr">
        <is>
          <t>S0020</t>
        </is>
      </c>
      <c r="E52" s="25" t="inlineStr">
        <is>
          <t>SAL-WAX STAR, 20 L</t>
        </is>
      </c>
      <c r="F52" s="27" t="n">
        <v>640</v>
      </c>
      <c r="G52" s="28" t="n">
        <v>640</v>
      </c>
      <c r="H52" s="29">
        <f>ABS(G52-F52)</f>
        <v/>
      </c>
      <c r="I52" s="30">
        <f>IF(F52&gt;0, G52/F52, IF(G52&gt;0, 1.0, 0.0))</f>
        <v/>
      </c>
      <c r="J52" s="31" t="inlineStr">
        <is>
          <t>Cierre según previsto</t>
        </is>
      </c>
      <c r="K52" s="27" t="n">
        <v>640</v>
      </c>
      <c r="L52" s="32" t="n">
        <v>640</v>
      </c>
      <c r="M52" s="27" t="n">
        <v>640</v>
      </c>
      <c r="N52" s="32" t="n">
        <v>640</v>
      </c>
      <c r="O52" s="27">
        <f>F52+K52+M52</f>
        <v/>
      </c>
      <c r="P52" s="32">
        <f>F52+L52+N52</f>
        <v/>
      </c>
      <c r="Q52" s="33">
        <f>P52-O52</f>
        <v/>
      </c>
      <c r="R52" s="34" t="inlineStr"/>
    </row>
    <row r="53" ht="19" customHeight="1">
      <c r="B53" s="35" t="inlineStr">
        <is>
          <t>ESPAÑA</t>
        </is>
      </c>
      <c r="C53" s="36" t="inlineStr">
        <is>
          <t>COOP.AGRIC. SAN ISIDRO S.C.A.</t>
        </is>
      </c>
      <c r="D53" s="37" t="inlineStr">
        <is>
          <t>TRI0001</t>
        </is>
      </c>
      <c r="E53" s="36" t="inlineStr">
        <is>
          <t>TRIFENO-94, 1 L</t>
        </is>
      </c>
      <c r="F53" s="27" t="n">
        <v>0</v>
      </c>
      <c r="G53" s="38" t="n">
        <v>108</v>
      </c>
      <c r="H53" s="29">
        <f>ABS(G53-F53)</f>
        <v/>
      </c>
      <c r="I53" s="30">
        <f>IF(F53&gt;0, G53/F53, IF(G53&gt;0, 1.0, 0.0))</f>
        <v/>
      </c>
      <c r="J53" s="31" t="inlineStr"/>
      <c r="K53" s="27" t="n">
        <v>0</v>
      </c>
      <c r="L53" s="32" t="n">
        <v>0</v>
      </c>
      <c r="M53" s="27" t="n">
        <v>108</v>
      </c>
      <c r="N53" s="32" t="n">
        <v>108</v>
      </c>
      <c r="O53" s="27">
        <f>F53+K53+M53</f>
        <v/>
      </c>
      <c r="P53" s="32">
        <f>F53+L53+N53</f>
        <v/>
      </c>
      <c r="Q53" s="33">
        <f>P53-O53</f>
        <v/>
      </c>
      <c r="R53" s="34" t="inlineStr"/>
    </row>
    <row r="54" ht="19" customHeight="1">
      <c r="B54" s="24" t="inlineStr">
        <is>
          <t>ESPAÑA</t>
        </is>
      </c>
      <c r="C54" s="25" t="inlineStr">
        <is>
          <t>GUIVARTO AGRICOLA, S.L.</t>
        </is>
      </c>
      <c r="D54" s="26" t="inlineStr">
        <is>
          <t>A-50(2)0005</t>
        </is>
      </c>
      <c r="E54" s="25" t="inlineStr">
        <is>
          <t>CODIORGAN A-50, 5 KG</t>
        </is>
      </c>
      <c r="F54" s="27" t="n">
        <v>100</v>
      </c>
      <c r="G54" s="28" t="n">
        <v>100</v>
      </c>
      <c r="H54" s="29">
        <f>ABS(G54-F54)</f>
        <v/>
      </c>
      <c r="I54" s="30">
        <f>IF(F54&gt;0, G54/F54, IF(G54&gt;0, 1.0, 0.0))</f>
        <v/>
      </c>
      <c r="J54" s="31" t="inlineStr">
        <is>
          <t>Cierre según previsto</t>
        </is>
      </c>
      <c r="K54" s="27" t="n">
        <v>100</v>
      </c>
      <c r="L54" s="32" t="n">
        <v>100</v>
      </c>
      <c r="M54" s="27" t="n">
        <v>0</v>
      </c>
      <c r="N54" s="32" t="n">
        <v>0</v>
      </c>
      <c r="O54" s="27">
        <f>F54+K54+M54</f>
        <v/>
      </c>
      <c r="P54" s="32">
        <f>F54+L54+N54</f>
        <v/>
      </c>
      <c r="Q54" s="33">
        <f>P54-O54</f>
        <v/>
      </c>
      <c r="R54" s="34" t="inlineStr"/>
    </row>
    <row r="55" ht="19" customHeight="1">
      <c r="B55" s="35" t="inlineStr">
        <is>
          <t>ESPAÑA</t>
        </is>
      </c>
      <c r="C55" s="36" t="inlineStr">
        <is>
          <t>GUIVARTO AGRICOLA, S.L.</t>
        </is>
      </c>
      <c r="D55" s="37" t="inlineStr">
        <is>
          <t>AGXK0020</t>
        </is>
      </c>
      <c r="E55" s="36" t="inlineStr">
        <is>
          <t>AGROXILATO-K, 20 L</t>
        </is>
      </c>
      <c r="F55" s="27" t="n">
        <v>2480</v>
      </c>
      <c r="G55" s="38" t="n">
        <v>2560</v>
      </c>
      <c r="H55" s="29">
        <f>ABS(G55-F55)</f>
        <v/>
      </c>
      <c r="I55" s="30">
        <f>IF(F55&gt;0, G55/F55, IF(G55&gt;0, 1.0, 0.0))</f>
        <v/>
      </c>
      <c r="J55" s="31" t="inlineStr">
        <is>
          <t>Cierre según previsto</t>
        </is>
      </c>
      <c r="K55" s="27" t="n">
        <v>1240</v>
      </c>
      <c r="L55" s="32" t="n">
        <v>1240</v>
      </c>
      <c r="M55" s="27" t="n">
        <v>1960</v>
      </c>
      <c r="N55" s="32" t="n">
        <v>1960</v>
      </c>
      <c r="O55" s="27">
        <f>F55+K55+M55</f>
        <v/>
      </c>
      <c r="P55" s="32">
        <f>F55+L55+N55</f>
        <v/>
      </c>
      <c r="Q55" s="33">
        <f>P55-O55</f>
        <v/>
      </c>
      <c r="R55" s="34" t="inlineStr"/>
    </row>
    <row r="56" ht="19" customHeight="1">
      <c r="B56" s="24" t="inlineStr">
        <is>
          <t>ESPAÑA</t>
        </is>
      </c>
      <c r="C56" s="25" t="inlineStr">
        <is>
          <t>GUIVARTO AGRICOLA, S.L.</t>
        </is>
      </c>
      <c r="D56" s="26" t="inlineStr">
        <is>
          <t>AGXK1000</t>
        </is>
      </c>
      <c r="E56" s="25" t="inlineStr">
        <is>
          <t>AGROXILATO-K, 1000 L</t>
        </is>
      </c>
      <c r="F56" s="27" t="n">
        <v>0</v>
      </c>
      <c r="G56" s="28" t="n">
        <v>0</v>
      </c>
      <c r="H56" s="29">
        <f>ABS(G56-F56)</f>
        <v/>
      </c>
      <c r="I56" s="30">
        <f>IF(F56&gt;0, G56/F56, IF(G56&gt;0, 1.0, 0.0))</f>
        <v/>
      </c>
      <c r="J56" s="31" t="inlineStr"/>
      <c r="K56" s="27" t="n">
        <v>1000</v>
      </c>
      <c r="L56" s="32" t="n">
        <v>1000</v>
      </c>
      <c r="M56" s="27" t="n">
        <v>0</v>
      </c>
      <c r="N56" s="32" t="n">
        <v>0</v>
      </c>
      <c r="O56" s="27">
        <f>F56+K56+M56</f>
        <v/>
      </c>
      <c r="P56" s="32">
        <f>F56+L56+N56</f>
        <v/>
      </c>
      <c r="Q56" s="33">
        <f>P56-O56</f>
        <v/>
      </c>
      <c r="R56" s="34" t="inlineStr"/>
    </row>
    <row r="57" ht="19" customHeight="1">
      <c r="B57" s="35" t="inlineStr">
        <is>
          <t>ESPAÑA</t>
        </is>
      </c>
      <c r="C57" s="36" t="inlineStr">
        <is>
          <t>GUIVARTO AGRICOLA, S.L.</t>
        </is>
      </c>
      <c r="D57" s="37" t="inlineStr">
        <is>
          <t>AGZNP0005</t>
        </is>
      </c>
      <c r="E57" s="36" t="inlineStr">
        <is>
          <t>AGROXILATO-ZN PLUS, 5 KG</t>
        </is>
      </c>
      <c r="F57" s="27" t="n">
        <v>0</v>
      </c>
      <c r="G57" s="38" t="n">
        <v>0</v>
      </c>
      <c r="H57" s="29">
        <f>ABS(G57-F57)</f>
        <v/>
      </c>
      <c r="I57" s="30">
        <f>IF(F57&gt;0, G57/F57, IF(G57&gt;0, 1.0, 0.0))</f>
        <v/>
      </c>
      <c r="J57" s="31" t="inlineStr"/>
      <c r="K57" s="27" t="n">
        <v>0</v>
      </c>
      <c r="L57" s="32" t="n">
        <v>0</v>
      </c>
      <c r="M57" s="27" t="n">
        <v>0</v>
      </c>
      <c r="N57" s="32" t="n">
        <v>0</v>
      </c>
      <c r="O57" s="27">
        <f>F57+K57+M57</f>
        <v/>
      </c>
      <c r="P57" s="32">
        <f>F57+L57+N57</f>
        <v/>
      </c>
      <c r="Q57" s="33">
        <f>P57-O57</f>
        <v/>
      </c>
      <c r="R57" s="34" t="inlineStr"/>
    </row>
    <row r="58" ht="19" customHeight="1">
      <c r="B58" s="24" t="inlineStr">
        <is>
          <t>ESPAÑA</t>
        </is>
      </c>
      <c r="C58" s="25" t="inlineStr">
        <is>
          <t>GUIVARTO AGRICOLA, S.L.</t>
        </is>
      </c>
      <c r="D58" s="26" t="inlineStr">
        <is>
          <t>AQUOM0005</t>
        </is>
      </c>
      <c r="E58" s="25" t="inlineStr">
        <is>
          <t>AQUOM, 5 L</t>
        </is>
      </c>
      <c r="F58" s="27" t="n">
        <v>0</v>
      </c>
      <c r="G58" s="28" t="n">
        <v>0</v>
      </c>
      <c r="H58" s="29">
        <f>ABS(G58-F58)</f>
        <v/>
      </c>
      <c r="I58" s="30">
        <f>IF(F58&gt;0, G58/F58, IF(G58&gt;0, 1.0, 0.0))</f>
        <v/>
      </c>
      <c r="J58" s="31" t="inlineStr"/>
      <c r="K58" s="27" t="n">
        <v>0</v>
      </c>
      <c r="L58" s="32" t="n">
        <v>0</v>
      </c>
      <c r="M58" s="27" t="n">
        <v>0</v>
      </c>
      <c r="N58" s="32" t="n">
        <v>0</v>
      </c>
      <c r="O58" s="27">
        <f>F58+K58+M58</f>
        <v/>
      </c>
      <c r="P58" s="32">
        <f>F58+L58+N58</f>
        <v/>
      </c>
      <c r="Q58" s="33">
        <f>P58-O58</f>
        <v/>
      </c>
      <c r="R58" s="34" t="inlineStr"/>
    </row>
    <row r="59" ht="19" customHeight="1">
      <c r="B59" s="35" t="inlineStr">
        <is>
          <t>ESPAÑA</t>
        </is>
      </c>
      <c r="C59" s="36" t="inlineStr">
        <is>
          <t>GUIVARTO AGRICOLA, S.L.</t>
        </is>
      </c>
      <c r="D59" s="37" t="inlineStr">
        <is>
          <t>AVAN0005</t>
        </is>
      </c>
      <c r="E59" s="36" t="inlineStr">
        <is>
          <t>FLORAMEC AVANCE, 5 L</t>
        </is>
      </c>
      <c r="F59" s="27" t="n">
        <v>300</v>
      </c>
      <c r="G59" s="38" t="n">
        <v>600</v>
      </c>
      <c r="H59" s="29">
        <f>ABS(G59-F59)</f>
        <v/>
      </c>
      <c r="I59" s="30">
        <f>IF(F59&gt;0, G59/F59, IF(G59&gt;0, 1.0, 0.0))</f>
        <v/>
      </c>
      <c r="J59" s="31" t="inlineStr">
        <is>
          <t>Cierre según previsto</t>
        </is>
      </c>
      <c r="K59" s="27" t="n">
        <v>300</v>
      </c>
      <c r="L59" s="32" t="n">
        <v>300</v>
      </c>
      <c r="M59" s="27" t="n">
        <v>300</v>
      </c>
      <c r="N59" s="32" t="n">
        <v>300</v>
      </c>
      <c r="O59" s="27">
        <f>F59+K59+M59</f>
        <v/>
      </c>
      <c r="P59" s="32">
        <f>F59+L59+N59</f>
        <v/>
      </c>
      <c r="Q59" s="33">
        <f>P59-O59</f>
        <v/>
      </c>
      <c r="R59" s="34" t="inlineStr"/>
    </row>
    <row r="60" ht="19" customHeight="1">
      <c r="B60" s="24" t="inlineStr">
        <is>
          <t>ESPAÑA</t>
        </is>
      </c>
      <c r="C60" s="25" t="inlineStr">
        <is>
          <t>GUIVARTO AGRICOLA, S.L.</t>
        </is>
      </c>
      <c r="D60" s="26" t="inlineStr">
        <is>
          <t>AVAN0020</t>
        </is>
      </c>
      <c r="E60" s="25" t="inlineStr">
        <is>
          <t>FLORAMEC AVANCE, 20 L</t>
        </is>
      </c>
      <c r="F60" s="27" t="n">
        <v>640</v>
      </c>
      <c r="G60" s="28" t="n">
        <v>640</v>
      </c>
      <c r="H60" s="29">
        <f>ABS(G60-F60)</f>
        <v/>
      </c>
      <c r="I60" s="30">
        <f>IF(F60&gt;0, G60/F60, IF(G60&gt;0, 1.0, 0.0))</f>
        <v/>
      </c>
      <c r="J60" s="31" t="inlineStr">
        <is>
          <t>Cierre según previsto</t>
        </is>
      </c>
      <c r="K60" s="27" t="n">
        <v>0</v>
      </c>
      <c r="L60" s="32" t="n">
        <v>0</v>
      </c>
      <c r="M60" s="27" t="n">
        <v>640</v>
      </c>
      <c r="N60" s="32" t="n">
        <v>640</v>
      </c>
      <c r="O60" s="27">
        <f>F60+K60+M60</f>
        <v/>
      </c>
      <c r="P60" s="32">
        <f>F60+L60+N60</f>
        <v/>
      </c>
      <c r="Q60" s="33">
        <f>P60-O60</f>
        <v/>
      </c>
      <c r="R60" s="34" t="inlineStr"/>
    </row>
    <row r="61" ht="19" customHeight="1">
      <c r="B61" s="35" t="inlineStr">
        <is>
          <t>ESPAÑA</t>
        </is>
      </c>
      <c r="C61" s="36" t="inlineStr">
        <is>
          <t>GUIVARTO AGRICOLA, S.L.</t>
        </is>
      </c>
      <c r="D61" s="37" t="inlineStr">
        <is>
          <t>BEY0005</t>
        </is>
      </c>
      <c r="E61" s="36" t="inlineStr">
        <is>
          <t>FLORAMEC PLUS, 5 L</t>
        </is>
      </c>
      <c r="F61" s="27" t="n">
        <v>0</v>
      </c>
      <c r="G61" s="38" t="n">
        <v>100</v>
      </c>
      <c r="H61" s="29">
        <f>ABS(G61-F61)</f>
        <v/>
      </c>
      <c r="I61" s="30">
        <f>IF(F61&gt;0, G61/F61, IF(G61&gt;0, 1.0, 0.0))</f>
        <v/>
      </c>
      <c r="J61" s="31" t="inlineStr">
        <is>
          <t>Pedido extra no previsto</t>
        </is>
      </c>
      <c r="K61" s="27" t="n">
        <v>0</v>
      </c>
      <c r="L61" s="32" t="n">
        <v>0</v>
      </c>
      <c r="M61" s="27" t="n">
        <v>0</v>
      </c>
      <c r="N61" s="32" t="n">
        <v>0</v>
      </c>
      <c r="O61" s="27">
        <f>F61+K61+M61</f>
        <v/>
      </c>
      <c r="P61" s="32">
        <f>F61+L61+N61</f>
        <v/>
      </c>
      <c r="Q61" s="33">
        <f>P61-O61</f>
        <v/>
      </c>
      <c r="R61" s="34" t="inlineStr"/>
    </row>
    <row r="62" ht="19" customHeight="1">
      <c r="B62" s="24" t="inlineStr">
        <is>
          <t>ESPAÑA</t>
        </is>
      </c>
      <c r="C62" s="25" t="inlineStr">
        <is>
          <t>GUIVARTO AGRICOLA, S.L.</t>
        </is>
      </c>
      <c r="D62" s="26" t="inlineStr">
        <is>
          <t>BEY0020</t>
        </is>
      </c>
      <c r="E62" s="25" t="inlineStr">
        <is>
          <t>FLORAMEC PLUS 20 L</t>
        </is>
      </c>
      <c r="F62" s="27" t="n">
        <v>0</v>
      </c>
      <c r="G62" s="28" t="n">
        <v>120</v>
      </c>
      <c r="H62" s="29">
        <f>ABS(G62-F62)</f>
        <v/>
      </c>
      <c r="I62" s="30">
        <f>IF(F62&gt;0, G62/F62, IF(G62&gt;0, 1.0, 0.0))</f>
        <v/>
      </c>
      <c r="J62" s="31" t="inlineStr"/>
      <c r="K62" s="27" t="n">
        <v>0</v>
      </c>
      <c r="L62" s="32" t="n">
        <v>0</v>
      </c>
      <c r="M62" s="27" t="n">
        <v>0</v>
      </c>
      <c r="N62" s="32" t="n">
        <v>0</v>
      </c>
      <c r="O62" s="27">
        <f>F62+K62+M62</f>
        <v/>
      </c>
      <c r="P62" s="32">
        <f>F62+L62+N62</f>
        <v/>
      </c>
      <c r="Q62" s="33">
        <f>P62-O62</f>
        <v/>
      </c>
      <c r="R62" s="34" t="inlineStr"/>
    </row>
    <row r="63" ht="19" customHeight="1">
      <c r="B63" s="35" t="inlineStr">
        <is>
          <t>ESPAÑA</t>
        </is>
      </c>
      <c r="C63" s="36" t="inlineStr">
        <is>
          <t>GUIVARTO AGRICOLA, S.L.</t>
        </is>
      </c>
      <c r="D63" s="37" t="inlineStr">
        <is>
          <t>BROTA0005</t>
        </is>
      </c>
      <c r="E63" s="36" t="inlineStr">
        <is>
          <t>BROTAMEC, 5 L</t>
        </is>
      </c>
      <c r="F63" s="27" t="n">
        <v>300</v>
      </c>
      <c r="G63" s="38" t="n">
        <v>600</v>
      </c>
      <c r="H63" s="29">
        <f>ABS(G63-F63)</f>
        <v/>
      </c>
      <c r="I63" s="30">
        <f>IF(F63&gt;0, G63/F63, IF(G63&gt;0, 1.0, 0.0))</f>
        <v/>
      </c>
      <c r="J63" s="31" t="inlineStr">
        <is>
          <t>Cierre según previsto</t>
        </is>
      </c>
      <c r="K63" s="27" t="n">
        <v>300</v>
      </c>
      <c r="L63" s="32" t="n">
        <v>300</v>
      </c>
      <c r="M63" s="27" t="n">
        <v>300</v>
      </c>
      <c r="N63" s="32" t="n">
        <v>300</v>
      </c>
      <c r="O63" s="27">
        <f>F63+K63+M63</f>
        <v/>
      </c>
      <c r="P63" s="32">
        <f>F63+L63+N63</f>
        <v/>
      </c>
      <c r="Q63" s="33">
        <f>P63-O63</f>
        <v/>
      </c>
      <c r="R63" s="34" t="inlineStr"/>
    </row>
    <row r="64" ht="19" customHeight="1">
      <c r="B64" s="24" t="inlineStr">
        <is>
          <t>ESPAÑA</t>
        </is>
      </c>
      <c r="C64" s="25" t="inlineStr">
        <is>
          <t>GUIVARTO AGRICOLA, S.L.</t>
        </is>
      </c>
      <c r="D64" s="26" t="inlineStr">
        <is>
          <t>C-GLB0001</t>
        </is>
      </c>
      <c r="E64" s="25" t="inlineStr">
        <is>
          <t>CODIORGAN GLB, 1 KG</t>
        </is>
      </c>
      <c r="F64" s="27" t="n">
        <v>108</v>
      </c>
      <c r="G64" s="28" t="n">
        <v>0</v>
      </c>
      <c r="H64" s="29">
        <f>ABS(G64-F64)</f>
        <v/>
      </c>
      <c r="I64" s="30">
        <f>IF(F64&gt;0, G64/F64, IF(G64&gt;0, 1.0, 0.0))</f>
        <v/>
      </c>
      <c r="J64" s="31" t="inlineStr"/>
      <c r="K64" s="27" t="n">
        <v>0</v>
      </c>
      <c r="L64" s="32" t="n">
        <v>0</v>
      </c>
      <c r="M64" s="27" t="n">
        <v>108</v>
      </c>
      <c r="N64" s="32" t="n">
        <v>108</v>
      </c>
      <c r="O64" s="27">
        <f>F64+K64+M64</f>
        <v/>
      </c>
      <c r="P64" s="32">
        <f>F64+L64+N64</f>
        <v/>
      </c>
      <c r="Q64" s="33">
        <f>P64-O64</f>
        <v/>
      </c>
      <c r="R64" s="34" t="inlineStr"/>
    </row>
    <row r="65" ht="19" customHeight="1">
      <c r="B65" s="35" t="inlineStr">
        <is>
          <t>ESPAÑA</t>
        </is>
      </c>
      <c r="C65" s="36" t="inlineStr">
        <is>
          <t>GUIVARTO AGRICOLA, S.L.</t>
        </is>
      </c>
      <c r="D65" s="37" t="inlineStr">
        <is>
          <t>C-M-P0001</t>
        </is>
      </c>
      <c r="E65" s="36" t="inlineStr">
        <is>
          <t>CODIFOL Mo-PLUS, 1 L</t>
        </is>
      </c>
      <c r="F65" s="27" t="n">
        <v>0</v>
      </c>
      <c r="G65" s="38" t="n">
        <v>0</v>
      </c>
      <c r="H65" s="29">
        <f>ABS(G65-F65)</f>
        <v/>
      </c>
      <c r="I65" s="30">
        <f>IF(F65&gt;0, G65/F65, IF(G65&gt;0, 1.0, 0.0))</f>
        <v/>
      </c>
      <c r="J65" s="31" t="inlineStr"/>
      <c r="K65" s="27" t="n">
        <v>0</v>
      </c>
      <c r="L65" s="32" t="n">
        <v>0</v>
      </c>
      <c r="M65" s="27" t="n">
        <v>0</v>
      </c>
      <c r="N65" s="32" t="n">
        <v>0</v>
      </c>
      <c r="O65" s="27">
        <f>F65+K65+M65</f>
        <v/>
      </c>
      <c r="P65" s="32">
        <f>F65+L65+N65</f>
        <v/>
      </c>
      <c r="Q65" s="33">
        <f>P65-O65</f>
        <v/>
      </c>
      <c r="R65" s="34" t="inlineStr"/>
    </row>
    <row r="66" ht="19" customHeight="1">
      <c r="B66" s="24" t="inlineStr">
        <is>
          <t>ESPAÑA</t>
        </is>
      </c>
      <c r="C66" s="25" t="inlineStr">
        <is>
          <t>GUIVARTO AGRICOLA, S.L.</t>
        </is>
      </c>
      <c r="D66" s="26" t="inlineStr">
        <is>
          <t>C-MB0005</t>
        </is>
      </c>
      <c r="E66" s="25" t="inlineStr">
        <is>
          <t>CODIFOL-MB, 5 L</t>
        </is>
      </c>
      <c r="F66" s="27" t="n">
        <v>100</v>
      </c>
      <c r="G66" s="28" t="n">
        <v>0</v>
      </c>
      <c r="H66" s="29">
        <f>ABS(G66-F66)</f>
        <v/>
      </c>
      <c r="I66" s="30">
        <f>IF(F66&gt;0, G66/F66, IF(G66&gt;0, 1.0, 0.0))</f>
        <v/>
      </c>
      <c r="J66" s="31" t="inlineStr"/>
      <c r="K66" s="27" t="n">
        <v>0</v>
      </c>
      <c r="L66" s="32" t="n">
        <v>0</v>
      </c>
      <c r="M66" s="27" t="n">
        <v>0</v>
      </c>
      <c r="N66" s="32" t="n">
        <v>0</v>
      </c>
      <c r="O66" s="27">
        <f>F66+K66+M66</f>
        <v/>
      </c>
      <c r="P66" s="32">
        <f>F66+L66+N66</f>
        <v/>
      </c>
      <c r="Q66" s="33">
        <f>P66-O66</f>
        <v/>
      </c>
      <c r="R66" s="34" t="inlineStr"/>
    </row>
    <row r="67" ht="19" customHeight="1">
      <c r="B67" s="35" t="inlineStr">
        <is>
          <t>ESPAÑA</t>
        </is>
      </c>
      <c r="C67" s="36" t="inlineStr">
        <is>
          <t>GUIVARTO AGRICOLA, S.L.</t>
        </is>
      </c>
      <c r="D67" s="37" t="inlineStr">
        <is>
          <t>FTK0005</t>
        </is>
      </c>
      <c r="E67" s="36" t="inlineStr">
        <is>
          <t>FITOKONTROL CA FLOW, 5 KG</t>
        </is>
      </c>
      <c r="F67" s="27" t="n">
        <v>0</v>
      </c>
      <c r="G67" s="38" t="n">
        <v>0</v>
      </c>
      <c r="H67" s="29">
        <f>ABS(G67-F67)</f>
        <v/>
      </c>
      <c r="I67" s="30">
        <f>IF(F67&gt;0, G67/F67, IF(G67&gt;0, 1.0, 0.0))</f>
        <v/>
      </c>
      <c r="J67" s="31" t="inlineStr"/>
      <c r="K67" s="27" t="n">
        <v>0</v>
      </c>
      <c r="L67" s="32" t="n">
        <v>0</v>
      </c>
      <c r="M67" s="27" t="n">
        <v>600</v>
      </c>
      <c r="N67" s="32" t="n">
        <v>600</v>
      </c>
      <c r="O67" s="27">
        <f>F67+K67+M67</f>
        <v/>
      </c>
      <c r="P67" s="32">
        <f>F67+L67+N67</f>
        <v/>
      </c>
      <c r="Q67" s="33">
        <f>P67-O67</f>
        <v/>
      </c>
      <c r="R67" s="34" t="inlineStr"/>
    </row>
    <row r="68" ht="19" customHeight="1">
      <c r="B68" s="24" t="inlineStr">
        <is>
          <t>ESPAÑA</t>
        </is>
      </c>
      <c r="C68" s="25" t="inlineStr">
        <is>
          <t>GUIVARTO AGRICOLA, S.L.</t>
        </is>
      </c>
      <c r="D68" s="26" t="inlineStr">
        <is>
          <t>HST0005</t>
        </is>
      </c>
      <c r="E68" s="25" t="inlineStr">
        <is>
          <t>HIDROSTRESS, 5 L</t>
        </is>
      </c>
      <c r="F68" s="27" t="n">
        <v>40</v>
      </c>
      <c r="G68" s="28" t="n">
        <v>0</v>
      </c>
      <c r="H68" s="29">
        <f>ABS(G68-F68)</f>
        <v/>
      </c>
      <c r="I68" s="30">
        <f>IF(F68&gt;0, G68/F68, IF(G68&gt;0, 1.0, 0.0))</f>
        <v/>
      </c>
      <c r="J68" s="31" t="inlineStr"/>
      <c r="K68" s="27" t="n">
        <v>40</v>
      </c>
      <c r="L68" s="32" t="n">
        <v>40</v>
      </c>
      <c r="M68" s="27" t="n">
        <v>40</v>
      </c>
      <c r="N68" s="32" t="n">
        <v>40</v>
      </c>
      <c r="O68" s="27">
        <f>F68+K68+M68</f>
        <v/>
      </c>
      <c r="P68" s="32">
        <f>F68+L68+N68</f>
        <v/>
      </c>
      <c r="Q68" s="33">
        <f>P68-O68</f>
        <v/>
      </c>
      <c r="R68" s="34" t="inlineStr"/>
    </row>
    <row r="69" ht="19" customHeight="1">
      <c r="B69" s="35" t="inlineStr">
        <is>
          <t>ESPAÑA</t>
        </is>
      </c>
      <c r="C69" s="36" t="inlineStr">
        <is>
          <t>GUIVARTO AGRICOLA, S.L.</t>
        </is>
      </c>
      <c r="D69" s="37" t="inlineStr">
        <is>
          <t>P-5X0005</t>
        </is>
      </c>
      <c r="E69" s="36" t="inlineStr">
        <is>
          <t>P.M.S. 5x, 5 L</t>
        </is>
      </c>
      <c r="F69" s="27" t="n">
        <v>0</v>
      </c>
      <c r="G69" s="38" t="n">
        <v>0</v>
      </c>
      <c r="H69" s="29">
        <f>ABS(G69-F69)</f>
        <v/>
      </c>
      <c r="I69" s="30">
        <f>IF(F69&gt;0, G69/F69, IF(G69&gt;0, 1.0, 0.0))</f>
        <v/>
      </c>
      <c r="J69" s="31" t="inlineStr"/>
      <c r="K69" s="27" t="n">
        <v>0</v>
      </c>
      <c r="L69" s="32" t="n">
        <v>0</v>
      </c>
      <c r="M69" s="27" t="n">
        <v>100</v>
      </c>
      <c r="N69" s="32" t="n">
        <v>100</v>
      </c>
      <c r="O69" s="27">
        <f>F69+K69+M69</f>
        <v/>
      </c>
      <c r="P69" s="32">
        <f>F69+L69+N69</f>
        <v/>
      </c>
      <c r="Q69" s="33">
        <f>P69-O69</f>
        <v/>
      </c>
      <c r="R69" s="34" t="inlineStr"/>
    </row>
    <row r="70" ht="19" customHeight="1">
      <c r="B70" s="24" t="inlineStr">
        <is>
          <t>ESPAÑA</t>
        </is>
      </c>
      <c r="C70" s="25" t="inlineStr">
        <is>
          <t>GUIVARTO AGRICOLA, S.L.</t>
        </is>
      </c>
      <c r="D70" s="26" t="inlineStr">
        <is>
          <t>PT0005</t>
        </is>
      </c>
      <c r="E70" s="25" t="inlineStr">
        <is>
          <t>AGROPOTASION, 5 L</t>
        </is>
      </c>
      <c r="F70" s="27" t="n">
        <v>100</v>
      </c>
      <c r="G70" s="28" t="n">
        <v>0</v>
      </c>
      <c r="H70" s="29">
        <f>ABS(G70-F70)</f>
        <v/>
      </c>
      <c r="I70" s="30">
        <f>IF(F70&gt;0, G70/F70, IF(G70&gt;0, 1.0, 0.0))</f>
        <v/>
      </c>
      <c r="J70" s="31" t="inlineStr"/>
      <c r="K70" s="27" t="n">
        <v>0</v>
      </c>
      <c r="L70" s="32" t="n">
        <v>0</v>
      </c>
      <c r="M70" s="27" t="n">
        <v>200</v>
      </c>
      <c r="N70" s="32" t="n">
        <v>200</v>
      </c>
      <c r="O70" s="27">
        <f>F70+K70+M70</f>
        <v/>
      </c>
      <c r="P70" s="32">
        <f>F70+L70+N70</f>
        <v/>
      </c>
      <c r="Q70" s="33">
        <f>P70-O70</f>
        <v/>
      </c>
      <c r="R70" s="34" t="inlineStr"/>
    </row>
    <row r="71" ht="19" customHeight="1">
      <c r="B71" s="35" t="inlineStr">
        <is>
          <t>ESPAÑA</t>
        </is>
      </c>
      <c r="C71" s="36" t="inlineStr">
        <is>
          <t>GUIVARTO AGRICOLA, S.L.</t>
        </is>
      </c>
      <c r="D71" s="37" t="inlineStr">
        <is>
          <t>S0020</t>
        </is>
      </c>
      <c r="E71" s="36" t="inlineStr">
        <is>
          <t>SALWAX STAR, 20 L</t>
        </is>
      </c>
      <c r="F71" s="27" t="n">
        <v>640</v>
      </c>
      <c r="G71" s="38" t="n">
        <v>0</v>
      </c>
      <c r="H71" s="29">
        <f>ABS(G71-F71)</f>
        <v/>
      </c>
      <c r="I71" s="30">
        <f>IF(F71&gt;0, G71/F71, IF(G71&gt;0, 1.0, 0.0))</f>
        <v/>
      </c>
      <c r="J71" s="31" t="inlineStr"/>
      <c r="K71" s="27" t="n">
        <v>0</v>
      </c>
      <c r="L71" s="32" t="n">
        <v>0</v>
      </c>
      <c r="M71" s="27" t="n">
        <v>0</v>
      </c>
      <c r="N71" s="32" t="n">
        <v>0</v>
      </c>
      <c r="O71" s="27">
        <f>F71+K71+M71</f>
        <v/>
      </c>
      <c r="P71" s="32">
        <f>F71+L71+N71</f>
        <v/>
      </c>
      <c r="Q71" s="33">
        <f>P71-O71</f>
        <v/>
      </c>
      <c r="R71" s="34" t="inlineStr"/>
    </row>
    <row r="72" ht="19" customHeight="1">
      <c r="B72" s="24" t="inlineStr">
        <is>
          <t>ESPAÑA</t>
        </is>
      </c>
      <c r="C72" s="25" t="inlineStr">
        <is>
          <t>GUIVARTO AGRICOLA, S.L.</t>
        </is>
      </c>
      <c r="D72" s="26" t="inlineStr">
        <is>
          <t>TRI0001</t>
        </is>
      </c>
      <c r="E72" s="25" t="inlineStr">
        <is>
          <t>TRIFENO-94, 1 L</t>
        </is>
      </c>
      <c r="F72" s="27" t="n">
        <v>0</v>
      </c>
      <c r="G72" s="28" t="n">
        <v>60</v>
      </c>
      <c r="H72" s="29">
        <f>ABS(G72-F72)</f>
        <v/>
      </c>
      <c r="I72" s="30">
        <f>IF(F72&gt;0, G72/F72, IF(G72&gt;0, 1.0, 0.0))</f>
        <v/>
      </c>
      <c r="J72" s="31" t="inlineStr">
        <is>
          <t>Pedido extra no previsto</t>
        </is>
      </c>
      <c r="K72" s="27" t="n">
        <v>0</v>
      </c>
      <c r="L72" s="32" t="n">
        <v>0</v>
      </c>
      <c r="M72" s="27" t="n">
        <v>0</v>
      </c>
      <c r="N72" s="32" t="n">
        <v>0</v>
      </c>
      <c r="O72" s="27">
        <f>F72+K72+M72</f>
        <v/>
      </c>
      <c r="P72" s="32">
        <f>F72+L72+N72</f>
        <v/>
      </c>
      <c r="Q72" s="33">
        <f>P72-O72</f>
        <v/>
      </c>
      <c r="R72" s="34" t="inlineStr"/>
    </row>
    <row r="73" ht="19" customHeight="1">
      <c r="B73" s="35" t="inlineStr">
        <is>
          <t>ESPAÑA</t>
        </is>
      </c>
      <c r="C73" s="36" t="inlineStr">
        <is>
          <t>GUIVARTO AGRICOLA, S.L.</t>
        </is>
      </c>
      <c r="D73" s="37" t="inlineStr">
        <is>
          <t>TRI0005</t>
        </is>
      </c>
      <c r="E73" s="36" t="inlineStr">
        <is>
          <t>TRIFENO-94, 5L</t>
        </is>
      </c>
      <c r="F73" s="27" t="n">
        <v>300</v>
      </c>
      <c r="G73" s="38" t="n">
        <v>600</v>
      </c>
      <c r="H73" s="29">
        <f>ABS(G73-F73)</f>
        <v/>
      </c>
      <c r="I73" s="30">
        <f>IF(F73&gt;0, G73/F73, IF(G73&gt;0, 1.0, 0.0))</f>
        <v/>
      </c>
      <c r="J73" s="31" t="inlineStr">
        <is>
          <t>Cierre según previsto</t>
        </is>
      </c>
      <c r="K73" s="27" t="n">
        <v>300</v>
      </c>
      <c r="L73" s="32" t="n">
        <v>300</v>
      </c>
      <c r="M73" s="27" t="n">
        <v>0</v>
      </c>
      <c r="N73" s="32" t="n">
        <v>0</v>
      </c>
      <c r="O73" s="27">
        <f>F73+K73+M73</f>
        <v/>
      </c>
      <c r="P73" s="32">
        <f>F73+L73+N73</f>
        <v/>
      </c>
      <c r="Q73" s="33">
        <f>P73-O73</f>
        <v/>
      </c>
      <c r="R73" s="34" t="inlineStr"/>
    </row>
    <row r="74" ht="19" customHeight="1">
      <c r="B74" s="24" t="inlineStr">
        <is>
          <t>ESPAÑA</t>
        </is>
      </c>
      <c r="C74" s="25" t="inlineStr">
        <is>
          <t>SUCA, S.C.A.</t>
        </is>
      </c>
      <c r="D74" s="26" t="inlineStr">
        <is>
          <t>AGXK0020</t>
        </is>
      </c>
      <c r="E74" s="25" t="inlineStr">
        <is>
          <t>AGROXILATO-K, 20 L</t>
        </is>
      </c>
      <c r="F74" s="27" t="n">
        <v>2560</v>
      </c>
      <c r="G74" s="28" t="n">
        <v>640</v>
      </c>
      <c r="H74" s="29">
        <f>ABS(G74-F74)</f>
        <v/>
      </c>
      <c r="I74" s="30">
        <f>IF(F74&gt;0, G74/F74, IF(G74&gt;0, 1.0, 0.0))</f>
        <v/>
      </c>
      <c r="J74" s="31" t="inlineStr"/>
      <c r="K74" s="27" t="n">
        <v>1280</v>
      </c>
      <c r="L74" s="32" t="n">
        <v>1280</v>
      </c>
      <c r="M74" s="27" t="n">
        <v>1280</v>
      </c>
      <c r="N74" s="32" t="n">
        <v>1280</v>
      </c>
      <c r="O74" s="27">
        <f>F74+K74+M74</f>
        <v/>
      </c>
      <c r="P74" s="32">
        <f>F74+L74+N74</f>
        <v/>
      </c>
      <c r="Q74" s="33">
        <f>P74-O74</f>
        <v/>
      </c>
      <c r="R74" s="34" t="inlineStr"/>
    </row>
    <row r="75" ht="19" customHeight="1">
      <c r="B75" s="35" t="inlineStr">
        <is>
          <t>ESPAÑA</t>
        </is>
      </c>
      <c r="C75" s="36" t="inlineStr">
        <is>
          <t>SUCA, S.C.A.</t>
        </is>
      </c>
      <c r="D75" s="37" t="inlineStr">
        <is>
          <t>AGXK0200</t>
        </is>
      </c>
      <c r="E75" s="36" t="inlineStr">
        <is>
          <t>AGROXILATO-K, 200 L</t>
        </is>
      </c>
      <c r="F75" s="27" t="n">
        <v>0</v>
      </c>
      <c r="G75" s="38" t="n">
        <v>0</v>
      </c>
      <c r="H75" s="29">
        <f>ABS(G75-F75)</f>
        <v/>
      </c>
      <c r="I75" s="30">
        <f>IF(F75&gt;0, G75/F75, IF(G75&gt;0, 1.0, 0.0))</f>
        <v/>
      </c>
      <c r="J75" s="31" t="inlineStr"/>
      <c r="K75" s="27" t="n">
        <v>0</v>
      </c>
      <c r="L75" s="32" t="n">
        <v>0</v>
      </c>
      <c r="M75" s="27" t="n">
        <v>200</v>
      </c>
      <c r="N75" s="32" t="n">
        <v>200</v>
      </c>
      <c r="O75" s="27">
        <f>F75+K75+M75</f>
        <v/>
      </c>
      <c r="P75" s="32">
        <f>F75+L75+N75</f>
        <v/>
      </c>
      <c r="Q75" s="33">
        <f>P75-O75</f>
        <v/>
      </c>
      <c r="R75" s="34" t="inlineStr"/>
    </row>
    <row r="76" ht="19" customHeight="1">
      <c r="B76" s="24" t="inlineStr">
        <is>
          <t>ESPAÑA</t>
        </is>
      </c>
      <c r="C76" s="25" t="inlineStr">
        <is>
          <t>SUCA, S.C.A.</t>
        </is>
      </c>
      <c r="D76" s="26" t="inlineStr">
        <is>
          <t>AVAN0020</t>
        </is>
      </c>
      <c r="E76" s="25" t="inlineStr">
        <is>
          <t>FLORAMEC AVANCE, 20 L</t>
        </is>
      </c>
      <c r="F76" s="27" t="n">
        <v>0</v>
      </c>
      <c r="G76" s="28" t="n">
        <v>0</v>
      </c>
      <c r="H76" s="29">
        <f>ABS(G76-F76)</f>
        <v/>
      </c>
      <c r="I76" s="30">
        <f>IF(F76&gt;0, G76/F76, IF(G76&gt;0, 1.0, 0.0))</f>
        <v/>
      </c>
      <c r="J76" s="31" t="inlineStr"/>
      <c r="K76" s="27" t="n">
        <v>0</v>
      </c>
      <c r="L76" s="32" t="n">
        <v>0</v>
      </c>
      <c r="M76" s="27" t="n">
        <v>200</v>
      </c>
      <c r="N76" s="32" t="n">
        <v>200</v>
      </c>
      <c r="O76" s="27">
        <f>F76+K76+M76</f>
        <v/>
      </c>
      <c r="P76" s="32">
        <f>F76+L76+N76</f>
        <v/>
      </c>
      <c r="Q76" s="33">
        <f>P76-O76</f>
        <v/>
      </c>
      <c r="R76" s="34" t="inlineStr"/>
    </row>
    <row r="77" ht="24" customHeight="1">
      <c r="B77" s="39" t="inlineStr">
        <is>
          <t>TOTAL CONSOLIDADO - IRENE (UNIDADES)</t>
        </is>
      </c>
      <c r="C77" s="40" t="n"/>
      <c r="D77" s="40" t="n"/>
      <c r="E77" s="40" t="n"/>
      <c r="F77" s="41">
        <f>SUM(F10:F76)</f>
        <v/>
      </c>
      <c r="G77" s="41">
        <f>SUM(G10:G76)</f>
        <v/>
      </c>
      <c r="H77" s="41">
        <f>SUM(H10:H76)</f>
        <v/>
      </c>
      <c r="I77" s="42">
        <f>IF(F77&gt;0, G77/F77, 1.0)</f>
        <v/>
      </c>
      <c r="J77" s="43" t="n"/>
      <c r="K77" s="41">
        <f>SUM(K10:K76)</f>
        <v/>
      </c>
      <c r="L77" s="41">
        <f>SUM(L10:L76)</f>
        <v/>
      </c>
      <c r="M77" s="41">
        <f>SUM(M10:M76)</f>
        <v/>
      </c>
      <c r="N77" s="41">
        <f>SUM(N10:N76)</f>
        <v/>
      </c>
      <c r="O77" s="41">
        <f>SUM(O10:O76)</f>
        <v/>
      </c>
      <c r="P77" s="41">
        <f>SUM(P10:P76)</f>
        <v/>
      </c>
      <c r="Q77" s="44">
        <f>SUM(Q10:Q76)</f>
        <v/>
      </c>
      <c r="R77" s="43" t="n"/>
    </row>
  </sheetData>
  <mergeCells count="20">
    <mergeCell ref="B4:R4"/>
    <mergeCell ref="J6:L6"/>
    <mergeCell ref="O8:R8"/>
    <mergeCell ref="B3:R3"/>
    <mergeCell ref="M6:O6"/>
    <mergeCell ref="E6:G6"/>
    <mergeCell ref="H6:I6"/>
    <mergeCell ref="B2:R2"/>
    <mergeCell ref="B6:D6"/>
    <mergeCell ref="F8:J8"/>
    <mergeCell ref="B5:D5"/>
    <mergeCell ref="P5:R5"/>
    <mergeCell ref="B77:E77"/>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J54 J55 J56 J57 J58 J59 J60 J61 J62 J63 J64 J65 J66 J67 J68 J69 J70 J71 J72 J73 J74 J75 J76"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2026-10-27T13:04:47Z</dcterms:created>
  <dcterms:modified xmlns:dcterms="http://purl.org/dc/terms/" xmlns:xsi="http://www.w3.org/2001/XMLSchema-instance" xsi:type="dcterms:W3CDTF">2026-10-27T13:04:47Z</dcterms:modified>
</cp:coreProperties>
</file>