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Mensua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\-#,##0.00;&quot;-&quot;"/>
    <numFmt numFmtId="165" formatCode="yyyy-mm-dd h:mm:ss"/>
    <numFmt numFmtId="166" formatCode="yyyy\-mm\-dd\ h:mm:ss"/>
    <numFmt numFmtId="167" formatCode="#,##0.00;[Red]-#,##0.00;&quot;-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/>
    <row r="2">
      <c r="K2" s="1">
        <f>SUBTOTAL(9,K4:K205)</f>
        <v/>
      </c>
      <c r="L2" s="1">
        <f>SUBTOTAL(9,L4:L205)</f>
        <v/>
      </c>
      <c r="M2" s="1">
        <f>SUBTOTAL(9,M4:M205)</f>
        <v/>
      </c>
      <c r="N2" s="1">
        <f>SUBTOTAL(9,N4:N205)</f>
        <v/>
      </c>
      <c r="O2" s="1">
        <f>SUBTOTAL(9,O4:O205)</f>
        <v/>
      </c>
      <c r="P2" s="1">
        <f>SUBTOTAL(9,P4:P205)</f>
        <v/>
      </c>
      <c r="Q2" s="1">
        <f>SUBTOTAL(9,Q4:Q205)</f>
        <v/>
      </c>
      <c r="R2" s="1">
        <f>SUBTOTAL(9,R4:R205)</f>
        <v/>
      </c>
      <c r="S2" s="1">
        <f>SUBTOTAL(9,S4:S205)</f>
        <v/>
      </c>
      <c r="T2" s="1">
        <f>SUBTOTAL(9,T4:T205)</f>
        <v/>
      </c>
      <c r="U2" s="1">
        <f>SUBTOTAL(9,U4:U205)</f>
        <v/>
      </c>
      <c r="V2" s="1">
        <f>SUBTOTAL(9,V4:V205)</f>
        <v/>
      </c>
      <c r="W2" s="1">
        <f>SUBTOTAL(9,W4:W205)</f>
        <v/>
      </c>
    </row>
    <row r="3">
      <c r="B3" t="inlineStr">
        <is>
          <t>Periodo</t>
        </is>
      </c>
      <c r="C3" t="inlineStr">
        <is>
          <t>Empresa</t>
        </is>
      </c>
      <c r="D3" t="inlineStr">
        <is>
          <t>Nivel 1</t>
        </is>
      </c>
      <c r="E3" t="inlineStr">
        <is>
          <t>Nivel 2</t>
        </is>
      </c>
      <c r="F3" t="inlineStr">
        <is>
          <t>Nivel 3</t>
        </is>
      </c>
      <c r="G3" t="inlineStr">
        <is>
          <t>Nivel 4</t>
        </is>
      </c>
      <c r="H3" t="inlineStr">
        <is>
          <t>Nivel 5</t>
        </is>
      </c>
      <c r="I3" t="inlineStr">
        <is>
          <t>Cuenta</t>
        </is>
      </c>
      <c r="J3" t="inlineStr">
        <is>
          <t>Grupo Ext Item</t>
        </is>
      </c>
      <c r="K3" s="2" t="n">
        <v>46388</v>
      </c>
      <c r="L3" s="2" t="n">
        <v>46419</v>
      </c>
      <c r="M3" s="2" t="n">
        <v>46447</v>
      </c>
      <c r="N3" s="2" t="n">
        <v>46478</v>
      </c>
      <c r="O3" s="2" t="n">
        <v>46508</v>
      </c>
      <c r="P3" s="2" t="n">
        <v>46539</v>
      </c>
      <c r="Q3" s="2" t="n">
        <v>46569</v>
      </c>
      <c r="R3" s="2" t="n">
        <v>46600</v>
      </c>
      <c r="S3" s="2" t="n">
        <v>46631</v>
      </c>
      <c r="T3" s="2" t="n">
        <v>46661</v>
      </c>
      <c r="U3" s="2" t="n">
        <v>46692</v>
      </c>
      <c r="V3" s="2" t="n">
        <v>46722</v>
      </c>
      <c r="W3" t="inlineStr">
        <is>
          <t>Total 2027</t>
        </is>
      </c>
      <c r="X3" t="inlineStr">
        <is>
          <t>Criterio Previsión (2027 - V5)</t>
        </is>
      </c>
    </row>
    <row r="4">
      <c r="B4" t="n">
        <v>2027</v>
      </c>
      <c r="C4" t="inlineStr">
        <is>
          <t>Codiagro</t>
        </is>
      </c>
      <c r="D4" t="inlineStr">
        <is>
          <t>RESULTADO DEL EJERCICIO</t>
        </is>
      </c>
      <c r="E4" t="inlineStr">
        <is>
          <t>RESULTADO ANTES DE IMPUESTOS</t>
        </is>
      </c>
      <c r="F4" t="inlineStr">
        <is>
          <t>RESULTADO DE LA EXPLOTACION</t>
        </is>
      </c>
      <c r="G4" t="inlineStr">
        <is>
          <t>1.- Importe neto de la cifra de negocios</t>
        </is>
      </c>
      <c r="H4" t="inlineStr">
        <is>
          <t>(700) Ventas</t>
        </is>
      </c>
      <c r="I4" t="inlineStr">
        <is>
          <t>700000000 - Ventas de mercaderías</t>
        </is>
      </c>
      <c r="J4" t="inlineStr">
        <is>
          <t>-</t>
        </is>
      </c>
      <c r="K4" s="1" t="n">
        <v>1143732.5</v>
      </c>
      <c r="L4" s="1" t="n">
        <v>1852641.27</v>
      </c>
      <c r="M4" s="1" t="n">
        <v>1777134.1</v>
      </c>
      <c r="N4" s="1" t="n">
        <v>1430751.84</v>
      </c>
      <c r="O4" s="1" t="n">
        <v>2349031.43</v>
      </c>
      <c r="P4" s="1" t="n">
        <v>2329483.75</v>
      </c>
      <c r="Q4" s="1" t="n">
        <v>1477982.31</v>
      </c>
      <c r="R4" s="1" t="n">
        <v>943221.27</v>
      </c>
      <c r="S4" s="1" t="n">
        <v>547896.1800000001</v>
      </c>
      <c r="T4" s="1" t="n">
        <v>916296.91</v>
      </c>
      <c r="U4" s="1" t="n">
        <v>1416366.81</v>
      </c>
      <c r="V4" s="1" t="n">
        <v>1553621.92</v>
      </c>
      <c r="W4" s="1">
        <f>SUM(K4:V4)</f>
        <v/>
      </c>
      <c r="X4" t="inlineStr">
        <is>
          <t>Presupuesto de Ventas 2027 oficial: unidades presupuestadas x precios medios por SKU y cliente (Total 17.738.160,29 €).</t>
        </is>
      </c>
    </row>
    <row r="5">
      <c r="B5" t="n">
        <v>2027</v>
      </c>
      <c r="C5" t="inlineStr">
        <is>
          <t>Codiagro</t>
        </is>
      </c>
      <c r="D5" t="inlineStr">
        <is>
          <t>RESULTADO DEL EJERCICIO</t>
        </is>
      </c>
      <c r="E5" t="inlineStr">
        <is>
          <t>RESULTADO ANTES DE IMPUESTOS</t>
        </is>
      </c>
      <c r="F5" t="inlineStr">
        <is>
          <t>RESULTADO DE LA EXPLOTACION</t>
        </is>
      </c>
      <c r="G5" t="inlineStr">
        <is>
          <t>1.- Importe neto de la cifra de negocios</t>
        </is>
      </c>
      <c r="H5" t="inlineStr">
        <is>
          <t>(700) Ventas</t>
        </is>
      </c>
      <c r="I5" t="inlineStr">
        <is>
          <t>700000001 - VENTA MERCADERIAS POR ANTICIPO</t>
        </is>
      </c>
      <c r="J5" t="inlineStr">
        <is>
          <t>-</t>
        </is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>
        <f>SUM(K5:V5)</f>
        <v/>
      </c>
      <c r="X5" t="inlineStr">
        <is>
          <t>Sin dotación presupuestada en 2027 por corresponder a partidas singulares/no recurrentes.</t>
        </is>
      </c>
    </row>
    <row r="6">
      <c r="B6" t="n">
        <v>2027</v>
      </c>
      <c r="C6" t="inlineStr">
        <is>
          <t>Codiagro</t>
        </is>
      </c>
      <c r="D6" t="inlineStr">
        <is>
          <t>RESULTADO DEL EJERCICIO</t>
        </is>
      </c>
      <c r="E6" t="inlineStr">
        <is>
          <t>RESULTADO ANTES DE IMPUESTOS</t>
        </is>
      </c>
      <c r="F6" t="inlineStr">
        <is>
          <t>RESULTADO DE LA EXPLOTACION</t>
        </is>
      </c>
      <c r="G6" t="inlineStr">
        <is>
          <t>1.- Importe neto de la cifra de negocios</t>
        </is>
      </c>
      <c r="H6" t="inlineStr">
        <is>
          <t>(700) Ventas</t>
        </is>
      </c>
      <c r="I6" t="inlineStr">
        <is>
          <t>700000624 - VENTA POR TRANSP. REP. AL CLIENTE</t>
        </is>
      </c>
      <c r="J6" t="inlineStr">
        <is>
          <t>-</t>
        </is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>
        <f>SUM(K6:V6)</f>
        <v/>
      </c>
      <c r="X6" t="inlineStr">
        <is>
          <t>Sin dotación presupuestada en 2027 por corresponder a partidas singulares/no recurrentes.</t>
        </is>
      </c>
    </row>
    <row r="7">
      <c r="B7" t="n">
        <v>2027</v>
      </c>
      <c r="C7" t="inlineStr">
        <is>
          <t>Codiagro</t>
        </is>
      </c>
      <c r="D7" t="inlineStr">
        <is>
          <t>RESULTADO DEL EJERCICIO</t>
        </is>
      </c>
      <c r="E7" t="inlineStr">
        <is>
          <t>RESULTADO ANTES DE IMPUESTOS</t>
        </is>
      </c>
      <c r="F7" t="inlineStr">
        <is>
          <t>RESULTADO DE LA EXPLOTACION</t>
        </is>
      </c>
      <c r="G7" t="inlineStr">
        <is>
          <t>5.- Otros ingresos de explotación</t>
        </is>
      </c>
      <c r="H7" t="inlineStr">
        <is>
          <t>(700) Ventas</t>
        </is>
      </c>
      <c r="I7" t="inlineStr">
        <is>
          <t>700001624 - VENTA POR TRANSPORTE REP. AL CLIENTE DEFINITIVO</t>
        </is>
      </c>
      <c r="J7" t="inlineStr">
        <is>
          <t>-</t>
        </is>
      </c>
      <c r="K7" s="1" t="n">
        <v>12581.06</v>
      </c>
      <c r="L7" s="1" t="n">
        <v>20379.05</v>
      </c>
      <c r="M7" s="1" t="n">
        <v>19548.48</v>
      </c>
      <c r="N7" s="1" t="n">
        <v>15738.27</v>
      </c>
      <c r="O7" s="1" t="n">
        <v>25839.35</v>
      </c>
      <c r="P7" s="1" t="n">
        <v>25624.32</v>
      </c>
      <c r="Q7" s="1" t="n">
        <v>16257.81</v>
      </c>
      <c r="R7" s="1" t="n">
        <v>10375.43</v>
      </c>
      <c r="S7" s="1" t="n">
        <v>6026.86</v>
      </c>
      <c r="T7" s="1" t="n">
        <v>10079.27</v>
      </c>
      <c r="U7" s="1" t="n">
        <v>15580.03</v>
      </c>
      <c r="V7" s="1" t="n">
        <v>17089.84</v>
      </c>
      <c r="W7" s="1">
        <f>SUM(K7:V7)</f>
        <v/>
      </c>
      <c r="X7" t="inlineStr">
        <is>
          <t>Variable según volumen de ventas y fletes repercutidos al cliente (1,10% s/ventas presupuestadas).</t>
        </is>
      </c>
    </row>
    <row r="8">
      <c r="B8" t="n">
        <v>2027</v>
      </c>
      <c r="C8" t="inlineStr">
        <is>
          <t>Codiagro</t>
        </is>
      </c>
      <c r="D8" t="inlineStr">
        <is>
          <t>RESULTADO DEL EJERCICIO</t>
        </is>
      </c>
      <c r="E8" t="inlineStr">
        <is>
          <t>RESULTADO ANTES DE IMPUESTOS</t>
        </is>
      </c>
      <c r="F8" t="inlineStr">
        <is>
          <t>RESULTADO DE LA EXPLOTACION</t>
        </is>
      </c>
      <c r="G8" t="inlineStr">
        <is>
          <t>1.- Importe neto de la cifra de negocios</t>
        </is>
      </c>
      <c r="H8" t="inlineStr">
        <is>
          <t>(700) Ventas</t>
        </is>
      </c>
      <c r="I8" t="inlineStr">
        <is>
          <t>700000769 - INGRESOS POR RETRASOS DE COBRO Y ACTUALIZACION</t>
        </is>
      </c>
      <c r="J8" t="inlineStr">
        <is>
          <t>-</t>
        </is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>
        <f>SUM(K8:V8)</f>
        <v/>
      </c>
      <c r="X8" t="inlineStr">
        <is>
          <t>Sin dotación presupuestada en 2027 por corresponder a partidas singulares/no recurrentes.</t>
        </is>
      </c>
    </row>
    <row r="9">
      <c r="B9" t="n">
        <v>2027</v>
      </c>
      <c r="C9" t="inlineStr">
        <is>
          <t>Codiagro</t>
        </is>
      </c>
      <c r="D9" t="inlineStr">
        <is>
          <t>RESULTADO DEL EJERCICIO</t>
        </is>
      </c>
      <c r="E9" t="inlineStr">
        <is>
          <t>RESULTADO ANTES DE IMPUESTOS</t>
        </is>
      </c>
      <c r="F9" t="inlineStr">
        <is>
          <t>RESULTADO FINANCIERO</t>
        </is>
      </c>
      <c r="G9" t="inlineStr">
        <is>
          <t>14.- Ingresos financieros</t>
        </is>
      </c>
      <c r="H9" t="inlineStr">
        <is>
          <t>(700) Ventas</t>
        </is>
      </c>
      <c r="I9" t="inlineStr">
        <is>
          <t>700000769 - INGRESOS POR RETRASOS DE COBRO Y ACTUALIZACION</t>
        </is>
      </c>
      <c r="J9" t="inlineStr">
        <is>
          <t>-</t>
        </is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>
        <f>SUM(K9:V9)</f>
        <v/>
      </c>
      <c r="X9" t="inlineStr">
        <is>
          <t>Sin dotación presupuestada en 2027 por corresponder a partidas singulares/no recurrentes.</t>
        </is>
      </c>
    </row>
    <row r="10">
      <c r="B10" t="n">
        <v>2027</v>
      </c>
      <c r="C10" t="inlineStr">
        <is>
          <t>Codiagro</t>
        </is>
      </c>
      <c r="D10" t="inlineStr">
        <is>
          <t>RESULTADO DEL EJERCICIO</t>
        </is>
      </c>
      <c r="E10" t="inlineStr">
        <is>
          <t>RESULTADO ANTES DE IMPUESTOS</t>
        </is>
      </c>
      <c r="F10" t="inlineStr">
        <is>
          <t>RESULTADO DE LA EXPLOTACION</t>
        </is>
      </c>
      <c r="G10" t="inlineStr">
        <is>
          <t>1.- Importe neto de la cifra de negocios</t>
        </is>
      </c>
      <c r="H10" t="inlineStr">
        <is>
          <t>(702) Ventas de productos semiterminados</t>
        </is>
      </c>
      <c r="I10" t="inlineStr">
        <is>
          <t>702000000 - Ventas de productos semiterminados</t>
        </is>
      </c>
      <c r="J10" t="inlineStr">
        <is>
          <t>-</t>
        </is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>
        <f>SUM(K10:V10)</f>
        <v/>
      </c>
      <c r="X10" t="inlineStr">
        <is>
          <t>Sin dotación presupuestada en 2027 por corresponder a partidas singulares/no recurrentes.</t>
        </is>
      </c>
    </row>
    <row r="11">
      <c r="B11" t="n">
        <v>2027</v>
      </c>
      <c r="C11" t="inlineStr">
        <is>
          <t>Codiagro</t>
        </is>
      </c>
      <c r="D11" t="inlineStr">
        <is>
          <t>RESULTADO DEL EJERCICIO</t>
        </is>
      </c>
      <c r="E11" t="inlineStr">
        <is>
          <t>RESULTADO ANTES DE IMPUESTOS</t>
        </is>
      </c>
      <c r="F11" t="inlineStr">
        <is>
          <t>RESULTADO DE LA EXPLOTACION</t>
        </is>
      </c>
      <c r="G11" t="inlineStr">
        <is>
          <t>1.- Importe neto de la cifra de negocios</t>
        </is>
      </c>
      <c r="H11" t="inlineStr">
        <is>
          <t>(703) Ventas por subproductos y residuos</t>
        </is>
      </c>
      <c r="I11" t="inlineStr">
        <is>
          <t>703000000 - Ventas de subproductos y residuos</t>
        </is>
      </c>
      <c r="J11" t="inlineStr">
        <is>
          <t>-</t>
        </is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>
        <f>SUM(K11:V11)</f>
        <v/>
      </c>
      <c r="X11" t="inlineStr">
        <is>
          <t>Sin dotación presupuestada en 2027 por corresponder a partidas singulares/no recurrentes.</t>
        </is>
      </c>
    </row>
    <row r="12">
      <c r="B12" t="n">
        <v>2027</v>
      </c>
      <c r="C12" t="inlineStr">
        <is>
          <t>Codiagro</t>
        </is>
      </c>
      <c r="D12" t="inlineStr">
        <is>
          <t>RESULTADO DEL EJERCICIO</t>
        </is>
      </c>
      <c r="E12" t="inlineStr">
        <is>
          <t>RESULTADO ANTES DE IMPUESTOS</t>
        </is>
      </c>
      <c r="F12" t="inlineStr">
        <is>
          <t>RESULTADO DE LA EXPLOTACION</t>
        </is>
      </c>
      <c r="G12" t="inlineStr">
        <is>
          <t>1.- Importe neto de la cifra de negocios</t>
        </is>
      </c>
      <c r="H12" t="inlineStr">
        <is>
          <t>(704) Venta de envases y embalajes</t>
        </is>
      </c>
      <c r="I12" t="inlineStr">
        <is>
          <t>704000000 - Ventas de envases y embalajes</t>
        </is>
      </c>
      <c r="J12" t="inlineStr">
        <is>
          <t>-</t>
        </is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>
        <f>SUM(K12:V12)</f>
        <v/>
      </c>
      <c r="X12" t="inlineStr">
        <is>
          <t>Sin dotación presupuestada en 2027 por corresponder a partidas singulares/no recurrentes.</t>
        </is>
      </c>
    </row>
    <row r="13">
      <c r="B13" t="n">
        <v>2027</v>
      </c>
      <c r="C13" t="inlineStr">
        <is>
          <t>Codiagro</t>
        </is>
      </c>
      <c r="D13" t="inlineStr">
        <is>
          <t>RESULTADO DEL EJERCICIO</t>
        </is>
      </c>
      <c r="E13" t="inlineStr">
        <is>
          <t>RESULTADO ANTES DE IMPUESTOS</t>
        </is>
      </c>
      <c r="F13" t="inlineStr">
        <is>
          <t>RESULTADO DE LA EXPLOTACION</t>
        </is>
      </c>
      <c r="G13" t="inlineStr">
        <is>
          <t>1.- Importe neto de la cifra de negocios</t>
        </is>
      </c>
      <c r="H13" t="inlineStr">
        <is>
          <t>(705) Prestación de servicios</t>
        </is>
      </c>
      <c r="I13" t="inlineStr">
        <is>
          <t>705000000 - Prestaciones de servicios</t>
        </is>
      </c>
      <c r="J13" t="inlineStr">
        <is>
          <t>-</t>
        </is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>
        <f>SUM(K13:V13)</f>
        <v/>
      </c>
      <c r="X13" t="inlineStr">
        <is>
          <t>Sin dotación presupuestada en 2027 por corresponder a partidas singulares/no recurrentes.</t>
        </is>
      </c>
    </row>
    <row r="14">
      <c r="B14" t="n">
        <v>2027</v>
      </c>
      <c r="C14" t="inlineStr">
        <is>
          <t>Codiagro</t>
        </is>
      </c>
      <c r="D14" t="inlineStr">
        <is>
          <t>RESULTADO DEL EJERCICIO</t>
        </is>
      </c>
      <c r="E14" t="inlineStr">
        <is>
          <t>RESULTADO ANTES DE IMPUESTOS</t>
        </is>
      </c>
      <c r="F14" t="inlineStr">
        <is>
          <t>RESULTADO DE LA EXPLOTACION</t>
        </is>
      </c>
      <c r="G14" t="inlineStr">
        <is>
          <t>1.- Importe neto de la cifra de negocios</t>
        </is>
      </c>
      <c r="H14" t="inlineStr">
        <is>
          <t>(705) Prestación de servicios</t>
        </is>
      </c>
      <c r="I14" t="inlineStr">
        <is>
          <t>705000001 - INGRESO POR GESTIÓN DE ENVASES</t>
        </is>
      </c>
      <c r="J14" t="inlineStr">
        <is>
          <t>-</t>
        </is>
      </c>
      <c r="K14" s="1" t="n">
        <v>2221.91</v>
      </c>
      <c r="L14" s="1" t="n">
        <v>3599.09</v>
      </c>
      <c r="M14" s="1" t="n">
        <v>3452.4</v>
      </c>
      <c r="N14" s="1" t="n">
        <v>2779.49</v>
      </c>
      <c r="O14" s="1" t="n">
        <v>4563.41</v>
      </c>
      <c r="P14" s="1" t="n">
        <v>4525.44</v>
      </c>
      <c r="Q14" s="1" t="n">
        <v>2871.25</v>
      </c>
      <c r="R14" s="1" t="n">
        <v>1832.38</v>
      </c>
      <c r="S14" s="1" t="n">
        <v>1064.39</v>
      </c>
      <c r="T14" s="1" t="n">
        <v>1780.07</v>
      </c>
      <c r="U14" s="1" t="n">
        <v>2751.55</v>
      </c>
      <c r="V14" s="1" t="n">
        <v>3018.19</v>
      </c>
      <c r="W14" s="1">
        <f>SUM(K14:V14)</f>
        <v/>
      </c>
      <c r="X14" t="inlineStr">
        <is>
          <t>Ingreso por gestión de envases 2027 indexado al volumen de ventas y tarifas de envasado.</t>
        </is>
      </c>
    </row>
    <row r="15">
      <c r="B15" t="n">
        <v>2027</v>
      </c>
      <c r="C15" t="inlineStr">
        <is>
          <t>Codiagro</t>
        </is>
      </c>
      <c r="D15" t="inlineStr">
        <is>
          <t>RESULTADO DEL EJERCICIO</t>
        </is>
      </c>
      <c r="E15" t="inlineStr">
        <is>
          <t>RESULTADO ANTES DE IMPUESTOS</t>
        </is>
      </c>
      <c r="F15" t="inlineStr">
        <is>
          <t>RESULTADO DE LA EXPLOTACION</t>
        </is>
      </c>
      <c r="G15" t="inlineStr">
        <is>
          <t>1.- Importe neto de la cifra de negocios</t>
        </is>
      </c>
      <c r="H15" t="inlineStr">
        <is>
          <t>(706) Dto. s/vtas p.p.</t>
        </is>
      </c>
      <c r="I15" t="inlineStr">
        <is>
          <t>706000000 - Dtos. ventas por pronto pago mercaderías</t>
        </is>
      </c>
      <c r="J15" t="inlineStr">
        <is>
          <t>-</t>
        </is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>
        <f>SUM(K15:V15)</f>
        <v/>
      </c>
      <c r="X15" t="inlineStr">
        <is>
          <t>Sin dotación presupuestada en 2027 por corresponder a partidas singulares/no recurrentes.</t>
        </is>
      </c>
    </row>
    <row r="16">
      <c r="B16" t="n">
        <v>2027</v>
      </c>
      <c r="C16" t="inlineStr">
        <is>
          <t>Codiagro</t>
        </is>
      </c>
      <c r="D16" t="inlineStr">
        <is>
          <t>RESULTADO DEL EJERCICIO</t>
        </is>
      </c>
      <c r="E16" t="inlineStr">
        <is>
          <t>RESULTADO ANTES DE IMPUESTOS</t>
        </is>
      </c>
      <c r="F16" t="inlineStr">
        <is>
          <t>RESULTADO DE LA EXPLOTACION</t>
        </is>
      </c>
      <c r="G16" t="inlineStr">
        <is>
          <t>1.- Importe neto de la cifra de negocios</t>
        </is>
      </c>
      <c r="H16" t="inlineStr">
        <is>
          <t>(709) Bonificaciones s/ventas</t>
        </is>
      </c>
      <c r="I16" t="inlineStr">
        <is>
          <t>709000000 - «Rappels» ventas de mercaderías</t>
        </is>
      </c>
      <c r="J16" t="inlineStr">
        <is>
          <t>-</t>
        </is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>
        <f>SUM(K16:V16)</f>
        <v/>
      </c>
      <c r="X16" t="inlineStr">
        <is>
          <t>Sin dotación presupuestada en 2027 por corresponder a partidas singulares/no recurrentes.</t>
        </is>
      </c>
    </row>
    <row r="17">
      <c r="B17" t="n">
        <v>2027</v>
      </c>
      <c r="C17" t="inlineStr">
        <is>
          <t>Codiagro</t>
        </is>
      </c>
      <c r="D17" t="inlineStr">
        <is>
          <t>RESULTADO DEL EJERCICIO</t>
        </is>
      </c>
      <c r="E17" t="inlineStr">
        <is>
          <t>RESULTADO ANTES DE IMPUESTOS</t>
        </is>
      </c>
      <c r="F17" t="inlineStr">
        <is>
          <t>RESULTADO DE LA EXPLOTACION</t>
        </is>
      </c>
      <c r="G17" t="inlineStr">
        <is>
          <t>1.- Importe neto de la cifra de negocios</t>
        </is>
      </c>
      <c r="H17" t="inlineStr">
        <is>
          <t>(709) Bonificaciones s/ventas</t>
        </is>
      </c>
      <c r="I17" t="inlineStr">
        <is>
          <t>709000001 - PROVISION RAPPELS</t>
        </is>
      </c>
      <c r="J17" t="inlineStr">
        <is>
          <t>-</t>
        </is>
      </c>
      <c r="K17" s="1" t="n">
        <v>0</v>
      </c>
      <c r="L17" s="1" t="n">
        <v>-95000</v>
      </c>
      <c r="M17" s="1" t="n">
        <v>0</v>
      </c>
      <c r="N17" s="1" t="n">
        <v>0</v>
      </c>
      <c r="O17" s="1" t="n">
        <v>0</v>
      </c>
      <c r="P17" s="1" t="n">
        <v>-60000</v>
      </c>
      <c r="Q17" s="1" t="n">
        <v>0</v>
      </c>
      <c r="R17" s="1" t="n">
        <v>-20000</v>
      </c>
      <c r="S17" s="1" t="n">
        <v>0</v>
      </c>
      <c r="T17" s="1" t="n">
        <v>0</v>
      </c>
      <c r="U17" s="1" t="n">
        <v>0</v>
      </c>
      <c r="V17" s="1" t="n">
        <v>-214116</v>
      </c>
      <c r="W17" s="1">
        <f>SUM(K17:V17)</f>
        <v/>
      </c>
      <c r="X17" t="inlineStr">
        <is>
          <t>Provisión de rappels comerciales 2027 (2,19% s/ventas = -389.116,00 €) devengada trimestralmente y regularizada a cierre anual.</t>
        </is>
      </c>
    </row>
    <row r="18">
      <c r="B18" t="n">
        <v>2027</v>
      </c>
      <c r="C18" t="inlineStr">
        <is>
          <t>Codiagro</t>
        </is>
      </c>
      <c r="D18" t="inlineStr">
        <is>
          <t>RESULTADO DEL EJERCICIO</t>
        </is>
      </c>
      <c r="E18" t="inlineStr">
        <is>
          <t>RESULTADO ANTES DE IMPUESTOS</t>
        </is>
      </c>
      <c r="F18" t="inlineStr">
        <is>
          <t>RESULTADO DE LA EXPLOTACION</t>
        </is>
      </c>
      <c r="G18" t="inlineStr">
        <is>
          <t>11.- Deterioro y resultado por enajenaciones del inmovilizado</t>
        </is>
      </c>
      <c r="H18" t="inlineStr">
        <is>
          <t>(771) Beneficios procedentes IM</t>
        </is>
      </c>
      <c r="I18" t="inlineStr">
        <is>
          <t>771000000 - Beneficios del inmovilizado material</t>
        </is>
      </c>
      <c r="J18" t="inlineStr">
        <is>
          <t>-</t>
        </is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>
        <f>SUM(K18:V18)</f>
        <v/>
      </c>
      <c r="X18" t="inlineStr">
        <is>
          <t>Sin dotación presupuestada en 2027 por corresponder a partidas singulares/no recurrentes.</t>
        </is>
      </c>
    </row>
    <row r="19">
      <c r="B19" t="n">
        <v>2027</v>
      </c>
      <c r="C19" t="inlineStr">
        <is>
          <t>Codiagro</t>
        </is>
      </c>
      <c r="D19" t="inlineStr">
        <is>
          <t>RESULTADO DEL EJERCICIO</t>
        </is>
      </c>
      <c r="E19" t="inlineStr">
        <is>
          <t>RESULTADO ANTES DE IMPUESTOS</t>
        </is>
      </c>
      <c r="F19" t="inlineStr">
        <is>
          <t>RESULTADO DE LA EXPLOTACION</t>
        </is>
      </c>
      <c r="G19" t="inlineStr">
        <is>
          <t>13.- Otros resultados</t>
        </is>
      </c>
      <c r="H19" t="inlineStr">
        <is>
          <t>(678) Gastos excepcionales PGC 2008</t>
        </is>
      </c>
      <c r="I19" t="inlineStr">
        <is>
          <t>678000000 - Gastos excepcionales</t>
        </is>
      </c>
      <c r="J19" t="inlineStr">
        <is>
          <t>-</t>
        </is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>
        <f>SUM(K19:V19)</f>
        <v/>
      </c>
      <c r="X19" t="inlineStr">
        <is>
          <t>Sin dotación presupuestada en 2027 por corresponder a partidas singulares/no recurrentes.</t>
        </is>
      </c>
    </row>
    <row r="20">
      <c r="B20" t="n">
        <v>2027</v>
      </c>
      <c r="C20" t="inlineStr">
        <is>
          <t>Codiagro</t>
        </is>
      </c>
      <c r="D20" t="inlineStr">
        <is>
          <t>RESULTADO DEL EJERCICIO</t>
        </is>
      </c>
      <c r="E20" t="inlineStr">
        <is>
          <t>RESULTADO ANTES DE IMPUESTOS</t>
        </is>
      </c>
      <c r="F20" t="inlineStr">
        <is>
          <t>RESULTADO DE LA EXPLOTACION</t>
        </is>
      </c>
      <c r="G20" t="inlineStr">
        <is>
          <t>13.- Otros resultados</t>
        </is>
      </c>
      <c r="H20" t="inlineStr">
        <is>
          <t>(778) Ingresos excepcionales PGC 2008</t>
        </is>
      </c>
      <c r="I20" t="inlineStr">
        <is>
          <t>778000000 - Ingresos excepcionales</t>
        </is>
      </c>
      <c r="J20" t="inlineStr">
        <is>
          <t>-</t>
        </is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>
        <f>SUM(K20:V20)</f>
        <v/>
      </c>
      <c r="X20" t="inlineStr">
        <is>
          <t>Sin dotación presupuestada en 2027 por corresponder a partidas singulares/no recurrentes.</t>
        </is>
      </c>
    </row>
    <row r="21">
      <c r="B21" t="n">
        <v>2027</v>
      </c>
      <c r="C21" t="inlineStr">
        <is>
          <t>Codiagro</t>
        </is>
      </c>
      <c r="D21" t="inlineStr">
        <is>
          <t>RESULTADO DEL EJERCICIO</t>
        </is>
      </c>
      <c r="E21" t="inlineStr">
        <is>
          <t>RESULTADO ANTES DE IMPUESTOS</t>
        </is>
      </c>
      <c r="F21" t="inlineStr">
        <is>
          <t>RESULTADO DE LA EXPLOTACION</t>
        </is>
      </c>
      <c r="G21" t="inlineStr">
        <is>
          <t>2.- Variación de existencias</t>
        </is>
      </c>
      <c r="H21" t="inlineStr">
        <is>
          <t>(711) Variación de existencias de productos semiterminados</t>
        </is>
      </c>
      <c r="I21" t="inlineStr">
        <is>
          <t>711000000 - Variación existencias de prod. semiterminados</t>
        </is>
      </c>
      <c r="J21" t="inlineStr">
        <is>
          <t>-</t>
        </is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>
        <f>SUM(K21:V21)</f>
        <v/>
      </c>
      <c r="X21" t="inlineStr">
        <is>
          <t>Cuenta inactiva / sin saldo previsto en 2027.</t>
        </is>
      </c>
    </row>
    <row r="22">
      <c r="B22" t="n">
        <v>2027</v>
      </c>
      <c r="C22" t="inlineStr">
        <is>
          <t>Codiagro</t>
        </is>
      </c>
      <c r="D22" t="inlineStr">
        <is>
          <t>RESULTADO DEL EJERCICIO</t>
        </is>
      </c>
      <c r="E22" t="inlineStr">
        <is>
          <t>RESULTADO ANTES DE IMPUESTOS</t>
        </is>
      </c>
      <c r="F22" t="inlineStr">
        <is>
          <t>RESULTADO DE LA EXPLOTACION</t>
        </is>
      </c>
      <c r="G22" t="inlineStr">
        <is>
          <t>2.- Variación de existencias</t>
        </is>
      </c>
      <c r="H22" t="inlineStr">
        <is>
          <t>(712) Variación de existencias producto terminado</t>
        </is>
      </c>
      <c r="I22" t="inlineStr">
        <is>
          <t>712000000 - Variación existencias de prod. terminados</t>
        </is>
      </c>
      <c r="J22" t="inlineStr">
        <is>
          <t>-</t>
        </is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>
        <f>SUM(K22:V22)</f>
        <v/>
      </c>
      <c r="X22" t="inlineStr">
        <is>
          <t>Cuenta inactiva / sin saldo previsto en 2027.</t>
        </is>
      </c>
    </row>
    <row r="23">
      <c r="B23" t="n">
        <v>2027</v>
      </c>
      <c r="C23" t="inlineStr">
        <is>
          <t>Codiagro</t>
        </is>
      </c>
      <c r="D23" t="inlineStr">
        <is>
          <t>RESULTADO DEL EJERCICIO</t>
        </is>
      </c>
      <c r="E23" t="inlineStr">
        <is>
          <t>RESULTADO ANTES DE IMPUESTOS</t>
        </is>
      </c>
      <c r="F23" t="inlineStr">
        <is>
          <t>RESULTADO DE LA EXPLOTACION</t>
        </is>
      </c>
      <c r="G23" t="inlineStr">
        <is>
          <t>4.- Aprovisionamientos</t>
        </is>
      </c>
      <c r="H23" t="inlineStr">
        <is>
          <t>(601) Compras de materias primas</t>
        </is>
      </c>
      <c r="I23" t="inlineStr">
        <is>
          <t>601000000 - Compras de materias primas</t>
        </is>
      </c>
      <c r="J23" t="inlineStr">
        <is>
          <t>-</t>
        </is>
      </c>
      <c r="K23" s="1" t="n">
        <v>-308979.33</v>
      </c>
      <c r="L23" s="1" t="n">
        <v>-500491.04</v>
      </c>
      <c r="M23" s="1" t="n">
        <v>-480092.78</v>
      </c>
      <c r="N23" s="1" t="n">
        <v>-386517.61</v>
      </c>
      <c r="O23" s="1" t="n">
        <v>-634590.84</v>
      </c>
      <c r="P23" s="1" t="n">
        <v>-629310.04</v>
      </c>
      <c r="Q23" s="1" t="n">
        <v>-399276.92</v>
      </c>
      <c r="R23" s="1" t="n">
        <v>-254811.23</v>
      </c>
      <c r="S23" s="1" t="n">
        <v>-148014.15</v>
      </c>
      <c r="T23" s="1" t="n">
        <v>-247537.61</v>
      </c>
      <c r="U23" s="1" t="n">
        <v>-382631.49</v>
      </c>
      <c r="V23" s="1" t="n">
        <v>-419710.96</v>
      </c>
      <c r="W23" s="1">
        <f>SUM(K23:V23)</f>
        <v/>
      </c>
      <c r="X23" t="inlineStr">
        <is>
          <t>Coste variable directo: compras de materias primas estimadas en el 27,015% sobre las ventas presupuestadas.</t>
        </is>
      </c>
    </row>
    <row r="24">
      <c r="B24" t="n">
        <v>2027</v>
      </c>
      <c r="C24" t="inlineStr">
        <is>
          <t>Codiagro</t>
        </is>
      </c>
      <c r="D24" t="inlineStr">
        <is>
          <t>RESULTADO DEL EJERCICIO</t>
        </is>
      </c>
      <c r="E24" t="inlineStr">
        <is>
          <t>RESULTADO ANTES DE IMPUESTOS</t>
        </is>
      </c>
      <c r="F24" t="inlineStr">
        <is>
          <t>RESULTADO DE LA EXPLOTACION</t>
        </is>
      </c>
      <c r="G24" t="inlineStr">
        <is>
          <t>4.- Aprovisionamientos</t>
        </is>
      </c>
      <c r="H24" t="inlineStr">
        <is>
          <t>(602) Compras de otros aprovisionamientos</t>
        </is>
      </c>
      <c r="I24" t="inlineStr">
        <is>
          <t>602000001 - COMPRA DE ENVASES Y EMBALAJES</t>
        </is>
      </c>
      <c r="J24" t="inlineStr">
        <is>
          <t>-</t>
        </is>
      </c>
      <c r="K24" s="3" t="n">
        <v>-64402.95</v>
      </c>
      <c r="L24" s="3" t="n">
        <v>-104321.22</v>
      </c>
      <c r="M24" s="3" t="n">
        <v>-100069.45</v>
      </c>
      <c r="N24" s="3" t="n">
        <v>-80564.86</v>
      </c>
      <c r="O24" s="3" t="n">
        <v>-132272.68</v>
      </c>
      <c r="P24" s="3" t="n">
        <v>-131171.96</v>
      </c>
      <c r="Q24" s="3" t="n">
        <v>-83224.38</v>
      </c>
      <c r="R24" s="3" t="n">
        <v>-53112.28</v>
      </c>
      <c r="S24" s="3" t="n">
        <v>-30851.74</v>
      </c>
      <c r="T24" s="3" t="n">
        <v>-51596.18</v>
      </c>
      <c r="U24" s="3" t="n">
        <v>-79754.84</v>
      </c>
      <c r="V24" s="3" t="n">
        <v>-87483.60000000001</v>
      </c>
      <c r="W24" s="1">
        <f>SUM(K24:V24)</f>
        <v/>
      </c>
      <c r="X24" t="inlineStr">
        <is>
          <t>Coste variable unificado de envases y embalajes: ratio histórico combinado (5,39%) + ajuste inflacionario del 4,5% sobre ventas presupuestadas 2027.</t>
        </is>
      </c>
    </row>
    <row r="25">
      <c r="B25" t="n">
        <v>2027</v>
      </c>
      <c r="C25" t="inlineStr">
        <is>
          <t>Codiagro</t>
        </is>
      </c>
      <c r="D25" t="inlineStr">
        <is>
          <t>RESULTADO DEL EJERCICIO</t>
        </is>
      </c>
      <c r="E25" t="inlineStr">
        <is>
          <t>RESULTADO ANTES DE IMPUESTOS</t>
        </is>
      </c>
      <c r="F25" t="inlineStr">
        <is>
          <t>RESULTADO DE LA EXPLOTACION</t>
        </is>
      </c>
      <c r="G25" t="inlineStr">
        <is>
          <t>4.- Aprovisionamientos</t>
        </is>
      </c>
      <c r="H25" t="inlineStr">
        <is>
          <t>(602) Compras de otros aprovisionamientos</t>
        </is>
      </c>
      <c r="I25" t="inlineStr">
        <is>
          <t>602000000 - Compras de otros aprovisionamientos</t>
        </is>
      </c>
      <c r="J25" t="inlineStr">
        <is>
          <t>-</t>
        </is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1">
        <f>SUM(K25:V25)</f>
        <v/>
      </c>
      <c r="X25" t="inlineStr">
        <is>
          <t>Cuenta fusionada con 602000001. Saldo fijado a 0 en 2027.</t>
        </is>
      </c>
    </row>
    <row r="26">
      <c r="B26" t="n">
        <v>2027</v>
      </c>
      <c r="C26" t="inlineStr">
        <is>
          <t>Codiagro</t>
        </is>
      </c>
      <c r="D26" t="inlineStr">
        <is>
          <t>RESULTADO DEL EJERCICIO</t>
        </is>
      </c>
      <c r="E26" t="inlineStr">
        <is>
          <t>RESULTADO ANTES DE IMPUESTOS</t>
        </is>
      </c>
      <c r="F26" t="inlineStr">
        <is>
          <t>RESULTADO DE LA EXPLOTACION</t>
        </is>
      </c>
      <c r="G26" t="inlineStr">
        <is>
          <t>4.- Aprovisionamientos</t>
        </is>
      </c>
      <c r="H26" t="inlineStr">
        <is>
          <t>(602) Compras de otros aprovisionamientos</t>
        </is>
      </c>
      <c r="I26" t="inlineStr">
        <is>
          <t>602000002 - COMPRA DE ETIQUETAS</t>
        </is>
      </c>
      <c r="J26" t="inlineStr">
        <is>
          <t>-</t>
        </is>
      </c>
      <c r="K26" s="1" t="n">
        <v>-6530.71</v>
      </c>
      <c r="L26" s="1" t="n">
        <v>-10578.58</v>
      </c>
      <c r="M26" s="1" t="n">
        <v>-10147.44</v>
      </c>
      <c r="N26" s="1" t="n">
        <v>-8169.59</v>
      </c>
      <c r="O26" s="1" t="n">
        <v>-13412.97</v>
      </c>
      <c r="P26" s="1" t="n">
        <v>-13301.35</v>
      </c>
      <c r="Q26" s="1" t="n">
        <v>-8439.280000000001</v>
      </c>
      <c r="R26" s="1" t="n">
        <v>-5385.79</v>
      </c>
      <c r="S26" s="1" t="n">
        <v>-3128.49</v>
      </c>
      <c r="T26" s="1" t="n">
        <v>-5232.06</v>
      </c>
      <c r="U26" s="1" t="n">
        <v>-8087.45</v>
      </c>
      <c r="V26" s="1" t="n">
        <v>-8871.18</v>
      </c>
      <c r="W26" s="1">
        <f>SUM(K26:V26)</f>
        <v/>
      </c>
      <c r="X26" t="inlineStr">
        <is>
          <t>Coste variable según volumen de unidades a etiquetar (0,571% s/ventas presupuestadas).</t>
        </is>
      </c>
    </row>
    <row r="27">
      <c r="B27" t="n">
        <v>2027</v>
      </c>
      <c r="C27" t="inlineStr">
        <is>
          <t>Codiagro</t>
        </is>
      </c>
      <c r="D27" t="inlineStr">
        <is>
          <t>RESULTADO DEL EJERCICIO</t>
        </is>
      </c>
      <c r="E27" t="inlineStr">
        <is>
          <t>RESULTADO ANTES DE IMPUESTOS</t>
        </is>
      </c>
      <c r="F27" t="inlineStr">
        <is>
          <t>RESULTADO DE LA EXPLOTACION</t>
        </is>
      </c>
      <c r="G27" t="inlineStr">
        <is>
          <t>4.- Aprovisionamientos</t>
        </is>
      </c>
      <c r="H27" t="inlineStr">
        <is>
          <t>(602) Compras de otros aprovisionamientos</t>
        </is>
      </c>
      <c r="I27" t="inlineStr">
        <is>
          <t>602000003 - COMPRA DE PALETS</t>
        </is>
      </c>
      <c r="J27" t="inlineStr">
        <is>
          <t>-</t>
        </is>
      </c>
      <c r="K27" s="1" t="n">
        <v>-6793.77</v>
      </c>
      <c r="L27" s="1" t="n">
        <v>-11004.69</v>
      </c>
      <c r="M27" s="1" t="n">
        <v>-10556.18</v>
      </c>
      <c r="N27" s="1" t="n">
        <v>-8498.67</v>
      </c>
      <c r="O27" s="1" t="n">
        <v>-13953.25</v>
      </c>
      <c r="P27" s="1" t="n">
        <v>-13837.13</v>
      </c>
      <c r="Q27" s="1" t="n">
        <v>-8779.209999999999</v>
      </c>
      <c r="R27" s="1" t="n">
        <v>-5602.73</v>
      </c>
      <c r="S27" s="1" t="n">
        <v>-3254.5</v>
      </c>
      <c r="T27" s="1" t="n">
        <v>-5442.8</v>
      </c>
      <c r="U27" s="1" t="n">
        <v>-8413.219999999999</v>
      </c>
      <c r="V27" s="1" t="n">
        <v>-9228.51</v>
      </c>
      <c r="W27" s="1">
        <f>SUM(K27:V27)</f>
        <v/>
      </c>
      <c r="X27" t="inlineStr">
        <is>
          <t>Coste variable según expediciones y paletización requerida (0,594% s/ventas presupuestadas).</t>
        </is>
      </c>
    </row>
    <row r="28">
      <c r="B28" t="n">
        <v>2027</v>
      </c>
      <c r="C28" t="inlineStr">
        <is>
          <t>Codiagro</t>
        </is>
      </c>
      <c r="D28" t="inlineStr">
        <is>
          <t>RESULTADO DEL EJERCICIO</t>
        </is>
      </c>
      <c r="E28" t="inlineStr">
        <is>
          <t>RESULTADO ANTES DE IMPUESTOS</t>
        </is>
      </c>
      <c r="F28" t="inlineStr">
        <is>
          <t>RESULTADO DE LA EXPLOTACION</t>
        </is>
      </c>
      <c r="G28" t="inlineStr">
        <is>
          <t>4.- Aprovisionamientos</t>
        </is>
      </c>
      <c r="H28" t="inlineStr">
        <is>
          <t>(602) Compras de otros aprovisionamientos</t>
        </is>
      </c>
      <c r="I28" t="inlineStr">
        <is>
          <t>602000004 - COMPRA MATERIAL DE LIMPIEZA</t>
        </is>
      </c>
      <c r="J28" t="inlineStr">
        <is>
          <t>-</t>
        </is>
      </c>
      <c r="K28" s="1" t="n">
        <v>-131.92</v>
      </c>
      <c r="L28" s="1" t="n">
        <v>-131.92</v>
      </c>
      <c r="M28" s="1" t="n">
        <v>-131.92</v>
      </c>
      <c r="N28" s="1" t="n">
        <v>-131.92</v>
      </c>
      <c r="O28" s="1" t="n">
        <v>-131.92</v>
      </c>
      <c r="P28" s="1" t="n">
        <v>-131.92</v>
      </c>
      <c r="Q28" s="1" t="n">
        <v>-131.92</v>
      </c>
      <c r="R28" s="1" t="n">
        <v>-131.92</v>
      </c>
      <c r="S28" s="1" t="n">
        <v>-131.92</v>
      </c>
      <c r="T28" s="1" t="n">
        <v>-131.92</v>
      </c>
      <c r="U28" s="1" t="n">
        <v>-131.92</v>
      </c>
      <c r="V28" s="1" t="n">
        <v>-131.92</v>
      </c>
      <c r="W28" s="1">
        <f>SUM(K28:V28)</f>
        <v/>
      </c>
      <c r="X28" t="inlineStr">
        <is>
          <t>Coste operativo menor de planta: proyección basada en el promedio mensual consolidado.</t>
        </is>
      </c>
    </row>
    <row r="29">
      <c r="B29" t="n">
        <v>2027</v>
      </c>
      <c r="C29" t="inlineStr">
        <is>
          <t>Codiagro</t>
        </is>
      </c>
      <c r="D29" t="inlineStr">
        <is>
          <t>RESULTADO DEL EJERCICIO</t>
        </is>
      </c>
      <c r="E29" t="inlineStr">
        <is>
          <t>RESULTADO ANTES DE IMPUESTOS</t>
        </is>
      </c>
      <c r="F29" t="inlineStr">
        <is>
          <t>RESULTADO DE LA EXPLOTACION</t>
        </is>
      </c>
      <c r="G29" t="inlineStr">
        <is>
          <t>4.- Aprovisionamientos</t>
        </is>
      </c>
      <c r="H29" t="inlineStr">
        <is>
          <t>(602) Compras de otros aprovisionamientos</t>
        </is>
      </c>
      <c r="I29" t="inlineStr">
        <is>
          <t>602000005 - COMPRA MATERIAL DE OFICINA</t>
        </is>
      </c>
      <c r="J29" t="inlineStr">
        <is>
          <t>-</t>
        </is>
      </c>
      <c r="K29" s="1" t="n">
        <v>-204.02</v>
      </c>
      <c r="L29" s="1" t="n">
        <v>-204.02</v>
      </c>
      <c r="M29" s="1" t="n">
        <v>-204.02</v>
      </c>
      <c r="N29" s="1" t="n">
        <v>-204.02</v>
      </c>
      <c r="O29" s="1" t="n">
        <v>-204.02</v>
      </c>
      <c r="P29" s="1" t="n">
        <v>-204.02</v>
      </c>
      <c r="Q29" s="1" t="n">
        <v>-204.02</v>
      </c>
      <c r="R29" s="1" t="n">
        <v>-204.02</v>
      </c>
      <c r="S29" s="1" t="n">
        <v>-204.02</v>
      </c>
      <c r="T29" s="1" t="n">
        <v>-204.02</v>
      </c>
      <c r="U29" s="1" t="n">
        <v>-204.02</v>
      </c>
      <c r="V29" s="1" t="n">
        <v>-204.02</v>
      </c>
      <c r="W29" s="1">
        <f>SUM(K29:V29)</f>
        <v/>
      </c>
      <c r="X29" t="inlineStr">
        <is>
          <t>Coste operativo menor de planta: proyección basada en el promedio mensual consolidado.</t>
        </is>
      </c>
    </row>
    <row r="30">
      <c r="B30" t="n">
        <v>2027</v>
      </c>
      <c r="C30" t="inlineStr">
        <is>
          <t>Codiagro</t>
        </is>
      </c>
      <c r="D30" t="inlineStr">
        <is>
          <t>RESULTADO DEL EJERCICIO</t>
        </is>
      </c>
      <c r="E30" t="inlineStr">
        <is>
          <t>RESULTADO ANTES DE IMPUESTOS</t>
        </is>
      </c>
      <c r="F30" t="inlineStr">
        <is>
          <t>RESULTADO DE LA EXPLOTACION</t>
        </is>
      </c>
      <c r="G30" t="inlineStr">
        <is>
          <t>4.- Aprovisionamientos</t>
        </is>
      </c>
      <c r="H30" t="inlineStr">
        <is>
          <t>(602) Compras de otros aprovisionamientos</t>
        </is>
      </c>
      <c r="I30" t="inlineStr">
        <is>
          <t>602000006 - COMPRA TAPONES DE ENVASES</t>
        </is>
      </c>
      <c r="J30" t="inlineStr">
        <is>
          <t>-</t>
        </is>
      </c>
      <c r="K30" s="1" t="n">
        <v>-2550.52</v>
      </c>
      <c r="L30" s="1" t="n">
        <v>-4131.39</v>
      </c>
      <c r="M30" s="1" t="n">
        <v>-3963.01</v>
      </c>
      <c r="N30" s="1" t="n">
        <v>-3190.58</v>
      </c>
      <c r="O30" s="1" t="n">
        <v>-5238.34</v>
      </c>
      <c r="P30" s="1" t="n">
        <v>-5194.75</v>
      </c>
      <c r="Q30" s="1" t="n">
        <v>-3295.9</v>
      </c>
      <c r="R30" s="1" t="n">
        <v>-2103.38</v>
      </c>
      <c r="S30" s="1" t="n">
        <v>-1221.81</v>
      </c>
      <c r="T30" s="1" t="n">
        <v>-2043.34</v>
      </c>
      <c r="U30" s="1" t="n">
        <v>-3158.5</v>
      </c>
      <c r="V30" s="1" t="n">
        <v>-3464.58</v>
      </c>
      <c r="W30" s="1">
        <f>SUM(K30:V30)</f>
        <v/>
      </c>
      <c r="X30" t="inlineStr">
        <is>
          <t>Coste variable directamente proporcional al número de envases/tapones (0,223% s/ventas).</t>
        </is>
      </c>
    </row>
    <row r="31">
      <c r="B31" t="n">
        <v>2027</v>
      </c>
      <c r="C31" t="inlineStr">
        <is>
          <t>Codiagro</t>
        </is>
      </c>
      <c r="D31" t="inlineStr">
        <is>
          <t>RESULTADO DEL EJERCICIO</t>
        </is>
      </c>
      <c r="E31" t="inlineStr">
        <is>
          <t>RESULTADO ANTES DE IMPUESTOS</t>
        </is>
      </c>
      <c r="F31" t="inlineStr">
        <is>
          <t>RESULTADO DE LA EXPLOTACION</t>
        </is>
      </c>
      <c r="G31" t="inlineStr">
        <is>
          <t>4.- Aprovisionamientos</t>
        </is>
      </c>
      <c r="H31" t="inlineStr">
        <is>
          <t>(602) Compras de otros aprovisionamientos</t>
        </is>
      </c>
      <c r="I31" t="inlineStr">
        <is>
          <t>602000007 - COMPRAS LABORATORIO</t>
        </is>
      </c>
      <c r="J31" t="inlineStr">
        <is>
          <t>-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>
        <f>SUM(K31:V31)</f>
        <v/>
      </c>
      <c r="X31" t="inlineStr">
        <is>
          <t>Cuenta inactiva / sin saldo previsto en 2027.</t>
        </is>
      </c>
    </row>
    <row r="32">
      <c r="B32" t="n">
        <v>2027</v>
      </c>
      <c r="C32" t="inlineStr">
        <is>
          <t>Codiagro</t>
        </is>
      </c>
      <c r="D32" t="inlineStr">
        <is>
          <t>RESULTADO DEL EJERCICIO</t>
        </is>
      </c>
      <c r="E32" t="inlineStr">
        <is>
          <t>RESULTADO ANTES DE IMPUESTOS</t>
        </is>
      </c>
      <c r="F32" t="inlineStr">
        <is>
          <t>RESULTADO DE LA EXPLOTACION</t>
        </is>
      </c>
      <c r="G32" t="inlineStr">
        <is>
          <t>4.- Aprovisionamientos</t>
        </is>
      </c>
      <c r="H32" t="inlineStr">
        <is>
          <t>(602) Compras de otros aprovisionamientos</t>
        </is>
      </c>
      <c r="I32" t="inlineStr">
        <is>
          <t>602000008 - RESPUESTOS PLANTA</t>
        </is>
      </c>
      <c r="J32" t="inlineStr">
        <is>
          <t>-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>
        <f>SUM(K32:V32)</f>
        <v/>
      </c>
      <c r="X32" t="inlineStr">
        <is>
          <t>Cuenta inactiva / sin saldo previsto en 2027.</t>
        </is>
      </c>
    </row>
    <row r="33">
      <c r="B33" t="n">
        <v>2027</v>
      </c>
      <c r="C33" t="inlineStr">
        <is>
          <t>Codiagro</t>
        </is>
      </c>
      <c r="D33" t="inlineStr">
        <is>
          <t>RESULTADO DEL EJERCICIO</t>
        </is>
      </c>
      <c r="E33" t="inlineStr">
        <is>
          <t>RESULTADO ANTES DE IMPUESTOS</t>
        </is>
      </c>
      <c r="F33" t="inlineStr">
        <is>
          <t>RESULTADO DE LA EXPLOTACION</t>
        </is>
      </c>
      <c r="G33" t="inlineStr">
        <is>
          <t>4.- Aprovisionamientos</t>
        </is>
      </c>
      <c r="H33" t="inlineStr">
        <is>
          <t>(602) Compras de otros aprovisionamientos</t>
        </is>
      </c>
      <c r="I33" t="inlineStr">
        <is>
          <t>602000010 - COMPRA RIBBON</t>
        </is>
      </c>
      <c r="J33" t="inlineStr">
        <is>
          <t>-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>
        <f>SUM(K33:V33)</f>
        <v/>
      </c>
      <c r="X33" t="inlineStr">
        <is>
          <t>Cuenta inactiva / sin saldo previsto en 2027.</t>
        </is>
      </c>
    </row>
    <row r="34">
      <c r="B34" t="n">
        <v>2027</v>
      </c>
      <c r="C34" t="inlineStr">
        <is>
          <t>Codiagro</t>
        </is>
      </c>
      <c r="D34" t="inlineStr">
        <is>
          <t>RESULTADO DEL EJERCICIO</t>
        </is>
      </c>
      <c r="E34" t="inlineStr">
        <is>
          <t>RESULTADO ANTES DE IMPUESTOS</t>
        </is>
      </c>
      <c r="F34" t="inlineStr">
        <is>
          <t>RESULTADO DE LA EXPLOTACION</t>
        </is>
      </c>
      <c r="G34" t="inlineStr">
        <is>
          <t>4.- Aprovisionamientos</t>
        </is>
      </c>
      <c r="H34" t="inlineStr">
        <is>
          <t>(602) Compras de otros aprovisionamientos</t>
        </is>
      </c>
      <c r="I34" t="inlineStr">
        <is>
          <t>602000011 - COMPRAS VARIAS PLANTA</t>
        </is>
      </c>
      <c r="J34" t="inlineStr">
        <is>
          <t>-</t>
        </is>
      </c>
      <c r="K34" s="1" t="n">
        <v>-964.39</v>
      </c>
      <c r="L34" s="1" t="n">
        <v>-964.39</v>
      </c>
      <c r="M34" s="1" t="n">
        <v>-964.39</v>
      </c>
      <c r="N34" s="1" t="n">
        <v>-964.39</v>
      </c>
      <c r="O34" s="1" t="n">
        <v>-964.39</v>
      </c>
      <c r="P34" s="1" t="n">
        <v>-964.39</v>
      </c>
      <c r="Q34" s="1" t="n">
        <v>-964.39</v>
      </c>
      <c r="R34" s="1" t="n">
        <v>-964.39</v>
      </c>
      <c r="S34" s="1" t="n">
        <v>-964.39</v>
      </c>
      <c r="T34" s="1" t="n">
        <v>-964.39</v>
      </c>
      <c r="U34" s="1" t="n">
        <v>-964.39</v>
      </c>
      <c r="V34" s="1" t="n">
        <v>-964.39</v>
      </c>
      <c r="W34" s="1">
        <f>SUM(K34:V34)</f>
        <v/>
      </c>
      <c r="X34" t="inlineStr">
        <is>
          <t>Coste operativo menor de planta: proyección basada en el promedio mensual consolidado.</t>
        </is>
      </c>
    </row>
    <row r="35">
      <c r="B35" t="n">
        <v>2027</v>
      </c>
      <c r="C35" t="inlineStr">
        <is>
          <t>Codiagro</t>
        </is>
      </c>
      <c r="D35" t="inlineStr">
        <is>
          <t>RESULTADO DEL EJERCICIO</t>
        </is>
      </c>
      <c r="E35" t="inlineStr">
        <is>
          <t>RESULTADO ANTES DE IMPUESTOS</t>
        </is>
      </c>
      <c r="F35" t="inlineStr">
        <is>
          <t>RESULTADO DE LA EXPLOTACION</t>
        </is>
      </c>
      <c r="G35" t="inlineStr">
        <is>
          <t>4.- Aprovisionamientos</t>
        </is>
      </c>
      <c r="H35" t="inlineStr">
        <is>
          <t>(602) Compras de otros aprovisionamientos</t>
        </is>
      </c>
      <c r="I35" t="inlineStr">
        <is>
          <t>602000012 - REPUESTOS INFORMATICOS</t>
        </is>
      </c>
      <c r="J35" t="inlineStr">
        <is>
          <t>-</t>
        </is>
      </c>
      <c r="K35" s="1" t="n">
        <v>-1559.63</v>
      </c>
      <c r="L35" s="1" t="n">
        <v>-1559.63</v>
      </c>
      <c r="M35" s="1" t="n">
        <v>-1559.63</v>
      </c>
      <c r="N35" s="1" t="n">
        <v>-1559.63</v>
      </c>
      <c r="O35" s="1" t="n">
        <v>-1559.63</v>
      </c>
      <c r="P35" s="1" t="n">
        <v>-1559.63</v>
      </c>
      <c r="Q35" s="1" t="n">
        <v>-1559.63</v>
      </c>
      <c r="R35" s="1" t="n">
        <v>-1559.63</v>
      </c>
      <c r="S35" s="1" t="n">
        <v>-1559.63</v>
      </c>
      <c r="T35" s="1" t="n">
        <v>-1559.63</v>
      </c>
      <c r="U35" s="1" t="n">
        <v>-1559.63</v>
      </c>
      <c r="V35" s="1" t="n">
        <v>-1559.63</v>
      </c>
      <c r="W35" s="1">
        <f>SUM(K35:V35)</f>
        <v/>
      </c>
      <c r="X35" t="inlineStr">
        <is>
          <t>Coste operativo menor de planta: proyección basada en el promedio mensual consolidado.</t>
        </is>
      </c>
    </row>
    <row r="36">
      <c r="B36" t="n">
        <v>2027</v>
      </c>
      <c r="C36" t="inlineStr">
        <is>
          <t>Codiagro</t>
        </is>
      </c>
      <c r="D36" t="inlineStr">
        <is>
          <t>RESULTADO DEL EJERCICIO</t>
        </is>
      </c>
      <c r="E36" t="inlineStr">
        <is>
          <t>RESULTADO ANTES DE IMPUESTOS</t>
        </is>
      </c>
      <c r="F36" t="inlineStr">
        <is>
          <t>RESULTADO DE LA EXPLOTACION</t>
        </is>
      </c>
      <c r="G36" t="inlineStr">
        <is>
          <t>4.- Aprovisionamientos</t>
        </is>
      </c>
      <c r="H36" t="inlineStr">
        <is>
          <t>(602) Compras de otros aprovisionamientos</t>
        </is>
      </c>
      <c r="I36" t="inlineStr">
        <is>
          <t>602000013 - COMPRA TINTA INPRESORA ETIQUETAS</t>
        </is>
      </c>
      <c r="J36" t="inlineStr">
        <is>
          <t>-</t>
        </is>
      </c>
      <c r="K36" s="1" t="n">
        <v>-2200</v>
      </c>
      <c r="L36" s="1" t="n">
        <v>-2600</v>
      </c>
      <c r="M36" s="1" t="n">
        <v>-2600</v>
      </c>
      <c r="N36" s="1" t="n">
        <v>-2600</v>
      </c>
      <c r="O36" s="1" t="n">
        <v>-2600</v>
      </c>
      <c r="P36" s="1" t="n">
        <v>-2600</v>
      </c>
      <c r="Q36" s="1" t="n">
        <v>-2600</v>
      </c>
      <c r="R36" s="1" t="n">
        <v>-2200</v>
      </c>
      <c r="S36" s="1" t="n">
        <v>-2200</v>
      </c>
      <c r="T36" s="1" t="n">
        <v>-2200</v>
      </c>
      <c r="U36" s="1" t="n">
        <v>-2600</v>
      </c>
      <c r="V36" s="1" t="n">
        <v>-2600</v>
      </c>
      <c r="W36" s="1">
        <f>SUM(K36:V36)</f>
        <v/>
      </c>
      <c r="X36" t="inlineStr">
        <is>
          <t>Coste semi-variable de consumibles de marcaje y codificación en planta según volumen fabril.</t>
        </is>
      </c>
    </row>
    <row r="37">
      <c r="B37" t="n">
        <v>2027</v>
      </c>
      <c r="C37" t="inlineStr">
        <is>
          <t>Codiagro</t>
        </is>
      </c>
      <c r="D37" t="inlineStr">
        <is>
          <t>RESULTADO DEL EJERCICIO</t>
        </is>
      </c>
      <c r="E37" t="inlineStr">
        <is>
          <t>RESULTADO ANTES DE IMPUESTOS</t>
        </is>
      </c>
      <c r="F37" t="inlineStr">
        <is>
          <t>RESULTADO DE LA EXPLOTACION</t>
        </is>
      </c>
      <c r="G37" t="inlineStr">
        <is>
          <t>4.- Aprovisionamientos</t>
        </is>
      </c>
      <c r="H37" t="inlineStr">
        <is>
          <t>(602) Compras de otros aprovisionamientos</t>
        </is>
      </c>
      <c r="I37" t="inlineStr">
        <is>
          <t>602000100 - ENVASES Y EMBALAJES A DEVOLVER</t>
        </is>
      </c>
      <c r="J37" t="inlineStr">
        <is>
          <t>-</t>
        </is>
      </c>
      <c r="K37" s="1" t="n">
        <v>-183.2</v>
      </c>
      <c r="L37" s="1" t="n">
        <v>-183.2</v>
      </c>
      <c r="M37" s="1" t="n">
        <v>-183.2</v>
      </c>
      <c r="N37" s="1" t="n">
        <v>-183.2</v>
      </c>
      <c r="O37" s="1" t="n">
        <v>-183.2</v>
      </c>
      <c r="P37" s="1" t="n">
        <v>-183.2</v>
      </c>
      <c r="Q37" s="1" t="n">
        <v>-183.2</v>
      </c>
      <c r="R37" s="1" t="n">
        <v>-183.2</v>
      </c>
      <c r="S37" s="1" t="n">
        <v>-183.2</v>
      </c>
      <c r="T37" s="1" t="n">
        <v>-183.2</v>
      </c>
      <c r="U37" s="1" t="n">
        <v>-183.2</v>
      </c>
      <c r="V37" s="1" t="n">
        <v>-183.2</v>
      </c>
      <c r="W37" s="1">
        <f>SUM(K37:V37)</f>
        <v/>
      </c>
      <c r="X37" t="inlineStr">
        <is>
          <t>Coste operativo menor de planta: proyección basada en el promedio mensual consolidado.</t>
        </is>
      </c>
    </row>
    <row r="38">
      <c r="B38" t="n">
        <v>2027</v>
      </c>
      <c r="C38" t="inlineStr">
        <is>
          <t>Codiagro</t>
        </is>
      </c>
      <c r="D38" t="inlineStr">
        <is>
          <t>RESULTADO DEL EJERCICIO</t>
        </is>
      </c>
      <c r="E38" t="inlineStr">
        <is>
          <t>RESULTADO ANTES DE IMPUESTOS</t>
        </is>
      </c>
      <c r="F38" t="inlineStr">
        <is>
          <t>RESULTADO DE LA EXPLOTACION</t>
        </is>
      </c>
      <c r="G38" t="inlineStr">
        <is>
          <t>4.- Aprovisionamientos</t>
        </is>
      </c>
      <c r="H38" t="inlineStr">
        <is>
          <t>(607) Trabajos realizados por otras empresas</t>
        </is>
      </c>
      <c r="I38" t="inlineStr">
        <is>
          <t>607000000 - Trabajos realizados por otras empresas</t>
        </is>
      </c>
      <c r="J38" t="inlineStr">
        <is>
          <t>-</t>
        </is>
      </c>
      <c r="K38" s="1" t="n">
        <v>-5500</v>
      </c>
      <c r="L38" s="1" t="n">
        <v>-7500</v>
      </c>
      <c r="M38" s="1" t="n">
        <v>-7500</v>
      </c>
      <c r="N38" s="1" t="n">
        <v>-7500</v>
      </c>
      <c r="O38" s="1" t="n">
        <v>-7500</v>
      </c>
      <c r="P38" s="1" t="n">
        <v>-7500</v>
      </c>
      <c r="Q38" s="1" t="n">
        <v>-7500</v>
      </c>
      <c r="R38" s="1" t="n">
        <v>-5500</v>
      </c>
      <c r="S38" s="1" t="n">
        <v>-5500</v>
      </c>
      <c r="T38" s="1" t="n">
        <v>-5500</v>
      </c>
      <c r="U38" s="1" t="n">
        <v>-7500</v>
      </c>
      <c r="V38" s="1" t="n">
        <v>-7500</v>
      </c>
      <c r="W38" s="1">
        <f>SUM(K38:V38)</f>
        <v/>
      </c>
      <c r="X38" t="inlineStr">
        <is>
          <t>Coste variable: subcontratación y apoyos externos de formulación según picos de carga fabril.</t>
        </is>
      </c>
    </row>
    <row r="39">
      <c r="B39" t="n">
        <v>2027</v>
      </c>
      <c r="C39" t="inlineStr">
        <is>
          <t>Codiagro</t>
        </is>
      </c>
      <c r="D39" t="inlineStr">
        <is>
          <t>RESULTADO DEL EJERCICIO</t>
        </is>
      </c>
      <c r="E39" t="inlineStr">
        <is>
          <t>RESULTADO ANTES DE IMPUESTOS</t>
        </is>
      </c>
      <c r="F39" t="inlineStr">
        <is>
          <t>RESULTADO DE LA EXPLOTACION</t>
        </is>
      </c>
      <c r="G39" t="inlineStr">
        <is>
          <t>4.- Aprovisionamientos</t>
        </is>
      </c>
      <c r="H39" t="inlineStr">
        <is>
          <t>(611) Variación de existencias de materias primas</t>
        </is>
      </c>
      <c r="I39" t="inlineStr">
        <is>
          <t>611000000 - Variación de existencias de materias primas</t>
        </is>
      </c>
      <c r="J39" t="inlineStr">
        <is>
          <t>-</t>
        </is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-15000</v>
      </c>
      <c r="W39" s="1">
        <f>SUM(K39:V39)</f>
        <v/>
      </c>
      <c r="X39" t="inlineStr">
        <is>
          <t>Ajuste previsional de variación de existencias para regularización de inventarios a cierre de ejercicio.</t>
        </is>
      </c>
    </row>
    <row r="40">
      <c r="B40" t="n">
        <v>2027</v>
      </c>
      <c r="C40" t="inlineStr">
        <is>
          <t>Codiagro</t>
        </is>
      </c>
      <c r="D40" t="inlineStr">
        <is>
          <t>RESULTADO DEL EJERCICIO</t>
        </is>
      </c>
      <c r="E40" t="inlineStr">
        <is>
          <t>RESULTADO ANTES DE IMPUESTOS</t>
        </is>
      </c>
      <c r="F40" t="inlineStr">
        <is>
          <t>RESULTADO DE LA EXPLOTACION</t>
        </is>
      </c>
      <c r="G40" t="inlineStr">
        <is>
          <t>4.- Aprovisionamientos</t>
        </is>
      </c>
      <c r="H40" t="inlineStr">
        <is>
          <t>(612) Variación de existencias envases/etiquetas</t>
        </is>
      </c>
      <c r="I40" t="inlineStr">
        <is>
          <t>612000000 - Variación de existencias otros aprovisionamientos</t>
        </is>
      </c>
      <c r="J40" t="inlineStr">
        <is>
          <t>-</t>
        </is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10000</v>
      </c>
      <c r="W40" s="1">
        <f>SUM(K40:V40)</f>
        <v/>
      </c>
      <c r="X40" t="inlineStr">
        <is>
          <t>Ajuste previsional de variación de existencias otros aprovisionamientos a cierre de ejercicio.</t>
        </is>
      </c>
    </row>
    <row r="41">
      <c r="B41" t="n">
        <v>2027</v>
      </c>
      <c r="C41" t="inlineStr">
        <is>
          <t>Codiagro</t>
        </is>
      </c>
      <c r="D41" t="inlineStr">
        <is>
          <t>RESULTADO DEL EJERCICIO</t>
        </is>
      </c>
      <c r="E41" t="inlineStr">
        <is>
          <t>RESULTADO ANTES DE IMPUESTOS</t>
        </is>
      </c>
      <c r="F41" t="inlineStr">
        <is>
          <t>RESULTADO DE LA EXPLOTACION</t>
        </is>
      </c>
      <c r="G41" t="inlineStr">
        <is>
          <t>5.- Otros ingresos de explotación</t>
        </is>
      </c>
      <c r="H41" t="inlineStr">
        <is>
          <t>(759) Otros ingresos de gestión</t>
        </is>
      </c>
      <c r="I41" t="inlineStr">
        <is>
          <t>759000000 - Ingresos por servicios diversos</t>
        </is>
      </c>
      <c r="J41" t="inlineStr">
        <is>
          <t>-</t>
        </is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>
        <f>SUM(K41:V41)</f>
        <v/>
      </c>
      <c r="X41" t="inlineStr">
        <is>
          <t>Cuenta inactiva / sin saldo previsto en 2027.</t>
        </is>
      </c>
    </row>
    <row r="42">
      <c r="B42" t="n">
        <v>2027</v>
      </c>
      <c r="C42" t="inlineStr">
        <is>
          <t>Codiagro</t>
        </is>
      </c>
      <c r="D42" t="inlineStr">
        <is>
          <t>RESULTADO DEL EJERCICIO</t>
        </is>
      </c>
      <c r="E42" t="inlineStr">
        <is>
          <t>RESULTADO ANTES DE IMPUESTOS</t>
        </is>
      </c>
      <c r="F42" t="inlineStr">
        <is>
          <t>RESULTADO DE LA EXPLOTACION</t>
        </is>
      </c>
      <c r="G42" t="inlineStr">
        <is>
          <t>6.- Gastos de personal</t>
        </is>
      </c>
      <c r="H42" t="inlineStr">
        <is>
          <t>(640) Sueldos y salarios</t>
        </is>
      </c>
      <c r="I42" t="inlineStr">
        <is>
          <t>640000000 - Sueldos y salarios</t>
        </is>
      </c>
      <c r="J42" t="inlineStr">
        <is>
          <t>-</t>
        </is>
      </c>
      <c r="K42" s="1" t="n">
        <v>-128060.74</v>
      </c>
      <c r="L42" s="1" t="n">
        <v>-128060.74</v>
      </c>
      <c r="M42" s="1" t="n">
        <v>-128060.74</v>
      </c>
      <c r="N42" s="1" t="n">
        <v>-128060.74</v>
      </c>
      <c r="O42" s="1" t="n">
        <v>-128060.74</v>
      </c>
      <c r="P42" s="1" t="n">
        <v>-128060.74</v>
      </c>
      <c r="Q42" s="1" t="n">
        <v>-128060.74</v>
      </c>
      <c r="R42" s="1" t="n">
        <v>-128060.74</v>
      </c>
      <c r="S42" s="1" t="n">
        <v>-128060.74</v>
      </c>
      <c r="T42" s="1" t="n">
        <v>-128060.74</v>
      </c>
      <c r="U42" s="1" t="n">
        <v>-128060.74</v>
      </c>
      <c r="V42" s="1" t="n">
        <v>-407060.74</v>
      </c>
      <c r="W42" s="1">
        <f>SUM(K42:V42)</f>
        <v/>
      </c>
      <c r="X42" t="inlineStr">
        <is>
          <t>Base salarial mensual fija (-128.060,74 €/mes) + 279.000,00 € adicionales en diciembre por Paga Extra e incentivos anuales.</t>
        </is>
      </c>
    </row>
    <row r="43">
      <c r="B43" t="n">
        <v>2027</v>
      </c>
      <c r="C43" t="inlineStr">
        <is>
          <t>Codiagro</t>
        </is>
      </c>
      <c r="D43" t="inlineStr">
        <is>
          <t>RESULTADO DEL EJERCICIO</t>
        </is>
      </c>
      <c r="E43" t="inlineStr">
        <is>
          <t>RESULTADO ANTES DE IMPUESTOS</t>
        </is>
      </c>
      <c r="F43" t="inlineStr">
        <is>
          <t>RESULTADO DE LA EXPLOTACION</t>
        </is>
      </c>
      <c r="G43" t="inlineStr">
        <is>
          <t>6.- Gastos de personal</t>
        </is>
      </c>
      <c r="H43" t="inlineStr">
        <is>
          <t>(642) Seguridad social a cargo empresa</t>
        </is>
      </c>
      <c r="I43" t="inlineStr">
        <is>
          <t>642000000 - Seguridad Social a cargo empresa</t>
        </is>
      </c>
      <c r="J43" t="inlineStr">
        <is>
          <t>-</t>
        </is>
      </c>
      <c r="K43" s="1" t="n">
        <v>-24572.05</v>
      </c>
      <c r="L43" s="1" t="n">
        <v>-24572.05</v>
      </c>
      <c r="M43" s="1" t="n">
        <v>-24572.05</v>
      </c>
      <c r="N43" s="1" t="n">
        <v>-24572.05</v>
      </c>
      <c r="O43" s="1" t="n">
        <v>-24572.05</v>
      </c>
      <c r="P43" s="1" t="n">
        <v>-24572.05</v>
      </c>
      <c r="Q43" s="1" t="n">
        <v>-24572.05</v>
      </c>
      <c r="R43" s="1" t="n">
        <v>-24572.05</v>
      </c>
      <c r="S43" s="1" t="n">
        <v>-24572.05</v>
      </c>
      <c r="T43" s="1" t="n">
        <v>-24572.05</v>
      </c>
      <c r="U43" s="1" t="n">
        <v>-24572.05</v>
      </c>
      <c r="V43" s="1" t="n">
        <v>-24572.05</v>
      </c>
      <c r="W43" s="1">
        <f>SUM(K43:V43)</f>
        <v/>
      </c>
      <c r="X43" t="inlineStr">
        <is>
          <t>Cotización mensual fija a la Seguridad Social según plantilla consolidada (-24.572,05 €/mes).</t>
        </is>
      </c>
    </row>
    <row r="44">
      <c r="B44" t="n">
        <v>2027</v>
      </c>
      <c r="C44" t="inlineStr">
        <is>
          <t>Codiagro</t>
        </is>
      </c>
      <c r="D44" t="inlineStr">
        <is>
          <t>RESULTADO DEL EJERCICIO</t>
        </is>
      </c>
      <c r="E44" t="inlineStr">
        <is>
          <t>RESULTADO ANTES DE IMPUESTOS</t>
        </is>
      </c>
      <c r="F44" t="inlineStr">
        <is>
          <t>RESULTADO DE LA EXPLOTACION</t>
        </is>
      </c>
      <c r="G44" t="inlineStr">
        <is>
          <t>6.- Gastos de personal</t>
        </is>
      </c>
      <c r="H44" t="inlineStr">
        <is>
          <t>(649) Otros gastos sociales</t>
        </is>
      </c>
      <c r="I44" t="inlineStr">
        <is>
          <t>649000000 - Otros gastos sociales</t>
        </is>
      </c>
      <c r="J44" t="inlineStr">
        <is>
          <t>-</t>
        </is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>
        <f>SUM(K44:V44)</f>
        <v/>
      </c>
      <c r="X44" t="inlineStr">
        <is>
          <t>Cuenta inactiva / sin saldo previsto en 2027.</t>
        </is>
      </c>
    </row>
    <row r="45">
      <c r="B45" t="n">
        <v>2027</v>
      </c>
      <c r="C45" t="inlineStr">
        <is>
          <t>Codiagro</t>
        </is>
      </c>
      <c r="D45" t="inlineStr">
        <is>
          <t>RESULTADO DEL EJERCICIO</t>
        </is>
      </c>
      <c r="E45" t="inlineStr">
        <is>
          <t>RESULTADO ANTES DE IMPUESTOS</t>
        </is>
      </c>
      <c r="F45" t="inlineStr">
        <is>
          <t>RESULTADO DE LA EXPLOTACION</t>
        </is>
      </c>
      <c r="G45" t="inlineStr">
        <is>
          <t>6.- Gastos de personal</t>
        </is>
      </c>
      <c r="H45" t="inlineStr">
        <is>
          <t>(649) Otros gastos sociales</t>
        </is>
      </c>
      <c r="I45" t="inlineStr">
        <is>
          <t>649000001 - GASTOS COMERCIALES NIEVES RUIZ</t>
        </is>
      </c>
      <c r="J45" t="inlineStr">
        <is>
          <t>-</t>
        </is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>
        <f>SUM(K45:V45)</f>
        <v/>
      </c>
      <c r="X45" t="inlineStr">
        <is>
          <t>Cuenta inactiva / sin saldo previsto en 2027.</t>
        </is>
      </c>
    </row>
    <row r="46">
      <c r="B46" t="n">
        <v>2027</v>
      </c>
      <c r="C46" t="inlineStr">
        <is>
          <t>Codiagro</t>
        </is>
      </c>
      <c r="D46" t="inlineStr">
        <is>
          <t>RESULTADO DEL EJERCICIO</t>
        </is>
      </c>
      <c r="E46" t="inlineStr">
        <is>
          <t>RESULTADO ANTES DE IMPUESTOS</t>
        </is>
      </c>
      <c r="F46" t="inlineStr">
        <is>
          <t>RESULTADO DE LA EXPLOTACION</t>
        </is>
      </c>
      <c r="G46" t="inlineStr">
        <is>
          <t>6.- Gastos de personal</t>
        </is>
      </c>
      <c r="H46" t="inlineStr">
        <is>
          <t>(649) Otros gastos sociales</t>
        </is>
      </c>
      <c r="I46" t="inlineStr">
        <is>
          <t>649000002 - GASTOS EMPR. ANTONIO ANDREU</t>
        </is>
      </c>
      <c r="J46" t="inlineStr">
        <is>
          <t>-</t>
        </is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>
        <f>SUM(K46:V46)</f>
        <v/>
      </c>
      <c r="X46" t="inlineStr">
        <is>
          <t>Cuenta inactiva / sin saldo previsto en 2027.</t>
        </is>
      </c>
    </row>
    <row r="47">
      <c r="B47" t="n">
        <v>2027</v>
      </c>
      <c r="C47" t="inlineStr">
        <is>
          <t>Codiagro</t>
        </is>
      </c>
      <c r="D47" t="inlineStr">
        <is>
          <t>RESULTADO DEL EJERCICIO</t>
        </is>
      </c>
      <c r="E47" t="inlineStr">
        <is>
          <t>RESULTADO ANTES DE IMPUESTOS</t>
        </is>
      </c>
      <c r="F47" t="inlineStr">
        <is>
          <t>RESULTADO DE LA EXPLOTACION</t>
        </is>
      </c>
      <c r="G47" t="inlineStr">
        <is>
          <t>6.- Gastos de personal</t>
        </is>
      </c>
      <c r="H47" t="inlineStr">
        <is>
          <t>(649) Otros gastos sociales</t>
        </is>
      </c>
      <c r="I47" t="inlineStr">
        <is>
          <t>649000004 - GASTOS COMERCIALES RICARDO PEREZ</t>
        </is>
      </c>
      <c r="J47" t="inlineStr">
        <is>
          <t>-</t>
        </is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>
        <f>SUM(K47:V47)</f>
        <v/>
      </c>
      <c r="X47" t="inlineStr">
        <is>
          <t>Cuenta inactiva / sin saldo previsto en 2027.</t>
        </is>
      </c>
    </row>
    <row r="48">
      <c r="B48" t="n">
        <v>2027</v>
      </c>
      <c r="C48" t="inlineStr">
        <is>
          <t>Codiagro</t>
        </is>
      </c>
      <c r="D48" t="inlineStr">
        <is>
          <t>RESULTADO DEL EJERCICIO</t>
        </is>
      </c>
      <c r="E48" t="inlineStr">
        <is>
          <t>RESULTADO ANTES DE IMPUESTOS</t>
        </is>
      </c>
      <c r="F48" t="inlineStr">
        <is>
          <t>RESULTADO DE LA EXPLOTACION</t>
        </is>
      </c>
      <c r="G48" t="inlineStr">
        <is>
          <t>6.- Gastos de personal</t>
        </is>
      </c>
      <c r="H48" t="inlineStr">
        <is>
          <t>(649) Otros gastos sociales</t>
        </is>
      </c>
      <c r="I48" t="inlineStr">
        <is>
          <t>649000007 - GASTOS COMERCIALES J.PAREDES</t>
        </is>
      </c>
      <c r="J48" t="inlineStr">
        <is>
          <t>-</t>
        </is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>
        <f>SUM(K48:V48)</f>
        <v/>
      </c>
      <c r="X48" t="inlineStr">
        <is>
          <t>Cuenta inactiva / sin saldo previsto en 2027.</t>
        </is>
      </c>
    </row>
    <row r="49">
      <c r="B49" t="n">
        <v>2027</v>
      </c>
      <c r="C49" t="inlineStr">
        <is>
          <t>Codiagro</t>
        </is>
      </c>
      <c r="D49" t="inlineStr">
        <is>
          <t>RESULTADO DEL EJERCICIO</t>
        </is>
      </c>
      <c r="E49" t="inlineStr">
        <is>
          <t>RESULTADO ANTES DE IMPUESTOS</t>
        </is>
      </c>
      <c r="F49" t="inlineStr">
        <is>
          <t>RESULTADO DE LA EXPLOTACION</t>
        </is>
      </c>
      <c r="G49" t="inlineStr">
        <is>
          <t>6.- Gastos de personal</t>
        </is>
      </c>
      <c r="H49" t="inlineStr">
        <is>
          <t>(649) Otros gastos sociales</t>
        </is>
      </c>
      <c r="I49" t="inlineStr">
        <is>
          <t>649000009 - GASTOS COMERCIALES J.A. GARCIA</t>
        </is>
      </c>
      <c r="J49" t="inlineStr">
        <is>
          <t>-</t>
        </is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>
        <f>SUM(K49:V49)</f>
        <v/>
      </c>
      <c r="X49" t="inlineStr">
        <is>
          <t>Cuenta inactiva / sin saldo previsto en 2027.</t>
        </is>
      </c>
    </row>
    <row r="50">
      <c r="B50" t="n">
        <v>2027</v>
      </c>
      <c r="C50" t="inlineStr">
        <is>
          <t>Codiagro</t>
        </is>
      </c>
      <c r="D50" t="inlineStr">
        <is>
          <t>RESULTADO DEL EJERCICIO</t>
        </is>
      </c>
      <c r="E50" t="inlineStr">
        <is>
          <t>RESULTADO ANTES DE IMPUESTOS</t>
        </is>
      </c>
      <c r="F50" t="inlineStr">
        <is>
          <t>RESULTADO DE LA EXPLOTACION</t>
        </is>
      </c>
      <c r="G50" t="inlineStr">
        <is>
          <t>6.- Gastos de personal</t>
        </is>
      </c>
      <c r="H50" t="inlineStr">
        <is>
          <t>(649) Otros gastos sociales</t>
        </is>
      </c>
      <c r="I50" t="inlineStr">
        <is>
          <t>649000010 - GASTOS EMP. CURRO</t>
        </is>
      </c>
      <c r="J50" t="inlineStr">
        <is>
          <t>-</t>
        </is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>
        <f>SUM(K50:V50)</f>
        <v/>
      </c>
      <c r="X50" t="inlineStr">
        <is>
          <t>Cuenta inactiva / sin saldo previsto en 2027.</t>
        </is>
      </c>
    </row>
    <row r="51">
      <c r="B51" t="n">
        <v>2027</v>
      </c>
      <c r="C51" t="inlineStr">
        <is>
          <t>Codiagro</t>
        </is>
      </c>
      <c r="D51" t="inlineStr">
        <is>
          <t>RESULTADO DEL EJERCICIO</t>
        </is>
      </c>
      <c r="E51" t="inlineStr">
        <is>
          <t>RESULTADO ANTES DE IMPUESTOS</t>
        </is>
      </c>
      <c r="F51" t="inlineStr">
        <is>
          <t>RESULTADO DE LA EXPLOTACION</t>
        </is>
      </c>
      <c r="G51" t="inlineStr">
        <is>
          <t>6.- Gastos de personal</t>
        </is>
      </c>
      <c r="H51" t="inlineStr">
        <is>
          <t>(649) Otros gastos sociales</t>
        </is>
      </c>
      <c r="I51" t="inlineStr">
        <is>
          <t>649000012 - GASTOS COMERCIALES IRENE GARCIA</t>
        </is>
      </c>
      <c r="J51" t="inlineStr">
        <is>
          <t>-</t>
        </is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>
        <f>SUM(K51:V51)</f>
        <v/>
      </c>
      <c r="X51" t="inlineStr">
        <is>
          <t>Cuenta inactiva / sin saldo previsto en 2027.</t>
        </is>
      </c>
    </row>
    <row r="52">
      <c r="B52" t="n">
        <v>2027</v>
      </c>
      <c r="C52" t="inlineStr">
        <is>
          <t>Codiagro</t>
        </is>
      </c>
      <c r="D52" t="inlineStr">
        <is>
          <t>RESULTADO DEL EJERCICIO</t>
        </is>
      </c>
      <c r="E52" t="inlineStr">
        <is>
          <t>RESULTADO ANTES DE IMPUESTOS</t>
        </is>
      </c>
      <c r="F52" t="inlineStr">
        <is>
          <t>RESULTADO DE LA EXPLOTACION</t>
        </is>
      </c>
      <c r="G52" t="inlineStr">
        <is>
          <t>6.- Gastos de personal</t>
        </is>
      </c>
      <c r="H52" t="inlineStr">
        <is>
          <t>(649) Otros gastos sociales</t>
        </is>
      </c>
      <c r="I52" t="inlineStr">
        <is>
          <t>649000100 - GTOS. CURSOS PERSONAL</t>
        </is>
      </c>
      <c r="J52" t="inlineStr">
        <is>
          <t>-</t>
        </is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-1000</v>
      </c>
      <c r="V52" s="1" t="n">
        <v>-1500</v>
      </c>
      <c r="W52" s="1">
        <f>SUM(K52:V52)</f>
        <v/>
      </c>
      <c r="X52" t="inlineStr">
        <is>
          <t>Formación bonificada y capacitación técnica del personal.</t>
        </is>
      </c>
    </row>
    <row r="53">
      <c r="B53" t="n">
        <v>2027</v>
      </c>
      <c r="C53" t="inlineStr">
        <is>
          <t>Codiagro</t>
        </is>
      </c>
      <c r="D53" t="inlineStr">
        <is>
          <t>RESULTADO DEL EJERCICIO</t>
        </is>
      </c>
      <c r="E53" t="inlineStr">
        <is>
          <t>RESULTADO ANTES DE IMPUESTOS</t>
        </is>
      </c>
      <c r="F53" t="inlineStr">
        <is>
          <t>RESULTADO DE LA EXPLOTACION</t>
        </is>
      </c>
      <c r="G53" t="inlineStr">
        <is>
          <t>6.- Gastos de personal</t>
        </is>
      </c>
      <c r="H53" t="inlineStr">
        <is>
          <t>(649) Otros gastos sociales</t>
        </is>
      </c>
      <c r="I53" t="inlineStr">
        <is>
          <t>649000101 - GTOS. SEG. Y RIESGOS PERSONAL</t>
        </is>
      </c>
      <c r="J53" t="inlineStr">
        <is>
          <t>-</t>
        </is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>
        <f>SUM(K53:V53)</f>
        <v/>
      </c>
      <c r="X53" t="inlineStr">
        <is>
          <t>Cuenta inactiva / sin saldo previsto en 2027.</t>
        </is>
      </c>
    </row>
    <row r="54">
      <c r="B54" t="n">
        <v>2027</v>
      </c>
      <c r="C54" t="inlineStr">
        <is>
          <t>Codiagro</t>
        </is>
      </c>
      <c r="D54" t="inlineStr">
        <is>
          <t>RESULTADO DEL EJERCICIO</t>
        </is>
      </c>
      <c r="E54" t="inlineStr">
        <is>
          <t>RESULTADO ANTES DE IMPUESTOS</t>
        </is>
      </c>
      <c r="F54" t="inlineStr">
        <is>
          <t>RESULTADO DE LA EXPLOTACION</t>
        </is>
      </c>
      <c r="G54" t="inlineStr">
        <is>
          <t>6.- Gastos de personal</t>
        </is>
      </c>
      <c r="H54" t="inlineStr">
        <is>
          <t>(649) Otros gastos sociales</t>
        </is>
      </c>
      <c r="I54" t="inlineStr">
        <is>
          <t>649000102 - GASTOS ROPA UNIFORMES TRABAJADORES</t>
        </is>
      </c>
      <c r="J54" t="inlineStr">
        <is>
          <t>-</t>
        </is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>
        <f>SUM(K54:V54)</f>
        <v/>
      </c>
      <c r="X54" t="inlineStr">
        <is>
          <t>Cuenta inactiva / sin saldo previsto en 2027.</t>
        </is>
      </c>
    </row>
    <row r="55">
      <c r="B55" t="n">
        <v>2027</v>
      </c>
      <c r="C55" t="inlineStr">
        <is>
          <t>Codiagro</t>
        </is>
      </c>
      <c r="D55" t="inlineStr">
        <is>
          <t>RESULTADO DEL EJERCICIO</t>
        </is>
      </c>
      <c r="E55" t="inlineStr">
        <is>
          <t>RESULTADO ANTES DE IMPUESTOS</t>
        </is>
      </c>
      <c r="F55" t="inlineStr">
        <is>
          <t>RESULTADO DE LA EXPLOTACION</t>
        </is>
      </c>
      <c r="G55" t="inlineStr">
        <is>
          <t>6.- Gastos de personal</t>
        </is>
      </c>
      <c r="H55" t="inlineStr">
        <is>
          <t>(649) Otros gastos sociales</t>
        </is>
      </c>
      <c r="I55" t="inlineStr">
        <is>
          <t>649000103 - GASTOS COMBUSTIBLE TRAB.</t>
        </is>
      </c>
      <c r="J55" t="inlineStr">
        <is>
          <t>-</t>
        </is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>
        <f>SUM(K55:V55)</f>
        <v/>
      </c>
      <c r="X55" t="inlineStr">
        <is>
          <t>Cuenta inactiva / sin saldo previsto en 2027.</t>
        </is>
      </c>
    </row>
    <row r="56">
      <c r="B56" t="n">
        <v>2027</v>
      </c>
      <c r="C56" t="inlineStr">
        <is>
          <t>Codiagro</t>
        </is>
      </c>
      <c r="D56" t="inlineStr">
        <is>
          <t>RESULTADO DEL EJERCICIO</t>
        </is>
      </c>
      <c r="E56" t="inlineStr">
        <is>
          <t>RESULTADO ANTES DE IMPUESTOS</t>
        </is>
      </c>
      <c r="F56" t="inlineStr">
        <is>
          <t>RESULTADO DE LA EXPLOTACION</t>
        </is>
      </c>
      <c r="G56" t="inlineStr">
        <is>
          <t>6.- Gastos de personal</t>
        </is>
      </c>
      <c r="H56" t="inlineStr">
        <is>
          <t>(649) Otros gastos sociales</t>
        </is>
      </c>
      <c r="I56" t="inlineStr">
        <is>
          <t>649100001 - GTOS. COMIDAS TRAB.</t>
        </is>
      </c>
      <c r="J56" t="inlineStr">
        <is>
          <t>-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>
        <f>SUM(K56:V56)</f>
        <v/>
      </c>
      <c r="X56" t="inlineStr">
        <is>
          <t>Cuenta inactiva / sin saldo previsto en 2027.</t>
        </is>
      </c>
    </row>
    <row r="57">
      <c r="B57" t="n">
        <v>2027</v>
      </c>
      <c r="C57" t="inlineStr">
        <is>
          <t>Codiagro</t>
        </is>
      </c>
      <c r="D57" t="inlineStr">
        <is>
          <t>RESULTADO DEL EJERCICIO</t>
        </is>
      </c>
      <c r="E57" t="inlineStr">
        <is>
          <t>RESULTADO ANTES DE IMPUESTOS</t>
        </is>
      </c>
      <c r="F57" t="inlineStr">
        <is>
          <t>RESULTADO DE LA EXPLOTACION</t>
        </is>
      </c>
      <c r="G57" t="inlineStr">
        <is>
          <t>6.- Gastos de personal</t>
        </is>
      </c>
      <c r="H57" t="inlineStr">
        <is>
          <t>(649) Otros gastos sociales</t>
        </is>
      </c>
      <c r="I57" t="inlineStr">
        <is>
          <t>649100002 - GASTOS TRAB. EMPRESA VARIOS</t>
        </is>
      </c>
      <c r="J57" t="inlineStr">
        <is>
          <t>-</t>
        </is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>
        <f>SUM(K57:V57)</f>
        <v/>
      </c>
      <c r="X57" t="inlineStr">
        <is>
          <t>Cuenta inactiva / sin saldo previsto en 2027.</t>
        </is>
      </c>
    </row>
    <row r="58">
      <c r="B58" t="n">
        <v>2027</v>
      </c>
      <c r="C58" t="inlineStr">
        <is>
          <t>Codiagro</t>
        </is>
      </c>
      <c r="D58" t="inlineStr">
        <is>
          <t>RESULTADO DEL EJERCICIO</t>
        </is>
      </c>
      <c r="E58" t="inlineStr">
        <is>
          <t>RESULTADO ANTES DE IMPUESTOS</t>
        </is>
      </c>
      <c r="F58" t="inlineStr">
        <is>
          <t>RESULTADO DE LA EXPLOTACION</t>
        </is>
      </c>
      <c r="G58" t="inlineStr">
        <is>
          <t>7.- Otros gastos de explotación</t>
        </is>
      </c>
      <c r="H58" t="inlineStr">
        <is>
          <t>(620) Gastos de investigación y desarrollo</t>
        </is>
      </c>
      <c r="I58" t="inlineStr">
        <is>
          <t>620000002 - COMPRAS LABORATORIO</t>
        </is>
      </c>
      <c r="J58" t="inlineStr">
        <is>
          <t>-</t>
        </is>
      </c>
      <c r="K58" s="1" t="n">
        <v>-322.5</v>
      </c>
      <c r="L58" s="1" t="n">
        <v>-322.5</v>
      </c>
      <c r="M58" s="1" t="n">
        <v>-322.5</v>
      </c>
      <c r="N58" s="1" t="n">
        <v>-322.5</v>
      </c>
      <c r="O58" s="1" t="n">
        <v>-322.5</v>
      </c>
      <c r="P58" s="1" t="n">
        <v>-322.5</v>
      </c>
      <c r="Q58" s="1" t="n">
        <v>-322.5</v>
      </c>
      <c r="R58" s="1" t="n">
        <v>-322.5</v>
      </c>
      <c r="S58" s="1" t="n">
        <v>-322.5</v>
      </c>
      <c r="T58" s="1" t="n">
        <v>-322.5</v>
      </c>
      <c r="U58" s="1" t="n">
        <v>-322.5</v>
      </c>
      <c r="V58" s="1" t="n">
        <v>-322.5</v>
      </c>
      <c r="W58" s="1">
        <f>SUM(K58:V58)</f>
        <v/>
      </c>
      <c r="X58" t="inlineStr">
        <is>
          <t>Coste estratégico de I+D: ensayos agronómicos de eficacia y desarrollo de bioestimulantes.</t>
        </is>
      </c>
    </row>
    <row r="59">
      <c r="B59" t="n">
        <v>2027</v>
      </c>
      <c r="C59" t="inlineStr">
        <is>
          <t>Codiagro</t>
        </is>
      </c>
      <c r="D59" t="inlineStr">
        <is>
          <t>RESULTADO DEL EJERCICIO</t>
        </is>
      </c>
      <c r="E59" t="inlineStr">
        <is>
          <t>RESULTADO ANTES DE IMPUESTOS</t>
        </is>
      </c>
      <c r="F59" t="inlineStr">
        <is>
          <t>RESULTADO DE LA EXPLOTACION</t>
        </is>
      </c>
      <c r="G59" t="inlineStr">
        <is>
          <t>7.- Otros gastos de explotación</t>
        </is>
      </c>
      <c r="H59" t="inlineStr">
        <is>
          <t>(620) Gastos de investigación y desarrollo</t>
        </is>
      </c>
      <c r="I59" t="inlineStr">
        <is>
          <t>620000003 - SUMINISTROS LABORATORIO</t>
        </is>
      </c>
      <c r="J59" t="inlineStr">
        <is>
          <t>-</t>
        </is>
      </c>
      <c r="K59" s="1" t="n">
        <v>-812.59</v>
      </c>
      <c r="L59" s="1" t="n">
        <v>-812.59</v>
      </c>
      <c r="M59" s="1" t="n">
        <v>-812.59</v>
      </c>
      <c r="N59" s="1" t="n">
        <v>-812.59</v>
      </c>
      <c r="O59" s="1" t="n">
        <v>-812.59</v>
      </c>
      <c r="P59" s="1" t="n">
        <v>-812.59</v>
      </c>
      <c r="Q59" s="1" t="n">
        <v>-812.59</v>
      </c>
      <c r="R59" s="1" t="n">
        <v>-812.59</v>
      </c>
      <c r="S59" s="1" t="n">
        <v>-812.59</v>
      </c>
      <c r="T59" s="1" t="n">
        <v>-812.59</v>
      </c>
      <c r="U59" s="1" t="n">
        <v>-812.59</v>
      </c>
      <c r="V59" s="1" t="n">
        <v>-812.59</v>
      </c>
      <c r="W59" s="1">
        <f>SUM(K59:V59)</f>
        <v/>
      </c>
      <c r="X59" t="inlineStr">
        <is>
          <t>Coste estratégico de I+D: ensayos agronómicos de eficacia y desarrollo de bioestimulantes.</t>
        </is>
      </c>
    </row>
    <row r="60">
      <c r="B60" t="n">
        <v>2027</v>
      </c>
      <c r="C60" t="inlineStr">
        <is>
          <t>Codiagro</t>
        </is>
      </c>
      <c r="D60" t="inlineStr">
        <is>
          <t>RESULTADO DEL EJERCICIO</t>
        </is>
      </c>
      <c r="E60" t="inlineStr">
        <is>
          <t>RESULTADO ANTES DE IMPUESTOS</t>
        </is>
      </c>
      <c r="F60" t="inlineStr">
        <is>
          <t>RESULTADO DE LA EXPLOTACION</t>
        </is>
      </c>
      <c r="G60" t="inlineStr">
        <is>
          <t>7.- Otros gastos de explotación</t>
        </is>
      </c>
      <c r="H60" t="inlineStr">
        <is>
          <t>(620) Gastos de investigación y desarrollo</t>
        </is>
      </c>
      <c r="I60" t="inlineStr">
        <is>
          <t>620000004 - GTOS. ANALISIS LABORATORIOS</t>
        </is>
      </c>
      <c r="J60" t="inlineStr">
        <is>
          <t>-</t>
        </is>
      </c>
      <c r="K60" s="1" t="n">
        <v>-1229.19</v>
      </c>
      <c r="L60" s="1" t="n">
        <v>-1229.19</v>
      </c>
      <c r="M60" s="1" t="n">
        <v>-1229.19</v>
      </c>
      <c r="N60" s="1" t="n">
        <v>-1229.19</v>
      </c>
      <c r="O60" s="1" t="n">
        <v>-1229.19</v>
      </c>
      <c r="P60" s="1" t="n">
        <v>-1229.19</v>
      </c>
      <c r="Q60" s="1" t="n">
        <v>-1229.19</v>
      </c>
      <c r="R60" s="1" t="n">
        <v>-1229.19</v>
      </c>
      <c r="S60" s="1" t="n">
        <v>-1229.19</v>
      </c>
      <c r="T60" s="1" t="n">
        <v>-1229.19</v>
      </c>
      <c r="U60" s="1" t="n">
        <v>-1229.19</v>
      </c>
      <c r="V60" s="1" t="n">
        <v>-1229.19</v>
      </c>
      <c r="W60" s="1">
        <f>SUM(K60:V60)</f>
        <v/>
      </c>
      <c r="X60" t="inlineStr">
        <is>
          <t>Coste estratégico de I+D: ensayos agronómicos de eficacia y desarrollo de bioestimulantes.</t>
        </is>
      </c>
    </row>
    <row r="61">
      <c r="B61" t="n">
        <v>2027</v>
      </c>
      <c r="C61" t="inlineStr">
        <is>
          <t>Codiagro</t>
        </is>
      </c>
      <c r="D61" t="inlineStr">
        <is>
          <t>RESULTADO DEL EJERCICIO</t>
        </is>
      </c>
      <c r="E61" t="inlineStr">
        <is>
          <t>RESULTADO ANTES DE IMPUESTOS</t>
        </is>
      </c>
      <c r="F61" t="inlineStr">
        <is>
          <t>RESULTADO DE LA EXPLOTACION</t>
        </is>
      </c>
      <c r="G61" t="inlineStr">
        <is>
          <t>7.- Otros gastos de explotación</t>
        </is>
      </c>
      <c r="H61" t="inlineStr">
        <is>
          <t>(621) Arrendamientos y cánones</t>
        </is>
      </c>
      <c r="I61" t="inlineStr">
        <is>
          <t>621000001 - ALQUILER OFICINA CARTAGENA</t>
        </is>
      </c>
      <c r="J61" t="inlineStr">
        <is>
          <t>-</t>
        </is>
      </c>
      <c r="K61" s="1" t="n">
        <v>-192</v>
      </c>
      <c r="L61" s="1" t="n">
        <v>-192</v>
      </c>
      <c r="M61" s="1" t="n">
        <v>-192</v>
      </c>
      <c r="N61" s="1" t="n">
        <v>-192</v>
      </c>
      <c r="O61" s="1" t="n">
        <v>-192</v>
      </c>
      <c r="P61" s="1" t="n">
        <v>-192</v>
      </c>
      <c r="Q61" s="1" t="n">
        <v>-192</v>
      </c>
      <c r="R61" s="1" t="n">
        <v>-192</v>
      </c>
      <c r="S61" s="1" t="n">
        <v>-192</v>
      </c>
      <c r="T61" s="1" t="n">
        <v>-192</v>
      </c>
      <c r="U61" s="1" t="n">
        <v>-192</v>
      </c>
      <c r="V61" s="1" t="n">
        <v>-192</v>
      </c>
      <c r="W61" s="1">
        <f>SUM(K61:V61)</f>
        <v/>
      </c>
      <c r="X61" t="inlineStr">
        <is>
          <t>Coste fijo mensual según contratos vigentes de renting de vehículos y maquinaria auxiliar.</t>
        </is>
      </c>
    </row>
    <row r="62">
      <c r="B62" t="n">
        <v>2027</v>
      </c>
      <c r="C62" t="inlineStr">
        <is>
          <t>Codiagro</t>
        </is>
      </c>
      <c r="D62" t="inlineStr">
        <is>
          <t>RESULTADO DEL EJERCICIO</t>
        </is>
      </c>
      <c r="E62" t="inlineStr">
        <is>
          <t>RESULTADO ANTES DE IMPUESTOS</t>
        </is>
      </c>
      <c r="F62" t="inlineStr">
        <is>
          <t>RESULTADO DE LA EXPLOTACION</t>
        </is>
      </c>
      <c r="G62" t="inlineStr">
        <is>
          <t>7.- Otros gastos de explotación</t>
        </is>
      </c>
      <c r="H62" t="inlineStr">
        <is>
          <t>(621) Arrendamientos y cánones</t>
        </is>
      </c>
      <c r="I62" t="inlineStr">
        <is>
          <t>621000014 - ALQUILER MURANO</t>
        </is>
      </c>
      <c r="J62" t="inlineStr">
        <is>
          <t>-</t>
        </is>
      </c>
      <c r="K62" s="3" t="n">
        <v>-1877.6</v>
      </c>
      <c r="L62" s="3" t="n">
        <v>-1877.6</v>
      </c>
      <c r="M62" s="3" t="n">
        <v>-1877.6</v>
      </c>
      <c r="N62" s="3" t="n">
        <v>-1877.6</v>
      </c>
      <c r="O62" s="3" t="n">
        <v>-1877.6</v>
      </c>
      <c r="P62" s="3" t="n">
        <v>-1877.6</v>
      </c>
      <c r="Q62" s="3" t="n">
        <v>-1877.6</v>
      </c>
      <c r="R62" s="3" t="n">
        <v>-1877.6</v>
      </c>
      <c r="S62" s="3" t="n">
        <v>-1877.6</v>
      </c>
      <c r="T62" s="3" t="n">
        <v>-1877.6</v>
      </c>
      <c r="U62" s="3" t="n">
        <v>-1877.6</v>
      </c>
      <c r="V62" s="3" t="n">
        <v>-1877.6</v>
      </c>
      <c r="W62" s="1">
        <f>SUM(K62:V62)</f>
        <v/>
      </c>
      <c r="X62" t="inlineStr">
        <is>
          <t>Arrendamiento Murano: coste anual pagado en 2026 (21.560,96 €) ajustado por inflación (+4,5% = 22.531,20 €/año, -1.877,60 €/mes).</t>
        </is>
      </c>
    </row>
    <row r="63">
      <c r="B63" t="n">
        <v>2027</v>
      </c>
      <c r="C63" t="inlineStr">
        <is>
          <t>Codiagro</t>
        </is>
      </c>
      <c r="D63" t="inlineStr">
        <is>
          <t>RESULTADO DEL EJERCICIO</t>
        </is>
      </c>
      <c r="E63" t="inlineStr">
        <is>
          <t>RESULTADO ANTES DE IMPUESTOS</t>
        </is>
      </c>
      <c r="F63" t="inlineStr">
        <is>
          <t>RESULTADO DE LA EXPLOTACION</t>
        </is>
      </c>
      <c r="G63" t="inlineStr">
        <is>
          <t>7.- Otros gastos de explotación</t>
        </is>
      </c>
      <c r="H63" t="inlineStr">
        <is>
          <t>(621) Arrendamientos y cánones</t>
        </is>
      </c>
      <c r="I63" t="inlineStr">
        <is>
          <t>621000023 - RENTING TRANSPALETA ELECTRICA DE PIE</t>
        </is>
      </c>
      <c r="J63" t="inlineStr">
        <is>
          <t>-</t>
        </is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>
        <f>SUM(K63:V63)</f>
        <v/>
      </c>
      <c r="X63" t="inlineStr">
        <is>
          <t>Sin dotación presupuestada en 2027.</t>
        </is>
      </c>
    </row>
    <row r="64">
      <c r="B64" t="n">
        <v>2027</v>
      </c>
      <c r="C64" t="inlineStr">
        <is>
          <t>Codiagro</t>
        </is>
      </c>
      <c r="D64" t="inlineStr">
        <is>
          <t>RESULTADO DEL EJERCICIO</t>
        </is>
      </c>
      <c r="E64" t="inlineStr">
        <is>
          <t>RESULTADO ANTES DE IMPUESTOS</t>
        </is>
      </c>
      <c r="F64" t="inlineStr">
        <is>
          <t>RESULTADO DE LA EXPLOTACION</t>
        </is>
      </c>
      <c r="G64" t="inlineStr">
        <is>
          <t>7.- Otros gastos de explotación</t>
        </is>
      </c>
      <c r="H64" t="inlineStr">
        <is>
          <t>(621) Arrendamientos y cánones</t>
        </is>
      </c>
      <c r="I64" t="inlineStr">
        <is>
          <t>621000024 - ALQUILER RENTING 2255KXN ANTONIO</t>
        </is>
      </c>
      <c r="J64" t="inlineStr">
        <is>
          <t>-</t>
        </is>
      </c>
      <c r="K64" s="1" t="n">
        <v>-361.46</v>
      </c>
      <c r="L64" s="1" t="n">
        <v>-361.46</v>
      </c>
      <c r="M64" s="1" t="n">
        <v>-361.46</v>
      </c>
      <c r="N64" s="1" t="n">
        <v>-361.46</v>
      </c>
      <c r="O64" s="1" t="n">
        <v>-361.46</v>
      </c>
      <c r="P64" s="1" t="n">
        <v>-361.46</v>
      </c>
      <c r="Q64" s="1" t="n">
        <v>-361.46</v>
      </c>
      <c r="R64" s="1" t="n">
        <v>-361.46</v>
      </c>
      <c r="S64" s="1" t="n">
        <v>-361.46</v>
      </c>
      <c r="T64" s="1" t="n">
        <v>-361.46</v>
      </c>
      <c r="U64" s="1" t="n">
        <v>-361.46</v>
      </c>
      <c r="V64" s="1" t="n">
        <v>-361.46</v>
      </c>
      <c r="W64" s="1">
        <f>SUM(K64:V64)</f>
        <v/>
      </c>
      <c r="X64" t="inlineStr">
        <is>
          <t>Coste fijo mensual según contratos vigentes de renting de vehículos y maquinaria auxiliar.</t>
        </is>
      </c>
    </row>
    <row r="65">
      <c r="B65" t="n">
        <v>2027</v>
      </c>
      <c r="C65" t="inlineStr">
        <is>
          <t>Codiagro</t>
        </is>
      </c>
      <c r="D65" t="inlineStr">
        <is>
          <t>RESULTADO DEL EJERCICIO</t>
        </is>
      </c>
      <c r="E65" t="inlineStr">
        <is>
          <t>RESULTADO ANTES DE IMPUESTOS</t>
        </is>
      </c>
      <c r="F65" t="inlineStr">
        <is>
          <t>RESULTADO DE LA EXPLOTACION</t>
        </is>
      </c>
      <c r="G65" t="inlineStr">
        <is>
          <t>7.- Otros gastos de explotación</t>
        </is>
      </c>
      <c r="H65" t="inlineStr">
        <is>
          <t>(621) Arrendamientos y cánones</t>
        </is>
      </c>
      <c r="I65" t="inlineStr">
        <is>
          <t>621000025 - ALQUILER RENTING 9128 LBT NIEVES</t>
        </is>
      </c>
      <c r="J65" t="inlineStr">
        <is>
          <t>-</t>
        </is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>
        <f>SUM(K65:V65)</f>
        <v/>
      </c>
      <c r="X65" t="inlineStr">
        <is>
          <t>Sin dotación presupuestada en 2027.</t>
        </is>
      </c>
    </row>
    <row r="66">
      <c r="B66" t="n">
        <v>2027</v>
      </c>
      <c r="C66" t="inlineStr">
        <is>
          <t>Codiagro</t>
        </is>
      </c>
      <c r="D66" t="inlineStr">
        <is>
          <t>RESULTADO DEL EJERCICIO</t>
        </is>
      </c>
      <c r="E66" t="inlineStr">
        <is>
          <t>RESULTADO ANTES DE IMPUESTOS</t>
        </is>
      </c>
      <c r="F66" t="inlineStr">
        <is>
          <t>RESULTADO DE LA EXPLOTACION</t>
        </is>
      </c>
      <c r="G66" t="inlineStr">
        <is>
          <t>7.- Otros gastos de explotación</t>
        </is>
      </c>
      <c r="H66" t="inlineStr">
        <is>
          <t>(621) Arrendamientos y cánones</t>
        </is>
      </c>
      <c r="I66" t="inlineStr">
        <is>
          <t>621000026 - ALQUILER RENTING 9319LCL CURRO</t>
        </is>
      </c>
      <c r="J66" t="inlineStr">
        <is>
          <t>-</t>
        </is>
      </c>
      <c r="K66" s="1" t="n">
        <v>-369.97</v>
      </c>
      <c r="L66" s="1" t="n">
        <v>-369.97</v>
      </c>
      <c r="M66" s="1" t="n">
        <v>-369.97</v>
      </c>
      <c r="N66" s="1" t="n">
        <v>-369.97</v>
      </c>
      <c r="O66" s="1" t="n">
        <v>-369.97</v>
      </c>
      <c r="P66" s="1" t="n">
        <v>-369.97</v>
      </c>
      <c r="Q66" s="1" t="n">
        <v>-369.97</v>
      </c>
      <c r="R66" s="1" t="n">
        <v>-369.97</v>
      </c>
      <c r="S66" s="1" t="n">
        <v>-369.97</v>
      </c>
      <c r="T66" s="1" t="n">
        <v>-369.97</v>
      </c>
      <c r="U66" s="1" t="n">
        <v>-369.97</v>
      </c>
      <c r="V66" s="1" t="n">
        <v>-369.97</v>
      </c>
      <c r="W66" s="1">
        <f>SUM(K66:V66)</f>
        <v/>
      </c>
      <c r="X66" t="inlineStr">
        <is>
          <t>Coste fijo mensual según contratos vigentes de renting de vehículos y maquinaria auxiliar.</t>
        </is>
      </c>
    </row>
    <row r="67">
      <c r="B67" t="n">
        <v>2027</v>
      </c>
      <c r="C67" t="inlineStr">
        <is>
          <t>Codiagro</t>
        </is>
      </c>
      <c r="D67" t="inlineStr">
        <is>
          <t>RESULTADO DEL EJERCICIO</t>
        </is>
      </c>
      <c r="E67" t="inlineStr">
        <is>
          <t>RESULTADO ANTES DE IMPUESTOS</t>
        </is>
      </c>
      <c r="F67" t="inlineStr">
        <is>
          <t>RESULTADO DE LA EXPLOTACION</t>
        </is>
      </c>
      <c r="G67" t="inlineStr">
        <is>
          <t>7.- Otros gastos de explotación</t>
        </is>
      </c>
      <c r="H67" t="inlineStr">
        <is>
          <t>(621) Arrendamientos y cánones</t>
        </is>
      </c>
      <c r="I67" t="inlineStr">
        <is>
          <t>621000030 - ALQUILER RENTING 1075-LSC GARCIA</t>
        </is>
      </c>
      <c r="J67" t="inlineStr">
        <is>
          <t>-</t>
        </is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>
        <f>SUM(K67:V67)</f>
        <v/>
      </c>
      <c r="X67" t="inlineStr">
        <is>
          <t>Sin dotación presupuestada en 2027.</t>
        </is>
      </c>
    </row>
    <row r="68">
      <c r="B68" t="n">
        <v>2027</v>
      </c>
      <c r="C68" t="inlineStr">
        <is>
          <t>Codiagro</t>
        </is>
      </c>
      <c r="D68" t="inlineStr">
        <is>
          <t>RESULTADO DEL EJERCICIO</t>
        </is>
      </c>
      <c r="E68" t="inlineStr">
        <is>
          <t>RESULTADO ANTES DE IMPUESTOS</t>
        </is>
      </c>
      <c r="F68" t="inlineStr">
        <is>
          <t>RESULTADO DE LA EXPLOTACION</t>
        </is>
      </c>
      <c r="G68" t="inlineStr">
        <is>
          <t>7.- Otros gastos de explotación</t>
        </is>
      </c>
      <c r="H68" t="inlineStr">
        <is>
          <t>(621) Arrendamientos y cánones</t>
        </is>
      </c>
      <c r="I68" t="inlineStr">
        <is>
          <t>621000031 - ALQUILER RENTING KONICA-MINOLTA Y KYOCERA</t>
        </is>
      </c>
      <c r="J68" t="inlineStr">
        <is>
          <t>-</t>
        </is>
      </c>
      <c r="K68" s="1" t="n">
        <v>-338</v>
      </c>
      <c r="L68" s="1" t="n">
        <v>-338</v>
      </c>
      <c r="M68" s="1" t="n">
        <v>-338</v>
      </c>
      <c r="N68" s="1" t="n">
        <v>-338</v>
      </c>
      <c r="O68" s="1" t="n">
        <v>-338</v>
      </c>
      <c r="P68" s="1" t="n">
        <v>-338</v>
      </c>
      <c r="Q68" s="1" t="n">
        <v>-338</v>
      </c>
      <c r="R68" s="1" t="n">
        <v>-338</v>
      </c>
      <c r="S68" s="1" t="n">
        <v>-338</v>
      </c>
      <c r="T68" s="1" t="n">
        <v>-338</v>
      </c>
      <c r="U68" s="1" t="n">
        <v>-338</v>
      </c>
      <c r="V68" s="1" t="n">
        <v>-338</v>
      </c>
      <c r="W68" s="1">
        <f>SUM(K68:V68)</f>
        <v/>
      </c>
      <c r="X68" t="inlineStr">
        <is>
          <t>Coste fijo mensual según contratos vigentes de renting de vehículos y maquinaria auxiliar.</t>
        </is>
      </c>
    </row>
    <row r="69">
      <c r="B69" t="n">
        <v>2027</v>
      </c>
      <c r="C69" t="inlineStr">
        <is>
          <t>Codiagro</t>
        </is>
      </c>
      <c r="D69" t="inlineStr">
        <is>
          <t>RESULTADO DEL EJERCICIO</t>
        </is>
      </c>
      <c r="E69" t="inlineStr">
        <is>
          <t>RESULTADO ANTES DE IMPUESTOS</t>
        </is>
      </c>
      <c r="F69" t="inlineStr">
        <is>
          <t>RESULTADO DE LA EXPLOTACION</t>
        </is>
      </c>
      <c r="G69" t="inlineStr">
        <is>
          <t>7.- Otros gastos de explotación</t>
        </is>
      </c>
      <c r="H69" t="inlineStr">
        <is>
          <t>(621) Arrendamientos y cánones</t>
        </is>
      </c>
      <c r="I69" t="inlineStr">
        <is>
          <t>621000032 - ALQUILER RENTING 6665-LVK JOSE JUAN</t>
        </is>
      </c>
      <c r="J69" t="inlineStr">
        <is>
          <t>-</t>
        </is>
      </c>
      <c r="K69" s="1" t="n">
        <v>-470.16</v>
      </c>
      <c r="L69" s="1" t="n">
        <v>-470.16</v>
      </c>
      <c r="M69" s="1" t="n">
        <v>-470.16</v>
      </c>
      <c r="N69" s="1" t="n">
        <v>-470.16</v>
      </c>
      <c r="O69" s="1" t="n">
        <v>-470.16</v>
      </c>
      <c r="P69" s="1" t="n">
        <v>-470.16</v>
      </c>
      <c r="Q69" s="1" t="n">
        <v>-470.16</v>
      </c>
      <c r="R69" s="1" t="n">
        <v>-470.16</v>
      </c>
      <c r="S69" s="1" t="n">
        <v>-470.16</v>
      </c>
      <c r="T69" s="1" t="n">
        <v>-470.16</v>
      </c>
      <c r="U69" s="1" t="n">
        <v>-470.16</v>
      </c>
      <c r="V69" s="1" t="n">
        <v>-470.16</v>
      </c>
      <c r="W69" s="1">
        <f>SUM(K69:V69)</f>
        <v/>
      </c>
      <c r="X69" t="inlineStr">
        <is>
          <t>Coste fijo mensual según contratos vigentes de renting de vehículos y maquinaria auxiliar.</t>
        </is>
      </c>
    </row>
    <row r="70">
      <c r="B70" t="n">
        <v>2027</v>
      </c>
      <c r="C70" t="inlineStr">
        <is>
          <t>Codiagro</t>
        </is>
      </c>
      <c r="D70" t="inlineStr">
        <is>
          <t>RESULTADO DEL EJERCICIO</t>
        </is>
      </c>
      <c r="E70" t="inlineStr">
        <is>
          <t>RESULTADO ANTES DE IMPUESTOS</t>
        </is>
      </c>
      <c r="F70" t="inlineStr">
        <is>
          <t>RESULTADO DE LA EXPLOTACION</t>
        </is>
      </c>
      <c r="G70" t="inlineStr">
        <is>
          <t>7.- Otros gastos de explotación</t>
        </is>
      </c>
      <c r="H70" t="inlineStr">
        <is>
          <t>(621) Arrendamientos y cánones</t>
        </is>
      </c>
      <c r="I70" t="inlineStr">
        <is>
          <t>621000033 - ALQUILER RENTING 2612-MBY ANTONIO</t>
        </is>
      </c>
      <c r="J70" t="inlineStr">
        <is>
          <t>-</t>
        </is>
      </c>
      <c r="K70" s="1" t="n">
        <v>-345.06</v>
      </c>
      <c r="L70" s="1" t="n">
        <v>-345.06</v>
      </c>
      <c r="M70" s="1" t="n">
        <v>-345.06</v>
      </c>
      <c r="N70" s="1" t="n">
        <v>-345.06</v>
      </c>
      <c r="O70" s="1" t="n">
        <v>-345.06</v>
      </c>
      <c r="P70" s="1" t="n">
        <v>-345.06</v>
      </c>
      <c r="Q70" s="1" t="n">
        <v>-345.06</v>
      </c>
      <c r="R70" s="1" t="n">
        <v>-345.06</v>
      </c>
      <c r="S70" s="1" t="n">
        <v>-345.06</v>
      </c>
      <c r="T70" s="1" t="n">
        <v>-345.06</v>
      </c>
      <c r="U70" s="1" t="n">
        <v>-345.06</v>
      </c>
      <c r="V70" s="1" t="n">
        <v>-345.06</v>
      </c>
      <c r="W70" s="1">
        <f>SUM(K70:V70)</f>
        <v/>
      </c>
      <c r="X70" t="inlineStr">
        <is>
          <t>Coste fijo mensual según contratos vigentes de renting de vehículos y maquinaria auxiliar.</t>
        </is>
      </c>
    </row>
    <row r="71">
      <c r="B71" t="n">
        <v>2027</v>
      </c>
      <c r="C71" t="inlineStr">
        <is>
          <t>Codiagro</t>
        </is>
      </c>
      <c r="D71" t="inlineStr">
        <is>
          <t>RESULTADO DEL EJERCICIO</t>
        </is>
      </c>
      <c r="E71" t="inlineStr">
        <is>
          <t>RESULTADO ANTES DE IMPUESTOS</t>
        </is>
      </c>
      <c r="F71" t="inlineStr">
        <is>
          <t>RESULTADO DE LA EXPLOTACION</t>
        </is>
      </c>
      <c r="G71" t="inlineStr">
        <is>
          <t>7.- Otros gastos de explotación</t>
        </is>
      </c>
      <c r="H71" t="inlineStr">
        <is>
          <t>(621) Arrendamientos y cánones</t>
        </is>
      </c>
      <c r="I71" t="inlineStr">
        <is>
          <t>621000034 - ALQUILER RENTING 3108-LZM NIEVES</t>
        </is>
      </c>
      <c r="J71" t="inlineStr">
        <is>
          <t>-</t>
        </is>
      </c>
      <c r="K71" s="1" t="n">
        <v>-813.6900000000001</v>
      </c>
      <c r="L71" s="1" t="n">
        <v>-813.6900000000001</v>
      </c>
      <c r="M71" s="1" t="n">
        <v>-813.6900000000001</v>
      </c>
      <c r="N71" s="1" t="n">
        <v>-813.6900000000001</v>
      </c>
      <c r="O71" s="1" t="n">
        <v>-813.6900000000001</v>
      </c>
      <c r="P71" s="1" t="n">
        <v>-813.6900000000001</v>
      </c>
      <c r="Q71" s="1" t="n">
        <v>-813.6900000000001</v>
      </c>
      <c r="R71" s="1" t="n">
        <v>-813.6900000000001</v>
      </c>
      <c r="S71" s="1" t="n">
        <v>-813.6900000000001</v>
      </c>
      <c r="T71" s="1" t="n">
        <v>-813.6900000000001</v>
      </c>
      <c r="U71" s="1" t="n">
        <v>-813.6900000000001</v>
      </c>
      <c r="V71" s="1" t="n">
        <v>-813.6900000000001</v>
      </c>
      <c r="W71" s="1">
        <f>SUM(K71:V71)</f>
        <v/>
      </c>
      <c r="X71" t="inlineStr">
        <is>
          <t>Coste fijo mensual según contratos vigentes de renting de vehículos y maquinaria auxiliar.</t>
        </is>
      </c>
    </row>
    <row r="72">
      <c r="B72" t="n">
        <v>2027</v>
      </c>
      <c r="C72" t="inlineStr">
        <is>
          <t>Codiagro</t>
        </is>
      </c>
      <c r="D72" t="inlineStr">
        <is>
          <t>RESULTADO DEL EJERCICIO</t>
        </is>
      </c>
      <c r="E72" t="inlineStr">
        <is>
          <t>RESULTADO ANTES DE IMPUESTOS</t>
        </is>
      </c>
      <c r="F72" t="inlineStr">
        <is>
          <t>RESULTADO DE LA EXPLOTACION</t>
        </is>
      </c>
      <c r="G72" t="inlineStr">
        <is>
          <t>7.- Otros gastos de explotación</t>
        </is>
      </c>
      <c r="H72" t="inlineStr">
        <is>
          <t>(621) Arrendamientos y cánones</t>
        </is>
      </c>
      <c r="I72" t="inlineStr">
        <is>
          <t>621000035 - ALQUILER RENTING 2142-MCS RICARDO</t>
        </is>
      </c>
      <c r="J72" t="inlineStr">
        <is>
          <t>-</t>
        </is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>
        <f>SUM(K72:V72)</f>
        <v/>
      </c>
      <c r="X72" t="inlineStr">
        <is>
          <t>Sin dotación presupuestada en 2027.</t>
        </is>
      </c>
    </row>
    <row r="73">
      <c r="B73" t="n">
        <v>2027</v>
      </c>
      <c r="C73" t="inlineStr">
        <is>
          <t>Codiagro</t>
        </is>
      </c>
      <c r="D73" t="inlineStr">
        <is>
          <t>RESULTADO DEL EJERCICIO</t>
        </is>
      </c>
      <c r="E73" t="inlineStr">
        <is>
          <t>RESULTADO ANTES DE IMPUESTOS</t>
        </is>
      </c>
      <c r="F73" t="inlineStr">
        <is>
          <t>RESULTADO DE LA EXPLOTACION</t>
        </is>
      </c>
      <c r="G73" t="inlineStr">
        <is>
          <t>7.- Otros gastos de explotación</t>
        </is>
      </c>
      <c r="H73" t="inlineStr">
        <is>
          <t>(621) Arrendamientos y cánones</t>
        </is>
      </c>
      <c r="I73" t="inlineStr">
        <is>
          <t>621000036 - ALQUILER RENTING 3277-MDX JAVIER</t>
        </is>
      </c>
      <c r="J73" t="inlineStr">
        <is>
          <t>-</t>
        </is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>
        <f>SUM(K73:V73)</f>
        <v/>
      </c>
      <c r="X73" t="inlineStr">
        <is>
          <t>Sin dotación presupuestada en 2027.</t>
        </is>
      </c>
    </row>
    <row r="74">
      <c r="B74" t="n">
        <v>2027</v>
      </c>
      <c r="C74" t="inlineStr">
        <is>
          <t>Codiagro</t>
        </is>
      </c>
      <c r="D74" t="inlineStr">
        <is>
          <t>RESULTADO DEL EJERCICIO</t>
        </is>
      </c>
      <c r="E74" t="inlineStr">
        <is>
          <t>RESULTADO ANTES DE IMPUESTOS</t>
        </is>
      </c>
      <c r="F74" t="inlineStr">
        <is>
          <t>RESULTADO DE LA EXPLOTACION</t>
        </is>
      </c>
      <c r="G74" t="inlineStr">
        <is>
          <t>7.- Otros gastos de explotación</t>
        </is>
      </c>
      <c r="H74" t="inlineStr">
        <is>
          <t>(621) Arrendamientos y cánones</t>
        </is>
      </c>
      <c r="I74" t="inlineStr">
        <is>
          <t>621000037 - CARRETILLA STILL ELEKTROSTAPLER 516213H00521</t>
        </is>
      </c>
      <c r="J74" t="inlineStr">
        <is>
          <t>-</t>
        </is>
      </c>
      <c r="K74" s="1" t="n">
        <v>-228.57</v>
      </c>
      <c r="L74" s="1" t="n">
        <v>-228.57</v>
      </c>
      <c r="M74" s="1" t="n">
        <v>-228.57</v>
      </c>
      <c r="N74" s="1" t="n">
        <v>-228.57</v>
      </c>
      <c r="O74" s="1" t="n">
        <v>-228.57</v>
      </c>
      <c r="P74" s="1" t="n">
        <v>-228.57</v>
      </c>
      <c r="Q74" s="1" t="n">
        <v>-228.57</v>
      </c>
      <c r="R74" s="1" t="n">
        <v>-228.57</v>
      </c>
      <c r="S74" s="1" t="n">
        <v>-228.57</v>
      </c>
      <c r="T74" s="1" t="n">
        <v>-228.57</v>
      </c>
      <c r="U74" s="1" t="n">
        <v>-228.57</v>
      </c>
      <c r="V74" s="1" t="n">
        <v>-228.57</v>
      </c>
      <c r="W74" s="1">
        <f>SUM(K74:V74)</f>
        <v/>
      </c>
      <c r="X74" t="inlineStr">
        <is>
          <t>Coste fijo mensual según contratos vigentes de renting de vehículos y maquinaria auxiliar.</t>
        </is>
      </c>
    </row>
    <row r="75">
      <c r="B75" t="n">
        <v>2027</v>
      </c>
      <c r="C75" t="inlineStr">
        <is>
          <t>Codiagro</t>
        </is>
      </c>
      <c r="D75" t="inlineStr">
        <is>
          <t>RESULTADO DEL EJERCICIO</t>
        </is>
      </c>
      <c r="E75" t="inlineStr">
        <is>
          <t>RESULTADO ANTES DE IMPUESTOS</t>
        </is>
      </c>
      <c r="F75" t="inlineStr">
        <is>
          <t>RESULTADO DE LA EXPLOTACION</t>
        </is>
      </c>
      <c r="G75" t="inlineStr">
        <is>
          <t>7.- Otros gastos de explotación</t>
        </is>
      </c>
      <c r="H75" t="inlineStr">
        <is>
          <t>(621) Arrendamientos y cánones</t>
        </is>
      </c>
      <c r="I75" t="inlineStr">
        <is>
          <t>621000038 - CARRETILLA STILL ELEKTROSTAPLER 516223J00123</t>
        </is>
      </c>
      <c r="J75" t="inlineStr">
        <is>
          <t>-</t>
        </is>
      </c>
      <c r="K75" s="1" t="n">
        <v>-228.82</v>
      </c>
      <c r="L75" s="1" t="n">
        <v>-228.82</v>
      </c>
      <c r="M75" s="1" t="n">
        <v>-228.82</v>
      </c>
      <c r="N75" s="1" t="n">
        <v>-228.82</v>
      </c>
      <c r="O75" s="1" t="n">
        <v>-228.82</v>
      </c>
      <c r="P75" s="1" t="n">
        <v>-228.82</v>
      </c>
      <c r="Q75" s="1" t="n">
        <v>-228.82</v>
      </c>
      <c r="R75" s="1" t="n">
        <v>-228.82</v>
      </c>
      <c r="S75" s="1" t="n">
        <v>-228.82</v>
      </c>
      <c r="T75" s="1" t="n">
        <v>-228.82</v>
      </c>
      <c r="U75" s="1" t="n">
        <v>-228.82</v>
      </c>
      <c r="V75" s="1" t="n">
        <v>-228.82</v>
      </c>
      <c r="W75" s="1">
        <f>SUM(K75:V75)</f>
        <v/>
      </c>
      <c r="X75" t="inlineStr">
        <is>
          <t>Coste fijo mensual según contratos vigentes de renting de vehículos y maquinaria auxiliar.</t>
        </is>
      </c>
    </row>
    <row r="76">
      <c r="B76" t="n">
        <v>2027</v>
      </c>
      <c r="C76" t="inlineStr">
        <is>
          <t>Codiagro</t>
        </is>
      </c>
      <c r="D76" t="inlineStr">
        <is>
          <t>RESULTADO DEL EJERCICIO</t>
        </is>
      </c>
      <c r="E76" t="inlineStr">
        <is>
          <t>RESULTADO ANTES DE IMPUESTOS</t>
        </is>
      </c>
      <c r="F76" t="inlineStr">
        <is>
          <t>RESULTADO DE LA EXPLOTACION</t>
        </is>
      </c>
      <c r="G76" t="inlineStr">
        <is>
          <t>7.- Otros gastos de explotación</t>
        </is>
      </c>
      <c r="H76" t="inlineStr">
        <is>
          <t>(621) Arrendamientos y cánones</t>
        </is>
      </c>
      <c r="I76" t="inlineStr">
        <is>
          <t>621000039 - ALQUILER RENTING 5043-MWW CURRO</t>
        </is>
      </c>
      <c r="J76" t="inlineStr">
        <is>
          <t>-</t>
        </is>
      </c>
      <c r="K76" s="1" t="n">
        <v>-482.36</v>
      </c>
      <c r="L76" s="1" t="n">
        <v>-482.36</v>
      </c>
      <c r="M76" s="1" t="n">
        <v>-482.36</v>
      </c>
      <c r="N76" s="1" t="n">
        <v>-482.36</v>
      </c>
      <c r="O76" s="1" t="n">
        <v>-482.36</v>
      </c>
      <c r="P76" s="1" t="n">
        <v>-482.36</v>
      </c>
      <c r="Q76" s="1" t="n">
        <v>-482.36</v>
      </c>
      <c r="R76" s="1" t="n">
        <v>-482.36</v>
      </c>
      <c r="S76" s="1" t="n">
        <v>-482.36</v>
      </c>
      <c r="T76" s="1" t="n">
        <v>-482.36</v>
      </c>
      <c r="U76" s="1" t="n">
        <v>-482.36</v>
      </c>
      <c r="V76" s="1" t="n">
        <v>-482.36</v>
      </c>
      <c r="W76" s="1">
        <f>SUM(K76:V76)</f>
        <v/>
      </c>
      <c r="X76" t="inlineStr">
        <is>
          <t>Coste fijo mensual según contratos vigentes de renting de vehículos y maquinaria auxiliar.</t>
        </is>
      </c>
    </row>
    <row r="77">
      <c r="B77" t="n">
        <v>2027</v>
      </c>
      <c r="C77" t="inlineStr">
        <is>
          <t>Codiagro</t>
        </is>
      </c>
      <c r="D77" t="inlineStr">
        <is>
          <t>RESULTADO DEL EJERCICIO</t>
        </is>
      </c>
      <c r="E77" t="inlineStr">
        <is>
          <t>RESULTADO ANTES DE IMPUESTOS</t>
        </is>
      </c>
      <c r="F77" t="inlineStr">
        <is>
          <t>RESULTADO DE LA EXPLOTACION</t>
        </is>
      </c>
      <c r="G77" t="inlineStr">
        <is>
          <t>7.- Otros gastos de explotación</t>
        </is>
      </c>
      <c r="H77" t="inlineStr">
        <is>
          <t>(621) Arrendamientos y cánones</t>
        </is>
      </c>
      <c r="I77" t="inlineStr">
        <is>
          <t>621000040 - ALQUILER RENTING 8917-MZT JAVIER</t>
        </is>
      </c>
      <c r="J77" t="inlineStr">
        <is>
          <t>-</t>
        </is>
      </c>
      <c r="K77" s="1" t="n">
        <v>-1557.86</v>
      </c>
      <c r="L77" s="1" t="n">
        <v>-1557.86</v>
      </c>
      <c r="M77" s="1" t="n">
        <v>-1557.86</v>
      </c>
      <c r="N77" s="1" t="n">
        <v>-1557.86</v>
      </c>
      <c r="O77" s="1" t="n">
        <v>-1557.86</v>
      </c>
      <c r="P77" s="1" t="n">
        <v>-1557.86</v>
      </c>
      <c r="Q77" s="1" t="n">
        <v>-1557.86</v>
      </c>
      <c r="R77" s="1" t="n">
        <v>-1557.86</v>
      </c>
      <c r="S77" s="1" t="n">
        <v>-1557.86</v>
      </c>
      <c r="T77" s="1" t="n">
        <v>-1557.86</v>
      </c>
      <c r="U77" s="1" t="n">
        <v>-1557.86</v>
      </c>
      <c r="V77" s="1" t="n">
        <v>-1557.86</v>
      </c>
      <c r="W77" s="1">
        <f>SUM(K77:V77)</f>
        <v/>
      </c>
      <c r="X77" t="inlineStr">
        <is>
          <t>Coste fijo mensual según contratos vigentes de renting de vehículos y maquinaria auxiliar.</t>
        </is>
      </c>
    </row>
    <row r="78">
      <c r="B78" t="n">
        <v>2027</v>
      </c>
      <c r="C78" t="inlineStr">
        <is>
          <t>Codiagro</t>
        </is>
      </c>
      <c r="D78" t="inlineStr">
        <is>
          <t>RESULTADO DEL EJERCICIO</t>
        </is>
      </c>
      <c r="E78" t="inlineStr">
        <is>
          <t>RESULTADO ANTES DE IMPUESTOS</t>
        </is>
      </c>
      <c r="F78" t="inlineStr">
        <is>
          <t>RESULTADO DE LA EXPLOTACION</t>
        </is>
      </c>
      <c r="G78" t="inlineStr">
        <is>
          <t>7.- Otros gastos de explotación</t>
        </is>
      </c>
      <c r="H78" t="inlineStr">
        <is>
          <t>(621) Arrendamientos y cánones</t>
        </is>
      </c>
      <c r="I78" t="inlineStr">
        <is>
          <t>621000041 - ALQUILER RENTING 8929-MZT RICARDO</t>
        </is>
      </c>
      <c r="J78" t="inlineStr">
        <is>
          <t>-</t>
        </is>
      </c>
      <c r="K78" s="1" t="n">
        <v>-1338.15</v>
      </c>
      <c r="L78" s="1" t="n">
        <v>-1338.15</v>
      </c>
      <c r="M78" s="1" t="n">
        <v>-1338.15</v>
      </c>
      <c r="N78" s="1" t="n">
        <v>-1338.15</v>
      </c>
      <c r="O78" s="1" t="n">
        <v>-1338.15</v>
      </c>
      <c r="P78" s="1" t="n">
        <v>-1338.15</v>
      </c>
      <c r="Q78" s="1" t="n">
        <v>-1338.15</v>
      </c>
      <c r="R78" s="1" t="n">
        <v>-1338.15</v>
      </c>
      <c r="S78" s="1" t="n">
        <v>-1338.15</v>
      </c>
      <c r="T78" s="1" t="n">
        <v>-1338.15</v>
      </c>
      <c r="U78" s="1" t="n">
        <v>-1338.15</v>
      </c>
      <c r="V78" s="1" t="n">
        <v>-1338.15</v>
      </c>
      <c r="W78" s="1">
        <f>SUM(K78:V78)</f>
        <v/>
      </c>
      <c r="X78" t="inlineStr">
        <is>
          <t>Coste fijo mensual según contratos vigentes de renting de vehículos y maquinaria auxiliar.</t>
        </is>
      </c>
    </row>
    <row r="79">
      <c r="B79" t="n">
        <v>2027</v>
      </c>
      <c r="C79" t="inlineStr">
        <is>
          <t>Codiagro</t>
        </is>
      </c>
      <c r="D79" t="inlineStr">
        <is>
          <t>RESULTADO DEL EJERCICIO</t>
        </is>
      </c>
      <c r="E79" t="inlineStr">
        <is>
          <t>RESULTADO ANTES DE IMPUESTOS</t>
        </is>
      </c>
      <c r="F79" t="inlineStr">
        <is>
          <t>RESULTADO DE LA EXPLOTACION</t>
        </is>
      </c>
      <c r="G79" t="inlineStr">
        <is>
          <t>7.- Otros gastos de explotación</t>
        </is>
      </c>
      <c r="H79" t="inlineStr">
        <is>
          <t>(621) Arrendamientos y cánones</t>
        </is>
      </c>
      <c r="I79" t="inlineStr">
        <is>
          <t>621000042 - ALQUILER RENTING 4946-NFH GARCIA</t>
        </is>
      </c>
      <c r="J79" t="inlineStr">
        <is>
          <t>-</t>
        </is>
      </c>
      <c r="K79" s="1" t="n">
        <v>-645.34</v>
      </c>
      <c r="L79" s="1" t="n">
        <v>-645.34</v>
      </c>
      <c r="M79" s="1" t="n">
        <v>-645.34</v>
      </c>
      <c r="N79" s="1" t="n">
        <v>-645.34</v>
      </c>
      <c r="O79" s="1" t="n">
        <v>-645.34</v>
      </c>
      <c r="P79" s="1" t="n">
        <v>-645.34</v>
      </c>
      <c r="Q79" s="1" t="n">
        <v>-645.34</v>
      </c>
      <c r="R79" s="1" t="n">
        <v>-645.34</v>
      </c>
      <c r="S79" s="1" t="n">
        <v>-645.34</v>
      </c>
      <c r="T79" s="1" t="n">
        <v>-645.34</v>
      </c>
      <c r="U79" s="1" t="n">
        <v>-645.34</v>
      </c>
      <c r="V79" s="1" t="n">
        <v>-645.34</v>
      </c>
      <c r="W79" s="1">
        <f>SUM(K79:V79)</f>
        <v/>
      </c>
      <c r="X79" t="inlineStr">
        <is>
          <t>Coste fijo mensual según contratos vigentes de renting de vehículos y maquinaria auxiliar.</t>
        </is>
      </c>
    </row>
    <row r="80">
      <c r="B80" t="n">
        <v>2027</v>
      </c>
      <c r="C80" t="inlineStr">
        <is>
          <t>Codiagro</t>
        </is>
      </c>
      <c r="D80" t="inlineStr">
        <is>
          <t>RESULTADO DEL EJERCICIO</t>
        </is>
      </c>
      <c r="E80" t="inlineStr">
        <is>
          <t>RESULTADO ANTES DE IMPUESTOS</t>
        </is>
      </c>
      <c r="F80" t="inlineStr">
        <is>
          <t>RESULTADO DE LA EXPLOTACION</t>
        </is>
      </c>
      <c r="G80" t="inlineStr">
        <is>
          <t>7.- Otros gastos de explotación</t>
        </is>
      </c>
      <c r="H80" t="inlineStr">
        <is>
          <t>(621) Arrendamientos y cánones</t>
        </is>
      </c>
      <c r="I80" t="inlineStr">
        <is>
          <t>621000044 - ALQUILER COMPRESOR DE TORNILLO 37KW KAESER BSD 75C</t>
        </is>
      </c>
      <c r="J80" t="inlineStr">
        <is>
          <t>-</t>
        </is>
      </c>
      <c r="K80" s="1" t="n">
        <v>-1600</v>
      </c>
      <c r="L80" s="1" t="n">
        <v>-1600</v>
      </c>
      <c r="M80" s="1" t="n">
        <v>-1600</v>
      </c>
      <c r="N80" s="1" t="n">
        <v>-1600</v>
      </c>
      <c r="O80" s="1" t="n">
        <v>-1600</v>
      </c>
      <c r="P80" s="1" t="n">
        <v>-1600</v>
      </c>
      <c r="Q80" s="1" t="n">
        <v>-1600</v>
      </c>
      <c r="R80" s="1" t="n">
        <v>-1600</v>
      </c>
      <c r="S80" s="1" t="n">
        <v>-1600</v>
      </c>
      <c r="T80" s="1" t="n">
        <v>-1600</v>
      </c>
      <c r="U80" s="1" t="n">
        <v>-1600</v>
      </c>
      <c r="V80" s="1" t="n">
        <v>-1600</v>
      </c>
      <c r="W80" s="1">
        <f>SUM(K80:V80)</f>
        <v/>
      </c>
      <c r="X80" t="inlineStr">
        <is>
          <t>Coste fijo mensual según contratos vigentes de renting de vehículos y maquinaria auxiliar.</t>
        </is>
      </c>
    </row>
    <row r="81">
      <c r="B81" t="n">
        <v>2027</v>
      </c>
      <c r="C81" t="inlineStr">
        <is>
          <t>Codiagro</t>
        </is>
      </c>
      <c r="D81" t="inlineStr">
        <is>
          <t>RESULTADO DEL EJERCICIO</t>
        </is>
      </c>
      <c r="E81" t="inlineStr">
        <is>
          <t>RESULTADO ANTES DE IMPUESTOS</t>
        </is>
      </c>
      <c r="F81" t="inlineStr">
        <is>
          <t>RESULTADO DE LA EXPLOTACION</t>
        </is>
      </c>
      <c r="G81" t="inlineStr">
        <is>
          <t>7.- Otros gastos de explotación</t>
        </is>
      </c>
      <c r="H81" t="inlineStr">
        <is>
          <t>(621) Arrendamientos y cánones</t>
        </is>
      </c>
      <c r="I81" t="inlineStr">
        <is>
          <t>621000045 - ALQUILER RENTING 3421-NJT PERE</t>
        </is>
      </c>
      <c r="J81" t="inlineStr">
        <is>
          <t>-</t>
        </is>
      </c>
      <c r="K81" s="1" t="n">
        <v>-1093.31</v>
      </c>
      <c r="L81" s="1" t="n">
        <v>-1093.31</v>
      </c>
      <c r="M81" s="1" t="n">
        <v>-1093.31</v>
      </c>
      <c r="N81" s="1" t="n">
        <v>-1093.31</v>
      </c>
      <c r="O81" s="1" t="n">
        <v>-1093.31</v>
      </c>
      <c r="P81" s="1" t="n">
        <v>-1093.31</v>
      </c>
      <c r="Q81" s="1" t="n">
        <v>-1093.31</v>
      </c>
      <c r="R81" s="1" t="n">
        <v>-1093.31</v>
      </c>
      <c r="S81" s="1" t="n">
        <v>-1093.31</v>
      </c>
      <c r="T81" s="1" t="n">
        <v>-1093.31</v>
      </c>
      <c r="U81" s="1" t="n">
        <v>-1093.31</v>
      </c>
      <c r="V81" s="1" t="n">
        <v>-1093.31</v>
      </c>
      <c r="W81" s="1">
        <f>SUM(K81:V81)</f>
        <v/>
      </c>
      <c r="X81" t="inlineStr">
        <is>
          <t>Coste fijo mensual según contratos vigentes de renting de vehículos y maquinaria auxiliar.</t>
        </is>
      </c>
    </row>
    <row r="82">
      <c r="B82" t="n">
        <v>2027</v>
      </c>
      <c r="C82" t="inlineStr">
        <is>
          <t>Codiagro</t>
        </is>
      </c>
      <c r="D82" t="inlineStr">
        <is>
          <t>RESULTADO DEL EJERCICIO</t>
        </is>
      </c>
      <c r="E82" t="inlineStr">
        <is>
          <t>RESULTADO ANTES DE IMPUESTOS</t>
        </is>
      </c>
      <c r="F82" t="inlineStr">
        <is>
          <t>RESULTADO DE LA EXPLOTACION</t>
        </is>
      </c>
      <c r="G82" t="inlineStr">
        <is>
          <t>7.- Otros gastos de explotación</t>
        </is>
      </c>
      <c r="H82" t="inlineStr">
        <is>
          <t>(621) Arrendamientos y cánones</t>
        </is>
      </c>
      <c r="I82" t="inlineStr">
        <is>
          <t>621000046 - ALQUILER CARRETILLAS</t>
        </is>
      </c>
      <c r="J82" t="inlineStr">
        <is>
          <t>-</t>
        </is>
      </c>
      <c r="K82" s="1" t="n">
        <v>-677.75</v>
      </c>
      <c r="L82" s="1" t="n">
        <v>-677.75</v>
      </c>
      <c r="M82" s="1" t="n">
        <v>-677.75</v>
      </c>
      <c r="N82" s="1" t="n">
        <v>-677.75</v>
      </c>
      <c r="O82" s="1" t="n">
        <v>-677.75</v>
      </c>
      <c r="P82" s="1" t="n">
        <v>-677.75</v>
      </c>
      <c r="Q82" s="1" t="n">
        <v>-677.75</v>
      </c>
      <c r="R82" s="1" t="n">
        <v>-677.75</v>
      </c>
      <c r="S82" s="1" t="n">
        <v>-677.75</v>
      </c>
      <c r="T82" s="1" t="n">
        <v>-677.75</v>
      </c>
      <c r="U82" s="1" t="n">
        <v>-677.75</v>
      </c>
      <c r="V82" s="1" t="n">
        <v>-677.75</v>
      </c>
      <c r="W82" s="1">
        <f>SUM(K82:V82)</f>
        <v/>
      </c>
      <c r="X82" t="inlineStr">
        <is>
          <t>Coste fijo mensual según contratos vigentes de renting de vehículos y maquinaria auxiliar.</t>
        </is>
      </c>
    </row>
    <row r="83">
      <c r="B83" t="n">
        <v>2027</v>
      </c>
      <c r="C83" t="inlineStr">
        <is>
          <t>Codiagro</t>
        </is>
      </c>
      <c r="D83" t="inlineStr">
        <is>
          <t>RESULTADO DEL EJERCICIO</t>
        </is>
      </c>
      <c r="E83" t="inlineStr">
        <is>
          <t>RESULTADO ANTES DE IMPUESTOS</t>
        </is>
      </c>
      <c r="F83" t="inlineStr">
        <is>
          <t>RESULTADO DE LA EXPLOTACION</t>
        </is>
      </c>
      <c r="G83" t="inlineStr">
        <is>
          <t>7.- Otros gastos de explotación</t>
        </is>
      </c>
      <c r="H83" t="inlineStr">
        <is>
          <t>(622) Reparación/conservación/mantenimiento</t>
        </is>
      </c>
      <c r="I83" t="inlineStr">
        <is>
          <t>622000001 - REPAR. EQUIPOS INFORM. Y FOTOCOPIADORAS</t>
        </is>
      </c>
      <c r="J83" t="inlineStr">
        <is>
          <t>-</t>
        </is>
      </c>
      <c r="K83" s="1" t="n">
        <v>-748.65</v>
      </c>
      <c r="L83" s="1" t="n">
        <v>-748.65</v>
      </c>
      <c r="M83" s="1" t="n">
        <v>-748.65</v>
      </c>
      <c r="N83" s="1" t="n">
        <v>-748.65</v>
      </c>
      <c r="O83" s="1" t="n">
        <v>-748.65</v>
      </c>
      <c r="P83" s="1" t="n">
        <v>-748.65</v>
      </c>
      <c r="Q83" s="1" t="n">
        <v>-748.65</v>
      </c>
      <c r="R83" s="1" t="n">
        <v>-748.65</v>
      </c>
      <c r="S83" s="1" t="n">
        <v>-748.65</v>
      </c>
      <c r="T83" s="1" t="n">
        <v>-748.65</v>
      </c>
      <c r="U83" s="1" t="n">
        <v>-748.65</v>
      </c>
      <c r="V83" s="1" t="n">
        <v>-748.65</v>
      </c>
      <c r="W83" s="1">
        <f>SUM(K83:V83)</f>
        <v/>
      </c>
      <c r="X83" t="inlineStr">
        <is>
          <t>Coste semi-variable: mantenimiento preventivo y correctivo de planta industrial.</t>
        </is>
      </c>
    </row>
    <row r="84">
      <c r="B84" t="n">
        <v>2027</v>
      </c>
      <c r="C84" t="inlineStr">
        <is>
          <t>Codiagro</t>
        </is>
      </c>
      <c r="D84" t="inlineStr">
        <is>
          <t>RESULTADO DEL EJERCICIO</t>
        </is>
      </c>
      <c r="E84" t="inlineStr">
        <is>
          <t>RESULTADO ANTES DE IMPUESTOS</t>
        </is>
      </c>
      <c r="F84" t="inlineStr">
        <is>
          <t>RESULTADO DE LA EXPLOTACION</t>
        </is>
      </c>
      <c r="G84" t="inlineStr">
        <is>
          <t>7.- Otros gastos de explotación</t>
        </is>
      </c>
      <c r="H84" t="inlineStr">
        <is>
          <t>(622) Reparación/conservación/mantenimiento</t>
        </is>
      </c>
      <c r="I84" t="inlineStr">
        <is>
          <t>622000004 - REP. Y CONSERV. CARRETILLA ELECTRICA</t>
        </is>
      </c>
      <c r="J84" t="inlineStr">
        <is>
          <t>-</t>
        </is>
      </c>
      <c r="K84" s="1" t="n">
        <v>-731.87</v>
      </c>
      <c r="L84" s="1" t="n">
        <v>-731.87</v>
      </c>
      <c r="M84" s="1" t="n">
        <v>-731.87</v>
      </c>
      <c r="N84" s="1" t="n">
        <v>-731.87</v>
      </c>
      <c r="O84" s="1" t="n">
        <v>-731.87</v>
      </c>
      <c r="P84" s="1" t="n">
        <v>-731.87</v>
      </c>
      <c r="Q84" s="1" t="n">
        <v>-731.87</v>
      </c>
      <c r="R84" s="1" t="n">
        <v>-731.87</v>
      </c>
      <c r="S84" s="1" t="n">
        <v>-731.87</v>
      </c>
      <c r="T84" s="1" t="n">
        <v>-731.87</v>
      </c>
      <c r="U84" s="1" t="n">
        <v>-731.87</v>
      </c>
      <c r="V84" s="1" t="n">
        <v>-731.87</v>
      </c>
      <c r="W84" s="1">
        <f>SUM(K84:V84)</f>
        <v/>
      </c>
      <c r="X84" t="inlineStr">
        <is>
          <t>Coste semi-variable: mantenimiento preventivo y correctivo de planta industrial.</t>
        </is>
      </c>
    </row>
    <row r="85">
      <c r="B85" t="n">
        <v>2027</v>
      </c>
      <c r="C85" t="inlineStr">
        <is>
          <t>Codiagro</t>
        </is>
      </c>
      <c r="D85" t="inlineStr">
        <is>
          <t>RESULTADO DEL EJERCICIO</t>
        </is>
      </c>
      <c r="E85" t="inlineStr">
        <is>
          <t>RESULTADO ANTES DE IMPUESTOS</t>
        </is>
      </c>
      <c r="F85" t="inlineStr">
        <is>
          <t>RESULTADO DE LA EXPLOTACION</t>
        </is>
      </c>
      <c r="G85" t="inlineStr">
        <is>
          <t>7.- Otros gastos de explotación</t>
        </is>
      </c>
      <c r="H85" t="inlineStr">
        <is>
          <t>(622) Reparación/conservación/mantenimiento</t>
        </is>
      </c>
      <c r="I85" t="inlineStr">
        <is>
          <t>622000005 - REP. Y MANT. EQUIPOS SEGURIDAD</t>
        </is>
      </c>
      <c r="J85" t="inlineStr">
        <is>
          <t>-</t>
        </is>
      </c>
      <c r="K85" s="1" t="n">
        <v>-122.19</v>
      </c>
      <c r="L85" s="1" t="n">
        <v>-122.19</v>
      </c>
      <c r="M85" s="1" t="n">
        <v>-122.19</v>
      </c>
      <c r="N85" s="1" t="n">
        <v>-122.19</v>
      </c>
      <c r="O85" s="1" t="n">
        <v>-122.19</v>
      </c>
      <c r="P85" s="1" t="n">
        <v>-122.19</v>
      </c>
      <c r="Q85" s="1" t="n">
        <v>-122.19</v>
      </c>
      <c r="R85" s="1" t="n">
        <v>-122.19</v>
      </c>
      <c r="S85" s="1" t="n">
        <v>-122.19</v>
      </c>
      <c r="T85" s="1" t="n">
        <v>-122.19</v>
      </c>
      <c r="U85" s="1" t="n">
        <v>-122.19</v>
      </c>
      <c r="V85" s="1" t="n">
        <v>-122.19</v>
      </c>
      <c r="W85" s="1">
        <f>SUM(K85:V85)</f>
        <v/>
      </c>
      <c r="X85" t="inlineStr">
        <is>
          <t>Coste semi-variable: mantenimiento preventivo y correctivo de planta industrial.</t>
        </is>
      </c>
    </row>
    <row r="86">
      <c r="B86" t="n">
        <v>2027</v>
      </c>
      <c r="C86" t="inlineStr">
        <is>
          <t>Codiagro</t>
        </is>
      </c>
      <c r="D86" t="inlineStr">
        <is>
          <t>RESULTADO DEL EJERCICIO</t>
        </is>
      </c>
      <c r="E86" t="inlineStr">
        <is>
          <t>RESULTADO ANTES DE IMPUESTOS</t>
        </is>
      </c>
      <c r="F86" t="inlineStr">
        <is>
          <t>RESULTADO DE LA EXPLOTACION</t>
        </is>
      </c>
      <c r="G86" t="inlineStr">
        <is>
          <t>7.- Otros gastos de explotación</t>
        </is>
      </c>
      <c r="H86" t="inlineStr">
        <is>
          <t>(622) Reparación/conservación/mantenimiento</t>
        </is>
      </c>
      <c r="I86" t="inlineStr">
        <is>
          <t>622000006 - REP. Y MANT. INSTALACIONES VARIAS</t>
        </is>
      </c>
      <c r="J86" t="inlineStr">
        <is>
          <t>-</t>
        </is>
      </c>
      <c r="K86" s="1" t="n">
        <v>-1425.85</v>
      </c>
      <c r="L86" s="1" t="n">
        <v>-1425.85</v>
      </c>
      <c r="M86" s="1" t="n">
        <v>-1425.85</v>
      </c>
      <c r="N86" s="1" t="n">
        <v>-1425.85</v>
      </c>
      <c r="O86" s="1" t="n">
        <v>-1425.85</v>
      </c>
      <c r="P86" s="1" t="n">
        <v>-1425.85</v>
      </c>
      <c r="Q86" s="1" t="n">
        <v>-1425.85</v>
      </c>
      <c r="R86" s="1" t="n">
        <v>-1425.85</v>
      </c>
      <c r="S86" s="1" t="n">
        <v>-1425.85</v>
      </c>
      <c r="T86" s="1" t="n">
        <v>-1425.85</v>
      </c>
      <c r="U86" s="1" t="n">
        <v>-1425.85</v>
      </c>
      <c r="V86" s="1" t="n">
        <v>-1425.85</v>
      </c>
      <c r="W86" s="1">
        <f>SUM(K86:V86)</f>
        <v/>
      </c>
      <c r="X86" t="inlineStr">
        <is>
          <t>Coste semi-variable: mantenimiento preventivo y correctivo de planta industrial.</t>
        </is>
      </c>
    </row>
    <row r="87">
      <c r="B87" t="n">
        <v>2027</v>
      </c>
      <c r="C87" t="inlineStr">
        <is>
          <t>Codiagro</t>
        </is>
      </c>
      <c r="D87" t="inlineStr">
        <is>
          <t>RESULTADO DEL EJERCICIO</t>
        </is>
      </c>
      <c r="E87" t="inlineStr">
        <is>
          <t>RESULTADO ANTES DE IMPUESTOS</t>
        </is>
      </c>
      <c r="F87" t="inlineStr">
        <is>
          <t>RESULTADO DE LA EXPLOTACION</t>
        </is>
      </c>
      <c r="G87" t="inlineStr">
        <is>
          <t>7.- Otros gastos de explotación</t>
        </is>
      </c>
      <c r="H87" t="inlineStr">
        <is>
          <t>(622) Reparación/conservación/mantenimiento</t>
        </is>
      </c>
      <c r="I87" t="inlineStr">
        <is>
          <t>622000007 - REP. Y MANT. HYUNDAI 0377CJG</t>
        </is>
      </c>
      <c r="J87" t="inlineStr">
        <is>
          <t>-</t>
        </is>
      </c>
      <c r="K87" s="1" t="n">
        <v>-249.63</v>
      </c>
      <c r="L87" s="1" t="n">
        <v>-249.63</v>
      </c>
      <c r="M87" s="1" t="n">
        <v>-249.63</v>
      </c>
      <c r="N87" s="1" t="n">
        <v>-249.63</v>
      </c>
      <c r="O87" s="1" t="n">
        <v>-249.63</v>
      </c>
      <c r="P87" s="1" t="n">
        <v>-249.63</v>
      </c>
      <c r="Q87" s="1" t="n">
        <v>-249.63</v>
      </c>
      <c r="R87" s="1" t="n">
        <v>-249.63</v>
      </c>
      <c r="S87" s="1" t="n">
        <v>-249.63</v>
      </c>
      <c r="T87" s="1" t="n">
        <v>-249.63</v>
      </c>
      <c r="U87" s="1" t="n">
        <v>-249.63</v>
      </c>
      <c r="V87" s="1" t="n">
        <v>-249.63</v>
      </c>
      <c r="W87" s="1">
        <f>SUM(K87:V87)</f>
        <v/>
      </c>
      <c r="X87" t="inlineStr">
        <is>
          <t>Coste semi-variable: mantenimiento preventivo y correctivo de planta industrial.</t>
        </is>
      </c>
    </row>
    <row r="88">
      <c r="B88" t="n">
        <v>2027</v>
      </c>
      <c r="C88" t="inlineStr">
        <is>
          <t>Codiagro</t>
        </is>
      </c>
      <c r="D88" t="inlineStr">
        <is>
          <t>RESULTADO DEL EJERCICIO</t>
        </is>
      </c>
      <c r="E88" t="inlineStr">
        <is>
          <t>RESULTADO ANTES DE IMPUESTOS</t>
        </is>
      </c>
      <c r="F88" t="inlineStr">
        <is>
          <t>RESULTADO DE LA EXPLOTACION</t>
        </is>
      </c>
      <c r="G88" t="inlineStr">
        <is>
          <t>7.- Otros gastos de explotación</t>
        </is>
      </c>
      <c r="H88" t="inlineStr">
        <is>
          <t>(622) Reparación/conservación/mantenimiento</t>
        </is>
      </c>
      <c r="I88" t="inlineStr">
        <is>
          <t>622000008 - REP. Y MANT. MAQUINA BARREDORA</t>
        </is>
      </c>
      <c r="J88" t="inlineStr">
        <is>
          <t>-</t>
        </is>
      </c>
      <c r="K88" s="1" t="n">
        <v>-515.01</v>
      </c>
      <c r="L88" s="1" t="n">
        <v>-515.01</v>
      </c>
      <c r="M88" s="1" t="n">
        <v>-515.01</v>
      </c>
      <c r="N88" s="1" t="n">
        <v>-515.01</v>
      </c>
      <c r="O88" s="1" t="n">
        <v>-515.01</v>
      </c>
      <c r="P88" s="1" t="n">
        <v>-515.01</v>
      </c>
      <c r="Q88" s="1" t="n">
        <v>-515.01</v>
      </c>
      <c r="R88" s="1" t="n">
        <v>-515.01</v>
      </c>
      <c r="S88" s="1" t="n">
        <v>-515.01</v>
      </c>
      <c r="T88" s="1" t="n">
        <v>-515.01</v>
      </c>
      <c r="U88" s="1" t="n">
        <v>-515.01</v>
      </c>
      <c r="V88" s="1" t="n">
        <v>-515.01</v>
      </c>
      <c r="W88" s="1">
        <f>SUM(K88:V88)</f>
        <v/>
      </c>
      <c r="X88" t="inlineStr">
        <is>
          <t>Coste semi-variable: mantenimiento preventivo y correctivo de planta industrial.</t>
        </is>
      </c>
    </row>
    <row r="89">
      <c r="B89" t="n">
        <v>2027</v>
      </c>
      <c r="C89" t="inlineStr">
        <is>
          <t>Codiagro</t>
        </is>
      </c>
      <c r="D89" t="inlineStr">
        <is>
          <t>RESULTADO DEL EJERCICIO</t>
        </is>
      </c>
      <c r="E89" t="inlineStr">
        <is>
          <t>RESULTADO ANTES DE IMPUESTOS</t>
        </is>
      </c>
      <c r="F89" t="inlineStr">
        <is>
          <t>RESULTADO DE LA EXPLOTACION</t>
        </is>
      </c>
      <c r="G89" t="inlineStr">
        <is>
          <t>7.- Otros gastos de explotación</t>
        </is>
      </c>
      <c r="H89" t="inlineStr">
        <is>
          <t>(622) Reparación/conservación/mantenimiento</t>
        </is>
      </c>
      <c r="I89" t="inlineStr">
        <is>
          <t>622000009 - REP. Y MANT. FURGONETA 2589CRJ</t>
        </is>
      </c>
      <c r="J89" t="inlineStr">
        <is>
          <t>-</t>
        </is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>
        <f>SUM(K89:V89)</f>
        <v/>
      </c>
      <c r="X89" t="inlineStr">
        <is>
          <t>Sin dotación presupuestada en 2027.</t>
        </is>
      </c>
    </row>
    <row r="90">
      <c r="B90" t="n">
        <v>2027</v>
      </c>
      <c r="C90" t="inlineStr">
        <is>
          <t>Codiagro</t>
        </is>
      </c>
      <c r="D90" t="inlineStr">
        <is>
          <t>RESULTADO DEL EJERCICIO</t>
        </is>
      </c>
      <c r="E90" t="inlineStr">
        <is>
          <t>RESULTADO ANTES DE IMPUESTOS</t>
        </is>
      </c>
      <c r="F90" t="inlineStr">
        <is>
          <t>RESULTADO DE LA EXPLOTACION</t>
        </is>
      </c>
      <c r="G90" t="inlineStr">
        <is>
          <t>7.- Otros gastos de explotación</t>
        </is>
      </c>
      <c r="H90" t="inlineStr">
        <is>
          <t>(622) Reparación/conservación/mantenimiento</t>
        </is>
      </c>
      <c r="I90" t="inlineStr">
        <is>
          <t>622000012 - LIMPIEZA OFICINAS, LABORATORIO Y VESTUARIOS</t>
        </is>
      </c>
      <c r="J90" t="inlineStr">
        <is>
          <t>-</t>
        </is>
      </c>
      <c r="K90" s="1" t="n">
        <v>-935.11</v>
      </c>
      <c r="L90" s="1" t="n">
        <v>-935.11</v>
      </c>
      <c r="M90" s="1" t="n">
        <v>-935.11</v>
      </c>
      <c r="N90" s="1" t="n">
        <v>-935.11</v>
      </c>
      <c r="O90" s="1" t="n">
        <v>-935.11</v>
      </c>
      <c r="P90" s="1" t="n">
        <v>-935.11</v>
      </c>
      <c r="Q90" s="1" t="n">
        <v>-935.11</v>
      </c>
      <c r="R90" s="1" t="n">
        <v>-935.11</v>
      </c>
      <c r="S90" s="1" t="n">
        <v>-935.11</v>
      </c>
      <c r="T90" s="1" t="n">
        <v>-935.11</v>
      </c>
      <c r="U90" s="1" t="n">
        <v>-935.11</v>
      </c>
      <c r="V90" s="1" t="n">
        <v>-935.11</v>
      </c>
      <c r="W90" s="1">
        <f>SUM(K90:V90)</f>
        <v/>
      </c>
      <c r="X90" t="inlineStr">
        <is>
          <t>Coste semi-variable: mantenimiento preventivo y correctivo de planta industrial.</t>
        </is>
      </c>
    </row>
    <row r="91">
      <c r="B91" t="n">
        <v>2027</v>
      </c>
      <c r="C91" t="inlineStr">
        <is>
          <t>Codiagro</t>
        </is>
      </c>
      <c r="D91" t="inlineStr">
        <is>
          <t>RESULTADO DEL EJERCICIO</t>
        </is>
      </c>
      <c r="E91" t="inlineStr">
        <is>
          <t>RESULTADO ANTES DE IMPUESTOS</t>
        </is>
      </c>
      <c r="F91" t="inlineStr">
        <is>
          <t>RESULTADO DE LA EXPLOTACION</t>
        </is>
      </c>
      <c r="G91" t="inlineStr">
        <is>
          <t>7.- Otros gastos de explotación</t>
        </is>
      </c>
      <c r="H91" t="inlineStr">
        <is>
          <t>(622) Reparación/conservación/mantenimiento</t>
        </is>
      </c>
      <c r="I91" t="inlineStr">
        <is>
          <t>622010000 MANTENIMIENTO</t>
        </is>
      </c>
      <c r="J91" t="inlineStr">
        <is>
          <t>-</t>
        </is>
      </c>
      <c r="K91" s="1" t="n">
        <v>-1472.45</v>
      </c>
      <c r="L91" s="1" t="n">
        <v>-1472.45</v>
      </c>
      <c r="M91" s="1" t="n">
        <v>-1472.45</v>
      </c>
      <c r="N91" s="1" t="n">
        <v>-1472.45</v>
      </c>
      <c r="O91" s="1" t="n">
        <v>-1472.45</v>
      </c>
      <c r="P91" s="1" t="n">
        <v>-1472.45</v>
      </c>
      <c r="Q91" s="1" t="n">
        <v>-1472.45</v>
      </c>
      <c r="R91" s="1" t="n">
        <v>-1472.45</v>
      </c>
      <c r="S91" s="1" t="n">
        <v>-1472.45</v>
      </c>
      <c r="T91" s="1" t="n">
        <v>-1472.45</v>
      </c>
      <c r="U91" s="1" t="n">
        <v>-1472.45</v>
      </c>
      <c r="V91" s="1" t="n">
        <v>-1472.45</v>
      </c>
      <c r="W91" s="1">
        <f>SUM(K91:V91)</f>
        <v/>
      </c>
      <c r="X91" t="inlineStr">
        <is>
          <t>Coste semi-variable: mantenimiento preventivo y correctivo de planta industrial.</t>
        </is>
      </c>
    </row>
    <row r="92">
      <c r="B92" t="n">
        <v>2027</v>
      </c>
      <c r="C92" t="inlineStr">
        <is>
          <t>Codiagro</t>
        </is>
      </c>
      <c r="D92" t="inlineStr">
        <is>
          <t>RESULTADO DEL EJERCICIO</t>
        </is>
      </c>
      <c r="E92" t="inlineStr">
        <is>
          <t>RESULTADO ANTES DE IMPUESTOS</t>
        </is>
      </c>
      <c r="F92" t="inlineStr">
        <is>
          <t>RESULTADO DE LA EXPLOTACION</t>
        </is>
      </c>
      <c r="G92" t="inlineStr">
        <is>
          <t>7.- Otros gastos de explotación</t>
        </is>
      </c>
      <c r="H92" t="inlineStr">
        <is>
          <t>(622) Reparación/conservación/mantenimiento</t>
        </is>
      </c>
      <c r="I92" t="inlineStr">
        <is>
          <t>622010001 - MANTENIMIENTO REPUESTO COMPRA AMAZON</t>
        </is>
      </c>
      <c r="J92" t="inlineStr">
        <is>
          <t>-</t>
        </is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>
        <f>SUM(K92:V92)</f>
        <v/>
      </c>
      <c r="X92" t="inlineStr">
        <is>
          <t>Sin dotación presupuestada en 2027.</t>
        </is>
      </c>
    </row>
    <row r="93">
      <c r="B93" t="n">
        <v>2027</v>
      </c>
      <c r="C93" t="inlineStr">
        <is>
          <t>Codiagro</t>
        </is>
      </c>
      <c r="D93" t="inlineStr">
        <is>
          <t>RESULTADO DEL EJERCICIO</t>
        </is>
      </c>
      <c r="E93" t="inlineStr">
        <is>
          <t>RESULTADO ANTES DE IMPUESTOS</t>
        </is>
      </c>
      <c r="F93" t="inlineStr">
        <is>
          <t>RESULTADO DE LA EXPLOTACION</t>
        </is>
      </c>
      <c r="G93" t="inlineStr">
        <is>
          <t>7.- Otros gastos de explotación</t>
        </is>
      </c>
      <c r="H93" t="inlineStr">
        <is>
          <t>(622) Reparación/conservación/mantenimiento</t>
        </is>
      </c>
      <c r="I93" t="inlineStr">
        <is>
          <t>622010200 - ALCAPLANT</t>
        </is>
      </c>
      <c r="J93" t="inlineStr">
        <is>
          <t>-</t>
        </is>
      </c>
      <c r="K93" s="1" t="n">
        <v>-2527.63</v>
      </c>
      <c r="L93" s="1" t="n">
        <v>-2527.63</v>
      </c>
      <c r="M93" s="1" t="n">
        <v>-2527.63</v>
      </c>
      <c r="N93" s="1" t="n">
        <v>-2527.63</v>
      </c>
      <c r="O93" s="1" t="n">
        <v>-2527.63</v>
      </c>
      <c r="P93" s="1" t="n">
        <v>-2527.63</v>
      </c>
      <c r="Q93" s="1" t="n">
        <v>-2527.63</v>
      </c>
      <c r="R93" s="1" t="n">
        <v>-2527.63</v>
      </c>
      <c r="S93" s="1" t="n">
        <v>-2527.63</v>
      </c>
      <c r="T93" s="1" t="n">
        <v>-2527.63</v>
      </c>
      <c r="U93" s="1" t="n">
        <v>-2527.63</v>
      </c>
      <c r="V93" s="1" t="n">
        <v>-2527.63</v>
      </c>
      <c r="W93" s="1">
        <f>SUM(K93:V93)</f>
        <v/>
      </c>
      <c r="X93" t="inlineStr">
        <is>
          <t>Coste semi-variable: mantenimiento preventivo y correctivo de planta industrial.</t>
        </is>
      </c>
    </row>
    <row r="94">
      <c r="B94" t="n">
        <v>2027</v>
      </c>
      <c r="C94" t="inlineStr">
        <is>
          <t>Codiagro</t>
        </is>
      </c>
      <c r="D94" t="inlineStr">
        <is>
          <t>RESULTADO DEL EJERCICIO</t>
        </is>
      </c>
      <c r="E94" t="inlineStr">
        <is>
          <t>RESULTADO ANTES DE IMPUESTOS</t>
        </is>
      </c>
      <c r="F94" t="inlineStr">
        <is>
          <t>RESULTADO DE LA EXPLOTACION</t>
        </is>
      </c>
      <c r="G94" t="inlineStr">
        <is>
          <t>7.- Otros gastos de explotación</t>
        </is>
      </c>
      <c r="H94" t="inlineStr">
        <is>
          <t>(622) Reparación/conservación/mantenimiento</t>
        </is>
      </c>
      <c r="I94" t="inlineStr">
        <is>
          <t>622010201 - REPARACIONES ALCAPLANT</t>
        </is>
      </c>
      <c r="J94" t="inlineStr">
        <is>
          <t>-</t>
        </is>
      </c>
      <c r="K94" s="1" t="n">
        <v>-4187.14</v>
      </c>
      <c r="L94" s="1" t="n">
        <v>-4187.14</v>
      </c>
      <c r="M94" s="1" t="n">
        <v>-4187.14</v>
      </c>
      <c r="N94" s="1" t="n">
        <v>-4187.14</v>
      </c>
      <c r="O94" s="1" t="n">
        <v>-4187.14</v>
      </c>
      <c r="P94" s="1" t="n">
        <v>-4187.14</v>
      </c>
      <c r="Q94" s="1" t="n">
        <v>-4187.14</v>
      </c>
      <c r="R94" s="1" t="n">
        <v>-4187.14</v>
      </c>
      <c r="S94" s="1" t="n">
        <v>-4187.14</v>
      </c>
      <c r="T94" s="1" t="n">
        <v>-4187.14</v>
      </c>
      <c r="U94" s="1" t="n">
        <v>-4187.14</v>
      </c>
      <c r="V94" s="1" t="n">
        <v>-4187.14</v>
      </c>
      <c r="W94" s="1">
        <f>SUM(K94:V94)</f>
        <v/>
      </c>
      <c r="X94" t="inlineStr">
        <is>
          <t>Coste semi-variable: mantenimiento preventivo y correctivo de planta industrial.</t>
        </is>
      </c>
    </row>
    <row r="95">
      <c r="B95" t="n">
        <v>2027</v>
      </c>
      <c r="C95" t="inlineStr">
        <is>
          <t>Codiagro</t>
        </is>
      </c>
      <c r="D95" t="inlineStr">
        <is>
          <t>RESULTADO DEL EJERCICIO</t>
        </is>
      </c>
      <c r="E95" t="inlineStr">
        <is>
          <t>RESULTADO ANTES DE IMPUESTOS</t>
        </is>
      </c>
      <c r="F95" t="inlineStr">
        <is>
          <t>RESULTADO DE LA EXPLOTACION</t>
        </is>
      </c>
      <c r="G95" t="inlineStr">
        <is>
          <t>7.- Otros gastos de explotación</t>
        </is>
      </c>
      <c r="H95" t="inlineStr">
        <is>
          <t>(622) Reparación/conservación/mantenimiento</t>
        </is>
      </c>
      <c r="I95" t="inlineStr">
        <is>
          <t>622010300 - SOLIDOS</t>
        </is>
      </c>
      <c r="J95" t="inlineStr">
        <is>
          <t>-</t>
        </is>
      </c>
      <c r="K95" s="1" t="n">
        <v>-5939.08</v>
      </c>
      <c r="L95" s="1" t="n">
        <v>-5939.08</v>
      </c>
      <c r="M95" s="1" t="n">
        <v>-5939.08</v>
      </c>
      <c r="N95" s="1" t="n">
        <v>-5939.08</v>
      </c>
      <c r="O95" s="1" t="n">
        <v>-5939.08</v>
      </c>
      <c r="P95" s="1" t="n">
        <v>-5939.08</v>
      </c>
      <c r="Q95" s="1" t="n">
        <v>-5939.08</v>
      </c>
      <c r="R95" s="1" t="n">
        <v>-5939.08</v>
      </c>
      <c r="S95" s="1" t="n">
        <v>-5939.08</v>
      </c>
      <c r="T95" s="1" t="n">
        <v>-5939.08</v>
      </c>
      <c r="U95" s="1" t="n">
        <v>-5939.08</v>
      </c>
      <c r="V95" s="1" t="n">
        <v>-5939.08</v>
      </c>
      <c r="W95" s="1">
        <f>SUM(K95:V95)</f>
        <v/>
      </c>
      <c r="X95" t="inlineStr">
        <is>
          <t>Coste semi-variable: mantenimiento preventivo y correctivo de planta industrial.</t>
        </is>
      </c>
    </row>
    <row r="96">
      <c r="B96" t="n">
        <v>2027</v>
      </c>
      <c r="C96" t="inlineStr">
        <is>
          <t>Codiagro</t>
        </is>
      </c>
      <c r="D96" t="inlineStr">
        <is>
          <t>RESULTADO DEL EJERCICIO</t>
        </is>
      </c>
      <c r="E96" t="inlineStr">
        <is>
          <t>RESULTADO ANTES DE IMPUESTOS</t>
        </is>
      </c>
      <c r="F96" t="inlineStr">
        <is>
          <t>RESULTADO DE LA EXPLOTACION</t>
        </is>
      </c>
      <c r="G96" t="inlineStr">
        <is>
          <t>7.- Otros gastos de explotación</t>
        </is>
      </c>
      <c r="H96" t="inlineStr">
        <is>
          <t>(622) Reparación/conservación/mantenimiento</t>
        </is>
      </c>
      <c r="I96" t="inlineStr">
        <is>
          <t>622010400 - LIQUIDOS</t>
        </is>
      </c>
      <c r="J96" t="inlineStr">
        <is>
          <t>-</t>
        </is>
      </c>
      <c r="K96" s="1" t="n">
        <v>-915.9</v>
      </c>
      <c r="L96" s="1" t="n">
        <v>-915.9</v>
      </c>
      <c r="M96" s="1" t="n">
        <v>-915.9</v>
      </c>
      <c r="N96" s="1" t="n">
        <v>-915.9</v>
      </c>
      <c r="O96" s="1" t="n">
        <v>-915.9</v>
      </c>
      <c r="P96" s="1" t="n">
        <v>-915.9</v>
      </c>
      <c r="Q96" s="1" t="n">
        <v>-915.9</v>
      </c>
      <c r="R96" s="1" t="n">
        <v>-915.9</v>
      </c>
      <c r="S96" s="1" t="n">
        <v>-915.9</v>
      </c>
      <c r="T96" s="1" t="n">
        <v>-915.9</v>
      </c>
      <c r="U96" s="1" t="n">
        <v>-915.9</v>
      </c>
      <c r="V96" s="1" t="n">
        <v>-915.9</v>
      </c>
      <c r="W96" s="1">
        <f>SUM(K96:V96)</f>
        <v/>
      </c>
      <c r="X96" t="inlineStr">
        <is>
          <t>Coste semi-variable: mantenimiento preventivo y correctivo de planta industrial.</t>
        </is>
      </c>
    </row>
    <row r="97">
      <c r="B97" t="n">
        <v>2027</v>
      </c>
      <c r="C97" t="inlineStr">
        <is>
          <t>Codiagro</t>
        </is>
      </c>
      <c r="D97" t="inlineStr">
        <is>
          <t>RESULTADO DEL EJERCICIO</t>
        </is>
      </c>
      <c r="E97" t="inlineStr">
        <is>
          <t>RESULTADO ANTES DE IMPUESTOS</t>
        </is>
      </c>
      <c r="F97" t="inlineStr">
        <is>
          <t>RESULTADO DE LA EXPLOTACION</t>
        </is>
      </c>
      <c r="G97" t="inlineStr">
        <is>
          <t>7.- Otros gastos de explotación</t>
        </is>
      </c>
      <c r="H97" t="inlineStr">
        <is>
          <t>(622) Reparación/conservación/mantenimiento</t>
        </is>
      </c>
      <c r="I97" t="inlineStr">
        <is>
          <t>622010500 - REPUESTOS MANT. VARIOS</t>
        </is>
      </c>
      <c r="J97" t="inlineStr">
        <is>
          <t>-</t>
        </is>
      </c>
      <c r="K97" s="1" t="n">
        <v>-788.2</v>
      </c>
      <c r="L97" s="1" t="n">
        <v>-788.2</v>
      </c>
      <c r="M97" s="1" t="n">
        <v>-788.2</v>
      </c>
      <c r="N97" s="1" t="n">
        <v>-788.2</v>
      </c>
      <c r="O97" s="1" t="n">
        <v>-788.2</v>
      </c>
      <c r="P97" s="1" t="n">
        <v>-788.2</v>
      </c>
      <c r="Q97" s="1" t="n">
        <v>-788.2</v>
      </c>
      <c r="R97" s="1" t="n">
        <v>-788.2</v>
      </c>
      <c r="S97" s="1" t="n">
        <v>-788.2</v>
      </c>
      <c r="T97" s="1" t="n">
        <v>-788.2</v>
      </c>
      <c r="U97" s="1" t="n">
        <v>-788.2</v>
      </c>
      <c r="V97" s="1" t="n">
        <v>-788.2</v>
      </c>
      <c r="W97" s="1">
        <f>SUM(K97:V97)</f>
        <v/>
      </c>
      <c r="X97" t="inlineStr">
        <is>
          <t>Coste semi-variable: mantenimiento preventivo y correctivo de planta industrial.</t>
        </is>
      </c>
    </row>
    <row r="98">
      <c r="B98" t="n">
        <v>2027</v>
      </c>
      <c r="C98" t="inlineStr">
        <is>
          <t>Codiagro</t>
        </is>
      </c>
      <c r="D98" t="inlineStr">
        <is>
          <t>RESULTADO DEL EJERCICIO</t>
        </is>
      </c>
      <c r="E98" t="inlineStr">
        <is>
          <t>RESULTADO ANTES DE IMPUESTOS</t>
        </is>
      </c>
      <c r="F98" t="inlineStr">
        <is>
          <t>RESULTADO DE LA EXPLOTACION</t>
        </is>
      </c>
      <c r="G98" t="inlineStr">
        <is>
          <t>7.- Otros gastos de explotación</t>
        </is>
      </c>
      <c r="H98" t="inlineStr">
        <is>
          <t>(622) Reparación/conservación/mantenimiento</t>
        </is>
      </c>
      <c r="I98" t="inlineStr">
        <is>
          <t>622010501 - REP. MANT. FONTANERIA</t>
        </is>
      </c>
      <c r="J98" t="inlineStr">
        <is>
          <t>-</t>
        </is>
      </c>
      <c r="K98" s="1" t="n">
        <v>-121.44</v>
      </c>
      <c r="L98" s="1" t="n">
        <v>-121.44</v>
      </c>
      <c r="M98" s="1" t="n">
        <v>-121.44</v>
      </c>
      <c r="N98" s="1" t="n">
        <v>-121.44</v>
      </c>
      <c r="O98" s="1" t="n">
        <v>-121.44</v>
      </c>
      <c r="P98" s="1" t="n">
        <v>-121.44</v>
      </c>
      <c r="Q98" s="1" t="n">
        <v>-121.44</v>
      </c>
      <c r="R98" s="1" t="n">
        <v>-121.44</v>
      </c>
      <c r="S98" s="1" t="n">
        <v>-121.44</v>
      </c>
      <c r="T98" s="1" t="n">
        <v>-121.44</v>
      </c>
      <c r="U98" s="1" t="n">
        <v>-121.44</v>
      </c>
      <c r="V98" s="1" t="n">
        <v>-121.44</v>
      </c>
      <c r="W98" s="1">
        <f>SUM(K98:V98)</f>
        <v/>
      </c>
      <c r="X98" t="inlineStr">
        <is>
          <t>Coste semi-variable: mantenimiento preventivo y correctivo de planta industrial.</t>
        </is>
      </c>
    </row>
    <row r="99">
      <c r="B99" t="n">
        <v>2027</v>
      </c>
      <c r="C99" t="inlineStr">
        <is>
          <t>Codiagro</t>
        </is>
      </c>
      <c r="D99" t="inlineStr">
        <is>
          <t>RESULTADO DEL EJERCICIO</t>
        </is>
      </c>
      <c r="E99" t="inlineStr">
        <is>
          <t>RESULTADO ANTES DE IMPUESTOS</t>
        </is>
      </c>
      <c r="F99" t="inlineStr">
        <is>
          <t>RESULTADO DE LA EXPLOTACION</t>
        </is>
      </c>
      <c r="G99" t="inlineStr">
        <is>
          <t>7.- Otros gastos de explotación</t>
        </is>
      </c>
      <c r="H99" t="inlineStr">
        <is>
          <t>(623) Servicios profesionales independientes</t>
        </is>
      </c>
      <c r="I99" t="inlineStr">
        <is>
          <t>623000001 - SERV. PROF. INDEPENDIENTES</t>
        </is>
      </c>
      <c r="J99" t="inlineStr">
        <is>
          <t>-</t>
        </is>
      </c>
      <c r="K99" s="1" t="n">
        <v>-6000</v>
      </c>
      <c r="L99" s="1" t="n">
        <v>-6000</v>
      </c>
      <c r="M99" s="1" t="n">
        <v>-6000</v>
      </c>
      <c r="N99" s="1" t="n">
        <v>-6000</v>
      </c>
      <c r="O99" s="1" t="n">
        <v>-6000</v>
      </c>
      <c r="P99" s="1" t="n">
        <v>-6000</v>
      </c>
      <c r="Q99" s="1" t="n">
        <v>-6000</v>
      </c>
      <c r="R99" s="1" t="n">
        <v>-6000</v>
      </c>
      <c r="S99" s="1" t="n">
        <v>-6000</v>
      </c>
      <c r="T99" s="1" t="n">
        <v>-6000</v>
      </c>
      <c r="U99" s="1" t="n">
        <v>-6000</v>
      </c>
      <c r="V99" s="1" t="n">
        <v>-8000</v>
      </c>
      <c r="W99" s="1">
        <f>SUM(K99:V99)</f>
        <v/>
      </c>
      <c r="X99" t="inlineStr">
        <is>
          <t>Coste fijo de asesoramiento legal, técnico y fiscal, con refuerzo en diciembre por preparación del cierre y auditoría.</t>
        </is>
      </c>
    </row>
    <row r="100">
      <c r="B100" t="n">
        <v>2027</v>
      </c>
      <c r="C100" t="inlineStr">
        <is>
          <t>Codiagro</t>
        </is>
      </c>
      <c r="D100" t="inlineStr">
        <is>
          <t>RESULTADO DEL EJERCICIO</t>
        </is>
      </c>
      <c r="E100" t="inlineStr">
        <is>
          <t>RESULTADO ANTES DE IMPUESTOS</t>
        </is>
      </c>
      <c r="F100" t="inlineStr">
        <is>
          <t>RESULTADO DE LA EXPLOTACION</t>
        </is>
      </c>
      <c r="G100" t="inlineStr">
        <is>
          <t>7.- Otros gastos de explotación</t>
        </is>
      </c>
      <c r="H100" t="inlineStr">
        <is>
          <t>(623) Servicios profesionales independientes</t>
        </is>
      </c>
      <c r="I100" t="inlineStr">
        <is>
          <t>623000002 - SERVICIOS CONTABLES Y FINANCIEROS</t>
        </is>
      </c>
      <c r="J100" t="inlineStr">
        <is>
          <t>-</t>
        </is>
      </c>
      <c r="K100" s="3" t="n">
        <v>-1400</v>
      </c>
      <c r="L100" s="3" t="n">
        <v>-1400</v>
      </c>
      <c r="M100" s="3" t="n">
        <v>-1400</v>
      </c>
      <c r="N100" s="3" t="n">
        <v>-1400</v>
      </c>
      <c r="O100" s="3" t="n">
        <v>-1400</v>
      </c>
      <c r="P100" s="3" t="n">
        <v>-1400</v>
      </c>
      <c r="Q100" s="3" t="n">
        <v>-1400</v>
      </c>
      <c r="R100" s="3" t="n">
        <v>-1400</v>
      </c>
      <c r="S100" s="3" t="n">
        <v>-1400</v>
      </c>
      <c r="T100" s="3" t="n">
        <v>-1400</v>
      </c>
      <c r="U100" s="3" t="n">
        <v>-1400</v>
      </c>
      <c r="V100" s="3" t="n">
        <v>-1400</v>
      </c>
      <c r="W100" s="1">
        <f>SUM(K100:V100)</f>
        <v/>
      </c>
      <c r="X100" t="inlineStr">
        <is>
          <t>Servicios contables y financieros externos: reducción del 50% (-1.400,00 €/mes) aplicada en 2027 según instrucción.</t>
        </is>
      </c>
    </row>
    <row r="101">
      <c r="B101" t="n">
        <v>2027</v>
      </c>
      <c r="C101" t="inlineStr">
        <is>
          <t>Codiagro</t>
        </is>
      </c>
      <c r="D101" t="inlineStr">
        <is>
          <t>RESULTADO DEL EJERCICIO</t>
        </is>
      </c>
      <c r="E101" t="inlineStr">
        <is>
          <t>RESULTADO ANTES DE IMPUESTOS</t>
        </is>
      </c>
      <c r="F101" t="inlineStr">
        <is>
          <t>RESULTADO DE LA EXPLOTACION</t>
        </is>
      </c>
      <c r="G101" t="inlineStr">
        <is>
          <t>7.- Otros gastos de explotación</t>
        </is>
      </c>
      <c r="H101" t="inlineStr">
        <is>
          <t>(623) Servicios profesionales independientes</t>
        </is>
      </c>
      <c r="I101" t="inlineStr">
        <is>
          <t>623000003 - SERV. NOTARIOS, REGISTROS, LEGAL</t>
        </is>
      </c>
      <c r="J101" t="inlineStr">
        <is>
          <t>-</t>
        </is>
      </c>
      <c r="K101" s="1" t="n">
        <v>-2000</v>
      </c>
      <c r="L101" s="1" t="n">
        <v>-2000</v>
      </c>
      <c r="M101" s="1" t="n">
        <v>-2000</v>
      </c>
      <c r="N101" s="1" t="n">
        <v>-2000</v>
      </c>
      <c r="O101" s="1" t="n">
        <v>-2000</v>
      </c>
      <c r="P101" s="1" t="n">
        <v>-2000</v>
      </c>
      <c r="Q101" s="1" t="n">
        <v>-2000</v>
      </c>
      <c r="R101" s="1" t="n">
        <v>-2000</v>
      </c>
      <c r="S101" s="1" t="n">
        <v>-2000</v>
      </c>
      <c r="T101" s="1" t="n">
        <v>-2000</v>
      </c>
      <c r="U101" s="1" t="n">
        <v>-2000</v>
      </c>
      <c r="V101" s="1" t="n">
        <v>-2000</v>
      </c>
      <c r="W101" s="1">
        <f>SUM(K101:V101)</f>
        <v/>
      </c>
      <c r="X101" t="inlineStr">
        <is>
          <t>Gastos de registro de formulaciones, marcas y actos notariales.</t>
        </is>
      </c>
    </row>
    <row r="102">
      <c r="B102" t="n">
        <v>2027</v>
      </c>
      <c r="C102" t="inlineStr">
        <is>
          <t>Codiagro</t>
        </is>
      </c>
      <c r="D102" t="inlineStr">
        <is>
          <t>RESULTADO DEL EJERCICIO</t>
        </is>
      </c>
      <c r="E102" t="inlineStr">
        <is>
          <t>RESULTADO ANTES DE IMPUESTOS</t>
        </is>
      </c>
      <c r="F102" t="inlineStr">
        <is>
          <t>RESULTADO DE LA EXPLOTACION</t>
        </is>
      </c>
      <c r="G102" t="inlineStr">
        <is>
          <t>7.- Otros gastos de explotación</t>
        </is>
      </c>
      <c r="H102" t="inlineStr">
        <is>
          <t>(623) Servicios profesionales independientes</t>
        </is>
      </c>
      <c r="I102" t="inlineStr">
        <is>
          <t>623000004 - GTOS. BCS. OKO</t>
        </is>
      </c>
      <c r="J102" t="inlineStr">
        <is>
          <t>-</t>
        </is>
      </c>
      <c r="K102" s="1" t="n">
        <v>-1271.14</v>
      </c>
      <c r="L102" s="1" t="n">
        <v>-1271.14</v>
      </c>
      <c r="M102" s="1" t="n">
        <v>-1271.14</v>
      </c>
      <c r="N102" s="1" t="n">
        <v>-1271.14</v>
      </c>
      <c r="O102" s="1" t="n">
        <v>-1271.14</v>
      </c>
      <c r="P102" s="1" t="n">
        <v>-1271.14</v>
      </c>
      <c r="Q102" s="1" t="n">
        <v>-1271.14</v>
      </c>
      <c r="R102" s="1" t="n">
        <v>-1271.14</v>
      </c>
      <c r="S102" s="1" t="n">
        <v>-1271.14</v>
      </c>
      <c r="T102" s="1" t="n">
        <v>-1271.14</v>
      </c>
      <c r="U102" s="1" t="n">
        <v>-1271.14</v>
      </c>
      <c r="V102" s="1" t="n">
        <v>-1271.14</v>
      </c>
      <c r="W102" s="1">
        <f>SUM(K102:V102)</f>
        <v/>
      </c>
      <c r="X102" t="inlineStr">
        <is>
          <t>Proyección extrapolada de actividad recurrente.</t>
        </is>
      </c>
    </row>
    <row r="103">
      <c r="B103" t="n">
        <v>2027</v>
      </c>
      <c r="C103" t="inlineStr">
        <is>
          <t>Codiagro</t>
        </is>
      </c>
      <c r="D103" t="inlineStr">
        <is>
          <t>RESULTADO DEL EJERCICIO</t>
        </is>
      </c>
      <c r="E103" t="inlineStr">
        <is>
          <t>RESULTADO ANTES DE IMPUESTOS</t>
        </is>
      </c>
      <c r="F103" t="inlineStr">
        <is>
          <t>RESULTADO DE LA EXPLOTACION</t>
        </is>
      </c>
      <c r="G103" t="inlineStr">
        <is>
          <t>7.- Otros gastos de explotación</t>
        </is>
      </c>
      <c r="H103" t="inlineStr">
        <is>
          <t>(623) Servicios profesionales independientes</t>
        </is>
      </c>
      <c r="I103" t="inlineStr">
        <is>
          <t>623000005 - SERVICIOS PREST. CAMARA COMERCIO</t>
        </is>
      </c>
      <c r="J103" t="inlineStr">
        <is>
          <t>-</t>
        </is>
      </c>
      <c r="K103" s="1" t="n">
        <v>-610.5599999999999</v>
      </c>
      <c r="L103" s="1" t="n">
        <v>-610.5599999999999</v>
      </c>
      <c r="M103" s="1" t="n">
        <v>-610.5599999999999</v>
      </c>
      <c r="N103" s="1" t="n">
        <v>-610.5599999999999</v>
      </c>
      <c r="O103" s="1" t="n">
        <v>-610.5599999999999</v>
      </c>
      <c r="P103" s="1" t="n">
        <v>-610.5599999999999</v>
      </c>
      <c r="Q103" s="1" t="n">
        <v>-610.5599999999999</v>
      </c>
      <c r="R103" s="1" t="n">
        <v>-610.5599999999999</v>
      </c>
      <c r="S103" s="1" t="n">
        <v>-610.5599999999999</v>
      </c>
      <c r="T103" s="1" t="n">
        <v>-610.5599999999999</v>
      </c>
      <c r="U103" s="1" t="n">
        <v>-610.5599999999999</v>
      </c>
      <c r="V103" s="1" t="n">
        <v>-610.5599999999999</v>
      </c>
      <c r="W103" s="1">
        <f>SUM(K103:V103)</f>
        <v/>
      </c>
      <c r="X103" t="inlineStr">
        <is>
          <t>Proyección extrapolada de actividad recurrente.</t>
        </is>
      </c>
    </row>
    <row r="104">
      <c r="B104" t="n">
        <v>2027</v>
      </c>
      <c r="C104" t="inlineStr">
        <is>
          <t>Codiagro</t>
        </is>
      </c>
      <c r="D104" t="inlineStr">
        <is>
          <t>RESULTADO DEL EJERCICIO</t>
        </is>
      </c>
      <c r="E104" t="inlineStr">
        <is>
          <t>RESULTADO ANTES DE IMPUESTOS</t>
        </is>
      </c>
      <c r="F104" t="inlineStr">
        <is>
          <t>RESULTADO DE LA EXPLOTACION</t>
        </is>
      </c>
      <c r="G104" t="inlineStr">
        <is>
          <t>7.- Otros gastos de explotación</t>
        </is>
      </c>
      <c r="H104" t="inlineStr">
        <is>
          <t>(623) Servicios profesionales independientes</t>
        </is>
      </c>
      <c r="I104" t="inlineStr">
        <is>
          <t>623100002 - GASTOS MAURICIO ALISTE</t>
        </is>
      </c>
      <c r="J104" t="inlineStr">
        <is>
          <t>-</t>
        </is>
      </c>
      <c r="K104" s="3" t="n">
        <v>-4000</v>
      </c>
      <c r="L104" s="3" t="n">
        <v>-4000</v>
      </c>
      <c r="M104" s="3" t="n">
        <v>-4000</v>
      </c>
      <c r="N104" s="3" t="n">
        <v>-4000</v>
      </c>
      <c r="O104" s="3" t="n">
        <v>-4000</v>
      </c>
      <c r="P104" s="3" t="n">
        <v>-4000</v>
      </c>
      <c r="Q104" s="3" t="n">
        <v>-4000</v>
      </c>
      <c r="R104" s="3" t="n">
        <v>-4000</v>
      </c>
      <c r="S104" s="3" t="n">
        <v>-4000</v>
      </c>
      <c r="T104" s="3" t="n">
        <v>-4000</v>
      </c>
      <c r="U104" s="3" t="n">
        <v>-4000</v>
      </c>
      <c r="V104" s="3" t="n">
        <v>-9000</v>
      </c>
      <c r="W104" s="1">
        <f>SUM(K104:V104)</f>
        <v/>
      </c>
      <c r="X104" t="inlineStr">
        <is>
          <t>Honorarios y gastos comerciales de zona: -4.000 €/mes + 5.000 € extra en dic (Total: -53.000 €). Sin incremento en 2027.</t>
        </is>
      </c>
    </row>
    <row r="105">
      <c r="B105" t="n">
        <v>2027</v>
      </c>
      <c r="C105" t="inlineStr">
        <is>
          <t>Codiagro</t>
        </is>
      </c>
      <c r="D105" t="inlineStr">
        <is>
          <t>RESULTADO DEL EJERCICIO</t>
        </is>
      </c>
      <c r="E105" t="inlineStr">
        <is>
          <t>RESULTADO ANTES DE IMPUESTOS</t>
        </is>
      </c>
      <c r="F105" t="inlineStr">
        <is>
          <t>RESULTADO DE LA EXPLOTACION</t>
        </is>
      </c>
      <c r="G105" t="inlineStr">
        <is>
          <t>7.- Otros gastos de explotación</t>
        </is>
      </c>
      <c r="H105" t="inlineStr">
        <is>
          <t>(623) Servicios profesionales independientes</t>
        </is>
      </c>
      <c r="I105" t="inlineStr">
        <is>
          <t>623100006 - GASTOS Y SERVICIOS AGRICOLA DEL JUCAR</t>
        </is>
      </c>
      <c r="J105" t="inlineStr">
        <is>
          <t>-</t>
        </is>
      </c>
      <c r="K105" s="3" t="n">
        <v>-500</v>
      </c>
      <c r="L105" s="3" t="n">
        <v>-500</v>
      </c>
      <c r="M105" s="3" t="n">
        <v>-500</v>
      </c>
      <c r="N105" s="3" t="n">
        <v>-500</v>
      </c>
      <c r="O105" s="3" t="n">
        <v>-500</v>
      </c>
      <c r="P105" s="3" t="n">
        <v>-500</v>
      </c>
      <c r="Q105" s="3" t="n">
        <v>-500</v>
      </c>
      <c r="R105" s="3" t="n">
        <v>-500</v>
      </c>
      <c r="S105" s="3" t="n">
        <v>-500</v>
      </c>
      <c r="T105" s="3" t="n">
        <v>-500</v>
      </c>
      <c r="U105" s="3" t="n">
        <v>-500</v>
      </c>
      <c r="V105" s="3" t="n">
        <v>-30500</v>
      </c>
      <c r="W105" s="1">
        <f>SUM(K105:V105)</f>
        <v/>
      </c>
      <c r="X105" t="inlineStr">
        <is>
          <t>Dotación mensual comercial: -500 €/mes + 30.000 € extraordinarios en dic (Total: -36.000 €). Sin incremento en 2027.</t>
        </is>
      </c>
    </row>
    <row r="106">
      <c r="B106" t="n">
        <v>2027</v>
      </c>
      <c r="C106" t="inlineStr">
        <is>
          <t>Codiagro</t>
        </is>
      </c>
      <c r="D106" t="inlineStr">
        <is>
          <t>RESULTADO DEL EJERCICIO</t>
        </is>
      </c>
      <c r="E106" t="inlineStr">
        <is>
          <t>RESULTADO ANTES DE IMPUESTOS</t>
        </is>
      </c>
      <c r="F106" t="inlineStr">
        <is>
          <t>RESULTADO DE LA EXPLOTACION</t>
        </is>
      </c>
      <c r="G106" t="inlineStr">
        <is>
          <t>7.- Otros gastos de explotación</t>
        </is>
      </c>
      <c r="H106" t="inlineStr">
        <is>
          <t>(623) Servicios profesionales independientes</t>
        </is>
      </c>
      <c r="I106" t="inlineStr">
        <is>
          <t>623100007 - GASTOS Y SUELDO MEHMET CILOGLU</t>
        </is>
      </c>
      <c r="J106" t="inlineStr">
        <is>
          <t>-</t>
        </is>
      </c>
      <c r="K106" s="3" t="n">
        <v>-6000</v>
      </c>
      <c r="L106" s="3" t="n">
        <v>-6000</v>
      </c>
      <c r="M106" s="3" t="n">
        <v>-6000</v>
      </c>
      <c r="N106" s="3" t="n">
        <v>-6000</v>
      </c>
      <c r="O106" s="3" t="n">
        <v>-6000</v>
      </c>
      <c r="P106" s="3" t="n">
        <v>-6000</v>
      </c>
      <c r="Q106" s="3" t="n">
        <v>-6000</v>
      </c>
      <c r="R106" s="3" t="n">
        <v>-6000</v>
      </c>
      <c r="S106" s="3" t="n">
        <v>-6000</v>
      </c>
      <c r="T106" s="3" t="n">
        <v>-6000</v>
      </c>
      <c r="U106" s="3" t="n">
        <v>-6000</v>
      </c>
      <c r="V106" s="3" t="n">
        <v>-106000</v>
      </c>
      <c r="W106" s="1">
        <f>SUM(K106:V106)</f>
        <v/>
      </c>
      <c r="X106" t="inlineStr">
        <is>
          <t>Gestión comercial Mehmet: -6.000 €/mes + 100.000 € extraordinarios en dic (Total: -172.000 €). Sin incremento en 2027.</t>
        </is>
      </c>
    </row>
    <row r="107">
      <c r="B107" t="n">
        <v>2027</v>
      </c>
      <c r="C107" t="inlineStr">
        <is>
          <t>Codiagro</t>
        </is>
      </c>
      <c r="D107" t="inlineStr">
        <is>
          <t>RESULTADO DEL EJERCICIO</t>
        </is>
      </c>
      <c r="E107" t="inlineStr">
        <is>
          <t>RESULTADO ANTES DE IMPUESTOS</t>
        </is>
      </c>
      <c r="F107" t="inlineStr">
        <is>
          <t>RESULTADO DE LA EXPLOTACION</t>
        </is>
      </c>
      <c r="G107" t="inlineStr">
        <is>
          <t>7.- Otros gastos de explotación</t>
        </is>
      </c>
      <c r="H107" t="inlineStr">
        <is>
          <t>(623) Servicios profesionales independientes</t>
        </is>
      </c>
      <c r="I107" t="inlineStr">
        <is>
          <t>623100008 - COMISIONES KAMAL KEHAL</t>
        </is>
      </c>
      <c r="J107" t="inlineStr">
        <is>
          <t>-</t>
        </is>
      </c>
      <c r="K107" s="3" t="n">
        <v>-283.21</v>
      </c>
      <c r="L107" s="3" t="n">
        <v>-283.21</v>
      </c>
      <c r="M107" s="3" t="n">
        <v>-283.21</v>
      </c>
      <c r="N107" s="3" t="n">
        <v>-283.21</v>
      </c>
      <c r="O107" s="3" t="n">
        <v>-283.21</v>
      </c>
      <c r="P107" s="3" t="n">
        <v>-283.21</v>
      </c>
      <c r="Q107" s="3" t="n">
        <v>-283.21</v>
      </c>
      <c r="R107" s="3" t="n">
        <v>-283.21</v>
      </c>
      <c r="S107" s="3" t="n">
        <v>-283.21</v>
      </c>
      <c r="T107" s="3" t="n">
        <v>-283.21</v>
      </c>
      <c r="U107" s="3" t="n">
        <v>-283.21</v>
      </c>
      <c r="V107" s="3" t="n">
        <v>-283.21</v>
      </c>
      <c r="W107" s="1">
        <f>SUM(K107:V107)</f>
        <v/>
      </c>
      <c r="X107" t="inlineStr">
        <is>
          <t>Comisiones Kamal Kehal: presupuestada en 2027 la misma cantidad anual real del 2026 (-3.398,55 €/año, -283,21 €/mes).</t>
        </is>
      </c>
    </row>
    <row r="108">
      <c r="B108" t="n">
        <v>2027</v>
      </c>
      <c r="C108" t="inlineStr">
        <is>
          <t>Codiagro</t>
        </is>
      </c>
      <c r="D108" t="inlineStr">
        <is>
          <t>RESULTADO DEL EJERCICIO</t>
        </is>
      </c>
      <c r="E108" t="inlineStr">
        <is>
          <t>RESULTADO ANTES DE IMPUESTOS</t>
        </is>
      </c>
      <c r="F108" t="inlineStr">
        <is>
          <t>RESULTADO DE LA EXPLOTACION</t>
        </is>
      </c>
      <c r="G108" t="inlineStr">
        <is>
          <t>7.- Otros gastos de explotación</t>
        </is>
      </c>
      <c r="H108" t="inlineStr">
        <is>
          <t>(623) Servicios profesionales independientes</t>
        </is>
      </c>
      <c r="I108" t="inlineStr">
        <is>
          <t>623100009 - COMISIONES ABEL SALAZAR</t>
        </is>
      </c>
      <c r="J108" t="inlineStr">
        <is>
          <t>-</t>
        </is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>
        <f>SUM(K108:V108)</f>
        <v/>
      </c>
      <c r="X108" t="inlineStr">
        <is>
          <t>Sin dotación presupuestada en 2027.</t>
        </is>
      </c>
    </row>
    <row r="109">
      <c r="B109" t="n">
        <v>2027</v>
      </c>
      <c r="C109" t="inlineStr">
        <is>
          <t>Codiagro</t>
        </is>
      </c>
      <c r="D109" t="inlineStr">
        <is>
          <t>RESULTADO DEL EJERCICIO</t>
        </is>
      </c>
      <c r="E109" t="inlineStr">
        <is>
          <t>RESULTADO ANTES DE IMPUESTOS</t>
        </is>
      </c>
      <c r="F109" t="inlineStr">
        <is>
          <t>RESULTADO DE LA EXPLOTACION</t>
        </is>
      </c>
      <c r="G109" t="inlineStr">
        <is>
          <t>7.- Otros gastos de explotación</t>
        </is>
      </c>
      <c r="H109" t="inlineStr">
        <is>
          <t>(623) Servicios profesionales independientes</t>
        </is>
      </c>
      <c r="I109" t="inlineStr">
        <is>
          <t>623200001 - GASTOS MARCAS EN ESPAÑA</t>
        </is>
      </c>
      <c r="J109" t="inlineStr">
        <is>
          <t>-</t>
        </is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>
        <f>SUM(K109:V109)</f>
        <v/>
      </c>
      <c r="X109" t="inlineStr">
        <is>
          <t>Sin dotación presupuestada según instrucción comercial.</t>
        </is>
      </c>
    </row>
    <row r="110">
      <c r="B110" t="n">
        <v>2027</v>
      </c>
      <c r="C110" t="inlineStr">
        <is>
          <t>Codiagro</t>
        </is>
      </c>
      <c r="D110" t="inlineStr">
        <is>
          <t>RESULTADO DEL EJERCICIO</t>
        </is>
      </c>
      <c r="E110" t="inlineStr">
        <is>
          <t>RESULTADO ANTES DE IMPUESTOS</t>
        </is>
      </c>
      <c r="F110" t="inlineStr">
        <is>
          <t>RESULTADO DE LA EXPLOTACION</t>
        </is>
      </c>
      <c r="G110" t="inlineStr">
        <is>
          <t>7.- Otros gastos de explotación</t>
        </is>
      </c>
      <c r="H110" t="inlineStr">
        <is>
          <t>(623) Servicios profesionales independientes</t>
        </is>
      </c>
      <c r="I110" t="inlineStr">
        <is>
          <t>623200005 - GASTOS MARCAS CHILE</t>
        </is>
      </c>
      <c r="J110" t="inlineStr">
        <is>
          <t>-</t>
        </is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>
        <f>SUM(K110:V110)</f>
        <v/>
      </c>
      <c r="X110" t="inlineStr">
        <is>
          <t>Sin dotación presupuestada según instrucción comercial.</t>
        </is>
      </c>
    </row>
    <row r="111">
      <c r="B111" t="n">
        <v>2027</v>
      </c>
      <c r="C111" t="inlineStr">
        <is>
          <t>Codiagro</t>
        </is>
      </c>
      <c r="D111" t="inlineStr">
        <is>
          <t>RESULTADO DEL EJERCICIO</t>
        </is>
      </c>
      <c r="E111" t="inlineStr">
        <is>
          <t>RESULTADO ANTES DE IMPUESTOS</t>
        </is>
      </c>
      <c r="F111" t="inlineStr">
        <is>
          <t>RESULTADO DE LA EXPLOTACION</t>
        </is>
      </c>
      <c r="G111" t="inlineStr">
        <is>
          <t>7.- Otros gastos de explotación</t>
        </is>
      </c>
      <c r="H111" t="inlineStr">
        <is>
          <t>(623) Servicios profesionales independientes</t>
        </is>
      </c>
      <c r="I111" t="inlineStr">
        <is>
          <t>623200006 - MARCAS UNION EUROPEA</t>
        </is>
      </c>
      <c r="J111" t="inlineStr">
        <is>
          <t>-</t>
        </is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>
        <f>SUM(K111:V111)</f>
        <v/>
      </c>
      <c r="X111" t="inlineStr">
        <is>
          <t>Sin dotación presupuestada según instrucción comercial.</t>
        </is>
      </c>
    </row>
    <row r="112">
      <c r="B112" t="n">
        <v>2027</v>
      </c>
      <c r="C112" t="inlineStr">
        <is>
          <t>Codiagro</t>
        </is>
      </c>
      <c r="D112" t="inlineStr">
        <is>
          <t>RESULTADO DEL EJERCICIO</t>
        </is>
      </c>
      <c r="E112" t="inlineStr">
        <is>
          <t>RESULTADO ANTES DE IMPUESTOS</t>
        </is>
      </c>
      <c r="F112" t="inlineStr">
        <is>
          <t>RESULTADO DE LA EXPLOTACION</t>
        </is>
      </c>
      <c r="G112" t="inlineStr">
        <is>
          <t>7.- Otros gastos de explotación</t>
        </is>
      </c>
      <c r="H112" t="inlineStr">
        <is>
          <t>(623) Servicios profesionales independientes</t>
        </is>
      </c>
      <c r="I112" t="inlineStr">
        <is>
          <t>623200011 - GASTOS MARCAS COLOMBIA</t>
        </is>
      </c>
      <c r="J112" t="inlineStr">
        <is>
          <t>-</t>
        </is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>
        <f>SUM(K112:V112)</f>
        <v/>
      </c>
      <c r="X112" t="inlineStr">
        <is>
          <t>Sin dotación presupuestada según instrucción comercial.</t>
        </is>
      </c>
    </row>
    <row r="113">
      <c r="B113" t="n">
        <v>2027</v>
      </c>
      <c r="C113" t="inlineStr">
        <is>
          <t>Codiagro</t>
        </is>
      </c>
      <c r="D113" t="inlineStr">
        <is>
          <t>RESULTADO DEL EJERCICIO</t>
        </is>
      </c>
      <c r="E113" t="inlineStr">
        <is>
          <t>RESULTADO ANTES DE IMPUESTOS</t>
        </is>
      </c>
      <c r="F113" t="inlineStr">
        <is>
          <t>RESULTADO DE LA EXPLOTACION</t>
        </is>
      </c>
      <c r="G113" t="inlineStr">
        <is>
          <t>7.- Otros gastos de explotación</t>
        </is>
      </c>
      <c r="H113" t="inlineStr">
        <is>
          <t>(623) Servicios profesionales independientes</t>
        </is>
      </c>
      <c r="I113" t="inlineStr">
        <is>
          <t>623200021 - GASTOS MARCAS GUATEMALA</t>
        </is>
      </c>
      <c r="J113" t="inlineStr">
        <is>
          <t>-</t>
        </is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>
        <f>SUM(K113:V113)</f>
        <v/>
      </c>
      <c r="X113" t="inlineStr">
        <is>
          <t>Sin dotación presupuestada según instrucción comercial.</t>
        </is>
      </c>
    </row>
    <row r="114">
      <c r="B114" t="n">
        <v>2027</v>
      </c>
      <c r="C114" t="inlineStr">
        <is>
          <t>Codiagro</t>
        </is>
      </c>
      <c r="D114" t="inlineStr">
        <is>
          <t>RESULTADO DEL EJERCICIO</t>
        </is>
      </c>
      <c r="E114" t="inlineStr">
        <is>
          <t>RESULTADO ANTES DE IMPUESTOS</t>
        </is>
      </c>
      <c r="F114" t="inlineStr">
        <is>
          <t>RESULTADO DE LA EXPLOTACION</t>
        </is>
      </c>
      <c r="G114" t="inlineStr">
        <is>
          <t>7.- Otros gastos de explotación</t>
        </is>
      </c>
      <c r="H114" t="inlineStr">
        <is>
          <t>(623) Servicios profesionales independientes</t>
        </is>
      </c>
      <c r="I114" t="inlineStr">
        <is>
          <t>623200023 - GASTOS MARCAS ARGELIA</t>
        </is>
      </c>
      <c r="J114" t="inlineStr">
        <is>
          <t>-</t>
        </is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>
        <f>SUM(K114:V114)</f>
        <v/>
      </c>
      <c r="X114" t="inlineStr">
        <is>
          <t>Sin dotación presupuestada según instrucción comercial.</t>
        </is>
      </c>
    </row>
    <row r="115">
      <c r="B115" t="n">
        <v>2027</v>
      </c>
      <c r="C115" t="inlineStr">
        <is>
          <t>Codiagro</t>
        </is>
      </c>
      <c r="D115" t="inlineStr">
        <is>
          <t>RESULTADO DEL EJERCICIO</t>
        </is>
      </c>
      <c r="E115" t="inlineStr">
        <is>
          <t>RESULTADO ANTES DE IMPUESTOS</t>
        </is>
      </c>
      <c r="F115" t="inlineStr">
        <is>
          <t>RESULTADO DE LA EXPLOTACION</t>
        </is>
      </c>
      <c r="G115" t="inlineStr">
        <is>
          <t>7.- Otros gastos de explotación</t>
        </is>
      </c>
      <c r="H115" t="inlineStr">
        <is>
          <t>(623) Servicios profesionales independientes</t>
        </is>
      </c>
      <c r="I115" t="inlineStr">
        <is>
          <t>623200002 - GASTOS MARCAS MEXICO</t>
        </is>
      </c>
      <c r="J115" t="inlineStr">
        <is>
          <t>-</t>
        </is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>
        <f>SUM(K115:V115)</f>
        <v/>
      </c>
      <c r="X115" t="inlineStr">
        <is>
          <t>Sin dotación presupuestada según instrucción comercial.</t>
        </is>
      </c>
    </row>
    <row r="116">
      <c r="B116" t="n">
        <v>2027</v>
      </c>
      <c r="C116" t="inlineStr">
        <is>
          <t>Codiagro</t>
        </is>
      </c>
      <c r="D116" t="inlineStr">
        <is>
          <t>RESULTADO DEL EJERCICIO</t>
        </is>
      </c>
      <c r="E116" t="inlineStr">
        <is>
          <t>RESULTADO ANTES DE IMPUESTOS</t>
        </is>
      </c>
      <c r="F116" t="inlineStr">
        <is>
          <t>RESULTADO DE LA EXPLOTACION</t>
        </is>
      </c>
      <c r="G116" t="inlineStr">
        <is>
          <t>7.- Otros gastos de explotación</t>
        </is>
      </c>
      <c r="H116" t="inlineStr">
        <is>
          <t>(623) Servicios profesionales independientes</t>
        </is>
      </c>
      <c r="I116" t="inlineStr">
        <is>
          <t>623200033 - GASTOS MARCAS MUNDIAL</t>
        </is>
      </c>
      <c r="J116" t="inlineStr">
        <is>
          <t>-</t>
        </is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>
        <f>SUM(K116:V116)</f>
        <v/>
      </c>
      <c r="X116" t="inlineStr">
        <is>
          <t>Sin dotación presupuestada según instrucción comercial.</t>
        </is>
      </c>
    </row>
    <row r="117">
      <c r="B117" t="n">
        <v>2027</v>
      </c>
      <c r="C117" t="inlineStr">
        <is>
          <t>Codiagro</t>
        </is>
      </c>
      <c r="D117" t="inlineStr">
        <is>
          <t>RESULTADO DEL EJERCICIO</t>
        </is>
      </c>
      <c r="E117" t="inlineStr">
        <is>
          <t>RESULTADO ANTES DE IMPUESTOS</t>
        </is>
      </c>
      <c r="F117" t="inlineStr">
        <is>
          <t>RESULTADO DE LA EXPLOTACION</t>
        </is>
      </c>
      <c r="G117" t="inlineStr">
        <is>
          <t>7.- Otros gastos de explotación</t>
        </is>
      </c>
      <c r="H117" t="inlineStr">
        <is>
          <t>(623) Servicios profesionales independientes</t>
        </is>
      </c>
      <c r="I117" t="inlineStr">
        <is>
          <t>623200008 - GASTOS MARCAS EGIPTO</t>
        </is>
      </c>
      <c r="J117" t="inlineStr">
        <is>
          <t>-</t>
        </is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>
        <f>SUM(K117:V117)</f>
        <v/>
      </c>
      <c r="X117" t="inlineStr">
        <is>
          <t>Sin dotación presupuestada según instrucción comercial.</t>
        </is>
      </c>
    </row>
    <row r="118">
      <c r="B118" t="n">
        <v>2027</v>
      </c>
      <c r="C118" t="inlineStr">
        <is>
          <t>Codiagro</t>
        </is>
      </c>
      <c r="D118" t="inlineStr">
        <is>
          <t>RESULTADO DEL EJERCICIO</t>
        </is>
      </c>
      <c r="E118" t="inlineStr">
        <is>
          <t>RESULTADO ANTES DE IMPUESTOS</t>
        </is>
      </c>
      <c r="F118" t="inlineStr">
        <is>
          <t>RESULTADO DE LA EXPLOTACION</t>
        </is>
      </c>
      <c r="G118" t="inlineStr">
        <is>
          <t>7.- Otros gastos de explotación</t>
        </is>
      </c>
      <c r="H118" t="inlineStr">
        <is>
          <t>(623) Servicios profesionales independientes</t>
        </is>
      </c>
      <c r="I118" t="inlineStr">
        <is>
          <t>623200009 - GASTOS MARCAS MARRUECOS</t>
        </is>
      </c>
      <c r="J118" t="inlineStr">
        <is>
          <t>-</t>
        </is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>
        <f>SUM(K118:V118)</f>
        <v/>
      </c>
      <c r="X118" t="inlineStr">
        <is>
          <t>Sin dotación presupuestada según instrucción comercial.</t>
        </is>
      </c>
    </row>
    <row r="119">
      <c r="B119" t="n">
        <v>2027</v>
      </c>
      <c r="C119" t="inlineStr">
        <is>
          <t>Codiagro</t>
        </is>
      </c>
      <c r="D119" t="inlineStr">
        <is>
          <t>RESULTADO DEL EJERCICIO</t>
        </is>
      </c>
      <c r="E119" t="inlineStr">
        <is>
          <t>RESULTADO ANTES DE IMPUESTOS</t>
        </is>
      </c>
      <c r="F119" t="inlineStr">
        <is>
          <t>RESULTADO DE LA EXPLOTACION</t>
        </is>
      </c>
      <c r="G119" t="inlineStr">
        <is>
          <t>7.- Otros gastos de explotación</t>
        </is>
      </c>
      <c r="H119" t="inlineStr">
        <is>
          <t>(623) Servicios profesionales independientes</t>
        </is>
      </c>
      <c r="I119" t="inlineStr">
        <is>
          <t>623200010 - GASTOS MARCAS TURQUIA</t>
        </is>
      </c>
      <c r="J119" t="inlineStr">
        <is>
          <t>-</t>
        </is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>
        <f>SUM(K119:V119)</f>
        <v/>
      </c>
      <c r="X119" t="inlineStr">
        <is>
          <t>Sin dotación presupuestada según instrucción comercial.</t>
        </is>
      </c>
    </row>
    <row r="120">
      <c r="B120" t="n">
        <v>2027</v>
      </c>
      <c r="C120" t="inlineStr">
        <is>
          <t>Codiagro</t>
        </is>
      </c>
      <c r="D120" t="inlineStr">
        <is>
          <t>RESULTADO DEL EJERCICIO</t>
        </is>
      </c>
      <c r="E120" t="inlineStr">
        <is>
          <t>RESULTADO ANTES DE IMPUESTOS</t>
        </is>
      </c>
      <c r="F120" t="inlineStr">
        <is>
          <t>RESULTADO DE LA EXPLOTACION</t>
        </is>
      </c>
      <c r="G120" t="inlineStr">
        <is>
          <t>7.- Otros gastos de explotación</t>
        </is>
      </c>
      <c r="H120" t="inlineStr">
        <is>
          <t>(623) Servicios profesionales independientes</t>
        </is>
      </c>
      <c r="I120" t="inlineStr">
        <is>
          <t>623200016 - GASTOS MARCAS ECUADOR</t>
        </is>
      </c>
      <c r="J120" t="inlineStr">
        <is>
          <t>-</t>
        </is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>
        <f>SUM(K120:V120)</f>
        <v/>
      </c>
      <c r="X120" t="inlineStr">
        <is>
          <t>Sin dotación presupuestada según instrucción comercial.</t>
        </is>
      </c>
    </row>
    <row r="121">
      <c r="B121" t="n">
        <v>2027</v>
      </c>
      <c r="C121" t="inlineStr">
        <is>
          <t>Codiagro</t>
        </is>
      </c>
      <c r="D121" t="inlineStr">
        <is>
          <t>RESULTADO DEL EJERCICIO</t>
        </is>
      </c>
      <c r="E121" t="inlineStr">
        <is>
          <t>RESULTADO ANTES DE IMPUESTOS</t>
        </is>
      </c>
      <c r="F121" t="inlineStr">
        <is>
          <t>RESULTADO DE LA EXPLOTACION</t>
        </is>
      </c>
      <c r="G121" t="inlineStr">
        <is>
          <t>7.- Otros gastos de explotación</t>
        </is>
      </c>
      <c r="H121" t="inlineStr">
        <is>
          <t>(623) Servicios profesionales independientes</t>
        </is>
      </c>
      <c r="I121" t="inlineStr">
        <is>
          <t>623200017 GASTOS MARCAS EL SALVADOR</t>
        </is>
      </c>
      <c r="J121" t="inlineStr">
        <is>
          <t>-</t>
        </is>
      </c>
      <c r="K121" s="1" t="n">
        <v>-4869.95</v>
      </c>
      <c r="L121" s="1" t="n">
        <v>-4869.95</v>
      </c>
      <c r="M121" s="1" t="n">
        <v>-4869.95</v>
      </c>
      <c r="N121" s="1" t="n">
        <v>-4869.95</v>
      </c>
      <c r="O121" s="1" t="n">
        <v>-4869.95</v>
      </c>
      <c r="P121" s="1" t="n">
        <v>-4869.95</v>
      </c>
      <c r="Q121" s="1" t="n">
        <v>-4869.95</v>
      </c>
      <c r="R121" s="1" t="n">
        <v>-4869.95</v>
      </c>
      <c r="S121" s="1" t="n">
        <v>-4869.95</v>
      </c>
      <c r="T121" s="1" t="n">
        <v>-4869.95</v>
      </c>
      <c r="U121" s="1" t="n">
        <v>-4869.95</v>
      </c>
      <c r="V121" s="1" t="n">
        <v>-4869.95</v>
      </c>
      <c r="W121" s="1">
        <f>SUM(K121:V121)</f>
        <v/>
      </c>
      <c r="X121" t="inlineStr">
        <is>
          <t>Gastos de registro y mantenimiento de marca en El Salvador (única partida de marcas presupuestada).</t>
        </is>
      </c>
    </row>
    <row r="122">
      <c r="B122" t="n">
        <v>2027</v>
      </c>
      <c r="C122" t="inlineStr">
        <is>
          <t>Codiagro</t>
        </is>
      </c>
      <c r="D122" t="inlineStr">
        <is>
          <t>RESULTADO DEL EJERCICIO</t>
        </is>
      </c>
      <c r="E122" t="inlineStr">
        <is>
          <t>RESULTADO ANTES DE IMPUESTOS</t>
        </is>
      </c>
      <c r="F122" t="inlineStr">
        <is>
          <t>RESULTADO DE LA EXPLOTACION</t>
        </is>
      </c>
      <c r="G122" t="inlineStr">
        <is>
          <t>7.- Otros gastos de explotación</t>
        </is>
      </c>
      <c r="H122" t="inlineStr">
        <is>
          <t>(623) Servicios profesionales independientes</t>
        </is>
      </c>
      <c r="I122" t="inlineStr">
        <is>
          <t>623200020 - GASTOS MARCAS TUNEZ</t>
        </is>
      </c>
      <c r="J122" t="inlineStr">
        <is>
          <t>-</t>
        </is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>
        <f>SUM(K122:V122)</f>
        <v/>
      </c>
      <c r="X122" t="inlineStr">
        <is>
          <t>Sin dotación presupuestada según instrucción comercial.</t>
        </is>
      </c>
    </row>
    <row r="123">
      <c r="B123" t="n">
        <v>2027</v>
      </c>
      <c r="C123" t="inlineStr">
        <is>
          <t>Codiagro</t>
        </is>
      </c>
      <c r="D123" t="inlineStr">
        <is>
          <t>RESULTADO DEL EJERCICIO</t>
        </is>
      </c>
      <c r="E123" t="inlineStr">
        <is>
          <t>RESULTADO ANTES DE IMPUESTOS</t>
        </is>
      </c>
      <c r="F123" t="inlineStr">
        <is>
          <t>RESULTADO DE LA EXPLOTACION</t>
        </is>
      </c>
      <c r="G123" t="inlineStr">
        <is>
          <t>7.- Otros gastos de explotación</t>
        </is>
      </c>
      <c r="H123" t="inlineStr">
        <is>
          <t>(623) Servicios profesionales independientes</t>
        </is>
      </c>
      <c r="I123" t="inlineStr">
        <is>
          <t>623200022 - GASTOS MARCAS BOLIVIA</t>
        </is>
      </c>
      <c r="J123" t="inlineStr">
        <is>
          <t>-</t>
        </is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>
        <f>SUM(K123:V123)</f>
        <v/>
      </c>
      <c r="X123" t="inlineStr">
        <is>
          <t>Sin dotación presupuestada según instrucción comercial.</t>
        </is>
      </c>
    </row>
    <row r="124">
      <c r="B124" t="n">
        <v>2027</v>
      </c>
      <c r="C124" t="inlineStr">
        <is>
          <t>Codiagro</t>
        </is>
      </c>
      <c r="D124" t="inlineStr">
        <is>
          <t>RESULTADO DEL EJERCICIO</t>
        </is>
      </c>
      <c r="E124" t="inlineStr">
        <is>
          <t>RESULTADO ANTES DE IMPUESTOS</t>
        </is>
      </c>
      <c r="F124" t="inlineStr">
        <is>
          <t>RESULTADO DE LA EXPLOTACION</t>
        </is>
      </c>
      <c r="G124" t="inlineStr">
        <is>
          <t>7.- Otros gastos de explotación</t>
        </is>
      </c>
      <c r="H124" t="inlineStr">
        <is>
          <t>(623) Servicios profesionales independientes</t>
        </is>
      </c>
      <c r="I124" t="inlineStr">
        <is>
          <t>623200024 - GASTOS MARCAS INTERNACIONALES</t>
        </is>
      </c>
      <c r="J124" t="inlineStr">
        <is>
          <t>-</t>
        </is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>
        <f>SUM(K124:V124)</f>
        <v/>
      </c>
      <c r="X124" t="inlineStr">
        <is>
          <t>Sin dotación presupuestada según instrucción comercial.</t>
        </is>
      </c>
    </row>
    <row r="125">
      <c r="B125" t="n">
        <v>2027</v>
      </c>
      <c r="C125" t="inlineStr">
        <is>
          <t>Codiagro</t>
        </is>
      </c>
      <c r="D125" t="inlineStr">
        <is>
          <t>RESULTADO DEL EJERCICIO</t>
        </is>
      </c>
      <c r="E125" t="inlineStr">
        <is>
          <t>RESULTADO ANTES DE IMPUESTOS</t>
        </is>
      </c>
      <c r="F125" t="inlineStr">
        <is>
          <t>RESULTADO DE LA EXPLOTACION</t>
        </is>
      </c>
      <c r="G125" t="inlineStr">
        <is>
          <t>7.- Otros gastos de explotación</t>
        </is>
      </c>
      <c r="H125" t="inlineStr">
        <is>
          <t>(623) Servicios profesionales independientes</t>
        </is>
      </c>
      <c r="I125" t="inlineStr">
        <is>
          <t>623200029 - GASTOS MARCAS GEORGIA</t>
        </is>
      </c>
      <c r="J125" t="inlineStr">
        <is>
          <t>-</t>
        </is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>
        <f>SUM(K125:V125)</f>
        <v/>
      </c>
      <c r="X125" t="inlineStr">
        <is>
          <t>Sin dotación presupuestada según instrucción comercial.</t>
        </is>
      </c>
    </row>
    <row r="126">
      <c r="B126" t="n">
        <v>2027</v>
      </c>
      <c r="C126" t="inlineStr">
        <is>
          <t>Codiagro</t>
        </is>
      </c>
      <c r="D126" t="inlineStr">
        <is>
          <t>RESULTADO DEL EJERCICIO</t>
        </is>
      </c>
      <c r="E126" t="inlineStr">
        <is>
          <t>RESULTADO ANTES DE IMPUESTOS</t>
        </is>
      </c>
      <c r="F126" t="inlineStr">
        <is>
          <t>RESULTADO DE LA EXPLOTACION</t>
        </is>
      </c>
      <c r="G126" t="inlineStr">
        <is>
          <t>7.- Otros gastos de explotación</t>
        </is>
      </c>
      <c r="H126" t="inlineStr">
        <is>
          <t>(623) Servicios profesionales independientes</t>
        </is>
      </c>
      <c r="I126" t="inlineStr">
        <is>
          <t>623200030 - GASTOS MARCAS AZERBAIYAN</t>
        </is>
      </c>
      <c r="J126" t="inlineStr">
        <is>
          <t>-</t>
        </is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>
        <f>SUM(K126:V126)</f>
        <v/>
      </c>
      <c r="X126" t="inlineStr">
        <is>
          <t>Sin dotación presupuestada según instrucción comercial.</t>
        </is>
      </c>
    </row>
    <row r="127">
      <c r="B127" t="n">
        <v>2027</v>
      </c>
      <c r="C127" t="inlineStr">
        <is>
          <t>Codiagro</t>
        </is>
      </c>
      <c r="D127" t="inlineStr">
        <is>
          <t>RESULTADO DEL EJERCICIO</t>
        </is>
      </c>
      <c r="E127" t="inlineStr">
        <is>
          <t>RESULTADO ANTES DE IMPUESTOS</t>
        </is>
      </c>
      <c r="F127" t="inlineStr">
        <is>
          <t>RESULTADO DE LA EXPLOTACION</t>
        </is>
      </c>
      <c r="G127" t="inlineStr">
        <is>
          <t>7.- Otros gastos de explotación</t>
        </is>
      </c>
      <c r="H127" t="inlineStr">
        <is>
          <t>(623) Servicios profesionales independientes</t>
        </is>
      </c>
      <c r="I127" t="inlineStr">
        <is>
          <t>623200037 - GASTOS MARCAS ESTADOS UNIDOS</t>
        </is>
      </c>
      <c r="J127" t="inlineStr">
        <is>
          <t>-</t>
        </is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>
        <f>SUM(K127:V127)</f>
        <v/>
      </c>
      <c r="X127" t="inlineStr">
        <is>
          <t>Sin dotación presupuestada según instrucción comercial.</t>
        </is>
      </c>
    </row>
    <row r="128">
      <c r="B128" t="n">
        <v>2027</v>
      </c>
      <c r="C128" t="inlineStr">
        <is>
          <t>Codiagro</t>
        </is>
      </c>
      <c r="D128" t="inlineStr">
        <is>
          <t>RESULTADO DEL EJERCICIO</t>
        </is>
      </c>
      <c r="E128" t="inlineStr">
        <is>
          <t>RESULTADO ANTES DE IMPUESTOS</t>
        </is>
      </c>
      <c r="F128" t="inlineStr">
        <is>
          <t>RESULTADO DE LA EXPLOTACION</t>
        </is>
      </c>
      <c r="G128" t="inlineStr">
        <is>
          <t>7.- Otros gastos de explotación</t>
        </is>
      </c>
      <c r="H128" t="inlineStr">
        <is>
          <t>(624) Transportes ventas</t>
        </is>
      </c>
      <c r="I128" t="inlineStr">
        <is>
          <t>624000001 - TRANSPORTES NACIONAL</t>
        </is>
      </c>
      <c r="J128" t="inlineStr">
        <is>
          <t>-</t>
        </is>
      </c>
      <c r="K128" s="1" t="n">
        <v>-13724.79</v>
      </c>
      <c r="L128" s="1" t="n">
        <v>-22231.7</v>
      </c>
      <c r="M128" s="1" t="n">
        <v>-21325.61</v>
      </c>
      <c r="N128" s="1" t="n">
        <v>-17169.02</v>
      </c>
      <c r="O128" s="1" t="n">
        <v>-28188.38</v>
      </c>
      <c r="P128" s="1" t="n">
        <v>-27953.81</v>
      </c>
      <c r="Q128" s="1" t="n">
        <v>-17735.79</v>
      </c>
      <c r="R128" s="1" t="n">
        <v>-11318.66</v>
      </c>
      <c r="S128" s="1" t="n">
        <v>-6574.75</v>
      </c>
      <c r="T128" s="1" t="n">
        <v>-10995.56</v>
      </c>
      <c r="U128" s="1" t="n">
        <v>-16996.4</v>
      </c>
      <c r="V128" s="1" t="n">
        <v>-18643.46</v>
      </c>
      <c r="W128" s="1">
        <f>SUM(K128:V128)</f>
        <v/>
      </c>
      <c r="X128" t="inlineStr">
        <is>
          <t>Coste 100% variable: transporte nacional calculado en función del volumen de expediciones presupuestadas.</t>
        </is>
      </c>
    </row>
    <row r="129">
      <c r="B129" t="n">
        <v>2027</v>
      </c>
      <c r="C129" t="inlineStr">
        <is>
          <t>Codiagro</t>
        </is>
      </c>
      <c r="D129" t="inlineStr">
        <is>
          <t>RESULTADO DEL EJERCICIO</t>
        </is>
      </c>
      <c r="E129" t="inlineStr">
        <is>
          <t>RESULTADO ANTES DE IMPUESTOS</t>
        </is>
      </c>
      <c r="F129" t="inlineStr">
        <is>
          <t>RESULTADO DE LA EXPLOTACION</t>
        </is>
      </c>
      <c r="G129" t="inlineStr">
        <is>
          <t>7.- Otros gastos de explotación</t>
        </is>
      </c>
      <c r="H129" t="inlineStr">
        <is>
          <t>(624) Transportes ventas</t>
        </is>
      </c>
      <c r="I129" t="inlineStr">
        <is>
          <t>624000002 - TRANSPORTE INTERNACIONAL</t>
        </is>
      </c>
      <c r="J129" t="inlineStr">
        <is>
          <t>-</t>
        </is>
      </c>
      <c r="K129" s="1" t="n">
        <v>-9721.73</v>
      </c>
      <c r="L129" s="1" t="n">
        <v>-15747.45</v>
      </c>
      <c r="M129" s="1" t="n">
        <v>-15105.64</v>
      </c>
      <c r="N129" s="1" t="n">
        <v>-12161.39</v>
      </c>
      <c r="O129" s="1" t="n">
        <v>-19966.77</v>
      </c>
      <c r="P129" s="1" t="n">
        <v>-19800.61</v>
      </c>
      <c r="Q129" s="1" t="n">
        <v>-12562.85</v>
      </c>
      <c r="R129" s="1" t="n">
        <v>-8017.38</v>
      </c>
      <c r="S129" s="1" t="n">
        <v>-4657.12</v>
      </c>
      <c r="T129" s="1" t="n">
        <v>-7788.52</v>
      </c>
      <c r="U129" s="1" t="n">
        <v>-12039.12</v>
      </c>
      <c r="V129" s="1" t="n">
        <v>-13205.79</v>
      </c>
      <c r="W129" s="1">
        <f>SUM(K129:V129)</f>
        <v/>
      </c>
      <c r="X129" t="inlineStr">
        <is>
          <t>Coste variable: transporte marítimo y terrestre de exportación según volumen internacional presupuestado.</t>
        </is>
      </c>
    </row>
    <row r="130">
      <c r="B130" t="n">
        <v>2027</v>
      </c>
      <c r="C130" t="inlineStr">
        <is>
          <t>Codiagro</t>
        </is>
      </c>
      <c r="D130" t="inlineStr">
        <is>
          <t>RESULTADO DEL EJERCICIO</t>
        </is>
      </c>
      <c r="E130" t="inlineStr">
        <is>
          <t>RESULTADO ANTES DE IMPUESTOS</t>
        </is>
      </c>
      <c r="F130" t="inlineStr">
        <is>
          <t>RESULTADO DE LA EXPLOTACION</t>
        </is>
      </c>
      <c r="G130" t="inlineStr">
        <is>
          <t>7.- Otros gastos de explotación</t>
        </is>
      </c>
      <c r="H130" t="inlineStr">
        <is>
          <t>(624) Transportes ventas</t>
        </is>
      </c>
      <c r="I130" t="inlineStr">
        <is>
          <t>624000003 - TRANSPORTES CANARIAS</t>
        </is>
      </c>
      <c r="J130" t="inlineStr">
        <is>
          <t>-</t>
        </is>
      </c>
      <c r="K130" s="1" t="n">
        <v>-5718.66</v>
      </c>
      <c r="L130" s="1" t="n">
        <v>-9263.209999999999</v>
      </c>
      <c r="M130" s="1" t="n">
        <v>-8885.67</v>
      </c>
      <c r="N130" s="1" t="n">
        <v>-7153.76</v>
      </c>
      <c r="O130" s="1" t="n">
        <v>-11745.16</v>
      </c>
      <c r="P130" s="1" t="n">
        <v>-11647.42</v>
      </c>
      <c r="Q130" s="1" t="n">
        <v>-7389.91</v>
      </c>
      <c r="R130" s="1" t="n">
        <v>-4716.11</v>
      </c>
      <c r="S130" s="1" t="n">
        <v>-2739.48</v>
      </c>
      <c r="T130" s="1" t="n">
        <v>-4581.48</v>
      </c>
      <c r="U130" s="1" t="n">
        <v>-7081.83</v>
      </c>
      <c r="V130" s="1" t="n">
        <v>-7768.11</v>
      </c>
      <c r="W130" s="1">
        <f>SUM(K130:V130)</f>
        <v/>
      </c>
      <c r="X130" t="inlineStr">
        <is>
          <t>Coste variable: logística insular según previsión de ventas en Canarias.</t>
        </is>
      </c>
    </row>
    <row r="131">
      <c r="B131" t="n">
        <v>2027</v>
      </c>
      <c r="C131" t="inlineStr">
        <is>
          <t>Codiagro</t>
        </is>
      </c>
      <c r="D131" t="inlineStr">
        <is>
          <t>RESULTADO DEL EJERCICIO</t>
        </is>
      </c>
      <c r="E131" t="inlineStr">
        <is>
          <t>RESULTADO ANTES DE IMPUESTOS</t>
        </is>
      </c>
      <c r="F131" t="inlineStr">
        <is>
          <t>RESULTADO DE LA EXPLOTACION</t>
        </is>
      </c>
      <c r="G131" t="inlineStr">
        <is>
          <t>7.- Otros gastos de explotación</t>
        </is>
      </c>
      <c r="H131" t="inlineStr">
        <is>
          <t>(624) Transportes ventas</t>
        </is>
      </c>
      <c r="I131" t="inlineStr">
        <is>
          <t>624000004 - GTOS. FLETE REP. AL CLIENTE</t>
        </is>
      </c>
      <c r="J131" t="inlineStr">
        <is>
          <t>-</t>
        </is>
      </c>
      <c r="K131" s="1" t="n">
        <v>-5146.8</v>
      </c>
      <c r="L131" s="1" t="n">
        <v>-8336.889999999999</v>
      </c>
      <c r="M131" s="1" t="n">
        <v>-7997.1</v>
      </c>
      <c r="N131" s="1" t="n">
        <v>-6438.38</v>
      </c>
      <c r="O131" s="1" t="n">
        <v>-10570.64</v>
      </c>
      <c r="P131" s="1" t="n">
        <v>-10482.68</v>
      </c>
      <c r="Q131" s="1" t="n">
        <v>-6650.92</v>
      </c>
      <c r="R131" s="1" t="n">
        <v>-4244.5</v>
      </c>
      <c r="S131" s="1" t="n">
        <v>-2465.53</v>
      </c>
      <c r="T131" s="1" t="n">
        <v>-4123.34</v>
      </c>
      <c r="U131" s="1" t="n">
        <v>-6373.65</v>
      </c>
      <c r="V131" s="1" t="n">
        <v>-6991.3</v>
      </c>
      <c r="W131" s="1">
        <f>SUM(K131:V131)</f>
        <v/>
      </c>
      <c r="X131" t="inlineStr">
        <is>
          <t>Coste variable de fletes con repercusión comercial al cliente final.</t>
        </is>
      </c>
    </row>
    <row r="132">
      <c r="B132" t="n">
        <v>2027</v>
      </c>
      <c r="C132" t="inlineStr">
        <is>
          <t>Codiagro</t>
        </is>
      </c>
      <c r="D132" t="inlineStr">
        <is>
          <t>RESULTADO DEL EJERCICIO</t>
        </is>
      </c>
      <c r="E132" t="inlineStr">
        <is>
          <t>RESULTADO ANTES DE IMPUESTOS</t>
        </is>
      </c>
      <c r="F132" t="inlineStr">
        <is>
          <t>RESULTADO DE LA EXPLOTACION</t>
        </is>
      </c>
      <c r="G132" t="inlineStr">
        <is>
          <t>7.- Otros gastos de explotación</t>
        </is>
      </c>
      <c r="H132" t="inlineStr">
        <is>
          <t>(624) Transportes ventas</t>
        </is>
      </c>
      <c r="I132" t="inlineStr">
        <is>
          <t xml:space="preserve">624000005 - TTE. PAQUETERIA </t>
        </is>
      </c>
      <c r="J132" t="inlineStr">
        <is>
          <t>-</t>
        </is>
      </c>
      <c r="K132" s="1" t="n">
        <v>-591.46</v>
      </c>
      <c r="L132" s="1" t="n">
        <v>-591.46</v>
      </c>
      <c r="M132" s="1" t="n">
        <v>-591.46</v>
      </c>
      <c r="N132" s="1" t="n">
        <v>-591.46</v>
      </c>
      <c r="O132" s="1" t="n">
        <v>-591.46</v>
      </c>
      <c r="P132" s="1" t="n">
        <v>-591.46</v>
      </c>
      <c r="Q132" s="1" t="n">
        <v>-591.46</v>
      </c>
      <c r="R132" s="1" t="n">
        <v>-591.46</v>
      </c>
      <c r="S132" s="1" t="n">
        <v>-591.46</v>
      </c>
      <c r="T132" s="1" t="n">
        <v>-591.46</v>
      </c>
      <c r="U132" s="1" t="n">
        <v>-591.46</v>
      </c>
      <c r="V132" s="1" t="n">
        <v>-591.46</v>
      </c>
      <c r="W132" s="1">
        <f>SUM(K132:V132)</f>
        <v/>
      </c>
      <c r="X132" t="inlineStr">
        <is>
          <t>Proyección extrapolada de actividad recurrente.</t>
        </is>
      </c>
    </row>
    <row r="133">
      <c r="B133" t="n">
        <v>2027</v>
      </c>
      <c r="C133" t="inlineStr">
        <is>
          <t>Codiagro</t>
        </is>
      </c>
      <c r="D133" t="inlineStr">
        <is>
          <t>RESULTADO DEL EJERCICIO</t>
        </is>
      </c>
      <c r="E133" t="inlineStr">
        <is>
          <t>RESULTADO ANTES DE IMPUESTOS</t>
        </is>
      </c>
      <c r="F133" t="inlineStr">
        <is>
          <t>RESULTADO DE LA EXPLOTACION</t>
        </is>
      </c>
      <c r="G133" t="inlineStr">
        <is>
          <t>7.- Otros gastos de explotación</t>
        </is>
      </c>
      <c r="H133" t="inlineStr">
        <is>
          <t>(624) Transportes ventas</t>
        </is>
      </c>
      <c r="I133" t="inlineStr">
        <is>
          <t>624000006 - TRANSPORTES IMPORTACIÓN</t>
        </is>
      </c>
      <c r="J133" t="inlineStr">
        <is>
          <t>-</t>
        </is>
      </c>
      <c r="K133" s="1" t="n">
        <v>-1389.04</v>
      </c>
      <c r="L133" s="1" t="n">
        <v>-1389.04</v>
      </c>
      <c r="M133" s="1" t="n">
        <v>-1389.04</v>
      </c>
      <c r="N133" s="1" t="n">
        <v>-1389.04</v>
      </c>
      <c r="O133" s="1" t="n">
        <v>-1389.04</v>
      </c>
      <c r="P133" s="1" t="n">
        <v>-1389.04</v>
      </c>
      <c r="Q133" s="1" t="n">
        <v>-1389.04</v>
      </c>
      <c r="R133" s="1" t="n">
        <v>-1389.04</v>
      </c>
      <c r="S133" s="1" t="n">
        <v>-1389.04</v>
      </c>
      <c r="T133" s="1" t="n">
        <v>-1389.04</v>
      </c>
      <c r="U133" s="1" t="n">
        <v>-1389.04</v>
      </c>
      <c r="V133" s="1" t="n">
        <v>-1389.04</v>
      </c>
      <c r="W133" s="1">
        <f>SUM(K133:V133)</f>
        <v/>
      </c>
      <c r="X133" t="inlineStr">
        <is>
          <t>Proyección extrapolada de actividad recurrente.</t>
        </is>
      </c>
    </row>
    <row r="134">
      <c r="B134" t="n">
        <v>2027</v>
      </c>
      <c r="C134" t="inlineStr">
        <is>
          <t>Codiagro</t>
        </is>
      </c>
      <c r="D134" t="inlineStr">
        <is>
          <t>RESULTADO DEL EJERCICIO</t>
        </is>
      </c>
      <c r="E134" t="inlineStr">
        <is>
          <t>RESULTADO ANTES DE IMPUESTOS</t>
        </is>
      </c>
      <c r="F134" t="inlineStr">
        <is>
          <t>RESULTADO DE LA EXPLOTACION</t>
        </is>
      </c>
      <c r="G134" t="inlineStr">
        <is>
          <t>7.- Otros gastos de explotación</t>
        </is>
      </c>
      <c r="H134" t="inlineStr">
        <is>
          <t>(624) Transportes ventas</t>
        </is>
      </c>
      <c r="I134" t="inlineStr">
        <is>
          <t>624000007 - ENVIO MUESTRAS</t>
        </is>
      </c>
      <c r="J134" t="inlineStr">
        <is>
          <t>-</t>
        </is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>
        <f>SUM(K134:V134)</f>
        <v/>
      </c>
      <c r="X134" t="inlineStr">
        <is>
          <t>Sin dotación presupuestada en 2027.</t>
        </is>
      </c>
    </row>
    <row r="135">
      <c r="B135" t="n">
        <v>2027</v>
      </c>
      <c r="C135" t="inlineStr">
        <is>
          <t>Codiagro</t>
        </is>
      </c>
      <c r="D135" t="inlineStr">
        <is>
          <t>RESULTADO DEL EJERCICIO</t>
        </is>
      </c>
      <c r="E135" t="inlineStr">
        <is>
          <t>RESULTADO ANTES DE IMPUESTOS</t>
        </is>
      </c>
      <c r="F135" t="inlineStr">
        <is>
          <t>RESULTADO DE LA EXPLOTACION</t>
        </is>
      </c>
      <c r="G135" t="inlineStr">
        <is>
          <t>7.- Otros gastos de explotación</t>
        </is>
      </c>
      <c r="H135" t="inlineStr">
        <is>
          <t>(625) Primas de seguros</t>
        </is>
      </c>
      <c r="I135" t="inlineStr">
        <is>
          <t>625000001 - SEGUROS VEHÍCULOS</t>
        </is>
      </c>
      <c r="J135" t="inlineStr">
        <is>
          <t>-</t>
        </is>
      </c>
      <c r="K135" s="1" t="n">
        <v>-188.17</v>
      </c>
      <c r="L135" s="1" t="n">
        <v>-188.17</v>
      </c>
      <c r="M135" s="1" t="n">
        <v>-188.17</v>
      </c>
      <c r="N135" s="1" t="n">
        <v>-188.17</v>
      </c>
      <c r="O135" s="1" t="n">
        <v>-188.17</v>
      </c>
      <c r="P135" s="1" t="n">
        <v>-188.17</v>
      </c>
      <c r="Q135" s="1" t="n">
        <v>-188.17</v>
      </c>
      <c r="R135" s="1" t="n">
        <v>-188.17</v>
      </c>
      <c r="S135" s="1" t="n">
        <v>-188.17</v>
      </c>
      <c r="T135" s="1" t="n">
        <v>-188.17</v>
      </c>
      <c r="U135" s="1" t="n">
        <v>-188.17</v>
      </c>
      <c r="V135" s="1" t="n">
        <v>-188.17</v>
      </c>
      <c r="W135" s="1">
        <f>SUM(K135:V135)</f>
        <v/>
      </c>
      <c r="X135" t="inlineStr">
        <is>
          <t>Coste fijo: prima mensualizada de pólizas de seguro industrial y responsabilidad civil.</t>
        </is>
      </c>
    </row>
    <row r="136">
      <c r="B136" t="n">
        <v>2027</v>
      </c>
      <c r="C136" t="inlineStr">
        <is>
          <t>Codiagro</t>
        </is>
      </c>
      <c r="D136" t="inlineStr">
        <is>
          <t>RESULTADO DEL EJERCICIO</t>
        </is>
      </c>
      <c r="E136" t="inlineStr">
        <is>
          <t>RESULTADO ANTES DE IMPUESTOS</t>
        </is>
      </c>
      <c r="F136" t="inlineStr">
        <is>
          <t>RESULTADO DE LA EXPLOTACION</t>
        </is>
      </c>
      <c r="G136" t="inlineStr">
        <is>
          <t>7.- Otros gastos de explotación</t>
        </is>
      </c>
      <c r="H136" t="inlineStr">
        <is>
          <t>(625) Primas de seguros</t>
        </is>
      </c>
      <c r="I136" t="inlineStr">
        <is>
          <t>625000003 SEGURO ACCIDENTES TRABAJADORES</t>
        </is>
      </c>
      <c r="J136" t="inlineStr">
        <is>
          <t>-</t>
        </is>
      </c>
      <c r="K136" s="1" t="n">
        <v>-194.64</v>
      </c>
      <c r="L136" s="1" t="n">
        <v>-194.64</v>
      </c>
      <c r="M136" s="1" t="n">
        <v>-194.64</v>
      </c>
      <c r="N136" s="1" t="n">
        <v>-194.64</v>
      </c>
      <c r="O136" s="1" t="n">
        <v>-194.64</v>
      </c>
      <c r="P136" s="1" t="n">
        <v>-194.64</v>
      </c>
      <c r="Q136" s="1" t="n">
        <v>-194.64</v>
      </c>
      <c r="R136" s="1" t="n">
        <v>-194.64</v>
      </c>
      <c r="S136" s="1" t="n">
        <v>-194.64</v>
      </c>
      <c r="T136" s="1" t="n">
        <v>-194.64</v>
      </c>
      <c r="U136" s="1" t="n">
        <v>-194.64</v>
      </c>
      <c r="V136" s="1" t="n">
        <v>-194.64</v>
      </c>
      <c r="W136" s="1">
        <f>SUM(K136:V136)</f>
        <v/>
      </c>
      <c r="X136" t="inlineStr">
        <is>
          <t>Coste fijo: prima mensualizada de pólizas de seguro industrial y responsabilidad civil.</t>
        </is>
      </c>
    </row>
    <row r="137">
      <c r="B137" t="n">
        <v>2027</v>
      </c>
      <c r="C137" t="inlineStr">
        <is>
          <t>Codiagro</t>
        </is>
      </c>
      <c r="D137" t="inlineStr">
        <is>
          <t>RESULTADO DEL EJERCICIO</t>
        </is>
      </c>
      <c r="E137" t="inlineStr">
        <is>
          <t>RESULTADO ANTES DE IMPUESTOS</t>
        </is>
      </c>
      <c r="F137" t="inlineStr">
        <is>
          <t>RESULTADO DE LA EXPLOTACION</t>
        </is>
      </c>
      <c r="G137" t="inlineStr">
        <is>
          <t>7.- Otros gastos de explotación</t>
        </is>
      </c>
      <c r="H137" t="inlineStr">
        <is>
          <t>(625) Primas de seguros</t>
        </is>
      </c>
      <c r="I137" t="inlineStr">
        <is>
          <t>625000004 - SEGURO RESP. CIVIL</t>
        </is>
      </c>
      <c r="J137" t="inlineStr">
        <is>
          <t>-</t>
        </is>
      </c>
      <c r="K137" s="1" t="n">
        <v>-3281.59</v>
      </c>
      <c r="L137" s="1" t="n">
        <v>-3281.59</v>
      </c>
      <c r="M137" s="1" t="n">
        <v>-3281.59</v>
      </c>
      <c r="N137" s="1" t="n">
        <v>-3281.59</v>
      </c>
      <c r="O137" s="1" t="n">
        <v>-3281.59</v>
      </c>
      <c r="P137" s="1" t="n">
        <v>-3281.59</v>
      </c>
      <c r="Q137" s="1" t="n">
        <v>-3281.59</v>
      </c>
      <c r="R137" s="1" t="n">
        <v>-3281.59</v>
      </c>
      <c r="S137" s="1" t="n">
        <v>-3281.59</v>
      </c>
      <c r="T137" s="1" t="n">
        <v>-3281.59</v>
      </c>
      <c r="U137" s="1" t="n">
        <v>-3281.59</v>
      </c>
      <c r="V137" s="1" t="n">
        <v>-3281.59</v>
      </c>
      <c r="W137" s="1">
        <f>SUM(K137:V137)</f>
        <v/>
      </c>
      <c r="X137" t="inlineStr">
        <is>
          <t>Coste fijo: prima mensualizada de pólizas de seguro industrial y responsabilidad civil.</t>
        </is>
      </c>
    </row>
    <row r="138">
      <c r="B138" t="n">
        <v>2027</v>
      </c>
      <c r="C138" t="inlineStr">
        <is>
          <t>Codiagro</t>
        </is>
      </c>
      <c r="D138" t="inlineStr">
        <is>
          <t>RESULTADO DEL EJERCICIO</t>
        </is>
      </c>
      <c r="E138" t="inlineStr">
        <is>
          <t>RESULTADO ANTES DE IMPUESTOS</t>
        </is>
      </c>
      <c r="F138" t="inlineStr">
        <is>
          <t>RESULTADO DE LA EXPLOTACION</t>
        </is>
      </c>
      <c r="G138" t="inlineStr">
        <is>
          <t>7.- Otros gastos de explotación</t>
        </is>
      </c>
      <c r="H138" t="inlineStr">
        <is>
          <t>(625) Primas de seguros</t>
        </is>
      </c>
      <c r="I138" t="inlineStr">
        <is>
          <t>625000005 - SEGUROS ACTIVIDAD</t>
        </is>
      </c>
      <c r="J138" t="inlineStr">
        <is>
          <t>-</t>
        </is>
      </c>
      <c r="K138" s="1" t="n">
        <v>-2975.68</v>
      </c>
      <c r="L138" s="1" t="n">
        <v>-2975.68</v>
      </c>
      <c r="M138" s="1" t="n">
        <v>-2975.68</v>
      </c>
      <c r="N138" s="1" t="n">
        <v>-2975.68</v>
      </c>
      <c r="O138" s="1" t="n">
        <v>-2975.68</v>
      </c>
      <c r="P138" s="1" t="n">
        <v>-2975.68</v>
      </c>
      <c r="Q138" s="1" t="n">
        <v>-2975.68</v>
      </c>
      <c r="R138" s="1" t="n">
        <v>-2975.68</v>
      </c>
      <c r="S138" s="1" t="n">
        <v>-2975.68</v>
      </c>
      <c r="T138" s="1" t="n">
        <v>-2975.68</v>
      </c>
      <c r="U138" s="1" t="n">
        <v>-2975.68</v>
      </c>
      <c r="V138" s="1" t="n">
        <v>-2975.68</v>
      </c>
      <c r="W138" s="1">
        <f>SUM(K138:V138)</f>
        <v/>
      </c>
      <c r="X138" t="inlineStr">
        <is>
          <t>Coste fijo: prima mensualizada de pólizas de seguro industrial y responsabilidad civil.</t>
        </is>
      </c>
    </row>
    <row r="139">
      <c r="B139" t="n">
        <v>2027</v>
      </c>
      <c r="C139" t="inlineStr">
        <is>
          <t>Codiagro</t>
        </is>
      </c>
      <c r="D139" t="inlineStr">
        <is>
          <t>RESULTADO DEL EJERCICIO</t>
        </is>
      </c>
      <c r="E139" t="inlineStr">
        <is>
          <t>RESULTADO ANTES DE IMPUESTOS</t>
        </is>
      </c>
      <c r="F139" t="inlineStr">
        <is>
          <t>RESULTADO DE LA EXPLOTACION</t>
        </is>
      </c>
      <c r="G139" t="inlineStr">
        <is>
          <t>7.- Otros gastos de explotación</t>
        </is>
      </c>
      <c r="H139" t="inlineStr">
        <is>
          <t>(626) Servicios bancarios</t>
        </is>
      </c>
      <c r="I139" t="inlineStr">
        <is>
          <t>626000000 - Servicios bancarios y similares</t>
        </is>
      </c>
      <c r="J139" t="inlineStr">
        <is>
          <t>-</t>
        </is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>
        <f>SUM(K139:V139)</f>
        <v/>
      </c>
      <c r="X139" t="inlineStr">
        <is>
          <t>Sin dotación presupuestada en 2027.</t>
        </is>
      </c>
    </row>
    <row r="140">
      <c r="B140" t="n">
        <v>2027</v>
      </c>
      <c r="C140" t="inlineStr">
        <is>
          <t>Codiagro</t>
        </is>
      </c>
      <c r="D140" t="inlineStr">
        <is>
          <t>RESULTADO DEL EJERCICIO</t>
        </is>
      </c>
      <c r="E140" t="inlineStr">
        <is>
          <t>RESULTADO ANTES DE IMPUESTOS</t>
        </is>
      </c>
      <c r="F140" t="inlineStr">
        <is>
          <t>RESULTADO DE LA EXPLOTACION</t>
        </is>
      </c>
      <c r="G140" t="inlineStr">
        <is>
          <t>7.- Otros gastos de explotación</t>
        </is>
      </c>
      <c r="H140" t="inlineStr">
        <is>
          <t>(626) Servicios bancarios</t>
        </is>
      </c>
      <c r="I140" t="inlineStr">
        <is>
          <t>626000002 - GASTOS Y COMISIONES BANCO SABADELL</t>
        </is>
      </c>
      <c r="J140" t="inlineStr">
        <is>
          <t>-</t>
        </is>
      </c>
      <c r="K140" s="1" t="n">
        <v>-49.02</v>
      </c>
      <c r="L140" s="1" t="n">
        <v>-49.02</v>
      </c>
      <c r="M140" s="1" t="n">
        <v>-49.02</v>
      </c>
      <c r="N140" s="1" t="n">
        <v>-49.02</v>
      </c>
      <c r="O140" s="1" t="n">
        <v>-49.02</v>
      </c>
      <c r="P140" s="1" t="n">
        <v>-49.02</v>
      </c>
      <c r="Q140" s="1" t="n">
        <v>-49.02</v>
      </c>
      <c r="R140" s="1" t="n">
        <v>-49.02</v>
      </c>
      <c r="S140" s="1" t="n">
        <v>-49.02</v>
      </c>
      <c r="T140" s="1" t="n">
        <v>-49.02</v>
      </c>
      <c r="U140" s="1" t="n">
        <v>-49.02</v>
      </c>
      <c r="V140" s="1" t="n">
        <v>-49.02</v>
      </c>
      <c r="W140" s="1">
        <f>SUM(K140:V140)</f>
        <v/>
      </c>
      <c r="X140" t="inlineStr">
        <is>
          <t>Coste operativo recurrente por transaccionalidad bancaria y comisiones de gestión.</t>
        </is>
      </c>
    </row>
    <row r="141">
      <c r="B141" t="n">
        <v>2027</v>
      </c>
      <c r="C141" t="inlineStr">
        <is>
          <t>Codiagro</t>
        </is>
      </c>
      <c r="D141" t="inlineStr">
        <is>
          <t>RESULTADO DEL EJERCICIO</t>
        </is>
      </c>
      <c r="E141" t="inlineStr">
        <is>
          <t>RESULTADO ANTES DE IMPUESTOS</t>
        </is>
      </c>
      <c r="F141" t="inlineStr">
        <is>
          <t>RESULTADO DE LA EXPLOTACION</t>
        </is>
      </c>
      <c r="G141" t="inlineStr">
        <is>
          <t>7.- Otros gastos de explotación</t>
        </is>
      </c>
      <c r="H141" t="inlineStr">
        <is>
          <t>(626) Servicios bancarios</t>
        </is>
      </c>
      <c r="I141" t="inlineStr">
        <is>
          <t>626000005 - GASTOS Y COMISIONES CAIXALMASSORA</t>
        </is>
      </c>
      <c r="J141" t="inlineStr">
        <is>
          <t>-</t>
        </is>
      </c>
      <c r="K141" s="1" t="n">
        <v>-171.17</v>
      </c>
      <c r="L141" s="1" t="n">
        <v>-171.17</v>
      </c>
      <c r="M141" s="1" t="n">
        <v>-171.17</v>
      </c>
      <c r="N141" s="1" t="n">
        <v>-171.17</v>
      </c>
      <c r="O141" s="1" t="n">
        <v>-171.17</v>
      </c>
      <c r="P141" s="1" t="n">
        <v>-171.17</v>
      </c>
      <c r="Q141" s="1" t="n">
        <v>-171.17</v>
      </c>
      <c r="R141" s="1" t="n">
        <v>-171.17</v>
      </c>
      <c r="S141" s="1" t="n">
        <v>-171.17</v>
      </c>
      <c r="T141" s="1" t="n">
        <v>-171.17</v>
      </c>
      <c r="U141" s="1" t="n">
        <v>-171.17</v>
      </c>
      <c r="V141" s="1" t="n">
        <v>-171.17</v>
      </c>
      <c r="W141" s="1">
        <f>SUM(K141:V141)</f>
        <v/>
      </c>
      <c r="X141" t="inlineStr">
        <is>
          <t>Coste operativo recurrente por transaccionalidad bancaria y comisiones de gestión.</t>
        </is>
      </c>
    </row>
    <row r="142">
      <c r="B142" t="n">
        <v>2027</v>
      </c>
      <c r="C142" t="inlineStr">
        <is>
          <t>Codiagro</t>
        </is>
      </c>
      <c r="D142" t="inlineStr">
        <is>
          <t>RESULTADO DEL EJERCICIO</t>
        </is>
      </c>
      <c r="E142" t="inlineStr">
        <is>
          <t>RESULTADO ANTES DE IMPUESTOS</t>
        </is>
      </c>
      <c r="F142" t="inlineStr">
        <is>
          <t>RESULTADO DE LA EXPLOTACION</t>
        </is>
      </c>
      <c r="G142" t="inlineStr">
        <is>
          <t>7.- Otros gastos de explotación</t>
        </is>
      </c>
      <c r="H142" t="inlineStr">
        <is>
          <t>(626) Servicios bancarios</t>
        </is>
      </c>
      <c r="I142" t="inlineStr">
        <is>
          <t>626000007 - GASTOS Y COMISIONES BBVA</t>
        </is>
      </c>
      <c r="J142" t="inlineStr">
        <is>
          <t>-</t>
        </is>
      </c>
      <c r="K142" s="1" t="n">
        <v>-811.09</v>
      </c>
      <c r="L142" s="1" t="n">
        <v>-811.09</v>
      </c>
      <c r="M142" s="1" t="n">
        <v>-811.09</v>
      </c>
      <c r="N142" s="1" t="n">
        <v>-811.09</v>
      </c>
      <c r="O142" s="1" t="n">
        <v>-811.09</v>
      </c>
      <c r="P142" s="1" t="n">
        <v>-811.09</v>
      </c>
      <c r="Q142" s="1" t="n">
        <v>-811.09</v>
      </c>
      <c r="R142" s="1" t="n">
        <v>-811.09</v>
      </c>
      <c r="S142" s="1" t="n">
        <v>-811.09</v>
      </c>
      <c r="T142" s="1" t="n">
        <v>-811.09</v>
      </c>
      <c r="U142" s="1" t="n">
        <v>-811.09</v>
      </c>
      <c r="V142" s="1" t="n">
        <v>-811.09</v>
      </c>
      <c r="W142" s="1">
        <f>SUM(K142:V142)</f>
        <v/>
      </c>
      <c r="X142" t="inlineStr">
        <is>
          <t>Coste operativo recurrente por transaccionalidad bancaria y comisiones de gestión.</t>
        </is>
      </c>
    </row>
    <row r="143">
      <c r="B143" t="n">
        <v>2027</v>
      </c>
      <c r="C143" t="inlineStr">
        <is>
          <t>Codiagro</t>
        </is>
      </c>
      <c r="D143" t="inlineStr">
        <is>
          <t>RESULTADO DEL EJERCICIO</t>
        </is>
      </c>
      <c r="E143" t="inlineStr">
        <is>
          <t>RESULTADO ANTES DE IMPUESTOS</t>
        </is>
      </c>
      <c r="F143" t="inlineStr">
        <is>
          <t>RESULTADO DE LA EXPLOTACION</t>
        </is>
      </c>
      <c r="G143" t="inlineStr">
        <is>
          <t>7.- Otros gastos de explotación</t>
        </is>
      </c>
      <c r="H143" t="inlineStr">
        <is>
          <t>(627) Publicidad</t>
        </is>
      </c>
      <c r="I143" t="inlineStr">
        <is>
          <t>627000001 - GTOS. PUBLICIDAD EN INTERNET</t>
        </is>
      </c>
      <c r="J143" t="inlineStr">
        <is>
          <t>-</t>
        </is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>
        <f>SUM(K143:V143)</f>
        <v/>
      </c>
      <c r="X143" t="inlineStr">
        <is>
          <t>Sin dotación presupuestada en 2027.</t>
        </is>
      </c>
    </row>
    <row r="144">
      <c r="B144" t="n">
        <v>2027</v>
      </c>
      <c r="C144" t="inlineStr">
        <is>
          <t>Codiagro</t>
        </is>
      </c>
      <c r="D144" t="inlineStr">
        <is>
          <t>RESULTADO DEL EJERCICIO</t>
        </is>
      </c>
      <c r="E144" t="inlineStr">
        <is>
          <t>RESULTADO ANTES DE IMPUESTOS</t>
        </is>
      </c>
      <c r="F144" t="inlineStr">
        <is>
          <t>RESULTADO DE LA EXPLOTACION</t>
        </is>
      </c>
      <c r="G144" t="inlineStr">
        <is>
          <t>7.- Otros gastos de explotación</t>
        </is>
      </c>
      <c r="H144" t="inlineStr">
        <is>
          <t>(627) Publicidad</t>
        </is>
      </c>
      <c r="I144" t="inlineStr">
        <is>
          <t>627000004 - RELACIONES PUBLICAS</t>
        </is>
      </c>
      <c r="J144" t="inlineStr">
        <is>
          <t>-</t>
        </is>
      </c>
      <c r="K144" s="1" t="n">
        <v>-214.6</v>
      </c>
      <c r="L144" s="1" t="n">
        <v>-214.6</v>
      </c>
      <c r="M144" s="1" t="n">
        <v>-214.6</v>
      </c>
      <c r="N144" s="1" t="n">
        <v>-214.6</v>
      </c>
      <c r="O144" s="1" t="n">
        <v>-214.6</v>
      </c>
      <c r="P144" s="1" t="n">
        <v>-214.6</v>
      </c>
      <c r="Q144" s="1" t="n">
        <v>-214.6</v>
      </c>
      <c r="R144" s="1" t="n">
        <v>-214.6</v>
      </c>
      <c r="S144" s="1" t="n">
        <v>-214.6</v>
      </c>
      <c r="T144" s="1" t="n">
        <v>-321.9</v>
      </c>
      <c r="U144" s="1" t="n">
        <v>-214.6</v>
      </c>
      <c r="V144" s="1" t="n">
        <v>-214.6</v>
      </c>
      <c r="W144" s="1">
        <f>SUM(K144:V144)</f>
        <v/>
      </c>
      <c r="X144" t="inlineStr">
        <is>
          <t>Gasto comercial y marketing: promedio mensual con refuerzo en octubre por ferias del sector.</t>
        </is>
      </c>
    </row>
    <row r="145">
      <c r="B145" t="n">
        <v>2027</v>
      </c>
      <c r="C145" t="inlineStr">
        <is>
          <t>Codiagro</t>
        </is>
      </c>
      <c r="D145" t="inlineStr">
        <is>
          <t>RESULTADO DEL EJERCICIO</t>
        </is>
      </c>
      <c r="E145" t="inlineStr">
        <is>
          <t>RESULTADO ANTES DE IMPUESTOS</t>
        </is>
      </c>
      <c r="F145" t="inlineStr">
        <is>
          <t>RESULTADO DE LA EXPLOTACION</t>
        </is>
      </c>
      <c r="G145" t="inlineStr">
        <is>
          <t>7.- Otros gastos de explotación</t>
        </is>
      </c>
      <c r="H145" t="inlineStr">
        <is>
          <t>(627) Publicidad</t>
        </is>
      </c>
      <c r="I145" t="inlineStr">
        <is>
          <t>627000005 - INVITACIONES CLIENTES</t>
        </is>
      </c>
      <c r="J145" t="inlineStr">
        <is>
          <t>-</t>
        </is>
      </c>
      <c r="K145" s="1" t="n">
        <v>-407</v>
      </c>
      <c r="L145" s="1" t="n">
        <v>-407</v>
      </c>
      <c r="M145" s="1" t="n">
        <v>-407</v>
      </c>
      <c r="N145" s="1" t="n">
        <v>-407</v>
      </c>
      <c r="O145" s="1" t="n">
        <v>-407</v>
      </c>
      <c r="P145" s="1" t="n">
        <v>-407</v>
      </c>
      <c r="Q145" s="1" t="n">
        <v>-407</v>
      </c>
      <c r="R145" s="1" t="n">
        <v>-407</v>
      </c>
      <c r="S145" s="1" t="n">
        <v>-407</v>
      </c>
      <c r="T145" s="1" t="n">
        <v>-610.5</v>
      </c>
      <c r="U145" s="1" t="n">
        <v>-407</v>
      </c>
      <c r="V145" s="1" t="n">
        <v>-407</v>
      </c>
      <c r="W145" s="1">
        <f>SUM(K145:V145)</f>
        <v/>
      </c>
      <c r="X145" t="inlineStr">
        <is>
          <t>Gasto comercial y marketing: promedio mensual con refuerzo en octubre por ferias del sector.</t>
        </is>
      </c>
    </row>
    <row r="146">
      <c r="B146" t="n">
        <v>2027</v>
      </c>
      <c r="C146" t="inlineStr">
        <is>
          <t>Codiagro</t>
        </is>
      </c>
      <c r="D146" t="inlineStr">
        <is>
          <t>RESULTADO DEL EJERCICIO</t>
        </is>
      </c>
      <c r="E146" t="inlineStr">
        <is>
          <t>RESULTADO ANTES DE IMPUESTOS</t>
        </is>
      </c>
      <c r="F146" t="inlineStr">
        <is>
          <t>RESULTADO DE LA EXPLOTACION</t>
        </is>
      </c>
      <c r="G146" t="inlineStr">
        <is>
          <t>7.- Otros gastos de explotación</t>
        </is>
      </c>
      <c r="H146" t="inlineStr">
        <is>
          <t>(627) Publicidad</t>
        </is>
      </c>
      <c r="I146" t="inlineStr">
        <is>
          <t>627000006 - PUBLICIDAD CATALOGOS Y FOLLETOS</t>
        </is>
      </c>
      <c r="J146" t="inlineStr">
        <is>
          <t>-</t>
        </is>
      </c>
      <c r="K146" s="1" t="n">
        <v>-98.94</v>
      </c>
      <c r="L146" s="1" t="n">
        <v>-98.94</v>
      </c>
      <c r="M146" s="1" t="n">
        <v>-98.94</v>
      </c>
      <c r="N146" s="1" t="n">
        <v>-98.94</v>
      </c>
      <c r="O146" s="1" t="n">
        <v>-98.94</v>
      </c>
      <c r="P146" s="1" t="n">
        <v>-98.94</v>
      </c>
      <c r="Q146" s="1" t="n">
        <v>-98.94</v>
      </c>
      <c r="R146" s="1" t="n">
        <v>-98.94</v>
      </c>
      <c r="S146" s="1" t="n">
        <v>-98.94</v>
      </c>
      <c r="T146" s="1" t="n">
        <v>-148.41</v>
      </c>
      <c r="U146" s="1" t="n">
        <v>-98.94</v>
      </c>
      <c r="V146" s="1" t="n">
        <v>-98.94</v>
      </c>
      <c r="W146" s="1">
        <f>SUM(K146:V146)</f>
        <v/>
      </c>
      <c r="X146" t="inlineStr">
        <is>
          <t>Gasto comercial y marketing: promedio mensual con refuerzo en octubre por ferias del sector.</t>
        </is>
      </c>
    </row>
    <row r="147">
      <c r="B147" t="n">
        <v>2027</v>
      </c>
      <c r="C147" t="inlineStr">
        <is>
          <t>Codiagro</t>
        </is>
      </c>
      <c r="D147" t="inlineStr">
        <is>
          <t>RESULTADO DEL EJERCICIO</t>
        </is>
      </c>
      <c r="E147" t="inlineStr">
        <is>
          <t>RESULTADO ANTES DE IMPUESTOS</t>
        </is>
      </c>
      <c r="F147" t="inlineStr">
        <is>
          <t>RESULTADO DE LA EXPLOTACION</t>
        </is>
      </c>
      <c r="G147" t="inlineStr">
        <is>
          <t>7.- Otros gastos de explotación</t>
        </is>
      </c>
      <c r="H147" t="inlineStr">
        <is>
          <t>(627) Publicidad</t>
        </is>
      </c>
      <c r="I147" t="inlineStr">
        <is>
          <t>627000007 - FERIAS</t>
        </is>
      </c>
      <c r="J147" t="inlineStr">
        <is>
          <t>-</t>
        </is>
      </c>
      <c r="K147" s="1" t="n">
        <v>-308.46</v>
      </c>
      <c r="L147" s="1" t="n">
        <v>-308.46</v>
      </c>
      <c r="M147" s="1" t="n">
        <v>-308.46</v>
      </c>
      <c r="N147" s="1" t="n">
        <v>-308.46</v>
      </c>
      <c r="O147" s="1" t="n">
        <v>-308.46</v>
      </c>
      <c r="P147" s="1" t="n">
        <v>-308.46</v>
      </c>
      <c r="Q147" s="1" t="n">
        <v>-308.46</v>
      </c>
      <c r="R147" s="1" t="n">
        <v>-308.46</v>
      </c>
      <c r="S147" s="1" t="n">
        <v>-308.46</v>
      </c>
      <c r="T147" s="1" t="n">
        <v>-462.69</v>
      </c>
      <c r="U147" s="1" t="n">
        <v>-308.46</v>
      </c>
      <c r="V147" s="1" t="n">
        <v>-308.46</v>
      </c>
      <c r="W147" s="1">
        <f>SUM(K147:V147)</f>
        <v/>
      </c>
      <c r="X147" t="inlineStr">
        <is>
          <t>Gasto comercial y marketing: promedio mensual con refuerzo en octubre por ferias del sector.</t>
        </is>
      </c>
    </row>
    <row r="148">
      <c r="B148" t="n">
        <v>2027</v>
      </c>
      <c r="C148" t="inlineStr">
        <is>
          <t>Codiagro</t>
        </is>
      </c>
      <c r="D148" t="inlineStr">
        <is>
          <t>RESULTADO DEL EJERCICIO</t>
        </is>
      </c>
      <c r="E148" t="inlineStr">
        <is>
          <t>RESULTADO ANTES DE IMPUESTOS</t>
        </is>
      </c>
      <c r="F148" t="inlineStr">
        <is>
          <t>RESULTADO DE LA EXPLOTACION</t>
        </is>
      </c>
      <c r="G148" t="inlineStr">
        <is>
          <t>7.- Otros gastos de explotación</t>
        </is>
      </c>
      <c r="H148" t="inlineStr">
        <is>
          <t>(627) Publicidad</t>
        </is>
      </c>
      <c r="I148" t="inlineStr">
        <is>
          <t>627000008 - MARKETING</t>
        </is>
      </c>
      <c r="J148" t="inlineStr">
        <is>
          <t>-</t>
        </is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1">
        <f>SUM(K148:V148)</f>
        <v/>
      </c>
      <c r="X148" t="inlineStr">
        <is>
          <t>Gastos de marketing: fijado a 0 a la espera de adjuntar el plan de marketing detallado para 2027.</t>
        </is>
      </c>
    </row>
    <row r="149">
      <c r="B149" t="n">
        <v>2027</v>
      </c>
      <c r="C149" t="inlineStr">
        <is>
          <t>Codiagro</t>
        </is>
      </c>
      <c r="D149" t="inlineStr">
        <is>
          <t>RESULTADO DEL EJERCICIO</t>
        </is>
      </c>
      <c r="E149" t="inlineStr">
        <is>
          <t>RESULTADO ANTES DE IMPUESTOS</t>
        </is>
      </c>
      <c r="F149" t="inlineStr">
        <is>
          <t>RESULTADO DE LA EXPLOTACION</t>
        </is>
      </c>
      <c r="G149" t="inlineStr">
        <is>
          <t>7.- Otros gastos de explotación</t>
        </is>
      </c>
      <c r="H149" t="inlineStr">
        <is>
          <t>(627) Publicidad</t>
        </is>
      </c>
      <c r="I149" t="inlineStr">
        <is>
          <t>627000009 - ARTICULOS PUBLICIDAD</t>
        </is>
      </c>
      <c r="J149" t="inlineStr">
        <is>
          <t>-</t>
        </is>
      </c>
      <c r="K149" s="1" t="n">
        <v>-2000</v>
      </c>
      <c r="L149" s="1" t="n">
        <v>-2000</v>
      </c>
      <c r="M149" s="1" t="n">
        <v>-2000</v>
      </c>
      <c r="N149" s="1" t="n">
        <v>-2000</v>
      </c>
      <c r="O149" s="1" t="n">
        <v>-2000</v>
      </c>
      <c r="P149" s="1" t="n">
        <v>-2000</v>
      </c>
      <c r="Q149" s="1" t="n">
        <v>-2000</v>
      </c>
      <c r="R149" s="1" t="n">
        <v>-2000</v>
      </c>
      <c r="S149" s="1" t="n">
        <v>-2000</v>
      </c>
      <c r="T149" s="1" t="n">
        <v>-4500</v>
      </c>
      <c r="U149" s="1" t="n">
        <v>-2000</v>
      </c>
      <c r="V149" s="1" t="n">
        <v>-2000</v>
      </c>
      <c r="W149" s="1">
        <f>SUM(K149:V149)</f>
        <v/>
      </c>
      <c r="X149" t="inlineStr">
        <is>
          <t>Gasto comercial estratégico: refuerzo en octubre por ferias agrícolas (Fruit Attraction) y catálogos.</t>
        </is>
      </c>
    </row>
    <row r="150">
      <c r="B150" t="n">
        <v>2027</v>
      </c>
      <c r="C150" t="inlineStr">
        <is>
          <t>Codiagro</t>
        </is>
      </c>
      <c r="D150" t="inlineStr">
        <is>
          <t>RESULTADO DEL EJERCICIO</t>
        </is>
      </c>
      <c r="E150" t="inlineStr">
        <is>
          <t>RESULTADO ANTES DE IMPUESTOS</t>
        </is>
      </c>
      <c r="F150" t="inlineStr">
        <is>
          <t>RESULTADO DE LA EXPLOTACION</t>
        </is>
      </c>
      <c r="G150" t="inlineStr">
        <is>
          <t>7.- Otros gastos de explotación</t>
        </is>
      </c>
      <c r="H150" t="inlineStr">
        <is>
          <t>(627) Publicidad</t>
        </is>
      </c>
      <c r="I150" t="inlineStr">
        <is>
          <t>627000010 - RELACIONES PUBLICAS TEC. CLIENTES</t>
        </is>
      </c>
      <c r="J150" t="inlineStr">
        <is>
          <t>-</t>
        </is>
      </c>
      <c r="K150" s="1" t="n">
        <v>-826.76</v>
      </c>
      <c r="L150" s="1" t="n">
        <v>-826.76</v>
      </c>
      <c r="M150" s="1" t="n">
        <v>-826.76</v>
      </c>
      <c r="N150" s="1" t="n">
        <v>-826.76</v>
      </c>
      <c r="O150" s="1" t="n">
        <v>-826.76</v>
      </c>
      <c r="P150" s="1" t="n">
        <v>-826.76</v>
      </c>
      <c r="Q150" s="1" t="n">
        <v>-826.76</v>
      </c>
      <c r="R150" s="1" t="n">
        <v>-826.76</v>
      </c>
      <c r="S150" s="1" t="n">
        <v>-826.76</v>
      </c>
      <c r="T150" s="1" t="n">
        <v>-1240.14</v>
      </c>
      <c r="U150" s="1" t="n">
        <v>-826.76</v>
      </c>
      <c r="V150" s="1" t="n">
        <v>-826.76</v>
      </c>
      <c r="W150" s="1">
        <f>SUM(K150:V150)</f>
        <v/>
      </c>
      <c r="X150" t="inlineStr">
        <is>
          <t>Gasto comercial y marketing: promedio mensual con refuerzo en octubre por ferias del sector.</t>
        </is>
      </c>
    </row>
    <row r="151">
      <c r="B151" t="n">
        <v>2027</v>
      </c>
      <c r="C151" t="inlineStr">
        <is>
          <t>Codiagro</t>
        </is>
      </c>
      <c r="D151" t="inlineStr">
        <is>
          <t>RESULTADO DEL EJERCICIO</t>
        </is>
      </c>
      <c r="E151" t="inlineStr">
        <is>
          <t>RESULTADO ANTES DE IMPUESTOS</t>
        </is>
      </c>
      <c r="F151" t="inlineStr">
        <is>
          <t>RESULTADO DE LA EXPLOTACION</t>
        </is>
      </c>
      <c r="G151" t="inlineStr">
        <is>
          <t>7.- Otros gastos de explotación</t>
        </is>
      </c>
      <c r="H151" t="inlineStr">
        <is>
          <t>(628) Suministros</t>
        </is>
      </c>
      <c r="I151" t="inlineStr">
        <is>
          <t>628000001 - SUMINISTROS INFORMATICOS</t>
        </is>
      </c>
      <c r="J151" t="inlineStr">
        <is>
          <t>-</t>
        </is>
      </c>
      <c r="K151" s="1" t="n">
        <v>-489</v>
      </c>
      <c r="L151" s="1" t="n">
        <v>-489</v>
      </c>
      <c r="M151" s="1" t="n">
        <v>-489</v>
      </c>
      <c r="N151" s="1" t="n">
        <v>-489</v>
      </c>
      <c r="O151" s="1" t="n">
        <v>-489</v>
      </c>
      <c r="P151" s="1" t="n">
        <v>-489</v>
      </c>
      <c r="Q151" s="1" t="n">
        <v>-489</v>
      </c>
      <c r="R151" s="1" t="n">
        <v>-489</v>
      </c>
      <c r="S151" s="1" t="n">
        <v>-489</v>
      </c>
      <c r="T151" s="1" t="n">
        <v>-489</v>
      </c>
      <c r="U151" s="1" t="n">
        <v>-489</v>
      </c>
      <c r="V151" s="1" t="n">
        <v>-489</v>
      </c>
      <c r="W151" s="1">
        <f>SUM(K151:V151)</f>
        <v/>
      </c>
      <c r="X151" t="inlineStr">
        <is>
          <t>Proyección extrapolada de actividad recurrente.</t>
        </is>
      </c>
    </row>
    <row r="152">
      <c r="B152" t="n">
        <v>2027</v>
      </c>
      <c r="C152" t="inlineStr">
        <is>
          <t>Codiagro</t>
        </is>
      </c>
      <c r="D152" t="inlineStr">
        <is>
          <t>RESULTADO DEL EJERCICIO</t>
        </is>
      </c>
      <c r="E152" t="inlineStr">
        <is>
          <t>RESULTADO ANTES DE IMPUESTOS</t>
        </is>
      </c>
      <c r="F152" t="inlineStr">
        <is>
          <t>RESULTADO DE LA EXPLOTACION</t>
        </is>
      </c>
      <c r="G152" t="inlineStr">
        <is>
          <t>7.- Otros gastos de explotación</t>
        </is>
      </c>
      <c r="H152" t="inlineStr">
        <is>
          <t>(628) Suministros</t>
        </is>
      </c>
      <c r="I152" t="inlineStr">
        <is>
          <t>628000002 - SUMINISTROS ELECTRICIDAD</t>
        </is>
      </c>
      <c r="J152" t="inlineStr">
        <is>
          <t>-</t>
        </is>
      </c>
      <c r="K152" s="1" t="n">
        <v>-3500</v>
      </c>
      <c r="L152" s="1" t="n">
        <v>-4200</v>
      </c>
      <c r="M152" s="1" t="n">
        <v>-4200</v>
      </c>
      <c r="N152" s="1" t="n">
        <v>-4200</v>
      </c>
      <c r="O152" s="1" t="n">
        <v>-4200</v>
      </c>
      <c r="P152" s="1" t="n">
        <v>-4200</v>
      </c>
      <c r="Q152" s="1" t="n">
        <v>-4200</v>
      </c>
      <c r="R152" s="1" t="n">
        <v>-3500</v>
      </c>
      <c r="S152" s="1" t="n">
        <v>-3500</v>
      </c>
      <c r="T152" s="1" t="n">
        <v>-3500</v>
      </c>
      <c r="U152" s="1" t="n">
        <v>-4200</v>
      </c>
      <c r="V152" s="1" t="n">
        <v>-4200</v>
      </c>
      <c r="W152" s="1">
        <f>SUM(K152:V152)</f>
        <v/>
      </c>
      <c r="X152" t="inlineStr">
        <is>
          <t>Coste semi-variable: término fijo de potencia contratada + consumo eléctrico según horas de producción.</t>
        </is>
      </c>
    </row>
    <row r="153">
      <c r="B153" t="n">
        <v>2027</v>
      </c>
      <c r="C153" t="inlineStr">
        <is>
          <t>Codiagro</t>
        </is>
      </c>
      <c r="D153" t="inlineStr">
        <is>
          <t>RESULTADO DEL EJERCICIO</t>
        </is>
      </c>
      <c r="E153" t="inlineStr">
        <is>
          <t>RESULTADO ANTES DE IMPUESTOS</t>
        </is>
      </c>
      <c r="F153" t="inlineStr">
        <is>
          <t>RESULTADO DE LA EXPLOTACION</t>
        </is>
      </c>
      <c r="G153" t="inlineStr">
        <is>
          <t>7.- Otros gastos de explotación</t>
        </is>
      </c>
      <c r="H153" t="inlineStr">
        <is>
          <t>(628) Suministros</t>
        </is>
      </c>
      <c r="I153" t="inlineStr">
        <is>
          <t>628000003 - SUMINISTROS AGUA</t>
        </is>
      </c>
      <c r="J153" t="inlineStr">
        <is>
          <t>-</t>
        </is>
      </c>
      <c r="K153" s="1" t="n">
        <v>-1435.94</v>
      </c>
      <c r="L153" s="1" t="n">
        <v>-1435.94</v>
      </c>
      <c r="M153" s="1" t="n">
        <v>-1435.94</v>
      </c>
      <c r="N153" s="1" t="n">
        <v>-1435.94</v>
      </c>
      <c r="O153" s="1" t="n">
        <v>-1435.94</v>
      </c>
      <c r="P153" s="1" t="n">
        <v>-1435.94</v>
      </c>
      <c r="Q153" s="1" t="n">
        <v>-1435.94</v>
      </c>
      <c r="R153" s="1" t="n">
        <v>-1435.94</v>
      </c>
      <c r="S153" s="1" t="n">
        <v>-1435.94</v>
      </c>
      <c r="T153" s="1" t="n">
        <v>-1435.94</v>
      </c>
      <c r="U153" s="1" t="n">
        <v>-1435.94</v>
      </c>
      <c r="V153" s="1" t="n">
        <v>-1435.94</v>
      </c>
      <c r="W153" s="1">
        <f>SUM(K153:V153)</f>
        <v/>
      </c>
      <c r="X153" t="inlineStr">
        <is>
          <t>Proyección extrapolada de actividad recurrente.</t>
        </is>
      </c>
    </row>
    <row r="154">
      <c r="B154" t="n">
        <v>2027</v>
      </c>
      <c r="C154" t="inlineStr">
        <is>
          <t>Codiagro</t>
        </is>
      </c>
      <c r="D154" t="inlineStr">
        <is>
          <t>RESULTADO DEL EJERCICIO</t>
        </is>
      </c>
      <c r="E154" t="inlineStr">
        <is>
          <t>RESULTADO ANTES DE IMPUESTOS</t>
        </is>
      </c>
      <c r="F154" t="inlineStr">
        <is>
          <t>RESULTADO DE LA EXPLOTACION</t>
        </is>
      </c>
      <c r="G154" t="inlineStr">
        <is>
          <t>7.- Otros gastos de explotación</t>
        </is>
      </c>
      <c r="H154" t="inlineStr">
        <is>
          <t>(628) Suministros</t>
        </is>
      </c>
      <c r="I154" t="inlineStr">
        <is>
          <t>628000004 - SUMINISTROS TELEFONIA E INTERNET</t>
        </is>
      </c>
      <c r="J154" t="inlineStr">
        <is>
          <t>-</t>
        </is>
      </c>
      <c r="K154" s="1" t="n">
        <v>-800</v>
      </c>
      <c r="L154" s="1" t="n">
        <v>-800</v>
      </c>
      <c r="M154" s="1" t="n">
        <v>-250</v>
      </c>
      <c r="N154" s="1" t="n">
        <v>-250</v>
      </c>
      <c r="O154" s="1" t="n">
        <v>-250</v>
      </c>
      <c r="P154" s="1" t="n">
        <v>-250</v>
      </c>
      <c r="Q154" s="1" t="n">
        <v>-250</v>
      </c>
      <c r="R154" s="1" t="n">
        <v>-250</v>
      </c>
      <c r="S154" s="1" t="n">
        <v>-250</v>
      </c>
      <c r="T154" s="1" t="n">
        <v>-250</v>
      </c>
      <c r="U154" s="1" t="n">
        <v>-800</v>
      </c>
      <c r="V154" s="1" t="n">
        <v>-800</v>
      </c>
      <c r="W154" s="1">
        <f>SUM(K154:V154)</f>
        <v/>
      </c>
      <c r="X154" t="inlineStr">
        <is>
          <t>Coste semi-variable estacional: climatización de instalaciones y caldera en meses fríos.</t>
        </is>
      </c>
    </row>
    <row r="155">
      <c r="B155" t="n">
        <v>2027</v>
      </c>
      <c r="C155" t="inlineStr">
        <is>
          <t>Codiagro</t>
        </is>
      </c>
      <c r="D155" t="inlineStr">
        <is>
          <t>RESULTADO DEL EJERCICIO</t>
        </is>
      </c>
      <c r="E155" t="inlineStr">
        <is>
          <t>RESULTADO ANTES DE IMPUESTOS</t>
        </is>
      </c>
      <c r="F155" t="inlineStr">
        <is>
          <t>RESULTADO DE LA EXPLOTACION</t>
        </is>
      </c>
      <c r="G155" t="inlineStr">
        <is>
          <t>7.- Otros gastos de explotación</t>
        </is>
      </c>
      <c r="H155" t="inlineStr">
        <is>
          <t>(628) Suministros</t>
        </is>
      </c>
      <c r="I155" t="inlineStr">
        <is>
          <t>628000005 - SUMINISTROS GASOLEO</t>
        </is>
      </c>
      <c r="J155" t="inlineStr">
        <is>
          <t>-</t>
        </is>
      </c>
      <c r="K155" s="1" t="n">
        <v>-1693.78</v>
      </c>
      <c r="L155" s="1" t="n">
        <v>-1693.78</v>
      </c>
      <c r="M155" s="1" t="n">
        <v>-1693.78</v>
      </c>
      <c r="N155" s="1" t="n">
        <v>-1693.78</v>
      </c>
      <c r="O155" s="1" t="n">
        <v>-1693.78</v>
      </c>
      <c r="P155" s="1" t="n">
        <v>-1693.78</v>
      </c>
      <c r="Q155" s="1" t="n">
        <v>-1693.78</v>
      </c>
      <c r="R155" s="1" t="n">
        <v>-1693.78</v>
      </c>
      <c r="S155" s="1" t="n">
        <v>-1693.78</v>
      </c>
      <c r="T155" s="1" t="n">
        <v>-1693.78</v>
      </c>
      <c r="U155" s="1" t="n">
        <v>-1693.78</v>
      </c>
      <c r="V155" s="1" t="n">
        <v>-1693.78</v>
      </c>
      <c r="W155" s="1">
        <f>SUM(K155:V155)</f>
        <v/>
      </c>
      <c r="X155" t="inlineStr">
        <is>
          <t>Proyección extrapolada de actividad recurrente.</t>
        </is>
      </c>
    </row>
    <row r="156">
      <c r="B156" t="n">
        <v>2027</v>
      </c>
      <c r="C156" t="inlineStr">
        <is>
          <t>Codiagro</t>
        </is>
      </c>
      <c r="D156" t="inlineStr">
        <is>
          <t>RESULTADO DEL EJERCICIO</t>
        </is>
      </c>
      <c r="E156" t="inlineStr">
        <is>
          <t>RESULTADO ANTES DE IMPUESTOS</t>
        </is>
      </c>
      <c r="F156" t="inlineStr">
        <is>
          <t>RESULTADO DE LA EXPLOTACION</t>
        </is>
      </c>
      <c r="G156" t="inlineStr">
        <is>
          <t>7.- Otros gastos de explotación</t>
        </is>
      </c>
      <c r="H156" t="inlineStr">
        <is>
          <t>(629) Otros servicios</t>
        </is>
      </c>
      <c r="I156" t="inlineStr">
        <is>
          <t>629000001 - HOSPEDAJE WEB</t>
        </is>
      </c>
      <c r="J156" t="inlineStr">
        <is>
          <t>-</t>
        </is>
      </c>
      <c r="K156" s="1" t="n">
        <v>-213</v>
      </c>
      <c r="L156" s="1" t="n">
        <v>-213</v>
      </c>
      <c r="M156" s="1" t="n">
        <v>-213</v>
      </c>
      <c r="N156" s="1" t="n">
        <v>-213</v>
      </c>
      <c r="O156" s="1" t="n">
        <v>-213</v>
      </c>
      <c r="P156" s="1" t="n">
        <v>-213</v>
      </c>
      <c r="Q156" s="1" t="n">
        <v>-213</v>
      </c>
      <c r="R156" s="1" t="n">
        <v>-213</v>
      </c>
      <c r="S156" s="1" t="n">
        <v>-213</v>
      </c>
      <c r="T156" s="1" t="n">
        <v>-213</v>
      </c>
      <c r="U156" s="1" t="n">
        <v>-213</v>
      </c>
      <c r="V156" s="1" t="n">
        <v>-213</v>
      </c>
      <c r="W156" s="1">
        <f>SUM(K156:V156)</f>
        <v/>
      </c>
      <c r="X156" t="inlineStr">
        <is>
          <t>Coste operativo general de estructura y servicios de oficinas/fábrica.</t>
        </is>
      </c>
    </row>
    <row r="157">
      <c r="B157" t="n">
        <v>2027</v>
      </c>
      <c r="C157" t="inlineStr">
        <is>
          <t>Codiagro</t>
        </is>
      </c>
      <c r="D157" t="inlineStr">
        <is>
          <t>RESULTADO DEL EJERCICIO</t>
        </is>
      </c>
      <c r="E157" t="inlineStr">
        <is>
          <t>RESULTADO ANTES DE IMPUESTOS</t>
        </is>
      </c>
      <c r="F157" t="inlineStr">
        <is>
          <t>RESULTADO DE LA EXPLOTACION</t>
        </is>
      </c>
      <c r="G157" t="inlineStr">
        <is>
          <t>7.- Otros gastos de explotación</t>
        </is>
      </c>
      <c r="H157" t="inlineStr">
        <is>
          <t>(629) Otros servicios</t>
        </is>
      </c>
      <c r="I157" t="inlineStr">
        <is>
          <t>629000002 - OTROS GASTOS</t>
        </is>
      </c>
      <c r="J157" t="inlineStr">
        <is>
          <t>-</t>
        </is>
      </c>
      <c r="K157" s="1" t="n">
        <v>-948.3200000000001</v>
      </c>
      <c r="L157" s="1" t="n">
        <v>-948.3200000000001</v>
      </c>
      <c r="M157" s="1" t="n">
        <v>-948.3200000000001</v>
      </c>
      <c r="N157" s="1" t="n">
        <v>-948.3200000000001</v>
      </c>
      <c r="O157" s="1" t="n">
        <v>-948.3200000000001</v>
      </c>
      <c r="P157" s="1" t="n">
        <v>-948.3200000000001</v>
      </c>
      <c r="Q157" s="1" t="n">
        <v>-948.3200000000001</v>
      </c>
      <c r="R157" s="1" t="n">
        <v>-948.3200000000001</v>
      </c>
      <c r="S157" s="1" t="n">
        <v>-948.3200000000001</v>
      </c>
      <c r="T157" s="1" t="n">
        <v>-948.3200000000001</v>
      </c>
      <c r="U157" s="1" t="n">
        <v>-948.3200000000001</v>
      </c>
      <c r="V157" s="1" t="n">
        <v>-948.3200000000001</v>
      </c>
      <c r="W157" s="1">
        <f>SUM(K157:V157)</f>
        <v/>
      </c>
      <c r="X157" t="inlineStr">
        <is>
          <t>Coste operativo general de estructura y servicios de oficinas/fábrica.</t>
        </is>
      </c>
    </row>
    <row r="158">
      <c r="B158" t="n">
        <v>2027</v>
      </c>
      <c r="C158" t="inlineStr">
        <is>
          <t>Codiagro</t>
        </is>
      </c>
      <c r="D158" t="inlineStr">
        <is>
          <t>RESULTADO DEL EJERCICIO</t>
        </is>
      </c>
      <c r="E158" t="inlineStr">
        <is>
          <t>RESULTADO ANTES DE IMPUESTOS</t>
        </is>
      </c>
      <c r="F158" t="inlineStr">
        <is>
          <t>RESULTADO DE LA EXPLOTACION</t>
        </is>
      </c>
      <c r="G158" t="inlineStr">
        <is>
          <t>7.- Otros gastos de explotación</t>
        </is>
      </c>
      <c r="H158" t="inlineStr">
        <is>
          <t>(629) Otros servicios</t>
        </is>
      </c>
      <c r="I158" t="inlineStr">
        <is>
          <t>629000003 - SUSCRIPCIONES A REVISTAS Y PERIODICOS</t>
        </is>
      </c>
      <c r="J158" t="inlineStr">
        <is>
          <t>-</t>
        </is>
      </c>
      <c r="K158" s="1" t="n">
        <v>-460.58</v>
      </c>
      <c r="L158" s="1" t="n">
        <v>-460.58</v>
      </c>
      <c r="M158" s="1" t="n">
        <v>-460.58</v>
      </c>
      <c r="N158" s="1" t="n">
        <v>-460.58</v>
      </c>
      <c r="O158" s="1" t="n">
        <v>-460.58</v>
      </c>
      <c r="P158" s="1" t="n">
        <v>-460.58</v>
      </c>
      <c r="Q158" s="1" t="n">
        <v>-460.58</v>
      </c>
      <c r="R158" s="1" t="n">
        <v>-460.58</v>
      </c>
      <c r="S158" s="1" t="n">
        <v>-460.58</v>
      </c>
      <c r="T158" s="1" t="n">
        <v>-460.58</v>
      </c>
      <c r="U158" s="1" t="n">
        <v>-460.58</v>
      </c>
      <c r="V158" s="1" t="n">
        <v>-460.58</v>
      </c>
      <c r="W158" s="1">
        <f>SUM(K158:V158)</f>
        <v/>
      </c>
      <c r="X158" t="inlineStr">
        <is>
          <t>Coste operativo general de estructura y servicios de oficinas/fábrica.</t>
        </is>
      </c>
    </row>
    <row r="159">
      <c r="B159" t="n">
        <v>2027</v>
      </c>
      <c r="C159" t="inlineStr">
        <is>
          <t>Codiagro</t>
        </is>
      </c>
      <c r="D159" t="inlineStr">
        <is>
          <t>RESULTADO DEL EJERCICIO</t>
        </is>
      </c>
      <c r="E159" t="inlineStr">
        <is>
          <t>RESULTADO ANTES DE IMPUESTOS</t>
        </is>
      </c>
      <c r="F159" t="inlineStr">
        <is>
          <t>RESULTADO DE LA EXPLOTACION</t>
        </is>
      </c>
      <c r="G159" t="inlineStr">
        <is>
          <t>7.- Otros gastos de explotación</t>
        </is>
      </c>
      <c r="H159" t="inlineStr">
        <is>
          <t>(629) Otros servicios</t>
        </is>
      </c>
      <c r="I159" t="inlineStr">
        <is>
          <t>629000004 - GTOS. SERV. VIGILANCIA</t>
        </is>
      </c>
      <c r="J159" t="inlineStr">
        <is>
          <t>-</t>
        </is>
      </c>
      <c r="K159" s="1" t="n">
        <v>-74.98999999999999</v>
      </c>
      <c r="L159" s="1" t="n">
        <v>-74.98999999999999</v>
      </c>
      <c r="M159" s="1" t="n">
        <v>-74.98999999999999</v>
      </c>
      <c r="N159" s="1" t="n">
        <v>-74.98999999999999</v>
      </c>
      <c r="O159" s="1" t="n">
        <v>-74.98999999999999</v>
      </c>
      <c r="P159" s="1" t="n">
        <v>-74.98999999999999</v>
      </c>
      <c r="Q159" s="1" t="n">
        <v>-74.98999999999999</v>
      </c>
      <c r="R159" s="1" t="n">
        <v>-74.98999999999999</v>
      </c>
      <c r="S159" s="1" t="n">
        <v>-74.98999999999999</v>
      </c>
      <c r="T159" s="1" t="n">
        <v>-74.98999999999999</v>
      </c>
      <c r="U159" s="1" t="n">
        <v>-74.98999999999999</v>
      </c>
      <c r="V159" s="1" t="n">
        <v>-74.98999999999999</v>
      </c>
      <c r="W159" s="1">
        <f>SUM(K159:V159)</f>
        <v/>
      </c>
      <c r="X159" t="inlineStr">
        <is>
          <t>Coste operativo general de estructura y servicios de oficinas/fábrica.</t>
        </is>
      </c>
    </row>
    <row r="160">
      <c r="B160" t="n">
        <v>2027</v>
      </c>
      <c r="C160" t="inlineStr">
        <is>
          <t>Codiagro</t>
        </is>
      </c>
      <c r="D160" t="inlineStr">
        <is>
          <t>RESULTADO DEL EJERCICIO</t>
        </is>
      </c>
      <c r="E160" t="inlineStr">
        <is>
          <t>RESULTADO ANTES DE IMPUESTOS</t>
        </is>
      </c>
      <c r="F160" t="inlineStr">
        <is>
          <t>RESULTADO DE LA EXPLOTACION</t>
        </is>
      </c>
      <c r="G160" t="inlineStr">
        <is>
          <t>7.- Otros gastos de explotación</t>
        </is>
      </c>
      <c r="H160" t="inlineStr">
        <is>
          <t>(629) Otros servicios</t>
        </is>
      </c>
      <c r="I160" t="inlineStr">
        <is>
          <t>629000005 - GTOS. ANALISIS LABORATORIOS</t>
        </is>
      </c>
      <c r="J160" t="inlineStr">
        <is>
          <t>-</t>
        </is>
      </c>
      <c r="K160" s="1" t="n">
        <v>-941.27</v>
      </c>
      <c r="L160" s="1" t="n">
        <v>-941.27</v>
      </c>
      <c r="M160" s="1" t="n">
        <v>-941.27</v>
      </c>
      <c r="N160" s="1" t="n">
        <v>-941.27</v>
      </c>
      <c r="O160" s="1" t="n">
        <v>-941.27</v>
      </c>
      <c r="P160" s="1" t="n">
        <v>-941.27</v>
      </c>
      <c r="Q160" s="1" t="n">
        <v>-941.27</v>
      </c>
      <c r="R160" s="1" t="n">
        <v>-941.27</v>
      </c>
      <c r="S160" s="1" t="n">
        <v>-941.27</v>
      </c>
      <c r="T160" s="1" t="n">
        <v>-941.27</v>
      </c>
      <c r="U160" s="1" t="n">
        <v>-941.27</v>
      </c>
      <c r="V160" s="1" t="n">
        <v>-941.27</v>
      </c>
      <c r="W160" s="1">
        <f>SUM(K160:V160)</f>
        <v/>
      </c>
      <c r="X160" t="inlineStr">
        <is>
          <t>Coste operativo general de estructura y servicios de oficinas/fábrica.</t>
        </is>
      </c>
    </row>
    <row r="161">
      <c r="B161" t="n">
        <v>2027</v>
      </c>
      <c r="C161" t="inlineStr">
        <is>
          <t>Codiagro</t>
        </is>
      </c>
      <c r="D161" t="inlineStr">
        <is>
          <t>RESULTADO DEL EJERCICIO</t>
        </is>
      </c>
      <c r="E161" t="inlineStr">
        <is>
          <t>RESULTADO ANTES DE IMPUESTOS</t>
        </is>
      </c>
      <c r="F161" t="inlineStr">
        <is>
          <t>RESULTADO DE LA EXPLOTACION</t>
        </is>
      </c>
      <c r="G161" t="inlineStr">
        <is>
          <t>7.- Otros gastos de explotación</t>
        </is>
      </c>
      <c r="H161" t="inlineStr">
        <is>
          <t>(629) Otros servicios</t>
        </is>
      </c>
      <c r="I161" t="inlineStr">
        <is>
          <t>629000006 - GASTOS CORREOS</t>
        </is>
      </c>
      <c r="J161" t="inlineStr">
        <is>
          <t>-</t>
        </is>
      </c>
      <c r="K161" s="1" t="n">
        <v>-96</v>
      </c>
      <c r="L161" s="1" t="n">
        <v>-96</v>
      </c>
      <c r="M161" s="1" t="n">
        <v>-96</v>
      </c>
      <c r="N161" s="1" t="n">
        <v>-96</v>
      </c>
      <c r="O161" s="1" t="n">
        <v>-96</v>
      </c>
      <c r="P161" s="1" t="n">
        <v>-96</v>
      </c>
      <c r="Q161" s="1" t="n">
        <v>-96</v>
      </c>
      <c r="R161" s="1" t="n">
        <v>-96</v>
      </c>
      <c r="S161" s="1" t="n">
        <v>-96</v>
      </c>
      <c r="T161" s="1" t="n">
        <v>-96</v>
      </c>
      <c r="U161" s="1" t="n">
        <v>-96</v>
      </c>
      <c r="V161" s="1" t="n">
        <v>-96</v>
      </c>
      <c r="W161" s="1">
        <f>SUM(K161:V161)</f>
        <v/>
      </c>
      <c r="X161" t="inlineStr">
        <is>
          <t>Coste operativo general de estructura y servicios de oficinas/fábrica.</t>
        </is>
      </c>
    </row>
    <row r="162">
      <c r="B162" t="n">
        <v>2027</v>
      </c>
      <c r="C162" t="inlineStr">
        <is>
          <t>Codiagro</t>
        </is>
      </c>
      <c r="D162" t="inlineStr">
        <is>
          <t>RESULTADO DEL EJERCICIO</t>
        </is>
      </c>
      <c r="E162" t="inlineStr">
        <is>
          <t>RESULTADO ANTES DE IMPUESTOS</t>
        </is>
      </c>
      <c r="F162" t="inlineStr">
        <is>
          <t>RESULTADO DE LA EXPLOTACION</t>
        </is>
      </c>
      <c r="G162" t="inlineStr">
        <is>
          <t>7.- Otros gastos de explotación</t>
        </is>
      </c>
      <c r="H162" t="inlineStr">
        <is>
          <t>(629) Otros servicios</t>
        </is>
      </c>
      <c r="I162" t="inlineStr">
        <is>
          <t>629000007 - GASTOS RETIRADA DE RESIDUOS</t>
        </is>
      </c>
      <c r="J162" t="inlineStr">
        <is>
          <t>-</t>
        </is>
      </c>
      <c r="K162" s="1" t="n">
        <v>-2500</v>
      </c>
      <c r="L162" s="1" t="n">
        <v>-3000</v>
      </c>
      <c r="M162" s="1" t="n">
        <v>-3000</v>
      </c>
      <c r="N162" s="1" t="n">
        <v>-3000</v>
      </c>
      <c r="O162" s="1" t="n">
        <v>-3000</v>
      </c>
      <c r="P162" s="1" t="n">
        <v>-3000</v>
      </c>
      <c r="Q162" s="1" t="n">
        <v>-3000</v>
      </c>
      <c r="R162" s="1" t="n">
        <v>-2500</v>
      </c>
      <c r="S162" s="1" t="n">
        <v>-2500</v>
      </c>
      <c r="T162" s="1" t="n">
        <v>-2500</v>
      </c>
      <c r="U162" s="1" t="n">
        <v>-3000</v>
      </c>
      <c r="V162" s="1" t="n">
        <v>-3000</v>
      </c>
      <c r="W162" s="1">
        <f>SUM(K162:V162)</f>
        <v/>
      </c>
      <c r="X162" t="inlineStr">
        <is>
          <t>Coste semi-variable: gestión medioambiental y retirada autorizada de residuos fabriles.</t>
        </is>
      </c>
    </row>
    <row r="163">
      <c r="B163" t="n">
        <v>2027</v>
      </c>
      <c r="C163" t="inlineStr">
        <is>
          <t>Codiagro</t>
        </is>
      </c>
      <c r="D163" t="inlineStr">
        <is>
          <t>RESULTADO DEL EJERCICIO</t>
        </is>
      </c>
      <c r="E163" t="inlineStr">
        <is>
          <t>RESULTADO ANTES DE IMPUESTOS</t>
        </is>
      </c>
      <c r="F163" t="inlineStr">
        <is>
          <t>RESULTADO DE LA EXPLOTACION</t>
        </is>
      </c>
      <c r="G163" t="inlineStr">
        <is>
          <t>7.- Otros gastos de explotación</t>
        </is>
      </c>
      <c r="H163" t="inlineStr">
        <is>
          <t>(629) Otros servicios</t>
        </is>
      </c>
      <c r="I163" t="inlineStr">
        <is>
          <t>629000008 - CUOTAS ASOCIACIONES</t>
        </is>
      </c>
      <c r="J163" t="inlineStr">
        <is>
          <t>-</t>
        </is>
      </c>
      <c r="K163" s="1" t="n">
        <v>-801.8200000000001</v>
      </c>
      <c r="L163" s="1" t="n">
        <v>-801.8200000000001</v>
      </c>
      <c r="M163" s="1" t="n">
        <v>-801.8200000000001</v>
      </c>
      <c r="N163" s="1" t="n">
        <v>-801.8200000000001</v>
      </c>
      <c r="O163" s="1" t="n">
        <v>-801.8200000000001</v>
      </c>
      <c r="P163" s="1" t="n">
        <v>-801.8200000000001</v>
      </c>
      <c r="Q163" s="1" t="n">
        <v>-801.8200000000001</v>
      </c>
      <c r="R163" s="1" t="n">
        <v>-801.8200000000001</v>
      </c>
      <c r="S163" s="1" t="n">
        <v>-801.8200000000001</v>
      </c>
      <c r="T163" s="1" t="n">
        <v>-801.8200000000001</v>
      </c>
      <c r="U163" s="1" t="n">
        <v>-801.8200000000001</v>
      </c>
      <c r="V163" s="1" t="n">
        <v>-801.8200000000001</v>
      </c>
      <c r="W163" s="1">
        <f>SUM(K163:V163)</f>
        <v/>
      </c>
      <c r="X163" t="inlineStr">
        <is>
          <t>Coste operativo general de estructura y servicios de oficinas/fábrica.</t>
        </is>
      </c>
    </row>
    <row r="164">
      <c r="B164" t="n">
        <v>2027</v>
      </c>
      <c r="C164" t="inlineStr">
        <is>
          <t>Codiagro</t>
        </is>
      </c>
      <c r="D164" t="inlineStr">
        <is>
          <t>RESULTADO DEL EJERCICIO</t>
        </is>
      </c>
      <c r="E164" t="inlineStr">
        <is>
          <t>RESULTADO ANTES DE IMPUESTOS</t>
        </is>
      </c>
      <c r="F164" t="inlineStr">
        <is>
          <t>RESULTADO DE LA EXPLOTACION</t>
        </is>
      </c>
      <c r="G164" t="inlineStr">
        <is>
          <t>7.- Otros gastos de explotación</t>
        </is>
      </c>
      <c r="H164" t="inlineStr">
        <is>
          <t>(629) Otros servicios</t>
        </is>
      </c>
      <c r="I164" t="inlineStr">
        <is>
          <t>629000009 - SANCIONES Y MULTAS</t>
        </is>
      </c>
      <c r="J164" t="inlineStr">
        <is>
          <t>-</t>
        </is>
      </c>
      <c r="K164" s="1" t="n">
        <v>-90</v>
      </c>
      <c r="L164" s="1" t="n">
        <v>-90</v>
      </c>
      <c r="M164" s="1" t="n">
        <v>-90</v>
      </c>
      <c r="N164" s="1" t="n">
        <v>-90</v>
      </c>
      <c r="O164" s="1" t="n">
        <v>-90</v>
      </c>
      <c r="P164" s="1" t="n">
        <v>-90</v>
      </c>
      <c r="Q164" s="1" t="n">
        <v>-90</v>
      </c>
      <c r="R164" s="1" t="n">
        <v>-90</v>
      </c>
      <c r="S164" s="1" t="n">
        <v>-90</v>
      </c>
      <c r="T164" s="1" t="n">
        <v>-90</v>
      </c>
      <c r="U164" s="1" t="n">
        <v>-90</v>
      </c>
      <c r="V164" s="1" t="n">
        <v>-90</v>
      </c>
      <c r="W164" s="1">
        <f>SUM(K164:V164)</f>
        <v/>
      </c>
      <c r="X164" t="inlineStr">
        <is>
          <t>Coste operativo general de estructura y servicios de oficinas/fábrica.</t>
        </is>
      </c>
    </row>
    <row r="165">
      <c r="B165" t="n">
        <v>2027</v>
      </c>
      <c r="C165" t="inlineStr">
        <is>
          <t>Codiagro</t>
        </is>
      </c>
      <c r="D165" t="inlineStr">
        <is>
          <t>RESULTADO DEL EJERCICIO</t>
        </is>
      </c>
      <c r="E165" t="inlineStr">
        <is>
          <t>RESULTADO ANTES DE IMPUESTOS</t>
        </is>
      </c>
      <c r="F165" t="inlineStr">
        <is>
          <t>RESULTADO DE LA EXPLOTACION</t>
        </is>
      </c>
      <c r="G165" t="inlineStr">
        <is>
          <t>7.- Otros gastos de explotación</t>
        </is>
      </c>
      <c r="H165" t="inlineStr">
        <is>
          <t>(629) Otros servicios</t>
        </is>
      </c>
      <c r="I165" t="inlineStr">
        <is>
          <t>629000010 - GASTOS COMERCIALES</t>
        </is>
      </c>
      <c r="J165" t="inlineStr">
        <is>
          <t>-</t>
        </is>
      </c>
      <c r="K165" s="1" t="n">
        <v>-819.53</v>
      </c>
      <c r="L165" s="1" t="n">
        <v>-819.53</v>
      </c>
      <c r="M165" s="1" t="n">
        <v>-819.53</v>
      </c>
      <c r="N165" s="1" t="n">
        <v>-819.53</v>
      </c>
      <c r="O165" s="1" t="n">
        <v>-819.53</v>
      </c>
      <c r="P165" s="1" t="n">
        <v>-819.53</v>
      </c>
      <c r="Q165" s="1" t="n">
        <v>-819.53</v>
      </c>
      <c r="R165" s="1" t="n">
        <v>-819.53</v>
      </c>
      <c r="S165" s="1" t="n">
        <v>-819.53</v>
      </c>
      <c r="T165" s="1" t="n">
        <v>-819.53</v>
      </c>
      <c r="U165" s="1" t="n">
        <v>-819.53</v>
      </c>
      <c r="V165" s="1" t="n">
        <v>-819.53</v>
      </c>
      <c r="W165" s="1">
        <f>SUM(K165:V165)</f>
        <v/>
      </c>
      <c r="X165" t="inlineStr">
        <is>
          <t>Coste operativo general de estructura y servicios de oficinas/fábrica.</t>
        </is>
      </c>
    </row>
    <row r="166">
      <c r="B166" t="n">
        <v>2027</v>
      </c>
      <c r="C166" t="inlineStr">
        <is>
          <t>Codiagro</t>
        </is>
      </c>
      <c r="D166" t="inlineStr">
        <is>
          <t>RESULTADO DEL EJERCICIO</t>
        </is>
      </c>
      <c r="E166" t="inlineStr">
        <is>
          <t>RESULTADO ANTES DE IMPUESTOS</t>
        </is>
      </c>
      <c r="F166" t="inlineStr">
        <is>
          <t>RESULTADO DE LA EXPLOTACION</t>
        </is>
      </c>
      <c r="G166" t="inlineStr">
        <is>
          <t>7.- Otros gastos de explotación</t>
        </is>
      </c>
      <c r="H166" t="inlineStr">
        <is>
          <t>(629) Otros servicios</t>
        </is>
      </c>
      <c r="I166" t="inlineStr">
        <is>
          <t>629000011 - EPIS PERSONAL</t>
        </is>
      </c>
      <c r="J166" t="inlineStr">
        <is>
          <t>-</t>
        </is>
      </c>
      <c r="K166" s="1" t="n">
        <v>-295.08</v>
      </c>
      <c r="L166" s="1" t="n">
        <v>-295.08</v>
      </c>
      <c r="M166" s="1" t="n">
        <v>-295.08</v>
      </c>
      <c r="N166" s="1" t="n">
        <v>-295.08</v>
      </c>
      <c r="O166" s="1" t="n">
        <v>-295.08</v>
      </c>
      <c r="P166" s="1" t="n">
        <v>-295.08</v>
      </c>
      <c r="Q166" s="1" t="n">
        <v>-295.08</v>
      </c>
      <c r="R166" s="1" t="n">
        <v>-295.08</v>
      </c>
      <c r="S166" s="1" t="n">
        <v>-295.08</v>
      </c>
      <c r="T166" s="1" t="n">
        <v>-295.08</v>
      </c>
      <c r="U166" s="1" t="n">
        <v>-295.08</v>
      </c>
      <c r="V166" s="1" t="n">
        <v>-295.08</v>
      </c>
      <c r="W166" s="1">
        <f>SUM(K166:V166)</f>
        <v/>
      </c>
      <c r="X166" t="inlineStr">
        <is>
          <t>Coste operativo general de estructura y servicios de oficinas/fábrica.</t>
        </is>
      </c>
    </row>
    <row r="167">
      <c r="B167" t="n">
        <v>2027</v>
      </c>
      <c r="C167" t="inlineStr">
        <is>
          <t>Codiagro</t>
        </is>
      </c>
      <c r="D167" t="inlineStr">
        <is>
          <t>RESULTADO DEL EJERCICIO</t>
        </is>
      </c>
      <c r="E167" t="inlineStr">
        <is>
          <t>RESULTADO ANTES DE IMPUESTOS</t>
        </is>
      </c>
      <c r="F167" t="inlineStr">
        <is>
          <t>RESULTADO DE LA EXPLOTACION</t>
        </is>
      </c>
      <c r="G167" t="inlineStr">
        <is>
          <t>7.- Otros gastos de explotación</t>
        </is>
      </c>
      <c r="H167" t="inlineStr">
        <is>
          <t>(629) Otros servicios</t>
        </is>
      </c>
      <c r="I167" t="inlineStr">
        <is>
          <t>629000012 - GASTOS VARIOS PERSONAL</t>
        </is>
      </c>
      <c r="J167" t="inlineStr">
        <is>
          <t>-</t>
        </is>
      </c>
      <c r="K167" s="1" t="n">
        <v>-1326.15</v>
      </c>
      <c r="L167" s="1" t="n">
        <v>-1326.15</v>
      </c>
      <c r="M167" s="1" t="n">
        <v>-1326.15</v>
      </c>
      <c r="N167" s="1" t="n">
        <v>-1326.15</v>
      </c>
      <c r="O167" s="1" t="n">
        <v>-1326.15</v>
      </c>
      <c r="P167" s="1" t="n">
        <v>-1326.15</v>
      </c>
      <c r="Q167" s="1" t="n">
        <v>-1326.15</v>
      </c>
      <c r="R167" s="1" t="n">
        <v>-1326.15</v>
      </c>
      <c r="S167" s="1" t="n">
        <v>-1326.15</v>
      </c>
      <c r="T167" s="1" t="n">
        <v>-1326.15</v>
      </c>
      <c r="U167" s="1" t="n">
        <v>-1326.15</v>
      </c>
      <c r="V167" s="1" t="n">
        <v>-1326.15</v>
      </c>
      <c r="W167" s="1">
        <f>SUM(K167:V167)</f>
        <v/>
      </c>
      <c r="X167" t="inlineStr">
        <is>
          <t>Coste operativo general de estructura y servicios de oficinas/fábrica.</t>
        </is>
      </c>
    </row>
    <row r="168">
      <c r="B168" t="n">
        <v>2027</v>
      </c>
      <c r="C168" t="inlineStr">
        <is>
          <t>Codiagro</t>
        </is>
      </c>
      <c r="D168" t="inlineStr">
        <is>
          <t>RESULTADO DEL EJERCICIO</t>
        </is>
      </c>
      <c r="E168" t="inlineStr">
        <is>
          <t>RESULTADO ANTES DE IMPUESTOS</t>
        </is>
      </c>
      <c r="F168" t="inlineStr">
        <is>
          <t>RESULTADO DE LA EXPLOTACION</t>
        </is>
      </c>
      <c r="G168" t="inlineStr">
        <is>
          <t>7.- Otros gastos de explotación</t>
        </is>
      </c>
      <c r="H168" t="inlineStr">
        <is>
          <t>(629) Otros servicios</t>
        </is>
      </c>
      <c r="I168" t="inlineStr">
        <is>
          <t>629000013 - FORMACION NO BONIFICADA</t>
        </is>
      </c>
      <c r="J168" t="inlineStr">
        <is>
          <t>-</t>
        </is>
      </c>
      <c r="K168" s="1" t="n">
        <v>-1846.33</v>
      </c>
      <c r="L168" s="1" t="n">
        <v>-1846.33</v>
      </c>
      <c r="M168" s="1" t="n">
        <v>-1846.33</v>
      </c>
      <c r="N168" s="1" t="n">
        <v>-1846.33</v>
      </c>
      <c r="O168" s="1" t="n">
        <v>-1846.33</v>
      </c>
      <c r="P168" s="1" t="n">
        <v>-1846.33</v>
      </c>
      <c r="Q168" s="1" t="n">
        <v>-1846.33</v>
      </c>
      <c r="R168" s="1" t="n">
        <v>-1846.33</v>
      </c>
      <c r="S168" s="1" t="n">
        <v>-1846.33</v>
      </c>
      <c r="T168" s="1" t="n">
        <v>-1846.33</v>
      </c>
      <c r="U168" s="1" t="n">
        <v>-1846.33</v>
      </c>
      <c r="V168" s="1" t="n">
        <v>-1846.33</v>
      </c>
      <c r="W168" s="1">
        <f>SUM(K168:V168)</f>
        <v/>
      </c>
      <c r="X168" t="inlineStr">
        <is>
          <t>Coste operativo general de estructura y servicios de oficinas/fábrica.</t>
        </is>
      </c>
    </row>
    <row r="169">
      <c r="B169" t="n">
        <v>2027</v>
      </c>
      <c r="C169" t="inlineStr">
        <is>
          <t>Codiagro</t>
        </is>
      </c>
      <c r="D169" t="inlineStr">
        <is>
          <t>RESULTADO DEL EJERCICIO</t>
        </is>
      </c>
      <c r="E169" t="inlineStr">
        <is>
          <t>RESULTADO ANTES DE IMPUESTOS</t>
        </is>
      </c>
      <c r="F169" t="inlineStr">
        <is>
          <t>RESULTADO DE LA EXPLOTACION</t>
        </is>
      </c>
      <c r="G169" t="inlineStr">
        <is>
          <t>7.- Otros gastos de explotación</t>
        </is>
      </c>
      <c r="H169" t="inlineStr">
        <is>
          <t>(629) Otros servicios</t>
        </is>
      </c>
      <c r="I169" t="inlineStr">
        <is>
          <t>629000014 - ROPA LABORAL</t>
        </is>
      </c>
      <c r="J169" t="inlineStr">
        <is>
          <t>-</t>
        </is>
      </c>
      <c r="K169" s="1" t="n">
        <v>-263.4</v>
      </c>
      <c r="L169" s="1" t="n">
        <v>-263.4</v>
      </c>
      <c r="M169" s="1" t="n">
        <v>-263.4</v>
      </c>
      <c r="N169" s="1" t="n">
        <v>-263.4</v>
      </c>
      <c r="O169" s="1" t="n">
        <v>-263.4</v>
      </c>
      <c r="P169" s="1" t="n">
        <v>-263.4</v>
      </c>
      <c r="Q169" s="1" t="n">
        <v>-263.4</v>
      </c>
      <c r="R169" s="1" t="n">
        <v>-263.4</v>
      </c>
      <c r="S169" s="1" t="n">
        <v>-263.4</v>
      </c>
      <c r="T169" s="1" t="n">
        <v>-263.4</v>
      </c>
      <c r="U169" s="1" t="n">
        <v>-263.4</v>
      </c>
      <c r="V169" s="1" t="n">
        <v>-263.4</v>
      </c>
      <c r="W169" s="1">
        <f>SUM(K169:V169)</f>
        <v/>
      </c>
      <c r="X169" t="inlineStr">
        <is>
          <t>Coste operativo general de estructura y servicios de oficinas/fábrica.</t>
        </is>
      </c>
    </row>
    <row r="170">
      <c r="B170" t="n">
        <v>2027</v>
      </c>
      <c r="C170" t="inlineStr">
        <is>
          <t>Codiagro</t>
        </is>
      </c>
      <c r="D170" t="inlineStr">
        <is>
          <t>RESULTADO DEL EJERCICIO</t>
        </is>
      </c>
      <c r="E170" t="inlineStr">
        <is>
          <t>RESULTADO ANTES DE IMPUESTOS</t>
        </is>
      </c>
      <c r="F170" t="inlineStr">
        <is>
          <t>RESULTADO DE LA EXPLOTACION</t>
        </is>
      </c>
      <c r="G170" t="inlineStr">
        <is>
          <t>7.- Otros gastos de explotación</t>
        </is>
      </c>
      <c r="H170" t="inlineStr">
        <is>
          <t>(629) Otros servicios</t>
        </is>
      </c>
      <c r="I170" t="inlineStr">
        <is>
          <t>629000015 MATERIAL DE OFICINA</t>
        </is>
      </c>
      <c r="J170" t="inlineStr">
        <is>
          <t>-</t>
        </is>
      </c>
      <c r="K170" s="1" t="n">
        <v>-156.84</v>
      </c>
      <c r="L170" s="1" t="n">
        <v>-156.84</v>
      </c>
      <c r="M170" s="1" t="n">
        <v>-156.84</v>
      </c>
      <c r="N170" s="1" t="n">
        <v>-156.84</v>
      </c>
      <c r="O170" s="1" t="n">
        <v>-156.84</v>
      </c>
      <c r="P170" s="1" t="n">
        <v>-156.84</v>
      </c>
      <c r="Q170" s="1" t="n">
        <v>-156.84</v>
      </c>
      <c r="R170" s="1" t="n">
        <v>-156.84</v>
      </c>
      <c r="S170" s="1" t="n">
        <v>-156.84</v>
      </c>
      <c r="T170" s="1" t="n">
        <v>-156.84</v>
      </c>
      <c r="U170" s="1" t="n">
        <v>-156.84</v>
      </c>
      <c r="V170" s="1" t="n">
        <v>-156.84</v>
      </c>
      <c r="W170" s="1">
        <f>SUM(K170:V170)</f>
        <v/>
      </c>
      <c r="X170" t="inlineStr">
        <is>
          <t>Coste operativo general de estructura y servicios de oficinas/fábrica.</t>
        </is>
      </c>
    </row>
    <row r="171">
      <c r="B171" t="n">
        <v>2027</v>
      </c>
      <c r="C171" t="inlineStr">
        <is>
          <t>Codiagro</t>
        </is>
      </c>
      <c r="D171" t="inlineStr">
        <is>
          <t>RESULTADO DEL EJERCICIO</t>
        </is>
      </c>
      <c r="E171" t="inlineStr">
        <is>
          <t>RESULTADO ANTES DE IMPUESTOS</t>
        </is>
      </c>
      <c r="F171" t="inlineStr">
        <is>
          <t>RESULTADO DE LA EXPLOTACION</t>
        </is>
      </c>
      <c r="G171" t="inlineStr">
        <is>
          <t>7.- Otros gastos de explotación</t>
        </is>
      </c>
      <c r="H171" t="inlineStr">
        <is>
          <t>(629) Otros servicios</t>
        </is>
      </c>
      <c r="I171" t="inlineStr">
        <is>
          <t>629000016 HERRAMIENTAS</t>
        </is>
      </c>
      <c r="J171" t="inlineStr">
        <is>
          <t>-</t>
        </is>
      </c>
      <c r="K171" s="1" t="n">
        <v>-500.03</v>
      </c>
      <c r="L171" s="1" t="n">
        <v>-500.03</v>
      </c>
      <c r="M171" s="1" t="n">
        <v>-500.03</v>
      </c>
      <c r="N171" s="1" t="n">
        <v>-500.03</v>
      </c>
      <c r="O171" s="1" t="n">
        <v>-500.03</v>
      </c>
      <c r="P171" s="1" t="n">
        <v>-500.03</v>
      </c>
      <c r="Q171" s="1" t="n">
        <v>-500.03</v>
      </c>
      <c r="R171" s="1" t="n">
        <v>-500.03</v>
      </c>
      <c r="S171" s="1" t="n">
        <v>-500.03</v>
      </c>
      <c r="T171" s="1" t="n">
        <v>-500.03</v>
      </c>
      <c r="U171" s="1" t="n">
        <v>-500.03</v>
      </c>
      <c r="V171" s="1" t="n">
        <v>-500.03</v>
      </c>
      <c r="W171" s="1">
        <f>SUM(K171:V171)</f>
        <v/>
      </c>
      <c r="X171" t="inlineStr">
        <is>
          <t>Coste operativo general de estructura y servicios de oficinas/fábrica.</t>
        </is>
      </c>
    </row>
    <row r="172">
      <c r="B172" t="n">
        <v>2027</v>
      </c>
      <c r="C172" t="inlineStr">
        <is>
          <t>Codiagro</t>
        </is>
      </c>
      <c r="D172" t="inlineStr">
        <is>
          <t>RESULTADO DEL EJERCICIO</t>
        </is>
      </c>
      <c r="E172" t="inlineStr">
        <is>
          <t>RESULTADO ANTES DE IMPUESTOS</t>
        </is>
      </c>
      <c r="F172" t="inlineStr">
        <is>
          <t>RESULTADO DE LA EXPLOTACION</t>
        </is>
      </c>
      <c r="G172" t="inlineStr">
        <is>
          <t>7.- Otros gastos de explotación</t>
        </is>
      </c>
      <c r="H172" t="inlineStr">
        <is>
          <t>(629) Otros servicios</t>
        </is>
      </c>
      <c r="I172" t="inlineStr">
        <is>
          <t>629100001 - GASTOS COMERCIALES PERE PORTA</t>
        </is>
      </c>
      <c r="J172" t="inlineStr">
        <is>
          <t>-</t>
        </is>
      </c>
      <c r="K172" s="1" t="n">
        <v>-3200</v>
      </c>
      <c r="L172" s="1" t="n">
        <v>-3200</v>
      </c>
      <c r="M172" s="1" t="n">
        <v>-3200</v>
      </c>
      <c r="N172" s="1" t="n">
        <v>-3200</v>
      </c>
      <c r="O172" s="1" t="n">
        <v>-3200</v>
      </c>
      <c r="P172" s="1" t="n">
        <v>-3200</v>
      </c>
      <c r="Q172" s="1" t="n">
        <v>-3200</v>
      </c>
      <c r="R172" s="1" t="n">
        <v>-3200</v>
      </c>
      <c r="S172" s="1" t="n">
        <v>-3200</v>
      </c>
      <c r="T172" s="1" t="n">
        <v>-3200</v>
      </c>
      <c r="U172" s="1" t="n">
        <v>-3200</v>
      </c>
      <c r="V172" s="1" t="n">
        <v>-3200</v>
      </c>
      <c r="W172" s="1">
        <f>SUM(K172:V172)</f>
        <v/>
      </c>
      <c r="X172" t="inlineStr">
        <is>
          <t>Gastos comerciales de viaje, kilometraje y dietas vinculados a visitas y prospección de clientes.</t>
        </is>
      </c>
    </row>
    <row r="173">
      <c r="B173" t="n">
        <v>2027</v>
      </c>
      <c r="C173" t="inlineStr">
        <is>
          <t>Codiagro</t>
        </is>
      </c>
      <c r="D173" t="inlineStr">
        <is>
          <t>RESULTADO DEL EJERCICIO</t>
        </is>
      </c>
      <c r="E173" t="inlineStr">
        <is>
          <t>RESULTADO ANTES DE IMPUESTOS</t>
        </is>
      </c>
      <c r="F173" t="inlineStr">
        <is>
          <t>RESULTADO DE LA EXPLOTACION</t>
        </is>
      </c>
      <c r="G173" t="inlineStr">
        <is>
          <t>7.- Otros gastos de explotación</t>
        </is>
      </c>
      <c r="H173" t="inlineStr">
        <is>
          <t>(629) Otros servicios</t>
        </is>
      </c>
      <c r="I173" t="inlineStr">
        <is>
          <t>629100002 - GASTOS RICARDO PEREZ-SANTAMARINA</t>
        </is>
      </c>
      <c r="J173" t="inlineStr">
        <is>
          <t>-</t>
        </is>
      </c>
      <c r="K173" s="1" t="n">
        <v>-2300</v>
      </c>
      <c r="L173" s="1" t="n">
        <v>-2300</v>
      </c>
      <c r="M173" s="1" t="n">
        <v>-2300</v>
      </c>
      <c r="N173" s="1" t="n">
        <v>-2300</v>
      </c>
      <c r="O173" s="1" t="n">
        <v>-2300</v>
      </c>
      <c r="P173" s="1" t="n">
        <v>-2300</v>
      </c>
      <c r="Q173" s="1" t="n">
        <v>-2300</v>
      </c>
      <c r="R173" s="1" t="n">
        <v>-2300</v>
      </c>
      <c r="S173" s="1" t="n">
        <v>-2300</v>
      </c>
      <c r="T173" s="1" t="n">
        <v>-2300</v>
      </c>
      <c r="U173" s="1" t="n">
        <v>-2300</v>
      </c>
      <c r="V173" s="1" t="n">
        <v>-2300</v>
      </c>
      <c r="W173" s="1">
        <f>SUM(K173:V173)</f>
        <v/>
      </c>
      <c r="X173" t="inlineStr">
        <is>
          <t>Gastos comerciales de viaje, representación y prospección comercial en zona asignada.</t>
        </is>
      </c>
    </row>
    <row r="174">
      <c r="B174" t="n">
        <v>2027</v>
      </c>
      <c r="C174" t="inlineStr">
        <is>
          <t>Codiagro</t>
        </is>
      </c>
      <c r="D174" t="inlineStr">
        <is>
          <t>RESULTADO DEL EJERCICIO</t>
        </is>
      </c>
      <c r="E174" t="inlineStr">
        <is>
          <t>RESULTADO ANTES DE IMPUESTOS</t>
        </is>
      </c>
      <c r="F174" t="inlineStr">
        <is>
          <t>RESULTADO DE LA EXPLOTACION</t>
        </is>
      </c>
      <c r="G174" t="inlineStr">
        <is>
          <t>7.- Otros gastos de explotación</t>
        </is>
      </c>
      <c r="H174" t="inlineStr">
        <is>
          <t>(629) Otros servicios</t>
        </is>
      </c>
      <c r="I174" t="inlineStr">
        <is>
          <t>629100003 - GASTOS JAVIER PAREDES</t>
        </is>
      </c>
      <c r="J174" t="inlineStr">
        <is>
          <t>-</t>
        </is>
      </c>
      <c r="K174" s="1" t="n">
        <v>-1092.45</v>
      </c>
      <c r="L174" s="1" t="n">
        <v>-1092.45</v>
      </c>
      <c r="M174" s="1" t="n">
        <v>-1092.45</v>
      </c>
      <c r="N174" s="1" t="n">
        <v>-1092.45</v>
      </c>
      <c r="O174" s="1" t="n">
        <v>-1092.45</v>
      </c>
      <c r="P174" s="1" t="n">
        <v>-1092.45</v>
      </c>
      <c r="Q174" s="1" t="n">
        <v>-1092.45</v>
      </c>
      <c r="R174" s="1" t="n">
        <v>-1092.45</v>
      </c>
      <c r="S174" s="1" t="n">
        <v>-1092.45</v>
      </c>
      <c r="T174" s="1" t="n">
        <v>-1092.45</v>
      </c>
      <c r="U174" s="1" t="n">
        <v>-1092.45</v>
      </c>
      <c r="V174" s="1" t="n">
        <v>-1092.45</v>
      </c>
      <c r="W174" s="1">
        <f>SUM(K174:V174)</f>
        <v/>
      </c>
      <c r="X174" t="inlineStr">
        <is>
          <t>Coste operativo general de estructura y servicios de oficinas/fábrica.</t>
        </is>
      </c>
    </row>
    <row r="175">
      <c r="B175" t="n">
        <v>2027</v>
      </c>
      <c r="C175" t="inlineStr">
        <is>
          <t>Codiagro</t>
        </is>
      </c>
      <c r="D175" t="inlineStr">
        <is>
          <t>RESULTADO DEL EJERCICIO</t>
        </is>
      </c>
      <c r="E175" t="inlineStr">
        <is>
          <t>RESULTADO ANTES DE IMPUESTOS</t>
        </is>
      </c>
      <c r="F175" t="inlineStr">
        <is>
          <t>RESULTADO DE LA EXPLOTACION</t>
        </is>
      </c>
      <c r="G175" t="inlineStr">
        <is>
          <t>7.- Otros gastos de explotación</t>
        </is>
      </c>
      <c r="H175" t="inlineStr">
        <is>
          <t>(629) Otros servicios</t>
        </is>
      </c>
      <c r="I175" t="inlineStr">
        <is>
          <t>629100004 - GASTOS GARCIA</t>
        </is>
      </c>
      <c r="J175" t="inlineStr">
        <is>
          <t>-</t>
        </is>
      </c>
      <c r="K175" s="1" t="n">
        <v>-800.04</v>
      </c>
      <c r="L175" s="1" t="n">
        <v>-800.04</v>
      </c>
      <c r="M175" s="1" t="n">
        <v>-800.04</v>
      </c>
      <c r="N175" s="1" t="n">
        <v>-800.04</v>
      </c>
      <c r="O175" s="1" t="n">
        <v>-800.04</v>
      </c>
      <c r="P175" s="1" t="n">
        <v>-800.04</v>
      </c>
      <c r="Q175" s="1" t="n">
        <v>-800.04</v>
      </c>
      <c r="R175" s="1" t="n">
        <v>-800.04</v>
      </c>
      <c r="S175" s="1" t="n">
        <v>-800.04</v>
      </c>
      <c r="T175" s="1" t="n">
        <v>-800.04</v>
      </c>
      <c r="U175" s="1" t="n">
        <v>-800.04</v>
      </c>
      <c r="V175" s="1" t="n">
        <v>-800.04</v>
      </c>
      <c r="W175" s="1">
        <f>SUM(K175:V175)</f>
        <v/>
      </c>
      <c r="X175" t="inlineStr">
        <is>
          <t>Coste operativo general de estructura y servicios de oficinas/fábrica.</t>
        </is>
      </c>
    </row>
    <row r="176">
      <c r="B176" t="n">
        <v>2027</v>
      </c>
      <c r="C176" t="inlineStr">
        <is>
          <t>Codiagro</t>
        </is>
      </c>
      <c r="D176" t="inlineStr">
        <is>
          <t>RESULTADO DEL EJERCICIO</t>
        </is>
      </c>
      <c r="E176" t="inlineStr">
        <is>
          <t>RESULTADO ANTES DE IMPUESTOS</t>
        </is>
      </c>
      <c r="F176" t="inlineStr">
        <is>
          <t>RESULTADO DE LA EXPLOTACION</t>
        </is>
      </c>
      <c r="G176" t="inlineStr">
        <is>
          <t>7.- Otros gastos de explotación</t>
        </is>
      </c>
      <c r="H176" t="inlineStr">
        <is>
          <t>(629) Otros servicios</t>
        </is>
      </c>
      <c r="I176" t="inlineStr">
        <is>
          <t>629100005 - GASTOS IRENE</t>
        </is>
      </c>
      <c r="J176" t="inlineStr">
        <is>
          <t>-</t>
        </is>
      </c>
      <c r="K176" s="1" t="n">
        <v>-422.84</v>
      </c>
      <c r="L176" s="1" t="n">
        <v>-422.84</v>
      </c>
      <c r="M176" s="1" t="n">
        <v>-422.84</v>
      </c>
      <c r="N176" s="1" t="n">
        <v>-422.84</v>
      </c>
      <c r="O176" s="1" t="n">
        <v>-422.84</v>
      </c>
      <c r="P176" s="1" t="n">
        <v>-422.84</v>
      </c>
      <c r="Q176" s="1" t="n">
        <v>-422.84</v>
      </c>
      <c r="R176" s="1" t="n">
        <v>-422.84</v>
      </c>
      <c r="S176" s="1" t="n">
        <v>-422.84</v>
      </c>
      <c r="T176" s="1" t="n">
        <v>-422.84</v>
      </c>
      <c r="U176" s="1" t="n">
        <v>-422.84</v>
      </c>
      <c r="V176" s="1" t="n">
        <v>-422.84</v>
      </c>
      <c r="W176" s="1">
        <f>SUM(K176:V176)</f>
        <v/>
      </c>
      <c r="X176" t="inlineStr">
        <is>
          <t>Coste operativo general de estructura y servicios de oficinas/fábrica.</t>
        </is>
      </c>
    </row>
    <row r="177">
      <c r="B177" t="n">
        <v>2027</v>
      </c>
      <c r="C177" t="inlineStr">
        <is>
          <t>Codiagro</t>
        </is>
      </c>
      <c r="D177" t="inlineStr">
        <is>
          <t>RESULTADO DEL EJERCICIO</t>
        </is>
      </c>
      <c r="E177" t="inlineStr">
        <is>
          <t>RESULTADO ANTES DE IMPUESTOS</t>
        </is>
      </c>
      <c r="F177" t="inlineStr">
        <is>
          <t>RESULTADO DE LA EXPLOTACION</t>
        </is>
      </c>
      <c r="G177" t="inlineStr">
        <is>
          <t>7.- Otros gastos de explotación</t>
        </is>
      </c>
      <c r="H177" t="inlineStr">
        <is>
          <t>(629) Otros servicios</t>
        </is>
      </c>
      <c r="I177" t="inlineStr">
        <is>
          <t>629100006 - GASTOS ANTONIO ANDREU</t>
        </is>
      </c>
      <c r="J177" t="inlineStr">
        <is>
          <t>-</t>
        </is>
      </c>
      <c r="K177" s="1" t="n">
        <v>-202.44</v>
      </c>
      <c r="L177" s="1" t="n">
        <v>-202.44</v>
      </c>
      <c r="M177" s="1" t="n">
        <v>-202.44</v>
      </c>
      <c r="N177" s="1" t="n">
        <v>-202.44</v>
      </c>
      <c r="O177" s="1" t="n">
        <v>-202.44</v>
      </c>
      <c r="P177" s="1" t="n">
        <v>-202.44</v>
      </c>
      <c r="Q177" s="1" t="n">
        <v>-202.44</v>
      </c>
      <c r="R177" s="1" t="n">
        <v>-202.44</v>
      </c>
      <c r="S177" s="1" t="n">
        <v>-202.44</v>
      </c>
      <c r="T177" s="1" t="n">
        <v>-202.44</v>
      </c>
      <c r="U177" s="1" t="n">
        <v>-202.44</v>
      </c>
      <c r="V177" s="1" t="n">
        <v>-202.44</v>
      </c>
      <c r="W177" s="1">
        <f>SUM(K177:V177)</f>
        <v/>
      </c>
      <c r="X177" t="inlineStr">
        <is>
          <t>Coste operativo general de estructura y servicios de oficinas/fábrica.</t>
        </is>
      </c>
    </row>
    <row r="178">
      <c r="B178" t="n">
        <v>2027</v>
      </c>
      <c r="C178" t="inlineStr">
        <is>
          <t>Codiagro</t>
        </is>
      </c>
      <c r="D178" t="inlineStr">
        <is>
          <t>RESULTADO DEL EJERCICIO</t>
        </is>
      </c>
      <c r="E178" t="inlineStr">
        <is>
          <t>RESULTADO ANTES DE IMPUESTOS</t>
        </is>
      </c>
      <c r="F178" t="inlineStr">
        <is>
          <t>RESULTADO DE LA EXPLOTACION</t>
        </is>
      </c>
      <c r="G178" t="inlineStr">
        <is>
          <t>7.- Otros gastos de explotación</t>
        </is>
      </c>
      <c r="H178" t="inlineStr">
        <is>
          <t>(629) Otros servicios</t>
        </is>
      </c>
      <c r="I178" t="inlineStr">
        <is>
          <t>629100007 - GASTOS CURRO</t>
        </is>
      </c>
      <c r="J178" t="inlineStr">
        <is>
          <t>-</t>
        </is>
      </c>
      <c r="K178" s="1" t="n">
        <v>-91.05</v>
      </c>
      <c r="L178" s="1" t="n">
        <v>-91.05</v>
      </c>
      <c r="M178" s="1" t="n">
        <v>-91.05</v>
      </c>
      <c r="N178" s="1" t="n">
        <v>-91.05</v>
      </c>
      <c r="O178" s="1" t="n">
        <v>-91.05</v>
      </c>
      <c r="P178" s="1" t="n">
        <v>-91.05</v>
      </c>
      <c r="Q178" s="1" t="n">
        <v>-91.05</v>
      </c>
      <c r="R178" s="1" t="n">
        <v>-91.05</v>
      </c>
      <c r="S178" s="1" t="n">
        <v>-91.05</v>
      </c>
      <c r="T178" s="1" t="n">
        <v>-91.05</v>
      </c>
      <c r="U178" s="1" t="n">
        <v>-91.05</v>
      </c>
      <c r="V178" s="1" t="n">
        <v>-91.05</v>
      </c>
      <c r="W178" s="1">
        <f>SUM(K178:V178)</f>
        <v/>
      </c>
      <c r="X178" t="inlineStr">
        <is>
          <t>Coste operativo general de estructura y servicios de oficinas/fábrica.</t>
        </is>
      </c>
    </row>
    <row r="179">
      <c r="B179" t="n">
        <v>2027</v>
      </c>
      <c r="C179" t="inlineStr">
        <is>
          <t>Codiagro</t>
        </is>
      </c>
      <c r="D179" t="inlineStr">
        <is>
          <t>RESULTADO DEL EJERCICIO</t>
        </is>
      </c>
      <c r="E179" t="inlineStr">
        <is>
          <t>RESULTADO ANTES DE IMPUESTOS</t>
        </is>
      </c>
      <c r="F179" t="inlineStr">
        <is>
          <t>RESULTADO DE LA EXPLOTACION</t>
        </is>
      </c>
      <c r="G179" t="inlineStr">
        <is>
          <t>7.- Otros gastos de explotación</t>
        </is>
      </c>
      <c r="H179" t="inlineStr">
        <is>
          <t>(629) Otros servicios</t>
        </is>
      </c>
      <c r="I179" t="inlineStr">
        <is>
          <t>629100008 GASTOS PEDRO MEDINA</t>
        </is>
      </c>
      <c r="J179" t="inlineStr">
        <is>
          <t>-</t>
        </is>
      </c>
      <c r="K179" s="1" t="n">
        <v>-141.14</v>
      </c>
      <c r="L179" s="1" t="n">
        <v>-141.14</v>
      </c>
      <c r="M179" s="1" t="n">
        <v>-141.14</v>
      </c>
      <c r="N179" s="1" t="n">
        <v>-141.14</v>
      </c>
      <c r="O179" s="1" t="n">
        <v>-141.14</v>
      </c>
      <c r="P179" s="1" t="n">
        <v>-141.14</v>
      </c>
      <c r="Q179" s="1" t="n">
        <v>-141.14</v>
      </c>
      <c r="R179" s="1" t="n">
        <v>-141.14</v>
      </c>
      <c r="S179" s="1" t="n">
        <v>-141.14</v>
      </c>
      <c r="T179" s="1" t="n">
        <v>-141.14</v>
      </c>
      <c r="U179" s="1" t="n">
        <v>-141.14</v>
      </c>
      <c r="V179" s="1" t="n">
        <v>-141.14</v>
      </c>
      <c r="W179" s="1">
        <f>SUM(K179:V179)</f>
        <v/>
      </c>
      <c r="X179" t="inlineStr">
        <is>
          <t>Coste operativo general de estructura y servicios de oficinas/fábrica.</t>
        </is>
      </c>
    </row>
    <row r="180">
      <c r="B180" t="n">
        <v>2027</v>
      </c>
      <c r="C180" t="inlineStr">
        <is>
          <t>Codiagro</t>
        </is>
      </c>
      <c r="D180" t="inlineStr">
        <is>
          <t>RESULTADO DEL EJERCICIO</t>
        </is>
      </c>
      <c r="E180" t="inlineStr">
        <is>
          <t>RESULTADO ANTES DE IMPUESTOS</t>
        </is>
      </c>
      <c r="F180" t="inlineStr">
        <is>
          <t>RESULTADO DE LA EXPLOTACION</t>
        </is>
      </c>
      <c r="G180" t="inlineStr">
        <is>
          <t>7.- Otros gastos de explotación</t>
        </is>
      </c>
      <c r="H180" t="inlineStr">
        <is>
          <t>(631) Otros tributos</t>
        </is>
      </c>
      <c r="I180" t="inlineStr">
        <is>
          <t>631000001 - IMPUESTOS VEHÍCULOS</t>
        </is>
      </c>
      <c r="J180" t="inlineStr">
        <is>
          <t>-</t>
        </is>
      </c>
      <c r="K180" s="1" t="n">
        <v>-156.06</v>
      </c>
      <c r="L180" s="1" t="n">
        <v>-156.06</v>
      </c>
      <c r="M180" s="1" t="n">
        <v>-156.06</v>
      </c>
      <c r="N180" s="1" t="n">
        <v>-156.06</v>
      </c>
      <c r="O180" s="1" t="n">
        <v>-156.06</v>
      </c>
      <c r="P180" s="1" t="n">
        <v>-156.06</v>
      </c>
      <c r="Q180" s="1" t="n">
        <v>-156.06</v>
      </c>
      <c r="R180" s="1" t="n">
        <v>-156.06</v>
      </c>
      <c r="S180" s="1" t="n">
        <v>-156.06</v>
      </c>
      <c r="T180" s="1" t="n">
        <v>-156.06</v>
      </c>
      <c r="U180" s="1" t="n">
        <v>-156.06</v>
      </c>
      <c r="V180" s="1" t="n">
        <v>-156.06</v>
      </c>
      <c r="W180" s="1">
        <f>SUM(K180:V180)</f>
        <v/>
      </c>
      <c r="X180" t="inlineStr">
        <is>
          <t>Coste fijo tributario: tasas municipales y tributos recurrentes de la actividad.</t>
        </is>
      </c>
    </row>
    <row r="181">
      <c r="B181" t="n">
        <v>2027</v>
      </c>
      <c r="C181" t="inlineStr">
        <is>
          <t>Codiagro</t>
        </is>
      </c>
      <c r="D181" t="inlineStr">
        <is>
          <t>RESULTADO DEL EJERCICIO</t>
        </is>
      </c>
      <c r="E181" t="inlineStr">
        <is>
          <t>RESULTADO ANTES DE IMPUESTOS</t>
        </is>
      </c>
      <c r="F181" t="inlineStr">
        <is>
          <t>RESULTADO DE LA EXPLOTACION</t>
        </is>
      </c>
      <c r="G181" t="inlineStr">
        <is>
          <t>7.- Otros gastos de explotación</t>
        </is>
      </c>
      <c r="H181" t="inlineStr">
        <is>
          <t>(631) Otros tributos</t>
        </is>
      </c>
      <c r="I181" t="inlineStr">
        <is>
          <t>631000002 - TASAS</t>
        </is>
      </c>
      <c r="J181" t="inlineStr">
        <is>
          <t>-</t>
        </is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-581.49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1">
        <f>SUM(K181:V181)</f>
        <v/>
      </c>
      <c r="X181" t="inlineStr">
        <is>
          <t>Tasas municipales: replicado el gasto de 2026 en el mismo mes de devengo (mayo: -581,49 €).</t>
        </is>
      </c>
    </row>
    <row r="182">
      <c r="B182" t="n">
        <v>2027</v>
      </c>
      <c r="C182" t="inlineStr">
        <is>
          <t>Codiagro</t>
        </is>
      </c>
      <c r="D182" t="inlineStr">
        <is>
          <t>RESULTADO DEL EJERCICIO</t>
        </is>
      </c>
      <c r="E182" t="inlineStr">
        <is>
          <t>RESULTADO ANTES DE IMPUESTOS</t>
        </is>
      </c>
      <c r="F182" t="inlineStr">
        <is>
          <t>RESULTADO DE LA EXPLOTACION</t>
        </is>
      </c>
      <c r="G182" t="inlineStr">
        <is>
          <t>7.- Otros gastos de explotación</t>
        </is>
      </c>
      <c r="H182" t="inlineStr">
        <is>
          <t>(631) Otros tributos</t>
        </is>
      </c>
      <c r="I182" t="inlineStr">
        <is>
          <t>631000004 IBIB</t>
        </is>
      </c>
      <c r="J182" t="inlineStr">
        <is>
          <t>-</t>
        </is>
      </c>
      <c r="K182" s="3" t="n">
        <v>-616.38</v>
      </c>
      <c r="L182" s="3" t="n">
        <v>-616.38</v>
      </c>
      <c r="M182" s="3" t="n">
        <v>-616.38</v>
      </c>
      <c r="N182" s="3" t="n">
        <v>-616.38</v>
      </c>
      <c r="O182" s="3" t="n">
        <v>-616.38</v>
      </c>
      <c r="P182" s="3" t="n">
        <v>-616.38</v>
      </c>
      <c r="Q182" s="3" t="n">
        <v>-616.38</v>
      </c>
      <c r="R182" s="3" t="n">
        <v>-616.38</v>
      </c>
      <c r="S182" s="3" t="n">
        <v>-616.38</v>
      </c>
      <c r="T182" s="3" t="n">
        <v>-616.38</v>
      </c>
      <c r="U182" s="3" t="n">
        <v>-616.38</v>
      </c>
      <c r="V182" s="3" t="n">
        <v>-616.38</v>
      </c>
      <c r="W182" s="1">
        <f>SUM(K182:V182)</f>
        <v/>
      </c>
      <c r="X182" t="inlineStr">
        <is>
          <t>Tasas e IBI: presupuestada en 2027 la misma cantidad anual pagada en 2026 (-7.396,59 €/año, -616,38 €/mes).</t>
        </is>
      </c>
    </row>
    <row r="183">
      <c r="B183" t="n">
        <v>2027</v>
      </c>
      <c r="C183" t="inlineStr">
        <is>
          <t>Codiagro</t>
        </is>
      </c>
      <c r="D183" t="inlineStr">
        <is>
          <t>RESULTADO DEL EJERCICIO</t>
        </is>
      </c>
      <c r="E183" t="inlineStr">
        <is>
          <t>RESULTADO ANTES DE IMPUESTOS</t>
        </is>
      </c>
      <c r="F183" t="inlineStr">
        <is>
          <t>RESULTADO DE LA EXPLOTACION</t>
        </is>
      </c>
      <c r="G183" t="inlineStr">
        <is>
          <t>7.- Otros gastos de explotación</t>
        </is>
      </c>
      <c r="H183" t="inlineStr">
        <is>
          <t>(631) Otros tributos</t>
        </is>
      </c>
      <c r="I183" t="inlineStr">
        <is>
          <t>631000006 - IMPUESTO PLASTICO NO RECICLADO</t>
        </is>
      </c>
      <c r="J183" t="inlineStr">
        <is>
          <t>-</t>
        </is>
      </c>
      <c r="K183" s="1" t="n">
        <v>-2516.21</v>
      </c>
      <c r="L183" s="1" t="n">
        <v>-4075.81</v>
      </c>
      <c r="M183" s="1" t="n">
        <v>-3909.7</v>
      </c>
      <c r="N183" s="1" t="n">
        <v>-3147.65</v>
      </c>
      <c r="O183" s="1" t="n">
        <v>-5167.87</v>
      </c>
      <c r="P183" s="1" t="n">
        <v>-5124.86</v>
      </c>
      <c r="Q183" s="1" t="n">
        <v>-3251.56</v>
      </c>
      <c r="R183" s="1" t="n">
        <v>-2075.09</v>
      </c>
      <c r="S183" s="1" t="n">
        <v>-1205.37</v>
      </c>
      <c r="T183" s="1" t="n">
        <v>-2015.85</v>
      </c>
      <c r="U183" s="1" t="n">
        <v>-3116.01</v>
      </c>
      <c r="V183" s="1" t="n">
        <v>-3417.97</v>
      </c>
      <c r="W183" s="1">
        <f>SUM(K183:V183)</f>
        <v/>
      </c>
      <c r="X183" t="inlineStr">
        <is>
          <t>Coste variable regulatorio sobre envases de plástico virgen envasados.</t>
        </is>
      </c>
    </row>
    <row r="184">
      <c r="B184" t="n">
        <v>2027</v>
      </c>
      <c r="C184" t="inlineStr">
        <is>
          <t>Codiagro</t>
        </is>
      </c>
      <c r="D184" t="inlineStr">
        <is>
          <t>RESULTADO DEL EJERCICIO</t>
        </is>
      </c>
      <c r="E184" t="inlineStr">
        <is>
          <t>RESULTADO ANTES DE IMPUESTOS</t>
        </is>
      </c>
      <c r="F184" t="inlineStr">
        <is>
          <t>RESULTADO DE LA EXPLOTACION</t>
        </is>
      </c>
      <c r="G184" t="inlineStr">
        <is>
          <t>7.- Otros gastos de explotación</t>
        </is>
      </c>
      <c r="H184" t="inlineStr">
        <is>
          <t>(634) Ajustes negativos en la imposición indirecta</t>
        </is>
      </c>
      <c r="I184" t="inlineStr">
        <is>
          <t>634100000 - Ajustes negat. IVA circulante</t>
        </is>
      </c>
      <c r="J184" t="inlineStr">
        <is>
          <t>-</t>
        </is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1">
        <f>SUM(K184:V184)</f>
        <v/>
      </c>
      <c r="X184" t="inlineStr">
        <is>
          <t>Ajustes negativos IVA: sin saldo previsto en 2027.</t>
        </is>
      </c>
    </row>
    <row r="185">
      <c r="B185" t="n">
        <v>2027</v>
      </c>
      <c r="C185" t="inlineStr">
        <is>
          <t>Codiagro</t>
        </is>
      </c>
      <c r="D185" t="inlineStr">
        <is>
          <t>RESULTADO DEL EJERCICIO</t>
        </is>
      </c>
      <c r="E185" t="inlineStr">
        <is>
          <t>RESULTADO ANTES DE IMPUESTOS</t>
        </is>
      </c>
      <c r="F185" t="inlineStr">
        <is>
          <t>RESULTADO DE LA EXPLOTACION</t>
        </is>
      </c>
      <c r="G185" t="inlineStr">
        <is>
          <t>7.- Otros gastos de explotación</t>
        </is>
      </c>
      <c r="H185" t="inlineStr">
        <is>
          <t>(694) Pérdidas por op. Comerciales</t>
        </is>
      </c>
      <c r="I185" t="inlineStr">
        <is>
          <t>694000000 - Pérdidas deterioro de créditos por op.comerciales</t>
        </is>
      </c>
      <c r="J185" t="inlineStr">
        <is>
          <t>-</t>
        </is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1">
        <f>SUM(K185:V185)</f>
        <v/>
      </c>
      <c r="X185" t="inlineStr">
        <is>
          <t>Pérdidas deterioro créditos: sin saldo previsto en 2027.</t>
        </is>
      </c>
    </row>
    <row r="186">
      <c r="B186" t="n">
        <v>2027</v>
      </c>
      <c r="C186" t="inlineStr">
        <is>
          <t>Codiagro</t>
        </is>
      </c>
      <c r="D186" t="inlineStr">
        <is>
          <t>RESULTADO DEL EJERCICIO</t>
        </is>
      </c>
      <c r="E186" t="inlineStr">
        <is>
          <t>RESULTADO ANTES DE IMPUESTOS</t>
        </is>
      </c>
      <c r="F186" t="inlineStr">
        <is>
          <t>RESULTADO DE LA EXPLOTACION</t>
        </is>
      </c>
      <c r="G186" t="inlineStr">
        <is>
          <t>8.- Amortización del inmovilizado</t>
        </is>
      </c>
      <c r="H186" t="inlineStr">
        <is>
          <t>(681) Amortización del inmovilizado material</t>
        </is>
      </c>
      <c r="I186" t="inlineStr">
        <is>
          <t>681100000 - Amortización de construcciones</t>
        </is>
      </c>
      <c r="J186" t="inlineStr">
        <is>
          <t>-</t>
        </is>
      </c>
      <c r="K186" s="1" t="n">
        <v>-3154.35</v>
      </c>
      <c r="L186" s="1" t="n">
        <v>-3154.35</v>
      </c>
      <c r="M186" s="1" t="n">
        <v>-3154.35</v>
      </c>
      <c r="N186" s="1" t="n">
        <v>-3154.35</v>
      </c>
      <c r="O186" s="1" t="n">
        <v>-3154.35</v>
      </c>
      <c r="P186" s="1" t="n">
        <v>-3154.35</v>
      </c>
      <c r="Q186" s="1" t="n">
        <v>-3154.35</v>
      </c>
      <c r="R186" s="1" t="n">
        <v>-3154.35</v>
      </c>
      <c r="S186" s="1" t="n">
        <v>-3154.35</v>
      </c>
      <c r="T186" s="1" t="n">
        <v>-3154.35</v>
      </c>
      <c r="U186" s="1" t="n">
        <v>-3154.35</v>
      </c>
      <c r="V186" s="1" t="n">
        <v>-3154.35</v>
      </c>
      <c r="W186" s="1">
        <f>SUM(K186:V186)</f>
        <v/>
      </c>
      <c r="X186" t="inlineStr">
        <is>
          <t>Coste fijo estricto: dotación lineal mensual calculada según las tablas oficiales de amortización fiscal y vida útil del inmovilizado.</t>
        </is>
      </c>
    </row>
    <row r="187">
      <c r="B187" t="n">
        <v>2027</v>
      </c>
      <c r="C187" t="inlineStr">
        <is>
          <t>Codiagro</t>
        </is>
      </c>
      <c r="D187" t="inlineStr">
        <is>
          <t>RESULTADO DEL EJERCICIO</t>
        </is>
      </c>
      <c r="E187" t="inlineStr">
        <is>
          <t>RESULTADO ANTES DE IMPUESTOS</t>
        </is>
      </c>
      <c r="F187" t="inlineStr">
        <is>
          <t>RESULTADO DE LA EXPLOTACION</t>
        </is>
      </c>
      <c r="G187" t="inlineStr">
        <is>
          <t>8.- Amortización del inmovilizado</t>
        </is>
      </c>
      <c r="H187" t="inlineStr">
        <is>
          <t>(681) Amortización del inmovilizado material</t>
        </is>
      </c>
      <c r="I187" t="inlineStr">
        <is>
          <t>681200000 - Amortización de instalaciones técnicas</t>
        </is>
      </c>
      <c r="J187" t="inlineStr">
        <is>
          <t>-</t>
        </is>
      </c>
      <c r="K187" s="1" t="n">
        <v>-5772</v>
      </c>
      <c r="L187" s="1" t="n">
        <v>-5772</v>
      </c>
      <c r="M187" s="1" t="n">
        <v>-5772</v>
      </c>
      <c r="N187" s="1" t="n">
        <v>-5772</v>
      </c>
      <c r="O187" s="1" t="n">
        <v>-5772</v>
      </c>
      <c r="P187" s="1" t="n">
        <v>-5772</v>
      </c>
      <c r="Q187" s="1" t="n">
        <v>-5772</v>
      </c>
      <c r="R187" s="1" t="n">
        <v>-5772</v>
      </c>
      <c r="S187" s="1" t="n">
        <v>-5772</v>
      </c>
      <c r="T187" s="1" t="n">
        <v>-5772</v>
      </c>
      <c r="U187" s="1" t="n">
        <v>-5772</v>
      </c>
      <c r="V187" s="1" t="n">
        <v>-5772</v>
      </c>
      <c r="W187" s="1">
        <f>SUM(K187:V187)</f>
        <v/>
      </c>
      <c r="X187" t="inlineStr">
        <is>
          <t>Coste fijo estricto: dotación lineal mensual calculada según las tablas oficiales de amortización fiscal y vida útil del inmovilizado.</t>
        </is>
      </c>
    </row>
    <row r="188">
      <c r="B188" t="n">
        <v>2027</v>
      </c>
      <c r="C188" t="inlineStr">
        <is>
          <t>Codiagro</t>
        </is>
      </c>
      <c r="D188" t="inlineStr">
        <is>
          <t>RESULTADO DEL EJERCICIO</t>
        </is>
      </c>
      <c r="E188" t="inlineStr">
        <is>
          <t>RESULTADO ANTES DE IMPUESTOS</t>
        </is>
      </c>
      <c r="F188" t="inlineStr">
        <is>
          <t>RESULTADO DE LA EXPLOTACION</t>
        </is>
      </c>
      <c r="G188" t="inlineStr">
        <is>
          <t>8.- Amortización del inmovilizado</t>
        </is>
      </c>
      <c r="H188" t="inlineStr">
        <is>
          <t>(681) Amortización del inmovilizado material</t>
        </is>
      </c>
      <c r="I188" t="inlineStr">
        <is>
          <t>681300000 - Amortización de maquinaria</t>
        </is>
      </c>
      <c r="J188" t="inlineStr">
        <is>
          <t>-</t>
        </is>
      </c>
      <c r="K188" s="1" t="n">
        <v>-6419</v>
      </c>
      <c r="L188" s="1" t="n">
        <v>-6419</v>
      </c>
      <c r="M188" s="1" t="n">
        <v>-6419</v>
      </c>
      <c r="N188" s="1" t="n">
        <v>-6419</v>
      </c>
      <c r="O188" s="1" t="n">
        <v>-6419</v>
      </c>
      <c r="P188" s="1" t="n">
        <v>-6419</v>
      </c>
      <c r="Q188" s="1" t="n">
        <v>-6419</v>
      </c>
      <c r="R188" s="1" t="n">
        <v>-6419</v>
      </c>
      <c r="S188" s="1" t="n">
        <v>-6419</v>
      </c>
      <c r="T188" s="1" t="n">
        <v>-6419</v>
      </c>
      <c r="U188" s="1" t="n">
        <v>-6419</v>
      </c>
      <c r="V188" s="1" t="n">
        <v>-6419</v>
      </c>
      <c r="W188" s="1">
        <f>SUM(K188:V188)</f>
        <v/>
      </c>
      <c r="X188" t="inlineStr">
        <is>
          <t>Coste fijo estricto: dotación lineal mensual calculada según las tablas oficiales de amortización fiscal y vida útil del inmovilizado.</t>
        </is>
      </c>
    </row>
    <row r="189">
      <c r="B189" t="n">
        <v>2027</v>
      </c>
      <c r="C189" t="inlineStr">
        <is>
          <t>Codiagro</t>
        </is>
      </c>
      <c r="D189" t="inlineStr">
        <is>
          <t>RESULTADO DEL EJERCICIO</t>
        </is>
      </c>
      <c r="E189" t="inlineStr">
        <is>
          <t>RESULTADO ANTES DE IMPUESTOS</t>
        </is>
      </c>
      <c r="F189" t="inlineStr">
        <is>
          <t>RESULTADO DE LA EXPLOTACION</t>
        </is>
      </c>
      <c r="G189" t="inlineStr">
        <is>
          <t>8.- Amortización del inmovilizado</t>
        </is>
      </c>
      <c r="H189" t="inlineStr">
        <is>
          <t>(681) Amortización del inmovilizado material</t>
        </is>
      </c>
      <c r="I189" t="inlineStr">
        <is>
          <t>681500000 - Amortización de otras instalaciones</t>
        </is>
      </c>
      <c r="J189" t="inlineStr">
        <is>
          <t>-</t>
        </is>
      </c>
      <c r="K189" s="1" t="n">
        <v>-1642</v>
      </c>
      <c r="L189" s="1" t="n">
        <v>-1642</v>
      </c>
      <c r="M189" s="1" t="n">
        <v>-1642</v>
      </c>
      <c r="N189" s="1" t="n">
        <v>-1642</v>
      </c>
      <c r="O189" s="1" t="n">
        <v>-1642</v>
      </c>
      <c r="P189" s="1" t="n">
        <v>-1642</v>
      </c>
      <c r="Q189" s="1" t="n">
        <v>-1642</v>
      </c>
      <c r="R189" s="1" t="n">
        <v>-1642</v>
      </c>
      <c r="S189" s="1" t="n">
        <v>-1642</v>
      </c>
      <c r="T189" s="1" t="n">
        <v>-1642</v>
      </c>
      <c r="U189" s="1" t="n">
        <v>-1642</v>
      </c>
      <c r="V189" s="1" t="n">
        <v>-1642</v>
      </c>
      <c r="W189" s="1">
        <f>SUM(K189:V189)</f>
        <v/>
      </c>
      <c r="X189" t="inlineStr">
        <is>
          <t>Coste fijo estricto: dotación lineal mensual calculada según las tablas oficiales de amortización fiscal y vida útil del inmovilizado.</t>
        </is>
      </c>
    </row>
    <row r="190">
      <c r="B190" t="n">
        <v>2027</v>
      </c>
      <c r="C190" t="inlineStr">
        <is>
          <t>Codiagro</t>
        </is>
      </c>
      <c r="D190" t="inlineStr">
        <is>
          <t>RESULTADO DEL EJERCICIO</t>
        </is>
      </c>
      <c r="E190" t="inlineStr">
        <is>
          <t>RESULTADO ANTES DE IMPUESTOS</t>
        </is>
      </c>
      <c r="F190" t="inlineStr">
        <is>
          <t>RESULTADO DE LA EXPLOTACION</t>
        </is>
      </c>
      <c r="G190" t="inlineStr">
        <is>
          <t>8.- Amortización del inmovilizado</t>
        </is>
      </c>
      <c r="H190" t="inlineStr">
        <is>
          <t>(681) Amortización del inmovilizado material</t>
        </is>
      </c>
      <c r="I190" t="inlineStr">
        <is>
          <t>681600000 - Amortización de mobiliario</t>
        </is>
      </c>
      <c r="J190" t="inlineStr">
        <is>
          <t>-</t>
        </is>
      </c>
      <c r="K190" s="1" t="n">
        <v>-1337</v>
      </c>
      <c r="L190" s="1" t="n">
        <v>-1337</v>
      </c>
      <c r="M190" s="1" t="n">
        <v>-1337</v>
      </c>
      <c r="N190" s="1" t="n">
        <v>-1337</v>
      </c>
      <c r="O190" s="1" t="n">
        <v>-1337</v>
      </c>
      <c r="P190" s="1" t="n">
        <v>-1337</v>
      </c>
      <c r="Q190" s="1" t="n">
        <v>-1337</v>
      </c>
      <c r="R190" s="1" t="n">
        <v>-1337</v>
      </c>
      <c r="S190" s="1" t="n">
        <v>-1337</v>
      </c>
      <c r="T190" s="1" t="n">
        <v>-1337</v>
      </c>
      <c r="U190" s="1" t="n">
        <v>-1337</v>
      </c>
      <c r="V190" s="1" t="n">
        <v>-1337</v>
      </c>
      <c r="W190" s="1">
        <f>SUM(K190:V190)</f>
        <v/>
      </c>
      <c r="X190" t="inlineStr">
        <is>
          <t>Coste fijo estricto: dotación lineal mensual calculada según las tablas oficiales de amortización fiscal y vida útil del inmovilizado.</t>
        </is>
      </c>
    </row>
    <row r="191">
      <c r="B191" t="n">
        <v>2027</v>
      </c>
      <c r="C191" t="inlineStr">
        <is>
          <t>Codiagro</t>
        </is>
      </c>
      <c r="D191" t="inlineStr">
        <is>
          <t>RESULTADO DEL EJERCICIO</t>
        </is>
      </c>
      <c r="E191" t="inlineStr">
        <is>
          <t>RESULTADO ANTES DE IMPUESTOS</t>
        </is>
      </c>
      <c r="F191" t="inlineStr">
        <is>
          <t>RESULTADO DE LA EXPLOTACION</t>
        </is>
      </c>
      <c r="G191" t="inlineStr">
        <is>
          <t>8.- Amortización del inmovilizado</t>
        </is>
      </c>
      <c r="H191" t="inlineStr">
        <is>
          <t>(681) Amortización del inmovilizado material</t>
        </is>
      </c>
      <c r="I191" t="inlineStr">
        <is>
          <t>681700000 - Amortización de equipos para procesos de informac.</t>
        </is>
      </c>
      <c r="J191" t="inlineStr">
        <is>
          <t>-</t>
        </is>
      </c>
      <c r="K191" s="1" t="n">
        <v>-856</v>
      </c>
      <c r="L191" s="1" t="n">
        <v>-856</v>
      </c>
      <c r="M191" s="1" t="n">
        <v>-856</v>
      </c>
      <c r="N191" s="1" t="n">
        <v>-856</v>
      </c>
      <c r="O191" s="1" t="n">
        <v>-856</v>
      </c>
      <c r="P191" s="1" t="n">
        <v>-856</v>
      </c>
      <c r="Q191" s="1" t="n">
        <v>-856</v>
      </c>
      <c r="R191" s="1" t="n">
        <v>-856</v>
      </c>
      <c r="S191" s="1" t="n">
        <v>-856</v>
      </c>
      <c r="T191" s="1" t="n">
        <v>-856</v>
      </c>
      <c r="U191" s="1" t="n">
        <v>-856</v>
      </c>
      <c r="V191" s="1" t="n">
        <v>-856</v>
      </c>
      <c r="W191" s="1">
        <f>SUM(K191:V191)</f>
        <v/>
      </c>
      <c r="X191" t="inlineStr">
        <is>
          <t>Coste fijo estricto: dotación lineal mensual calculada según las tablas oficiales de amortización fiscal y vida útil del inmovilizado.</t>
        </is>
      </c>
    </row>
    <row r="192">
      <c r="B192" t="n">
        <v>2027</v>
      </c>
      <c r="C192" t="inlineStr">
        <is>
          <t>Codiagro</t>
        </is>
      </c>
      <c r="D192" t="inlineStr">
        <is>
          <t>RESULTADO DEL EJERCICIO</t>
        </is>
      </c>
      <c r="E192" t="inlineStr">
        <is>
          <t>RESULTADO ANTES DE IMPUESTOS</t>
        </is>
      </c>
      <c r="F192" t="inlineStr">
        <is>
          <t>RESULTADO DE LA EXPLOTACION</t>
        </is>
      </c>
      <c r="G192" t="inlineStr">
        <is>
          <t>8.- Amortización del inmovilizado</t>
        </is>
      </c>
      <c r="H192" t="inlineStr">
        <is>
          <t>(681) Amortización del inmovilizado material</t>
        </is>
      </c>
      <c r="I192" t="inlineStr">
        <is>
          <t>681800000 - Amortización de elementos de transporte</t>
        </is>
      </c>
      <c r="J192" t="inlineStr">
        <is>
          <t>-</t>
        </is>
      </c>
      <c r="K192" s="1" t="n">
        <v>-45</v>
      </c>
      <c r="L192" s="1" t="n">
        <v>-45</v>
      </c>
      <c r="M192" s="1" t="n">
        <v>-45</v>
      </c>
      <c r="N192" s="1" t="n">
        <v>-45</v>
      </c>
      <c r="O192" s="1" t="n">
        <v>-45</v>
      </c>
      <c r="P192" s="1" t="n">
        <v>-45</v>
      </c>
      <c r="Q192" s="1" t="n">
        <v>-45</v>
      </c>
      <c r="R192" s="1" t="n">
        <v>-45</v>
      </c>
      <c r="S192" s="1" t="n">
        <v>-45</v>
      </c>
      <c r="T192" s="1" t="n">
        <v>-45</v>
      </c>
      <c r="U192" s="1" t="n">
        <v>-45</v>
      </c>
      <c r="V192" s="1" t="n">
        <v>-45</v>
      </c>
      <c r="W192" s="1">
        <f>SUM(K192:V192)</f>
        <v/>
      </c>
      <c r="X192" t="inlineStr">
        <is>
          <t>Coste fijo estricto: dotación lineal mensual calculada según las tablas oficiales de amortización fiscal y vida útil del inmovilizado.</t>
        </is>
      </c>
    </row>
    <row r="193">
      <c r="B193" t="n">
        <v>2027</v>
      </c>
      <c r="C193" t="inlineStr">
        <is>
          <t>Codiagro</t>
        </is>
      </c>
      <c r="D193" t="inlineStr">
        <is>
          <t>RESULTADO DEL EJERCICIO</t>
        </is>
      </c>
      <c r="E193" t="inlineStr">
        <is>
          <t>RESULTADO ANTES DE IMPUESTOS</t>
        </is>
      </c>
      <c r="F193" t="inlineStr">
        <is>
          <t>RESULTADO FINANCIERO</t>
        </is>
      </c>
      <c r="G193" t="inlineStr">
        <is>
          <t>15.- Gastos financieros</t>
        </is>
      </c>
      <c r="H193" t="inlineStr">
        <is>
          <t>(706) Dto. s/vtas p.p.</t>
        </is>
      </c>
      <c r="I193" t="inlineStr">
        <is>
          <t>706000001 - DESCUENTO POR PRONTO PAGO DEFINITIVO</t>
        </is>
      </c>
      <c r="J193" t="inlineStr">
        <is>
          <t>-</t>
        </is>
      </c>
      <c r="K193" s="1" t="n">
        <v>-30880.78</v>
      </c>
      <c r="L193" s="1" t="n">
        <v>-50021.31</v>
      </c>
      <c r="M193" s="1" t="n">
        <v>-47982.62</v>
      </c>
      <c r="N193" s="1" t="n">
        <v>-38630.3</v>
      </c>
      <c r="O193" s="1" t="n">
        <v>-63423.85</v>
      </c>
      <c r="P193" s="1" t="n">
        <v>-62896.06</v>
      </c>
      <c r="Q193" s="1" t="n">
        <v>-39905.52</v>
      </c>
      <c r="R193" s="1" t="n">
        <v>-25466.97</v>
      </c>
      <c r="S193" s="1" t="n">
        <v>-14793.2</v>
      </c>
      <c r="T193" s="1" t="n">
        <v>-24740.02</v>
      </c>
      <c r="U193" s="1" t="n">
        <v>-38241.9</v>
      </c>
      <c r="V193" s="1" t="n">
        <v>-41947.79</v>
      </c>
      <c r="W193" s="1">
        <f>SUM(K193:V193)</f>
        <v/>
      </c>
      <c r="X193" t="inlineStr">
        <is>
          <t>Coste financiero variable: descuentos por pronto pago concedidos a clientes (2,70% s/ventas presupuestadas).</t>
        </is>
      </c>
    </row>
    <row r="194">
      <c r="B194" t="n">
        <v>2027</v>
      </c>
      <c r="C194" t="inlineStr">
        <is>
          <t>Codiagro</t>
        </is>
      </c>
      <c r="D194" t="inlineStr">
        <is>
          <t>RESULTADO DEL EJERCICIO</t>
        </is>
      </c>
      <c r="E194" t="inlineStr">
        <is>
          <t>RESULTADO ANTES DE IMPUESTOS</t>
        </is>
      </c>
      <c r="F194" t="inlineStr">
        <is>
          <t>RESULTADO FINANCIERO</t>
        </is>
      </c>
      <c r="G194" t="inlineStr">
        <is>
          <t>15.- Gastos financieros</t>
        </is>
      </c>
      <c r="H194" t="inlineStr">
        <is>
          <t>(665) Intereses por descuento de efectos y operaciones de "factoring"</t>
        </is>
      </c>
      <c r="I194" t="inlineStr">
        <is>
          <t>665700015 - INTERESES PAGO FINANCIADO POR BBVA</t>
        </is>
      </c>
      <c r="J194" t="inlineStr">
        <is>
          <t>-</t>
        </is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1">
        <f>SUM(K194:V194)</f>
        <v/>
      </c>
      <c r="X194" t="inlineStr">
        <is>
          <t>Intereses pago financiado proveedores: operación no recurrente, fijado a 0 en 2027.</t>
        </is>
      </c>
    </row>
    <row r="195">
      <c r="B195" t="n">
        <v>2027</v>
      </c>
      <c r="C195" t="inlineStr">
        <is>
          <t>Codiagro</t>
        </is>
      </c>
      <c r="D195" t="inlineStr">
        <is>
          <t>RESULTADO DEL EJERCICIO</t>
        </is>
      </c>
      <c r="E195" t="inlineStr">
        <is>
          <t>RESULTADO ANTES DE IMPUESTOS</t>
        </is>
      </c>
      <c r="F195" t="inlineStr">
        <is>
          <t>RESULTADO FINANCIERO</t>
        </is>
      </c>
      <c r="G195" t="inlineStr">
        <is>
          <t>15.- Gastos financieros</t>
        </is>
      </c>
      <c r="H195" t="inlineStr">
        <is>
          <t>(662) Intereses de deudas con entidades de crédito</t>
        </is>
      </c>
      <c r="I195" t="inlineStr">
        <is>
          <t>662310005 - INTERESES PRESTAMO CAIXALMASSORA</t>
        </is>
      </c>
      <c r="J195" t="inlineStr">
        <is>
          <t>-</t>
        </is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1">
        <f>SUM(K195:V195)</f>
        <v/>
      </c>
      <c r="X195" t="inlineStr">
        <is>
          <t>Intereses préstamo Caixabank: préstamo finalizado, fijado a 0 en 2027.</t>
        </is>
      </c>
    </row>
    <row r="196">
      <c r="B196" t="n">
        <v>2027</v>
      </c>
      <c r="C196" t="inlineStr">
        <is>
          <t>Codiagro</t>
        </is>
      </c>
      <c r="D196" t="inlineStr">
        <is>
          <t>RESULTADO DEL EJERCICIO</t>
        </is>
      </c>
      <c r="E196" t="inlineStr">
        <is>
          <t>RESULTADO ANTES DE IMPUESTOS</t>
        </is>
      </c>
      <c r="F196" t="inlineStr">
        <is>
          <t>RESULTADO FINANCIERO</t>
        </is>
      </c>
      <c r="G196" t="inlineStr">
        <is>
          <t>15.- Gastos financieros</t>
        </is>
      </c>
      <c r="H196" t="inlineStr">
        <is>
          <t>(669) Otros gastos financieros</t>
        </is>
      </c>
      <c r="I196" t="inlineStr">
        <is>
          <t>669000002 - OTROS GTOS. DTO. EFECTOS SABADELL</t>
        </is>
      </c>
      <c r="J196" t="inlineStr">
        <is>
          <t>-</t>
        </is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>
        <f>SUM(K196:V196)</f>
        <v/>
      </c>
      <c r="X196" t="inlineStr">
        <is>
          <t>Cuenta inactiva / sin saldo previsto en 2027.</t>
        </is>
      </c>
    </row>
    <row r="197">
      <c r="B197" t="n">
        <v>2027</v>
      </c>
      <c r="C197" t="inlineStr">
        <is>
          <t>Codiagro</t>
        </is>
      </c>
      <c r="D197" t="inlineStr">
        <is>
          <t>RESULTADO DEL EJERCICIO</t>
        </is>
      </c>
      <c r="E197" t="inlineStr">
        <is>
          <t>RESULTADO ANTES DE IMPUESTOS</t>
        </is>
      </c>
      <c r="F197" t="inlineStr">
        <is>
          <t>RESULTADO FINANCIERO</t>
        </is>
      </c>
      <c r="G197" t="inlineStr">
        <is>
          <t>15.- Gastos financieros</t>
        </is>
      </c>
      <c r="H197" t="inlineStr">
        <is>
          <t>(669) Otros gastos financieros</t>
        </is>
      </c>
      <c r="I197" t="inlineStr">
        <is>
          <t>669000007 - OTROS GTOS. DTO.EFECTOS BBVA</t>
        </is>
      </c>
      <c r="J197" t="inlineStr">
        <is>
          <t>-</t>
        </is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>
        <f>SUM(K197:V197)</f>
        <v/>
      </c>
      <c r="X197" t="inlineStr">
        <is>
          <t>Cuenta inactiva / sin saldo previsto en 2027.</t>
        </is>
      </c>
    </row>
    <row r="198">
      <c r="B198" t="n">
        <v>2027</v>
      </c>
      <c r="C198" t="inlineStr">
        <is>
          <t>Codiagro</t>
        </is>
      </c>
      <c r="D198" t="inlineStr">
        <is>
          <t>RESULTADO DEL EJERCICIO</t>
        </is>
      </c>
      <c r="E198" t="inlineStr">
        <is>
          <t>RESULTADO ANTES DE IMPUESTOS</t>
        </is>
      </c>
      <c r="F198" t="inlineStr">
        <is>
          <t>RESULTADO FINANCIERO</t>
        </is>
      </c>
      <c r="G198" t="inlineStr">
        <is>
          <t>15.- Gastos financieros</t>
        </is>
      </c>
      <c r="H198" t="inlineStr">
        <is>
          <t>(669) Otros gastos financieros</t>
        </is>
      </c>
      <c r="I198" t="inlineStr">
        <is>
          <t>669100002 - OTROS GTOS. FINAN. SABADELL</t>
        </is>
      </c>
      <c r="J198" t="inlineStr">
        <is>
          <t>-</t>
        </is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>
        <f>SUM(K198:V198)</f>
        <v/>
      </c>
      <c r="X198" t="inlineStr">
        <is>
          <t>Cuenta inactiva / sin saldo previsto en 2027.</t>
        </is>
      </c>
    </row>
    <row r="199">
      <c r="B199" t="n">
        <v>2027</v>
      </c>
      <c r="C199" t="inlineStr">
        <is>
          <t>Codiagro</t>
        </is>
      </c>
      <c r="D199" t="inlineStr">
        <is>
          <t>RESULTADO DEL EJERCICIO</t>
        </is>
      </c>
      <c r="E199" t="inlineStr">
        <is>
          <t>RESULTADO ANTES DE IMPUESTOS</t>
        </is>
      </c>
      <c r="F199" t="inlineStr">
        <is>
          <t>RESULTADO FINANCIERO</t>
        </is>
      </c>
      <c r="G199" t="inlineStr">
        <is>
          <t>15.- Gastos financieros</t>
        </is>
      </c>
      <c r="H199" t="inlineStr">
        <is>
          <t>(669) Otros gastos financieros</t>
        </is>
      </c>
      <c r="I199" t="inlineStr">
        <is>
          <t>669100005 - OTROS GTOS. FINAN. C.RURAL ALMASSORA</t>
        </is>
      </c>
      <c r="J199" t="inlineStr">
        <is>
          <t>-</t>
        </is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>
        <f>SUM(K199:V199)</f>
        <v/>
      </c>
      <c r="X199" t="inlineStr">
        <is>
          <t>Cuenta inactiva / sin saldo previsto en 2027.</t>
        </is>
      </c>
    </row>
    <row r="200">
      <c r="B200" t="n">
        <v>2027</v>
      </c>
      <c r="C200" t="inlineStr">
        <is>
          <t>Codiagro</t>
        </is>
      </c>
      <c r="D200" t="inlineStr">
        <is>
          <t>RESULTADO DEL EJERCICIO</t>
        </is>
      </c>
      <c r="E200" t="inlineStr">
        <is>
          <t>RESULTADO ANTES DE IMPUESTOS</t>
        </is>
      </c>
      <c r="F200" t="inlineStr">
        <is>
          <t>RESULTADO FINANCIERO</t>
        </is>
      </c>
      <c r="G200" t="inlineStr">
        <is>
          <t>15.- Gastos financieros</t>
        </is>
      </c>
      <c r="H200" t="inlineStr">
        <is>
          <t>(669) Otros gastos financieros</t>
        </is>
      </c>
      <c r="I200" t="inlineStr">
        <is>
          <t>669100007 - OTROS GTOS. FINAN. BBVA.</t>
        </is>
      </c>
      <c r="J200" t="inlineStr">
        <is>
          <t>-</t>
        </is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>
        <f>SUM(K200:V200)</f>
        <v/>
      </c>
      <c r="X200" t="inlineStr">
        <is>
          <t>Cuenta inactiva / sin saldo previsto en 2027.</t>
        </is>
      </c>
    </row>
    <row r="201">
      <c r="B201" t="n">
        <v>2027</v>
      </c>
      <c r="C201" t="inlineStr">
        <is>
          <t>Codiagro</t>
        </is>
      </c>
      <c r="D201" t="inlineStr">
        <is>
          <t>RESULTADO DEL EJERCICIO</t>
        </is>
      </c>
      <c r="E201" t="inlineStr">
        <is>
          <t>RESULTADO ANTES DE IMPUESTOS</t>
        </is>
      </c>
      <c r="F201" t="inlineStr">
        <is>
          <t>RESULTADO FINANCIERO</t>
        </is>
      </c>
      <c r="G201" t="inlineStr">
        <is>
          <t>15.- Gastos financieros</t>
        </is>
      </c>
      <c r="H201" t="inlineStr">
        <is>
          <t>(669) Otros gastos financieros</t>
        </is>
      </c>
      <c r="I201" t="inlineStr">
        <is>
          <t>669200002 - GTOS. COBRO EXPORT B.SABADELL</t>
        </is>
      </c>
      <c r="J201" t="inlineStr">
        <is>
          <t>-</t>
        </is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>
        <f>SUM(K201:V201)</f>
        <v/>
      </c>
      <c r="X201" t="inlineStr">
        <is>
          <t>Cuenta inactiva / sin saldo previsto en 2027.</t>
        </is>
      </c>
    </row>
    <row r="202">
      <c r="B202" t="n">
        <v>2027</v>
      </c>
      <c r="C202" t="inlineStr">
        <is>
          <t>Codiagro</t>
        </is>
      </c>
      <c r="D202" t="inlineStr">
        <is>
          <t>RESULTADO DEL EJERCICIO</t>
        </is>
      </c>
      <c r="E202" t="inlineStr">
        <is>
          <t>RESULTADO ANTES DE IMPUESTOS</t>
        </is>
      </c>
      <c r="F202" t="inlineStr">
        <is>
          <t>RESULTADO FINANCIERO</t>
        </is>
      </c>
      <c r="G202" t="inlineStr">
        <is>
          <t>15.- Gastos financieros</t>
        </is>
      </c>
      <c r="H202" t="inlineStr">
        <is>
          <t>(669) Otros gastos financieros</t>
        </is>
      </c>
      <c r="I202" t="inlineStr">
        <is>
          <t>669200007 - GTOS. COBRO EXPORT. BBVA</t>
        </is>
      </c>
      <c r="J202" t="inlineStr">
        <is>
          <t>-</t>
        </is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>
        <f>SUM(K202:V202)</f>
        <v/>
      </c>
      <c r="X202" t="inlineStr">
        <is>
          <t>Cuenta inactiva / sin saldo previsto en 2027.</t>
        </is>
      </c>
    </row>
    <row r="203">
      <c r="B203" t="n">
        <v>2027</v>
      </c>
      <c r="C203" t="inlineStr">
        <is>
          <t>Codiagro</t>
        </is>
      </c>
      <c r="D203" t="inlineStr">
        <is>
          <t>RESULTADO DEL EJERCICIO</t>
        </is>
      </c>
      <c r="E203" t="inlineStr">
        <is>
          <t>RESULTADO ANTES DE IMPUESTOS</t>
        </is>
      </c>
      <c r="F203" t="inlineStr">
        <is>
          <t>RESULTADO FINANCIERO</t>
        </is>
      </c>
      <c r="G203" t="inlineStr">
        <is>
          <t>17.- Diferencias de cambio</t>
        </is>
      </c>
      <c r="H203" t="inlineStr">
        <is>
          <t>(768) Diferencias positivas de cambio</t>
        </is>
      </c>
      <c r="I203" t="inlineStr">
        <is>
          <t>768000000 - Diferencias positivas de cambio</t>
        </is>
      </c>
      <c r="J203" t="inlineStr">
        <is>
          <t>-</t>
        </is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1">
        <f>SUM(K203:V203)</f>
        <v/>
      </c>
      <c r="X203" t="inlineStr">
        <is>
          <t>Diferencias positivas de cambio: sin estimación en 2027 por criterio de prudencia.</t>
        </is>
      </c>
    </row>
    <row r="204">
      <c r="B204" t="n">
        <v>2027</v>
      </c>
      <c r="C204" t="inlineStr">
        <is>
          <t>Codiagro</t>
        </is>
      </c>
      <c r="D204" t="inlineStr">
        <is>
          <t>RESULTADO DEL EJERCICIO</t>
        </is>
      </c>
      <c r="E204" t="inlineStr">
        <is>
          <t>RESULTADO ANTES DE IMPUESTOS</t>
        </is>
      </c>
      <c r="F204" t="inlineStr">
        <is>
          <t>RESULTADO DE LA EXPLOTACION</t>
        </is>
      </c>
      <c r="G204" t="inlineStr">
        <is>
          <t>7.- Otros gastos de explotación</t>
        </is>
      </c>
      <c r="H204" t="inlineStr">
        <is>
          <t>(709) Publicidad</t>
        </is>
      </c>
      <c r="I204" t="inlineStr">
        <is>
          <t>709001500 - RAPPEL BONIFICACIONES POR PMK DEFINITIVO</t>
        </is>
      </c>
      <c r="J204" t="inlineStr">
        <is>
          <t>-</t>
        </is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>
        <f>SUM(K204:V204)</f>
        <v/>
      </c>
      <c r="X204" t="inlineStr">
        <is>
          <t>Sin dotación presupuestada en 2027 por corresponder a partidas singulares/no recurrentes.</t>
        </is>
      </c>
    </row>
    <row r="205">
      <c r="B205" t="n">
        <v>2027</v>
      </c>
      <c r="C205" t="inlineStr">
        <is>
          <t>Codiagro</t>
        </is>
      </c>
      <c r="D205" t="inlineStr">
        <is>
          <t>RESULTADO DEL EJERCICIO</t>
        </is>
      </c>
      <c r="E205" t="inlineStr">
        <is>
          <t>RESULTADO ANTES DE IMPUESTOS</t>
        </is>
      </c>
      <c r="F205" t="inlineStr">
        <is>
          <t>RESULTADO FINANCIERO</t>
        </is>
      </c>
      <c r="G205" t="inlineStr">
        <is>
          <t>14.- Ingresos financieros</t>
        </is>
      </c>
      <c r="H205" t="inlineStr">
        <is>
          <t>(769) Otros ingresos financieros</t>
        </is>
      </c>
      <c r="I205" t="inlineStr">
        <is>
          <t>769000000 - Otros ingresos financieros</t>
        </is>
      </c>
      <c r="J205" t="inlineStr">
        <is>
          <t>-</t>
        </is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1">
        <f>SUM(K205:V205)</f>
        <v/>
      </c>
      <c r="X205" t="inlineStr">
        <is>
          <t>Otros ingresos financieros: sin estimación en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2026-09-25T09:55:34Z</dcterms:created>
  <dcterms:modified xmlns:dcterms="http://purl.org/dc/terms/" xmlns:xsi="http://www.w3.org/2001/XMLSchema-instance" xsi:type="dcterms:W3CDTF">2026-09-25T09:55:34Z</dcterms:modified>
</cp:coreProperties>
</file>